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94DDD73-6D3F-4912-BE40-C533A7AFDED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16" i="5"/>
  <c r="C122" i="5"/>
  <c r="C133" i="5" s="1"/>
  <c r="D136" i="5" s="1"/>
  <c r="C116" i="4"/>
  <c r="C118" i="4"/>
  <c r="C122" i="3"/>
  <c r="C133" i="3" s="1"/>
  <c r="C136" i="3" s="1"/>
  <c r="D118" i="3"/>
  <c r="C116" i="3"/>
  <c r="R765" i="1"/>
  <c r="C136" i="4" l="1"/>
  <c r="C138" i="4" s="1"/>
  <c r="C136" i="5"/>
  <c r="C138" i="5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<sst xmlns="http://schemas.openxmlformats.org/spreadsheetml/2006/main" count="7816" uniqueCount="34">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</sst>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5.254E-3</c:v>
                </c:pt>
                <c:pt idx="1">
                  <c:v>5.3239999999999997E-3</c:v>
                </c:pt>
                <c:pt idx="2">
                  <c:v>5.0980000000000001E-3</c:v>
                </c:pt>
                <c:pt idx="3">
                  <c:v>5.045E-3</c:v>
                </c:pt>
                <c:pt idx="4">
                  <c:v>5.2709999999999996E-3</c:v>
                </c:pt>
                <c:pt idx="5">
                  <c:v>5.0549999999999996E-3</c:v>
                </c:pt>
                <c:pt idx="6">
                  <c:v>5.6480000000000002E-3</c:v>
                </c:pt>
                <c:pt idx="7">
                  <c:v>6.5640000000000004E-3</c:v>
                </c:pt>
                <c:pt idx="8">
                  <c:v>6.7559999999999999E-3</c:v>
                </c:pt>
                <c:pt idx="9">
                  <c:v>7.0150000000000004E-3</c:v>
                </c:pt>
                <c:pt idx="10">
                  <c:v>7.1060000000000003E-3</c:v>
                </c:pt>
                <c:pt idx="11">
                  <c:v>7.4409999999999997E-3</c:v>
                </c:pt>
                <c:pt idx="12">
                  <c:v>7.3850000000000001E-3</c:v>
                </c:pt>
                <c:pt idx="13">
                  <c:v>7.4070000000000004E-3</c:v>
                </c:pt>
                <c:pt idx="14">
                  <c:v>7.2649999999999998E-3</c:v>
                </c:pt>
                <c:pt idx="15">
                  <c:v>7.5100000000000002E-3</c:v>
                </c:pt>
                <c:pt idx="16">
                  <c:v>7.1710000000000003E-3</c:v>
                </c:pt>
                <c:pt idx="17">
                  <c:v>6.9880000000000003E-3</c:v>
                </c:pt>
                <c:pt idx="18">
                  <c:v>7.4139999999999996E-3</c:v>
                </c:pt>
                <c:pt idx="19">
                  <c:v>7.2579999999999997E-3</c:v>
                </c:pt>
                <c:pt idx="20">
                  <c:v>7.4700000000000001E-3</c:v>
                </c:pt>
                <c:pt idx="21">
                  <c:v>8.0169999999999998E-3</c:v>
                </c:pt>
                <c:pt idx="22">
                  <c:v>7.9179999999999997E-3</c:v>
                </c:pt>
                <c:pt idx="23">
                  <c:v>8.4460000000000004E-3</c:v>
                </c:pt>
                <c:pt idx="24">
                  <c:v>8.77E-3</c:v>
                </c:pt>
                <c:pt idx="25">
                  <c:v>8.8100000000000001E-3</c:v>
                </c:pt>
                <c:pt idx="26">
                  <c:v>8.3269999999999993E-3</c:v>
                </c:pt>
                <c:pt idx="27">
                  <c:v>8.1460000000000005E-3</c:v>
                </c:pt>
                <c:pt idx="28">
                  <c:v>8.2500000000000004E-3</c:v>
                </c:pt>
                <c:pt idx="29">
                  <c:v>8.1960000000000002E-3</c:v>
                </c:pt>
                <c:pt idx="30">
                  <c:v>8.3020000000000004E-3</c:v>
                </c:pt>
                <c:pt idx="31">
                  <c:v>8.9079999999999993E-3</c:v>
                </c:pt>
                <c:pt idx="32">
                  <c:v>8.9779999999999999E-3</c:v>
                </c:pt>
                <c:pt idx="33">
                  <c:v>9.0240000000000008E-3</c:v>
                </c:pt>
                <c:pt idx="34">
                  <c:v>8.8719999999999997E-3</c:v>
                </c:pt>
                <c:pt idx="35">
                  <c:v>8.9499999999999996E-3</c:v>
                </c:pt>
                <c:pt idx="36">
                  <c:v>8.4880000000000008E-3</c:v>
                </c:pt>
                <c:pt idx="37">
                  <c:v>8.4650000000000003E-3</c:v>
                </c:pt>
                <c:pt idx="38">
                  <c:v>8.2019999999999992E-3</c:v>
                </c:pt>
                <c:pt idx="39">
                  <c:v>8.4899999999999993E-3</c:v>
                </c:pt>
                <c:pt idx="40">
                  <c:v>8.5039999999999994E-3</c:v>
                </c:pt>
                <c:pt idx="41">
                  <c:v>8.3040000000000006E-3</c:v>
                </c:pt>
                <c:pt idx="42">
                  <c:v>8.3580000000000008E-3</c:v>
                </c:pt>
                <c:pt idx="43">
                  <c:v>8.5100000000000002E-3</c:v>
                </c:pt>
                <c:pt idx="44">
                  <c:v>8.2190000000000006E-3</c:v>
                </c:pt>
                <c:pt idx="45">
                  <c:v>8.2120000000000005E-3</c:v>
                </c:pt>
                <c:pt idx="46">
                  <c:v>8.8889999999999993E-3</c:v>
                </c:pt>
                <c:pt idx="47">
                  <c:v>8.6379999999999998E-3</c:v>
                </c:pt>
                <c:pt idx="48">
                  <c:v>8.6269999999999993E-3</c:v>
                </c:pt>
                <c:pt idx="49">
                  <c:v>8.7690000000000008E-3</c:v>
                </c:pt>
                <c:pt idx="50">
                  <c:v>9.8270000000000007E-3</c:v>
                </c:pt>
                <c:pt idx="51">
                  <c:v>9.7319999999999993E-3</c:v>
                </c:pt>
                <c:pt idx="52">
                  <c:v>9.6319999999999999E-3</c:v>
                </c:pt>
                <c:pt idx="53">
                  <c:v>9.3699999999999999E-3</c:v>
                </c:pt>
                <c:pt idx="54">
                  <c:v>1.0316000000000001E-2</c:v>
                </c:pt>
                <c:pt idx="55">
                  <c:v>1.2156E-2</c:v>
                </c:pt>
                <c:pt idx="56">
                  <c:v>1.2936E-2</c:v>
                </c:pt>
                <c:pt idx="57">
                  <c:v>1.2808999999999999E-2</c:v>
                </c:pt>
                <c:pt idx="58">
                  <c:v>1.3065E-2</c:v>
                </c:pt>
                <c:pt idx="59">
                  <c:v>1.2317E-2</c:v>
                </c:pt>
                <c:pt idx="60">
                  <c:v>1.2220999999999999E-2</c:v>
                </c:pt>
                <c:pt idx="61">
                  <c:v>1.1953E-2</c:v>
                </c:pt>
                <c:pt idx="62">
                  <c:v>1.1827000000000001E-2</c:v>
                </c:pt>
                <c:pt idx="63">
                  <c:v>1.3622E-2</c:v>
                </c:pt>
                <c:pt idx="64">
                  <c:v>1.2599000000000001E-2</c:v>
                </c:pt>
                <c:pt idx="65">
                  <c:v>1.1887999999999999E-2</c:v>
                </c:pt>
                <c:pt idx="66">
                  <c:v>1.1690000000000001E-2</c:v>
                </c:pt>
                <c:pt idx="67">
                  <c:v>1.1273E-2</c:v>
                </c:pt>
                <c:pt idx="68">
                  <c:v>1.1842999999999999E-2</c:v>
                </c:pt>
                <c:pt idx="69">
                  <c:v>1.0916E-2</c:v>
                </c:pt>
                <c:pt idx="70">
                  <c:v>1.0317E-2</c:v>
                </c:pt>
                <c:pt idx="71">
                  <c:v>1.295E-2</c:v>
                </c:pt>
                <c:pt idx="72">
                  <c:v>1.0538E-2</c:v>
                </c:pt>
                <c:pt idx="73">
                  <c:v>9.9860000000000001E-3</c:v>
                </c:pt>
                <c:pt idx="74">
                  <c:v>9.8549999999999992E-3</c:v>
                </c:pt>
                <c:pt idx="75">
                  <c:v>1.0029E-2</c:v>
                </c:pt>
                <c:pt idx="76">
                  <c:v>9.7109999999999991E-3</c:v>
                </c:pt>
                <c:pt idx="77">
                  <c:v>9.8510000000000004E-3</c:v>
                </c:pt>
                <c:pt idx="78">
                  <c:v>9.7730000000000004E-3</c:v>
                </c:pt>
                <c:pt idx="79">
                  <c:v>1.0139E-2</c:v>
                </c:pt>
                <c:pt idx="80">
                  <c:v>1.035E-2</c:v>
                </c:pt>
                <c:pt idx="81">
                  <c:v>1.0518E-2</c:v>
                </c:pt>
                <c:pt idx="82">
                  <c:v>1.0482E-2</c:v>
                </c:pt>
                <c:pt idx="83">
                  <c:v>1.0371E-2</c:v>
                </c:pt>
                <c:pt idx="84">
                  <c:v>1.0522999999999999E-2</c:v>
                </c:pt>
                <c:pt idx="85">
                  <c:v>1.0853E-2</c:v>
                </c:pt>
                <c:pt idx="86">
                  <c:v>1.0729000000000001E-2</c:v>
                </c:pt>
                <c:pt idx="87">
                  <c:v>1.0333999999999999E-2</c:v>
                </c:pt>
                <c:pt idx="88">
                  <c:v>1.0675E-2</c:v>
                </c:pt>
                <c:pt idx="89">
                  <c:v>1.0009000000000001E-2</c:v>
                </c:pt>
                <c:pt idx="90">
                  <c:v>9.9509999999999998E-3</c:v>
                </c:pt>
                <c:pt idx="91">
                  <c:v>9.4490000000000008E-3</c:v>
                </c:pt>
                <c:pt idx="92">
                  <c:v>8.9619999999999995E-3</c:v>
                </c:pt>
                <c:pt idx="93">
                  <c:v>9.9430000000000004E-3</c:v>
                </c:pt>
                <c:pt idx="94">
                  <c:v>1.027E-2</c:v>
                </c:pt>
                <c:pt idx="95">
                  <c:v>1.0130999999999999E-2</c:v>
                </c:pt>
                <c:pt idx="96">
                  <c:v>1.0307E-2</c:v>
                </c:pt>
                <c:pt idx="97">
                  <c:v>1.038E-2</c:v>
                </c:pt>
                <c:pt idx="98">
                  <c:v>9.9290000000000003E-3</c:v>
                </c:pt>
                <c:pt idx="99">
                  <c:v>1.0348E-2</c:v>
                </c:pt>
                <c:pt idx="100">
                  <c:v>1.0240000000000001E-2</c:v>
                </c:pt>
                <c:pt idx="101">
                  <c:v>9.9209999999999993E-3</c:v>
                </c:pt>
                <c:pt idx="102">
                  <c:v>1.0038999999999999E-2</c:v>
                </c:pt>
                <c:pt idx="103">
                  <c:v>1.0423E-2</c:v>
                </c:pt>
                <c:pt idx="104">
                  <c:v>1.027E-2</c:v>
                </c:pt>
                <c:pt idx="105">
                  <c:v>1.1344999999999999E-2</c:v>
                </c:pt>
                <c:pt idx="106">
                  <c:v>1.1043000000000001E-2</c:v>
                </c:pt>
                <c:pt idx="107">
                  <c:v>1.0378999999999999E-2</c:v>
                </c:pt>
                <c:pt idx="108">
                  <c:v>1.0985999999999999E-2</c:v>
                </c:pt>
                <c:pt idx="109">
                  <c:v>1.1433E-2</c:v>
                </c:pt>
                <c:pt idx="110">
                  <c:v>1.2297000000000001E-2</c:v>
                </c:pt>
                <c:pt idx="111">
                  <c:v>1.1648E-2</c:v>
                </c:pt>
                <c:pt idx="112">
                  <c:v>1.0102999999999999E-2</c:v>
                </c:pt>
                <c:pt idx="113">
                  <c:v>9.9270000000000001E-3</c:v>
                </c:pt>
                <c:pt idx="114">
                  <c:v>1.0204E-2</c:v>
                </c:pt>
                <c:pt idx="115">
                  <c:v>8.7810000000000006E-3</c:v>
                </c:pt>
                <c:pt idx="116">
                  <c:v>9.2010000000000008E-3</c:v>
                </c:pt>
                <c:pt idx="117">
                  <c:v>8.8999999999999999E-3</c:v>
                </c:pt>
                <c:pt idx="118">
                  <c:v>8.5170000000000003E-3</c:v>
                </c:pt>
                <c:pt idx="119">
                  <c:v>7.7809999999999997E-3</c:v>
                </c:pt>
                <c:pt idx="120">
                  <c:v>7.0309999999999999E-3</c:v>
                </c:pt>
                <c:pt idx="121">
                  <c:v>6.9220000000000002E-3</c:v>
                </c:pt>
                <c:pt idx="122">
                  <c:v>7.3480000000000004E-3</c:v>
                </c:pt>
                <c:pt idx="123">
                  <c:v>7.607E-3</c:v>
                </c:pt>
                <c:pt idx="124">
                  <c:v>7.7910000000000002E-3</c:v>
                </c:pt>
                <c:pt idx="125">
                  <c:v>7.8300000000000002E-3</c:v>
                </c:pt>
                <c:pt idx="126">
                  <c:v>8.5240000000000003E-3</c:v>
                </c:pt>
                <c:pt idx="127">
                  <c:v>8.2629999999999995E-3</c:v>
                </c:pt>
                <c:pt idx="128">
                  <c:v>7.3429999999999997E-3</c:v>
                </c:pt>
                <c:pt idx="129">
                  <c:v>8.7779999999999993E-3</c:v>
                </c:pt>
                <c:pt idx="130">
                  <c:v>9.7149999999999997E-3</c:v>
                </c:pt>
                <c:pt idx="131">
                  <c:v>9.8099999999999993E-3</c:v>
                </c:pt>
                <c:pt idx="132">
                  <c:v>9.5139999999999999E-3</c:v>
                </c:pt>
                <c:pt idx="133">
                  <c:v>9.9539999999999993E-3</c:v>
                </c:pt>
                <c:pt idx="134">
                  <c:v>9.8490000000000001E-3</c:v>
                </c:pt>
                <c:pt idx="135">
                  <c:v>9.606E-3</c:v>
                </c:pt>
                <c:pt idx="136">
                  <c:v>9.3810000000000004E-3</c:v>
                </c:pt>
                <c:pt idx="137">
                  <c:v>9.8720000000000006E-3</c:v>
                </c:pt>
                <c:pt idx="138">
                  <c:v>9.7929999999999996E-3</c:v>
                </c:pt>
                <c:pt idx="139">
                  <c:v>9.4719999999999995E-3</c:v>
                </c:pt>
                <c:pt idx="140">
                  <c:v>1.0122000000000001E-2</c:v>
                </c:pt>
                <c:pt idx="141">
                  <c:v>9.4140000000000005E-3</c:v>
                </c:pt>
                <c:pt idx="142">
                  <c:v>9.5849999999999998E-3</c:v>
                </c:pt>
                <c:pt idx="143">
                  <c:v>1.2171E-2</c:v>
                </c:pt>
                <c:pt idx="144">
                  <c:v>1.217E-2</c:v>
                </c:pt>
                <c:pt idx="145">
                  <c:v>1.1684999999999999E-2</c:v>
                </c:pt>
                <c:pt idx="146">
                  <c:v>1.0707E-2</c:v>
                </c:pt>
                <c:pt idx="147">
                  <c:v>1.0474000000000001E-2</c:v>
                </c:pt>
                <c:pt idx="148">
                  <c:v>1.0619E-2</c:v>
                </c:pt>
                <c:pt idx="149">
                  <c:v>9.7190000000000002E-3</c:v>
                </c:pt>
                <c:pt idx="150">
                  <c:v>9.4490000000000008E-3</c:v>
                </c:pt>
                <c:pt idx="151">
                  <c:v>9.7929999999999996E-3</c:v>
                </c:pt>
                <c:pt idx="152">
                  <c:v>9.8499999999999994E-3</c:v>
                </c:pt>
                <c:pt idx="153">
                  <c:v>9.9850000000000008E-3</c:v>
                </c:pt>
                <c:pt idx="154">
                  <c:v>9.5350000000000001E-3</c:v>
                </c:pt>
                <c:pt idx="155">
                  <c:v>1.0444E-2</c:v>
                </c:pt>
                <c:pt idx="156">
                  <c:v>1.0017E-2</c:v>
                </c:pt>
                <c:pt idx="157">
                  <c:v>1.0753E-2</c:v>
                </c:pt>
                <c:pt idx="158">
                  <c:v>9.7479999999999997E-3</c:v>
                </c:pt>
                <c:pt idx="159">
                  <c:v>9.7750000000000007E-3</c:v>
                </c:pt>
                <c:pt idx="160">
                  <c:v>1.0106E-2</c:v>
                </c:pt>
                <c:pt idx="161">
                  <c:v>9.5580000000000005E-3</c:v>
                </c:pt>
                <c:pt idx="162">
                  <c:v>8.9990000000000001E-3</c:v>
                </c:pt>
                <c:pt idx="163">
                  <c:v>9.2219999999999993E-3</c:v>
                </c:pt>
                <c:pt idx="164">
                  <c:v>1.0093E-2</c:v>
                </c:pt>
                <c:pt idx="165">
                  <c:v>1.0507000000000001E-2</c:v>
                </c:pt>
                <c:pt idx="166">
                  <c:v>1.0061E-2</c:v>
                </c:pt>
                <c:pt idx="167">
                  <c:v>1.0041E-2</c:v>
                </c:pt>
                <c:pt idx="168">
                  <c:v>9.2860000000000009E-3</c:v>
                </c:pt>
                <c:pt idx="169">
                  <c:v>9.6100000000000005E-3</c:v>
                </c:pt>
                <c:pt idx="170">
                  <c:v>9.3050000000000008E-3</c:v>
                </c:pt>
                <c:pt idx="171">
                  <c:v>9.391E-3</c:v>
                </c:pt>
                <c:pt idx="172">
                  <c:v>9.2040000000000004E-3</c:v>
                </c:pt>
                <c:pt idx="173">
                  <c:v>9.3500000000000007E-3</c:v>
                </c:pt>
                <c:pt idx="174">
                  <c:v>8.9239999999999996E-3</c:v>
                </c:pt>
                <c:pt idx="175">
                  <c:v>8.4790000000000004E-3</c:v>
                </c:pt>
                <c:pt idx="176">
                  <c:v>8.0239999999999999E-3</c:v>
                </c:pt>
                <c:pt idx="177">
                  <c:v>7.8139999999999998E-3</c:v>
                </c:pt>
                <c:pt idx="178">
                  <c:v>8.0920000000000002E-3</c:v>
                </c:pt>
                <c:pt idx="179">
                  <c:v>8.0579999999999992E-3</c:v>
                </c:pt>
                <c:pt idx="180">
                  <c:v>8.0169999999999998E-3</c:v>
                </c:pt>
                <c:pt idx="181">
                  <c:v>8.1379999999999994E-3</c:v>
                </c:pt>
                <c:pt idx="182">
                  <c:v>8.0140000000000003E-3</c:v>
                </c:pt>
                <c:pt idx="183">
                  <c:v>6.8079999999999998E-3</c:v>
                </c:pt>
                <c:pt idx="184">
                  <c:v>6.966E-3</c:v>
                </c:pt>
                <c:pt idx="185">
                  <c:v>6.8690000000000001E-3</c:v>
                </c:pt>
                <c:pt idx="186">
                  <c:v>6.4149999999999997E-3</c:v>
                </c:pt>
                <c:pt idx="187">
                  <c:v>6.3330000000000001E-3</c:v>
                </c:pt>
                <c:pt idx="188">
                  <c:v>6.293E-3</c:v>
                </c:pt>
                <c:pt idx="189">
                  <c:v>6.0150000000000004E-3</c:v>
                </c:pt>
                <c:pt idx="190">
                  <c:v>5.9420000000000002E-3</c:v>
                </c:pt>
                <c:pt idx="191">
                  <c:v>5.4510000000000001E-3</c:v>
                </c:pt>
                <c:pt idx="192">
                  <c:v>5.9760000000000004E-3</c:v>
                </c:pt>
                <c:pt idx="193">
                  <c:v>5.9649999999999998E-3</c:v>
                </c:pt>
                <c:pt idx="194">
                  <c:v>6.0730000000000003E-3</c:v>
                </c:pt>
                <c:pt idx="195">
                  <c:v>5.8009999999999997E-3</c:v>
                </c:pt>
                <c:pt idx="196">
                  <c:v>6.4970000000000002E-3</c:v>
                </c:pt>
                <c:pt idx="197">
                  <c:v>6.8529999999999997E-3</c:v>
                </c:pt>
                <c:pt idx="198">
                  <c:v>7.2919999999999999E-3</c:v>
                </c:pt>
                <c:pt idx="199">
                  <c:v>7.2430000000000003E-3</c:v>
                </c:pt>
                <c:pt idx="200">
                  <c:v>7.1209999999999997E-3</c:v>
                </c:pt>
                <c:pt idx="201">
                  <c:v>6.9439999999999997E-3</c:v>
                </c:pt>
                <c:pt idx="202">
                  <c:v>6.9329999999999999E-3</c:v>
                </c:pt>
                <c:pt idx="203">
                  <c:v>6.8519999999999996E-3</c:v>
                </c:pt>
                <c:pt idx="204">
                  <c:v>8.1569999999999993E-3</c:v>
                </c:pt>
                <c:pt idx="205">
                  <c:v>8.5249999999999996E-3</c:v>
                </c:pt>
                <c:pt idx="206">
                  <c:v>8.2550000000000002E-3</c:v>
                </c:pt>
                <c:pt idx="207">
                  <c:v>7.8829999999999994E-3</c:v>
                </c:pt>
                <c:pt idx="208">
                  <c:v>7.0130000000000001E-3</c:v>
                </c:pt>
                <c:pt idx="209">
                  <c:v>7.0460000000000002E-3</c:v>
                </c:pt>
                <c:pt idx="210">
                  <c:v>6.6340000000000001E-3</c:v>
                </c:pt>
                <c:pt idx="211">
                  <c:v>5.875E-3</c:v>
                </c:pt>
                <c:pt idx="212">
                  <c:v>6.0600000000000003E-3</c:v>
                </c:pt>
                <c:pt idx="213">
                  <c:v>5.3229999999999996E-3</c:v>
                </c:pt>
                <c:pt idx="214">
                  <c:v>4.4470000000000004E-3</c:v>
                </c:pt>
                <c:pt idx="215">
                  <c:v>4.2680000000000001E-3</c:v>
                </c:pt>
                <c:pt idx="216">
                  <c:v>4.0499999999999998E-3</c:v>
                </c:pt>
                <c:pt idx="217">
                  <c:v>4.4169999999999999E-3</c:v>
                </c:pt>
                <c:pt idx="218">
                  <c:v>3.82E-3</c:v>
                </c:pt>
                <c:pt idx="219">
                  <c:v>3.5270000000000002E-3</c:v>
                </c:pt>
                <c:pt idx="220">
                  <c:v>3.9810000000000002E-3</c:v>
                </c:pt>
                <c:pt idx="221">
                  <c:v>5.7559999999999998E-3</c:v>
                </c:pt>
                <c:pt idx="222">
                  <c:v>6.0049999999999999E-3</c:v>
                </c:pt>
                <c:pt idx="223">
                  <c:v>6.2399999999999999E-3</c:v>
                </c:pt>
                <c:pt idx="224">
                  <c:v>6.9170000000000004E-3</c:v>
                </c:pt>
                <c:pt idx="225">
                  <c:v>7.0359999999999997E-3</c:v>
                </c:pt>
                <c:pt idx="226">
                  <c:v>7.4390000000000003E-3</c:v>
                </c:pt>
                <c:pt idx="227">
                  <c:v>6.9360000000000003E-3</c:v>
                </c:pt>
                <c:pt idx="228">
                  <c:v>6.7390000000000002E-3</c:v>
                </c:pt>
                <c:pt idx="229">
                  <c:v>6.6709999999999998E-3</c:v>
                </c:pt>
                <c:pt idx="230">
                  <c:v>7.6800000000000002E-3</c:v>
                </c:pt>
                <c:pt idx="231">
                  <c:v>8.7910000000000002E-3</c:v>
                </c:pt>
                <c:pt idx="232">
                  <c:v>8.6350000000000003E-3</c:v>
                </c:pt>
                <c:pt idx="233">
                  <c:v>8.5730000000000008E-3</c:v>
                </c:pt>
                <c:pt idx="234">
                  <c:v>8.9610000000000002E-3</c:v>
                </c:pt>
                <c:pt idx="235">
                  <c:v>9.5130000000000006E-3</c:v>
                </c:pt>
                <c:pt idx="236">
                  <c:v>8.9470000000000001E-3</c:v>
                </c:pt>
                <c:pt idx="237">
                  <c:v>9.2090000000000002E-3</c:v>
                </c:pt>
                <c:pt idx="238">
                  <c:v>9.6989999999999993E-3</c:v>
                </c:pt>
                <c:pt idx="239">
                  <c:v>9.4439999999999993E-3</c:v>
                </c:pt>
                <c:pt idx="240">
                  <c:v>9.1489999999999991E-3</c:v>
                </c:pt>
                <c:pt idx="241">
                  <c:v>9.4020000000000006E-3</c:v>
                </c:pt>
                <c:pt idx="242">
                  <c:v>9.1059999999999995E-3</c:v>
                </c:pt>
                <c:pt idx="243">
                  <c:v>9.1819999999999992E-3</c:v>
                </c:pt>
                <c:pt idx="244">
                  <c:v>8.9739999999999993E-3</c:v>
                </c:pt>
                <c:pt idx="245">
                  <c:v>1.0158E-2</c:v>
                </c:pt>
                <c:pt idx="246">
                  <c:v>1.0481000000000001E-2</c:v>
                </c:pt>
                <c:pt idx="247">
                  <c:v>9.8200000000000006E-3</c:v>
                </c:pt>
                <c:pt idx="248">
                  <c:v>9.8010000000000007E-3</c:v>
                </c:pt>
                <c:pt idx="249">
                  <c:v>9.1780000000000004E-3</c:v>
                </c:pt>
                <c:pt idx="250">
                  <c:v>1.1528999999999999E-2</c:v>
                </c:pt>
                <c:pt idx="251">
                  <c:v>1.0808E-2</c:v>
                </c:pt>
                <c:pt idx="252">
                  <c:v>9.0559999999999998E-3</c:v>
                </c:pt>
                <c:pt idx="253">
                  <c:v>7.6119999999999998E-3</c:v>
                </c:pt>
                <c:pt idx="254">
                  <c:v>1.0999E-2</c:v>
                </c:pt>
                <c:pt idx="255">
                  <c:v>1.0545000000000001E-2</c:v>
                </c:pt>
                <c:pt idx="256">
                  <c:v>1.1839000000000001E-2</c:v>
                </c:pt>
                <c:pt idx="257">
                  <c:v>1.2067E-2</c:v>
                </c:pt>
                <c:pt idx="258">
                  <c:v>1.3089999999999999E-2</c:v>
                </c:pt>
                <c:pt idx="259">
                  <c:v>1.2553999999999999E-2</c:v>
                </c:pt>
                <c:pt idx="260">
                  <c:v>1.2442E-2</c:v>
                </c:pt>
                <c:pt idx="261">
                  <c:v>1.4808999999999999E-2</c:v>
                </c:pt>
                <c:pt idx="262">
                  <c:v>1.3358999999999999E-2</c:v>
                </c:pt>
                <c:pt idx="263">
                  <c:v>1.439E-2</c:v>
                </c:pt>
                <c:pt idx="264">
                  <c:v>1.4817E-2</c:v>
                </c:pt>
                <c:pt idx="265">
                  <c:v>1.5452E-2</c:v>
                </c:pt>
                <c:pt idx="266">
                  <c:v>1.5014E-2</c:v>
                </c:pt>
                <c:pt idx="267">
                  <c:v>1.6024E-2</c:v>
                </c:pt>
                <c:pt idx="268">
                  <c:v>1.4888E-2</c:v>
                </c:pt>
                <c:pt idx="269">
                  <c:v>1.7274999999999999E-2</c:v>
                </c:pt>
                <c:pt idx="270">
                  <c:v>1.7547E-2</c:v>
                </c:pt>
                <c:pt idx="271">
                  <c:v>1.6948000000000001E-2</c:v>
                </c:pt>
                <c:pt idx="272">
                  <c:v>1.7086E-2</c:v>
                </c:pt>
                <c:pt idx="273">
                  <c:v>1.6542999999999999E-2</c:v>
                </c:pt>
                <c:pt idx="274">
                  <c:v>1.7264999999999999E-2</c:v>
                </c:pt>
                <c:pt idx="275">
                  <c:v>1.8381999999999999E-2</c:v>
                </c:pt>
                <c:pt idx="276">
                  <c:v>1.7059999999999999E-2</c:v>
                </c:pt>
                <c:pt idx="277">
                  <c:v>1.4399E-2</c:v>
                </c:pt>
                <c:pt idx="278">
                  <c:v>1.3465E-2</c:v>
                </c:pt>
                <c:pt idx="279">
                  <c:v>1.3974E-2</c:v>
                </c:pt>
                <c:pt idx="280">
                  <c:v>1.4197E-2</c:v>
                </c:pt>
                <c:pt idx="281">
                  <c:v>1.7548999999999999E-2</c:v>
                </c:pt>
                <c:pt idx="282">
                  <c:v>1.7482000000000001E-2</c:v>
                </c:pt>
                <c:pt idx="283">
                  <c:v>1.6625000000000001E-2</c:v>
                </c:pt>
                <c:pt idx="284">
                  <c:v>1.7947999999999999E-2</c:v>
                </c:pt>
                <c:pt idx="285">
                  <c:v>2.0912E-2</c:v>
                </c:pt>
                <c:pt idx="286">
                  <c:v>1.9087E-2</c:v>
                </c:pt>
                <c:pt idx="287">
                  <c:v>2.1312999999999999E-2</c:v>
                </c:pt>
                <c:pt idx="288">
                  <c:v>1.9878E-2</c:v>
                </c:pt>
                <c:pt idx="289">
                  <c:v>2.2121999999999999E-2</c:v>
                </c:pt>
                <c:pt idx="290">
                  <c:v>2.2092000000000001E-2</c:v>
                </c:pt>
                <c:pt idx="291">
                  <c:v>2.2956000000000001E-2</c:v>
                </c:pt>
                <c:pt idx="292">
                  <c:v>2.3945999999999999E-2</c:v>
                </c:pt>
                <c:pt idx="293">
                  <c:v>2.5849E-2</c:v>
                </c:pt>
                <c:pt idx="294">
                  <c:v>2.5090000000000001E-2</c:v>
                </c:pt>
                <c:pt idx="295">
                  <c:v>1.9199999999999998E-2</c:v>
                </c:pt>
                <c:pt idx="296">
                  <c:v>2.5232000000000001E-2</c:v>
                </c:pt>
                <c:pt idx="297">
                  <c:v>2.7097E-2</c:v>
                </c:pt>
                <c:pt idx="298">
                  <c:v>3.1819E-2</c:v>
                </c:pt>
                <c:pt idx="299">
                  <c:v>2.8886999999999999E-2</c:v>
                </c:pt>
                <c:pt idx="300">
                  <c:v>3.4701000000000003E-2</c:v>
                </c:pt>
                <c:pt idx="301">
                  <c:v>3.0214000000000001E-2</c:v>
                </c:pt>
                <c:pt idx="302">
                  <c:v>2.2085E-2</c:v>
                </c:pt>
                <c:pt idx="303">
                  <c:v>2.0365999999999999E-2</c:v>
                </c:pt>
                <c:pt idx="304">
                  <c:v>1.9262000000000001E-2</c:v>
                </c:pt>
                <c:pt idx="305">
                  <c:v>1.883E-2</c:v>
                </c:pt>
                <c:pt idx="306">
                  <c:v>1.9348000000000001E-2</c:v>
                </c:pt>
                <c:pt idx="307">
                  <c:v>1.95E-2</c:v>
                </c:pt>
                <c:pt idx="308">
                  <c:v>1.8343000000000002E-2</c:v>
                </c:pt>
                <c:pt idx="309">
                  <c:v>1.7618000000000002E-2</c:v>
                </c:pt>
                <c:pt idx="310">
                  <c:v>1.9689000000000002E-2</c:v>
                </c:pt>
                <c:pt idx="311">
                  <c:v>2.1070999999999999E-2</c:v>
                </c:pt>
                <c:pt idx="312">
                  <c:v>2.487E-2</c:v>
                </c:pt>
                <c:pt idx="313">
                  <c:v>2.0999E-2</c:v>
                </c:pt>
                <c:pt idx="314">
                  <c:v>2.1961999999999999E-2</c:v>
                </c:pt>
                <c:pt idx="315">
                  <c:v>1.7958999999999999E-2</c:v>
                </c:pt>
                <c:pt idx="316">
                  <c:v>1.3690000000000001E-2</c:v>
                </c:pt>
                <c:pt idx="317">
                  <c:v>1.4423999999999999E-2</c:v>
                </c:pt>
                <c:pt idx="318">
                  <c:v>1.1665999999999999E-2</c:v>
                </c:pt>
                <c:pt idx="319">
                  <c:v>1.2409999999999999E-2</c:v>
                </c:pt>
                <c:pt idx="320">
                  <c:v>1.3996E-2</c:v>
                </c:pt>
                <c:pt idx="321">
                  <c:v>5.6049999999999997E-3</c:v>
                </c:pt>
                <c:pt idx="322">
                  <c:v>5.0210000000000003E-3</c:v>
                </c:pt>
                <c:pt idx="323">
                  <c:v>4.8450000000000003E-3</c:v>
                </c:pt>
                <c:pt idx="324">
                  <c:v>4.0699999999999998E-3</c:v>
                </c:pt>
                <c:pt idx="325">
                  <c:v>3.7230000000000002E-3</c:v>
                </c:pt>
                <c:pt idx="326">
                  <c:v>3.7030000000000001E-3</c:v>
                </c:pt>
                <c:pt idx="327">
                  <c:v>3.7090000000000001E-3</c:v>
                </c:pt>
                <c:pt idx="328">
                  <c:v>3.6350000000000002E-3</c:v>
                </c:pt>
                <c:pt idx="329">
                  <c:v>3.5590000000000001E-3</c:v>
                </c:pt>
                <c:pt idx="330">
                  <c:v>3.421E-3</c:v>
                </c:pt>
                <c:pt idx="331">
                  <c:v>3.0630000000000002E-3</c:v>
                </c:pt>
                <c:pt idx="332">
                  <c:v>3.14E-3</c:v>
                </c:pt>
                <c:pt idx="333">
                  <c:v>2.9390000000000002E-3</c:v>
                </c:pt>
                <c:pt idx="334">
                  <c:v>3.2529999999999998E-3</c:v>
                </c:pt>
                <c:pt idx="335">
                  <c:v>2.996E-3</c:v>
                </c:pt>
                <c:pt idx="336">
                  <c:v>2.7929999999999999E-3</c:v>
                </c:pt>
                <c:pt idx="337">
                  <c:v>2.9129999999999998E-3</c:v>
                </c:pt>
                <c:pt idx="338">
                  <c:v>2.859E-3</c:v>
                </c:pt>
                <c:pt idx="339">
                  <c:v>3.738E-3</c:v>
                </c:pt>
                <c:pt idx="340">
                  <c:v>4.1720000000000004E-3</c:v>
                </c:pt>
                <c:pt idx="341">
                  <c:v>3.774E-3</c:v>
                </c:pt>
                <c:pt idx="342">
                  <c:v>3.9550000000000002E-3</c:v>
                </c:pt>
                <c:pt idx="343">
                  <c:v>3.9399999999999999E-3</c:v>
                </c:pt>
                <c:pt idx="344">
                  <c:v>3.0170000000000002E-3</c:v>
                </c:pt>
                <c:pt idx="345">
                  <c:v>2.6649999999999998E-3</c:v>
                </c:pt>
                <c:pt idx="346">
                  <c:v>2.598E-3</c:v>
                </c:pt>
                <c:pt idx="347">
                  <c:v>2.8509999999999998E-3</c:v>
                </c:pt>
                <c:pt idx="348">
                  <c:v>2.7330000000000002E-3</c:v>
                </c:pt>
                <c:pt idx="349">
                  <c:v>2.539E-3</c:v>
                </c:pt>
                <c:pt idx="350">
                  <c:v>2.2529999999999998E-3</c:v>
                </c:pt>
                <c:pt idx="351">
                  <c:v>2.1289999999999998E-3</c:v>
                </c:pt>
                <c:pt idx="352">
                  <c:v>2.2859999999999998E-3</c:v>
                </c:pt>
                <c:pt idx="353">
                  <c:v>1.9989999999999999E-3</c:v>
                </c:pt>
                <c:pt idx="354">
                  <c:v>1.7520000000000001E-3</c:v>
                </c:pt>
                <c:pt idx="355">
                  <c:v>1.81E-3</c:v>
                </c:pt>
                <c:pt idx="356">
                  <c:v>1.9109999999999999E-3</c:v>
                </c:pt>
                <c:pt idx="357">
                  <c:v>1.779E-3</c:v>
                </c:pt>
                <c:pt idx="358">
                  <c:v>1.9220000000000001E-3</c:v>
                </c:pt>
                <c:pt idx="359">
                  <c:v>1.6900000000000001E-3</c:v>
                </c:pt>
                <c:pt idx="360">
                  <c:v>1.5759999999999999E-3</c:v>
                </c:pt>
                <c:pt idx="361">
                  <c:v>1.562E-3</c:v>
                </c:pt>
                <c:pt idx="362">
                  <c:v>1.5939999999999999E-3</c:v>
                </c:pt>
                <c:pt idx="363">
                  <c:v>1.5870000000000001E-3</c:v>
                </c:pt>
                <c:pt idx="364">
                  <c:v>1.5870000000000001E-3</c:v>
                </c:pt>
                <c:pt idx="365">
                  <c:v>1.474E-3</c:v>
                </c:pt>
                <c:pt idx="366">
                  <c:v>1.565E-3</c:v>
                </c:pt>
                <c:pt idx="367">
                  <c:v>1.572E-3</c:v>
                </c:pt>
                <c:pt idx="368">
                  <c:v>1.614E-3</c:v>
                </c:pt>
                <c:pt idx="369">
                  <c:v>1.56E-3</c:v>
                </c:pt>
                <c:pt idx="370">
                  <c:v>1.572E-3</c:v>
                </c:pt>
                <c:pt idx="371">
                  <c:v>1.5139999999999999E-3</c:v>
                </c:pt>
                <c:pt idx="372">
                  <c:v>1.6689999999999999E-3</c:v>
                </c:pt>
                <c:pt idx="373">
                  <c:v>1.6949999999999999E-3</c:v>
                </c:pt>
                <c:pt idx="374">
                  <c:v>1.655E-3</c:v>
                </c:pt>
                <c:pt idx="375">
                  <c:v>1.6260000000000001E-3</c:v>
                </c:pt>
                <c:pt idx="376">
                  <c:v>1.632E-3</c:v>
                </c:pt>
                <c:pt idx="377">
                  <c:v>1.565E-3</c:v>
                </c:pt>
                <c:pt idx="378">
                  <c:v>1.6100000000000001E-3</c:v>
                </c:pt>
                <c:pt idx="379">
                  <c:v>1.5510000000000001E-3</c:v>
                </c:pt>
                <c:pt idx="380">
                  <c:v>1.4779999999999999E-3</c:v>
                </c:pt>
                <c:pt idx="381">
                  <c:v>1.456E-3</c:v>
                </c:pt>
                <c:pt idx="382">
                  <c:v>1.6329999999999999E-3</c:v>
                </c:pt>
                <c:pt idx="383">
                  <c:v>1.702E-3</c:v>
                </c:pt>
                <c:pt idx="384">
                  <c:v>1.523E-3</c:v>
                </c:pt>
                <c:pt idx="385">
                  <c:v>1.5319999999999999E-3</c:v>
                </c:pt>
                <c:pt idx="386">
                  <c:v>1.523E-3</c:v>
                </c:pt>
                <c:pt idx="387">
                  <c:v>1.5039999999999999E-3</c:v>
                </c:pt>
                <c:pt idx="388">
                  <c:v>1.451E-3</c:v>
                </c:pt>
                <c:pt idx="389">
                  <c:v>1.4710000000000001E-3</c:v>
                </c:pt>
                <c:pt idx="390">
                  <c:v>1.5200000000000001E-3</c:v>
                </c:pt>
                <c:pt idx="391">
                  <c:v>1.578E-3</c:v>
                </c:pt>
                <c:pt idx="392">
                  <c:v>1.4350000000000001E-3</c:v>
                </c:pt>
                <c:pt idx="393">
                  <c:v>1.4400000000000001E-3</c:v>
                </c:pt>
                <c:pt idx="394">
                  <c:v>1.462E-3</c:v>
                </c:pt>
                <c:pt idx="395">
                  <c:v>1.4940000000000001E-3</c:v>
                </c:pt>
                <c:pt idx="396">
                  <c:v>1.5120000000000001E-3</c:v>
                </c:pt>
                <c:pt idx="397">
                  <c:v>1.5150000000000001E-3</c:v>
                </c:pt>
                <c:pt idx="398">
                  <c:v>1.5629999999999999E-3</c:v>
                </c:pt>
                <c:pt idx="399">
                  <c:v>1.6280000000000001E-3</c:v>
                </c:pt>
                <c:pt idx="400">
                  <c:v>1.526E-3</c:v>
                </c:pt>
                <c:pt idx="401">
                  <c:v>2.2390000000000001E-3</c:v>
                </c:pt>
                <c:pt idx="402">
                  <c:v>2.2300000000000002E-3</c:v>
                </c:pt>
                <c:pt idx="403">
                  <c:v>2.2000000000000001E-3</c:v>
                </c:pt>
                <c:pt idx="404">
                  <c:v>2.1810000000000002E-3</c:v>
                </c:pt>
                <c:pt idx="405">
                  <c:v>2.15E-3</c:v>
                </c:pt>
                <c:pt idx="406">
                  <c:v>2.1429999999999999E-3</c:v>
                </c:pt>
                <c:pt idx="407">
                  <c:v>1.9430000000000001E-3</c:v>
                </c:pt>
                <c:pt idx="408">
                  <c:v>1.784E-3</c:v>
                </c:pt>
                <c:pt idx="409">
                  <c:v>1.7570000000000001E-3</c:v>
                </c:pt>
                <c:pt idx="410">
                  <c:v>1.634E-3</c:v>
                </c:pt>
                <c:pt idx="411">
                  <c:v>1.624E-3</c:v>
                </c:pt>
                <c:pt idx="412">
                  <c:v>1.5679999999999999E-3</c:v>
                </c:pt>
                <c:pt idx="413">
                  <c:v>1.5969999999999999E-3</c:v>
                </c:pt>
                <c:pt idx="414">
                  <c:v>1.6100000000000001E-3</c:v>
                </c:pt>
                <c:pt idx="415">
                  <c:v>1.632E-3</c:v>
                </c:pt>
                <c:pt idx="416">
                  <c:v>1.8489999999999999E-3</c:v>
                </c:pt>
                <c:pt idx="417">
                  <c:v>1.6299999999999999E-3</c:v>
                </c:pt>
                <c:pt idx="418">
                  <c:v>1.6609999999999999E-3</c:v>
                </c:pt>
                <c:pt idx="419">
                  <c:v>1.593E-3</c:v>
                </c:pt>
                <c:pt idx="420">
                  <c:v>1.658E-3</c:v>
                </c:pt>
                <c:pt idx="421">
                  <c:v>1.719E-3</c:v>
                </c:pt>
                <c:pt idx="422">
                  <c:v>1.5820000000000001E-3</c:v>
                </c:pt>
                <c:pt idx="423">
                  <c:v>1.5709999999999999E-3</c:v>
                </c:pt>
                <c:pt idx="424">
                  <c:v>1.485E-3</c:v>
                </c:pt>
                <c:pt idx="425">
                  <c:v>1.493E-3</c:v>
                </c:pt>
                <c:pt idx="426">
                  <c:v>1.462E-3</c:v>
                </c:pt>
                <c:pt idx="427">
                  <c:v>1.469E-3</c:v>
                </c:pt>
                <c:pt idx="428">
                  <c:v>1.64E-3</c:v>
                </c:pt>
                <c:pt idx="429">
                  <c:v>1.5659999999999999E-3</c:v>
                </c:pt>
                <c:pt idx="430">
                  <c:v>1.5269999999999999E-3</c:v>
                </c:pt>
                <c:pt idx="431">
                  <c:v>1.4679999999999999E-3</c:v>
                </c:pt>
                <c:pt idx="432">
                  <c:v>1.4729999999999999E-3</c:v>
                </c:pt>
                <c:pt idx="433">
                  <c:v>1.4189999999999999E-3</c:v>
                </c:pt>
                <c:pt idx="434">
                  <c:v>1.3519999999999999E-3</c:v>
                </c:pt>
                <c:pt idx="435">
                  <c:v>1.3600000000000001E-3</c:v>
                </c:pt>
                <c:pt idx="436">
                  <c:v>1.408E-3</c:v>
                </c:pt>
                <c:pt idx="437">
                  <c:v>1.4599999999999999E-3</c:v>
                </c:pt>
                <c:pt idx="438">
                  <c:v>1.428E-3</c:v>
                </c:pt>
                <c:pt idx="439">
                  <c:v>1.4499999999999999E-3</c:v>
                </c:pt>
                <c:pt idx="440">
                  <c:v>1.474E-3</c:v>
                </c:pt>
                <c:pt idx="441">
                  <c:v>1.457E-3</c:v>
                </c:pt>
                <c:pt idx="442">
                  <c:v>1.49E-3</c:v>
                </c:pt>
                <c:pt idx="443">
                  <c:v>1.441E-3</c:v>
                </c:pt>
                <c:pt idx="444">
                  <c:v>1.3979999999999999E-3</c:v>
                </c:pt>
                <c:pt idx="445">
                  <c:v>1.4090000000000001E-3</c:v>
                </c:pt>
                <c:pt idx="446">
                  <c:v>1.3600000000000001E-3</c:v>
                </c:pt>
                <c:pt idx="447">
                  <c:v>1.449E-3</c:v>
                </c:pt>
                <c:pt idx="448">
                  <c:v>1.3489999999999999E-3</c:v>
                </c:pt>
                <c:pt idx="449">
                  <c:v>1.3029999999999999E-3</c:v>
                </c:pt>
                <c:pt idx="450">
                  <c:v>1.2880000000000001E-3</c:v>
                </c:pt>
                <c:pt idx="451">
                  <c:v>1.343E-3</c:v>
                </c:pt>
                <c:pt idx="452">
                  <c:v>1.377E-3</c:v>
                </c:pt>
                <c:pt idx="453">
                  <c:v>1.3649999999999999E-3</c:v>
                </c:pt>
                <c:pt idx="454">
                  <c:v>1.3489999999999999E-3</c:v>
                </c:pt>
                <c:pt idx="455">
                  <c:v>1.397E-3</c:v>
                </c:pt>
                <c:pt idx="456">
                  <c:v>1.4109999999999999E-3</c:v>
                </c:pt>
                <c:pt idx="457">
                  <c:v>1.4790000000000001E-3</c:v>
                </c:pt>
                <c:pt idx="458">
                  <c:v>1.487E-3</c:v>
                </c:pt>
                <c:pt idx="459">
                  <c:v>1.5250000000000001E-3</c:v>
                </c:pt>
                <c:pt idx="460">
                  <c:v>1.5529999999999999E-3</c:v>
                </c:pt>
                <c:pt idx="461">
                  <c:v>1.552E-3</c:v>
                </c:pt>
                <c:pt idx="462">
                  <c:v>1.5449999999999999E-3</c:v>
                </c:pt>
                <c:pt idx="463">
                  <c:v>1.5579999999999999E-3</c:v>
                </c:pt>
                <c:pt idx="464">
                  <c:v>1.508E-3</c:v>
                </c:pt>
                <c:pt idx="465">
                  <c:v>1.5449999999999999E-3</c:v>
                </c:pt>
                <c:pt idx="466">
                  <c:v>1.5659999999999999E-3</c:v>
                </c:pt>
                <c:pt idx="467">
                  <c:v>1.5740000000000001E-3</c:v>
                </c:pt>
                <c:pt idx="468">
                  <c:v>1.583E-3</c:v>
                </c:pt>
                <c:pt idx="469">
                  <c:v>1.516E-3</c:v>
                </c:pt>
                <c:pt idx="470">
                  <c:v>1.552E-3</c:v>
                </c:pt>
                <c:pt idx="471">
                  <c:v>1.614E-3</c:v>
                </c:pt>
                <c:pt idx="472">
                  <c:v>1.6379999999999999E-3</c:v>
                </c:pt>
                <c:pt idx="473">
                  <c:v>1.6329999999999999E-3</c:v>
                </c:pt>
                <c:pt idx="474">
                  <c:v>1.684E-3</c:v>
                </c:pt>
                <c:pt idx="475">
                  <c:v>1.673E-3</c:v>
                </c:pt>
                <c:pt idx="476">
                  <c:v>1.547E-3</c:v>
                </c:pt>
                <c:pt idx="477">
                  <c:v>1.469E-3</c:v>
                </c:pt>
                <c:pt idx="478">
                  <c:v>1.4419999999999999E-3</c:v>
                </c:pt>
                <c:pt idx="479">
                  <c:v>1.5430000000000001E-3</c:v>
                </c:pt>
                <c:pt idx="480">
                  <c:v>1.5870000000000001E-3</c:v>
                </c:pt>
                <c:pt idx="481">
                  <c:v>1.5820000000000001E-3</c:v>
                </c:pt>
                <c:pt idx="482">
                  <c:v>1.5839999999999999E-3</c:v>
                </c:pt>
                <c:pt idx="483">
                  <c:v>1.627E-3</c:v>
                </c:pt>
                <c:pt idx="484">
                  <c:v>1.6440000000000001E-3</c:v>
                </c:pt>
                <c:pt idx="485">
                  <c:v>1.642E-3</c:v>
                </c:pt>
                <c:pt idx="486">
                  <c:v>1.6479999999999999E-3</c:v>
                </c:pt>
                <c:pt idx="487">
                  <c:v>1.681E-3</c:v>
                </c:pt>
                <c:pt idx="488">
                  <c:v>1.671E-3</c:v>
                </c:pt>
                <c:pt idx="489">
                  <c:v>1.6739999999999999E-3</c:v>
                </c:pt>
                <c:pt idx="490">
                  <c:v>1.668E-3</c:v>
                </c:pt>
                <c:pt idx="491">
                  <c:v>1.578E-3</c:v>
                </c:pt>
                <c:pt idx="492">
                  <c:v>1.732E-3</c:v>
                </c:pt>
                <c:pt idx="493">
                  <c:v>1.678E-3</c:v>
                </c:pt>
                <c:pt idx="494">
                  <c:v>1.9189999999999999E-3</c:v>
                </c:pt>
                <c:pt idx="495">
                  <c:v>1.9369999999999999E-3</c:v>
                </c:pt>
                <c:pt idx="496">
                  <c:v>1.9499999999999999E-3</c:v>
                </c:pt>
                <c:pt idx="497">
                  <c:v>1.7750000000000001E-3</c:v>
                </c:pt>
                <c:pt idx="498">
                  <c:v>1.712E-3</c:v>
                </c:pt>
                <c:pt idx="499">
                  <c:v>1.7440000000000001E-3</c:v>
                </c:pt>
                <c:pt idx="500">
                  <c:v>1.8209999999999999E-3</c:v>
                </c:pt>
                <c:pt idx="501">
                  <c:v>1.6739999999999999E-3</c:v>
                </c:pt>
                <c:pt idx="502">
                  <c:v>1.771E-3</c:v>
                </c:pt>
                <c:pt idx="503">
                  <c:v>1.7210000000000001E-3</c:v>
                </c:pt>
                <c:pt idx="504">
                  <c:v>1.7819999999999999E-3</c:v>
                </c:pt>
                <c:pt idx="505">
                  <c:v>1.506E-3</c:v>
                </c:pt>
                <c:pt idx="506">
                  <c:v>1.48E-3</c:v>
                </c:pt>
                <c:pt idx="507">
                  <c:v>1.4909999999999999E-3</c:v>
                </c:pt>
                <c:pt idx="508">
                  <c:v>1.523E-3</c:v>
                </c:pt>
                <c:pt idx="509">
                  <c:v>1.4350000000000001E-3</c:v>
                </c:pt>
                <c:pt idx="510">
                  <c:v>1.5900000000000001E-3</c:v>
                </c:pt>
                <c:pt idx="511">
                  <c:v>1.505E-3</c:v>
                </c:pt>
                <c:pt idx="512">
                  <c:v>1.8699999999999999E-3</c:v>
                </c:pt>
                <c:pt idx="513">
                  <c:v>1.993E-3</c:v>
                </c:pt>
                <c:pt idx="514">
                  <c:v>1.993E-3</c:v>
                </c:pt>
                <c:pt idx="515">
                  <c:v>2.0509999999999999E-3</c:v>
                </c:pt>
                <c:pt idx="516">
                  <c:v>2.032E-3</c:v>
                </c:pt>
                <c:pt idx="517">
                  <c:v>1.9949999999999998E-3</c:v>
                </c:pt>
                <c:pt idx="518">
                  <c:v>1.952E-3</c:v>
                </c:pt>
                <c:pt idx="519">
                  <c:v>2.0690000000000001E-3</c:v>
                </c:pt>
                <c:pt idx="520">
                  <c:v>1.9910000000000001E-3</c:v>
                </c:pt>
                <c:pt idx="521">
                  <c:v>2.1090000000000002E-3</c:v>
                </c:pt>
                <c:pt idx="522">
                  <c:v>2.052E-3</c:v>
                </c:pt>
                <c:pt idx="523">
                  <c:v>2.0860000000000002E-3</c:v>
                </c:pt>
                <c:pt idx="524">
                  <c:v>2.032E-3</c:v>
                </c:pt>
                <c:pt idx="525">
                  <c:v>2.1259999999999999E-3</c:v>
                </c:pt>
                <c:pt idx="526">
                  <c:v>2.0720000000000001E-3</c:v>
                </c:pt>
                <c:pt idx="527">
                  <c:v>2.1429999999999999E-3</c:v>
                </c:pt>
                <c:pt idx="528">
                  <c:v>2.2290000000000001E-3</c:v>
                </c:pt>
                <c:pt idx="529">
                  <c:v>2.2070000000000002E-3</c:v>
                </c:pt>
                <c:pt idx="530">
                  <c:v>2.1930000000000001E-3</c:v>
                </c:pt>
                <c:pt idx="531">
                  <c:v>2.2100000000000002E-3</c:v>
                </c:pt>
                <c:pt idx="532">
                  <c:v>2.1719999999999999E-3</c:v>
                </c:pt>
                <c:pt idx="533">
                  <c:v>2.1299999999999999E-3</c:v>
                </c:pt>
                <c:pt idx="534">
                  <c:v>2.134E-3</c:v>
                </c:pt>
                <c:pt idx="535">
                  <c:v>2.2300000000000002E-3</c:v>
                </c:pt>
                <c:pt idx="536">
                  <c:v>2.1540000000000001E-3</c:v>
                </c:pt>
                <c:pt idx="537">
                  <c:v>2.1120000000000002E-3</c:v>
                </c:pt>
                <c:pt idx="538">
                  <c:v>2.0720000000000001E-3</c:v>
                </c:pt>
                <c:pt idx="539">
                  <c:v>2.065E-3</c:v>
                </c:pt>
                <c:pt idx="540">
                  <c:v>2.0860000000000002E-3</c:v>
                </c:pt>
                <c:pt idx="541">
                  <c:v>2.1259999999999999E-3</c:v>
                </c:pt>
                <c:pt idx="542">
                  <c:v>2.2079999999999999E-3</c:v>
                </c:pt>
                <c:pt idx="543">
                  <c:v>2.4250000000000001E-3</c:v>
                </c:pt>
                <c:pt idx="544">
                  <c:v>2.477E-3</c:v>
                </c:pt>
                <c:pt idx="545">
                  <c:v>2.5379999999999999E-3</c:v>
                </c:pt>
                <c:pt idx="546">
                  <c:v>2.1359999999999999E-3</c:v>
                </c:pt>
                <c:pt idx="547">
                  <c:v>2.1180000000000001E-3</c:v>
                </c:pt>
                <c:pt idx="548">
                  <c:v>1.936E-3</c:v>
                </c:pt>
                <c:pt idx="549">
                  <c:v>1.874E-3</c:v>
                </c:pt>
                <c:pt idx="550">
                  <c:v>2.0119999999999999E-3</c:v>
                </c:pt>
                <c:pt idx="551">
                  <c:v>2.0890000000000001E-3</c:v>
                </c:pt>
                <c:pt idx="552">
                  <c:v>2.1120000000000002E-3</c:v>
                </c:pt>
                <c:pt idx="553">
                  <c:v>2.1549999999999998E-3</c:v>
                </c:pt>
                <c:pt idx="554">
                  <c:v>2.1299999999999999E-3</c:v>
                </c:pt>
                <c:pt idx="555">
                  <c:v>2.1159999999999998E-3</c:v>
                </c:pt>
                <c:pt idx="556">
                  <c:v>2.1189999999999998E-3</c:v>
                </c:pt>
                <c:pt idx="557">
                  <c:v>2.1389999999999998E-3</c:v>
                </c:pt>
                <c:pt idx="558">
                  <c:v>2.1120000000000002E-3</c:v>
                </c:pt>
                <c:pt idx="559">
                  <c:v>2.1419999999999998E-3</c:v>
                </c:pt>
                <c:pt idx="560">
                  <c:v>2.1489999999999999E-3</c:v>
                </c:pt>
                <c:pt idx="561">
                  <c:v>2.1129999999999999E-3</c:v>
                </c:pt>
                <c:pt idx="562">
                  <c:v>2.0590000000000001E-3</c:v>
                </c:pt>
                <c:pt idx="563">
                  <c:v>1.97E-3</c:v>
                </c:pt>
                <c:pt idx="564">
                  <c:v>2.0200000000000001E-3</c:v>
                </c:pt>
                <c:pt idx="565">
                  <c:v>2.0630000000000002E-3</c:v>
                </c:pt>
                <c:pt idx="566">
                  <c:v>2.055E-3</c:v>
                </c:pt>
                <c:pt idx="567">
                  <c:v>1.9040000000000001E-3</c:v>
                </c:pt>
                <c:pt idx="568">
                  <c:v>1.903E-3</c:v>
                </c:pt>
                <c:pt idx="569">
                  <c:v>1.8749999999999999E-3</c:v>
                </c:pt>
                <c:pt idx="570">
                  <c:v>1.908E-3</c:v>
                </c:pt>
                <c:pt idx="571">
                  <c:v>1.8990000000000001E-3</c:v>
                </c:pt>
                <c:pt idx="572">
                  <c:v>1.9940000000000001E-3</c:v>
                </c:pt>
                <c:pt idx="573">
                  <c:v>1.841E-3</c:v>
                </c:pt>
                <c:pt idx="574">
                  <c:v>1.7719999999999999E-3</c:v>
                </c:pt>
                <c:pt idx="575">
                  <c:v>1.846E-3</c:v>
                </c:pt>
                <c:pt idx="576">
                  <c:v>1.8439999999999999E-3</c:v>
                </c:pt>
                <c:pt idx="577">
                  <c:v>1.7329999999999999E-3</c:v>
                </c:pt>
                <c:pt idx="578">
                  <c:v>1.735E-3</c:v>
                </c:pt>
                <c:pt idx="579">
                  <c:v>1.6869999999999999E-3</c:v>
                </c:pt>
                <c:pt idx="580">
                  <c:v>1.7830000000000001E-3</c:v>
                </c:pt>
                <c:pt idx="581">
                  <c:v>1.8259999999999999E-3</c:v>
                </c:pt>
                <c:pt idx="582">
                  <c:v>1.869E-3</c:v>
                </c:pt>
                <c:pt idx="583">
                  <c:v>2.0230000000000001E-3</c:v>
                </c:pt>
                <c:pt idx="584">
                  <c:v>1.9859999999999999E-3</c:v>
                </c:pt>
                <c:pt idx="585">
                  <c:v>2.006E-3</c:v>
                </c:pt>
                <c:pt idx="586">
                  <c:v>2.0010000000000002E-3</c:v>
                </c:pt>
                <c:pt idx="587">
                  <c:v>1.8649999999999999E-3</c:v>
                </c:pt>
                <c:pt idx="588">
                  <c:v>1.8320000000000001E-3</c:v>
                </c:pt>
                <c:pt idx="589">
                  <c:v>1.8220000000000001E-3</c:v>
                </c:pt>
                <c:pt idx="590">
                  <c:v>1.8140000000000001E-3</c:v>
                </c:pt>
                <c:pt idx="591">
                  <c:v>1.7240000000000001E-3</c:v>
                </c:pt>
                <c:pt idx="592">
                  <c:v>1.7819999999999999E-3</c:v>
                </c:pt>
                <c:pt idx="593">
                  <c:v>1.853E-3</c:v>
                </c:pt>
                <c:pt idx="594">
                  <c:v>1.756E-3</c:v>
                </c:pt>
                <c:pt idx="595">
                  <c:v>1.6590000000000001E-3</c:v>
                </c:pt>
                <c:pt idx="596">
                  <c:v>1.9300000000000001E-3</c:v>
                </c:pt>
                <c:pt idx="597">
                  <c:v>1.8320000000000001E-3</c:v>
                </c:pt>
                <c:pt idx="598">
                  <c:v>1.851E-3</c:v>
                </c:pt>
                <c:pt idx="599">
                  <c:v>1.895E-3</c:v>
                </c:pt>
                <c:pt idx="600">
                  <c:v>1.926E-3</c:v>
                </c:pt>
                <c:pt idx="601">
                  <c:v>1.768E-3</c:v>
                </c:pt>
                <c:pt idx="602">
                  <c:v>1.7979999999999999E-3</c:v>
                </c:pt>
                <c:pt idx="603">
                  <c:v>1.7489999999999999E-3</c:v>
                </c:pt>
                <c:pt idx="604">
                  <c:v>1.6609999999999999E-3</c:v>
                </c:pt>
                <c:pt idx="605">
                  <c:v>1.7390000000000001E-3</c:v>
                </c:pt>
                <c:pt idx="606">
                  <c:v>1.668E-3</c:v>
                </c:pt>
                <c:pt idx="607">
                  <c:v>1.7849999999999999E-3</c:v>
                </c:pt>
                <c:pt idx="608">
                  <c:v>1.7880000000000001E-3</c:v>
                </c:pt>
                <c:pt idx="609">
                  <c:v>1.805E-3</c:v>
                </c:pt>
                <c:pt idx="610">
                  <c:v>2.042E-3</c:v>
                </c:pt>
                <c:pt idx="611">
                  <c:v>2.5019999999999999E-3</c:v>
                </c:pt>
                <c:pt idx="612">
                  <c:v>1.9499999999999999E-3</c:v>
                </c:pt>
                <c:pt idx="613">
                  <c:v>1.4779999999999999E-3</c:v>
                </c:pt>
                <c:pt idx="614">
                  <c:v>1.521E-3</c:v>
                </c:pt>
                <c:pt idx="615">
                  <c:v>1.6000000000000001E-3</c:v>
                </c:pt>
                <c:pt idx="616">
                  <c:v>1.449E-3</c:v>
                </c:pt>
                <c:pt idx="617">
                  <c:v>1.364E-3</c:v>
                </c:pt>
                <c:pt idx="618">
                  <c:v>1.4090000000000001E-3</c:v>
                </c:pt>
                <c:pt idx="619">
                  <c:v>1.379E-3</c:v>
                </c:pt>
                <c:pt idx="620">
                  <c:v>1.3810000000000001E-3</c:v>
                </c:pt>
                <c:pt idx="621">
                  <c:v>1.4270000000000001E-3</c:v>
                </c:pt>
                <c:pt idx="622">
                  <c:v>1.224E-3</c:v>
                </c:pt>
                <c:pt idx="623">
                  <c:v>1.2030000000000001E-3</c:v>
                </c:pt>
                <c:pt idx="624">
                  <c:v>1.2130000000000001E-3</c:v>
                </c:pt>
                <c:pt idx="625">
                  <c:v>1.201E-3</c:v>
                </c:pt>
                <c:pt idx="626">
                  <c:v>1.165E-3</c:v>
                </c:pt>
                <c:pt idx="627">
                  <c:v>1.16E-3</c:v>
                </c:pt>
                <c:pt idx="628">
                  <c:v>1.317E-3</c:v>
                </c:pt>
                <c:pt idx="629">
                  <c:v>1.33E-3</c:v>
                </c:pt>
                <c:pt idx="630">
                  <c:v>1.3450000000000001E-3</c:v>
                </c:pt>
                <c:pt idx="631">
                  <c:v>1.323E-3</c:v>
                </c:pt>
                <c:pt idx="632">
                  <c:v>1.359E-3</c:v>
                </c:pt>
                <c:pt idx="633">
                  <c:v>1.3110000000000001E-3</c:v>
                </c:pt>
                <c:pt idx="634">
                  <c:v>1.351E-3</c:v>
                </c:pt>
                <c:pt idx="635">
                  <c:v>1.3389999999999999E-3</c:v>
                </c:pt>
                <c:pt idx="636">
                  <c:v>1.322E-3</c:v>
                </c:pt>
                <c:pt idx="637">
                  <c:v>1.276E-3</c:v>
                </c:pt>
                <c:pt idx="638">
                  <c:v>1.3259999999999999E-3</c:v>
                </c:pt>
                <c:pt idx="639">
                  <c:v>1.2880000000000001E-3</c:v>
                </c:pt>
                <c:pt idx="640">
                  <c:v>1.325E-3</c:v>
                </c:pt>
                <c:pt idx="641">
                  <c:v>1.374E-3</c:v>
                </c:pt>
                <c:pt idx="642">
                  <c:v>1.2650000000000001E-3</c:v>
                </c:pt>
                <c:pt idx="643">
                  <c:v>1.2470000000000001E-3</c:v>
                </c:pt>
                <c:pt idx="644">
                  <c:v>1.2160000000000001E-3</c:v>
                </c:pt>
                <c:pt idx="645">
                  <c:v>1.193E-3</c:v>
                </c:pt>
                <c:pt idx="646">
                  <c:v>1.1590000000000001E-3</c:v>
                </c:pt>
                <c:pt idx="647">
                  <c:v>1.15E-3</c:v>
                </c:pt>
                <c:pt idx="648">
                  <c:v>1.2149999999999999E-3</c:v>
                </c:pt>
                <c:pt idx="649">
                  <c:v>1.2440000000000001E-3</c:v>
                </c:pt>
                <c:pt idx="650">
                  <c:v>1.212E-3</c:v>
                </c:pt>
                <c:pt idx="651">
                  <c:v>1.2110000000000001E-3</c:v>
                </c:pt>
                <c:pt idx="652">
                  <c:v>1.1620000000000001E-3</c:v>
                </c:pt>
                <c:pt idx="653">
                  <c:v>1.235E-3</c:v>
                </c:pt>
                <c:pt idx="654">
                  <c:v>1.2290000000000001E-3</c:v>
                </c:pt>
                <c:pt idx="655">
                  <c:v>1.279E-3</c:v>
                </c:pt>
                <c:pt idx="656">
                  <c:v>1.281E-3</c:v>
                </c:pt>
                <c:pt idx="657">
                  <c:v>1.2899999999999999E-3</c:v>
                </c:pt>
                <c:pt idx="658">
                  <c:v>1.389E-3</c:v>
                </c:pt>
                <c:pt idx="659">
                  <c:v>1.3990000000000001E-3</c:v>
                </c:pt>
                <c:pt idx="660">
                  <c:v>1.3829999999999999E-3</c:v>
                </c:pt>
                <c:pt idx="661">
                  <c:v>1.428E-3</c:v>
                </c:pt>
                <c:pt idx="662">
                  <c:v>1.369E-3</c:v>
                </c:pt>
                <c:pt idx="663">
                  <c:v>1.392E-3</c:v>
                </c:pt>
                <c:pt idx="664">
                  <c:v>1.353E-3</c:v>
                </c:pt>
                <c:pt idx="665">
                  <c:v>1.358E-3</c:v>
                </c:pt>
                <c:pt idx="666">
                  <c:v>1.364E-3</c:v>
                </c:pt>
                <c:pt idx="667">
                  <c:v>1.392E-3</c:v>
                </c:pt>
                <c:pt idx="668">
                  <c:v>1.4159999999999999E-3</c:v>
                </c:pt>
                <c:pt idx="669">
                  <c:v>1.372E-3</c:v>
                </c:pt>
                <c:pt idx="670">
                  <c:v>1.4649999999999999E-3</c:v>
                </c:pt>
                <c:pt idx="671">
                  <c:v>1.4419999999999999E-3</c:v>
                </c:pt>
                <c:pt idx="672">
                  <c:v>1.245E-3</c:v>
                </c:pt>
                <c:pt idx="673">
                  <c:v>1.2390000000000001E-3</c:v>
                </c:pt>
                <c:pt idx="674">
                  <c:v>1.2750000000000001E-3</c:v>
                </c:pt>
                <c:pt idx="675">
                  <c:v>1.3010000000000001E-3</c:v>
                </c:pt>
                <c:pt idx="676">
                  <c:v>1.2130000000000001E-3</c:v>
                </c:pt>
                <c:pt idx="677">
                  <c:v>1.222E-3</c:v>
                </c:pt>
                <c:pt idx="678">
                  <c:v>1.2130000000000001E-3</c:v>
                </c:pt>
                <c:pt idx="679">
                  <c:v>1.248E-3</c:v>
                </c:pt>
                <c:pt idx="680">
                  <c:v>1.126E-3</c:v>
                </c:pt>
                <c:pt idx="681">
                  <c:v>1.1230000000000001E-3</c:v>
                </c:pt>
                <c:pt idx="682">
                  <c:v>1.073E-3</c:v>
                </c:pt>
                <c:pt idx="683">
                  <c:v>1.2470000000000001E-3</c:v>
                </c:pt>
                <c:pt idx="684">
                  <c:v>1.116E-3</c:v>
                </c:pt>
                <c:pt idx="685">
                  <c:v>1.065E-3</c:v>
                </c:pt>
                <c:pt idx="686">
                  <c:v>9.7400000000000004E-4</c:v>
                </c:pt>
                <c:pt idx="687">
                  <c:v>1.768E-3</c:v>
                </c:pt>
                <c:pt idx="688">
                  <c:v>1.9189999999999999E-3</c:v>
                </c:pt>
                <c:pt idx="689">
                  <c:v>1.8619999999999999E-3</c:v>
                </c:pt>
                <c:pt idx="690">
                  <c:v>1.828E-3</c:v>
                </c:pt>
                <c:pt idx="691">
                  <c:v>2.372E-3</c:v>
                </c:pt>
                <c:pt idx="692">
                  <c:v>2.287E-3</c:v>
                </c:pt>
                <c:pt idx="693">
                  <c:v>2.2190000000000001E-3</c:v>
                </c:pt>
                <c:pt idx="694">
                  <c:v>2.078E-3</c:v>
                </c:pt>
                <c:pt idx="695">
                  <c:v>2.1180000000000001E-3</c:v>
                </c:pt>
                <c:pt idx="696">
                  <c:v>2.124E-3</c:v>
                </c:pt>
                <c:pt idx="697">
                  <c:v>2.026E-3</c:v>
                </c:pt>
                <c:pt idx="698">
                  <c:v>2.1210000000000001E-3</c:v>
                </c:pt>
                <c:pt idx="699">
                  <c:v>2.2390000000000001E-3</c:v>
                </c:pt>
                <c:pt idx="700">
                  <c:v>2.0569999999999998E-3</c:v>
                </c:pt>
                <c:pt idx="701">
                  <c:v>1.8339999999999999E-3</c:v>
                </c:pt>
                <c:pt idx="702">
                  <c:v>2.1580000000000002E-3</c:v>
                </c:pt>
                <c:pt idx="703">
                  <c:v>2.3999999999999998E-3</c:v>
                </c:pt>
                <c:pt idx="704">
                  <c:v>2.5790000000000001E-3</c:v>
                </c:pt>
                <c:pt idx="705">
                  <c:v>2.611E-3</c:v>
                </c:pt>
                <c:pt idx="706">
                  <c:v>3.222E-3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9-4CD3-A418-56EE421D2EA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176.46475475163513</c:v>
                </c:pt>
                <c:pt idx="1">
                  <c:v>176.57173679163515</c:v>
                </c:pt>
                <c:pt idx="2">
                  <c:v>177.8830323974143</c:v>
                </c:pt>
                <c:pt idx="3">
                  <c:v>177.54192149459803</c:v>
                </c:pt>
                <c:pt idx="4">
                  <c:v>176.88886414023051</c:v>
                </c:pt>
                <c:pt idx="5">
                  <c:v>176.48991011744792</c:v>
                </c:pt>
                <c:pt idx="6">
                  <c:v>176.77416282298688</c:v>
                </c:pt>
                <c:pt idx="7">
                  <c:v>177.91062677773436</c:v>
                </c:pt>
                <c:pt idx="8">
                  <c:v>178.47179015976138</c:v>
                </c:pt>
                <c:pt idx="9">
                  <c:v>178.65950195699642</c:v>
                </c:pt>
                <c:pt idx="10">
                  <c:v>178.89215811320497</c:v>
                </c:pt>
                <c:pt idx="11">
                  <c:v>179.29378476427257</c:v>
                </c:pt>
                <c:pt idx="12">
                  <c:v>179.09077463573925</c:v>
                </c:pt>
                <c:pt idx="13">
                  <c:v>179.07470359494855</c:v>
                </c:pt>
                <c:pt idx="14">
                  <c:v>178.7657682085277</c:v>
                </c:pt>
                <c:pt idx="15">
                  <c:v>180.33750959499559</c:v>
                </c:pt>
                <c:pt idx="16">
                  <c:v>179.99281521827083</c:v>
                </c:pt>
                <c:pt idx="17">
                  <c:v>179.69827818111142</c:v>
                </c:pt>
                <c:pt idx="18">
                  <c:v>179.73683748707219</c:v>
                </c:pt>
                <c:pt idx="19">
                  <c:v>179.531173605059</c:v>
                </c:pt>
                <c:pt idx="20">
                  <c:v>179.63142772100102</c:v>
                </c:pt>
                <c:pt idx="21">
                  <c:v>180.02585413004044</c:v>
                </c:pt>
                <c:pt idx="22">
                  <c:v>179.9179637605873</c:v>
                </c:pt>
                <c:pt idx="23">
                  <c:v>180.52625549336923</c:v>
                </c:pt>
                <c:pt idx="24">
                  <c:v>181.23207678161273</c:v>
                </c:pt>
                <c:pt idx="25">
                  <c:v>182.31119870381482</c:v>
                </c:pt>
                <c:pt idx="26">
                  <c:v>185.25499968649919</c:v>
                </c:pt>
                <c:pt idx="27">
                  <c:v>185.05899644735024</c:v>
                </c:pt>
                <c:pt idx="28">
                  <c:v>185.37101524652698</c:v>
                </c:pt>
                <c:pt idx="29">
                  <c:v>185.83161726605823</c:v>
                </c:pt>
                <c:pt idx="30">
                  <c:v>186.36035018854528</c:v>
                </c:pt>
                <c:pt idx="31">
                  <c:v>187.22160918854527</c:v>
                </c:pt>
                <c:pt idx="32">
                  <c:v>188.39624583060535</c:v>
                </c:pt>
                <c:pt idx="33">
                  <c:v>187.7696403899036</c:v>
                </c:pt>
                <c:pt idx="34">
                  <c:v>187.50625436277565</c:v>
                </c:pt>
                <c:pt idx="35">
                  <c:v>188.25159413672199</c:v>
                </c:pt>
                <c:pt idx="36">
                  <c:v>187.48309947251303</c:v>
                </c:pt>
                <c:pt idx="37">
                  <c:v>187.51968864238751</c:v>
                </c:pt>
                <c:pt idx="38">
                  <c:v>186.94063132786195</c:v>
                </c:pt>
                <c:pt idx="39">
                  <c:v>187.05381402673439</c:v>
                </c:pt>
                <c:pt idx="40">
                  <c:v>188.04039855626633</c:v>
                </c:pt>
                <c:pt idx="41">
                  <c:v>187.4934580465889</c:v>
                </c:pt>
                <c:pt idx="42">
                  <c:v>187.50482324211481</c:v>
                </c:pt>
                <c:pt idx="43">
                  <c:v>188.29871441623379</c:v>
                </c:pt>
                <c:pt idx="44">
                  <c:v>186.67276485114462</c:v>
                </c:pt>
                <c:pt idx="45">
                  <c:v>185.16138003787933</c:v>
                </c:pt>
                <c:pt idx="46">
                  <c:v>186.25057331060378</c:v>
                </c:pt>
                <c:pt idx="47">
                  <c:v>185.55818219727047</c:v>
                </c:pt>
                <c:pt idx="48">
                  <c:v>185.52017865148099</c:v>
                </c:pt>
                <c:pt idx="49">
                  <c:v>186.51818621685709</c:v>
                </c:pt>
                <c:pt idx="50">
                  <c:v>187.54692982466958</c:v>
                </c:pt>
                <c:pt idx="51">
                  <c:v>186.49136416237789</c:v>
                </c:pt>
                <c:pt idx="52">
                  <c:v>186.8944971799842</c:v>
                </c:pt>
                <c:pt idx="53">
                  <c:v>183.75704927486385</c:v>
                </c:pt>
                <c:pt idx="54">
                  <c:v>185.08461073855278</c:v>
                </c:pt>
                <c:pt idx="55">
                  <c:v>185.10246862427445</c:v>
                </c:pt>
                <c:pt idx="56">
                  <c:v>190.45752393080767</c:v>
                </c:pt>
                <c:pt idx="57">
                  <c:v>189.67011627367586</c:v>
                </c:pt>
                <c:pt idx="58">
                  <c:v>190.52574571757174</c:v>
                </c:pt>
                <c:pt idx="59">
                  <c:v>191.35290432058389</c:v>
                </c:pt>
                <c:pt idx="60">
                  <c:v>190.85067936400026</c:v>
                </c:pt>
                <c:pt idx="61">
                  <c:v>189.63460960277382</c:v>
                </c:pt>
                <c:pt idx="62">
                  <c:v>189.30566428633961</c:v>
                </c:pt>
                <c:pt idx="63">
                  <c:v>192.46000882015758</c:v>
                </c:pt>
                <c:pt idx="64">
                  <c:v>189.21392449079701</c:v>
                </c:pt>
                <c:pt idx="65">
                  <c:v>187.79133967505342</c:v>
                </c:pt>
                <c:pt idx="66">
                  <c:v>184.82685477932009</c:v>
                </c:pt>
                <c:pt idx="67">
                  <c:v>183.14867483146941</c:v>
                </c:pt>
                <c:pt idx="68">
                  <c:v>192.58900709215033</c:v>
                </c:pt>
                <c:pt idx="69">
                  <c:v>188.23684683377033</c:v>
                </c:pt>
                <c:pt idx="70">
                  <c:v>183.10806865413136</c:v>
                </c:pt>
                <c:pt idx="71">
                  <c:v>203.52124154597664</c:v>
                </c:pt>
                <c:pt idx="72">
                  <c:v>186.48556145339779</c:v>
                </c:pt>
                <c:pt idx="73">
                  <c:v>186.70062208956423</c:v>
                </c:pt>
                <c:pt idx="74">
                  <c:v>185.90353305828464</c:v>
                </c:pt>
                <c:pt idx="75">
                  <c:v>185.70156398090995</c:v>
                </c:pt>
                <c:pt idx="76">
                  <c:v>186.02875165771641</c:v>
                </c:pt>
                <c:pt idx="77">
                  <c:v>185.83630704734256</c:v>
                </c:pt>
                <c:pt idx="78">
                  <c:v>184.74517241220741</c:v>
                </c:pt>
                <c:pt idx="79">
                  <c:v>186.4746545162038</c:v>
                </c:pt>
                <c:pt idx="80">
                  <c:v>186.97457955650685</c:v>
                </c:pt>
                <c:pt idx="81">
                  <c:v>187.11930018046516</c:v>
                </c:pt>
                <c:pt idx="82">
                  <c:v>186.71703239913185</c:v>
                </c:pt>
                <c:pt idx="83">
                  <c:v>186.29557817875516</c:v>
                </c:pt>
                <c:pt idx="84">
                  <c:v>186.2697712647259</c:v>
                </c:pt>
                <c:pt idx="85">
                  <c:v>186.4937460445918</c:v>
                </c:pt>
                <c:pt idx="86">
                  <c:v>186.43583022430911</c:v>
                </c:pt>
                <c:pt idx="87">
                  <c:v>185.01659101519425</c:v>
                </c:pt>
                <c:pt idx="88">
                  <c:v>184.92232359332425</c:v>
                </c:pt>
                <c:pt idx="89">
                  <c:v>183.61770741087599</c:v>
                </c:pt>
                <c:pt idx="90">
                  <c:v>182.40038680941967</c:v>
                </c:pt>
                <c:pt idx="91">
                  <c:v>181.45836250739191</c:v>
                </c:pt>
                <c:pt idx="92">
                  <c:v>180.54527702653479</c:v>
                </c:pt>
                <c:pt idx="93">
                  <c:v>181.85609471190284</c:v>
                </c:pt>
                <c:pt idx="94">
                  <c:v>182.53023346544234</c:v>
                </c:pt>
                <c:pt idx="95">
                  <c:v>182.17739435846562</c:v>
                </c:pt>
                <c:pt idx="96">
                  <c:v>182.52266753163633</c:v>
                </c:pt>
                <c:pt idx="97">
                  <c:v>182.12693274177258</c:v>
                </c:pt>
                <c:pt idx="98">
                  <c:v>181.28866544852136</c:v>
                </c:pt>
                <c:pt idx="99">
                  <c:v>182.4389712851376</c:v>
                </c:pt>
                <c:pt idx="100">
                  <c:v>181.75928561063296</c:v>
                </c:pt>
                <c:pt idx="101">
                  <c:v>180.56066515176229</c:v>
                </c:pt>
                <c:pt idx="102">
                  <c:v>180.64644835095658</c:v>
                </c:pt>
                <c:pt idx="103">
                  <c:v>181.20176918281777</c:v>
                </c:pt>
                <c:pt idx="104">
                  <c:v>181.25868946564606</c:v>
                </c:pt>
                <c:pt idx="105">
                  <c:v>183.21997706274794</c:v>
                </c:pt>
                <c:pt idx="106">
                  <c:v>182.74292024380674</c:v>
                </c:pt>
                <c:pt idx="107">
                  <c:v>181.64118489127583</c:v>
                </c:pt>
                <c:pt idx="108">
                  <c:v>180.94066142270441</c:v>
                </c:pt>
                <c:pt idx="109">
                  <c:v>181.26155933250274</c:v>
                </c:pt>
                <c:pt idx="110">
                  <c:v>186.68119530423783</c:v>
                </c:pt>
                <c:pt idx="111">
                  <c:v>202.59310796745427</c:v>
                </c:pt>
                <c:pt idx="112">
                  <c:v>202.66180642502042</c:v>
                </c:pt>
                <c:pt idx="113">
                  <c:v>202.61242706680471</c:v>
                </c:pt>
                <c:pt idx="114">
                  <c:v>204.81982924484848</c:v>
                </c:pt>
                <c:pt idx="115">
                  <c:v>203.8935908209875</c:v>
                </c:pt>
                <c:pt idx="116">
                  <c:v>204.58662277160798</c:v>
                </c:pt>
                <c:pt idx="117">
                  <c:v>203.83731857354459</c:v>
                </c:pt>
                <c:pt idx="118">
                  <c:v>203.16197681992065</c:v>
                </c:pt>
                <c:pt idx="119">
                  <c:v>201.01639160337521</c:v>
                </c:pt>
                <c:pt idx="120">
                  <c:v>200.57924895653528</c:v>
                </c:pt>
                <c:pt idx="121">
                  <c:v>200.88231645856382</c:v>
                </c:pt>
                <c:pt idx="122">
                  <c:v>202.15517661344751</c:v>
                </c:pt>
                <c:pt idx="123">
                  <c:v>203.30518016582459</c:v>
                </c:pt>
                <c:pt idx="124">
                  <c:v>203.91315008350787</c:v>
                </c:pt>
                <c:pt idx="125">
                  <c:v>204.10542976995006</c:v>
                </c:pt>
                <c:pt idx="126">
                  <c:v>204.20225709010217</c:v>
                </c:pt>
                <c:pt idx="127">
                  <c:v>202.89489528330606</c:v>
                </c:pt>
                <c:pt idx="128">
                  <c:v>200.27636748988544</c:v>
                </c:pt>
                <c:pt idx="129">
                  <c:v>203.40393420838831</c:v>
                </c:pt>
                <c:pt idx="130">
                  <c:v>204.45054085168323</c:v>
                </c:pt>
                <c:pt idx="131">
                  <c:v>205.53871401992359</c:v>
                </c:pt>
                <c:pt idx="132">
                  <c:v>205.39752522446901</c:v>
                </c:pt>
                <c:pt idx="133">
                  <c:v>205.89648190875994</c:v>
                </c:pt>
                <c:pt idx="134">
                  <c:v>205.4208241315186</c:v>
                </c:pt>
                <c:pt idx="135">
                  <c:v>204.39495928512855</c:v>
                </c:pt>
                <c:pt idx="136">
                  <c:v>203.83020346722677</c:v>
                </c:pt>
                <c:pt idx="137">
                  <c:v>203.98404036431077</c:v>
                </c:pt>
                <c:pt idx="138">
                  <c:v>203.27779260089332</c:v>
                </c:pt>
                <c:pt idx="139">
                  <c:v>203.16673383919363</c:v>
                </c:pt>
                <c:pt idx="140">
                  <c:v>204.26614236284269</c:v>
                </c:pt>
                <c:pt idx="141">
                  <c:v>204.19183226286427</c:v>
                </c:pt>
                <c:pt idx="142">
                  <c:v>203.28621446744012</c:v>
                </c:pt>
                <c:pt idx="143">
                  <c:v>204.30869991176431</c:v>
                </c:pt>
                <c:pt idx="144">
                  <c:v>205.0222996190945</c:v>
                </c:pt>
                <c:pt idx="145">
                  <c:v>210.60864408574253</c:v>
                </c:pt>
                <c:pt idx="146">
                  <c:v>208.47563130202917</c:v>
                </c:pt>
                <c:pt idx="147">
                  <c:v>207.75318849604955</c:v>
                </c:pt>
                <c:pt idx="148">
                  <c:v>208.85661165613789</c:v>
                </c:pt>
                <c:pt idx="149">
                  <c:v>206.72763910883228</c:v>
                </c:pt>
                <c:pt idx="150">
                  <c:v>206.14437492383229</c:v>
                </c:pt>
                <c:pt idx="151">
                  <c:v>206.81181762018559</c:v>
                </c:pt>
                <c:pt idx="152">
                  <c:v>206.6279314814262</c:v>
                </c:pt>
                <c:pt idx="153">
                  <c:v>206.9522328235503</c:v>
                </c:pt>
                <c:pt idx="154">
                  <c:v>206.04057862541129</c:v>
                </c:pt>
                <c:pt idx="155">
                  <c:v>207.34284590720907</c:v>
                </c:pt>
                <c:pt idx="156">
                  <c:v>205.34700521688225</c:v>
                </c:pt>
                <c:pt idx="157">
                  <c:v>206.95670867504114</c:v>
                </c:pt>
                <c:pt idx="158">
                  <c:v>206.29334055268822</c:v>
                </c:pt>
                <c:pt idx="159">
                  <c:v>206.25802543141546</c:v>
                </c:pt>
                <c:pt idx="160">
                  <c:v>206.95160703316066</c:v>
                </c:pt>
                <c:pt idx="161">
                  <c:v>205.35857710644922</c:v>
                </c:pt>
                <c:pt idx="162">
                  <c:v>204.089772104551</c:v>
                </c:pt>
                <c:pt idx="163">
                  <c:v>205.69239372077377</c:v>
                </c:pt>
                <c:pt idx="164">
                  <c:v>207.34530002685</c:v>
                </c:pt>
                <c:pt idx="165">
                  <c:v>208.61734879484996</c:v>
                </c:pt>
                <c:pt idx="166">
                  <c:v>206.11054160600455</c:v>
                </c:pt>
                <c:pt idx="167">
                  <c:v>205.21198575092683</c:v>
                </c:pt>
                <c:pt idx="168">
                  <c:v>205.20918931713842</c:v>
                </c:pt>
                <c:pt idx="169">
                  <c:v>206.1598693025347</c:v>
                </c:pt>
                <c:pt idx="170">
                  <c:v>205.83942417343184</c:v>
                </c:pt>
                <c:pt idx="171">
                  <c:v>204.81417134280912</c:v>
                </c:pt>
                <c:pt idx="172">
                  <c:v>203.11496441782364</c:v>
                </c:pt>
                <c:pt idx="173">
                  <c:v>207.00249709009341</c:v>
                </c:pt>
                <c:pt idx="174">
                  <c:v>205.06454969341797</c:v>
                </c:pt>
                <c:pt idx="175">
                  <c:v>203.24675077521863</c:v>
                </c:pt>
                <c:pt idx="176">
                  <c:v>201.62220209440102</c:v>
                </c:pt>
                <c:pt idx="177">
                  <c:v>200.54480414167372</c:v>
                </c:pt>
                <c:pt idx="178">
                  <c:v>201.84879686393936</c:v>
                </c:pt>
                <c:pt idx="179">
                  <c:v>191.70887405606783</c:v>
                </c:pt>
                <c:pt idx="180">
                  <c:v>193.52087319694468</c:v>
                </c:pt>
                <c:pt idx="181">
                  <c:v>192.92393946150094</c:v>
                </c:pt>
                <c:pt idx="182">
                  <c:v>192.59394316892752</c:v>
                </c:pt>
                <c:pt idx="183">
                  <c:v>189.67397983132406</c:v>
                </c:pt>
                <c:pt idx="184">
                  <c:v>189.4293015721349</c:v>
                </c:pt>
                <c:pt idx="185">
                  <c:v>186.51423312417572</c:v>
                </c:pt>
                <c:pt idx="186">
                  <c:v>182.79120571451131</c:v>
                </c:pt>
                <c:pt idx="187">
                  <c:v>181.32461947923858</c:v>
                </c:pt>
                <c:pt idx="188">
                  <c:v>180.9134860960807</c:v>
                </c:pt>
                <c:pt idx="189">
                  <c:v>179.23724887048073</c:v>
                </c:pt>
                <c:pt idx="190">
                  <c:v>178.06594064804668</c:v>
                </c:pt>
                <c:pt idx="191">
                  <c:v>174.76367970785213</c:v>
                </c:pt>
                <c:pt idx="192">
                  <c:v>176.3570444939391</c:v>
                </c:pt>
                <c:pt idx="193">
                  <c:v>179.50376213611878</c:v>
                </c:pt>
                <c:pt idx="194">
                  <c:v>180.13146192821003</c:v>
                </c:pt>
                <c:pt idx="195">
                  <c:v>179.9002157350688</c:v>
                </c:pt>
                <c:pt idx="196">
                  <c:v>182.01535879016686</c:v>
                </c:pt>
                <c:pt idx="197">
                  <c:v>183.67346039661845</c:v>
                </c:pt>
                <c:pt idx="198">
                  <c:v>183.86979706334785</c:v>
                </c:pt>
                <c:pt idx="199">
                  <c:v>184.72597633187246</c:v>
                </c:pt>
                <c:pt idx="200">
                  <c:v>182.97052759105051</c:v>
                </c:pt>
                <c:pt idx="201">
                  <c:v>175.97639485634465</c:v>
                </c:pt>
                <c:pt idx="202">
                  <c:v>177.44142889402579</c:v>
                </c:pt>
                <c:pt idx="203">
                  <c:v>175.00070595180486</c:v>
                </c:pt>
                <c:pt idx="204">
                  <c:v>179.39615503569414</c:v>
                </c:pt>
                <c:pt idx="205">
                  <c:v>181.95993659515841</c:v>
                </c:pt>
                <c:pt idx="206">
                  <c:v>181.04067339202587</c:v>
                </c:pt>
                <c:pt idx="207">
                  <c:v>177.66097890247721</c:v>
                </c:pt>
                <c:pt idx="208">
                  <c:v>174.90493724320675</c:v>
                </c:pt>
                <c:pt idx="209">
                  <c:v>171.63270012569811</c:v>
                </c:pt>
                <c:pt idx="210">
                  <c:v>163.15822335681247</c:v>
                </c:pt>
                <c:pt idx="211">
                  <c:v>169.7935566133082</c:v>
                </c:pt>
                <c:pt idx="212">
                  <c:v>166.15433459624083</c:v>
                </c:pt>
                <c:pt idx="213">
                  <c:v>167.84885672620811</c:v>
                </c:pt>
                <c:pt idx="214">
                  <c:v>156.22156120464174</c:v>
                </c:pt>
                <c:pt idx="215">
                  <c:v>153.32779883464175</c:v>
                </c:pt>
                <c:pt idx="216">
                  <c:v>151.00310912394409</c:v>
                </c:pt>
                <c:pt idx="217">
                  <c:v>154.73568931989649</c:v>
                </c:pt>
                <c:pt idx="218">
                  <c:v>149.7622605733232</c:v>
                </c:pt>
                <c:pt idx="219">
                  <c:v>147.43846809503609</c:v>
                </c:pt>
                <c:pt idx="220">
                  <c:v>148.84509103840992</c:v>
                </c:pt>
                <c:pt idx="221">
                  <c:v>156.18513074120284</c:v>
                </c:pt>
                <c:pt idx="222">
                  <c:v>156.61300003799957</c:v>
                </c:pt>
                <c:pt idx="223">
                  <c:v>158.18875853683983</c:v>
                </c:pt>
                <c:pt idx="224">
                  <c:v>160.02320441958631</c:v>
                </c:pt>
                <c:pt idx="225">
                  <c:v>162.31473836801038</c:v>
                </c:pt>
                <c:pt idx="226">
                  <c:v>167.24371074785549</c:v>
                </c:pt>
                <c:pt idx="227">
                  <c:v>169.75548346426905</c:v>
                </c:pt>
                <c:pt idx="228">
                  <c:v>170.32347702056748</c:v>
                </c:pt>
                <c:pt idx="229">
                  <c:v>166.06721041387291</c:v>
                </c:pt>
                <c:pt idx="230">
                  <c:v>169.60746465324542</c:v>
                </c:pt>
                <c:pt idx="231">
                  <c:v>174.86193178389127</c:v>
                </c:pt>
                <c:pt idx="232">
                  <c:v>176.3586342671199</c:v>
                </c:pt>
                <c:pt idx="233">
                  <c:v>173.49995537901066</c:v>
                </c:pt>
                <c:pt idx="234">
                  <c:v>172.70179615459207</c:v>
                </c:pt>
                <c:pt idx="235">
                  <c:v>177.1318719100671</c:v>
                </c:pt>
                <c:pt idx="236">
                  <c:v>181.90098897175255</c:v>
                </c:pt>
                <c:pt idx="237">
                  <c:v>182.24593806965512</c:v>
                </c:pt>
                <c:pt idx="238">
                  <c:v>182.13672293050652</c:v>
                </c:pt>
                <c:pt idx="239">
                  <c:v>181.65286022260983</c:v>
                </c:pt>
                <c:pt idx="240">
                  <c:v>180.79933015732794</c:v>
                </c:pt>
                <c:pt idx="241">
                  <c:v>180.505604458237</c:v>
                </c:pt>
                <c:pt idx="242">
                  <c:v>179.51424609091072</c:v>
                </c:pt>
                <c:pt idx="243">
                  <c:v>178.50595025339874</c:v>
                </c:pt>
                <c:pt idx="244">
                  <c:v>177.33736242700147</c:v>
                </c:pt>
                <c:pt idx="245">
                  <c:v>178.5833357120755</c:v>
                </c:pt>
                <c:pt idx="246">
                  <c:v>177.35314115803459</c:v>
                </c:pt>
                <c:pt idx="247">
                  <c:v>173.65361152530096</c:v>
                </c:pt>
                <c:pt idx="248">
                  <c:v>166.90512203641123</c:v>
                </c:pt>
                <c:pt idx="249">
                  <c:v>158.94780462269284</c:v>
                </c:pt>
                <c:pt idx="250">
                  <c:v>160.35880111374732</c:v>
                </c:pt>
                <c:pt idx="251">
                  <c:v>156.83247326221405</c:v>
                </c:pt>
                <c:pt idx="252">
                  <c:v>153.22141784368338</c:v>
                </c:pt>
                <c:pt idx="253">
                  <c:v>148.51656671448444</c:v>
                </c:pt>
                <c:pt idx="254">
                  <c:v>152.10391067081184</c:v>
                </c:pt>
                <c:pt idx="255">
                  <c:v>153.10697713071232</c:v>
                </c:pt>
                <c:pt idx="256">
                  <c:v>157.64663767669001</c:v>
                </c:pt>
                <c:pt idx="257">
                  <c:v>158.53278198727497</c:v>
                </c:pt>
                <c:pt idx="258">
                  <c:v>160.39149451994717</c:v>
                </c:pt>
                <c:pt idx="259">
                  <c:v>158.7270777050349</c:v>
                </c:pt>
                <c:pt idx="260">
                  <c:v>157.77860504397492</c:v>
                </c:pt>
                <c:pt idx="261">
                  <c:v>162.33121217176961</c:v>
                </c:pt>
                <c:pt idx="262">
                  <c:v>161.43997941295459</c:v>
                </c:pt>
                <c:pt idx="263">
                  <c:v>169.06700568637933</c:v>
                </c:pt>
                <c:pt idx="264">
                  <c:v>169.01351917595133</c:v>
                </c:pt>
                <c:pt idx="265">
                  <c:v>170.78948124326268</c:v>
                </c:pt>
                <c:pt idx="266">
                  <c:v>171.85062165713518</c:v>
                </c:pt>
                <c:pt idx="267">
                  <c:v>173.95597936333968</c:v>
                </c:pt>
                <c:pt idx="268">
                  <c:v>166.50679268355765</c:v>
                </c:pt>
                <c:pt idx="269">
                  <c:v>173.14206497939264</c:v>
                </c:pt>
                <c:pt idx="270">
                  <c:v>176.0914618168151</c:v>
                </c:pt>
                <c:pt idx="271">
                  <c:v>171.8971471375956</c:v>
                </c:pt>
                <c:pt idx="272">
                  <c:v>170.84017229870668</c:v>
                </c:pt>
                <c:pt idx="273">
                  <c:v>168.43525323304922</c:v>
                </c:pt>
                <c:pt idx="274">
                  <c:v>168.83025552785583</c:v>
                </c:pt>
                <c:pt idx="275">
                  <c:v>167.81171856679813</c:v>
                </c:pt>
                <c:pt idx="276">
                  <c:v>166.24708630765679</c:v>
                </c:pt>
                <c:pt idx="277">
                  <c:v>158.97000481166771</c:v>
                </c:pt>
                <c:pt idx="278">
                  <c:v>158.27335393767618</c:v>
                </c:pt>
                <c:pt idx="279">
                  <c:v>161.01462075949317</c:v>
                </c:pt>
                <c:pt idx="280">
                  <c:v>144.60832973673681</c:v>
                </c:pt>
                <c:pt idx="281">
                  <c:v>151.53141602939087</c:v>
                </c:pt>
                <c:pt idx="282">
                  <c:v>156.76136821588776</c:v>
                </c:pt>
                <c:pt idx="283">
                  <c:v>152.97393556119385</c:v>
                </c:pt>
                <c:pt idx="284">
                  <c:v>156.10593011534695</c:v>
                </c:pt>
                <c:pt idx="285">
                  <c:v>161.61101864161506</c:v>
                </c:pt>
                <c:pt idx="286">
                  <c:v>151.12859704489847</c:v>
                </c:pt>
                <c:pt idx="287">
                  <c:v>156.41079618089384</c:v>
                </c:pt>
                <c:pt idx="288">
                  <c:v>155.99270179999425</c:v>
                </c:pt>
                <c:pt idx="289">
                  <c:v>160.14743862545475</c:v>
                </c:pt>
                <c:pt idx="290">
                  <c:v>160.803643912648</c:v>
                </c:pt>
                <c:pt idx="291">
                  <c:v>161.5288801682554</c:v>
                </c:pt>
                <c:pt idx="292">
                  <c:v>157.21822905229212</c:v>
                </c:pt>
                <c:pt idx="293">
                  <c:v>158.8896343109368</c:v>
                </c:pt>
                <c:pt idx="294">
                  <c:v>154.1472107616417</c:v>
                </c:pt>
                <c:pt idx="295">
                  <c:v>134.07457522199516</c:v>
                </c:pt>
                <c:pt idx="296">
                  <c:v>147.05915360188547</c:v>
                </c:pt>
                <c:pt idx="297">
                  <c:v>149.43317304439395</c:v>
                </c:pt>
                <c:pt idx="298">
                  <c:v>160.53613963401088</c:v>
                </c:pt>
                <c:pt idx="299">
                  <c:v>154.35751755928166</c:v>
                </c:pt>
                <c:pt idx="300">
                  <c:v>163.80440510241547</c:v>
                </c:pt>
                <c:pt idx="301">
                  <c:v>177.10786567303521</c:v>
                </c:pt>
                <c:pt idx="302">
                  <c:v>158.90479651786825</c:v>
                </c:pt>
                <c:pt idx="303">
                  <c:v>154.35432169135828</c:v>
                </c:pt>
                <c:pt idx="304">
                  <c:v>151.77899315107891</c:v>
                </c:pt>
                <c:pt idx="305">
                  <c:v>153.5044886591736</c:v>
                </c:pt>
                <c:pt idx="306">
                  <c:v>153.59755877104328</c:v>
                </c:pt>
                <c:pt idx="307">
                  <c:v>150.20126173135714</c:v>
                </c:pt>
                <c:pt idx="308">
                  <c:v>146.513983742303</c:v>
                </c:pt>
                <c:pt idx="309">
                  <c:v>142.69153418422269</c:v>
                </c:pt>
                <c:pt idx="310">
                  <c:v>149.62597773755601</c:v>
                </c:pt>
                <c:pt idx="311">
                  <c:v>148.07793004867946</c:v>
                </c:pt>
                <c:pt idx="312">
                  <c:v>152.60838336660615</c:v>
                </c:pt>
                <c:pt idx="313">
                  <c:v>144.94194975623174</c:v>
                </c:pt>
                <c:pt idx="314">
                  <c:v>169.56469196964181</c:v>
                </c:pt>
                <c:pt idx="315">
                  <c:v>169.20827904453671</c:v>
                </c:pt>
                <c:pt idx="316">
                  <c:v>150.42440203404703</c:v>
                </c:pt>
                <c:pt idx="317">
                  <c:v>143.7103613004939</c:v>
                </c:pt>
                <c:pt idx="318">
                  <c:v>120.75506948800272</c:v>
                </c:pt>
                <c:pt idx="319">
                  <c:v>117.54538954386581</c:v>
                </c:pt>
                <c:pt idx="320">
                  <c:v>133.01363408118084</c:v>
                </c:pt>
                <c:pt idx="321">
                  <c:v>30.709911964830791</c:v>
                </c:pt>
                <c:pt idx="322">
                  <c:v>27.61273671755189</c:v>
                </c:pt>
                <c:pt idx="323">
                  <c:v>22.96763622584545</c:v>
                </c:pt>
                <c:pt idx="324">
                  <c:v>40.800730009123427</c:v>
                </c:pt>
                <c:pt idx="325">
                  <c:v>37.639268945055939</c:v>
                </c:pt>
                <c:pt idx="326">
                  <c:v>36.320263176399223</c:v>
                </c:pt>
                <c:pt idx="327">
                  <c:v>35.311831343241323</c:v>
                </c:pt>
                <c:pt idx="328">
                  <c:v>33.801522019103388</c:v>
                </c:pt>
                <c:pt idx="329">
                  <c:v>31.388501371028269</c:v>
                </c:pt>
                <c:pt idx="330">
                  <c:v>30.695169765698324</c:v>
                </c:pt>
                <c:pt idx="331">
                  <c:v>26.210496029498326</c:v>
                </c:pt>
                <c:pt idx="332">
                  <c:v>26.839176099530896</c:v>
                </c:pt>
                <c:pt idx="333">
                  <c:v>24.007886359530893</c:v>
                </c:pt>
                <c:pt idx="334">
                  <c:v>28.212383514450167</c:v>
                </c:pt>
                <c:pt idx="335">
                  <c:v>28.315906770679131</c:v>
                </c:pt>
                <c:pt idx="336">
                  <c:v>24.873290728152135</c:v>
                </c:pt>
                <c:pt idx="337">
                  <c:v>30.747411857653027</c:v>
                </c:pt>
                <c:pt idx="338">
                  <c:v>29.266943493682998</c:v>
                </c:pt>
                <c:pt idx="339">
                  <c:v>31.704136858701926</c:v>
                </c:pt>
                <c:pt idx="340">
                  <c:v>31.806934184239015</c:v>
                </c:pt>
                <c:pt idx="341">
                  <c:v>31.129144735091643</c:v>
                </c:pt>
                <c:pt idx="342">
                  <c:v>35.522608225389924</c:v>
                </c:pt>
                <c:pt idx="343">
                  <c:v>22.815499750259018</c:v>
                </c:pt>
                <c:pt idx="344">
                  <c:v>9.1854656382511273</c:v>
                </c:pt>
                <c:pt idx="345">
                  <c:v>1.7949057034623843</c:v>
                </c:pt>
                <c:pt idx="346">
                  <c:v>3.8395074853312421</c:v>
                </c:pt>
                <c:pt idx="347">
                  <c:v>5.9017237035348371</c:v>
                </c:pt>
                <c:pt idx="348">
                  <c:v>17.233833465193499</c:v>
                </c:pt>
                <c:pt idx="349">
                  <c:v>8.836344861824621</c:v>
                </c:pt>
                <c:pt idx="350">
                  <c:v>1.8930849446036184</c:v>
                </c:pt>
                <c:pt idx="351">
                  <c:v>-1.5092513573355328</c:v>
                </c:pt>
                <c:pt idx="352">
                  <c:v>-0.17886725851584437</c:v>
                </c:pt>
                <c:pt idx="353">
                  <c:v>3.0355204810240948</c:v>
                </c:pt>
                <c:pt idx="354">
                  <c:v>4.9093680181478403</c:v>
                </c:pt>
                <c:pt idx="355">
                  <c:v>5.0956280688763149</c:v>
                </c:pt>
                <c:pt idx="356">
                  <c:v>7.1042190247586676</c:v>
                </c:pt>
                <c:pt idx="357">
                  <c:v>2.9796597564428828</c:v>
                </c:pt>
                <c:pt idx="358">
                  <c:v>6.8730278566884948</c:v>
                </c:pt>
                <c:pt idx="359">
                  <c:v>7.0598706452703111</c:v>
                </c:pt>
                <c:pt idx="360">
                  <c:v>4.4952761040203093</c:v>
                </c:pt>
                <c:pt idx="361">
                  <c:v>3.596447983387403</c:v>
                </c:pt>
                <c:pt idx="362">
                  <c:v>3.6810282302946198</c:v>
                </c:pt>
                <c:pt idx="363">
                  <c:v>3.9778364546535951</c:v>
                </c:pt>
                <c:pt idx="364">
                  <c:v>3.8995326237840264</c:v>
                </c:pt>
                <c:pt idx="365">
                  <c:v>2.6890259081957875</c:v>
                </c:pt>
                <c:pt idx="366">
                  <c:v>3.0305340767569375</c:v>
                </c:pt>
                <c:pt idx="367">
                  <c:v>2.3998834892569398</c:v>
                </c:pt>
                <c:pt idx="368">
                  <c:v>3.1293933045510567</c:v>
                </c:pt>
                <c:pt idx="369">
                  <c:v>2.8183161876578557</c:v>
                </c:pt>
                <c:pt idx="370">
                  <c:v>2.7115854681456604</c:v>
                </c:pt>
                <c:pt idx="371">
                  <c:v>1.8030002915033241</c:v>
                </c:pt>
                <c:pt idx="372">
                  <c:v>3.7207966846740561</c:v>
                </c:pt>
                <c:pt idx="373">
                  <c:v>3.0826372888119917</c:v>
                </c:pt>
                <c:pt idx="374">
                  <c:v>3.8470790106444559</c:v>
                </c:pt>
                <c:pt idx="375">
                  <c:v>2.5006126806444562</c:v>
                </c:pt>
                <c:pt idx="376">
                  <c:v>1.8754494798868795</c:v>
                </c:pt>
                <c:pt idx="377">
                  <c:v>0.98996583319515252</c:v>
                </c:pt>
                <c:pt idx="378">
                  <c:v>0.74193409635304697</c:v>
                </c:pt>
                <c:pt idx="379">
                  <c:v>-6.9207922694579968E-2</c:v>
                </c:pt>
                <c:pt idx="380">
                  <c:v>-4.9159714508764019</c:v>
                </c:pt>
                <c:pt idx="381">
                  <c:v>-4.6529749971264005</c:v>
                </c:pt>
                <c:pt idx="382">
                  <c:v>-3.4985492119204085</c:v>
                </c:pt>
                <c:pt idx="383">
                  <c:v>-1.8938068486452946</c:v>
                </c:pt>
                <c:pt idx="384">
                  <c:v>-3.7041746975089254</c:v>
                </c:pt>
                <c:pt idx="385">
                  <c:v>-5.2829131957203082</c:v>
                </c:pt>
                <c:pt idx="386">
                  <c:v>-4.9860640623869683</c:v>
                </c:pt>
                <c:pt idx="387">
                  <c:v>-8.0411288326572343</c:v>
                </c:pt>
                <c:pt idx="388">
                  <c:v>-9.7737475326572341</c:v>
                </c:pt>
                <c:pt idx="389">
                  <c:v>-10.023904873994812</c:v>
                </c:pt>
                <c:pt idx="390">
                  <c:v>-9.6862161833426477</c:v>
                </c:pt>
                <c:pt idx="391">
                  <c:v>-8.9174096590289231</c:v>
                </c:pt>
                <c:pt idx="392">
                  <c:v>-9.8120839329245051</c:v>
                </c:pt>
                <c:pt idx="393">
                  <c:v>-10.315642390551627</c:v>
                </c:pt>
                <c:pt idx="394">
                  <c:v>-10.447051213123059</c:v>
                </c:pt>
                <c:pt idx="395">
                  <c:v>-11.389444668848247</c:v>
                </c:pt>
                <c:pt idx="396">
                  <c:v>-10.839179706284154</c:v>
                </c:pt>
                <c:pt idx="397">
                  <c:v>-11.155906859057882</c:v>
                </c:pt>
                <c:pt idx="398">
                  <c:v>-9.6317659135315701</c:v>
                </c:pt>
                <c:pt idx="399">
                  <c:v>-9.1258196550276303</c:v>
                </c:pt>
                <c:pt idx="400">
                  <c:v>-13.23225440163851</c:v>
                </c:pt>
                <c:pt idx="401">
                  <c:v>-2.8229433421964507</c:v>
                </c:pt>
                <c:pt idx="402">
                  <c:v>-7.2247990609026571</c:v>
                </c:pt>
                <c:pt idx="403">
                  <c:v>-6.133418970902663</c:v>
                </c:pt>
                <c:pt idx="404">
                  <c:v>-5.9571612650911501</c:v>
                </c:pt>
                <c:pt idx="405">
                  <c:v>-7.751066046656371</c:v>
                </c:pt>
                <c:pt idx="406">
                  <c:v>-9.4735861962960026</c:v>
                </c:pt>
                <c:pt idx="407">
                  <c:v>-11.757580286389453</c:v>
                </c:pt>
                <c:pt idx="408">
                  <c:v>-14.906057701023604</c:v>
                </c:pt>
                <c:pt idx="409">
                  <c:v>-15.503196951423602</c:v>
                </c:pt>
                <c:pt idx="410">
                  <c:v>-17.259129991866089</c:v>
                </c:pt>
                <c:pt idx="411">
                  <c:v>-17.328998755131394</c:v>
                </c:pt>
                <c:pt idx="412">
                  <c:v>-18.287040570066456</c:v>
                </c:pt>
                <c:pt idx="413">
                  <c:v>-19.011849198571124</c:v>
                </c:pt>
                <c:pt idx="414">
                  <c:v>-19.692852460109581</c:v>
                </c:pt>
                <c:pt idx="415">
                  <c:v>-20.9883766537938</c:v>
                </c:pt>
                <c:pt idx="416">
                  <c:v>-18.031738424583271</c:v>
                </c:pt>
                <c:pt idx="417">
                  <c:v>-21.120502362800789</c:v>
                </c:pt>
                <c:pt idx="418">
                  <c:v>-20.527989074918434</c:v>
                </c:pt>
                <c:pt idx="419">
                  <c:v>-21.644522077219314</c:v>
                </c:pt>
                <c:pt idx="420">
                  <c:v>-18.200258120499949</c:v>
                </c:pt>
                <c:pt idx="421">
                  <c:v>-17.544130960240206</c:v>
                </c:pt>
                <c:pt idx="422">
                  <c:v>-19.847390858888858</c:v>
                </c:pt>
                <c:pt idx="423">
                  <c:v>-18.575252814194986</c:v>
                </c:pt>
                <c:pt idx="424">
                  <c:v>-20.278296184019545</c:v>
                </c:pt>
                <c:pt idx="425">
                  <c:v>-20.14216410038318</c:v>
                </c:pt>
                <c:pt idx="426">
                  <c:v>-20.390285668592131</c:v>
                </c:pt>
                <c:pt idx="427">
                  <c:v>-20.57171922448687</c:v>
                </c:pt>
                <c:pt idx="428">
                  <c:v>-19.451433331143221</c:v>
                </c:pt>
                <c:pt idx="429">
                  <c:v>-19.481059790042302</c:v>
                </c:pt>
                <c:pt idx="430">
                  <c:v>-22.400279724510376</c:v>
                </c:pt>
                <c:pt idx="431">
                  <c:v>-23.200538355098605</c:v>
                </c:pt>
                <c:pt idx="432">
                  <c:v>-21.989586060098603</c:v>
                </c:pt>
                <c:pt idx="433">
                  <c:v>-22.976363543858596</c:v>
                </c:pt>
                <c:pt idx="434">
                  <c:v>-23.262815737921091</c:v>
                </c:pt>
                <c:pt idx="435">
                  <c:v>-23.670845837151859</c:v>
                </c:pt>
                <c:pt idx="436">
                  <c:v>-22.169911457151855</c:v>
                </c:pt>
                <c:pt idx="437">
                  <c:v>-21.358764248707413</c:v>
                </c:pt>
                <c:pt idx="438">
                  <c:v>-22.16191075905224</c:v>
                </c:pt>
                <c:pt idx="439">
                  <c:v>-22.396977612330925</c:v>
                </c:pt>
                <c:pt idx="440">
                  <c:v>-22.384870247773957</c:v>
                </c:pt>
                <c:pt idx="441">
                  <c:v>-22.6087436625108</c:v>
                </c:pt>
                <c:pt idx="442">
                  <c:v>-22.118556746231732</c:v>
                </c:pt>
                <c:pt idx="443">
                  <c:v>-22.816433969158563</c:v>
                </c:pt>
                <c:pt idx="444">
                  <c:v>-23.935444349158558</c:v>
                </c:pt>
                <c:pt idx="445">
                  <c:v>-24.337064227868233</c:v>
                </c:pt>
                <c:pt idx="446">
                  <c:v>-25.013057503079501</c:v>
                </c:pt>
                <c:pt idx="447">
                  <c:v>-23.863092939853697</c:v>
                </c:pt>
                <c:pt idx="448">
                  <c:v>-26.80194376373429</c:v>
                </c:pt>
                <c:pt idx="449">
                  <c:v>-26.821628554033691</c:v>
                </c:pt>
                <c:pt idx="450">
                  <c:v>-27.637866893058074</c:v>
                </c:pt>
                <c:pt idx="451">
                  <c:v>-27.452571773058079</c:v>
                </c:pt>
                <c:pt idx="452">
                  <c:v>-26.452736021365777</c:v>
                </c:pt>
                <c:pt idx="453">
                  <c:v>-26.142477777017945</c:v>
                </c:pt>
                <c:pt idx="454">
                  <c:v>-25.734666812689586</c:v>
                </c:pt>
                <c:pt idx="455">
                  <c:v>-24.875648312689588</c:v>
                </c:pt>
                <c:pt idx="456">
                  <c:v>-24.553820076807231</c:v>
                </c:pt>
                <c:pt idx="457">
                  <c:v>-24.061537475839486</c:v>
                </c:pt>
                <c:pt idx="458">
                  <c:v>-23.878462254589486</c:v>
                </c:pt>
                <c:pt idx="459">
                  <c:v>-23.005693431804676</c:v>
                </c:pt>
                <c:pt idx="460">
                  <c:v>-22.506578837465057</c:v>
                </c:pt>
                <c:pt idx="461">
                  <c:v>-23.051406409687271</c:v>
                </c:pt>
                <c:pt idx="462">
                  <c:v>-22.826949379820597</c:v>
                </c:pt>
                <c:pt idx="463">
                  <c:v>-22.799842392957849</c:v>
                </c:pt>
                <c:pt idx="464">
                  <c:v>-23.262234037491183</c:v>
                </c:pt>
                <c:pt idx="465">
                  <c:v>-22.302871076736466</c:v>
                </c:pt>
                <c:pt idx="466">
                  <c:v>-21.999763464428767</c:v>
                </c:pt>
                <c:pt idx="467">
                  <c:v>-22.377521949691925</c:v>
                </c:pt>
                <c:pt idx="468">
                  <c:v>-22.377521949691932</c:v>
                </c:pt>
                <c:pt idx="469">
                  <c:v>-23.156687306287676</c:v>
                </c:pt>
                <c:pt idx="470">
                  <c:v>-22.463892516932837</c:v>
                </c:pt>
                <c:pt idx="471">
                  <c:v>-21.187736832404529</c:v>
                </c:pt>
                <c:pt idx="472">
                  <c:v>-20.996416116135872</c:v>
                </c:pt>
                <c:pt idx="473">
                  <c:v>-21.31352731435015</c:v>
                </c:pt>
                <c:pt idx="474">
                  <c:v>-20.170014634350149</c:v>
                </c:pt>
                <c:pt idx="475">
                  <c:v>-19.634888788674473</c:v>
                </c:pt>
                <c:pt idx="476">
                  <c:v>-20.49227352830238</c:v>
                </c:pt>
                <c:pt idx="477">
                  <c:v>-21.501752754418082</c:v>
                </c:pt>
                <c:pt idx="478">
                  <c:v>-21.904019400668084</c:v>
                </c:pt>
                <c:pt idx="479">
                  <c:v>-20.441125624149564</c:v>
                </c:pt>
                <c:pt idx="480">
                  <c:v>-19.479220531578143</c:v>
                </c:pt>
                <c:pt idx="481">
                  <c:v>-19.792269640953148</c:v>
                </c:pt>
                <c:pt idx="482">
                  <c:v>-19.135229077397593</c:v>
                </c:pt>
                <c:pt idx="483">
                  <c:v>-18.697883796715775</c:v>
                </c:pt>
                <c:pt idx="484">
                  <c:v>-18.430985828480477</c:v>
                </c:pt>
                <c:pt idx="485">
                  <c:v>-17.194961465403555</c:v>
                </c:pt>
                <c:pt idx="486">
                  <c:v>-17.386541155780918</c:v>
                </c:pt>
                <c:pt idx="487">
                  <c:v>-16.795366439223535</c:v>
                </c:pt>
                <c:pt idx="488">
                  <c:v>-17.209936716146611</c:v>
                </c:pt>
                <c:pt idx="489">
                  <c:v>-17.628048844053584</c:v>
                </c:pt>
                <c:pt idx="490">
                  <c:v>-16.673792595106214</c:v>
                </c:pt>
                <c:pt idx="491">
                  <c:v>-17.184468865795868</c:v>
                </c:pt>
                <c:pt idx="492">
                  <c:v>-15.141866196153014</c:v>
                </c:pt>
                <c:pt idx="493">
                  <c:v>-15.442575777971197</c:v>
                </c:pt>
                <c:pt idx="494">
                  <c:v>-10.64803195582987</c:v>
                </c:pt>
                <c:pt idx="495">
                  <c:v>-11.321105852606729</c:v>
                </c:pt>
                <c:pt idx="496">
                  <c:v>-11.201776820189147</c:v>
                </c:pt>
                <c:pt idx="497">
                  <c:v>-13.958787987985762</c:v>
                </c:pt>
                <c:pt idx="498">
                  <c:v>-14.321824110958739</c:v>
                </c:pt>
                <c:pt idx="499">
                  <c:v>-14.339121082789722</c:v>
                </c:pt>
                <c:pt idx="500">
                  <c:v>-12.968663213401973</c:v>
                </c:pt>
                <c:pt idx="501">
                  <c:v>-14.863117487323541</c:v>
                </c:pt>
                <c:pt idx="502">
                  <c:v>-14.010075068275921</c:v>
                </c:pt>
                <c:pt idx="503">
                  <c:v>-15.926047152948819</c:v>
                </c:pt>
                <c:pt idx="504">
                  <c:v>-16.154067707654704</c:v>
                </c:pt>
                <c:pt idx="505">
                  <c:v>-20.012461851161195</c:v>
                </c:pt>
                <c:pt idx="506">
                  <c:v>-19.833178766411191</c:v>
                </c:pt>
                <c:pt idx="507">
                  <c:v>-20.384707799702326</c:v>
                </c:pt>
                <c:pt idx="508">
                  <c:v>-21.14147974803566</c:v>
                </c:pt>
                <c:pt idx="509">
                  <c:v>-23.321522956639011</c:v>
                </c:pt>
                <c:pt idx="510">
                  <c:v>-24.45048529547622</c:v>
                </c:pt>
                <c:pt idx="511">
                  <c:v>-26.586107447279502</c:v>
                </c:pt>
                <c:pt idx="512">
                  <c:v>-30.152630016587825</c:v>
                </c:pt>
                <c:pt idx="513">
                  <c:v>-29.352125769075386</c:v>
                </c:pt>
                <c:pt idx="514">
                  <c:v>-30.318072042178823</c:v>
                </c:pt>
                <c:pt idx="515">
                  <c:v>-29.120932645734381</c:v>
                </c:pt>
                <c:pt idx="516">
                  <c:v>-29.467965903734385</c:v>
                </c:pt>
                <c:pt idx="517">
                  <c:v>-30.317121971927147</c:v>
                </c:pt>
                <c:pt idx="518">
                  <c:v>-31.393151314757326</c:v>
                </c:pt>
                <c:pt idx="519">
                  <c:v>-30.108900093419741</c:v>
                </c:pt>
                <c:pt idx="520">
                  <c:v>-32.322516514573586</c:v>
                </c:pt>
                <c:pt idx="521">
                  <c:v>-31.46904477377814</c:v>
                </c:pt>
                <c:pt idx="522">
                  <c:v>-33.250998965525724</c:v>
                </c:pt>
                <c:pt idx="523">
                  <c:v>-33.569964989663646</c:v>
                </c:pt>
                <c:pt idx="524">
                  <c:v>-36.013966869529419</c:v>
                </c:pt>
                <c:pt idx="525">
                  <c:v>-34.115356778428506</c:v>
                </c:pt>
                <c:pt idx="526">
                  <c:v>-36.568682579358736</c:v>
                </c:pt>
                <c:pt idx="527">
                  <c:v>-35.327921400036708</c:v>
                </c:pt>
                <c:pt idx="528">
                  <c:v>-33.072635741649606</c:v>
                </c:pt>
                <c:pt idx="529">
                  <c:v>-31.458321887267591</c:v>
                </c:pt>
                <c:pt idx="530">
                  <c:v>-33.893924501553307</c:v>
                </c:pt>
                <c:pt idx="531">
                  <c:v>-34.439847189974365</c:v>
                </c:pt>
                <c:pt idx="532">
                  <c:v>-31.167653952686258</c:v>
                </c:pt>
                <c:pt idx="533">
                  <c:v>-34.198059529772877</c:v>
                </c:pt>
                <c:pt idx="534">
                  <c:v>-35.812664060751899</c:v>
                </c:pt>
                <c:pt idx="535">
                  <c:v>-30.735101431899452</c:v>
                </c:pt>
                <c:pt idx="536">
                  <c:v>-34.842387739071881</c:v>
                </c:pt>
                <c:pt idx="537">
                  <c:v>-36.192626170954235</c:v>
                </c:pt>
                <c:pt idx="538">
                  <c:v>-36.783766475239965</c:v>
                </c:pt>
                <c:pt idx="539">
                  <c:v>-39.376942044176154</c:v>
                </c:pt>
                <c:pt idx="540">
                  <c:v>-38.870525966784854</c:v>
                </c:pt>
                <c:pt idx="541">
                  <c:v>-38.622055982366255</c:v>
                </c:pt>
                <c:pt idx="542">
                  <c:v>-36.591612198366242</c:v>
                </c:pt>
                <c:pt idx="543">
                  <c:v>-32.178276474110916</c:v>
                </c:pt>
                <c:pt idx="544">
                  <c:v>-37.070972852292741</c:v>
                </c:pt>
                <c:pt idx="545">
                  <c:v>-36.801129337454036</c:v>
                </c:pt>
                <c:pt idx="546">
                  <c:v>-47.377831292945835</c:v>
                </c:pt>
                <c:pt idx="547">
                  <c:v>-49.076120495168027</c:v>
                </c:pt>
                <c:pt idx="548">
                  <c:v>-50.238403724013018</c:v>
                </c:pt>
                <c:pt idx="549">
                  <c:v>-51.162403020564753</c:v>
                </c:pt>
                <c:pt idx="550">
                  <c:v>-47.408279538906207</c:v>
                </c:pt>
                <c:pt idx="551">
                  <c:v>-45.875976537597801</c:v>
                </c:pt>
                <c:pt idx="552">
                  <c:v>-44.262291839923392</c:v>
                </c:pt>
                <c:pt idx="553">
                  <c:v>-42.80019777156275</c:v>
                </c:pt>
                <c:pt idx="554">
                  <c:v>-43.233964935848448</c:v>
                </c:pt>
                <c:pt idx="555">
                  <c:v>-43.260204171480616</c:v>
                </c:pt>
                <c:pt idx="556">
                  <c:v>-44.729029789318439</c:v>
                </c:pt>
                <c:pt idx="557">
                  <c:v>-41.548868287985094</c:v>
                </c:pt>
                <c:pt idx="558">
                  <c:v>-43.528553145334484</c:v>
                </c:pt>
                <c:pt idx="559">
                  <c:v>-42.776725760766595</c:v>
                </c:pt>
                <c:pt idx="560">
                  <c:v>-42.088453801329962</c:v>
                </c:pt>
                <c:pt idx="561">
                  <c:v>-46.331757287483804</c:v>
                </c:pt>
                <c:pt idx="562">
                  <c:v>-46.303374896840509</c:v>
                </c:pt>
                <c:pt idx="563">
                  <c:v>-47.557527871721476</c:v>
                </c:pt>
                <c:pt idx="564">
                  <c:v>-43.368896749933761</c:v>
                </c:pt>
                <c:pt idx="565">
                  <c:v>-42.150247003319585</c:v>
                </c:pt>
                <c:pt idx="566">
                  <c:v>-44.118396856734215</c:v>
                </c:pt>
                <c:pt idx="567">
                  <c:v>-40.99913959079317</c:v>
                </c:pt>
                <c:pt idx="568">
                  <c:v>-41.59507440079318</c:v>
                </c:pt>
                <c:pt idx="569">
                  <c:v>-44.081977710793176</c:v>
                </c:pt>
                <c:pt idx="570">
                  <c:v>-44.206644076681009</c:v>
                </c:pt>
                <c:pt idx="571">
                  <c:v>-43.441548178556005</c:v>
                </c:pt>
                <c:pt idx="572">
                  <c:v>-42.029026954156002</c:v>
                </c:pt>
                <c:pt idx="573">
                  <c:v>-43.289217418388226</c:v>
                </c:pt>
                <c:pt idx="574">
                  <c:v>-45.146762070578689</c:v>
                </c:pt>
                <c:pt idx="575">
                  <c:v>-44.255359533912021</c:v>
                </c:pt>
                <c:pt idx="576">
                  <c:v>-44.755308082051556</c:v>
                </c:pt>
                <c:pt idx="577">
                  <c:v>-46.013385656051547</c:v>
                </c:pt>
                <c:pt idx="578">
                  <c:v>-46.674360039687912</c:v>
                </c:pt>
                <c:pt idx="579">
                  <c:v>-48.160793147582645</c:v>
                </c:pt>
                <c:pt idx="580">
                  <c:v>-45.687849582128095</c:v>
                </c:pt>
                <c:pt idx="581">
                  <c:v>-43.975399089224872</c:v>
                </c:pt>
                <c:pt idx="582">
                  <c:v>-44.645724372161929</c:v>
                </c:pt>
                <c:pt idx="583">
                  <c:v>-42.69175565429785</c:v>
                </c:pt>
                <c:pt idx="584">
                  <c:v>-41.308992201497858</c:v>
                </c:pt>
                <c:pt idx="585">
                  <c:v>-39.421659602428093</c:v>
                </c:pt>
                <c:pt idx="586">
                  <c:v>-30.856965126765449</c:v>
                </c:pt>
                <c:pt idx="587">
                  <c:v>-31.068343777271075</c:v>
                </c:pt>
                <c:pt idx="588">
                  <c:v>-32.784898523183017</c:v>
                </c:pt>
                <c:pt idx="589">
                  <c:v>-33.149529897660635</c:v>
                </c:pt>
                <c:pt idx="590">
                  <c:v>-33.897377275993975</c:v>
                </c:pt>
                <c:pt idx="591">
                  <c:v>-37.333727397519404</c:v>
                </c:pt>
                <c:pt idx="592">
                  <c:v>-38.310267261774733</c:v>
                </c:pt>
                <c:pt idx="593">
                  <c:v>-36.854103083396353</c:v>
                </c:pt>
                <c:pt idx="594">
                  <c:v>-37.301548283396357</c:v>
                </c:pt>
                <c:pt idx="595">
                  <c:v>-39.453320171857897</c:v>
                </c:pt>
                <c:pt idx="596">
                  <c:v>-38.158586748774191</c:v>
                </c:pt>
                <c:pt idx="597">
                  <c:v>-40.959716588490501</c:v>
                </c:pt>
                <c:pt idx="598">
                  <c:v>-41.714975770674421</c:v>
                </c:pt>
                <c:pt idx="599">
                  <c:v>-40.960842914504212</c:v>
                </c:pt>
                <c:pt idx="600">
                  <c:v>-40.727211517448993</c:v>
                </c:pt>
                <c:pt idx="601">
                  <c:v>-42.931706255110285</c:v>
                </c:pt>
                <c:pt idx="602">
                  <c:v>-40.513303654675511</c:v>
                </c:pt>
                <c:pt idx="603">
                  <c:v>-43.34708569042018</c:v>
                </c:pt>
                <c:pt idx="604">
                  <c:v>-44.463552146302526</c:v>
                </c:pt>
                <c:pt idx="605">
                  <c:v>-44.047157779998173</c:v>
                </c:pt>
                <c:pt idx="606">
                  <c:v>-45.628161591956953</c:v>
                </c:pt>
                <c:pt idx="607">
                  <c:v>-42.263948025618156</c:v>
                </c:pt>
                <c:pt idx="608">
                  <c:v>-42.263948025618141</c:v>
                </c:pt>
                <c:pt idx="609">
                  <c:v>-43.588349336509872</c:v>
                </c:pt>
                <c:pt idx="610">
                  <c:v>-34.747013228340847</c:v>
                </c:pt>
                <c:pt idx="611">
                  <c:v>-9.8327562320944466</c:v>
                </c:pt>
                <c:pt idx="612">
                  <c:v>-24.853646874086468</c:v>
                </c:pt>
                <c:pt idx="613">
                  <c:v>-33.875613836995555</c:v>
                </c:pt>
                <c:pt idx="614">
                  <c:v>-30.26123656774385</c:v>
                </c:pt>
                <c:pt idx="615">
                  <c:v>-29.408618864750647</c:v>
                </c:pt>
                <c:pt idx="616">
                  <c:v>-29.656742198165286</c:v>
                </c:pt>
                <c:pt idx="617">
                  <c:v>-30.396066385828835</c:v>
                </c:pt>
                <c:pt idx="618">
                  <c:v>-29.429380505471691</c:v>
                </c:pt>
                <c:pt idx="619">
                  <c:v>-30.444516331773066</c:v>
                </c:pt>
                <c:pt idx="620">
                  <c:v>-31.445778247639733</c:v>
                </c:pt>
                <c:pt idx="621">
                  <c:v>-28.793389077942763</c:v>
                </c:pt>
                <c:pt idx="622">
                  <c:v>-30.12939838176186</c:v>
                </c:pt>
                <c:pt idx="623">
                  <c:v>-30.460962019790028</c:v>
                </c:pt>
                <c:pt idx="624">
                  <c:v>-30.149970044488828</c:v>
                </c:pt>
                <c:pt idx="625">
                  <c:v>-29.484577295144572</c:v>
                </c:pt>
                <c:pt idx="626">
                  <c:v>-30.21287244394458</c:v>
                </c:pt>
                <c:pt idx="627">
                  <c:v>-29.567172621591638</c:v>
                </c:pt>
                <c:pt idx="628">
                  <c:v>-27.657309360147195</c:v>
                </c:pt>
                <c:pt idx="629">
                  <c:v>-26.683538828647198</c:v>
                </c:pt>
                <c:pt idx="630">
                  <c:v>-27.237390086306771</c:v>
                </c:pt>
                <c:pt idx="631">
                  <c:v>-29.877653208045906</c:v>
                </c:pt>
                <c:pt idx="632">
                  <c:v>-27.67058366958436</c:v>
                </c:pt>
                <c:pt idx="633">
                  <c:v>-27.554731020592758</c:v>
                </c:pt>
                <c:pt idx="634">
                  <c:v>-27.979537365702246</c:v>
                </c:pt>
                <c:pt idx="635">
                  <c:v>-25.65134084570224</c:v>
                </c:pt>
                <c:pt idx="636">
                  <c:v>-26.490766572018025</c:v>
                </c:pt>
                <c:pt idx="637">
                  <c:v>-27.207574032018023</c:v>
                </c:pt>
                <c:pt idx="638">
                  <c:v>-25.77972897467108</c:v>
                </c:pt>
                <c:pt idx="639">
                  <c:v>-26.521099249010703</c:v>
                </c:pt>
                <c:pt idx="640">
                  <c:v>-25.834002691198208</c:v>
                </c:pt>
                <c:pt idx="641">
                  <c:v>-24.58071651534916</c:v>
                </c:pt>
                <c:pt idx="642">
                  <c:v>-26.889639070227215</c:v>
                </c:pt>
                <c:pt idx="643">
                  <c:v>-27.717118648488082</c:v>
                </c:pt>
                <c:pt idx="644">
                  <c:v>-27.367707758686105</c:v>
                </c:pt>
                <c:pt idx="645">
                  <c:v>-27.931287579008682</c:v>
                </c:pt>
                <c:pt idx="646">
                  <c:v>-28.605598149008689</c:v>
                </c:pt>
                <c:pt idx="647">
                  <c:v>-28.575802495495175</c:v>
                </c:pt>
                <c:pt idx="648">
                  <c:v>-27.3447134394127</c:v>
                </c:pt>
                <c:pt idx="649">
                  <c:v>-26.492878360841264</c:v>
                </c:pt>
                <c:pt idx="650">
                  <c:v>-27.341022882580404</c:v>
                </c:pt>
                <c:pt idx="651">
                  <c:v>-27.788743281360894</c:v>
                </c:pt>
                <c:pt idx="652">
                  <c:v>-27.444775830345666</c:v>
                </c:pt>
                <c:pt idx="653">
                  <c:v>-26.458660147012328</c:v>
                </c:pt>
                <c:pt idx="654">
                  <c:v>-26.159075882502528</c:v>
                </c:pt>
                <c:pt idx="655">
                  <c:v>-25.342529029002534</c:v>
                </c:pt>
                <c:pt idx="656">
                  <c:v>-25.468206650279132</c:v>
                </c:pt>
                <c:pt idx="657">
                  <c:v>-25.144025812279128</c:v>
                </c:pt>
                <c:pt idx="658">
                  <c:v>-24.164641638615002</c:v>
                </c:pt>
                <c:pt idx="659">
                  <c:v>-24.340430066441087</c:v>
                </c:pt>
                <c:pt idx="660">
                  <c:v>-23.96163813954454</c:v>
                </c:pt>
                <c:pt idx="661">
                  <c:v>-22.149277778888798</c:v>
                </c:pt>
                <c:pt idx="662">
                  <c:v>-23.257736003888791</c:v>
                </c:pt>
                <c:pt idx="663">
                  <c:v>-22.125531136745938</c:v>
                </c:pt>
                <c:pt idx="664">
                  <c:v>-22.349223633321277</c:v>
                </c:pt>
                <c:pt idx="665">
                  <c:v>-21.648028127814037</c:v>
                </c:pt>
                <c:pt idx="666">
                  <c:v>-21.42143200432006</c:v>
                </c:pt>
                <c:pt idx="667">
                  <c:v>-22.054307201516323</c:v>
                </c:pt>
                <c:pt idx="668">
                  <c:v>-20.983862276578048</c:v>
                </c:pt>
                <c:pt idx="669">
                  <c:v>-21.214504479305322</c:v>
                </c:pt>
                <c:pt idx="670">
                  <c:v>-19.562366430138656</c:v>
                </c:pt>
                <c:pt idx="671">
                  <c:v>-21.981376783015371</c:v>
                </c:pt>
                <c:pt idx="672">
                  <c:v>-22.156633903810548</c:v>
                </c:pt>
                <c:pt idx="673">
                  <c:v>-22.092095353143883</c:v>
                </c:pt>
                <c:pt idx="674">
                  <c:v>-21.622953180512305</c:v>
                </c:pt>
                <c:pt idx="675">
                  <c:v>-21.586323053143886</c:v>
                </c:pt>
                <c:pt idx="676">
                  <c:v>-21.300832355825278</c:v>
                </c:pt>
                <c:pt idx="677">
                  <c:v>-20.831735825825284</c:v>
                </c:pt>
                <c:pt idx="678">
                  <c:v>-21.527952758533615</c:v>
                </c:pt>
                <c:pt idx="679">
                  <c:v>-20.85323641412684</c:v>
                </c:pt>
                <c:pt idx="680">
                  <c:v>-22.441438076901402</c:v>
                </c:pt>
                <c:pt idx="681">
                  <c:v>-21.807727548358688</c:v>
                </c:pt>
                <c:pt idx="682">
                  <c:v>-21.673261817803134</c:v>
                </c:pt>
                <c:pt idx="683">
                  <c:v>-21.189702487469802</c:v>
                </c:pt>
                <c:pt idx="684">
                  <c:v>-21.36730239176638</c:v>
                </c:pt>
                <c:pt idx="685">
                  <c:v>-20.479335262333183</c:v>
                </c:pt>
                <c:pt idx="686">
                  <c:v>-23.452461305317055</c:v>
                </c:pt>
                <c:pt idx="687">
                  <c:v>-19.266227291713861</c:v>
                </c:pt>
                <c:pt idx="688">
                  <c:v>-18.772228295468512</c:v>
                </c:pt>
                <c:pt idx="689">
                  <c:v>-18.829496071217012</c:v>
                </c:pt>
                <c:pt idx="690">
                  <c:v>-19.951876070121116</c:v>
                </c:pt>
                <c:pt idx="691">
                  <c:v>-16.144768025903435</c:v>
                </c:pt>
                <c:pt idx="692">
                  <c:v>-13.896482916581398</c:v>
                </c:pt>
                <c:pt idx="693">
                  <c:v>-14.414932451114735</c:v>
                </c:pt>
                <c:pt idx="694">
                  <c:v>-14.093976920639964</c:v>
                </c:pt>
                <c:pt idx="695">
                  <c:v>-13.861503306005815</c:v>
                </c:pt>
                <c:pt idx="696">
                  <c:v>-15.228559633662064</c:v>
                </c:pt>
                <c:pt idx="697">
                  <c:v>-16.316344563708149</c:v>
                </c:pt>
                <c:pt idx="698">
                  <c:v>-15.925421164847389</c:v>
                </c:pt>
                <c:pt idx="699">
                  <c:v>-15.397263528483752</c:v>
                </c:pt>
                <c:pt idx="700">
                  <c:v>-17.582837425705982</c:v>
                </c:pt>
                <c:pt idx="701">
                  <c:v>-19.287445337462735</c:v>
                </c:pt>
                <c:pt idx="702">
                  <c:v>-17.523767168091538</c:v>
                </c:pt>
                <c:pt idx="703">
                  <c:v>-15.225455148611022</c:v>
                </c:pt>
                <c:pt idx="704">
                  <c:v>-13.689860937513764</c:v>
                </c:pt>
                <c:pt idx="705">
                  <c:v>-12.148317123228056</c:v>
                </c:pt>
                <c:pt idx="706">
                  <c:v>-8.2846816105314325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9-4CD3-A418-56EE421D2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9365552"/>
        <c:axId val="679368048"/>
      </c:lineChart>
      <c:dateAx>
        <c:axId val="67936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68048"/>
        <c:crosses val="autoZero"/>
        <c:auto val="1"/>
        <c:lblOffset val="100"/>
        <c:baseTimeUnit val="days"/>
      </c:dateAx>
      <c:valAx>
        <c:axId val="6793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36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D5B481-663E-46BF-9707-BB492922AD05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4D7D1-8748-48BB-BF25-5DF14126844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4.3380000000000002E-2</v>
      </c>
      <c r="D2" s="4">
        <f>MIN(D3:D1912)</f>
        <v>2.14E-4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5.3239999999999997E-3</v>
      </c>
      <c r="C5">
        <v>5.476E-3</v>
      </c>
      <c r="D5">
        <v>5.254E-3</v>
      </c>
      <c r="E5">
        <v>5.254E-3</v>
      </c>
      <c r="F5">
        <v>10698204</v>
      </c>
      <c r="G5">
        <v>5.254E-3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-10698204</v>
      </c>
      <c r="R5">
        <f t="shared" ref="R5" si="2">R6+Q5</f>
        <v>17646475475.163513</v>
      </c>
      <c r="S5">
        <f t="shared" ref="S5" si="3">R5/100000</f>
        <v>176464.75475163513</v>
      </c>
      <c r="T5">
        <f t="shared" ref="T5" si="4">S5/1000</f>
        <v>176.46475475163513</v>
      </c>
    </row>
    <row r="6" spans="1:20" x14ac:dyDescent="0.25">
      <c r="A6" s="5">
        <v>44587</v>
      </c>
      <c r="B6">
        <v>5.0990000000000002E-3</v>
      </c>
      <c r="C6">
        <v>6.045E-3</v>
      </c>
      <c r="D6">
        <v>5.0759999999999998E-3</v>
      </c>
      <c r="E6">
        <v>5.3239999999999997E-3</v>
      </c>
      <c r="F6">
        <v>268635400</v>
      </c>
      <c r="G6">
        <v>5.3239999999999997E-3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-0.48813209494324067</v>
      </c>
      <c r="Q6">
        <f t="shared" ref="Q6" si="6">F6*P6</f>
        <v>-131129560.57791543</v>
      </c>
      <c r="R6">
        <f t="shared" ref="R6" si="7">R7+Q6</f>
        <v>17657173679.163513</v>
      </c>
      <c r="S6">
        <f t="shared" ref="S6" si="8">R6/100000</f>
        <v>176571.73679163514</v>
      </c>
      <c r="T6">
        <f t="shared" ref="T6" si="9">S6/1000</f>
        <v>176.57173679163515</v>
      </c>
    </row>
    <row r="7" spans="1:20" x14ac:dyDescent="0.25">
      <c r="A7" s="5">
        <v>44586</v>
      </c>
      <c r="B7">
        <v>5.032E-3</v>
      </c>
      <c r="C7">
        <v>5.2319999999999997E-3</v>
      </c>
      <c r="D7">
        <v>4.8129999999999996E-3</v>
      </c>
      <c r="E7">
        <v>5.0980000000000001E-3</v>
      </c>
      <c r="F7">
        <v>94652628</v>
      </c>
      <c r="G7">
        <v>5.0980000000000001E-3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0.36038186157518121</v>
      </c>
      <c r="Q7">
        <f t="shared" ref="Q7" si="11">F7*P7</f>
        <v>34111090.281623118</v>
      </c>
      <c r="R7">
        <f t="shared" ref="R7" si="12">R8+Q7</f>
        <v>17788303239.741428</v>
      </c>
      <c r="S7">
        <f t="shared" ref="S7" si="13">R7/100000</f>
        <v>177883.0323974143</v>
      </c>
      <c r="T7">
        <f t="shared" ref="T7" si="14">S7/1000</f>
        <v>177.8830323974143</v>
      </c>
    </row>
    <row r="8" spans="1:20" x14ac:dyDescent="0.25">
      <c r="A8" s="5">
        <v>44585</v>
      </c>
      <c r="B8">
        <v>5.2659999999999998E-3</v>
      </c>
      <c r="C8">
        <v>5.2709999999999996E-3</v>
      </c>
      <c r="D8">
        <v>4.5199999999999997E-3</v>
      </c>
      <c r="E8">
        <v>5.045E-3</v>
      </c>
      <c r="F8">
        <v>164028787</v>
      </c>
      <c r="G8">
        <v>5.045E-3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0.39813581890812338</v>
      </c>
      <c r="Q8">
        <f t="shared" ref="Q8" si="16">F8*P8</f>
        <v>65305735.436751142</v>
      </c>
      <c r="R8">
        <f t="shared" ref="R8" si="17">R9+Q8</f>
        <v>17754192149.459805</v>
      </c>
      <c r="S8">
        <f t="shared" ref="S8" si="18">R8/100000</f>
        <v>177541.92149459803</v>
      </c>
      <c r="T8">
        <f t="shared" ref="T8" si="19">S8/1000</f>
        <v>177.54192149459803</v>
      </c>
    </row>
    <row r="9" spans="1:20" x14ac:dyDescent="0.25">
      <c r="A9" s="5">
        <v>44584</v>
      </c>
      <c r="B9">
        <v>5.0419999999999996E-3</v>
      </c>
      <c r="C9">
        <v>5.4169999999999999E-3</v>
      </c>
      <c r="D9">
        <v>4.9569999999999996E-3</v>
      </c>
      <c r="E9">
        <v>5.2709999999999996E-3</v>
      </c>
      <c r="F9">
        <v>109237411</v>
      </c>
      <c r="G9">
        <v>5.2709999999999996E-3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0.36521739130434699</v>
      </c>
      <c r="Q9">
        <f t="shared" ref="Q9" si="21">F9*P9</f>
        <v>39895402.278260782</v>
      </c>
      <c r="R9">
        <f t="shared" ref="R9" si="22">R10+Q9</f>
        <v>17688886414.023052</v>
      </c>
      <c r="S9">
        <f t="shared" ref="S9" si="23">R9/100000</f>
        <v>176888.86414023052</v>
      </c>
      <c r="T9">
        <f t="shared" ref="T9" si="24">S9/1000</f>
        <v>176.88886414023051</v>
      </c>
    </row>
    <row r="10" spans="1:20" x14ac:dyDescent="0.25">
      <c r="A10" s="5">
        <v>44583</v>
      </c>
      <c r="B10">
        <v>5.6360000000000004E-3</v>
      </c>
      <c r="C10">
        <v>5.7219999999999997E-3</v>
      </c>
      <c r="D10">
        <v>4.516E-3</v>
      </c>
      <c r="E10">
        <v>5.0549999999999996E-3</v>
      </c>
      <c r="F10">
        <v>267819346</v>
      </c>
      <c r="G10">
        <v>5.0549999999999996E-3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-0.10613598673300212</v>
      </c>
      <c r="Q10">
        <f t="shared" ref="Q10" si="26">F10*P10</f>
        <v>-28425270.553897303</v>
      </c>
      <c r="R10">
        <f t="shared" ref="R10" si="27">R11+Q10</f>
        <v>17648991011.744793</v>
      </c>
      <c r="S10">
        <f t="shared" ref="S10" si="28">R10/100000</f>
        <v>176489.91011744793</v>
      </c>
      <c r="T10">
        <f t="shared" ref="T10" si="29">S10/1000</f>
        <v>176.48991011744792</v>
      </c>
    </row>
    <row r="11" spans="1:20" x14ac:dyDescent="0.25">
      <c r="A11" s="5">
        <v>44582</v>
      </c>
      <c r="B11">
        <v>6.5529999999999998E-3</v>
      </c>
      <c r="C11">
        <v>6.6899999999999998E-3</v>
      </c>
      <c r="D11">
        <v>5.5019999999999999E-3</v>
      </c>
      <c r="E11">
        <v>5.6480000000000002E-3</v>
      </c>
      <c r="F11">
        <v>150682944</v>
      </c>
      <c r="G11">
        <v>5.6480000000000002E-3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-0.75420875420875366</v>
      </c>
      <c r="Q11">
        <f t="shared" ref="Q11" si="31">F11*P11</f>
        <v>-113646395.47474739</v>
      </c>
      <c r="R11">
        <f t="shared" ref="R11" si="32">R12+Q11</f>
        <v>17677416282.298691</v>
      </c>
      <c r="S11">
        <f t="shared" ref="S11" si="33">R11/100000</f>
        <v>176774.16282298689</v>
      </c>
      <c r="T11">
        <f t="shared" ref="T11" si="34">S11/1000</f>
        <v>176.77416282298688</v>
      </c>
    </row>
    <row r="12" spans="1:20" x14ac:dyDescent="0.25">
      <c r="A12" s="5">
        <v>44581</v>
      </c>
      <c r="B12">
        <v>6.7580000000000001E-3</v>
      </c>
      <c r="C12">
        <v>6.9750000000000003E-3</v>
      </c>
      <c r="D12">
        <v>6.5310000000000003E-3</v>
      </c>
      <c r="E12">
        <v>6.5640000000000004E-3</v>
      </c>
      <c r="F12">
        <v>65914429</v>
      </c>
      <c r="G12">
        <v>6.5640000000000004E-3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-0.85135135135135109</v>
      </c>
      <c r="Q12">
        <f t="shared" ref="Q12" si="36">F12*P12</f>
        <v>-56116338.202702686</v>
      </c>
      <c r="R12">
        <f t="shared" ref="R12" si="37">R13+Q12</f>
        <v>17791062677.773438</v>
      </c>
      <c r="S12">
        <f t="shared" ref="S12" si="38">R12/100000</f>
        <v>177910.62677773437</v>
      </c>
      <c r="T12">
        <f t="shared" ref="T12" si="39">S12/1000</f>
        <v>177.91062677773436</v>
      </c>
    </row>
    <row r="13" spans="1:20" x14ac:dyDescent="0.25">
      <c r="A13" s="5">
        <v>44580</v>
      </c>
      <c r="B13">
        <v>7.0039999999999998E-3</v>
      </c>
      <c r="C13">
        <v>7.0530000000000002E-3</v>
      </c>
      <c r="D13">
        <v>6.6189999999999999E-3</v>
      </c>
      <c r="E13">
        <v>6.7559999999999999E-3</v>
      </c>
      <c r="F13">
        <v>50916825</v>
      </c>
      <c r="G13">
        <v>6.7559999999999999E-3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-0.36866359447004676</v>
      </c>
      <c r="Q13">
        <f t="shared" ref="Q13" si="41">F13*P13</f>
        <v>-18771179.723502338</v>
      </c>
      <c r="R13">
        <f t="shared" ref="R13" si="42">R14+Q13</f>
        <v>17847179015.976139</v>
      </c>
      <c r="S13">
        <f t="shared" ref="S13" si="43">R13/100000</f>
        <v>178471.79015976138</v>
      </c>
      <c r="T13">
        <f t="shared" ref="T13" si="44">S13/1000</f>
        <v>178.47179015976138</v>
      </c>
    </row>
    <row r="14" spans="1:20" x14ac:dyDescent="0.25">
      <c r="A14" s="5">
        <v>44579</v>
      </c>
      <c r="B14">
        <v>7.1149999999999998E-3</v>
      </c>
      <c r="C14">
        <v>7.3980000000000001E-3</v>
      </c>
      <c r="D14">
        <v>6.7650000000000002E-3</v>
      </c>
      <c r="E14">
        <v>7.0150000000000004E-3</v>
      </c>
      <c r="F14">
        <v>110730336</v>
      </c>
      <c r="G14">
        <v>7.0150000000000004E-3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-0.21011058451816661</v>
      </c>
      <c r="Q14">
        <f t="shared" ref="Q14" si="46">F14*P14</f>
        <v>-23265615.620852988</v>
      </c>
      <c r="R14">
        <f t="shared" ref="R14" si="47">R15+Q14</f>
        <v>17865950195.699642</v>
      </c>
      <c r="S14">
        <f t="shared" ref="S14" si="48">R14/100000</f>
        <v>178659.50195699642</v>
      </c>
      <c r="T14">
        <f t="shared" ref="T14" si="49">S14/1000</f>
        <v>178.65950195699642</v>
      </c>
    </row>
    <row r="15" spans="1:20" x14ac:dyDescent="0.25">
      <c r="A15" s="5">
        <v>44578</v>
      </c>
      <c r="B15">
        <v>7.4310000000000001E-3</v>
      </c>
      <c r="C15">
        <v>7.5859999999999999E-3</v>
      </c>
      <c r="D15">
        <v>7.0239999999999999E-3</v>
      </c>
      <c r="E15">
        <v>7.1060000000000003E-3</v>
      </c>
      <c r="F15">
        <v>56712105</v>
      </c>
      <c r="G15">
        <v>7.1060000000000003E-3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-0.70818505338078119</v>
      </c>
      <c r="Q15">
        <f t="shared" ref="Q15" si="51">F15*P15</f>
        <v>-40162665.10676147</v>
      </c>
      <c r="R15">
        <f t="shared" ref="R15" si="52">R16+Q15</f>
        <v>17889215811.320496</v>
      </c>
      <c r="S15">
        <f t="shared" ref="S15" si="53">R15/100000</f>
        <v>178892.15811320496</v>
      </c>
      <c r="T15">
        <f t="shared" ref="T15" si="54">S15/1000</f>
        <v>178.89215811320497</v>
      </c>
    </row>
    <row r="16" spans="1:20" x14ac:dyDescent="0.25">
      <c r="A16" s="5">
        <v>44577</v>
      </c>
      <c r="B16">
        <v>7.3839999999999999E-3</v>
      </c>
      <c r="C16">
        <v>7.4640000000000001E-3</v>
      </c>
      <c r="D16">
        <v>7.3140000000000002E-3</v>
      </c>
      <c r="E16">
        <v>7.4409999999999997E-3</v>
      </c>
      <c r="F16">
        <v>29280307</v>
      </c>
      <c r="G16">
        <v>7.4409999999999997E-3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0.69333333333332725</v>
      </c>
      <c r="Q16">
        <f t="shared" ref="Q16" si="56">F16*P16</f>
        <v>20301012.853333157</v>
      </c>
      <c r="R16">
        <f t="shared" ref="R16" si="57">R17+Q16</f>
        <v>17929378476.427258</v>
      </c>
      <c r="S16">
        <f t="shared" ref="S16" si="58">R16/100000</f>
        <v>179293.78476427257</v>
      </c>
      <c r="T16">
        <f t="shared" ref="T16" si="59">S16/1000</f>
        <v>179.29378476427257</v>
      </c>
    </row>
    <row r="17" spans="1:20" x14ac:dyDescent="0.25">
      <c r="A17" s="5">
        <v>44576</v>
      </c>
      <c r="B17">
        <v>7.4089999999999998E-3</v>
      </c>
      <c r="C17">
        <v>7.4859999999999996E-3</v>
      </c>
      <c r="D17">
        <v>7.2709999999999997E-3</v>
      </c>
      <c r="E17">
        <v>7.3850000000000001E-3</v>
      </c>
      <c r="F17">
        <v>26579029</v>
      </c>
      <c r="G17">
        <v>7.3850000000000001E-3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6.0465116279073784E-2</v>
      </c>
      <c r="Q17">
        <f t="shared" ref="Q17" si="61">F17*P17</f>
        <v>1607104.0790698742</v>
      </c>
      <c r="R17">
        <f t="shared" ref="R17" si="62">R18+Q17</f>
        <v>17909077463.573925</v>
      </c>
      <c r="S17">
        <f t="shared" ref="S17" si="63">R17/100000</f>
        <v>179090.77463573925</v>
      </c>
      <c r="T17">
        <f t="shared" ref="T17" si="64">S17/1000</f>
        <v>179.09077463573925</v>
      </c>
    </row>
    <row r="18" spans="1:20" x14ac:dyDescent="0.25">
      <c r="A18" s="5">
        <v>44575</v>
      </c>
      <c r="B18">
        <v>7.2740000000000001E-3</v>
      </c>
      <c r="C18">
        <v>7.5259999999999997E-3</v>
      </c>
      <c r="D18">
        <v>7.0650000000000001E-3</v>
      </c>
      <c r="E18">
        <v>7.4070000000000004E-3</v>
      </c>
      <c r="F18">
        <v>63865118</v>
      </c>
      <c r="G18">
        <v>7.4070000000000004E-3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0.48373101952277908</v>
      </c>
      <c r="Q18">
        <f t="shared" ref="Q18" si="66">F18*P18</f>
        <v>30893538.642082591</v>
      </c>
      <c r="R18">
        <f t="shared" ref="R18" si="67">R19+Q18</f>
        <v>17907470359.494854</v>
      </c>
      <c r="S18">
        <f t="shared" ref="S18" si="68">R18/100000</f>
        <v>179074.70359494854</v>
      </c>
      <c r="T18">
        <f t="shared" ref="T18" si="69">S18/1000</f>
        <v>179.07470359494855</v>
      </c>
    </row>
    <row r="19" spans="1:20" x14ac:dyDescent="0.25">
      <c r="A19" s="5">
        <v>44574</v>
      </c>
      <c r="B19">
        <v>7.5170000000000002E-3</v>
      </c>
      <c r="C19">
        <v>8.2480000000000001E-3</v>
      </c>
      <c r="D19">
        <v>7.175E-3</v>
      </c>
      <c r="E19">
        <v>7.2649999999999998E-3</v>
      </c>
      <c r="F19">
        <v>188855376</v>
      </c>
      <c r="G19">
        <v>7.2649999999999998E-3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-0.83224603914259121</v>
      </c>
      <c r="Q19">
        <f t="shared" ref="Q19" si="71">F19*P19</f>
        <v>-157174138.64678478</v>
      </c>
      <c r="R19">
        <f t="shared" ref="R19" si="72">R20+Q19</f>
        <v>17876576820.852772</v>
      </c>
      <c r="S19">
        <f t="shared" ref="S19" si="73">R19/100000</f>
        <v>178765.7682085277</v>
      </c>
      <c r="T19">
        <f t="shared" ref="T19" si="74">S19/1000</f>
        <v>178.7657682085277</v>
      </c>
    </row>
    <row r="20" spans="1:20" x14ac:dyDescent="0.25">
      <c r="A20" s="5">
        <v>44573</v>
      </c>
      <c r="B20">
        <v>7.1910000000000003E-3</v>
      </c>
      <c r="C20">
        <v>7.6889999999999997E-3</v>
      </c>
      <c r="D20">
        <v>7.1149999999999998E-3</v>
      </c>
      <c r="E20">
        <v>7.5100000000000002E-3</v>
      </c>
      <c r="F20">
        <v>91599339</v>
      </c>
      <c r="G20">
        <v>7.5100000000000002E-3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0.37630662020906092</v>
      </c>
      <c r="Q20">
        <f t="shared" ref="Q20" si="76">F20*P20</f>
        <v>34469437.672474019</v>
      </c>
      <c r="R20">
        <f t="shared" ref="R20" si="77">R21+Q20</f>
        <v>18033750959.499557</v>
      </c>
      <c r="S20">
        <f t="shared" ref="S20" si="78">R20/100000</f>
        <v>180337.50959499559</v>
      </c>
      <c r="T20">
        <f t="shared" ref="T20" si="79">S20/1000</f>
        <v>180.33750959499559</v>
      </c>
    </row>
    <row r="21" spans="1:20" x14ac:dyDescent="0.25">
      <c r="A21" s="5">
        <v>44572</v>
      </c>
      <c r="B21">
        <v>6.9909999999999998E-3</v>
      </c>
      <c r="C21">
        <v>7.4419999999999998E-3</v>
      </c>
      <c r="D21">
        <v>6.7520000000000002E-3</v>
      </c>
      <c r="E21">
        <v>7.1710000000000003E-3</v>
      </c>
      <c r="F21">
        <v>137317943</v>
      </c>
      <c r="G21">
        <v>7.1710000000000003E-3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0.21449275362318934</v>
      </c>
      <c r="Q21">
        <f t="shared" ref="Q21" si="81">F21*P21</f>
        <v>29453703.715942159</v>
      </c>
      <c r="R21">
        <f t="shared" ref="R21" si="82">R22+Q21</f>
        <v>17999281521.827084</v>
      </c>
      <c r="S21">
        <f t="shared" ref="S21" si="83">R21/100000</f>
        <v>179992.81521827084</v>
      </c>
      <c r="T21">
        <f t="shared" ref="T21" si="84">S21/1000</f>
        <v>179.99281521827083</v>
      </c>
    </row>
    <row r="22" spans="1:20" x14ac:dyDescent="0.25">
      <c r="A22" s="5">
        <v>44571</v>
      </c>
      <c r="B22">
        <v>7.3959999999999998E-3</v>
      </c>
      <c r="C22">
        <v>7.5199999999999998E-3</v>
      </c>
      <c r="D22">
        <v>6.4999999999999997E-3</v>
      </c>
      <c r="E22">
        <v>6.9880000000000003E-3</v>
      </c>
      <c r="F22">
        <v>89387482</v>
      </c>
      <c r="G22">
        <v>6.9880000000000003E-3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-4.3137254901959701E-2</v>
      </c>
      <c r="Q22">
        <f t="shared" ref="Q22" si="86">F22*P22</f>
        <v>-3855930.5960783344</v>
      </c>
      <c r="R22">
        <f t="shared" ref="R22" si="87">R23+Q22</f>
        <v>17969827818.111141</v>
      </c>
      <c r="S22">
        <f t="shared" ref="S22" si="88">R22/100000</f>
        <v>179698.27818111141</v>
      </c>
      <c r="T22">
        <f t="shared" ref="T22" si="89">S22/1000</f>
        <v>179.69827818111142</v>
      </c>
    </row>
    <row r="23" spans="1:20" x14ac:dyDescent="0.25">
      <c r="A23" s="5">
        <v>44570</v>
      </c>
      <c r="B23">
        <v>7.2719999999999998E-3</v>
      </c>
      <c r="C23">
        <v>7.5030000000000001E-3</v>
      </c>
      <c r="D23">
        <v>7.1999999999999998E-3</v>
      </c>
      <c r="E23">
        <v>7.4139999999999996E-3</v>
      </c>
      <c r="F23">
        <v>49852925</v>
      </c>
      <c r="G23">
        <v>7.4139999999999996E-3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0.4125412541254096</v>
      </c>
      <c r="Q23">
        <f t="shared" ref="Q23" si="91">F23*P23</f>
        <v>20566388.201319985</v>
      </c>
      <c r="R23">
        <f t="shared" ref="R23" si="92">R24+Q23</f>
        <v>17973683748.707218</v>
      </c>
      <c r="S23">
        <f t="shared" ref="S23" si="93">R23/100000</f>
        <v>179736.83748707219</v>
      </c>
      <c r="T23">
        <f t="shared" ref="T23" si="94">S23/1000</f>
        <v>179.73683748707219</v>
      </c>
    </row>
    <row r="24" spans="1:20" x14ac:dyDescent="0.25">
      <c r="A24" s="5">
        <v>44569</v>
      </c>
      <c r="B24">
        <v>7.4780000000000003E-3</v>
      </c>
      <c r="C24">
        <v>7.574E-3</v>
      </c>
      <c r="D24">
        <v>7.0219999999999996E-3</v>
      </c>
      <c r="E24">
        <v>7.2579999999999997E-3</v>
      </c>
      <c r="F24">
        <v>69175340</v>
      </c>
      <c r="G24">
        <v>7.2579999999999997E-3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-0.14492753623188434</v>
      </c>
      <c r="Q24">
        <f t="shared" ref="Q24" si="96">F24*P24</f>
        <v>-10025411.594202919</v>
      </c>
      <c r="R24">
        <f t="shared" ref="R24" si="97">R25+Q24</f>
        <v>17953117360.505898</v>
      </c>
      <c r="S24">
        <f t="shared" ref="S24" si="98">R24/100000</f>
        <v>179531.17360505898</v>
      </c>
      <c r="T24">
        <f t="shared" ref="T24" si="99">S24/1000</f>
        <v>179.531173605059</v>
      </c>
    </row>
    <row r="25" spans="1:20" x14ac:dyDescent="0.25">
      <c r="A25" s="5">
        <v>44568</v>
      </c>
      <c r="B25">
        <v>8.0099999999999998E-3</v>
      </c>
      <c r="C25">
        <v>8.0169999999999998E-3</v>
      </c>
      <c r="D25">
        <v>7.2049999999999996E-3</v>
      </c>
      <c r="E25">
        <v>7.4700000000000001E-3</v>
      </c>
      <c r="F25">
        <v>113572427</v>
      </c>
      <c r="G25">
        <v>7.4700000000000001E-3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-0.34729064039408769</v>
      </c>
      <c r="Q25">
        <f t="shared" ref="Q25" si="101">F25*P25</f>
        <v>-39442640.903940775</v>
      </c>
      <c r="R25">
        <f t="shared" ref="R25" si="102">R26+Q25</f>
        <v>17963142772.100101</v>
      </c>
      <c r="S25">
        <f t="shared" ref="S25" si="103">R25/100000</f>
        <v>179631.427721001</v>
      </c>
      <c r="T25">
        <f t="shared" ref="T25" si="104">S25/1000</f>
        <v>179.63142772100102</v>
      </c>
    </row>
    <row r="26" spans="1:20" x14ac:dyDescent="0.25">
      <c r="A26" s="5">
        <v>44567</v>
      </c>
      <c r="B26">
        <v>7.9039999999999996E-3</v>
      </c>
      <c r="C26">
        <v>8.2310000000000005E-3</v>
      </c>
      <c r="D26">
        <v>7.7190000000000002E-3</v>
      </c>
      <c r="E26">
        <v>8.0169999999999998E-3</v>
      </c>
      <c r="F26">
        <v>65761749</v>
      </c>
      <c r="G26">
        <v>8.0169999999999998E-3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0.16406249999999797</v>
      </c>
      <c r="Q26">
        <f t="shared" ref="Q26" si="106">F26*P26</f>
        <v>10789036.945312366</v>
      </c>
      <c r="R26">
        <f t="shared" ref="R26" si="107">R27+Q26</f>
        <v>18002585413.004044</v>
      </c>
      <c r="S26">
        <f t="shared" ref="S26" si="108">R26/100000</f>
        <v>180025.85413004045</v>
      </c>
      <c r="T26">
        <f t="shared" ref="T26" si="109">S26/1000</f>
        <v>180.02585413004044</v>
      </c>
    </row>
    <row r="27" spans="1:20" x14ac:dyDescent="0.25">
      <c r="A27" s="5">
        <v>44566</v>
      </c>
      <c r="B27">
        <v>8.4510000000000002E-3</v>
      </c>
      <c r="C27">
        <v>8.5990000000000007E-3</v>
      </c>
      <c r="D27">
        <v>7.8009999999999998E-3</v>
      </c>
      <c r="E27">
        <v>7.9179999999999997E-3</v>
      </c>
      <c r="F27">
        <v>86066809</v>
      </c>
      <c r="G27">
        <v>7.9179999999999997E-3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-0.7067669172932336</v>
      </c>
      <c r="Q27">
        <f t="shared" ref="Q27" si="111">F27*P27</f>
        <v>-60829173.27819553</v>
      </c>
      <c r="R27">
        <f t="shared" ref="R27" si="112">R28+Q27</f>
        <v>17991796376.058731</v>
      </c>
      <c r="S27">
        <f t="shared" ref="S27" si="113">R27/100000</f>
        <v>179917.9637605873</v>
      </c>
      <c r="T27">
        <f t="shared" ref="T27" si="114">S27/1000</f>
        <v>179.9179637605873</v>
      </c>
    </row>
    <row r="28" spans="1:20" x14ac:dyDescent="0.25">
      <c r="A28" s="5">
        <v>44565</v>
      </c>
      <c r="B28">
        <v>8.7860000000000004E-3</v>
      </c>
      <c r="C28">
        <v>8.9300000000000004E-3</v>
      </c>
      <c r="D28">
        <v>8.3549999999999996E-3</v>
      </c>
      <c r="E28">
        <v>8.4460000000000004E-3</v>
      </c>
      <c r="F28">
        <v>103269018</v>
      </c>
      <c r="G28">
        <v>8.4460000000000004E-3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-0.68347826086956287</v>
      </c>
      <c r="Q28">
        <f t="shared" ref="Q28" si="116">F28*P28</f>
        <v>-70582128.824347585</v>
      </c>
      <c r="R28">
        <f t="shared" ref="R28" si="117">R29+Q28</f>
        <v>18052625549.336926</v>
      </c>
      <c r="S28">
        <f t="shared" ref="S28" si="118">R28/100000</f>
        <v>180526.25549336924</v>
      </c>
      <c r="T28">
        <f t="shared" ref="T28" si="119">S28/1000</f>
        <v>180.52625549336923</v>
      </c>
    </row>
    <row r="29" spans="1:20" x14ac:dyDescent="0.25">
      <c r="A29" s="5">
        <v>44564</v>
      </c>
      <c r="B29">
        <v>8.8000000000000005E-3</v>
      </c>
      <c r="C29">
        <v>9.3430000000000006E-3</v>
      </c>
      <c r="D29">
        <v>8.5710000000000005E-3</v>
      </c>
      <c r="E29">
        <v>8.77E-3</v>
      </c>
      <c r="F29">
        <v>222749231</v>
      </c>
      <c r="G29">
        <v>8.77E-3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-0.48445595854922413</v>
      </c>
      <c r="Q29">
        <f t="shared" ref="Q29" si="121">F29*P29</f>
        <v>-107912192.22020756</v>
      </c>
      <c r="R29">
        <f t="shared" ref="R29" si="122">R30+Q29</f>
        <v>18123207678.161274</v>
      </c>
      <c r="S29">
        <f t="shared" ref="S29" si="123">R29/100000</f>
        <v>181232.07678161273</v>
      </c>
      <c r="T29">
        <f t="shared" ref="T29" si="124">S29/1000</f>
        <v>181.23207678161273</v>
      </c>
    </row>
    <row r="30" spans="1:20" x14ac:dyDescent="0.25">
      <c r="A30" s="5">
        <v>44563</v>
      </c>
      <c r="B30">
        <v>8.3400000000000002E-3</v>
      </c>
      <c r="C30">
        <v>1.0817999999999999E-2</v>
      </c>
      <c r="D30">
        <v>8.2550000000000002E-3</v>
      </c>
      <c r="E30">
        <v>8.8100000000000001E-3</v>
      </c>
      <c r="F30">
        <v>519267854</v>
      </c>
      <c r="G30">
        <v>8.8100000000000001E-3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-0.56691377292235656</v>
      </c>
      <c r="Q30">
        <f t="shared" ref="Q30" si="126">F30*P30</f>
        <v>-294380098.26843542</v>
      </c>
      <c r="R30">
        <f t="shared" ref="R30" si="127">R31+Q30</f>
        <v>18231119870.381481</v>
      </c>
      <c r="S30">
        <f t="shared" ref="S30" si="128">R30/100000</f>
        <v>182311.19870381482</v>
      </c>
      <c r="T30">
        <f t="shared" ref="T30" si="129">S30/1000</f>
        <v>182.31119870381482</v>
      </c>
    </row>
    <row r="31" spans="1:20" x14ac:dyDescent="0.25">
      <c r="A31" s="5">
        <v>44562</v>
      </c>
      <c r="B31">
        <v>8.1510000000000003E-3</v>
      </c>
      <c r="C31">
        <v>8.3389999999999992E-3</v>
      </c>
      <c r="D31">
        <v>8.1510000000000003E-3</v>
      </c>
      <c r="E31">
        <v>8.3269999999999993E-3</v>
      </c>
      <c r="F31">
        <v>22468664</v>
      </c>
      <c r="G31">
        <v>8.3269999999999993E-3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0.87234042553191571</v>
      </c>
      <c r="Q31">
        <f t="shared" ref="Q31" si="131">F31*P31</f>
        <v>19600323.914893635</v>
      </c>
      <c r="R31">
        <f t="shared" ref="R31" si="132">R32+Q31</f>
        <v>18525499968.649918</v>
      </c>
      <c r="S31">
        <f t="shared" ref="S31" si="133">R31/100000</f>
        <v>185254.99968649918</v>
      </c>
      <c r="T31">
        <f t="shared" ref="T31" si="134">S31/1000</f>
        <v>185.25499968649919</v>
      </c>
    </row>
    <row r="32" spans="1:20" x14ac:dyDescent="0.25">
      <c r="A32" s="5">
        <v>44561</v>
      </c>
      <c r="B32">
        <v>8.2500000000000004E-3</v>
      </c>
      <c r="C32">
        <v>8.4659999999999996E-3</v>
      </c>
      <c r="D32">
        <v>8.0529999999999994E-3</v>
      </c>
      <c r="E32">
        <v>8.1460000000000005E-3</v>
      </c>
      <c r="F32">
        <v>56768178</v>
      </c>
      <c r="G32">
        <v>8.1460000000000005E-3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-0.54963680387408698</v>
      </c>
      <c r="Q32">
        <f t="shared" ref="Q32" si="136">F32*P32</f>
        <v>-31201879.91767526</v>
      </c>
      <c r="R32">
        <f t="shared" ref="R32" si="137">R33+Q32</f>
        <v>18505899644.735023</v>
      </c>
      <c r="S32">
        <f t="shared" ref="S32" si="138">R32/100000</f>
        <v>185058.99644735025</v>
      </c>
      <c r="T32">
        <f t="shared" ref="T32" si="139">S32/1000</f>
        <v>185.05899644735024</v>
      </c>
    </row>
    <row r="33" spans="1:20" x14ac:dyDescent="0.25">
      <c r="A33" s="5">
        <v>44560</v>
      </c>
      <c r="B33">
        <v>8.2070000000000008E-3</v>
      </c>
      <c r="C33">
        <v>8.7089999999999997E-3</v>
      </c>
      <c r="D33">
        <v>8.0689999999999998E-3</v>
      </c>
      <c r="E33">
        <v>8.2500000000000004E-3</v>
      </c>
      <c r="F33">
        <v>106037875</v>
      </c>
      <c r="G33">
        <v>8.2500000000000004E-3</v>
      </c>
      <c r="L33" t="s">
        <v>8</v>
      </c>
      <c r="M33" t="s">
        <v>8</v>
      </c>
      <c r="N33" t="s">
        <v>7</v>
      </c>
      <c r="P33">
        <f t="shared" ref="P33" si="140">IF(C33=D33,0,((E33-D33)-(C33-E33))/(C33-D33))</f>
        <v>-0.43437499999999807</v>
      </c>
      <c r="Q33">
        <f t="shared" ref="Q33" si="141">F33*P33</f>
        <v>-46060201.953124799</v>
      </c>
      <c r="R33">
        <f t="shared" ref="R33" si="142">R34+Q33</f>
        <v>18537101524.652699</v>
      </c>
      <c r="S33">
        <f t="shared" ref="S33" si="143">R33/100000</f>
        <v>185371.01524652698</v>
      </c>
      <c r="T33">
        <f t="shared" ref="T33" si="144">S33/1000</f>
        <v>185.37101524652698</v>
      </c>
    </row>
    <row r="34" spans="1:20" x14ac:dyDescent="0.25">
      <c r="A34" s="5">
        <v>44559</v>
      </c>
      <c r="B34">
        <v>8.3119999999999999E-3</v>
      </c>
      <c r="C34">
        <v>8.5129999999999997E-3</v>
      </c>
      <c r="D34">
        <v>8.1270000000000005E-3</v>
      </c>
      <c r="E34">
        <v>8.1960000000000002E-3</v>
      </c>
      <c r="F34">
        <v>82294721</v>
      </c>
      <c r="G34">
        <v>8.1960000000000002E-3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-0.64248704663212564</v>
      </c>
      <c r="Q34">
        <f t="shared" ref="Q34" si="146">F34*P34</f>
        <v>-52873292.248704769</v>
      </c>
      <c r="R34">
        <f t="shared" ref="R34" si="147">R35+Q34</f>
        <v>18583161726.605824</v>
      </c>
      <c r="S34">
        <f t="shared" ref="S34" si="148">R34/100000</f>
        <v>185831.61726605822</v>
      </c>
      <c r="T34">
        <f t="shared" ref="T34" si="149">S34/1000</f>
        <v>185.83161726605823</v>
      </c>
    </row>
    <row r="35" spans="1:20" x14ac:dyDescent="0.25">
      <c r="A35" s="5">
        <v>44558</v>
      </c>
      <c r="B35">
        <v>8.9040000000000005E-3</v>
      </c>
      <c r="C35">
        <v>8.9239999999999996E-3</v>
      </c>
      <c r="D35">
        <v>8.3020000000000004E-3</v>
      </c>
      <c r="E35">
        <v>8.3020000000000004E-3</v>
      </c>
      <c r="F35">
        <v>86125900</v>
      </c>
      <c r="G35">
        <v>8.3020000000000004E-3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-1</v>
      </c>
      <c r="Q35">
        <f t="shared" ref="Q35" si="151">F35*P35</f>
        <v>-86125900</v>
      </c>
      <c r="R35">
        <f t="shared" ref="R35" si="152">R36+Q35</f>
        <v>18636035018.854527</v>
      </c>
      <c r="S35">
        <f t="shared" ref="S35" si="153">R35/100000</f>
        <v>186360.35018854527</v>
      </c>
      <c r="T35">
        <f t="shared" ref="T35" si="154">S35/1000</f>
        <v>186.36035018854528</v>
      </c>
    </row>
    <row r="36" spans="1:20" x14ac:dyDescent="0.25">
      <c r="A36" s="5">
        <v>44557</v>
      </c>
      <c r="B36">
        <v>8.9669999999999993E-3</v>
      </c>
      <c r="C36">
        <v>9.3010000000000002E-3</v>
      </c>
      <c r="D36">
        <v>8.8350000000000008E-3</v>
      </c>
      <c r="E36">
        <v>8.9079999999999993E-3</v>
      </c>
      <c r="F36">
        <v>171056461</v>
      </c>
      <c r="G36">
        <v>8.9079999999999993E-3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-0.68669527896996352</v>
      </c>
      <c r="Q36">
        <f t="shared" ref="Q36" si="156">F36*P36</f>
        <v>-117463664.20600969</v>
      </c>
      <c r="R36">
        <f t="shared" ref="R36" si="157">R37+Q36</f>
        <v>18722160918.854527</v>
      </c>
      <c r="S36">
        <f t="shared" ref="S36" si="158">R36/100000</f>
        <v>187221.60918854526</v>
      </c>
      <c r="T36">
        <f t="shared" ref="T36" si="159">S36/1000</f>
        <v>187.22160918854527</v>
      </c>
    </row>
    <row r="37" spans="1:20" x14ac:dyDescent="0.25">
      <c r="A37" s="5">
        <v>44556</v>
      </c>
      <c r="B37">
        <v>9.0209999999999995E-3</v>
      </c>
      <c r="C37">
        <v>9.0419999999999997E-3</v>
      </c>
      <c r="D37">
        <v>8.6999999999999994E-3</v>
      </c>
      <c r="E37">
        <v>8.9779999999999999E-3</v>
      </c>
      <c r="F37">
        <v>100139748</v>
      </c>
      <c r="G37">
        <v>8.9779999999999999E-3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0.62573099415204814</v>
      </c>
      <c r="Q37">
        <f t="shared" ref="Q37" si="161">F37*P37</f>
        <v>62660544.070175573</v>
      </c>
      <c r="R37">
        <f t="shared" ref="R37" si="162">R38+Q37</f>
        <v>18839624583.060535</v>
      </c>
      <c r="S37">
        <f t="shared" ref="S37" si="163">R37/100000</f>
        <v>188396.24583060536</v>
      </c>
      <c r="T37">
        <f t="shared" ref="T37" si="164">S37/1000</f>
        <v>188.39624583060535</v>
      </c>
    </row>
    <row r="38" spans="1:20" x14ac:dyDescent="0.25">
      <c r="A38" s="5">
        <v>44555</v>
      </c>
      <c r="B38">
        <v>8.8830000000000003E-3</v>
      </c>
      <c r="C38">
        <v>9.1299999999999992E-3</v>
      </c>
      <c r="D38">
        <v>8.7469999999999996E-3</v>
      </c>
      <c r="E38">
        <v>9.0240000000000008E-3</v>
      </c>
      <c r="F38">
        <v>58992309</v>
      </c>
      <c r="G38">
        <v>9.0240000000000008E-3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0.44647519582246187</v>
      </c>
      <c r="Q38">
        <f t="shared" ref="Q38" si="166">F38*P38</f>
        <v>26338602.712794181</v>
      </c>
      <c r="R38">
        <f t="shared" ref="R38" si="167">R39+Q38</f>
        <v>18776964038.99036</v>
      </c>
      <c r="S38">
        <f t="shared" ref="S38" si="168">R38/100000</f>
        <v>187769.64038990359</v>
      </c>
      <c r="T38">
        <f t="shared" ref="T38" si="169">S38/1000</f>
        <v>187.7696403899036</v>
      </c>
    </row>
    <row r="39" spans="1:20" x14ac:dyDescent="0.25">
      <c r="A39" s="5">
        <v>44554</v>
      </c>
      <c r="B39">
        <v>8.9519999999999999E-3</v>
      </c>
      <c r="C39">
        <v>9.3589999999999993E-3</v>
      </c>
      <c r="D39">
        <v>8.8369999999999994E-3</v>
      </c>
      <c r="E39">
        <v>8.8719999999999997E-3</v>
      </c>
      <c r="F39">
        <v>86076850</v>
      </c>
      <c r="G39">
        <v>8.8719999999999997E-3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-0.86590038314176121</v>
      </c>
      <c r="Q39">
        <f t="shared" ref="Q39" si="171">F39*P39</f>
        <v>-74533977.394635916</v>
      </c>
      <c r="R39">
        <f t="shared" ref="R39" si="172">R40+Q39</f>
        <v>18750625436.277565</v>
      </c>
      <c r="S39">
        <f t="shared" ref="S39" si="173">R39/100000</f>
        <v>187506.25436277565</v>
      </c>
      <c r="T39">
        <f t="shared" ref="T39" si="174">S39/1000</f>
        <v>187.50625436277565</v>
      </c>
    </row>
    <row r="40" spans="1:20" x14ac:dyDescent="0.25">
      <c r="A40" s="5">
        <v>44553</v>
      </c>
      <c r="B40">
        <v>8.4709999999999994E-3</v>
      </c>
      <c r="C40">
        <v>9.0259999999999993E-3</v>
      </c>
      <c r="D40">
        <v>8.3560000000000006E-3</v>
      </c>
      <c r="E40">
        <v>8.9499999999999996E-3</v>
      </c>
      <c r="F40">
        <v>99399889</v>
      </c>
      <c r="G40">
        <v>8.9499999999999996E-3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0.7731343283582095</v>
      </c>
      <c r="Q40">
        <f t="shared" ref="Q40" si="176">F40*P40</f>
        <v>76849466.420895576</v>
      </c>
      <c r="R40">
        <f t="shared" ref="R40" si="177">R41+Q40</f>
        <v>18825159413.672199</v>
      </c>
      <c r="S40">
        <f t="shared" ref="S40" si="178">R40/100000</f>
        <v>188251.59413672198</v>
      </c>
      <c r="T40">
        <f t="shared" ref="T40" si="179">S40/1000</f>
        <v>188.25159413672199</v>
      </c>
    </row>
    <row r="41" spans="1:20" x14ac:dyDescent="0.25">
      <c r="A41" s="5">
        <v>44552</v>
      </c>
      <c r="B41">
        <v>8.4569999999999992E-3</v>
      </c>
      <c r="C41">
        <v>8.6149999999999994E-3</v>
      </c>
      <c r="D41">
        <v>8.3759999999999998E-3</v>
      </c>
      <c r="E41">
        <v>8.4880000000000008E-3</v>
      </c>
      <c r="F41">
        <v>58298744</v>
      </c>
      <c r="G41">
        <v>8.4880000000000008E-3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-6.276150627614091E-2</v>
      </c>
      <c r="Q41">
        <f t="shared" ref="Q41" si="181">F41*P41</f>
        <v>-3658916.9874471324</v>
      </c>
      <c r="R41">
        <f t="shared" ref="R41" si="182">R42+Q41</f>
        <v>18748309947.251305</v>
      </c>
      <c r="S41">
        <f t="shared" ref="S41" si="183">R41/100000</f>
        <v>187483.09947251304</v>
      </c>
      <c r="T41">
        <f t="shared" ref="T41" si="184">S41/1000</f>
        <v>187.48309947251303</v>
      </c>
    </row>
    <row r="42" spans="1:20" x14ac:dyDescent="0.25">
      <c r="A42" s="5">
        <v>44551</v>
      </c>
      <c r="B42">
        <v>8.2100000000000003E-3</v>
      </c>
      <c r="C42">
        <v>8.5059999999999997E-3</v>
      </c>
      <c r="D42">
        <v>8.0949999999999998E-3</v>
      </c>
      <c r="E42">
        <v>8.4650000000000003E-3</v>
      </c>
      <c r="F42">
        <v>72338163</v>
      </c>
      <c r="G42">
        <v>8.4650000000000003E-3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0.8004866180048692</v>
      </c>
      <c r="Q42">
        <f t="shared" ref="Q42" si="186">F42*P42</f>
        <v>57905731.452554964</v>
      </c>
      <c r="R42">
        <f t="shared" ref="R42" si="187">R43+Q42</f>
        <v>18751968864.23875</v>
      </c>
      <c r="S42">
        <f t="shared" ref="S42" si="188">R42/100000</f>
        <v>187519.68864238751</v>
      </c>
      <c r="T42">
        <f t="shared" ref="T42" si="189">S42/1000</f>
        <v>187.51968864238751</v>
      </c>
    </row>
    <row r="43" spans="1:20" x14ac:dyDescent="0.25">
      <c r="A43" s="5">
        <v>44550</v>
      </c>
      <c r="B43">
        <v>8.489E-3</v>
      </c>
      <c r="C43">
        <v>8.5089999999999992E-3</v>
      </c>
      <c r="D43">
        <v>7.9679999999999994E-3</v>
      </c>
      <c r="E43">
        <v>8.2019999999999992E-3</v>
      </c>
      <c r="F43">
        <v>83879233</v>
      </c>
      <c r="G43">
        <v>8.2019999999999992E-3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-0.13493530499075818</v>
      </c>
      <c r="Q43">
        <f t="shared" ref="Q43" si="191">F43*P43</f>
        <v>-11318269.887245867</v>
      </c>
      <c r="R43">
        <f t="shared" ref="R43" si="192">R44+Q43</f>
        <v>18694063132.786194</v>
      </c>
      <c r="S43">
        <f t="shared" ref="S43" si="193">R43/100000</f>
        <v>186940.63132786195</v>
      </c>
      <c r="T43">
        <f t="shared" ref="T43" si="194">S43/1000</f>
        <v>186.94063132786195</v>
      </c>
    </row>
    <row r="44" spans="1:20" x14ac:dyDescent="0.25">
      <c r="A44" s="5">
        <v>44549</v>
      </c>
      <c r="B44">
        <v>8.5050000000000004E-3</v>
      </c>
      <c r="C44">
        <v>8.7189999999999993E-3</v>
      </c>
      <c r="D44">
        <v>8.4840000000000002E-3</v>
      </c>
      <c r="E44">
        <v>8.4899999999999993E-3</v>
      </c>
      <c r="F44">
        <v>103967428</v>
      </c>
      <c r="G44">
        <v>8.4899999999999993E-3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-0.94893617021277377</v>
      </c>
      <c r="Q44">
        <f t="shared" ref="Q44" si="196">F44*P44</f>
        <v>-98658452.953192309</v>
      </c>
      <c r="R44">
        <f t="shared" ref="R44" si="197">R45+Q44</f>
        <v>18705381402.673439</v>
      </c>
      <c r="S44">
        <f t="shared" ref="S44" si="198">R44/100000</f>
        <v>187053.81402673438</v>
      </c>
      <c r="T44">
        <f t="shared" ref="T44" si="199">S44/1000</f>
        <v>187.05381402673439</v>
      </c>
    </row>
    <row r="45" spans="1:20" x14ac:dyDescent="0.25">
      <c r="A45" s="5">
        <v>44548</v>
      </c>
      <c r="B45">
        <v>8.3140000000000002E-3</v>
      </c>
      <c r="C45">
        <v>8.5579999999999996E-3</v>
      </c>
      <c r="D45">
        <v>8.1860000000000006E-3</v>
      </c>
      <c r="E45">
        <v>8.5039999999999994E-3</v>
      </c>
      <c r="F45">
        <v>77068890</v>
      </c>
      <c r="G45">
        <v>8.5039999999999994E-3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0.70967741935483675</v>
      </c>
      <c r="Q45">
        <f t="shared" ref="Q45" si="201">F45*P45</f>
        <v>54694050.967741787</v>
      </c>
      <c r="R45">
        <f t="shared" ref="R45" si="202">R46+Q45</f>
        <v>18804039855.626633</v>
      </c>
      <c r="S45">
        <f t="shared" ref="S45" si="203">R45/100000</f>
        <v>188040.39855626633</v>
      </c>
      <c r="T45">
        <f t="shared" ref="T45" si="204">S45/1000</f>
        <v>188.04039855626633</v>
      </c>
    </row>
    <row r="46" spans="1:20" x14ac:dyDescent="0.25">
      <c r="A46" s="5">
        <v>44547</v>
      </c>
      <c r="B46">
        <v>8.3639999999999999E-3</v>
      </c>
      <c r="C46">
        <v>8.6250000000000007E-3</v>
      </c>
      <c r="D46">
        <v>7.9880000000000003E-3</v>
      </c>
      <c r="E46">
        <v>8.3040000000000006E-3</v>
      </c>
      <c r="F46">
        <v>144792591</v>
      </c>
      <c r="G46">
        <v>8.3040000000000006E-3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-7.8492935635789528E-3</v>
      </c>
      <c r="Q46">
        <f t="shared" ref="Q46" si="206">F46*P46</f>
        <v>-1136519.5525902198</v>
      </c>
      <c r="R46">
        <f t="shared" ref="R46" si="207">R47+Q46</f>
        <v>18749345804.65889</v>
      </c>
      <c r="S46">
        <f t="shared" ref="S46" si="208">R46/100000</f>
        <v>187493.4580465889</v>
      </c>
      <c r="T46">
        <f t="shared" ref="T46" si="209">S46/1000</f>
        <v>187.4934580465889</v>
      </c>
    </row>
    <row r="47" spans="1:20" x14ac:dyDescent="0.25">
      <c r="A47" s="5">
        <v>44546</v>
      </c>
      <c r="B47">
        <v>8.5050000000000004E-3</v>
      </c>
      <c r="C47">
        <v>8.7250000000000001E-3</v>
      </c>
      <c r="D47">
        <v>8.2880000000000002E-3</v>
      </c>
      <c r="E47">
        <v>8.3580000000000008E-3</v>
      </c>
      <c r="F47">
        <v>116811597</v>
      </c>
      <c r="G47">
        <v>8.3580000000000008E-3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-0.67963386727688502</v>
      </c>
      <c r="Q47">
        <f t="shared" ref="Q47" si="211">F47*P47</f>
        <v>-79389117.411898986</v>
      </c>
      <c r="R47">
        <f t="shared" ref="R47" si="212">R48+Q47</f>
        <v>18750482324.211479</v>
      </c>
      <c r="S47">
        <f t="shared" ref="S47" si="213">R47/100000</f>
        <v>187504.8232421148</v>
      </c>
      <c r="T47">
        <f t="shared" ref="T47" si="214">S47/1000</f>
        <v>187.50482324211481</v>
      </c>
    </row>
    <row r="48" spans="1:20" x14ac:dyDescent="0.25">
      <c r="A48" s="5">
        <v>44545</v>
      </c>
      <c r="B48">
        <v>8.234E-3</v>
      </c>
      <c r="C48">
        <v>8.5389999999999997E-3</v>
      </c>
      <c r="D48">
        <v>7.9220000000000002E-3</v>
      </c>
      <c r="E48">
        <v>8.5100000000000002E-3</v>
      </c>
      <c r="F48">
        <v>179465274</v>
      </c>
      <c r="G48">
        <v>8.5100000000000002E-3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0.90599675850891559</v>
      </c>
      <c r="Q48">
        <f t="shared" ref="Q48" si="216">F48*P48</f>
        <v>162594956.50891438</v>
      </c>
      <c r="R48">
        <f t="shared" ref="R48" si="217">R49+Q48</f>
        <v>18829871441.623379</v>
      </c>
      <c r="S48">
        <f t="shared" ref="S48" si="218">R48/100000</f>
        <v>188298.71441623379</v>
      </c>
      <c r="T48">
        <f t="shared" ref="T48" si="219">S48/1000</f>
        <v>188.29871441623379</v>
      </c>
    </row>
    <row r="49" spans="1:20" x14ac:dyDescent="0.25">
      <c r="A49" s="5">
        <v>44544</v>
      </c>
      <c r="B49">
        <v>8.2129999999999998E-3</v>
      </c>
      <c r="C49">
        <v>8.3149999999999995E-3</v>
      </c>
      <c r="D49">
        <v>7.7270000000000004E-3</v>
      </c>
      <c r="E49">
        <v>8.2190000000000006E-3</v>
      </c>
      <c r="F49">
        <v>224417745</v>
      </c>
      <c r="G49">
        <v>8.2190000000000006E-3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0.67346938775510545</v>
      </c>
      <c r="Q49">
        <f t="shared" ref="Q49" si="221">F49*P49</f>
        <v>151138481.32653138</v>
      </c>
      <c r="R49">
        <f t="shared" ref="R49" si="222">R50+Q49</f>
        <v>18667276485.114464</v>
      </c>
      <c r="S49">
        <f t="shared" ref="S49" si="223">R49/100000</f>
        <v>186672.76485114463</v>
      </c>
      <c r="T49">
        <f t="shared" ref="T49" si="224">S49/1000</f>
        <v>186.67276485114462</v>
      </c>
    </row>
    <row r="50" spans="1:20" x14ac:dyDescent="0.25">
      <c r="A50" s="5">
        <v>44543</v>
      </c>
      <c r="B50">
        <v>8.8889999999999993E-3</v>
      </c>
      <c r="C50">
        <v>9.0910000000000001E-3</v>
      </c>
      <c r="D50">
        <v>8.1220000000000007E-3</v>
      </c>
      <c r="E50">
        <v>8.2120000000000005E-3</v>
      </c>
      <c r="F50">
        <v>133767843</v>
      </c>
      <c r="G50">
        <v>8.2120000000000005E-3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-0.81424148606811175</v>
      </c>
      <c r="Q50">
        <f t="shared" ref="Q50" si="226">F50*P50</f>
        <v>-108919327.27244586</v>
      </c>
      <c r="R50">
        <f t="shared" ref="R50" si="227">R51+Q50</f>
        <v>18516138003.787933</v>
      </c>
      <c r="S50">
        <f t="shared" ref="S50" si="228">R50/100000</f>
        <v>185161.38003787934</v>
      </c>
      <c r="T50">
        <f t="shared" ref="T50" si="229">S50/1000</f>
        <v>185.16138003787933</v>
      </c>
    </row>
    <row r="51" spans="1:20" x14ac:dyDescent="0.25">
      <c r="A51" s="5">
        <v>44542</v>
      </c>
      <c r="B51">
        <v>8.94E-3</v>
      </c>
      <c r="C51">
        <v>8.9890000000000005E-3</v>
      </c>
      <c r="D51">
        <v>8.5690000000000002E-3</v>
      </c>
      <c r="E51">
        <v>8.8889999999999993E-3</v>
      </c>
      <c r="F51">
        <v>132183758</v>
      </c>
      <c r="G51">
        <v>8.8889999999999993E-3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0.52380952380951873</v>
      </c>
      <c r="Q51">
        <f t="shared" ref="Q51" si="231">F51*P51</f>
        <v>69239111.333332658</v>
      </c>
      <c r="R51">
        <f t="shared" ref="R51" si="232">R52+Q51</f>
        <v>18625057331.060379</v>
      </c>
      <c r="S51">
        <f t="shared" ref="S51" si="233">R51/100000</f>
        <v>186250.5733106038</v>
      </c>
      <c r="T51">
        <f t="shared" ref="T51" si="234">S51/1000</f>
        <v>186.25057331060378</v>
      </c>
    </row>
    <row r="52" spans="1:20" x14ac:dyDescent="0.25">
      <c r="A52" s="5">
        <v>44541</v>
      </c>
      <c r="B52">
        <v>8.5950000000000002E-3</v>
      </c>
      <c r="C52">
        <v>8.7489999999999998E-3</v>
      </c>
      <c r="D52">
        <v>8.3499999999999998E-3</v>
      </c>
      <c r="E52">
        <v>8.6379999999999998E-3</v>
      </c>
      <c r="F52">
        <v>8566901</v>
      </c>
      <c r="G52">
        <v>8.6379999999999998E-3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0.44360902255639112</v>
      </c>
      <c r="Q52">
        <f t="shared" ref="Q52" si="236">F52*P52</f>
        <v>3800354.5789473695</v>
      </c>
      <c r="R52">
        <f t="shared" ref="R52" si="237">R53+Q52</f>
        <v>18555818219.727047</v>
      </c>
      <c r="S52">
        <f t="shared" ref="S52" si="238">R52/100000</f>
        <v>185558.18219727048</v>
      </c>
      <c r="T52">
        <f t="shared" ref="T52" si="239">S52/1000</f>
        <v>185.55818219727047</v>
      </c>
    </row>
    <row r="53" spans="1:20" x14ac:dyDescent="0.25">
      <c r="A53" s="5">
        <v>44540</v>
      </c>
      <c r="B53">
        <v>8.7869999999999997E-3</v>
      </c>
      <c r="C53">
        <v>9.3629999999999998E-3</v>
      </c>
      <c r="D53">
        <v>8.5520000000000006E-3</v>
      </c>
      <c r="E53">
        <v>8.6269999999999993E-3</v>
      </c>
      <c r="F53">
        <v>122448432</v>
      </c>
      <c r="G53">
        <v>8.6269999999999993E-3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-0.81504315659679716</v>
      </c>
      <c r="Q53">
        <f t="shared" ref="Q53" si="241">F53*P53</f>
        <v>-99800756.537608266</v>
      </c>
      <c r="R53">
        <f t="shared" ref="R53" si="242">R54+Q53</f>
        <v>18552017865.148098</v>
      </c>
      <c r="S53">
        <f t="shared" ref="S53" si="243">R53/100000</f>
        <v>185520.17865148099</v>
      </c>
      <c r="T53">
        <f t="shared" ref="T53" si="244">S53/1000</f>
        <v>185.52017865148099</v>
      </c>
    </row>
    <row r="54" spans="1:20" x14ac:dyDescent="0.25">
      <c r="A54" s="5">
        <v>44539</v>
      </c>
      <c r="B54">
        <v>9.8270000000000007E-3</v>
      </c>
      <c r="C54">
        <v>9.9500000000000005E-3</v>
      </c>
      <c r="D54">
        <v>8.7340000000000004E-3</v>
      </c>
      <c r="E54">
        <v>8.7690000000000008E-3</v>
      </c>
      <c r="F54">
        <v>109158135</v>
      </c>
      <c r="G54">
        <v>8.7690000000000008E-3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-0.94243421052631526</v>
      </c>
      <c r="Q54">
        <f t="shared" ref="Q54" si="246">F54*P54</f>
        <v>-102874360.78124994</v>
      </c>
      <c r="R54">
        <f t="shared" ref="R54" si="247">R55+Q54</f>
        <v>18651818621.685707</v>
      </c>
      <c r="S54">
        <f t="shared" ref="S54" si="248">R54/100000</f>
        <v>186518.18621685708</v>
      </c>
      <c r="T54">
        <f t="shared" ref="T54" si="249">S54/1000</f>
        <v>186.51818621685709</v>
      </c>
    </row>
    <row r="55" spans="1:20" x14ac:dyDescent="0.25">
      <c r="A55" s="5">
        <v>44538</v>
      </c>
      <c r="B55">
        <v>9.7560000000000008E-3</v>
      </c>
      <c r="C55">
        <v>9.8899999999999995E-3</v>
      </c>
      <c r="D55">
        <v>9.0259999999999993E-3</v>
      </c>
      <c r="E55">
        <v>9.8270000000000007E-3</v>
      </c>
      <c r="F55">
        <v>123578419</v>
      </c>
      <c r="G55">
        <v>9.8270000000000007E-3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0.85416666666666941</v>
      </c>
      <c r="Q55">
        <f t="shared" ref="Q55" si="251">F55*P55</f>
        <v>105556566.229167</v>
      </c>
      <c r="R55">
        <f t="shared" ref="R55" si="252">R56+Q55</f>
        <v>18754692982.466957</v>
      </c>
      <c r="S55">
        <f t="shared" ref="S55" si="253">R55/100000</f>
        <v>187546.92982466958</v>
      </c>
      <c r="T55">
        <f t="shared" ref="T55" si="254">S55/1000</f>
        <v>187.54692982466958</v>
      </c>
    </row>
    <row r="56" spans="1:20" x14ac:dyDescent="0.25">
      <c r="A56" s="5">
        <v>44537</v>
      </c>
      <c r="B56">
        <v>9.6299999999999997E-3</v>
      </c>
      <c r="C56">
        <v>1.0123E-2</v>
      </c>
      <c r="D56">
        <v>9.4879999999999999E-3</v>
      </c>
      <c r="E56">
        <v>9.7319999999999993E-3</v>
      </c>
      <c r="F56">
        <v>174142494</v>
      </c>
      <c r="G56">
        <v>9.7319999999999993E-3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-0.23149606299212797</v>
      </c>
      <c r="Q56">
        <f t="shared" ref="Q56" si="256">F56*P56</f>
        <v>-40313301.760630265</v>
      </c>
      <c r="R56">
        <f t="shared" ref="R56" si="257">R57+Q56</f>
        <v>18649136416.237789</v>
      </c>
      <c r="S56">
        <f t="shared" ref="S56" si="258">R56/100000</f>
        <v>186491.3641623779</v>
      </c>
      <c r="T56">
        <f t="shared" ref="T56" si="259">S56/1000</f>
        <v>186.49136416237789</v>
      </c>
    </row>
    <row r="57" spans="1:20" x14ac:dyDescent="0.25">
      <c r="A57" s="5">
        <v>44536</v>
      </c>
      <c r="B57">
        <v>9.3930000000000003E-3</v>
      </c>
      <c r="C57">
        <v>9.9000000000000008E-3</v>
      </c>
      <c r="D57">
        <v>8.0719999999999993E-3</v>
      </c>
      <c r="E57">
        <v>9.6319999999999999E-3</v>
      </c>
      <c r="F57">
        <v>443905168</v>
      </c>
      <c r="G57">
        <v>9.6319999999999999E-3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0.70678336980306278</v>
      </c>
      <c r="Q57">
        <f t="shared" ref="Q57" si="261">F57*P57</f>
        <v>313744790.51203471</v>
      </c>
      <c r="R57">
        <f t="shared" ref="R57" si="262">R58+Q57</f>
        <v>18689449717.998421</v>
      </c>
      <c r="S57">
        <f t="shared" ref="S57" si="263">R57/100000</f>
        <v>186894.4971799842</v>
      </c>
      <c r="T57">
        <f t="shared" ref="T57" si="264">S57/1000</f>
        <v>186.8944971799842</v>
      </c>
    </row>
    <row r="58" spans="1:20" x14ac:dyDescent="0.25">
      <c r="A58" s="5">
        <v>44535</v>
      </c>
      <c r="B58">
        <v>1.0286E-2</v>
      </c>
      <c r="C58">
        <v>1.0496E-2</v>
      </c>
      <c r="D58">
        <v>9.0430000000000007E-3</v>
      </c>
      <c r="E58">
        <v>9.3699999999999999E-3</v>
      </c>
      <c r="F58">
        <v>241420126</v>
      </c>
      <c r="G58">
        <v>9.3699999999999999E-3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-0.54989676531314624</v>
      </c>
      <c r="Q58">
        <f t="shared" ref="Q58" si="266">F58*P58</f>
        <v>-132756146.36889219</v>
      </c>
      <c r="R58">
        <f t="shared" ref="R58" si="267">R59+Q58</f>
        <v>18375704927.486385</v>
      </c>
      <c r="S58">
        <f t="shared" ref="S58" si="268">R58/100000</f>
        <v>183757.04927486385</v>
      </c>
      <c r="T58">
        <f t="shared" ref="T58" si="269">S58/1000</f>
        <v>183.75704927486385</v>
      </c>
    </row>
    <row r="59" spans="1:20" x14ac:dyDescent="0.25">
      <c r="A59" s="5">
        <v>44534</v>
      </c>
      <c r="B59">
        <v>1.2156999999999999E-2</v>
      </c>
      <c r="C59">
        <v>1.2643E-2</v>
      </c>
      <c r="D59">
        <v>8.0009999999999994E-3</v>
      </c>
      <c r="E59">
        <v>1.0316000000000001E-2</v>
      </c>
      <c r="F59">
        <v>690802546</v>
      </c>
      <c r="G59">
        <v>1.0316000000000001E-2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-2.5850926324855928E-3</v>
      </c>
      <c r="Q59">
        <f t="shared" ref="Q59" si="271">F59*P59</f>
        <v>-1785788.5721668897</v>
      </c>
      <c r="R59">
        <f t="shared" ref="R59" si="272">R60+Q59</f>
        <v>18508461073.855278</v>
      </c>
      <c r="S59">
        <f t="shared" ref="S59" si="273">R59/100000</f>
        <v>185084.61073855279</v>
      </c>
      <c r="T59">
        <f t="shared" ref="T59" si="274">S59/1000</f>
        <v>185.08461073855278</v>
      </c>
    </row>
    <row r="60" spans="1:20" x14ac:dyDescent="0.25">
      <c r="A60" s="5">
        <v>44533</v>
      </c>
      <c r="B60">
        <v>1.2942E-2</v>
      </c>
      <c r="C60">
        <v>1.4419E-2</v>
      </c>
      <c r="D60">
        <v>1.2071E-2</v>
      </c>
      <c r="E60">
        <v>1.2156E-2</v>
      </c>
      <c r="F60">
        <v>577303483</v>
      </c>
      <c r="G60">
        <v>1.2156E-2</v>
      </c>
      <c r="L60" t="s">
        <v>7</v>
      </c>
      <c r="M60" t="s">
        <v>8</v>
      </c>
      <c r="N60" t="s">
        <v>8</v>
      </c>
      <c r="P60">
        <f t="shared" ref="P60" si="275">IF(C60=D60,0,((E60-D60)-(C60-E60))/(C60-D60))</f>
        <v>-0.92759795570698467</v>
      </c>
      <c r="Q60">
        <f t="shared" ref="Q60" si="276">F60*P60</f>
        <v>-535505530.65332198</v>
      </c>
      <c r="R60">
        <f t="shared" ref="R60" si="277">R61+Q60</f>
        <v>18510246862.427444</v>
      </c>
      <c r="S60">
        <f t="shared" ref="S60" si="278">R60/100000</f>
        <v>185102.46862427445</v>
      </c>
      <c r="T60">
        <f t="shared" ref="T60" si="279">S60/1000</f>
        <v>185.10246862427445</v>
      </c>
    </row>
    <row r="61" spans="1:20" x14ac:dyDescent="0.25">
      <c r="A61" s="5">
        <v>44532</v>
      </c>
      <c r="B61">
        <v>1.2784999999999999E-2</v>
      </c>
      <c r="C61">
        <v>1.3140000000000001E-2</v>
      </c>
      <c r="D61">
        <v>1.2366E-2</v>
      </c>
      <c r="E61">
        <v>1.2936E-2</v>
      </c>
      <c r="F61">
        <v>166517357</v>
      </c>
      <c r="G61">
        <v>1.2936E-2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0.47286821705426108</v>
      </c>
      <c r="Q61">
        <f t="shared" ref="Q61" si="281">F61*P61</f>
        <v>78740765.713177875</v>
      </c>
      <c r="R61">
        <f t="shared" ref="R61" si="282">R62+Q61</f>
        <v>19045752393.080765</v>
      </c>
      <c r="S61">
        <f t="shared" ref="S61" si="283">R61/100000</f>
        <v>190457.52393080766</v>
      </c>
      <c r="T61">
        <f t="shared" ref="T61" si="284">S61/1000</f>
        <v>190.45752393080767</v>
      </c>
    </row>
    <row r="62" spans="1:20" x14ac:dyDescent="0.25">
      <c r="A62" s="5">
        <v>44531</v>
      </c>
      <c r="B62">
        <v>1.3067E-2</v>
      </c>
      <c r="C62">
        <v>1.3455999999999999E-2</v>
      </c>
      <c r="D62">
        <v>1.2496E-2</v>
      </c>
      <c r="E62">
        <v>1.2808999999999999E-2</v>
      </c>
      <c r="F62">
        <v>245929421</v>
      </c>
      <c r="G62">
        <v>1.2808999999999999E-2</v>
      </c>
      <c r="L62" t="s">
        <v>7</v>
      </c>
      <c r="M62" t="s">
        <v>8</v>
      </c>
      <c r="N62" t="s">
        <v>8</v>
      </c>
      <c r="P62">
        <f t="shared" ref="P62" si="285">IF(C62=D62,0,((E62-D62)-(C62-E62))/(C62-D62))</f>
        <v>-0.34791666666666804</v>
      </c>
      <c r="Q62">
        <f t="shared" ref="Q62" si="286">F62*P62</f>
        <v>-85562944.389583677</v>
      </c>
      <c r="R62">
        <f t="shared" ref="R62" si="287">R63+Q62</f>
        <v>18967011627.367588</v>
      </c>
      <c r="S62">
        <f t="shared" ref="S62" si="288">R62/100000</f>
        <v>189670.11627367587</v>
      </c>
      <c r="T62">
        <f t="shared" ref="T62" si="289">S62/1000</f>
        <v>189.67011627367586</v>
      </c>
    </row>
    <row r="63" spans="1:20" x14ac:dyDescent="0.25">
      <c r="A63" s="5">
        <v>44530</v>
      </c>
      <c r="B63">
        <v>1.2305999999999999E-2</v>
      </c>
      <c r="C63">
        <v>1.409E-2</v>
      </c>
      <c r="D63">
        <v>1.2284E-2</v>
      </c>
      <c r="E63">
        <v>1.3065E-2</v>
      </c>
      <c r="F63">
        <v>612232966</v>
      </c>
      <c r="G63">
        <v>1.3065E-2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-0.13510520487264638</v>
      </c>
      <c r="Q63">
        <f t="shared" ref="Q63" si="291">F63*P63</f>
        <v>-82715860.301217943</v>
      </c>
      <c r="R63">
        <f t="shared" ref="R63" si="292">R64+Q63</f>
        <v>19052574571.757172</v>
      </c>
      <c r="S63">
        <f t="shared" ref="S63" si="293">R63/100000</f>
        <v>190525.74571757173</v>
      </c>
      <c r="T63">
        <f t="shared" ref="T63" si="294">S63/1000</f>
        <v>190.52574571757174</v>
      </c>
    </row>
    <row r="64" spans="1:20" x14ac:dyDescent="0.25">
      <c r="A64" s="5">
        <v>44529</v>
      </c>
      <c r="B64">
        <v>1.2236E-2</v>
      </c>
      <c r="C64">
        <v>1.2481000000000001E-2</v>
      </c>
      <c r="D64">
        <v>1.1919000000000001E-2</v>
      </c>
      <c r="E64">
        <v>1.2317E-2</v>
      </c>
      <c r="F64">
        <v>120619840</v>
      </c>
      <c r="G64">
        <v>1.2317E-2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0.41637010676156244</v>
      </c>
      <c r="Q64">
        <f t="shared" ref="Q64" si="296">F64*P64</f>
        <v>50222495.658362582</v>
      </c>
      <c r="R64">
        <f t="shared" ref="R64" si="297">R65+Q64</f>
        <v>19135290432.058388</v>
      </c>
      <c r="S64">
        <f t="shared" ref="S64" si="298">R64/100000</f>
        <v>191352.90432058388</v>
      </c>
      <c r="T64">
        <f t="shared" ref="T64" si="299">S64/1000</f>
        <v>191.35290432058389</v>
      </c>
    </row>
    <row r="65" spans="1:20" x14ac:dyDescent="0.25">
      <c r="A65" s="5">
        <v>44528</v>
      </c>
      <c r="B65">
        <v>1.1952000000000001E-2</v>
      </c>
      <c r="C65">
        <v>1.2522E-2</v>
      </c>
      <c r="D65">
        <v>1.1037999999999999E-2</v>
      </c>
      <c r="E65">
        <v>1.2220999999999999E-2</v>
      </c>
      <c r="F65">
        <v>204608563</v>
      </c>
      <c r="G65">
        <v>1.2220999999999999E-2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0.59433962264150841</v>
      </c>
      <c r="Q65">
        <f t="shared" ref="Q65" si="301">F65*P65</f>
        <v>121606976.1226413</v>
      </c>
      <c r="R65">
        <f t="shared" ref="R65" si="302">R66+Q65</f>
        <v>19085067936.400024</v>
      </c>
      <c r="S65">
        <f t="shared" ref="S65" si="303">R65/100000</f>
        <v>190850.67936400024</v>
      </c>
      <c r="T65">
        <f t="shared" ref="T65" si="304">S65/1000</f>
        <v>190.85067936400026</v>
      </c>
    </row>
    <row r="66" spans="1:20" x14ac:dyDescent="0.25">
      <c r="A66" s="5">
        <v>44527</v>
      </c>
      <c r="B66">
        <v>1.1835E-2</v>
      </c>
      <c r="C66">
        <v>1.221E-2</v>
      </c>
      <c r="D66">
        <v>1.1579000000000001E-2</v>
      </c>
      <c r="E66">
        <v>1.1953E-2</v>
      </c>
      <c r="F66">
        <v>177405551</v>
      </c>
      <c r="G66">
        <v>1.1953E-2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0.18541996830427754</v>
      </c>
      <c r="Q66">
        <f t="shared" ref="Q66" si="306">F66*P66</f>
        <v>32894531.643422894</v>
      </c>
      <c r="R66">
        <f t="shared" ref="R66" si="307">R67+Q66</f>
        <v>18963460960.277382</v>
      </c>
      <c r="S66">
        <f t="shared" ref="S66" si="308">R66/100000</f>
        <v>189634.60960277382</v>
      </c>
      <c r="T66">
        <f t="shared" ref="T66" si="309">S66/1000</f>
        <v>189.63460960277382</v>
      </c>
    </row>
    <row r="67" spans="1:20" x14ac:dyDescent="0.25">
      <c r="A67" s="5">
        <v>44526</v>
      </c>
      <c r="B67">
        <v>1.3634E-2</v>
      </c>
      <c r="C67">
        <v>1.4840000000000001E-2</v>
      </c>
      <c r="D67">
        <v>1.1346E-2</v>
      </c>
      <c r="E67">
        <v>1.1827000000000001E-2</v>
      </c>
      <c r="F67">
        <v>435279613</v>
      </c>
      <c r="G67">
        <v>1.1827000000000001E-2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-0.72467086433886641</v>
      </c>
      <c r="Q67">
        <f t="shared" ref="Q67" si="311">F67*P67</f>
        <v>-315434453.38179725</v>
      </c>
      <c r="R67">
        <f t="shared" ref="R67" si="312">R68+Q67</f>
        <v>18930566428.633961</v>
      </c>
      <c r="S67">
        <f t="shared" ref="S67" si="313">R67/100000</f>
        <v>189305.6642863396</v>
      </c>
      <c r="T67">
        <f t="shared" ref="T67" si="314">S67/1000</f>
        <v>189.30566428633961</v>
      </c>
    </row>
    <row r="68" spans="1:20" x14ac:dyDescent="0.25">
      <c r="A68" s="5">
        <v>44525</v>
      </c>
      <c r="B68">
        <v>1.29E-2</v>
      </c>
      <c r="C68">
        <v>1.4250000000000001E-2</v>
      </c>
      <c r="D68">
        <v>1.1998E-2</v>
      </c>
      <c r="E68">
        <v>1.3622E-2</v>
      </c>
      <c r="F68">
        <v>733954007</v>
      </c>
      <c r="G68">
        <v>1.3622E-2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0.44227353463587926</v>
      </c>
      <c r="Q68">
        <f t="shared" ref="Q68" si="316">F68*P68</f>
        <v>324608432.93605685</v>
      </c>
      <c r="R68">
        <f t="shared" ref="R68" si="317">R69+Q68</f>
        <v>19246000882.015759</v>
      </c>
      <c r="S68">
        <f t="shared" ref="S68" si="318">R68/100000</f>
        <v>192460.00882015759</v>
      </c>
      <c r="T68">
        <f t="shared" ref="T68" si="319">S68/1000</f>
        <v>192.46000882015758</v>
      </c>
    </row>
    <row r="69" spans="1:20" x14ac:dyDescent="0.25">
      <c r="A69" s="5">
        <v>44524</v>
      </c>
      <c r="B69">
        <v>1.1887999999999999E-2</v>
      </c>
      <c r="C69">
        <v>1.2815999999999999E-2</v>
      </c>
      <c r="D69">
        <v>1.1693E-2</v>
      </c>
      <c r="E69">
        <v>1.2599000000000001E-2</v>
      </c>
      <c r="F69">
        <v>231866872</v>
      </c>
      <c r="G69">
        <v>1.2599000000000001E-2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0.61353517364203269</v>
      </c>
      <c r="Q69">
        <f t="shared" ref="Q69" si="321">F69*P69</f>
        <v>142258481.57435498</v>
      </c>
      <c r="R69">
        <f t="shared" ref="R69" si="322">R70+Q69</f>
        <v>18921392449.0797</v>
      </c>
      <c r="S69">
        <f t="shared" ref="S69" si="323">R69/100000</f>
        <v>189213.92449079701</v>
      </c>
      <c r="T69">
        <f t="shared" ref="T69" si="324">S69/1000</f>
        <v>189.21392449079701</v>
      </c>
    </row>
    <row r="70" spans="1:20" x14ac:dyDescent="0.25">
      <c r="A70" s="5">
        <v>44523</v>
      </c>
      <c r="B70">
        <v>1.1686999999999999E-2</v>
      </c>
      <c r="C70">
        <v>1.1900000000000001E-2</v>
      </c>
      <c r="D70">
        <v>1.0999999999999999E-2</v>
      </c>
      <c r="E70">
        <v>1.1887999999999999E-2</v>
      </c>
      <c r="F70">
        <v>304570366</v>
      </c>
      <c r="G70">
        <v>1.1887999999999999E-2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0.97333333333332983</v>
      </c>
      <c r="Q70">
        <f t="shared" ref="Q70" si="326">F70*P70</f>
        <v>296448489.57333225</v>
      </c>
      <c r="R70">
        <f t="shared" ref="R70" si="327">R71+Q70</f>
        <v>18779133967.505344</v>
      </c>
      <c r="S70">
        <f t="shared" ref="S70" si="328">R70/100000</f>
        <v>187791.33967505343</v>
      </c>
      <c r="T70">
        <f t="shared" ref="T70" si="329">S70/1000</f>
        <v>187.79133967505342</v>
      </c>
    </row>
    <row r="71" spans="1:20" x14ac:dyDescent="0.25">
      <c r="A71" s="5">
        <v>44522</v>
      </c>
      <c r="B71">
        <v>1.1263E-2</v>
      </c>
      <c r="C71">
        <v>1.2248999999999999E-2</v>
      </c>
      <c r="D71">
        <v>1.0802000000000001E-2</v>
      </c>
      <c r="E71">
        <v>1.1690000000000001E-2</v>
      </c>
      <c r="F71">
        <v>738093126</v>
      </c>
      <c r="G71">
        <v>1.1690000000000001E-2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0.22736696613683585</v>
      </c>
      <c r="Q71">
        <f t="shared" ref="Q71" si="331">F71*P71</f>
        <v>167817994.78507331</v>
      </c>
      <c r="R71">
        <f t="shared" ref="R71" si="332">R72+Q71</f>
        <v>18482685477.932011</v>
      </c>
      <c r="S71">
        <f t="shared" ref="S71" si="333">R71/100000</f>
        <v>184826.8547793201</v>
      </c>
      <c r="T71">
        <f t="shared" ref="T71" si="334">S71/1000</f>
        <v>184.82685477932009</v>
      </c>
    </row>
    <row r="72" spans="1:20" x14ac:dyDescent="0.25">
      <c r="A72" s="5">
        <v>44521</v>
      </c>
      <c r="B72">
        <v>1.1842E-2</v>
      </c>
      <c r="C72">
        <v>1.2638999999999999E-2</v>
      </c>
      <c r="D72">
        <v>1.1053E-2</v>
      </c>
      <c r="E72">
        <v>1.1273E-2</v>
      </c>
      <c r="F72">
        <v>1306489264</v>
      </c>
      <c r="G72">
        <v>1.1273E-2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-0.72257250945775553</v>
      </c>
      <c r="Q72">
        <f t="shared" ref="Q72" si="336">F72*P72</f>
        <v>-944033226.06809604</v>
      </c>
      <c r="R72">
        <f t="shared" ref="R72" si="337">R73+Q72</f>
        <v>18314867483.146938</v>
      </c>
      <c r="S72">
        <f t="shared" ref="S72" si="338">R72/100000</f>
        <v>183148.6748314694</v>
      </c>
      <c r="T72">
        <f t="shared" ref="T72" si="339">S72/1000</f>
        <v>183.14867483146941</v>
      </c>
    </row>
    <row r="73" spans="1:20" x14ac:dyDescent="0.25">
      <c r="A73" s="5">
        <v>44520</v>
      </c>
      <c r="B73">
        <v>1.0888999999999999E-2</v>
      </c>
      <c r="C73">
        <v>1.2109999999999999E-2</v>
      </c>
      <c r="D73">
        <v>1.0789E-2</v>
      </c>
      <c r="E73">
        <v>1.1842999999999999E-2</v>
      </c>
      <c r="F73">
        <v>730521436</v>
      </c>
      <c r="G73">
        <v>1.1842999999999999E-2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0.59576078728236181</v>
      </c>
      <c r="Q73">
        <f t="shared" ref="Q73" si="341">F73*P73</f>
        <v>435216025.83800149</v>
      </c>
      <c r="R73">
        <f t="shared" ref="R73" si="342">R74+Q73</f>
        <v>19258900709.215034</v>
      </c>
      <c r="S73">
        <f t="shared" ref="S73" si="343">R73/100000</f>
        <v>192589.00709215034</v>
      </c>
      <c r="T73">
        <f t="shared" ref="T73" si="344">S73/1000</f>
        <v>192.58900709215033</v>
      </c>
    </row>
    <row r="74" spans="1:20" x14ac:dyDescent="0.25">
      <c r="A74" s="5">
        <v>44519</v>
      </c>
      <c r="B74">
        <v>1.0321E-2</v>
      </c>
      <c r="C74">
        <v>1.0969E-2</v>
      </c>
      <c r="D74">
        <v>9.5840000000000005E-3</v>
      </c>
      <c r="E74">
        <v>1.0916E-2</v>
      </c>
      <c r="F74">
        <v>555383720</v>
      </c>
      <c r="G74">
        <v>1.0916E-2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0.92346570397112016</v>
      </c>
      <c r="Q74">
        <f t="shared" ref="Q74" si="346">F74*P74</f>
        <v>512877817.96389949</v>
      </c>
      <c r="R74">
        <f t="shared" ref="R74" si="347">R75+Q74</f>
        <v>18823684683.377033</v>
      </c>
      <c r="S74">
        <f t="shared" ref="S74" si="348">R74/100000</f>
        <v>188236.84683377034</v>
      </c>
      <c r="T74">
        <f t="shared" ref="T74" si="349">S74/1000</f>
        <v>188.23684683377033</v>
      </c>
    </row>
    <row r="75" spans="1:20" x14ac:dyDescent="0.25">
      <c r="A75" s="5">
        <v>44518</v>
      </c>
      <c r="B75">
        <v>1.295E-2</v>
      </c>
      <c r="C75">
        <v>1.6784E-2</v>
      </c>
      <c r="D75">
        <v>1.0037000000000001E-2</v>
      </c>
      <c r="E75">
        <v>1.0317E-2</v>
      </c>
      <c r="F75">
        <v>2226081744</v>
      </c>
      <c r="G75">
        <v>1.0317E-2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-0.91700014821402132</v>
      </c>
      <c r="Q75">
        <f t="shared" ref="Q75" si="351">F75*P75</f>
        <v>-2041317289.1845272</v>
      </c>
      <c r="R75">
        <f t="shared" ref="R75" si="352">R76+Q75</f>
        <v>18310806865.413136</v>
      </c>
      <c r="S75">
        <f t="shared" ref="S75" si="353">R75/100000</f>
        <v>183108.06865413135</v>
      </c>
      <c r="T75">
        <f t="shared" ref="T75" si="354">S75/1000</f>
        <v>183.10806865413136</v>
      </c>
    </row>
    <row r="76" spans="1:20" x14ac:dyDescent="0.25">
      <c r="A76" s="5">
        <v>44517</v>
      </c>
      <c r="B76">
        <v>1.0546E-2</v>
      </c>
      <c r="C76">
        <v>1.3469999999999999E-2</v>
      </c>
      <c r="D76">
        <v>1.0456999999999999E-2</v>
      </c>
      <c r="E76">
        <v>1.295E-2</v>
      </c>
      <c r="F76">
        <v>2601546078</v>
      </c>
      <c r="G76">
        <v>1.295E-2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0.65482907401261226</v>
      </c>
      <c r="Q76">
        <f t="shared" ref="Q76" si="356">F76*P76</f>
        <v>1703568009.2578831</v>
      </c>
      <c r="R76">
        <f t="shared" ref="R76" si="357">R77+Q76</f>
        <v>20352124154.597664</v>
      </c>
      <c r="S76">
        <f t="shared" ref="S76" si="358">R76/100000</f>
        <v>203521.24154597663</v>
      </c>
      <c r="T76">
        <f t="shared" ref="T76" si="359">S76/1000</f>
        <v>203.52124154597664</v>
      </c>
    </row>
    <row r="77" spans="1:20" x14ac:dyDescent="0.25">
      <c r="A77" s="5">
        <v>44516</v>
      </c>
      <c r="B77">
        <v>9.9860000000000001E-3</v>
      </c>
      <c r="C77">
        <v>1.1782000000000001E-2</v>
      </c>
      <c r="D77">
        <v>9.3430000000000006E-3</v>
      </c>
      <c r="E77">
        <v>1.0538E-2</v>
      </c>
      <c r="F77">
        <v>1070475289</v>
      </c>
      <c r="G77">
        <v>1.0538E-2</v>
      </c>
      <c r="L77" t="s">
        <v>7</v>
      </c>
      <c r="M77" t="s">
        <v>8</v>
      </c>
      <c r="N77" t="s">
        <v>7</v>
      </c>
      <c r="P77">
        <f t="shared" ref="P77" si="360">IF(C77=D77,0,((E77-D77)-(C77-E77))/(C77-D77))</f>
        <v>-2.0090200902009196E-2</v>
      </c>
      <c r="Q77">
        <f t="shared" ref="Q77" si="361">F77*P77</f>
        <v>-21506063.616646353</v>
      </c>
      <c r="R77">
        <f t="shared" ref="R77" si="362">R78+Q77</f>
        <v>18648556145.339779</v>
      </c>
      <c r="S77">
        <f t="shared" ref="S77" si="363">R77/100000</f>
        <v>186485.56145339779</v>
      </c>
      <c r="T77">
        <f t="shared" ref="T77" si="364">S77/1000</f>
        <v>186.48556145339779</v>
      </c>
    </row>
    <row r="78" spans="1:20" x14ac:dyDescent="0.25">
      <c r="A78" s="5">
        <v>44515</v>
      </c>
      <c r="B78">
        <v>9.8770000000000004E-3</v>
      </c>
      <c r="C78">
        <v>1.0037000000000001E-2</v>
      </c>
      <c r="D78">
        <v>9.6150000000000003E-3</v>
      </c>
      <c r="E78">
        <v>9.9860000000000001E-3</v>
      </c>
      <c r="F78">
        <v>105116116</v>
      </c>
      <c r="G78">
        <v>9.9860000000000001E-3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0.75829383886255619</v>
      </c>
      <c r="Q78">
        <f t="shared" ref="Q78" si="366">F78*P78</f>
        <v>79708903.12796177</v>
      </c>
      <c r="R78">
        <f t="shared" ref="R78" si="367">R79+Q78</f>
        <v>18670062208.956425</v>
      </c>
      <c r="S78">
        <f t="shared" ref="S78" si="368">R78/100000</f>
        <v>186700.62208956425</v>
      </c>
      <c r="T78">
        <f t="shared" ref="T78" si="369">S78/1000</f>
        <v>186.70062208956423</v>
      </c>
    </row>
    <row r="79" spans="1:20" x14ac:dyDescent="0.25">
      <c r="A79" s="5">
        <v>44514</v>
      </c>
      <c r="B79">
        <v>1.001E-2</v>
      </c>
      <c r="C79">
        <v>1.0029E-2</v>
      </c>
      <c r="D79">
        <v>9.6100000000000005E-3</v>
      </c>
      <c r="E79">
        <v>9.8549999999999992E-3</v>
      </c>
      <c r="F79">
        <v>119190202</v>
      </c>
      <c r="G79">
        <v>9.8549999999999992E-3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0.16945107398567608</v>
      </c>
      <c r="Q79">
        <f t="shared" ref="Q79" si="371">F79*P79</f>
        <v>20196907.737469677</v>
      </c>
      <c r="R79">
        <f t="shared" ref="R79" si="372">R80+Q79</f>
        <v>18590353305.828465</v>
      </c>
      <c r="S79">
        <f t="shared" ref="S79" si="373">R79/100000</f>
        <v>185903.53305828464</v>
      </c>
      <c r="T79">
        <f t="shared" ref="T79" si="374">S79/1000</f>
        <v>185.90353305828464</v>
      </c>
    </row>
    <row r="80" spans="1:20" x14ac:dyDescent="0.25">
      <c r="A80" s="5">
        <v>44513</v>
      </c>
      <c r="B80">
        <v>9.7070000000000004E-3</v>
      </c>
      <c r="C80">
        <v>1.085E-2</v>
      </c>
      <c r="D80">
        <v>9.6100000000000005E-3</v>
      </c>
      <c r="E80">
        <v>1.0029E-2</v>
      </c>
      <c r="F80">
        <v>100923562</v>
      </c>
      <c r="G80">
        <v>1.0029E-2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-0.32419354838709791</v>
      </c>
      <c r="Q80">
        <f t="shared" ref="Q80" si="376">F80*P80</f>
        <v>-32718767.680645276</v>
      </c>
      <c r="R80">
        <f t="shared" ref="R80" si="377">R81+Q80</f>
        <v>18570156398.090996</v>
      </c>
      <c r="S80">
        <f t="shared" ref="S80" si="378">R80/100000</f>
        <v>185701.56398090997</v>
      </c>
      <c r="T80">
        <f t="shared" ref="T80" si="379">S80/1000</f>
        <v>185.70156398090995</v>
      </c>
    </row>
    <row r="81" spans="1:20" x14ac:dyDescent="0.25">
      <c r="A81" s="5">
        <v>44512</v>
      </c>
      <c r="B81">
        <v>9.8320000000000005E-3</v>
      </c>
      <c r="C81">
        <v>9.8619999999999992E-3</v>
      </c>
      <c r="D81">
        <v>9.4339999999999997E-3</v>
      </c>
      <c r="E81">
        <v>9.7109999999999991E-3</v>
      </c>
      <c r="F81">
        <v>65370074</v>
      </c>
      <c r="G81">
        <v>9.7109999999999991E-3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0.29439252336448485</v>
      </c>
      <c r="Q81">
        <f t="shared" ref="Q81" si="381">F81*P81</f>
        <v>19244461.037383102</v>
      </c>
      <c r="R81">
        <f t="shared" ref="R81" si="382">R82+Q81</f>
        <v>18602875165.771641</v>
      </c>
      <c r="S81">
        <f t="shared" ref="S81" si="383">R81/100000</f>
        <v>186028.75165771641</v>
      </c>
      <c r="T81">
        <f t="shared" ref="T81" si="384">S81/1000</f>
        <v>186.02875165771641</v>
      </c>
    </row>
    <row r="82" spans="1:20" x14ac:dyDescent="0.25">
      <c r="A82" s="5">
        <v>44511</v>
      </c>
      <c r="B82">
        <v>9.7560000000000008E-3</v>
      </c>
      <c r="C82">
        <v>9.8989999999999998E-3</v>
      </c>
      <c r="D82">
        <v>9.6030000000000004E-3</v>
      </c>
      <c r="E82">
        <v>9.8510000000000004E-3</v>
      </c>
      <c r="F82">
        <v>161487926</v>
      </c>
      <c r="G82">
        <v>9.8510000000000004E-3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0.67567567567567888</v>
      </c>
      <c r="Q82">
        <f t="shared" ref="Q82" si="386">F82*P82</f>
        <v>109113463.51351403</v>
      </c>
      <c r="R82">
        <f t="shared" ref="R82" si="387">R83+Q82</f>
        <v>18583630704.734257</v>
      </c>
      <c r="S82">
        <f t="shared" ref="S82" si="388">R82/100000</f>
        <v>185836.30704734256</v>
      </c>
      <c r="T82">
        <f t="shared" ref="T82" si="389">S82/1000</f>
        <v>185.83630704734256</v>
      </c>
    </row>
    <row r="83" spans="1:20" x14ac:dyDescent="0.25">
      <c r="A83" s="5">
        <v>44510</v>
      </c>
      <c r="B83">
        <v>1.0156E-2</v>
      </c>
      <c r="C83">
        <v>1.0685E-2</v>
      </c>
      <c r="D83">
        <v>9.5790000000000007E-3</v>
      </c>
      <c r="E83">
        <v>9.7730000000000004E-3</v>
      </c>
      <c r="F83">
        <v>266407689</v>
      </c>
      <c r="G83">
        <v>9.7730000000000004E-3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-0.64918625678119379</v>
      </c>
      <c r="Q83">
        <f t="shared" ref="Q83" si="391">F83*P83</f>
        <v>-172948210.39963841</v>
      </c>
      <c r="R83">
        <f t="shared" ref="R83" si="392">R84+Q83</f>
        <v>18474517241.220741</v>
      </c>
      <c r="S83">
        <f t="shared" ref="S83" si="393">R83/100000</f>
        <v>184745.17241220741</v>
      </c>
      <c r="T83">
        <f t="shared" ref="T83" si="394">S83/1000</f>
        <v>184.74517241220741</v>
      </c>
    </row>
    <row r="84" spans="1:20" x14ac:dyDescent="0.25">
      <c r="A84" s="5">
        <v>44509</v>
      </c>
      <c r="B84">
        <v>1.0333E-2</v>
      </c>
      <c r="C84">
        <v>1.0345E-2</v>
      </c>
      <c r="D84">
        <v>1.0081E-2</v>
      </c>
      <c r="E84">
        <v>1.0139E-2</v>
      </c>
      <c r="F84">
        <v>89175818</v>
      </c>
      <c r="G84">
        <v>1.0139E-2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-0.56060606060605545</v>
      </c>
      <c r="Q84">
        <f t="shared" ref="Q84" si="396">F84*P84</f>
        <v>-49992504.030302569</v>
      </c>
      <c r="R84">
        <f t="shared" ref="R84" si="397">R85+Q84</f>
        <v>18647465451.62038</v>
      </c>
      <c r="S84">
        <f t="shared" ref="S84" si="398">R84/100000</f>
        <v>186474.65451620379</v>
      </c>
      <c r="T84">
        <f t="shared" ref="T84" si="399">S84/1000</f>
        <v>186.4746545162038</v>
      </c>
    </row>
    <row r="85" spans="1:20" x14ac:dyDescent="0.25">
      <c r="A85" s="5">
        <v>44508</v>
      </c>
      <c r="B85">
        <v>1.0513E-2</v>
      </c>
      <c r="C85">
        <v>1.0565E-2</v>
      </c>
      <c r="D85">
        <v>1.0181000000000001E-2</v>
      </c>
      <c r="E85">
        <v>1.035E-2</v>
      </c>
      <c r="F85">
        <v>120810260</v>
      </c>
      <c r="G85">
        <v>1.035E-2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-0.11979166666666935</v>
      </c>
      <c r="Q85">
        <f t="shared" ref="Q85" si="401">F85*P85</f>
        <v>-14472062.395833658</v>
      </c>
      <c r="R85">
        <f t="shared" ref="R85" si="402">R86+Q85</f>
        <v>18697457955.650684</v>
      </c>
      <c r="S85">
        <f t="shared" ref="S85" si="403">R85/100000</f>
        <v>186974.57955650685</v>
      </c>
      <c r="T85">
        <f t="shared" ref="T85" si="404">S85/1000</f>
        <v>186.97457955650685</v>
      </c>
    </row>
    <row r="86" spans="1:20" x14ac:dyDescent="0.25">
      <c r="A86" s="5">
        <v>44507</v>
      </c>
      <c r="B86">
        <v>1.0482E-2</v>
      </c>
      <c r="C86">
        <v>1.0581E-2</v>
      </c>
      <c r="D86">
        <v>1.0311000000000001E-2</v>
      </c>
      <c r="E86">
        <v>1.0518E-2</v>
      </c>
      <c r="F86">
        <v>75425209</v>
      </c>
      <c r="G86">
        <v>1.0518E-2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0.53333333333332822</v>
      </c>
      <c r="Q86">
        <f t="shared" ref="Q86" si="406">F86*P86</f>
        <v>40226778.133332945</v>
      </c>
      <c r="R86">
        <f t="shared" ref="R86" si="407">R87+Q86</f>
        <v>18711930018.046516</v>
      </c>
      <c r="S86">
        <f t="shared" ref="S86" si="408">R86/100000</f>
        <v>187119.30018046516</v>
      </c>
      <c r="T86">
        <f t="shared" ref="T86" si="409">S86/1000</f>
        <v>187.11930018046516</v>
      </c>
    </row>
    <row r="87" spans="1:20" x14ac:dyDescent="0.25">
      <c r="A87" s="5">
        <v>44506</v>
      </c>
      <c r="B87">
        <v>1.0371999999999999E-2</v>
      </c>
      <c r="C87">
        <v>1.0677000000000001E-2</v>
      </c>
      <c r="D87">
        <v>1.0093E-2</v>
      </c>
      <c r="E87">
        <v>1.0482E-2</v>
      </c>
      <c r="F87">
        <v>126870755</v>
      </c>
      <c r="G87">
        <v>1.0482E-2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0.33219178082191669</v>
      </c>
      <c r="Q87">
        <f t="shared" ref="Q87" si="411">F87*P87</f>
        <v>42145422.037671089</v>
      </c>
      <c r="R87">
        <f t="shared" ref="R87" si="412">R88+Q87</f>
        <v>18671703239.913185</v>
      </c>
      <c r="S87">
        <f t="shared" ref="S87" si="413">R87/100000</f>
        <v>186717.03239913186</v>
      </c>
      <c r="T87">
        <f t="shared" ref="T87" si="414">S87/1000</f>
        <v>186.71703239913185</v>
      </c>
    </row>
    <row r="88" spans="1:20" x14ac:dyDescent="0.25">
      <c r="A88" s="5">
        <v>44505</v>
      </c>
      <c r="B88">
        <v>1.0522E-2</v>
      </c>
      <c r="C88">
        <v>1.0607E-2</v>
      </c>
      <c r="D88">
        <v>1.0128E-2</v>
      </c>
      <c r="E88">
        <v>1.0371E-2</v>
      </c>
      <c r="F88">
        <v>176593026</v>
      </c>
      <c r="G88">
        <v>1.0371E-2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1.4613778705636864E-2</v>
      </c>
      <c r="Q88">
        <f t="shared" ref="Q88" si="416">F88*P88</f>
        <v>2580691.402922777</v>
      </c>
      <c r="R88">
        <f t="shared" ref="R88" si="417">R89+Q88</f>
        <v>18629557817.875515</v>
      </c>
      <c r="S88">
        <f t="shared" ref="S88" si="418">R88/100000</f>
        <v>186295.57817875515</v>
      </c>
      <c r="T88">
        <f t="shared" ref="T88" si="419">S88/1000</f>
        <v>186.29557817875516</v>
      </c>
    </row>
    <row r="89" spans="1:20" x14ac:dyDescent="0.25">
      <c r="A89" s="5">
        <v>44504</v>
      </c>
      <c r="B89">
        <v>1.0852000000000001E-2</v>
      </c>
      <c r="C89">
        <v>1.0932000000000001E-2</v>
      </c>
      <c r="D89">
        <v>1.0260999999999999E-2</v>
      </c>
      <c r="E89">
        <v>1.0522999999999999E-2</v>
      </c>
      <c r="F89">
        <v>102236107</v>
      </c>
      <c r="G89">
        <v>1.0522999999999999E-2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-0.21907600596125332</v>
      </c>
      <c r="Q89">
        <f t="shared" ref="Q89" si="421">F89*P89</f>
        <v>-22397477.986587331</v>
      </c>
      <c r="R89">
        <f t="shared" ref="R89" si="422">R90+Q89</f>
        <v>18626977126.472591</v>
      </c>
      <c r="S89">
        <f t="shared" ref="S89" si="423">R89/100000</f>
        <v>186269.77126472592</v>
      </c>
      <c r="T89">
        <f t="shared" ref="T89" si="424">S89/1000</f>
        <v>186.2697712647259</v>
      </c>
    </row>
    <row r="90" spans="1:20" x14ac:dyDescent="0.25">
      <c r="A90" s="5">
        <v>44503</v>
      </c>
      <c r="B90">
        <v>1.0742E-2</v>
      </c>
      <c r="C90">
        <v>1.1407E-2</v>
      </c>
      <c r="D90">
        <v>1.0274999999999999E-2</v>
      </c>
      <c r="E90">
        <v>1.0853E-2</v>
      </c>
      <c r="F90">
        <v>273169619</v>
      </c>
      <c r="G90">
        <v>1.0853E-2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2.1201413427561568E-2</v>
      </c>
      <c r="Q90">
        <f t="shared" ref="Q90" si="426">F90*P90</f>
        <v>5791582.0282684779</v>
      </c>
      <c r="R90">
        <f t="shared" ref="R90" si="427">R91+Q90</f>
        <v>18649374604.459179</v>
      </c>
      <c r="S90">
        <f t="shared" ref="S90" si="428">R90/100000</f>
        <v>186493.7460445918</v>
      </c>
      <c r="T90">
        <f t="shared" ref="T90" si="429">S90/1000</f>
        <v>186.4937460445918</v>
      </c>
    </row>
    <row r="91" spans="1:20" x14ac:dyDescent="0.25">
      <c r="A91" s="5">
        <v>44502</v>
      </c>
      <c r="B91">
        <v>1.0312999999999999E-2</v>
      </c>
      <c r="C91">
        <v>1.0872E-2</v>
      </c>
      <c r="D91">
        <v>9.8099999999999993E-3</v>
      </c>
      <c r="E91">
        <v>1.0729000000000001E-2</v>
      </c>
      <c r="F91">
        <v>194230933</v>
      </c>
      <c r="G91">
        <v>1.0729000000000001E-2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0.73069679849341063</v>
      </c>
      <c r="Q91">
        <f t="shared" ref="Q91" si="431">F91*P91</f>
        <v>141923920.91148815</v>
      </c>
      <c r="R91">
        <f t="shared" ref="R91" si="432">R92+Q91</f>
        <v>18643583022.430912</v>
      </c>
      <c r="S91">
        <f t="shared" ref="S91" si="433">R91/100000</f>
        <v>186435.83022430912</v>
      </c>
      <c r="T91">
        <f t="shared" ref="T91" si="434">S91/1000</f>
        <v>186.43583022430911</v>
      </c>
    </row>
    <row r="92" spans="1:20" x14ac:dyDescent="0.25">
      <c r="A92" s="5">
        <v>44501</v>
      </c>
      <c r="B92">
        <v>1.0675E-2</v>
      </c>
      <c r="C92">
        <v>1.0747E-2</v>
      </c>
      <c r="D92">
        <v>9.8700000000000003E-3</v>
      </c>
      <c r="E92">
        <v>1.0333999999999999E-2</v>
      </c>
      <c r="F92">
        <v>162102998</v>
      </c>
      <c r="G92">
        <v>1.0333999999999999E-2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5.8152793614594071E-2</v>
      </c>
      <c r="Q92">
        <f t="shared" ref="Q92" si="436">F92*P92</f>
        <v>9426742.1870009564</v>
      </c>
      <c r="R92">
        <f t="shared" ref="R92" si="437">R93+Q92</f>
        <v>18501659101.519424</v>
      </c>
      <c r="S92">
        <f t="shared" ref="S92" si="438">R92/100000</f>
        <v>185016.59101519425</v>
      </c>
      <c r="T92">
        <f t="shared" ref="T92" si="439">S92/1000</f>
        <v>185.01659101519425</v>
      </c>
    </row>
    <row r="93" spans="1:20" x14ac:dyDescent="0.25">
      <c r="A93" s="5">
        <v>44500</v>
      </c>
      <c r="B93">
        <v>0.01</v>
      </c>
      <c r="C93">
        <v>1.0999999999999999E-2</v>
      </c>
      <c r="D93">
        <v>9.8890000000000002E-3</v>
      </c>
      <c r="E93">
        <v>1.0675E-2</v>
      </c>
      <c r="F93">
        <v>314409670</v>
      </c>
      <c r="G93">
        <v>1.0675E-2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0.41494149414941645</v>
      </c>
      <c r="Q93">
        <f t="shared" ref="Q93" si="441">F93*P93</f>
        <v>130461618.24482496</v>
      </c>
      <c r="R93">
        <f t="shared" ref="R93" si="442">R94+Q93</f>
        <v>18492232359.332424</v>
      </c>
      <c r="S93">
        <f t="shared" ref="S93" si="443">R93/100000</f>
        <v>184922.32359332425</v>
      </c>
      <c r="T93">
        <f t="shared" ref="T93" si="444">S93/1000</f>
        <v>184.92232359332425</v>
      </c>
    </row>
    <row r="94" spans="1:20" x14ac:dyDescent="0.25">
      <c r="A94" s="5">
        <v>44499</v>
      </c>
      <c r="B94">
        <v>9.9620000000000004E-3</v>
      </c>
      <c r="C94">
        <v>1.0024999999999999E-2</v>
      </c>
      <c r="D94">
        <v>9.613E-3</v>
      </c>
      <c r="E94">
        <v>1.0009000000000001E-2</v>
      </c>
      <c r="F94">
        <v>131983181</v>
      </c>
      <c r="G94">
        <v>1.0009000000000001E-2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0.922330097087385</v>
      </c>
      <c r="Q94">
        <f t="shared" ref="Q94" si="446">F94*P94</f>
        <v>121732060.14563191</v>
      </c>
      <c r="R94">
        <f t="shared" ref="R94" si="447">R95+Q94</f>
        <v>18361770741.087601</v>
      </c>
      <c r="S94">
        <f t="shared" ref="S94" si="448">R94/100000</f>
        <v>183617.707410876</v>
      </c>
      <c r="T94">
        <f t="shared" ref="T94" si="449">S94/1000</f>
        <v>183.61770741087599</v>
      </c>
    </row>
    <row r="95" spans="1:20" x14ac:dyDescent="0.25">
      <c r="A95" s="5">
        <v>44498</v>
      </c>
      <c r="B95">
        <v>9.4540000000000006E-3</v>
      </c>
      <c r="C95">
        <v>9.9710000000000007E-3</v>
      </c>
      <c r="D95">
        <v>9.3939999999999996E-3</v>
      </c>
      <c r="E95">
        <v>9.9509999999999998E-3</v>
      </c>
      <c r="F95">
        <v>101219371</v>
      </c>
      <c r="G95">
        <v>9.9509999999999998E-3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0.93067590987867976</v>
      </c>
      <c r="Q95">
        <f t="shared" ref="Q95" si="451">F95*P95</f>
        <v>94202430.202772647</v>
      </c>
      <c r="R95">
        <f t="shared" ref="R95" si="452">R96+Q95</f>
        <v>18240038680.941967</v>
      </c>
      <c r="S95">
        <f t="shared" ref="S95" si="453">R95/100000</f>
        <v>182400.38680941967</v>
      </c>
      <c r="T95">
        <f t="shared" ref="T95" si="454">S95/1000</f>
        <v>182.40038680941967</v>
      </c>
    </row>
    <row r="96" spans="1:20" x14ac:dyDescent="0.25">
      <c r="A96" s="5">
        <v>44497</v>
      </c>
      <c r="B96">
        <v>8.9589999999999999E-3</v>
      </c>
      <c r="C96">
        <v>9.5770000000000004E-3</v>
      </c>
      <c r="D96">
        <v>8.737E-3</v>
      </c>
      <c r="E96">
        <v>9.4490000000000008E-3</v>
      </c>
      <c r="F96">
        <v>131334213</v>
      </c>
      <c r="G96">
        <v>9.4490000000000008E-3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0.69523809523809621</v>
      </c>
      <c r="Q96">
        <f t="shared" ref="Q96" si="456">F96*P96</f>
        <v>91308548.085714415</v>
      </c>
      <c r="R96">
        <f t="shared" ref="R96" si="457">R97+Q96</f>
        <v>18145836250.739193</v>
      </c>
      <c r="S96">
        <f t="shared" ref="S96" si="458">R96/100000</f>
        <v>181458.36250739192</v>
      </c>
      <c r="T96">
        <f t="shared" ref="T96" si="459">S96/1000</f>
        <v>181.45836250739191</v>
      </c>
    </row>
    <row r="97" spans="1:20" x14ac:dyDescent="0.25">
      <c r="A97" s="5">
        <v>44496</v>
      </c>
      <c r="B97">
        <v>9.953E-3</v>
      </c>
      <c r="C97">
        <v>1.0135999999999999E-2</v>
      </c>
      <c r="D97">
        <v>8.6009999999999993E-3</v>
      </c>
      <c r="E97">
        <v>8.9619999999999995E-3</v>
      </c>
      <c r="F97">
        <v>247491408</v>
      </c>
      <c r="G97">
        <v>8.9619999999999995E-3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-0.52964169381107462</v>
      </c>
      <c r="Q97">
        <f t="shared" ref="Q97" si="461">F97*P97</f>
        <v>-131081768.53680775</v>
      </c>
      <c r="R97">
        <f t="shared" ref="R97" si="462">R98+Q97</f>
        <v>18054527702.653477</v>
      </c>
      <c r="S97">
        <f t="shared" ref="S97" si="463">R97/100000</f>
        <v>180545.27702653478</v>
      </c>
      <c r="T97">
        <f t="shared" ref="T97" si="464">S97/1000</f>
        <v>180.54527702653479</v>
      </c>
    </row>
    <row r="98" spans="1:20" x14ac:dyDescent="0.25">
      <c r="A98" s="5">
        <v>44495</v>
      </c>
      <c r="B98">
        <v>1.0279999999999999E-2</v>
      </c>
      <c r="C98">
        <v>1.0345999999999999E-2</v>
      </c>
      <c r="D98">
        <v>9.7640000000000001E-3</v>
      </c>
      <c r="E98">
        <v>9.9430000000000004E-3</v>
      </c>
      <c r="F98">
        <v>175155694</v>
      </c>
      <c r="G98">
        <v>9.9430000000000004E-3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-0.38487972508590862</v>
      </c>
      <c r="Q98">
        <f t="shared" ref="Q98" si="466">F98*P98</f>
        <v>-67413875.353951529</v>
      </c>
      <c r="R98">
        <f t="shared" ref="R98" si="467">R99+Q98</f>
        <v>18185609471.190285</v>
      </c>
      <c r="S98">
        <f t="shared" ref="S98" si="468">R98/100000</f>
        <v>181856.09471190284</v>
      </c>
      <c r="T98">
        <f t="shared" ref="T98" si="469">S98/1000</f>
        <v>181.85609471190284</v>
      </c>
    </row>
    <row r="99" spans="1:20" x14ac:dyDescent="0.25">
      <c r="A99" s="5">
        <v>44494</v>
      </c>
      <c r="B99">
        <v>1.0130999999999999E-2</v>
      </c>
      <c r="C99">
        <v>1.0347E-2</v>
      </c>
      <c r="D99">
        <v>1.0089000000000001E-2</v>
      </c>
      <c r="E99">
        <v>1.027E-2</v>
      </c>
      <c r="F99">
        <v>87531240</v>
      </c>
      <c r="G99">
        <v>1.027E-2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0.40310077519379212</v>
      </c>
      <c r="Q99">
        <f t="shared" ref="Q99" si="471">F99*P99</f>
        <v>35283910.697673865</v>
      </c>
      <c r="R99">
        <f t="shared" ref="R99" si="472">R100+Q99</f>
        <v>18253023346.544235</v>
      </c>
      <c r="S99">
        <f t="shared" ref="S99" si="473">R99/100000</f>
        <v>182530.23346544235</v>
      </c>
      <c r="T99">
        <f t="shared" ref="T99" si="474">S99/1000</f>
        <v>182.53023346544234</v>
      </c>
    </row>
    <row r="100" spans="1:20" x14ac:dyDescent="0.25">
      <c r="A100" s="5">
        <v>44493</v>
      </c>
      <c r="B100">
        <v>1.0323000000000001E-2</v>
      </c>
      <c r="C100">
        <v>1.0545000000000001E-2</v>
      </c>
      <c r="D100">
        <v>9.9299999999999996E-3</v>
      </c>
      <c r="E100">
        <v>1.0130999999999999E-2</v>
      </c>
      <c r="F100">
        <v>99691550</v>
      </c>
      <c r="G100">
        <v>1.0130999999999999E-2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-0.34634146341463584</v>
      </c>
      <c r="Q100">
        <f t="shared" ref="Q100" si="476">F100*P100</f>
        <v>-34527317.317073338</v>
      </c>
      <c r="R100">
        <f t="shared" ref="R100" si="477">R101+Q100</f>
        <v>18217739435.846561</v>
      </c>
      <c r="S100">
        <f t="shared" ref="S100" si="478">R100/100000</f>
        <v>182177.39435846562</v>
      </c>
      <c r="T100">
        <f t="shared" ref="T100" si="479">S100/1000</f>
        <v>182.17739435846562</v>
      </c>
    </row>
    <row r="101" spans="1:20" x14ac:dyDescent="0.25">
      <c r="A101" s="5">
        <v>44492</v>
      </c>
      <c r="B101">
        <v>1.0374E-2</v>
      </c>
      <c r="C101">
        <v>1.04E-2</v>
      </c>
      <c r="D101">
        <v>1.0033E-2</v>
      </c>
      <c r="E101">
        <v>1.0307E-2</v>
      </c>
      <c r="F101">
        <v>80240148</v>
      </c>
      <c r="G101">
        <v>1.0307E-2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0.49318801089918518</v>
      </c>
      <c r="Q101">
        <f t="shared" ref="Q101" si="481">F101*P101</f>
        <v>39573478.986376233</v>
      </c>
      <c r="R101">
        <f t="shared" ref="R101" si="482">R102+Q101</f>
        <v>18252266753.163635</v>
      </c>
      <c r="S101">
        <f t="shared" ref="S101" si="483">R101/100000</f>
        <v>182522.66753163634</v>
      </c>
      <c r="T101">
        <f t="shared" ref="T101" si="484">S101/1000</f>
        <v>182.52266753163633</v>
      </c>
    </row>
    <row r="102" spans="1:20" x14ac:dyDescent="0.25">
      <c r="A102" s="5">
        <v>44491</v>
      </c>
      <c r="B102">
        <v>9.9319999999999999E-3</v>
      </c>
      <c r="C102">
        <v>1.0515E-2</v>
      </c>
      <c r="D102">
        <v>9.9059999999999999E-3</v>
      </c>
      <c r="E102">
        <v>1.038E-2</v>
      </c>
      <c r="F102">
        <v>150591381</v>
      </c>
      <c r="G102">
        <v>1.038E-2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0.55665024630541982</v>
      </c>
      <c r="Q102">
        <f t="shared" ref="Q102" si="486">F102*P102</f>
        <v>83826729.325123325</v>
      </c>
      <c r="R102">
        <f t="shared" ref="R102" si="487">R103+Q102</f>
        <v>18212693274.177258</v>
      </c>
      <c r="S102">
        <f t="shared" ref="S102" si="488">R102/100000</f>
        <v>182126.93274177259</v>
      </c>
      <c r="T102">
        <f t="shared" ref="T102" si="489">S102/1000</f>
        <v>182.12693274177258</v>
      </c>
    </row>
    <row r="103" spans="1:20" x14ac:dyDescent="0.25">
      <c r="A103" s="5">
        <v>44490</v>
      </c>
      <c r="B103">
        <v>1.034E-2</v>
      </c>
      <c r="C103">
        <v>1.0404E-2</v>
      </c>
      <c r="D103">
        <v>9.8750000000000001E-3</v>
      </c>
      <c r="E103">
        <v>9.9290000000000003E-3</v>
      </c>
      <c r="F103">
        <v>144539617</v>
      </c>
      <c r="G103">
        <v>9.9290000000000003E-3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-0.79584120982986684</v>
      </c>
      <c r="Q103">
        <f t="shared" ref="Q103" si="491">F103*P103</f>
        <v>-115030583.66162559</v>
      </c>
      <c r="R103">
        <f t="shared" ref="R103" si="492">R104+Q103</f>
        <v>18128866544.852135</v>
      </c>
      <c r="S103">
        <f t="shared" ref="S103" si="493">R103/100000</f>
        <v>181288.66544852135</v>
      </c>
      <c r="T103">
        <f t="shared" ref="T103" si="494">S103/1000</f>
        <v>181.28866544852136</v>
      </c>
    </row>
    <row r="104" spans="1:20" x14ac:dyDescent="0.25">
      <c r="A104" s="5">
        <v>44489</v>
      </c>
      <c r="B104">
        <v>1.0219000000000001E-2</v>
      </c>
      <c r="C104">
        <v>1.0576E-2</v>
      </c>
      <c r="D104">
        <v>9.8189999999999996E-3</v>
      </c>
      <c r="E104">
        <v>1.0348E-2</v>
      </c>
      <c r="F104">
        <v>170937560</v>
      </c>
      <c r="G104">
        <v>1.0348E-2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0.39762219286657713</v>
      </c>
      <c r="Q104">
        <f t="shared" ref="Q104" si="496">F104*P104</f>
        <v>67968567.450462103</v>
      </c>
      <c r="R104">
        <f t="shared" ref="R104" si="497">R105+Q104</f>
        <v>18243897128.51376</v>
      </c>
      <c r="S104">
        <f t="shared" ref="S104" si="498">R104/100000</f>
        <v>182438.97128513761</v>
      </c>
      <c r="T104">
        <f t="shared" ref="T104" si="499">S104/1000</f>
        <v>182.4389712851376</v>
      </c>
    </row>
    <row r="105" spans="1:20" x14ac:dyDescent="0.25">
      <c r="A105" s="5">
        <v>44488</v>
      </c>
      <c r="B105">
        <v>9.9030000000000003E-3</v>
      </c>
      <c r="C105">
        <v>1.0329E-2</v>
      </c>
      <c r="D105">
        <v>9.7179999999999992E-3</v>
      </c>
      <c r="E105">
        <v>1.0240000000000001E-2</v>
      </c>
      <c r="F105">
        <v>169135589</v>
      </c>
      <c r="G105">
        <v>1.0240000000000001E-2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0.70867430441898938</v>
      </c>
      <c r="Q105">
        <f t="shared" ref="Q105" si="501">F105*P105</f>
        <v>119862045.88707107</v>
      </c>
      <c r="R105">
        <f t="shared" ref="R105" si="502">R106+Q105</f>
        <v>18175928561.063297</v>
      </c>
      <c r="S105">
        <f t="shared" ref="S105" si="503">R105/100000</f>
        <v>181759.28561063297</v>
      </c>
      <c r="T105">
        <f t="shared" ref="T105" si="504">S105/1000</f>
        <v>181.75928561063296</v>
      </c>
    </row>
    <row r="106" spans="1:20" x14ac:dyDescent="0.25">
      <c r="A106" s="5">
        <v>44487</v>
      </c>
      <c r="B106">
        <v>1.0038999999999999E-2</v>
      </c>
      <c r="C106">
        <v>1.0366E-2</v>
      </c>
      <c r="D106">
        <v>9.5219999999999992E-3</v>
      </c>
      <c r="E106">
        <v>9.9209999999999993E-3</v>
      </c>
      <c r="F106">
        <v>157393522</v>
      </c>
      <c r="G106">
        <v>9.9209999999999993E-3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-5.4502369668247445E-2</v>
      </c>
      <c r="Q106">
        <f t="shared" ref="Q106" si="506">F106*P106</f>
        <v>-8578319.9194314368</v>
      </c>
      <c r="R106">
        <f t="shared" ref="R106" si="507">R107+Q106</f>
        <v>18056066515.176228</v>
      </c>
      <c r="S106">
        <f t="shared" ref="S106" si="508">R106/100000</f>
        <v>180560.66515176228</v>
      </c>
      <c r="T106">
        <f t="shared" ref="T106" si="509">S106/1000</f>
        <v>180.56066515176229</v>
      </c>
    </row>
    <row r="107" spans="1:20" x14ac:dyDescent="0.25">
      <c r="A107" s="5">
        <v>44486</v>
      </c>
      <c r="B107">
        <v>1.0409E-2</v>
      </c>
      <c r="C107">
        <v>1.0499E-2</v>
      </c>
      <c r="D107">
        <v>9.8650000000000005E-3</v>
      </c>
      <c r="E107">
        <v>1.0038999999999999E-2</v>
      </c>
      <c r="F107">
        <v>123102590</v>
      </c>
      <c r="G107">
        <v>1.0038999999999999E-2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-0.45110410094637526</v>
      </c>
      <c r="Q107">
        <f t="shared" ref="Q107" si="511">F107*P107</f>
        <v>-55532083.186120249</v>
      </c>
      <c r="R107">
        <f t="shared" ref="R107" si="512">R108+Q107</f>
        <v>18064644835.095657</v>
      </c>
      <c r="S107">
        <f t="shared" ref="S107" si="513">R107/100000</f>
        <v>180646.44835095658</v>
      </c>
      <c r="T107">
        <f t="shared" ref="T107" si="514">S107/1000</f>
        <v>180.64644835095658</v>
      </c>
    </row>
    <row r="108" spans="1:20" x14ac:dyDescent="0.25">
      <c r="A108" s="5">
        <v>44485</v>
      </c>
      <c r="B108">
        <v>1.0279999999999999E-2</v>
      </c>
      <c r="C108">
        <v>1.0728E-2</v>
      </c>
      <c r="D108">
        <v>1.0134000000000001E-2</v>
      </c>
      <c r="E108">
        <v>1.0423E-2</v>
      </c>
      <c r="F108">
        <v>211316550</v>
      </c>
      <c r="G108">
        <v>1.0423E-2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-2.6936026936027636E-2</v>
      </c>
      <c r="Q108">
        <f t="shared" ref="Q108" si="516">F108*P108</f>
        <v>-5692028.2828284306</v>
      </c>
      <c r="R108">
        <f t="shared" ref="R108" si="517">R109+Q108</f>
        <v>18120176918.281776</v>
      </c>
      <c r="S108">
        <f t="shared" ref="S108" si="518">R108/100000</f>
        <v>181201.76918281778</v>
      </c>
      <c r="T108">
        <f t="shared" ref="T108" si="519">S108/1000</f>
        <v>181.20176918281777</v>
      </c>
    </row>
    <row r="109" spans="1:20" x14ac:dyDescent="0.25">
      <c r="A109" s="5">
        <v>44484</v>
      </c>
      <c r="B109">
        <v>1.1339E-2</v>
      </c>
      <c r="C109">
        <v>1.1441E-2</v>
      </c>
      <c r="D109">
        <v>1.0047E-2</v>
      </c>
      <c r="E109">
        <v>1.027E-2</v>
      </c>
      <c r="F109">
        <v>288400307</v>
      </c>
      <c r="G109">
        <v>1.027E-2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-0.68005738880918321</v>
      </c>
      <c r="Q109">
        <f t="shared" ref="Q109" si="521">F109*P109</f>
        <v>-196128759.71018681</v>
      </c>
      <c r="R109">
        <f t="shared" ref="R109" si="522">R110+Q109</f>
        <v>18125868946.564606</v>
      </c>
      <c r="S109">
        <f t="shared" ref="S109" si="523">R109/100000</f>
        <v>181258.68946564605</v>
      </c>
      <c r="T109">
        <f t="shared" ref="T109" si="524">S109/1000</f>
        <v>181.25868946564606</v>
      </c>
    </row>
    <row r="110" spans="1:20" x14ac:dyDescent="0.25">
      <c r="A110" s="5">
        <v>44483</v>
      </c>
      <c r="B110">
        <v>1.1069000000000001E-2</v>
      </c>
      <c r="C110">
        <v>1.1616E-2</v>
      </c>
      <c r="D110">
        <v>1.0936E-2</v>
      </c>
      <c r="E110">
        <v>1.1344999999999999E-2</v>
      </c>
      <c r="F110">
        <v>235071476</v>
      </c>
      <c r="G110">
        <v>1.1344999999999999E-2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0.2029411764705871</v>
      </c>
      <c r="Q110">
        <f t="shared" ref="Q110" si="526">F110*P110</f>
        <v>47705681.894117378</v>
      </c>
      <c r="R110">
        <f t="shared" ref="R110" si="527">R111+Q110</f>
        <v>18321997706.274792</v>
      </c>
      <c r="S110">
        <f t="shared" ref="S110" si="528">R110/100000</f>
        <v>183219.97706274793</v>
      </c>
      <c r="T110">
        <f t="shared" ref="T110" si="529">S110/1000</f>
        <v>183.21997706274794</v>
      </c>
    </row>
    <row r="111" spans="1:20" x14ac:dyDescent="0.25">
      <c r="A111" s="5">
        <v>44482</v>
      </c>
      <c r="B111">
        <v>1.0352E-2</v>
      </c>
      <c r="C111">
        <v>1.1575E-2</v>
      </c>
      <c r="D111">
        <v>1.0200000000000001E-2</v>
      </c>
      <c r="E111">
        <v>1.1043000000000001E-2</v>
      </c>
      <c r="F111">
        <v>487101643</v>
      </c>
      <c r="G111">
        <v>1.1043000000000001E-2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0.22618181818181865</v>
      </c>
      <c r="Q111">
        <f t="shared" ref="Q111" si="531">F111*P111</f>
        <v>110173535.25309114</v>
      </c>
      <c r="R111">
        <f t="shared" ref="R111" si="532">R112+Q111</f>
        <v>18274292024.380672</v>
      </c>
      <c r="S111">
        <f t="shared" ref="S111" si="533">R111/100000</f>
        <v>182742.92024380673</v>
      </c>
      <c r="T111">
        <f t="shared" ref="T111" si="534">S111/1000</f>
        <v>182.74292024380674</v>
      </c>
    </row>
    <row r="112" spans="1:20" x14ac:dyDescent="0.25">
      <c r="A112" s="5">
        <v>44481</v>
      </c>
      <c r="B112">
        <v>1.0985999999999999E-2</v>
      </c>
      <c r="C112">
        <v>1.0985999999999999E-2</v>
      </c>
      <c r="D112">
        <v>9.4809999999999998E-3</v>
      </c>
      <c r="E112">
        <v>1.0378999999999999E-2</v>
      </c>
      <c r="F112">
        <v>362298220</v>
      </c>
      <c r="G112">
        <v>1.0378999999999999E-2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0.19335548172757455</v>
      </c>
      <c r="Q112">
        <f t="shared" ref="Q112" si="536">F112*P112</f>
        <v>70052346.857142791</v>
      </c>
      <c r="R112">
        <f t="shared" ref="R112" si="537">R113+Q112</f>
        <v>18164118489.127583</v>
      </c>
      <c r="S112">
        <f t="shared" ref="S112" si="538">R112/100000</f>
        <v>181641.18489127583</v>
      </c>
      <c r="T112">
        <f t="shared" ref="T112" si="539">S112/1000</f>
        <v>181.64118489127583</v>
      </c>
    </row>
    <row r="113" spans="1:20" x14ac:dyDescent="0.25">
      <c r="A113" s="5">
        <v>44480</v>
      </c>
      <c r="B113">
        <v>1.1453E-2</v>
      </c>
      <c r="C113">
        <v>1.1591000000000001E-2</v>
      </c>
      <c r="D113">
        <v>1.0500000000000001E-2</v>
      </c>
      <c r="E113">
        <v>1.0985999999999999E-2</v>
      </c>
      <c r="F113">
        <v>294201361</v>
      </c>
      <c r="G113">
        <v>1.0985999999999999E-2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-0.10907424381301814</v>
      </c>
      <c r="Q113">
        <f t="shared" ref="Q113" si="541">F113*P113</f>
        <v>-32089790.979835767</v>
      </c>
      <c r="R113">
        <f t="shared" ref="R113" si="542">R114+Q113</f>
        <v>18094066142.270439</v>
      </c>
      <c r="S113">
        <f t="shared" ref="S113" si="543">R113/100000</f>
        <v>180940.6614227044</v>
      </c>
      <c r="T113">
        <f t="shared" ref="T113" si="544">S113/1000</f>
        <v>180.94066142270441</v>
      </c>
    </row>
    <row r="114" spans="1:20" x14ac:dyDescent="0.25">
      <c r="A114" s="5">
        <v>44479</v>
      </c>
      <c r="B114">
        <v>1.2303E-2</v>
      </c>
      <c r="C114">
        <v>1.32E-2</v>
      </c>
      <c r="D114">
        <v>1.1056E-2</v>
      </c>
      <c r="E114">
        <v>1.1433E-2</v>
      </c>
      <c r="F114">
        <v>835949606</v>
      </c>
      <c r="G114">
        <v>1.1433E-2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-0.64832089552238747</v>
      </c>
      <c r="Q114">
        <f t="shared" ref="Q114" si="546">F114*P114</f>
        <v>-541963597.17350698</v>
      </c>
      <c r="R114">
        <f t="shared" ref="R114" si="547">R115+Q114</f>
        <v>18126155933.250275</v>
      </c>
      <c r="S114">
        <f t="shared" ref="S114" si="548">R114/100000</f>
        <v>181261.55933250274</v>
      </c>
      <c r="T114">
        <f t="shared" ref="T114" si="549">S114/1000</f>
        <v>181.26155933250274</v>
      </c>
    </row>
    <row r="115" spans="1:20" x14ac:dyDescent="0.25">
      <c r="A115" s="5">
        <v>44478</v>
      </c>
      <c r="B115">
        <v>1.1658E-2</v>
      </c>
      <c r="C115">
        <v>1.6500000000000001E-2</v>
      </c>
      <c r="D115">
        <v>1.1538E-2</v>
      </c>
      <c r="E115">
        <v>1.2297000000000001E-2</v>
      </c>
      <c r="F115">
        <v>2292535152</v>
      </c>
      <c r="G115">
        <v>1.2297000000000001E-2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-0.69407496977025362</v>
      </c>
      <c r="Q115">
        <f t="shared" ref="Q115" si="551">F115*P115</f>
        <v>-1591191266.3216438</v>
      </c>
      <c r="R115">
        <f t="shared" ref="R115" si="552">R116+Q115</f>
        <v>18668119530.423782</v>
      </c>
      <c r="S115">
        <f t="shared" ref="S115" si="553">R115/100000</f>
        <v>186681.19530423783</v>
      </c>
      <c r="T115">
        <f t="shared" ref="T115" si="554">S115/1000</f>
        <v>186.68119530423783</v>
      </c>
    </row>
    <row r="116" spans="1:20" x14ac:dyDescent="0.25">
      <c r="A116" s="5">
        <v>44477</v>
      </c>
      <c r="B116">
        <v>1.0144E-2</v>
      </c>
      <c r="C116">
        <v>1.3167999999999999E-2</v>
      </c>
      <c r="D116">
        <v>1.0144E-2</v>
      </c>
      <c r="E116">
        <v>1.1648E-2</v>
      </c>
      <c r="F116">
        <v>1298400848</v>
      </c>
      <c r="G116">
        <v>1.1648E-2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-5.2910052910048475E-3</v>
      </c>
      <c r="Q116">
        <f t="shared" ref="Q116" si="556">F116*P116</f>
        <v>-6869845.756613181</v>
      </c>
      <c r="R116">
        <f t="shared" ref="R116" si="557">R117+Q116</f>
        <v>20259310796.745426</v>
      </c>
      <c r="S116">
        <f t="shared" ref="S116" si="558">R116/100000</f>
        <v>202593.10796745427</v>
      </c>
      <c r="T116">
        <f t="shared" ref="T116" si="559">S116/1000</f>
        <v>202.59310796745427</v>
      </c>
    </row>
    <row r="117" spans="1:20" x14ac:dyDescent="0.25">
      <c r="A117" s="5">
        <v>44476</v>
      </c>
      <c r="B117">
        <v>9.9570000000000006E-3</v>
      </c>
      <c r="C117">
        <v>1.0485E-2</v>
      </c>
      <c r="D117">
        <v>9.7059999999999994E-3</v>
      </c>
      <c r="E117">
        <v>1.0102999999999999E-2</v>
      </c>
      <c r="F117">
        <v>256443467</v>
      </c>
      <c r="G117">
        <v>1.0102999999999999E-2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1.9255455712451072E-2</v>
      </c>
      <c r="Q117">
        <f t="shared" ref="Q117" si="561">F117*P117</f>
        <v>4937935.8215659074</v>
      </c>
      <c r="R117">
        <f t="shared" ref="R117" si="562">R118+Q117</f>
        <v>20266180642.502041</v>
      </c>
      <c r="S117">
        <f t="shared" ref="S117" si="563">R117/100000</f>
        <v>202661.80642502042</v>
      </c>
      <c r="T117">
        <f t="shared" ref="T117" si="564">S117/1000</f>
        <v>202.66180642502042</v>
      </c>
    </row>
    <row r="118" spans="1:20" x14ac:dyDescent="0.25">
      <c r="A118" s="5">
        <v>44475</v>
      </c>
      <c r="B118">
        <v>1.0204E-2</v>
      </c>
      <c r="C118">
        <v>1.0987E-2</v>
      </c>
      <c r="D118">
        <v>9.4330000000000004E-3</v>
      </c>
      <c r="E118">
        <v>9.9270000000000001E-3</v>
      </c>
      <c r="F118">
        <v>606060598</v>
      </c>
      <c r="G118">
        <v>9.9270000000000001E-3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-0.36422136422136459</v>
      </c>
      <c r="Q118">
        <f t="shared" ref="Q118" si="566">F118*P118</f>
        <v>-220740217.80437604</v>
      </c>
      <c r="R118">
        <f t="shared" ref="R118" si="567">R119+Q118</f>
        <v>20261242706.680473</v>
      </c>
      <c r="S118">
        <f t="shared" ref="S118" si="568">R118/100000</f>
        <v>202612.42706680472</v>
      </c>
      <c r="T118">
        <f t="shared" ref="T118" si="569">S118/1000</f>
        <v>202.61242706680471</v>
      </c>
    </row>
    <row r="119" spans="1:20" x14ac:dyDescent="0.25">
      <c r="A119" s="5">
        <v>44474</v>
      </c>
      <c r="B119">
        <v>8.7799999999999996E-3</v>
      </c>
      <c r="C119">
        <v>1.155E-2</v>
      </c>
      <c r="D119">
        <v>8.6440000000000006E-3</v>
      </c>
      <c r="E119">
        <v>1.0204E-2</v>
      </c>
      <c r="F119">
        <v>1257779841</v>
      </c>
      <c r="G119">
        <v>1.0204E-2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7.3640743289745014E-2</v>
      </c>
      <c r="Q119">
        <f t="shared" ref="Q119" si="571">F119*P119</f>
        <v>92623842.386097297</v>
      </c>
      <c r="R119">
        <f t="shared" ref="R119" si="572">R120+Q119</f>
        <v>20481982924.484848</v>
      </c>
      <c r="S119">
        <f t="shared" ref="S119" si="573">R119/100000</f>
        <v>204819.82924484849</v>
      </c>
      <c r="T119">
        <f t="shared" ref="T119" si="574">S119/1000</f>
        <v>204.81982924484848</v>
      </c>
    </row>
    <row r="120" spans="1:20" x14ac:dyDescent="0.25">
      <c r="A120" s="5">
        <v>44473</v>
      </c>
      <c r="B120">
        <v>9.1809999999999999E-3</v>
      </c>
      <c r="C120">
        <v>9.4570000000000001E-3</v>
      </c>
      <c r="D120">
        <v>8.4899999999999993E-3</v>
      </c>
      <c r="E120">
        <v>8.7810000000000006E-3</v>
      </c>
      <c r="F120">
        <v>174068025</v>
      </c>
      <c r="G120">
        <v>8.7810000000000006E-3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-0.39813857290589227</v>
      </c>
      <c r="Q120">
        <f t="shared" ref="Q120" si="576">F120*P120</f>
        <v>-69303195.062047184</v>
      </c>
      <c r="R120">
        <f t="shared" ref="R120" si="577">R121+Q120</f>
        <v>20389359082.098751</v>
      </c>
      <c r="S120">
        <f t="shared" ref="S120" si="578">R120/100000</f>
        <v>203893.59082098751</v>
      </c>
      <c r="T120">
        <f t="shared" ref="T120" si="579">S120/1000</f>
        <v>203.8935908209875</v>
      </c>
    </row>
    <row r="121" spans="1:20" x14ac:dyDescent="0.25">
      <c r="A121" s="5">
        <v>44472</v>
      </c>
      <c r="B121">
        <v>8.8839999999999995E-3</v>
      </c>
      <c r="C121">
        <v>9.3100000000000006E-3</v>
      </c>
      <c r="D121">
        <v>8.7419999999999998E-3</v>
      </c>
      <c r="E121">
        <v>9.2010000000000008E-3</v>
      </c>
      <c r="F121">
        <v>121601367</v>
      </c>
      <c r="G121">
        <v>9.2010000000000008E-3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0.61619718309859306</v>
      </c>
      <c r="Q121">
        <f t="shared" ref="Q121" si="581">F121*P121</f>
        <v>74930419.806338206</v>
      </c>
      <c r="R121">
        <f t="shared" ref="R121" si="582">R122+Q121</f>
        <v>20458662277.160797</v>
      </c>
      <c r="S121">
        <f t="shared" ref="S121" si="583">R121/100000</f>
        <v>204586.62277160797</v>
      </c>
      <c r="T121">
        <f t="shared" ref="T121" si="584">S121/1000</f>
        <v>204.58662277160798</v>
      </c>
    </row>
    <row r="122" spans="1:20" x14ac:dyDescent="0.25">
      <c r="A122" s="5">
        <v>44471</v>
      </c>
      <c r="B122">
        <v>8.5170000000000003E-3</v>
      </c>
      <c r="C122">
        <v>9.0880000000000006E-3</v>
      </c>
      <c r="D122">
        <v>8.2850000000000007E-3</v>
      </c>
      <c r="E122">
        <v>8.8999999999999999E-3</v>
      </c>
      <c r="F122">
        <v>127002208</v>
      </c>
      <c r="G122">
        <v>8.8999999999999999E-3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0.53175591531755739</v>
      </c>
      <c r="Q122">
        <f t="shared" ref="Q122" si="586">F122*P122</f>
        <v>67534175.362390816</v>
      </c>
      <c r="R122">
        <f t="shared" ref="R122" si="587">R123+Q122</f>
        <v>20383731857.354458</v>
      </c>
      <c r="S122">
        <f t="shared" ref="S122" si="588">R122/100000</f>
        <v>203837.31857354459</v>
      </c>
      <c r="T122">
        <f t="shared" ref="T122" si="589">S122/1000</f>
        <v>203.83731857354459</v>
      </c>
    </row>
    <row r="123" spans="1:20" x14ac:dyDescent="0.25">
      <c r="A123" s="5">
        <v>44470</v>
      </c>
      <c r="B123">
        <v>7.7809999999999997E-3</v>
      </c>
      <c r="C123">
        <v>8.6610000000000003E-3</v>
      </c>
      <c r="D123">
        <v>7.7809999999999997E-3</v>
      </c>
      <c r="E123">
        <v>8.5170000000000003E-3</v>
      </c>
      <c r="F123">
        <v>318938343</v>
      </c>
      <c r="G123">
        <v>8.5170000000000003E-3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0.67272727272727284</v>
      </c>
      <c r="Q123">
        <f t="shared" ref="Q123" si="591">F123*P123</f>
        <v>214558521.65454549</v>
      </c>
      <c r="R123">
        <f t="shared" ref="R123" si="592">R124+Q123</f>
        <v>20316197681.992065</v>
      </c>
      <c r="S123">
        <f t="shared" ref="S123" si="593">R123/100000</f>
        <v>203161.97681992064</v>
      </c>
      <c r="T123">
        <f t="shared" ref="T123" si="594">S123/1000</f>
        <v>203.16197681992065</v>
      </c>
    </row>
    <row r="124" spans="1:20" x14ac:dyDescent="0.25">
      <c r="A124" s="5">
        <v>44469</v>
      </c>
      <c r="B124">
        <v>7.0260000000000001E-3</v>
      </c>
      <c r="C124">
        <v>8.4499999999999992E-3</v>
      </c>
      <c r="D124">
        <v>6.9880000000000003E-3</v>
      </c>
      <c r="E124">
        <v>7.7809999999999997E-3</v>
      </c>
      <c r="F124">
        <v>515405282</v>
      </c>
      <c r="G124">
        <v>7.7809999999999997E-3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8.4815321477428235E-2</v>
      </c>
      <c r="Q124">
        <f t="shared" ref="Q124" si="596">F124*P124</f>
        <v>43714264.683994554</v>
      </c>
      <c r="R124">
        <f t="shared" ref="R124" si="597">R125+Q124</f>
        <v>20101639160.337521</v>
      </c>
      <c r="S124">
        <f t="shared" ref="S124" si="598">R124/100000</f>
        <v>201016.3916033752</v>
      </c>
      <c r="T124">
        <f t="shared" ref="T124" si="599">S124/1000</f>
        <v>201.01639160337521</v>
      </c>
    </row>
    <row r="125" spans="1:20" x14ac:dyDescent="0.25">
      <c r="A125" s="5">
        <v>44468</v>
      </c>
      <c r="B125">
        <v>6.9179999999999997E-3</v>
      </c>
      <c r="C125">
        <v>7.4000000000000003E-3</v>
      </c>
      <c r="D125">
        <v>6.7689999999999998E-3</v>
      </c>
      <c r="E125">
        <v>7.0309999999999999E-3</v>
      </c>
      <c r="F125">
        <v>178724854</v>
      </c>
      <c r="G125">
        <v>7.0309999999999999E-3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-0.16957210776545203</v>
      </c>
      <c r="Q125">
        <f t="shared" ref="Q125" si="601">F125*P125</f>
        <v>-30306750.202852681</v>
      </c>
      <c r="R125">
        <f t="shared" ref="R125" si="602">R126+Q125</f>
        <v>20057924895.653526</v>
      </c>
      <c r="S125">
        <f t="shared" ref="S125" si="603">R125/100000</f>
        <v>200579.24895653527</v>
      </c>
      <c r="T125">
        <f t="shared" ref="T125" si="604">S125/1000</f>
        <v>200.57924895653528</v>
      </c>
    </row>
    <row r="126" spans="1:20" x14ac:dyDescent="0.25">
      <c r="A126" s="5">
        <v>44467</v>
      </c>
      <c r="B126">
        <v>7.3439999999999998E-3</v>
      </c>
      <c r="C126">
        <v>7.4159999999999998E-3</v>
      </c>
      <c r="D126">
        <v>6.8999999999999999E-3</v>
      </c>
      <c r="E126">
        <v>6.9220000000000002E-3</v>
      </c>
      <c r="F126">
        <v>139151661</v>
      </c>
      <c r="G126">
        <v>6.9220000000000002E-3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-0.91472868217054137</v>
      </c>
      <c r="Q126">
        <f t="shared" ref="Q126" si="606">F126*P126</f>
        <v>-127286015.48837192</v>
      </c>
      <c r="R126">
        <f t="shared" ref="R126" si="607">R127+Q126</f>
        <v>20088231645.85638</v>
      </c>
      <c r="S126">
        <f t="shared" ref="S126" si="608">R126/100000</f>
        <v>200882.31645856382</v>
      </c>
      <c r="T126">
        <f t="shared" ref="T126" si="609">S126/1000</f>
        <v>200.88231645856382</v>
      </c>
    </row>
    <row r="127" spans="1:20" x14ac:dyDescent="0.25">
      <c r="A127" s="5">
        <v>44466</v>
      </c>
      <c r="B127">
        <v>7.6160000000000004E-3</v>
      </c>
      <c r="C127">
        <v>7.7980000000000002E-3</v>
      </c>
      <c r="D127">
        <v>7.3099999999999997E-3</v>
      </c>
      <c r="E127">
        <v>7.3480000000000004E-3</v>
      </c>
      <c r="F127">
        <v>136214013</v>
      </c>
      <c r="G127">
        <v>7.3480000000000004E-3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-0.84426229508196449</v>
      </c>
      <c r="Q127">
        <f t="shared" ref="Q127" si="611">F127*P127</f>
        <v>-115000355.23770455</v>
      </c>
      <c r="R127">
        <f t="shared" ref="R127" si="612">R128+Q127</f>
        <v>20215517661.344753</v>
      </c>
      <c r="S127">
        <f t="shared" ref="S127" si="613">R127/100000</f>
        <v>202155.17661344752</v>
      </c>
      <c r="T127">
        <f t="shared" ref="T127" si="614">S127/1000</f>
        <v>202.15517661344751</v>
      </c>
    </row>
    <row r="128" spans="1:20" x14ac:dyDescent="0.25">
      <c r="A128" s="5">
        <v>44465</v>
      </c>
      <c r="B128">
        <v>7.7689999999999999E-3</v>
      </c>
      <c r="C128">
        <v>8.2290000000000002E-3</v>
      </c>
      <c r="D128">
        <v>7.2059999999999997E-3</v>
      </c>
      <c r="E128">
        <v>7.607E-3</v>
      </c>
      <c r="F128">
        <v>281426799</v>
      </c>
      <c r="G128">
        <v>7.607E-3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-0.21603128054740933</v>
      </c>
      <c r="Q128">
        <f t="shared" ref="Q128" si="616">F128*P128</f>
        <v>-60796991.768328376</v>
      </c>
      <c r="R128">
        <f t="shared" ref="R128" si="617">R129+Q128</f>
        <v>20330518016.582458</v>
      </c>
      <c r="S128">
        <f t="shared" ref="S128" si="618">R128/100000</f>
        <v>203305.1801658246</v>
      </c>
      <c r="T128">
        <f t="shared" ref="T128" si="619">S128/1000</f>
        <v>203.30518016582459</v>
      </c>
    </row>
    <row r="129" spans="1:20" x14ac:dyDescent="0.25">
      <c r="A129" s="5">
        <v>44464</v>
      </c>
      <c r="B129">
        <v>7.816E-3</v>
      </c>
      <c r="C129">
        <v>8.1770000000000002E-3</v>
      </c>
      <c r="D129">
        <v>7.4939999999999998E-3</v>
      </c>
      <c r="E129">
        <v>7.7910000000000002E-3</v>
      </c>
      <c r="F129">
        <v>147558456</v>
      </c>
      <c r="G129">
        <v>7.7910000000000002E-3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-0.13030746705710045</v>
      </c>
      <c r="Q129">
        <f t="shared" ref="Q129" si="621">F129*P129</f>
        <v>-19227968.644216605</v>
      </c>
      <c r="R129">
        <f t="shared" ref="R129" si="622">R130+Q129</f>
        <v>20391315008.350788</v>
      </c>
      <c r="S129">
        <f t="shared" ref="S129" si="623">R129/100000</f>
        <v>203913.15008350788</v>
      </c>
      <c r="T129">
        <f t="shared" ref="T129" si="624">S129/1000</f>
        <v>203.91315008350787</v>
      </c>
    </row>
    <row r="130" spans="1:20" x14ac:dyDescent="0.25">
      <c r="A130" s="5">
        <v>44463</v>
      </c>
      <c r="B130">
        <v>8.5089999999999992E-3</v>
      </c>
      <c r="C130">
        <v>8.515E-3</v>
      </c>
      <c r="D130">
        <v>7.1999999999999998E-3</v>
      </c>
      <c r="E130">
        <v>7.8300000000000002E-3</v>
      </c>
      <c r="F130">
        <v>231505320</v>
      </c>
      <c r="G130">
        <v>7.8300000000000002E-3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-4.1825095057033829E-2</v>
      </c>
      <c r="Q130">
        <f t="shared" ref="Q130" si="626">F130*P130</f>
        <v>-9682732.0152090341</v>
      </c>
      <c r="R130">
        <f t="shared" ref="R130" si="627">R131+Q130</f>
        <v>20410542976.995007</v>
      </c>
      <c r="S130">
        <f t="shared" ref="S130" si="628">R130/100000</f>
        <v>204105.42976995007</v>
      </c>
      <c r="T130">
        <f t="shared" ref="T130" si="629">S130/1000</f>
        <v>204.10542976995006</v>
      </c>
    </row>
    <row r="131" spans="1:20" x14ac:dyDescent="0.25">
      <c r="A131" s="5">
        <v>44462</v>
      </c>
      <c r="B131">
        <v>8.2480000000000001E-3</v>
      </c>
      <c r="C131">
        <v>8.6420000000000004E-3</v>
      </c>
      <c r="D131">
        <v>8.0239999999999999E-3</v>
      </c>
      <c r="E131">
        <v>8.5240000000000003E-3</v>
      </c>
      <c r="F131">
        <v>211505130</v>
      </c>
      <c r="G131">
        <v>8.5240000000000003E-3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0.61812297734627841</v>
      </c>
      <c r="Q131">
        <f t="shared" ref="Q131" si="631">F131*P131</f>
        <v>130736180.67961167</v>
      </c>
      <c r="R131">
        <f t="shared" ref="R131" si="632">R132+Q131</f>
        <v>20420225709.010216</v>
      </c>
      <c r="S131">
        <f t="shared" ref="S131" si="633">R131/100000</f>
        <v>204202.25709010215</v>
      </c>
      <c r="T131">
        <f t="shared" ref="T131" si="634">S131/1000</f>
        <v>204.20225709010217</v>
      </c>
    </row>
    <row r="132" spans="1:20" x14ac:dyDescent="0.25">
      <c r="A132" s="5">
        <v>44461</v>
      </c>
      <c r="B132">
        <v>7.3769999999999999E-3</v>
      </c>
      <c r="C132">
        <v>8.2880000000000002E-3</v>
      </c>
      <c r="D132">
        <v>7.0660000000000002E-3</v>
      </c>
      <c r="E132">
        <v>8.2629999999999995E-3</v>
      </c>
      <c r="F132">
        <v>273023973</v>
      </c>
      <c r="G132">
        <v>8.2629999999999995E-3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0.95908346972176639</v>
      </c>
      <c r="Q132">
        <f t="shared" ref="Q132" si="636">F132*P132</f>
        <v>261852779.34206188</v>
      </c>
      <c r="R132">
        <f t="shared" ref="R132" si="637">R133+Q132</f>
        <v>20289489528.330605</v>
      </c>
      <c r="S132">
        <f t="shared" ref="S132" si="638">R132/100000</f>
        <v>202894.89528330605</v>
      </c>
      <c r="T132">
        <f t="shared" ref="T132" si="639">S132/1000</f>
        <v>202.89489528330606</v>
      </c>
    </row>
    <row r="133" spans="1:20" x14ac:dyDescent="0.25">
      <c r="A133" s="5">
        <v>44460</v>
      </c>
      <c r="B133">
        <v>8.2839999999999997E-3</v>
      </c>
      <c r="C133">
        <v>9.7199999999999995E-3</v>
      </c>
      <c r="D133">
        <v>7.2620000000000002E-3</v>
      </c>
      <c r="E133">
        <v>7.3429999999999997E-3</v>
      </c>
      <c r="F133">
        <v>334823998</v>
      </c>
      <c r="G133">
        <v>7.3429999999999997E-3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-0.93409275834011429</v>
      </c>
      <c r="Q133">
        <f t="shared" ref="Q133" si="641">F133*P133</f>
        <v>-312756671.85028493</v>
      </c>
      <c r="R133">
        <f t="shared" ref="R133" si="642">R134+Q133</f>
        <v>20027636748.988544</v>
      </c>
      <c r="S133">
        <f t="shared" ref="S133" si="643">R133/100000</f>
        <v>200276.36748988545</v>
      </c>
      <c r="T133">
        <f t="shared" ref="T133" si="644">S133/1000</f>
        <v>200.27636748988544</v>
      </c>
    </row>
    <row r="134" spans="1:20" x14ac:dyDescent="0.25">
      <c r="A134" s="5">
        <v>44459</v>
      </c>
      <c r="B134">
        <v>9.7120000000000001E-3</v>
      </c>
      <c r="C134">
        <v>9.7289999999999998E-3</v>
      </c>
      <c r="D134">
        <v>8.6E-3</v>
      </c>
      <c r="E134">
        <v>8.7779999999999993E-3</v>
      </c>
      <c r="F134">
        <v>152861436</v>
      </c>
      <c r="G134">
        <v>8.7779999999999993E-3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-0.6846767050487168</v>
      </c>
      <c r="Q134">
        <f t="shared" ref="Q134" si="646">F134*P134</f>
        <v>-104660664.3294953</v>
      </c>
      <c r="R134">
        <f t="shared" ref="R134" si="647">R135+Q134</f>
        <v>20340393420.838829</v>
      </c>
      <c r="S134">
        <f t="shared" ref="S134" si="648">R134/100000</f>
        <v>203403.93420838829</v>
      </c>
      <c r="T134">
        <f t="shared" ref="T134" si="649">S134/1000</f>
        <v>203.40393420838831</v>
      </c>
    </row>
    <row r="135" spans="1:20" x14ac:dyDescent="0.25">
      <c r="A135" s="5">
        <v>44458</v>
      </c>
      <c r="B135">
        <v>9.8099999999999993E-3</v>
      </c>
      <c r="C135">
        <v>1.0042000000000001E-2</v>
      </c>
      <c r="D135">
        <v>9.5759999999999994E-3</v>
      </c>
      <c r="E135">
        <v>9.7149999999999997E-3</v>
      </c>
      <c r="F135">
        <v>269728030</v>
      </c>
      <c r="G135">
        <v>9.7149999999999997E-3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-0.40343347639485022</v>
      </c>
      <c r="Q135">
        <f t="shared" ref="Q135" si="651">F135*P135</f>
        <v>-108817316.82403445</v>
      </c>
      <c r="R135">
        <f t="shared" ref="R135" si="652">R136+Q135</f>
        <v>20445054085.168324</v>
      </c>
      <c r="S135">
        <f t="shared" ref="S135" si="653">R135/100000</f>
        <v>204450.54085168324</v>
      </c>
      <c r="T135">
        <f t="shared" ref="T135" si="654">S135/1000</f>
        <v>204.45054085168323</v>
      </c>
    </row>
    <row r="136" spans="1:20" x14ac:dyDescent="0.25">
      <c r="A136" s="5">
        <v>44457</v>
      </c>
      <c r="B136">
        <v>9.5420000000000001E-3</v>
      </c>
      <c r="C136">
        <v>0.01</v>
      </c>
      <c r="D136">
        <v>9.5270000000000007E-3</v>
      </c>
      <c r="E136">
        <v>9.8099999999999993E-3</v>
      </c>
      <c r="F136">
        <v>71808925</v>
      </c>
      <c r="G136">
        <v>9.8099999999999993E-3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0.19661733615221502</v>
      </c>
      <c r="Q136">
        <f t="shared" ref="Q136" si="656">F136*P136</f>
        <v>14118879.545454197</v>
      </c>
      <c r="R136">
        <f t="shared" ref="R136" si="657">R137+Q136</f>
        <v>20553871401.992359</v>
      </c>
      <c r="S136">
        <f t="shared" ref="S136" si="658">R136/100000</f>
        <v>205538.71401992359</v>
      </c>
      <c r="T136">
        <f t="shared" ref="T136" si="659">S136/1000</f>
        <v>205.53871401992359</v>
      </c>
    </row>
    <row r="137" spans="1:20" x14ac:dyDescent="0.25">
      <c r="A137" s="5">
        <v>44456</v>
      </c>
      <c r="B137">
        <v>9.9710000000000007E-3</v>
      </c>
      <c r="C137">
        <v>9.9900000000000006E-3</v>
      </c>
      <c r="D137">
        <v>9.4400000000000005E-3</v>
      </c>
      <c r="E137">
        <v>9.5139999999999999E-3</v>
      </c>
      <c r="F137">
        <v>68265218</v>
      </c>
      <c r="G137">
        <v>9.5139999999999999E-3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-0.73090909090909306</v>
      </c>
      <c r="Q137">
        <f t="shared" ref="Q137" si="661">F137*P137</f>
        <v>-49895668.429091059</v>
      </c>
      <c r="R137">
        <f t="shared" ref="R137" si="662">R138+Q137</f>
        <v>20539752522.446903</v>
      </c>
      <c r="S137">
        <f t="shared" ref="S137" si="663">R137/100000</f>
        <v>205397.52522446902</v>
      </c>
      <c r="T137">
        <f t="shared" ref="T137" si="664">S137/1000</f>
        <v>205.39752522446901</v>
      </c>
    </row>
    <row r="138" spans="1:20" x14ac:dyDescent="0.25">
      <c r="A138" s="5">
        <v>44455</v>
      </c>
      <c r="B138">
        <v>9.8460000000000006E-3</v>
      </c>
      <c r="C138">
        <v>1.0174000000000001E-2</v>
      </c>
      <c r="D138">
        <v>9.5359999999999993E-3</v>
      </c>
      <c r="E138">
        <v>9.9539999999999993E-3</v>
      </c>
      <c r="F138">
        <v>153267506</v>
      </c>
      <c r="G138">
        <v>9.9539999999999993E-3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0.31034482758620391</v>
      </c>
      <c r="Q138">
        <f t="shared" ref="Q138" si="666">F138*P138</f>
        <v>47565777.72413747</v>
      </c>
      <c r="R138">
        <f t="shared" ref="R138" si="667">R139+Q138</f>
        <v>20589648190.875996</v>
      </c>
      <c r="S138">
        <f t="shared" ref="S138" si="668">R138/100000</f>
        <v>205896.48190875995</v>
      </c>
      <c r="T138">
        <f t="shared" ref="T138" si="669">S138/1000</f>
        <v>205.89648190875994</v>
      </c>
    </row>
    <row r="139" spans="1:20" x14ac:dyDescent="0.25">
      <c r="A139" s="5">
        <v>44454</v>
      </c>
      <c r="B139">
        <v>9.6270000000000001E-3</v>
      </c>
      <c r="C139">
        <v>9.868E-3</v>
      </c>
      <c r="D139">
        <v>9.3860000000000002E-3</v>
      </c>
      <c r="E139">
        <v>9.8490000000000001E-3</v>
      </c>
      <c r="F139">
        <v>111366409</v>
      </c>
      <c r="G139">
        <v>9.8490000000000001E-3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0.92116182572614136</v>
      </c>
      <c r="Q139">
        <f t="shared" ref="Q139" si="671">F139*P139</f>
        <v>102586484.63900419</v>
      </c>
      <c r="R139">
        <f t="shared" ref="R139" si="672">R140+Q139</f>
        <v>20542082413.151859</v>
      </c>
      <c r="S139">
        <f t="shared" ref="S139" si="673">R139/100000</f>
        <v>205420.8241315186</v>
      </c>
      <c r="T139">
        <f t="shared" ref="T139" si="674">S139/1000</f>
        <v>205.4208241315186</v>
      </c>
    </row>
    <row r="140" spans="1:20" x14ac:dyDescent="0.25">
      <c r="A140" s="5">
        <v>44453</v>
      </c>
      <c r="B140">
        <v>9.3810000000000004E-3</v>
      </c>
      <c r="C140">
        <v>9.6609999999999994E-3</v>
      </c>
      <c r="D140">
        <v>9.2130000000000007E-3</v>
      </c>
      <c r="E140">
        <v>9.606E-3</v>
      </c>
      <c r="F140">
        <v>74855209</v>
      </c>
      <c r="G140">
        <v>9.606E-3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0.75446428571428725</v>
      </c>
      <c r="Q140">
        <f t="shared" ref="Q140" si="676">F140*P140</f>
        <v>56475581.790178686</v>
      </c>
      <c r="R140">
        <f t="shared" ref="R140" si="677">R141+Q140</f>
        <v>20439495928.512856</v>
      </c>
      <c r="S140">
        <f t="shared" ref="S140" si="678">R140/100000</f>
        <v>204394.95928512854</v>
      </c>
      <c r="T140">
        <f t="shared" ref="T140" si="679">S140/1000</f>
        <v>204.39495928512855</v>
      </c>
    </row>
    <row r="141" spans="1:20" x14ac:dyDescent="0.25">
      <c r="A141" s="5">
        <v>44452</v>
      </c>
      <c r="B141">
        <v>9.8809999999999992E-3</v>
      </c>
      <c r="C141">
        <v>1.0038999999999999E-2</v>
      </c>
      <c r="D141">
        <v>8.8730000000000007E-3</v>
      </c>
      <c r="E141">
        <v>9.3810000000000004E-3</v>
      </c>
      <c r="F141">
        <v>119582548</v>
      </c>
      <c r="G141">
        <v>9.3810000000000004E-3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-0.12864493996569407</v>
      </c>
      <c r="Q141">
        <f t="shared" ref="Q141" si="681">F141*P141</f>
        <v>-15383689.708404729</v>
      </c>
      <c r="R141">
        <f t="shared" ref="R141" si="682">R142+Q141</f>
        <v>20383020346.722675</v>
      </c>
      <c r="S141">
        <f t="shared" ref="S141" si="683">R141/100000</f>
        <v>203830.20346722676</v>
      </c>
      <c r="T141">
        <f t="shared" ref="T141" si="684">S141/1000</f>
        <v>203.83020346722677</v>
      </c>
    </row>
    <row r="142" spans="1:20" x14ac:dyDescent="0.25">
      <c r="A142" s="5">
        <v>44451</v>
      </c>
      <c r="B142">
        <v>9.7610000000000006E-3</v>
      </c>
      <c r="C142">
        <v>9.9399999999999992E-3</v>
      </c>
      <c r="D142">
        <v>9.4249999999999994E-3</v>
      </c>
      <c r="E142">
        <v>9.8720000000000006E-3</v>
      </c>
      <c r="F142">
        <v>95967704</v>
      </c>
      <c r="G142">
        <v>9.8720000000000006E-3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0.73592233009709263</v>
      </c>
      <c r="Q142">
        <f t="shared" ref="Q142" si="686">F142*P142</f>
        <v>70624776.341748074</v>
      </c>
      <c r="R142">
        <f t="shared" ref="R142" si="687">R143+Q142</f>
        <v>20398404036.43108</v>
      </c>
      <c r="S142">
        <f t="shared" ref="S142" si="688">R142/100000</f>
        <v>203984.04036431079</v>
      </c>
      <c r="T142">
        <f t="shared" ref="T142" si="689">S142/1000</f>
        <v>203.98404036431077</v>
      </c>
    </row>
    <row r="143" spans="1:20" x14ac:dyDescent="0.25">
      <c r="A143" s="5">
        <v>44450</v>
      </c>
      <c r="B143">
        <v>9.4719999999999995E-3</v>
      </c>
      <c r="C143">
        <v>1.01E-2</v>
      </c>
      <c r="D143">
        <v>9.3939999999999996E-3</v>
      </c>
      <c r="E143">
        <v>9.7929999999999996E-3</v>
      </c>
      <c r="F143">
        <v>85225528</v>
      </c>
      <c r="G143">
        <v>9.7929999999999996E-3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0.13031161473087827</v>
      </c>
      <c r="Q143">
        <f t="shared" ref="Q143" si="691">F143*P143</f>
        <v>11105876.169971678</v>
      </c>
      <c r="R143">
        <f t="shared" ref="R143" si="692">R144+Q143</f>
        <v>20327779260.089333</v>
      </c>
      <c r="S143">
        <f t="shared" ref="S143" si="693">R143/100000</f>
        <v>203277.79260089333</v>
      </c>
      <c r="T143">
        <f t="shared" ref="T143" si="694">S143/1000</f>
        <v>203.27779260089332</v>
      </c>
    </row>
    <row r="144" spans="1:20" x14ac:dyDescent="0.25">
      <c r="A144" s="5">
        <v>44449</v>
      </c>
      <c r="B144">
        <v>1.0123999999999999E-2</v>
      </c>
      <c r="C144">
        <v>1.0499E-2</v>
      </c>
      <c r="D144">
        <v>9.2110000000000004E-3</v>
      </c>
      <c r="E144">
        <v>9.4719999999999995E-3</v>
      </c>
      <c r="F144">
        <v>184861381</v>
      </c>
      <c r="G144">
        <v>9.4719999999999995E-3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-0.59472049689441109</v>
      </c>
      <c r="Q144">
        <f t="shared" ref="Q144" si="696">F144*P144</f>
        <v>-109940852.36490704</v>
      </c>
      <c r="R144">
        <f t="shared" ref="R144" si="697">R145+Q144</f>
        <v>20316673383.919361</v>
      </c>
      <c r="S144">
        <f t="shared" ref="S144" si="698">R144/100000</f>
        <v>203166.73383919362</v>
      </c>
      <c r="T144">
        <f t="shared" ref="T144" si="699">S144/1000</f>
        <v>203.16673383919363</v>
      </c>
    </row>
    <row r="145" spans="1:20" x14ac:dyDescent="0.25">
      <c r="A145" s="5">
        <v>44448</v>
      </c>
      <c r="B145">
        <v>9.4310000000000001E-3</v>
      </c>
      <c r="C145">
        <v>1.0803E-2</v>
      </c>
      <c r="D145">
        <v>9.4140000000000005E-3</v>
      </c>
      <c r="E145">
        <v>1.0122000000000001E-2</v>
      </c>
      <c r="F145">
        <v>382284181</v>
      </c>
      <c r="G145">
        <v>1.0122000000000001E-2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1.9438444924406759E-2</v>
      </c>
      <c r="Q145">
        <f t="shared" ref="Q145" si="701">F145*P145</f>
        <v>7431009.9978404446</v>
      </c>
      <c r="R145">
        <f t="shared" ref="R145" si="702">R146+Q145</f>
        <v>20426614236.284267</v>
      </c>
      <c r="S145">
        <f t="shared" ref="S145" si="703">R145/100000</f>
        <v>204266.14236284269</v>
      </c>
      <c r="T145">
        <f t="shared" ref="T145" si="704">S145/1000</f>
        <v>204.26614236284269</v>
      </c>
    </row>
    <row r="146" spans="1:20" x14ac:dyDescent="0.25">
      <c r="A146" s="5">
        <v>44447</v>
      </c>
      <c r="B146">
        <v>9.6170000000000005E-3</v>
      </c>
      <c r="C146">
        <v>9.9139999999999992E-3</v>
      </c>
      <c r="D146">
        <v>8.3580000000000008E-3</v>
      </c>
      <c r="E146">
        <v>9.4140000000000005E-3</v>
      </c>
      <c r="F146">
        <v>253442678</v>
      </c>
      <c r="G146">
        <v>9.4140000000000005E-3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0.35732647814910123</v>
      </c>
      <c r="Q146">
        <f t="shared" ref="Q146" si="706">F146*P146</f>
        <v>90561779.542416707</v>
      </c>
      <c r="R146">
        <f t="shared" ref="R146" si="707">R147+Q146</f>
        <v>20419183226.286427</v>
      </c>
      <c r="S146">
        <f t="shared" ref="S146" si="708">R146/100000</f>
        <v>204191.83226286428</v>
      </c>
      <c r="T146">
        <f t="shared" ref="T146" si="709">S146/1000</f>
        <v>204.19183226286427</v>
      </c>
    </row>
    <row r="147" spans="1:20" x14ac:dyDescent="0.25">
      <c r="A147" s="5">
        <v>44446</v>
      </c>
      <c r="B147">
        <v>1.2208E-2</v>
      </c>
      <c r="C147">
        <v>1.2259000000000001E-2</v>
      </c>
      <c r="D147">
        <v>8.1379999999999994E-3</v>
      </c>
      <c r="E147">
        <v>9.5849999999999998E-3</v>
      </c>
      <c r="F147">
        <v>343411778</v>
      </c>
      <c r="G147">
        <v>9.5849999999999998E-3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-0.29774326619752495</v>
      </c>
      <c r="Q147">
        <f t="shared" ref="Q147" si="711">F147*P147</f>
        <v>-102248544.43241934</v>
      </c>
      <c r="R147">
        <f t="shared" ref="R147" si="712">R148+Q147</f>
        <v>20328621446.744011</v>
      </c>
      <c r="S147">
        <f t="shared" ref="S147" si="713">R147/100000</f>
        <v>203286.21446744012</v>
      </c>
      <c r="T147">
        <f t="shared" ref="T147" si="714">S147/1000</f>
        <v>203.28621446744012</v>
      </c>
    </row>
    <row r="148" spans="1:20" x14ac:dyDescent="0.25">
      <c r="A148" s="5">
        <v>44445</v>
      </c>
      <c r="B148">
        <v>1.2168999999999999E-2</v>
      </c>
      <c r="C148">
        <v>1.3178E-2</v>
      </c>
      <c r="D148">
        <v>1.1469999999999999E-2</v>
      </c>
      <c r="E148">
        <v>1.2171E-2</v>
      </c>
      <c r="F148">
        <v>398309902</v>
      </c>
      <c r="G148">
        <v>1.2171E-2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-0.17915690866510567</v>
      </c>
      <c r="Q148">
        <f t="shared" ref="Q148" si="716">F148*P148</f>
        <v>-71359970.733021185</v>
      </c>
      <c r="R148">
        <f t="shared" ref="R148" si="717">R149+Q148</f>
        <v>20430869991.17643</v>
      </c>
      <c r="S148">
        <f t="shared" ref="S148" si="718">R148/100000</f>
        <v>204308.6999117643</v>
      </c>
      <c r="T148">
        <f t="shared" ref="T148" si="719">S148/1000</f>
        <v>204.30869991176431</v>
      </c>
    </row>
    <row r="149" spans="1:20" x14ac:dyDescent="0.25">
      <c r="A149" s="5">
        <v>44444</v>
      </c>
      <c r="B149">
        <v>1.1705999999999999E-2</v>
      </c>
      <c r="C149">
        <v>1.43E-2</v>
      </c>
      <c r="D149">
        <v>1.1442000000000001E-2</v>
      </c>
      <c r="E149">
        <v>1.217E-2</v>
      </c>
      <c r="F149">
        <v>1138785484</v>
      </c>
      <c r="G149">
        <v>1.217E-2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-0.49055283414975531</v>
      </c>
      <c r="Q149">
        <f t="shared" ref="Q149" si="721">F149*P149</f>
        <v>-558634446.66480088</v>
      </c>
      <c r="R149">
        <f t="shared" ref="R149" si="722">R150+Q149</f>
        <v>20502229961.909451</v>
      </c>
      <c r="S149">
        <f t="shared" ref="S149" si="723">R149/100000</f>
        <v>205022.2996190945</v>
      </c>
      <c r="T149">
        <f t="shared" ref="T149" si="724">S149/1000</f>
        <v>205.0222996190945</v>
      </c>
    </row>
    <row r="150" spans="1:20" x14ac:dyDescent="0.25">
      <c r="A150" s="5">
        <v>44443</v>
      </c>
      <c r="B150">
        <v>1.0725E-2</v>
      </c>
      <c r="C150">
        <v>1.1849999999999999E-2</v>
      </c>
      <c r="D150">
        <v>1.0657E-2</v>
      </c>
      <c r="E150">
        <v>1.1684999999999999E-2</v>
      </c>
      <c r="F150">
        <v>294864919</v>
      </c>
      <c r="G150">
        <v>1.1684999999999999E-2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0.72338642078792914</v>
      </c>
      <c r="Q150">
        <f t="shared" ref="Q150" si="726">F150*P150</f>
        <v>213301278.37133265</v>
      </c>
      <c r="R150">
        <f t="shared" ref="R150" si="727">R151+Q150</f>
        <v>21060864408.574253</v>
      </c>
      <c r="S150">
        <f t="shared" ref="S150" si="728">R150/100000</f>
        <v>210608.64408574253</v>
      </c>
      <c r="T150">
        <f t="shared" ref="T150" si="729">S150/1000</f>
        <v>210.60864408574253</v>
      </c>
    </row>
    <row r="151" spans="1:20" x14ac:dyDescent="0.25">
      <c r="A151" s="5">
        <v>44442</v>
      </c>
      <c r="B151">
        <v>1.0475E-2</v>
      </c>
      <c r="C151">
        <v>1.0925000000000001E-2</v>
      </c>
      <c r="D151">
        <v>1.0139E-2</v>
      </c>
      <c r="E151">
        <v>1.0707E-2</v>
      </c>
      <c r="F151">
        <v>162240013</v>
      </c>
      <c r="G151">
        <v>1.0707E-2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0.4452926208651371</v>
      </c>
      <c r="Q151">
        <f t="shared" ref="Q151" si="731">F151*P151</f>
        <v>72244280.597963914</v>
      </c>
      <c r="R151">
        <f t="shared" ref="R151" si="732">R152+Q151</f>
        <v>20847563130.202919</v>
      </c>
      <c r="S151">
        <f t="shared" ref="S151" si="733">R151/100000</f>
        <v>208475.63130202919</v>
      </c>
      <c r="T151">
        <f t="shared" ref="T151" si="734">S151/1000</f>
        <v>208.47563130202917</v>
      </c>
    </row>
    <row r="152" spans="1:20" x14ac:dyDescent="0.25">
      <c r="A152" s="5">
        <v>44441</v>
      </c>
      <c r="B152">
        <v>1.0619E-2</v>
      </c>
      <c r="C152">
        <v>1.098E-2</v>
      </c>
      <c r="D152">
        <v>1.0300999999999999E-2</v>
      </c>
      <c r="E152">
        <v>1.0474000000000001E-2</v>
      </c>
      <c r="F152">
        <v>224992290</v>
      </c>
      <c r="G152">
        <v>1.0474000000000001E-2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-0.49042709867451817</v>
      </c>
      <c r="Q152">
        <f t="shared" ref="Q152" si="736">F152*P152</f>
        <v>-110342316.00883581</v>
      </c>
      <c r="R152">
        <f t="shared" ref="R152" si="737">R153+Q152</f>
        <v>20775318849.604954</v>
      </c>
      <c r="S152">
        <f t="shared" ref="S152" si="738">R152/100000</f>
        <v>207753.18849604955</v>
      </c>
      <c r="T152">
        <f t="shared" ref="T152" si="739">S152/1000</f>
        <v>207.75318849604955</v>
      </c>
    </row>
    <row r="153" spans="1:20" x14ac:dyDescent="0.25">
      <c r="A153" s="5">
        <v>44440</v>
      </c>
      <c r="B153">
        <v>9.7230000000000007E-3</v>
      </c>
      <c r="C153">
        <v>1.0732E-2</v>
      </c>
      <c r="D153">
        <v>9.4330000000000004E-3</v>
      </c>
      <c r="E153">
        <v>1.0619E-2</v>
      </c>
      <c r="F153">
        <v>257738615</v>
      </c>
      <c r="G153">
        <v>1.0619E-2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0.82602001539645842</v>
      </c>
      <c r="Q153">
        <f t="shared" ref="Q153" si="741">F153*P153</f>
        <v>212897254.73056188</v>
      </c>
      <c r="R153">
        <f t="shared" ref="R153" si="742">R154+Q153</f>
        <v>20885661165.613789</v>
      </c>
      <c r="S153">
        <f t="shared" ref="S153" si="743">R153/100000</f>
        <v>208856.61165613789</v>
      </c>
      <c r="T153">
        <f t="shared" ref="T153" si="744">S153/1000</f>
        <v>208.85661165613789</v>
      </c>
    </row>
    <row r="154" spans="1:20" x14ac:dyDescent="0.25">
      <c r="A154" s="5">
        <v>44439</v>
      </c>
      <c r="B154">
        <v>9.4409999999999997E-3</v>
      </c>
      <c r="C154">
        <v>9.8519999999999996E-3</v>
      </c>
      <c r="D154">
        <v>9.3200000000000002E-3</v>
      </c>
      <c r="E154">
        <v>9.7190000000000002E-3</v>
      </c>
      <c r="F154">
        <v>116652837</v>
      </c>
      <c r="G154">
        <v>9.7190000000000002E-3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0.50000000000000167</v>
      </c>
      <c r="Q154">
        <f t="shared" ref="Q154" si="746">F154*P154</f>
        <v>58326418.500000194</v>
      </c>
      <c r="R154">
        <f t="shared" ref="R154" si="747">R155+Q154</f>
        <v>20672763910.883228</v>
      </c>
      <c r="S154">
        <f t="shared" ref="S154" si="748">R154/100000</f>
        <v>206727.63910883229</v>
      </c>
      <c r="T154">
        <f t="shared" ref="T154" si="749">S154/1000</f>
        <v>206.72763910883228</v>
      </c>
    </row>
    <row r="155" spans="1:20" x14ac:dyDescent="0.25">
      <c r="A155" s="5">
        <v>44438</v>
      </c>
      <c r="B155">
        <v>9.7859999999999996E-3</v>
      </c>
      <c r="C155">
        <v>9.9000000000000008E-3</v>
      </c>
      <c r="D155">
        <v>9.2829999999999996E-3</v>
      </c>
      <c r="E155">
        <v>9.4490000000000008E-3</v>
      </c>
      <c r="F155">
        <v>144495489</v>
      </c>
      <c r="G155">
        <v>9.4490000000000008E-3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-0.46191247974067784</v>
      </c>
      <c r="Q155">
        <f t="shared" ref="Q155" si="751">F155*P155</f>
        <v>-66744269.635331839</v>
      </c>
      <c r="R155">
        <f t="shared" ref="R155" si="752">R156+Q155</f>
        <v>20614437492.383228</v>
      </c>
      <c r="S155">
        <f t="shared" ref="S155" si="753">R155/100000</f>
        <v>206144.37492383228</v>
      </c>
      <c r="T155">
        <f t="shared" ref="T155" si="754">S155/1000</f>
        <v>206.14437492383229</v>
      </c>
    </row>
    <row r="156" spans="1:20" x14ac:dyDescent="0.25">
      <c r="A156" s="5">
        <v>44437</v>
      </c>
      <c r="B156">
        <v>9.8689999999999993E-3</v>
      </c>
      <c r="C156">
        <v>9.9900000000000006E-3</v>
      </c>
      <c r="D156">
        <v>9.4579999999999994E-3</v>
      </c>
      <c r="E156">
        <v>9.7929999999999996E-3</v>
      </c>
      <c r="F156">
        <v>70889439</v>
      </c>
      <c r="G156">
        <v>9.7929999999999996E-3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0.25939849624059946</v>
      </c>
      <c r="Q156">
        <f t="shared" ref="Q156" si="756">F156*P156</f>
        <v>18388613.875939704</v>
      </c>
      <c r="R156">
        <f t="shared" ref="R156" si="757">R157+Q156</f>
        <v>20681181762.018559</v>
      </c>
      <c r="S156">
        <f t="shared" ref="S156" si="758">R156/100000</f>
        <v>206811.81762018558</v>
      </c>
      <c r="T156">
        <f t="shared" ref="T156" si="759">S156/1000</f>
        <v>206.81181762018559</v>
      </c>
    </row>
    <row r="157" spans="1:20" x14ac:dyDescent="0.25">
      <c r="A157" s="5">
        <v>44436</v>
      </c>
      <c r="B157">
        <v>1.0007E-2</v>
      </c>
      <c r="C157">
        <v>1.0116999999999999E-2</v>
      </c>
      <c r="D157">
        <v>9.698E-3</v>
      </c>
      <c r="E157">
        <v>9.8499999999999994E-3</v>
      </c>
      <c r="F157">
        <v>118158489</v>
      </c>
      <c r="G157">
        <v>9.8499999999999994E-3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-0.27446300715990629</v>
      </c>
      <c r="Q157">
        <f t="shared" ref="Q157" si="761">F157*P157</f>
        <v>-32430134.212410707</v>
      </c>
      <c r="R157">
        <f t="shared" ref="R157" si="762">R158+Q157</f>
        <v>20662793148.14262</v>
      </c>
      <c r="S157">
        <f t="shared" ref="S157" si="763">R157/100000</f>
        <v>206627.9314814262</v>
      </c>
      <c r="T157">
        <f t="shared" ref="T157" si="764">S157/1000</f>
        <v>206.6279314814262</v>
      </c>
    </row>
    <row r="158" spans="1:20" x14ac:dyDescent="0.25">
      <c r="A158" s="5">
        <v>44435</v>
      </c>
      <c r="B158">
        <v>9.5390000000000006E-3</v>
      </c>
      <c r="C158">
        <v>1.0014E-2</v>
      </c>
      <c r="D158">
        <v>9.1219999999999999E-3</v>
      </c>
      <c r="E158">
        <v>9.9850000000000008E-3</v>
      </c>
      <c r="F158">
        <v>97505461</v>
      </c>
      <c r="G158">
        <v>9.9850000000000008E-3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0.93497757847533747</v>
      </c>
      <c r="Q158">
        <f t="shared" ref="Q158" si="766">F158*P158</f>
        <v>91165419.813901454</v>
      </c>
      <c r="R158">
        <f t="shared" ref="R158" si="767">R159+Q158</f>
        <v>20695223282.35503</v>
      </c>
      <c r="S158">
        <f t="shared" ref="S158" si="768">R158/100000</f>
        <v>206952.23282355029</v>
      </c>
      <c r="T158">
        <f t="shared" ref="T158" si="769">S158/1000</f>
        <v>206.9522328235503</v>
      </c>
    </row>
    <row r="159" spans="1:20" x14ac:dyDescent="0.25">
      <c r="A159" s="5">
        <v>44434</v>
      </c>
      <c r="B159">
        <v>1.0425E-2</v>
      </c>
      <c r="C159">
        <v>1.0547000000000001E-2</v>
      </c>
      <c r="D159">
        <v>9.4789999999999996E-3</v>
      </c>
      <c r="E159">
        <v>9.5350000000000001E-3</v>
      </c>
      <c r="F159">
        <v>145483416</v>
      </c>
      <c r="G159">
        <v>9.5350000000000001E-3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-0.89513108614232129</v>
      </c>
      <c r="Q159">
        <f t="shared" ref="Q159" si="771">F159*P159</f>
        <v>-130226728.17977516</v>
      </c>
      <c r="R159">
        <f t="shared" ref="R159" si="772">R160+Q159</f>
        <v>20604057862.54113</v>
      </c>
      <c r="S159">
        <f t="shared" ref="S159" si="773">R159/100000</f>
        <v>206040.57862541129</v>
      </c>
      <c r="T159">
        <f t="shared" ref="T159" si="774">S159/1000</f>
        <v>206.04057862541129</v>
      </c>
    </row>
    <row r="160" spans="1:20" x14ac:dyDescent="0.25">
      <c r="A160" s="5">
        <v>44433</v>
      </c>
      <c r="B160">
        <v>1.0028E-2</v>
      </c>
      <c r="C160">
        <v>1.0565E-2</v>
      </c>
      <c r="D160">
        <v>9.4940000000000007E-3</v>
      </c>
      <c r="E160">
        <v>1.0444E-2</v>
      </c>
      <c r="F160">
        <v>257846246</v>
      </c>
      <c r="G160">
        <v>1.0444E-2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0.77404295051353933</v>
      </c>
      <c r="Q160">
        <f t="shared" ref="Q160" si="776">F160*P160</f>
        <v>199584069.03267989</v>
      </c>
      <c r="R160">
        <f t="shared" ref="R160" si="777">R161+Q160</f>
        <v>20734284590.720905</v>
      </c>
      <c r="S160">
        <f t="shared" ref="S160" si="778">R160/100000</f>
        <v>207342.84590720906</v>
      </c>
      <c r="T160">
        <f t="shared" ref="T160" si="779">S160/1000</f>
        <v>207.34284590720907</v>
      </c>
    </row>
    <row r="161" spans="1:20" x14ac:dyDescent="0.25">
      <c r="A161" s="5">
        <v>44432</v>
      </c>
      <c r="B161">
        <v>1.077E-2</v>
      </c>
      <c r="C161">
        <v>1.1073E-2</v>
      </c>
      <c r="D161">
        <v>9.8019999999999999E-3</v>
      </c>
      <c r="E161">
        <v>1.0017E-2</v>
      </c>
      <c r="F161">
        <v>243273852</v>
      </c>
      <c r="G161">
        <v>1.0017E-2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-0.66168371361132972</v>
      </c>
      <c r="Q161">
        <f t="shared" ref="Q161" si="781">F161*P161</f>
        <v>-160970345.81589302</v>
      </c>
      <c r="R161">
        <f t="shared" ref="R161" si="782">R162+Q161</f>
        <v>20534700521.688225</v>
      </c>
      <c r="S161">
        <f t="shared" ref="S161" si="783">R161/100000</f>
        <v>205347.00521688224</v>
      </c>
      <c r="T161">
        <f t="shared" ref="T161" si="784">S161/1000</f>
        <v>205.34700521688225</v>
      </c>
    </row>
    <row r="162" spans="1:20" x14ac:dyDescent="0.25">
      <c r="A162" s="5">
        <v>44431</v>
      </c>
      <c r="B162">
        <v>9.6710000000000008E-3</v>
      </c>
      <c r="C162">
        <v>1.1623E-2</v>
      </c>
      <c r="D162">
        <v>9.6509999999999999E-3</v>
      </c>
      <c r="E162">
        <v>1.0753E-2</v>
      </c>
      <c r="F162">
        <v>563862904</v>
      </c>
      <c r="G162">
        <v>1.0753E-2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0.11764705882353009</v>
      </c>
      <c r="Q162">
        <f t="shared" ref="Q162" si="786">F162*P162</f>
        <v>66336812.235294499</v>
      </c>
      <c r="R162">
        <f t="shared" ref="R162" si="787">R163+Q162</f>
        <v>20695670867.504116</v>
      </c>
      <c r="S162">
        <f t="shared" ref="S162" si="788">R162/100000</f>
        <v>206956.70867504115</v>
      </c>
      <c r="T162">
        <f t="shared" ref="T162" si="789">S162/1000</f>
        <v>206.95670867504114</v>
      </c>
    </row>
    <row r="163" spans="1:20" x14ac:dyDescent="0.25">
      <c r="A163" s="5">
        <v>44430</v>
      </c>
      <c r="B163">
        <v>9.7520000000000003E-3</v>
      </c>
      <c r="C163">
        <v>9.8399999999999998E-3</v>
      </c>
      <c r="D163">
        <v>9.6200000000000001E-3</v>
      </c>
      <c r="E163">
        <v>9.7479999999999997E-3</v>
      </c>
      <c r="F163">
        <v>21581463</v>
      </c>
      <c r="G163">
        <v>9.7479999999999997E-3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0.16363636363636191</v>
      </c>
      <c r="Q163">
        <f t="shared" ref="Q163" si="791">F163*P163</f>
        <v>3531512.1272726902</v>
      </c>
      <c r="R163">
        <f t="shared" ref="R163" si="792">R164+Q163</f>
        <v>20629334055.268822</v>
      </c>
      <c r="S163">
        <f t="shared" ref="S163" si="793">R163/100000</f>
        <v>206293.34055268823</v>
      </c>
      <c r="T163">
        <f t="shared" ref="T163" si="794">S163/1000</f>
        <v>206.29334055268822</v>
      </c>
    </row>
    <row r="164" spans="1:20" x14ac:dyDescent="0.25">
      <c r="A164" s="5">
        <v>44429</v>
      </c>
      <c r="B164">
        <v>1.0147E-2</v>
      </c>
      <c r="C164">
        <v>1.0163999999999999E-2</v>
      </c>
      <c r="D164">
        <v>9.5910000000000006E-3</v>
      </c>
      <c r="E164">
        <v>9.7750000000000007E-3</v>
      </c>
      <c r="F164">
        <v>193864516</v>
      </c>
      <c r="G164">
        <v>9.7750000000000007E-3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-0.35776614310645549</v>
      </c>
      <c r="Q164">
        <f t="shared" ref="Q164" si="796">F164*P164</f>
        <v>-69358160.174519733</v>
      </c>
      <c r="R164">
        <f t="shared" ref="R164" si="797">R165+Q164</f>
        <v>20625802543.141548</v>
      </c>
      <c r="S164">
        <f t="shared" ref="S164" si="798">R164/100000</f>
        <v>206258.02543141547</v>
      </c>
      <c r="T164">
        <f t="shared" ref="T164" si="799">S164/1000</f>
        <v>206.25802543141546</v>
      </c>
    </row>
    <row r="165" spans="1:20" x14ac:dyDescent="0.25">
      <c r="A165" s="5">
        <v>44428</v>
      </c>
      <c r="B165">
        <v>9.5580000000000005E-3</v>
      </c>
      <c r="C165">
        <v>1.0170999999999999E-2</v>
      </c>
      <c r="D165">
        <v>9.4260000000000004E-3</v>
      </c>
      <c r="E165">
        <v>1.0106E-2</v>
      </c>
      <c r="F165">
        <v>192976796</v>
      </c>
      <c r="G165">
        <v>1.0106E-2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0.82550335570470024</v>
      </c>
      <c r="Q165">
        <f t="shared" ref="Q165" si="801">F165*P165</f>
        <v>159302992.67114139</v>
      </c>
      <c r="R165">
        <f t="shared" ref="R165" si="802">R166+Q165</f>
        <v>20695160703.316067</v>
      </c>
      <c r="S165">
        <f t="shared" ref="S165" si="803">R165/100000</f>
        <v>206951.60703316066</v>
      </c>
      <c r="T165">
        <f t="shared" ref="T165" si="804">S165/1000</f>
        <v>206.95160703316066</v>
      </c>
    </row>
    <row r="166" spans="1:20" x14ac:dyDescent="0.25">
      <c r="A166" s="5">
        <v>44427</v>
      </c>
      <c r="B166">
        <v>9.0019999999999996E-3</v>
      </c>
      <c r="C166">
        <v>9.6869999999999994E-3</v>
      </c>
      <c r="D166">
        <v>8.9599999999999992E-3</v>
      </c>
      <c r="E166">
        <v>9.5580000000000005E-3</v>
      </c>
      <c r="F166">
        <v>196678302</v>
      </c>
      <c r="G166">
        <v>9.5580000000000005E-3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0.64511691884456979</v>
      </c>
      <c r="Q166">
        <f t="shared" ref="Q166" si="806">F166*P166</f>
        <v>126880500.18982179</v>
      </c>
      <c r="R166">
        <f t="shared" ref="R166" si="807">R167+Q166</f>
        <v>20535857710.644924</v>
      </c>
      <c r="S166">
        <f t="shared" ref="S166" si="808">R166/100000</f>
        <v>205358.57710644923</v>
      </c>
      <c r="T166">
        <f t="shared" ref="T166" si="809">S166/1000</f>
        <v>205.35857710644922</v>
      </c>
    </row>
    <row r="167" spans="1:20" x14ac:dyDescent="0.25">
      <c r="A167" s="5">
        <v>44426</v>
      </c>
      <c r="B167">
        <v>9.2339999999999992E-3</v>
      </c>
      <c r="C167">
        <v>9.6620000000000004E-3</v>
      </c>
      <c r="D167">
        <v>8.8360000000000001E-3</v>
      </c>
      <c r="E167">
        <v>8.9990000000000001E-3</v>
      </c>
      <c r="F167">
        <v>264753091</v>
      </c>
      <c r="G167">
        <v>8.9990000000000001E-3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-0.60532687651331751</v>
      </c>
      <c r="Q167">
        <f t="shared" ref="Q167" si="811">F167*P167</f>
        <v>-160262161.62227613</v>
      </c>
      <c r="R167">
        <f t="shared" ref="R167" si="812">R168+Q167</f>
        <v>20408977210.455101</v>
      </c>
      <c r="S167">
        <f t="shared" ref="S167" si="813">R167/100000</f>
        <v>204089.772104551</v>
      </c>
      <c r="T167">
        <f t="shared" ref="T167" si="814">S167/1000</f>
        <v>204.089772104551</v>
      </c>
    </row>
    <row r="168" spans="1:20" x14ac:dyDescent="0.25">
      <c r="A168" s="5">
        <v>44425</v>
      </c>
      <c r="B168">
        <v>1.0116999999999999E-2</v>
      </c>
      <c r="C168">
        <v>1.0116999999999999E-2</v>
      </c>
      <c r="D168">
        <v>9.1459999999999996E-3</v>
      </c>
      <c r="E168">
        <v>9.2219999999999993E-3</v>
      </c>
      <c r="F168">
        <v>195967280</v>
      </c>
      <c r="G168">
        <v>9.2219999999999993E-3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-0.84346035015448051</v>
      </c>
      <c r="Q168">
        <f t="shared" ref="Q168" si="816">F168*P168</f>
        <v>-165290630.60762113</v>
      </c>
      <c r="R168">
        <f t="shared" ref="R168" si="817">R169+Q168</f>
        <v>20569239372.077377</v>
      </c>
      <c r="S168">
        <f t="shared" ref="S168" si="818">R168/100000</f>
        <v>205692.39372077378</v>
      </c>
      <c r="T168">
        <f t="shared" ref="T168" si="819">S168/1000</f>
        <v>205.69239372077377</v>
      </c>
    </row>
    <row r="169" spans="1:20" x14ac:dyDescent="0.25">
      <c r="A169" s="5">
        <v>44424</v>
      </c>
      <c r="B169">
        <v>1.0513E-2</v>
      </c>
      <c r="C169">
        <v>1.0580000000000001E-2</v>
      </c>
      <c r="D169">
        <v>9.9900000000000006E-3</v>
      </c>
      <c r="E169">
        <v>1.0093E-2</v>
      </c>
      <c r="F169">
        <v>195444993</v>
      </c>
      <c r="G169">
        <v>1.0093E-2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-0.65084745762712248</v>
      </c>
      <c r="Q169">
        <f t="shared" ref="Q169" si="821">F169*P169</f>
        <v>-127204876.80000076</v>
      </c>
      <c r="R169">
        <f t="shared" ref="R169" si="822">R170+Q169</f>
        <v>20734530002.684998</v>
      </c>
      <c r="S169">
        <f t="shared" ref="S169" si="823">R169/100000</f>
        <v>207345.30002684999</v>
      </c>
      <c r="T169">
        <f t="shared" ref="T169" si="824">S169/1000</f>
        <v>207.34530002685</v>
      </c>
    </row>
    <row r="170" spans="1:20" x14ac:dyDescent="0.25">
      <c r="A170" s="5">
        <v>44423</v>
      </c>
      <c r="B170">
        <v>1.0041E-2</v>
      </c>
      <c r="C170">
        <v>1.0756999999999999E-2</v>
      </c>
      <c r="D170">
        <v>9.7350000000000006E-3</v>
      </c>
      <c r="E170">
        <v>1.0507000000000001E-2</v>
      </c>
      <c r="F170">
        <v>490796350</v>
      </c>
      <c r="G170">
        <v>1.0507000000000001E-2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0.51076320939334863</v>
      </c>
      <c r="Q170">
        <f t="shared" ref="Q170" si="826">F170*P170</f>
        <v>250680718.88454121</v>
      </c>
      <c r="R170">
        <f t="shared" ref="R170" si="827">R171+Q170</f>
        <v>20861734879.484997</v>
      </c>
      <c r="S170">
        <f t="shared" ref="S170" si="828">R170/100000</f>
        <v>208617.34879484997</v>
      </c>
      <c r="T170">
        <f t="shared" ref="T170" si="829">S170/1000</f>
        <v>208.61734879484996</v>
      </c>
    </row>
    <row r="171" spans="1:20" x14ac:dyDescent="0.25">
      <c r="A171" s="5">
        <v>44422</v>
      </c>
      <c r="B171">
        <v>1.004E-2</v>
      </c>
      <c r="C171">
        <v>1.0319999999999999E-2</v>
      </c>
      <c r="D171">
        <v>9.5479999999999992E-3</v>
      </c>
      <c r="E171">
        <v>1.0061E-2</v>
      </c>
      <c r="F171">
        <v>273104378</v>
      </c>
      <c r="G171">
        <v>1.0061E-2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0.32901554404145394</v>
      </c>
      <c r="Q171">
        <f t="shared" ref="Q171" si="831">F171*P171</f>
        <v>89855585.507772893</v>
      </c>
      <c r="R171">
        <f t="shared" ref="R171" si="832">R172+Q171</f>
        <v>20611054160.600456</v>
      </c>
      <c r="S171">
        <f t="shared" ref="S171" si="833">R171/100000</f>
        <v>206110.54160600455</v>
      </c>
      <c r="T171">
        <f t="shared" ref="T171" si="834">S171/1000</f>
        <v>206.11054160600455</v>
      </c>
    </row>
    <row r="172" spans="1:20" x14ac:dyDescent="0.25">
      <c r="A172" s="5">
        <v>44421</v>
      </c>
      <c r="B172">
        <v>9.3080000000000003E-3</v>
      </c>
      <c r="C172">
        <v>1.0773E-2</v>
      </c>
      <c r="D172">
        <v>9.3080000000000003E-3</v>
      </c>
      <c r="E172">
        <v>1.0041E-2</v>
      </c>
      <c r="F172">
        <v>409677550</v>
      </c>
      <c r="G172">
        <v>1.0041E-2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6.8259385665478899E-4</v>
      </c>
      <c r="Q172">
        <f t="shared" ref="Q172" si="836">F172*P172</f>
        <v>279643.37883938517</v>
      </c>
      <c r="R172">
        <f t="shared" ref="R172" si="837">R173+Q172</f>
        <v>20521198575.092682</v>
      </c>
      <c r="S172">
        <f t="shared" ref="S172" si="838">R172/100000</f>
        <v>205211.98575092683</v>
      </c>
      <c r="T172">
        <f t="shared" ref="T172" si="839">S172/1000</f>
        <v>205.21198575092683</v>
      </c>
    </row>
    <row r="173" spans="1:20" x14ac:dyDescent="0.25">
      <c r="A173" s="5">
        <v>44420</v>
      </c>
      <c r="B173">
        <v>9.6109999999999998E-3</v>
      </c>
      <c r="C173">
        <v>1.0101000000000001E-2</v>
      </c>
      <c r="D173">
        <v>8.9149999999999993E-3</v>
      </c>
      <c r="E173">
        <v>9.2860000000000009E-3</v>
      </c>
      <c r="F173">
        <v>253942897</v>
      </c>
      <c r="G173">
        <v>9.2860000000000009E-3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-0.37436762225969455</v>
      </c>
      <c r="Q173">
        <f t="shared" ref="Q173" si="841">F173*P173</f>
        <v>-95067998.539628521</v>
      </c>
      <c r="R173">
        <f t="shared" ref="R173" si="842">R174+Q173</f>
        <v>20520918931.713844</v>
      </c>
      <c r="S173">
        <f t="shared" ref="S173" si="843">R173/100000</f>
        <v>205209.18931713843</v>
      </c>
      <c r="T173">
        <f t="shared" ref="T173" si="844">S173/1000</f>
        <v>205.20918931713842</v>
      </c>
    </row>
    <row r="174" spans="1:20" x14ac:dyDescent="0.25">
      <c r="A174" s="5">
        <v>44419</v>
      </c>
      <c r="B174">
        <v>9.3050000000000008E-3</v>
      </c>
      <c r="C174">
        <v>1.0042000000000001E-2</v>
      </c>
      <c r="D174">
        <v>9.1280000000000007E-3</v>
      </c>
      <c r="E174">
        <v>9.6100000000000005E-3</v>
      </c>
      <c r="F174">
        <v>585773696</v>
      </c>
      <c r="G174">
        <v>9.6100000000000005E-3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5.4704595185995297E-2</v>
      </c>
      <c r="Q174">
        <f t="shared" ref="Q174" si="846">F174*P174</f>
        <v>32044512.910284273</v>
      </c>
      <c r="R174">
        <f t="shared" ref="R174" si="847">R175+Q174</f>
        <v>20615986930.253471</v>
      </c>
      <c r="S174">
        <f t="shared" ref="S174" si="848">R174/100000</f>
        <v>206159.8693025347</v>
      </c>
      <c r="T174">
        <f t="shared" ref="T174" si="849">S174/1000</f>
        <v>206.1598693025347</v>
      </c>
    </row>
    <row r="175" spans="1:20" x14ac:dyDescent="0.25">
      <c r="A175" s="5">
        <v>44418</v>
      </c>
      <c r="B175">
        <v>9.391E-3</v>
      </c>
      <c r="C175">
        <v>9.391E-3</v>
      </c>
      <c r="D175">
        <v>8.8450000000000004E-3</v>
      </c>
      <c r="E175">
        <v>9.3050000000000008E-3</v>
      </c>
      <c r="F175">
        <v>149675948</v>
      </c>
      <c r="G175">
        <v>9.3050000000000008E-3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0.68498168498168743</v>
      </c>
      <c r="Q175">
        <f t="shared" ref="Q175" si="851">F175*P175</f>
        <v>102525283.06227143</v>
      </c>
      <c r="R175">
        <f t="shared" ref="R175" si="852">R176+Q175</f>
        <v>20583942417.343185</v>
      </c>
      <c r="S175">
        <f t="shared" ref="S175" si="853">R175/100000</f>
        <v>205839.42417343185</v>
      </c>
      <c r="T175">
        <f t="shared" ref="T175" si="854">S175/1000</f>
        <v>205.83942417343184</v>
      </c>
    </row>
    <row r="176" spans="1:20" x14ac:dyDescent="0.25">
      <c r="A176" s="5">
        <v>44417</v>
      </c>
      <c r="B176">
        <v>9.2309999999999996E-3</v>
      </c>
      <c r="C176">
        <v>9.3919999999999993E-3</v>
      </c>
      <c r="D176">
        <v>8.7019999999999997E-3</v>
      </c>
      <c r="E176">
        <v>9.391E-3</v>
      </c>
      <c r="F176">
        <v>170414648</v>
      </c>
      <c r="G176">
        <v>9.391E-3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0.99710144927536448</v>
      </c>
      <c r="Q176">
        <f t="shared" ref="Q176" si="856">F176*P176</f>
        <v>169920692.4985511</v>
      </c>
      <c r="R176">
        <f t="shared" ref="R176" si="857">R177+Q176</f>
        <v>20481417134.280914</v>
      </c>
      <c r="S176">
        <f t="shared" ref="S176" si="858">R176/100000</f>
        <v>204814.17134280913</v>
      </c>
      <c r="T176">
        <f t="shared" ref="T176" si="859">S176/1000</f>
        <v>204.81417134280912</v>
      </c>
    </row>
    <row r="177" spans="1:20" x14ac:dyDescent="0.25">
      <c r="A177" s="5">
        <v>44416</v>
      </c>
      <c r="B177">
        <v>9.3600000000000003E-3</v>
      </c>
      <c r="C177">
        <v>1.11E-2</v>
      </c>
      <c r="D177">
        <v>8.9499999999999996E-3</v>
      </c>
      <c r="E177">
        <v>9.2040000000000004E-3</v>
      </c>
      <c r="F177">
        <v>509025289</v>
      </c>
      <c r="G177">
        <v>9.2040000000000004E-3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-0.76372093023255749</v>
      </c>
      <c r="Q177">
        <f t="shared" ref="Q177" si="861">F177*P177</f>
        <v>-388753267.22697639</v>
      </c>
      <c r="R177">
        <f t="shared" ref="R177" si="862">R178+Q177</f>
        <v>20311496441.782364</v>
      </c>
      <c r="S177">
        <f t="shared" ref="S177" si="863">R177/100000</f>
        <v>203114.96441782365</v>
      </c>
      <c r="T177">
        <f t="shared" ref="T177" si="864">S177/1000</f>
        <v>203.11496441782364</v>
      </c>
    </row>
    <row r="178" spans="1:20" x14ac:dyDescent="0.25">
      <c r="A178" s="5">
        <v>44415</v>
      </c>
      <c r="B178">
        <v>8.9239999999999996E-3</v>
      </c>
      <c r="C178">
        <v>9.4459999999999995E-3</v>
      </c>
      <c r="D178">
        <v>8.6879999999999995E-3</v>
      </c>
      <c r="E178">
        <v>9.3500000000000007E-3</v>
      </c>
      <c r="F178">
        <v>259534298</v>
      </c>
      <c r="G178">
        <v>9.3500000000000007E-3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0.74670184696570219</v>
      </c>
      <c r="Q178">
        <f t="shared" ref="Q178" si="866">F178*P178</f>
        <v>193794739.66754696</v>
      </c>
      <c r="R178">
        <f t="shared" ref="R178" si="867">R179+Q178</f>
        <v>20700249709.009342</v>
      </c>
      <c r="S178">
        <f t="shared" ref="S178" si="868">R178/100000</f>
        <v>207002.49709009341</v>
      </c>
      <c r="T178">
        <f t="shared" ref="T178" si="869">S178/1000</f>
        <v>207.00249709009341</v>
      </c>
    </row>
    <row r="179" spans="1:20" x14ac:dyDescent="0.25">
      <c r="A179" s="5">
        <v>44414</v>
      </c>
      <c r="B179">
        <v>8.4939999999999998E-3</v>
      </c>
      <c r="C179">
        <v>9.0390000000000002E-3</v>
      </c>
      <c r="D179">
        <v>8.4169999999999991E-3</v>
      </c>
      <c r="E179">
        <v>8.9239999999999996E-3</v>
      </c>
      <c r="F179">
        <v>288436461</v>
      </c>
      <c r="G179">
        <v>8.9239999999999996E-3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0.63022508038585101</v>
      </c>
      <c r="Q179">
        <f t="shared" ref="Q179" si="871">F179*P179</f>
        <v>181779891.81993538</v>
      </c>
      <c r="R179">
        <f t="shared" ref="R179" si="872">R180+Q179</f>
        <v>20506454969.341797</v>
      </c>
      <c r="S179">
        <f t="shared" ref="S179" si="873">R179/100000</f>
        <v>205064.54969341797</v>
      </c>
      <c r="T179">
        <f t="shared" ref="T179" si="874">S179/1000</f>
        <v>205.06454969341797</v>
      </c>
    </row>
    <row r="180" spans="1:20" x14ac:dyDescent="0.25">
      <c r="A180" s="5">
        <v>44413</v>
      </c>
      <c r="B180">
        <v>8.0169999999999998E-3</v>
      </c>
      <c r="C180">
        <v>8.7390000000000002E-3</v>
      </c>
      <c r="D180">
        <v>7.9439999999999997E-3</v>
      </c>
      <c r="E180">
        <v>8.4790000000000004E-3</v>
      </c>
      <c r="F180">
        <v>469642255</v>
      </c>
      <c r="G180">
        <v>8.4790000000000004E-3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0.34591194968553551</v>
      </c>
      <c r="Q180">
        <f t="shared" ref="Q180" si="876">F180*P180</f>
        <v>162454868.08176145</v>
      </c>
      <c r="R180">
        <f t="shared" ref="R180" si="877">R181+Q180</f>
        <v>20324675077.521862</v>
      </c>
      <c r="S180">
        <f t="shared" ref="S180" si="878">R180/100000</f>
        <v>203246.75077521862</v>
      </c>
      <c r="T180">
        <f t="shared" ref="T180" si="879">S180/1000</f>
        <v>203.24675077521863</v>
      </c>
    </row>
    <row r="181" spans="1:20" x14ac:dyDescent="0.25">
      <c r="A181" s="5">
        <v>44412</v>
      </c>
      <c r="B181">
        <v>7.8239999999999994E-3</v>
      </c>
      <c r="C181">
        <v>8.0649999999999993E-3</v>
      </c>
      <c r="D181">
        <v>7.6140000000000001E-3</v>
      </c>
      <c r="E181">
        <v>8.0239999999999999E-3</v>
      </c>
      <c r="F181">
        <v>131681972</v>
      </c>
      <c r="G181">
        <v>8.0239999999999999E-3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0.81818181818182067</v>
      </c>
      <c r="Q181">
        <f t="shared" ref="Q181" si="881">F181*P181</f>
        <v>107739795.27272759</v>
      </c>
      <c r="R181">
        <f t="shared" ref="R181" si="882">R182+Q181</f>
        <v>20162220209.440102</v>
      </c>
      <c r="S181">
        <f t="shared" ref="S181" si="883">R181/100000</f>
        <v>201622.20209440103</v>
      </c>
      <c r="T181">
        <f t="shared" ref="T181" si="884">S181/1000</f>
        <v>201.62220209440102</v>
      </c>
    </row>
    <row r="182" spans="1:20" x14ac:dyDescent="0.25">
      <c r="A182" s="5">
        <v>44411</v>
      </c>
      <c r="B182">
        <v>8.0920000000000002E-3</v>
      </c>
      <c r="C182">
        <v>8.1399999999999997E-3</v>
      </c>
      <c r="D182">
        <v>7.6280000000000002E-3</v>
      </c>
      <c r="E182">
        <v>7.8139999999999998E-3</v>
      </c>
      <c r="F182">
        <v>476888767</v>
      </c>
      <c r="G182">
        <v>7.8139999999999998E-3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-0.273437500000001</v>
      </c>
      <c r="Q182">
        <f t="shared" ref="Q182" si="886">F182*P182</f>
        <v>-130399272.22656298</v>
      </c>
      <c r="R182">
        <f t="shared" ref="R182" si="887">R183+Q182</f>
        <v>20054480414.167374</v>
      </c>
      <c r="S182">
        <f t="shared" ref="S182" si="888">R182/100000</f>
        <v>200544.80414167373</v>
      </c>
      <c r="T182">
        <f t="shared" ref="T182" si="889">S182/1000</f>
        <v>200.54480414167372</v>
      </c>
    </row>
    <row r="183" spans="1:20" x14ac:dyDescent="0.25">
      <c r="A183" s="5">
        <v>44410</v>
      </c>
      <c r="B183">
        <v>8.0590000000000002E-3</v>
      </c>
      <c r="C183">
        <v>8.1449999999999995E-3</v>
      </c>
      <c r="D183">
        <v>7.6470000000000002E-3</v>
      </c>
      <c r="E183">
        <v>8.0920000000000002E-3</v>
      </c>
      <c r="F183">
        <v>1288184071</v>
      </c>
      <c r="G183">
        <v>8.0920000000000002E-3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0.78714859437751283</v>
      </c>
      <c r="Q183">
        <f t="shared" ref="Q183" si="891">F183*P183</f>
        <v>1013992280.7871522</v>
      </c>
      <c r="R183">
        <f t="shared" ref="R183" si="892">R184+Q183</f>
        <v>20184879686.393936</v>
      </c>
      <c r="S183">
        <f t="shared" ref="S183" si="893">R183/100000</f>
        <v>201848.79686393935</v>
      </c>
      <c r="T183">
        <f t="shared" ref="T183" si="894">S183/1000</f>
        <v>201.84879686393936</v>
      </c>
    </row>
    <row r="184" spans="1:20" x14ac:dyDescent="0.25">
      <c r="A184" s="5">
        <v>44409</v>
      </c>
      <c r="B184">
        <v>8.0280000000000004E-3</v>
      </c>
      <c r="C184">
        <v>8.7390000000000002E-3</v>
      </c>
      <c r="D184">
        <v>7.7809999999999997E-3</v>
      </c>
      <c r="E184">
        <v>8.0579999999999992E-3</v>
      </c>
      <c r="F184">
        <v>429677024</v>
      </c>
      <c r="G184">
        <v>8.0579999999999992E-3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-0.42171189979123314</v>
      </c>
      <c r="Q184">
        <f t="shared" ref="Q184" si="896">F184*P184</f>
        <v>-181199914.08768326</v>
      </c>
      <c r="R184">
        <f t="shared" ref="R184" si="897">R185+Q184</f>
        <v>19170887405.606785</v>
      </c>
      <c r="S184">
        <f t="shared" ref="S184" si="898">R184/100000</f>
        <v>191708.87405606784</v>
      </c>
      <c r="T184">
        <f t="shared" ref="T184" si="899">S184/1000</f>
        <v>191.70887405606783</v>
      </c>
    </row>
    <row r="185" spans="1:20" x14ac:dyDescent="0.25">
      <c r="A185" s="5">
        <v>44408</v>
      </c>
      <c r="B185">
        <v>8.1259999999999995E-3</v>
      </c>
      <c r="C185">
        <v>8.149E-3</v>
      </c>
      <c r="D185">
        <v>7.8110000000000002E-3</v>
      </c>
      <c r="E185">
        <v>8.0169999999999998E-3</v>
      </c>
      <c r="F185">
        <v>272653517</v>
      </c>
      <c r="G185">
        <v>8.0169999999999998E-3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0.21893491124260198</v>
      </c>
      <c r="Q185">
        <f t="shared" ref="Q185" si="901">F185*P185</f>
        <v>59693373.544378266</v>
      </c>
      <c r="R185">
        <f t="shared" ref="R185" si="902">R186+Q185</f>
        <v>19352087319.694469</v>
      </c>
      <c r="S185">
        <f t="shared" ref="S185" si="903">R185/100000</f>
        <v>193520.87319694468</v>
      </c>
      <c r="T185">
        <f t="shared" ref="T185" si="904">S185/1000</f>
        <v>193.52087319694468</v>
      </c>
    </row>
    <row r="186" spans="1:20" x14ac:dyDescent="0.25">
      <c r="A186" s="5">
        <v>44407</v>
      </c>
      <c r="B186">
        <v>8.0110000000000008E-3</v>
      </c>
      <c r="C186">
        <v>8.6969999999999999E-3</v>
      </c>
      <c r="D186">
        <v>7.5389999999999997E-3</v>
      </c>
      <c r="E186">
        <v>8.1379999999999994E-3</v>
      </c>
      <c r="F186">
        <v>955339267</v>
      </c>
      <c r="G186">
        <v>8.1379999999999994E-3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3.4542314335059783E-2</v>
      </c>
      <c r="Q186">
        <f t="shared" ref="Q186" si="906">F186*P186</f>
        <v>32999629.257339604</v>
      </c>
      <c r="R186">
        <f t="shared" ref="R186" si="907">R187+Q186</f>
        <v>19292393946.150093</v>
      </c>
      <c r="S186">
        <f t="shared" ref="S186" si="908">R186/100000</f>
        <v>192923.93946150094</v>
      </c>
      <c r="T186">
        <f t="shared" ref="T186" si="909">S186/1000</f>
        <v>192.92393946150094</v>
      </c>
    </row>
    <row r="187" spans="1:20" x14ac:dyDescent="0.25">
      <c r="A187" s="5">
        <v>44406</v>
      </c>
      <c r="B187">
        <v>6.8089999999999999E-3</v>
      </c>
      <c r="C187">
        <v>9.0150000000000004E-3</v>
      </c>
      <c r="D187">
        <v>6.6950000000000004E-3</v>
      </c>
      <c r="E187">
        <v>8.0140000000000003E-3</v>
      </c>
      <c r="F187">
        <v>2130287718</v>
      </c>
      <c r="G187">
        <v>8.0140000000000003E-3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0.13706896551724126</v>
      </c>
      <c r="Q187">
        <f t="shared" ref="Q187" si="911">F187*P187</f>
        <v>291996333.76034456</v>
      </c>
      <c r="R187">
        <f t="shared" ref="R187" si="912">R188+Q187</f>
        <v>19259394316.892754</v>
      </c>
      <c r="S187">
        <f t="shared" ref="S187" si="913">R187/100000</f>
        <v>192593.94316892754</v>
      </c>
      <c r="T187">
        <f t="shared" ref="T187" si="914">S187/1000</f>
        <v>192.59394316892752</v>
      </c>
    </row>
    <row r="188" spans="1:20" x14ac:dyDescent="0.25">
      <c r="A188" s="5">
        <v>44405</v>
      </c>
      <c r="B188">
        <v>6.9639999999999997E-3</v>
      </c>
      <c r="C188">
        <v>6.9639999999999997E-3</v>
      </c>
      <c r="D188">
        <v>6.594E-3</v>
      </c>
      <c r="E188">
        <v>6.8079999999999998E-3</v>
      </c>
      <c r="F188">
        <v>156087855</v>
      </c>
      <c r="G188">
        <v>6.8079999999999998E-3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0.1567567567567566</v>
      </c>
      <c r="Q188">
        <f t="shared" ref="Q188" si="916">F188*P188</f>
        <v>24467825.918918893</v>
      </c>
      <c r="R188">
        <f t="shared" ref="R188" si="917">R189+Q188</f>
        <v>18967397983.132408</v>
      </c>
      <c r="S188">
        <f t="shared" ref="S188" si="918">R188/100000</f>
        <v>189673.97983132408</v>
      </c>
      <c r="T188">
        <f t="shared" ref="T188" si="919">S188/1000</f>
        <v>189.67397983132406</v>
      </c>
    </row>
    <row r="189" spans="1:20" x14ac:dyDescent="0.25">
      <c r="A189" s="5">
        <v>44404</v>
      </c>
      <c r="B189">
        <v>6.8700000000000002E-3</v>
      </c>
      <c r="C189">
        <v>6.9690000000000004E-3</v>
      </c>
      <c r="D189">
        <v>6.3810000000000004E-3</v>
      </c>
      <c r="E189">
        <v>6.966E-3</v>
      </c>
      <c r="F189">
        <v>294512070</v>
      </c>
      <c r="G189">
        <v>6.966E-3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0.9897959183673456</v>
      </c>
      <c r="Q189">
        <f t="shared" ref="Q189" si="921">F189*P189</f>
        <v>291506844.79591799</v>
      </c>
      <c r="R189">
        <f t="shared" ref="R189" si="922">R190+Q189</f>
        <v>18942930157.21349</v>
      </c>
      <c r="S189">
        <f t="shared" ref="S189" si="923">R189/100000</f>
        <v>189429.30157213489</v>
      </c>
      <c r="T189">
        <f t="shared" ref="T189" si="924">S189/1000</f>
        <v>189.4293015721349</v>
      </c>
    </row>
    <row r="190" spans="1:20" x14ac:dyDescent="0.25">
      <c r="A190" s="5">
        <v>44403</v>
      </c>
      <c r="B190">
        <v>6.4229999999999999E-3</v>
      </c>
      <c r="C190">
        <v>6.9610000000000002E-3</v>
      </c>
      <c r="D190">
        <v>6.365E-3</v>
      </c>
      <c r="E190">
        <v>6.8690000000000001E-3</v>
      </c>
      <c r="F190">
        <v>538573868</v>
      </c>
      <c r="G190">
        <v>6.8690000000000001E-3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0.69127516778523479</v>
      </c>
      <c r="Q190">
        <f t="shared" ref="Q190" si="926">F190*P190</f>
        <v>372302740.96644288</v>
      </c>
      <c r="R190">
        <f t="shared" ref="R190" si="927">R191+Q190</f>
        <v>18651423312.417572</v>
      </c>
      <c r="S190">
        <f t="shared" ref="S190" si="928">R190/100000</f>
        <v>186514.23312417572</v>
      </c>
      <c r="T190">
        <f t="shared" ref="T190" si="929">S190/1000</f>
        <v>186.51423312417572</v>
      </c>
    </row>
    <row r="191" spans="1:20" x14ac:dyDescent="0.25">
      <c r="A191" s="5">
        <v>44402</v>
      </c>
      <c r="B191">
        <v>6.3449999999999999E-3</v>
      </c>
      <c r="C191">
        <v>6.4780000000000003E-3</v>
      </c>
      <c r="D191">
        <v>6.0930000000000003E-3</v>
      </c>
      <c r="E191">
        <v>6.4149999999999997E-3</v>
      </c>
      <c r="F191">
        <v>218006062</v>
      </c>
      <c r="G191">
        <v>6.4149999999999997E-3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0.67272727272726973</v>
      </c>
      <c r="Q191">
        <f t="shared" ref="Q191" si="931">F191*P191</f>
        <v>146658623.52727208</v>
      </c>
      <c r="R191">
        <f t="shared" ref="R191" si="932">R192+Q191</f>
        <v>18279120571.45113</v>
      </c>
      <c r="S191">
        <f t="shared" ref="S191" si="933">R191/100000</f>
        <v>182791.20571451131</v>
      </c>
      <c r="T191">
        <f t="shared" ref="T191:T197" si="934">S191/1000</f>
        <v>182.79120571451131</v>
      </c>
    </row>
    <row r="192" spans="1:20" x14ac:dyDescent="0.25">
      <c r="A192" s="5">
        <v>44401</v>
      </c>
      <c r="B192">
        <v>6.293E-3</v>
      </c>
      <c r="C192">
        <v>6.4710000000000002E-3</v>
      </c>
      <c r="D192">
        <v>6.1289999999999999E-3</v>
      </c>
      <c r="E192">
        <v>6.3330000000000001E-3</v>
      </c>
      <c r="F192">
        <v>213041844</v>
      </c>
      <c r="G192">
        <v>6.3330000000000001E-3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0.19298245614035098</v>
      </c>
      <c r="Q192">
        <f t="shared" ref="Q192" si="936">F192*P192</f>
        <v>41113338.315789498</v>
      </c>
      <c r="R192">
        <f t="shared" ref="R192" si="937">R193+Q192</f>
        <v>18132461947.923859</v>
      </c>
      <c r="S192">
        <f t="shared" ref="S192" si="938">R192/100000</f>
        <v>181324.61947923858</v>
      </c>
      <c r="T192">
        <f t="shared" si="934"/>
        <v>181.32461947923858</v>
      </c>
    </row>
    <row r="193" spans="1:20" x14ac:dyDescent="0.25">
      <c r="A193" s="5">
        <v>44400</v>
      </c>
      <c r="B193">
        <v>6.0299999999999998E-3</v>
      </c>
      <c r="C193">
        <v>6.3810000000000004E-3</v>
      </c>
      <c r="D193">
        <v>5.9810000000000002E-3</v>
      </c>
      <c r="E193">
        <v>6.293E-3</v>
      </c>
      <c r="F193">
        <v>299328076</v>
      </c>
      <c r="G193">
        <v>6.293E-3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0.55999999999999817</v>
      </c>
      <c r="Q193">
        <f t="shared" ref="Q193" si="940">F193*P193</f>
        <v>167623722.55999944</v>
      </c>
      <c r="R193">
        <f t="shared" ref="R193" si="941">R194+Q193</f>
        <v>18091348609.60807</v>
      </c>
      <c r="S193">
        <f t="shared" ref="S193" si="942">R193/100000</f>
        <v>180913.48609608071</v>
      </c>
      <c r="T193">
        <f t="shared" si="934"/>
        <v>180.9134860960807</v>
      </c>
    </row>
    <row r="194" spans="1:20" x14ac:dyDescent="0.25">
      <c r="A194" s="5">
        <v>44399</v>
      </c>
      <c r="B194">
        <v>5.973E-3</v>
      </c>
      <c r="C194">
        <v>6.1159999999999999E-3</v>
      </c>
      <c r="D194">
        <v>5.7749999999999998E-3</v>
      </c>
      <c r="E194">
        <v>6.0150000000000004E-3</v>
      </c>
      <c r="F194">
        <v>287349715</v>
      </c>
      <c r="G194">
        <v>6.0150000000000004E-3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0.40762463343108807</v>
      </c>
      <c r="Q194">
        <f t="shared" ref="Q194" si="944">F194*P194</f>
        <v>117130822.24340263</v>
      </c>
      <c r="R194">
        <f t="shared" ref="R194" si="945">R195+Q194</f>
        <v>17923724887.048073</v>
      </c>
      <c r="S194">
        <f t="shared" ref="S194" si="946">R194/100000</f>
        <v>179237.24887048072</v>
      </c>
      <c r="T194">
        <f t="shared" si="934"/>
        <v>179.23724887048073</v>
      </c>
    </row>
    <row r="195" spans="1:20" x14ac:dyDescent="0.25">
      <c r="A195" s="5">
        <v>44398</v>
      </c>
      <c r="B195">
        <v>5.4409999999999997E-3</v>
      </c>
      <c r="C195">
        <v>6.0130000000000001E-3</v>
      </c>
      <c r="D195">
        <v>5.2420000000000001E-3</v>
      </c>
      <c r="E195">
        <v>5.9420000000000002E-3</v>
      </c>
      <c r="F195">
        <v>404776341</v>
      </c>
      <c r="G195">
        <v>5.9420000000000002E-3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0.81582360570687451</v>
      </c>
      <c r="Q195">
        <f t="shared" ref="Q195" si="948">F195*P195</f>
        <v>330226094.01945537</v>
      </c>
      <c r="R195">
        <f t="shared" ref="R195" si="949">R196+Q195</f>
        <v>17806594064.804668</v>
      </c>
      <c r="S195">
        <f t="shared" ref="S195" si="950">R195/100000</f>
        <v>178065.94064804667</v>
      </c>
      <c r="T195">
        <f t="shared" si="934"/>
        <v>178.06594064804668</v>
      </c>
    </row>
    <row r="196" spans="1:20" x14ac:dyDescent="0.25">
      <c r="A196" s="5">
        <v>44397</v>
      </c>
      <c r="B196">
        <v>5.9839999999999997E-3</v>
      </c>
      <c r="C196">
        <v>6.1260000000000004E-3</v>
      </c>
      <c r="D196">
        <v>5.1599999999999997E-3</v>
      </c>
      <c r="E196">
        <v>5.4510000000000001E-3</v>
      </c>
      <c r="F196">
        <v>400830829</v>
      </c>
      <c r="G196">
        <v>5.4510000000000001E-3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-0.39751552795031003</v>
      </c>
      <c r="Q196">
        <f t="shared" ref="Q196" si="952">F196*P196</f>
        <v>-159336478.60869545</v>
      </c>
      <c r="R196">
        <f t="shared" ref="R196" si="953">R197+Q196</f>
        <v>17476367970.785213</v>
      </c>
      <c r="S196">
        <f t="shared" ref="S196" si="954">R196/100000</f>
        <v>174763.67970785213</v>
      </c>
      <c r="T196">
        <f t="shared" si="934"/>
        <v>174.76367970785213</v>
      </c>
    </row>
    <row r="197" spans="1:20" x14ac:dyDescent="0.25">
      <c r="A197" s="5">
        <v>44396</v>
      </c>
      <c r="B197">
        <v>5.9709999999999997E-3</v>
      </c>
      <c r="C197">
        <v>6.4780000000000003E-3</v>
      </c>
      <c r="D197">
        <v>5.8770000000000003E-3</v>
      </c>
      <c r="E197">
        <v>5.9760000000000004E-3</v>
      </c>
      <c r="F197">
        <v>469274765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-0.67054908485856857</v>
      </c>
      <c r="Q197">
        <f t="shared" ref="Q197" si="956">F197*P197</f>
        <v>-314671764.21796983</v>
      </c>
      <c r="R197">
        <f t="shared" ref="R197" si="957">R198+Q197</f>
        <v>17635704449.393909</v>
      </c>
      <c r="S197">
        <f t="shared" ref="S197" si="958">R197/100000</f>
        <v>176357.04449393909</v>
      </c>
      <c r="T197">
        <f t="shared" si="934"/>
        <v>176.3570444939391</v>
      </c>
    </row>
    <row r="198" spans="1:20" x14ac:dyDescent="0.25">
      <c r="A198" s="5">
        <v>44395</v>
      </c>
      <c r="B198">
        <v>6.0569999999999999E-3</v>
      </c>
      <c r="C198">
        <v>6.1580000000000003E-3</v>
      </c>
      <c r="D198">
        <v>5.8950000000000001E-3</v>
      </c>
      <c r="E198">
        <v>5.9649999999999998E-3</v>
      </c>
      <c r="F198">
        <v>134215484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-0.46768060836502134</v>
      </c>
      <c r="Q198">
        <f t="shared" ref="Q198:Q261" si="960">F198*P198</f>
        <v>-62769979.209125787</v>
      </c>
      <c r="R198">
        <f t="shared" ref="R198:R261" si="961">R199+Q198</f>
        <v>17950376213.611877</v>
      </c>
      <c r="S198">
        <f t="shared" ref="S198:S261" si="962">R198/100000</f>
        <v>179503.76213611878</v>
      </c>
      <c r="T198">
        <f t="shared" ref="T198:T261" si="963">S198/1000</f>
        <v>179.50376213611878</v>
      </c>
    </row>
    <row r="199" spans="1:20" x14ac:dyDescent="0.25">
      <c r="A199" s="5">
        <v>44394</v>
      </c>
      <c r="B199">
        <v>5.8009999999999997E-3</v>
      </c>
      <c r="C199">
        <v>6.3940000000000004E-3</v>
      </c>
      <c r="D199">
        <v>5.7000000000000002E-3</v>
      </c>
      <c r="E199">
        <v>6.0730000000000003E-3</v>
      </c>
      <c r="F199">
        <v>308624727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7.492795389048984E-2</v>
      </c>
      <c r="Q199">
        <f t="shared" si="960"/>
        <v>23124619.314121015</v>
      </c>
      <c r="R199">
        <f t="shared" si="961"/>
        <v>18013146192.821003</v>
      </c>
      <c r="S199">
        <f t="shared" si="962"/>
        <v>180131.46192821002</v>
      </c>
      <c r="T199">
        <f t="shared" si="963"/>
        <v>180.13146192821003</v>
      </c>
    </row>
    <row r="200" spans="1:20" x14ac:dyDescent="0.25">
      <c r="A200" s="5">
        <v>44393</v>
      </c>
      <c r="B200">
        <v>6.4980000000000003E-3</v>
      </c>
      <c r="C200">
        <v>6.4989999999999996E-3</v>
      </c>
      <c r="D200">
        <v>5.7340000000000004E-3</v>
      </c>
      <c r="E200">
        <v>5.8009999999999997E-3</v>
      </c>
      <c r="F200">
        <v>256431765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-0.82483660130719105</v>
      </c>
      <c r="Q200">
        <f t="shared" si="960"/>
        <v>-211514305.50980431</v>
      </c>
      <c r="R200">
        <f t="shared" si="961"/>
        <v>17990021573.506882</v>
      </c>
      <c r="S200">
        <f t="shared" si="962"/>
        <v>179900.21573506881</v>
      </c>
      <c r="T200">
        <f t="shared" si="963"/>
        <v>179.9002157350688</v>
      </c>
    </row>
    <row r="201" spans="1:20" x14ac:dyDescent="0.25">
      <c r="A201" s="5">
        <v>44392</v>
      </c>
      <c r="B201">
        <v>6.8659999999999997E-3</v>
      </c>
      <c r="C201">
        <v>6.9410000000000001E-3</v>
      </c>
      <c r="D201">
        <v>6.3829999999999998E-3</v>
      </c>
      <c r="E201">
        <v>6.4970000000000002E-3</v>
      </c>
      <c r="F201">
        <v>280369908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-0.5913978494623644</v>
      </c>
      <c r="Q201">
        <f t="shared" si="960"/>
        <v>-165810160.64516094</v>
      </c>
      <c r="R201">
        <f t="shared" si="961"/>
        <v>18201535879.016685</v>
      </c>
      <c r="S201">
        <f t="shared" si="962"/>
        <v>182015.35879016685</v>
      </c>
      <c r="T201">
        <f t="shared" si="963"/>
        <v>182.01535879016686</v>
      </c>
    </row>
    <row r="202" spans="1:20" x14ac:dyDescent="0.25">
      <c r="A202" s="5">
        <v>44391</v>
      </c>
      <c r="B202">
        <v>7.2989999999999999E-3</v>
      </c>
      <c r="C202">
        <v>7.3039999999999997E-3</v>
      </c>
      <c r="D202">
        <v>6.4539999999999997E-3</v>
      </c>
      <c r="E202">
        <v>6.8529999999999997E-3</v>
      </c>
      <c r="F202">
        <v>320934936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-6.1176470588235249E-2</v>
      </c>
      <c r="Q202">
        <f t="shared" si="960"/>
        <v>-19633666.672941163</v>
      </c>
      <c r="R202">
        <f t="shared" si="961"/>
        <v>18367346039.661846</v>
      </c>
      <c r="S202">
        <f t="shared" si="962"/>
        <v>183673.46039661847</v>
      </c>
      <c r="T202">
        <f t="shared" si="963"/>
        <v>183.67346039661845</v>
      </c>
    </row>
    <row r="203" spans="1:20" x14ac:dyDescent="0.25">
      <c r="A203" s="5">
        <v>44390</v>
      </c>
      <c r="B203">
        <v>7.2379999999999996E-3</v>
      </c>
      <c r="C203">
        <v>7.7999999999999996E-3</v>
      </c>
      <c r="D203">
        <v>6.9459999999999999E-3</v>
      </c>
      <c r="E203">
        <v>7.2919999999999999E-3</v>
      </c>
      <c r="F203">
        <v>451343886</v>
      </c>
      <c r="G203">
        <v>0</v>
      </c>
      <c r="L203" t="s">
        <v>8</v>
      </c>
      <c r="M203" t="s">
        <v>8</v>
      </c>
      <c r="N203" t="s">
        <v>7</v>
      </c>
      <c r="P203">
        <f t="shared" si="959"/>
        <v>-0.18969555035128791</v>
      </c>
      <c r="Q203">
        <f t="shared" si="960"/>
        <v>-85617926.852458954</v>
      </c>
      <c r="R203">
        <f t="shared" si="961"/>
        <v>18386979706.334785</v>
      </c>
      <c r="S203">
        <f t="shared" si="962"/>
        <v>183869.79706334785</v>
      </c>
      <c r="T203">
        <f t="shared" si="963"/>
        <v>183.86979706334785</v>
      </c>
    </row>
    <row r="204" spans="1:20" x14ac:dyDescent="0.25">
      <c r="A204" s="5">
        <v>44389</v>
      </c>
      <c r="B204">
        <v>7.1209999999999997E-3</v>
      </c>
      <c r="C204">
        <v>7.3070000000000001E-3</v>
      </c>
      <c r="D204">
        <v>6.9420000000000003E-3</v>
      </c>
      <c r="E204">
        <v>7.2430000000000003E-3</v>
      </c>
      <c r="F204">
        <v>270353920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0.64931506849315157</v>
      </c>
      <c r="Q204">
        <f t="shared" si="960"/>
        <v>175544874.08219203</v>
      </c>
      <c r="R204">
        <f t="shared" si="961"/>
        <v>18472597633.187244</v>
      </c>
      <c r="S204">
        <f t="shared" si="962"/>
        <v>184725.97633187246</v>
      </c>
      <c r="T204">
        <f t="shared" si="963"/>
        <v>184.72597633187246</v>
      </c>
    </row>
    <row r="205" spans="1:20" x14ac:dyDescent="0.25">
      <c r="A205" s="5">
        <v>44388</v>
      </c>
      <c r="B205">
        <v>6.94E-3</v>
      </c>
      <c r="C205">
        <v>7.1599999999999997E-3</v>
      </c>
      <c r="D205">
        <v>6.6160000000000004E-3</v>
      </c>
      <c r="E205">
        <v>7.1209999999999997E-3</v>
      </c>
      <c r="F205">
        <v>816482448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0.85661764705882348</v>
      </c>
      <c r="Q205">
        <f t="shared" si="960"/>
        <v>699413273.47058821</v>
      </c>
      <c r="R205">
        <f t="shared" si="961"/>
        <v>18297052759.105053</v>
      </c>
      <c r="S205">
        <f t="shared" si="962"/>
        <v>182970.52759105052</v>
      </c>
      <c r="T205">
        <f t="shared" si="963"/>
        <v>182.97052759105051</v>
      </c>
    </row>
    <row r="206" spans="1:20" x14ac:dyDescent="0.25">
      <c r="A206" s="5">
        <v>44387</v>
      </c>
      <c r="B206">
        <v>6.9329999999999999E-3</v>
      </c>
      <c r="C206">
        <v>7.2560000000000003E-3</v>
      </c>
      <c r="D206">
        <v>6.842E-3</v>
      </c>
      <c r="E206">
        <v>6.9439999999999997E-3</v>
      </c>
      <c r="F206">
        <v>288820996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-0.50724637681159623</v>
      </c>
      <c r="Q206">
        <f t="shared" si="960"/>
        <v>-146503403.76811653</v>
      </c>
      <c r="R206">
        <f t="shared" si="961"/>
        <v>17597639485.634464</v>
      </c>
      <c r="S206">
        <f t="shared" si="962"/>
        <v>175976.39485634465</v>
      </c>
      <c r="T206">
        <f t="shared" si="963"/>
        <v>175.97639485634465</v>
      </c>
    </row>
    <row r="207" spans="1:20" x14ac:dyDescent="0.25">
      <c r="A207" s="5">
        <v>44386</v>
      </c>
      <c r="B207">
        <v>6.8539999999999998E-3</v>
      </c>
      <c r="C207">
        <v>7.1630000000000001E-3</v>
      </c>
      <c r="D207">
        <v>6.2940000000000001E-3</v>
      </c>
      <c r="E207">
        <v>6.9329999999999999E-3</v>
      </c>
      <c r="F207">
        <v>518579031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0.4706559263521285</v>
      </c>
      <c r="Q207">
        <f t="shared" si="960"/>
        <v>244072294.22209415</v>
      </c>
      <c r="R207">
        <f t="shared" si="961"/>
        <v>17744142889.40258</v>
      </c>
      <c r="S207">
        <f t="shared" si="962"/>
        <v>177441.4288940258</v>
      </c>
      <c r="T207">
        <f t="shared" si="963"/>
        <v>177.44142889402579</v>
      </c>
    </row>
    <row r="208" spans="1:20" x14ac:dyDescent="0.25">
      <c r="A208" s="5">
        <v>44385</v>
      </c>
      <c r="B208">
        <v>8.1539999999999998E-3</v>
      </c>
      <c r="C208">
        <v>8.2140000000000008E-3</v>
      </c>
      <c r="D208">
        <v>6.7149999999999996E-3</v>
      </c>
      <c r="E208">
        <v>6.8519999999999996E-3</v>
      </c>
      <c r="F208">
        <v>537859443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-0.817211474316211</v>
      </c>
      <c r="Q208">
        <f t="shared" si="960"/>
        <v>-439544908.38892603</v>
      </c>
      <c r="R208">
        <f t="shared" si="961"/>
        <v>17500070595.180485</v>
      </c>
      <c r="S208">
        <f t="shared" si="962"/>
        <v>175000.70595180485</v>
      </c>
      <c r="T208">
        <f t="shared" si="963"/>
        <v>175.00070595180486</v>
      </c>
    </row>
    <row r="209" spans="1:20" x14ac:dyDescent="0.25">
      <c r="A209" s="5">
        <v>44384</v>
      </c>
      <c r="B209">
        <v>8.5249999999999996E-3</v>
      </c>
      <c r="C209">
        <v>8.5529999999999998E-3</v>
      </c>
      <c r="D209">
        <v>8.1049999999999994E-3</v>
      </c>
      <c r="E209">
        <v>8.1569999999999993E-3</v>
      </c>
      <c r="F209">
        <v>333887831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-0.76785714285714324</v>
      </c>
      <c r="Q209">
        <f t="shared" si="960"/>
        <v>-256378155.94642869</v>
      </c>
      <c r="R209">
        <f t="shared" si="961"/>
        <v>17939615503.569412</v>
      </c>
      <c r="S209">
        <f t="shared" si="962"/>
        <v>179396.15503569413</v>
      </c>
      <c r="T209">
        <f t="shared" si="963"/>
        <v>179.39615503569414</v>
      </c>
    </row>
    <row r="210" spans="1:20" x14ac:dyDescent="0.25">
      <c r="A210" s="5">
        <v>44383</v>
      </c>
      <c r="B210">
        <v>8.2559999999999995E-3</v>
      </c>
      <c r="C210">
        <v>8.7329999999999994E-3</v>
      </c>
      <c r="D210">
        <v>8.2349999999999993E-3</v>
      </c>
      <c r="E210">
        <v>8.5249999999999996E-3</v>
      </c>
      <c r="F210">
        <v>558284238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0.16465863453815349</v>
      </c>
      <c r="Q210">
        <f t="shared" si="960"/>
        <v>91926320.313253507</v>
      </c>
      <c r="R210">
        <f t="shared" si="961"/>
        <v>18195993659.515842</v>
      </c>
      <c r="S210">
        <f t="shared" si="962"/>
        <v>181959.93659515842</v>
      </c>
      <c r="T210">
        <f t="shared" si="963"/>
        <v>181.95993659515841</v>
      </c>
    </row>
    <row r="211" spans="1:20" x14ac:dyDescent="0.25">
      <c r="A211" s="5">
        <v>44382</v>
      </c>
      <c r="B211">
        <v>7.9150000000000002E-3</v>
      </c>
      <c r="C211">
        <v>8.6499999999999997E-3</v>
      </c>
      <c r="D211">
        <v>7.6530000000000001E-3</v>
      </c>
      <c r="E211">
        <v>8.2550000000000002E-3</v>
      </c>
      <c r="F211">
        <v>1627804544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0.20762286860581811</v>
      </c>
      <c r="Q211">
        <f t="shared" si="960"/>
        <v>337969448.95486563</v>
      </c>
      <c r="R211">
        <f t="shared" si="961"/>
        <v>18104067339.202587</v>
      </c>
      <c r="S211">
        <f t="shared" si="962"/>
        <v>181040.67339202587</v>
      </c>
      <c r="T211">
        <f t="shared" si="963"/>
        <v>181.04067339202587</v>
      </c>
    </row>
    <row r="212" spans="1:20" x14ac:dyDescent="0.25">
      <c r="A212" s="5">
        <v>44381</v>
      </c>
      <c r="B212">
        <v>7.0159999999999997E-3</v>
      </c>
      <c r="C212">
        <v>8.3590000000000001E-3</v>
      </c>
      <c r="D212">
        <v>6.9059999999999998E-3</v>
      </c>
      <c r="E212">
        <v>7.8829999999999994E-3</v>
      </c>
      <c r="F212">
        <v>799307092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0.34480385409497505</v>
      </c>
      <c r="Q212">
        <f t="shared" si="960"/>
        <v>275604165.92704678</v>
      </c>
      <c r="R212">
        <f t="shared" si="961"/>
        <v>17766097890.247723</v>
      </c>
      <c r="S212">
        <f t="shared" si="962"/>
        <v>177660.97890247722</v>
      </c>
      <c r="T212">
        <f t="shared" si="963"/>
        <v>177.66097890247721</v>
      </c>
    </row>
    <row r="213" spans="1:20" x14ac:dyDescent="0.25">
      <c r="A213" s="5">
        <v>44380</v>
      </c>
      <c r="B213">
        <v>7.0619999999999997E-3</v>
      </c>
      <c r="C213">
        <v>7.084E-3</v>
      </c>
      <c r="D213">
        <v>6.5059999999999996E-3</v>
      </c>
      <c r="E213">
        <v>7.0130000000000001E-3</v>
      </c>
      <c r="F213">
        <v>433796572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0.7543252595155715</v>
      </c>
      <c r="Q213">
        <f t="shared" si="960"/>
        <v>327223711.75086528</v>
      </c>
      <c r="R213">
        <f t="shared" si="961"/>
        <v>17490493724.320675</v>
      </c>
      <c r="S213">
        <f t="shared" si="962"/>
        <v>174904.93724320675</v>
      </c>
      <c r="T213">
        <f t="shared" si="963"/>
        <v>174.90493724320675</v>
      </c>
    </row>
    <row r="214" spans="1:20" x14ac:dyDescent="0.25">
      <c r="A214" s="5">
        <v>44379</v>
      </c>
      <c r="B214">
        <v>6.6360000000000004E-3</v>
      </c>
      <c r="C214">
        <v>7.097E-3</v>
      </c>
      <c r="D214">
        <v>6.0740000000000004E-3</v>
      </c>
      <c r="E214">
        <v>7.0460000000000002E-3</v>
      </c>
      <c r="F214">
        <v>941301817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0.90029325513196512</v>
      </c>
      <c r="Q214">
        <f t="shared" si="960"/>
        <v>847447676.88856339</v>
      </c>
      <c r="R214">
        <f t="shared" si="961"/>
        <v>17163270012.569811</v>
      </c>
      <c r="S214">
        <f t="shared" si="962"/>
        <v>171632.70012569812</v>
      </c>
      <c r="T214">
        <f t="shared" si="963"/>
        <v>171.63270012569811</v>
      </c>
    </row>
    <row r="215" spans="1:20" x14ac:dyDescent="0.25">
      <c r="A215" s="5">
        <v>44378</v>
      </c>
      <c r="B215">
        <v>5.8789999999999997E-3</v>
      </c>
      <c r="C215">
        <v>7.9500000000000005E-3</v>
      </c>
      <c r="D215">
        <v>5.8440000000000002E-3</v>
      </c>
      <c r="E215">
        <v>6.6340000000000001E-3</v>
      </c>
      <c r="F215">
        <v>2656656243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-0.24976258309591659</v>
      </c>
      <c r="Q215">
        <f t="shared" si="960"/>
        <v>-663533325.64957309</v>
      </c>
      <c r="R215">
        <f t="shared" si="961"/>
        <v>16315822335.681248</v>
      </c>
      <c r="S215">
        <f t="shared" si="962"/>
        <v>163158.22335681246</v>
      </c>
      <c r="T215">
        <f t="shared" si="963"/>
        <v>163.15822335681247</v>
      </c>
    </row>
    <row r="216" spans="1:20" x14ac:dyDescent="0.25">
      <c r="A216" s="5">
        <v>44377</v>
      </c>
      <c r="B216">
        <v>6.0590000000000001E-3</v>
      </c>
      <c r="C216">
        <v>6.1729999999999997E-3</v>
      </c>
      <c r="D216">
        <v>5.208E-3</v>
      </c>
      <c r="E216">
        <v>5.875E-3</v>
      </c>
      <c r="F216">
        <v>951720663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0.38238341968911971</v>
      </c>
      <c r="Q216">
        <f t="shared" si="960"/>
        <v>363922201.70673627</v>
      </c>
      <c r="R216">
        <f t="shared" si="961"/>
        <v>16979355661.33082</v>
      </c>
      <c r="S216">
        <f t="shared" si="962"/>
        <v>169793.5566133082</v>
      </c>
      <c r="T216">
        <f t="shared" si="963"/>
        <v>169.7935566133082</v>
      </c>
    </row>
    <row r="217" spans="1:20" x14ac:dyDescent="0.25">
      <c r="A217" s="5">
        <v>44376</v>
      </c>
      <c r="B217">
        <v>5.3270000000000001E-3</v>
      </c>
      <c r="C217">
        <v>7.0309999999999999E-3</v>
      </c>
      <c r="D217">
        <v>5.1970000000000002E-3</v>
      </c>
      <c r="E217">
        <v>6.0600000000000003E-3</v>
      </c>
      <c r="F217">
        <v>2877549617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-5.8887677208287678E-2</v>
      </c>
      <c r="Q217">
        <f t="shared" si="960"/>
        <v>-169452212.99672782</v>
      </c>
      <c r="R217">
        <f t="shared" si="961"/>
        <v>16615433459.624084</v>
      </c>
      <c r="S217">
        <f t="shared" si="962"/>
        <v>166154.33459624083</v>
      </c>
      <c r="T217">
        <f t="shared" si="963"/>
        <v>166.15433459624083</v>
      </c>
    </row>
    <row r="218" spans="1:20" x14ac:dyDescent="0.25">
      <c r="A218" s="5">
        <v>44375</v>
      </c>
      <c r="B218">
        <v>4.4400000000000004E-3</v>
      </c>
      <c r="C218">
        <v>5.4780000000000002E-3</v>
      </c>
      <c r="D218">
        <v>4.431E-3</v>
      </c>
      <c r="E218">
        <v>5.3229999999999996E-3</v>
      </c>
      <c r="F218">
        <v>1651801684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0.70391595033428733</v>
      </c>
      <c r="Q218">
        <f t="shared" si="960"/>
        <v>1162729552.1566362</v>
      </c>
      <c r="R218">
        <f t="shared" si="961"/>
        <v>16784885672.620811</v>
      </c>
      <c r="S218">
        <f t="shared" si="962"/>
        <v>167848.85672620812</v>
      </c>
      <c r="T218">
        <f t="shared" si="963"/>
        <v>167.84885672620811</v>
      </c>
    </row>
    <row r="219" spans="1:20" x14ac:dyDescent="0.25">
      <c r="A219" s="5">
        <v>44374</v>
      </c>
      <c r="B219">
        <v>4.287E-3</v>
      </c>
      <c r="C219">
        <v>4.4470000000000004E-3</v>
      </c>
      <c r="D219">
        <v>4.1669999999999997E-3</v>
      </c>
      <c r="E219">
        <v>4.4470000000000004E-3</v>
      </c>
      <c r="F219">
        <v>289376237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1</v>
      </c>
      <c r="Q219">
        <f t="shared" si="960"/>
        <v>289376237</v>
      </c>
      <c r="R219">
        <f t="shared" si="961"/>
        <v>15622156120.464174</v>
      </c>
      <c r="S219">
        <f t="shared" si="962"/>
        <v>156221.56120464174</v>
      </c>
      <c r="T219">
        <f t="shared" si="963"/>
        <v>156.22156120464174</v>
      </c>
    </row>
    <row r="220" spans="1:20" x14ac:dyDescent="0.25">
      <c r="A220" s="5">
        <v>44373</v>
      </c>
      <c r="B220">
        <v>4.0439999999999999E-3</v>
      </c>
      <c r="C220">
        <v>4.4429999999999999E-3</v>
      </c>
      <c r="D220">
        <v>3.8409999999999998E-3</v>
      </c>
      <c r="E220">
        <v>4.2680000000000001E-3</v>
      </c>
      <c r="F220">
        <v>555342542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0.41860465116279144</v>
      </c>
      <c r="Q220">
        <f t="shared" si="960"/>
        <v>232468971.06976786</v>
      </c>
      <c r="R220">
        <f t="shared" si="961"/>
        <v>15332779883.464174</v>
      </c>
      <c r="S220">
        <f t="shared" si="962"/>
        <v>153327.79883464176</v>
      </c>
      <c r="T220">
        <f t="shared" si="963"/>
        <v>153.32779883464175</v>
      </c>
    </row>
    <row r="221" spans="1:20" x14ac:dyDescent="0.25">
      <c r="A221" s="5">
        <v>44372</v>
      </c>
      <c r="B221">
        <v>4.4159999999999998E-3</v>
      </c>
      <c r="C221">
        <v>4.7000000000000002E-3</v>
      </c>
      <c r="D221">
        <v>3.8600000000000001E-3</v>
      </c>
      <c r="E221">
        <v>4.0499999999999998E-3</v>
      </c>
      <c r="F221">
        <v>681601601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-0.54761904761904856</v>
      </c>
      <c r="Q221">
        <f t="shared" si="960"/>
        <v>-373258019.59523875</v>
      </c>
      <c r="R221">
        <f t="shared" si="961"/>
        <v>15100310912.394407</v>
      </c>
      <c r="S221">
        <f t="shared" si="962"/>
        <v>151003.10912394407</v>
      </c>
      <c r="T221">
        <f t="shared" si="963"/>
        <v>151.00310912394409</v>
      </c>
    </row>
    <row r="222" spans="1:20" x14ac:dyDescent="0.25">
      <c r="A222" s="5">
        <v>44371</v>
      </c>
      <c r="B222">
        <v>3.8049999999999998E-3</v>
      </c>
      <c r="C222">
        <v>4.5979999999999997E-3</v>
      </c>
      <c r="D222">
        <v>3.6700000000000001E-3</v>
      </c>
      <c r="E222">
        <v>4.4169999999999999E-3</v>
      </c>
      <c r="F222">
        <v>815431427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0.60991379310344862</v>
      </c>
      <c r="Q222">
        <f t="shared" si="960"/>
        <v>497342874.65732789</v>
      </c>
      <c r="R222">
        <f t="shared" si="961"/>
        <v>15473568931.989647</v>
      </c>
      <c r="S222">
        <f t="shared" si="962"/>
        <v>154735.68931989648</v>
      </c>
      <c r="T222">
        <f t="shared" si="963"/>
        <v>154.73568931989649</v>
      </c>
    </row>
    <row r="223" spans="1:20" x14ac:dyDescent="0.25">
      <c r="A223" s="5">
        <v>44370</v>
      </c>
      <c r="B223">
        <v>3.5130000000000001E-3</v>
      </c>
      <c r="C223">
        <v>3.98E-3</v>
      </c>
      <c r="D223">
        <v>3.3670000000000002E-3</v>
      </c>
      <c r="E223">
        <v>3.82E-3</v>
      </c>
      <c r="F223">
        <v>486172283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0.47797716150081554</v>
      </c>
      <c r="Q223">
        <f t="shared" si="960"/>
        <v>232379247.82871121</v>
      </c>
      <c r="R223">
        <f t="shared" si="961"/>
        <v>14976226057.332319</v>
      </c>
      <c r="S223">
        <f t="shared" si="962"/>
        <v>149762.2605733232</v>
      </c>
      <c r="T223">
        <f t="shared" si="963"/>
        <v>149.7622605733232</v>
      </c>
    </row>
    <row r="224" spans="1:20" x14ac:dyDescent="0.25">
      <c r="A224" s="5">
        <v>44369</v>
      </c>
      <c r="B224">
        <v>3.9880000000000002E-3</v>
      </c>
      <c r="C224">
        <v>4.1720000000000004E-3</v>
      </c>
      <c r="D224">
        <v>3.019E-3</v>
      </c>
      <c r="E224">
        <v>3.5270000000000002E-3</v>
      </c>
      <c r="F224">
        <v>1183822083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-0.11882046834345179</v>
      </c>
      <c r="Q224">
        <f t="shared" si="960"/>
        <v>-140662294.33738065</v>
      </c>
      <c r="R224">
        <f t="shared" si="961"/>
        <v>14743846809.503609</v>
      </c>
      <c r="S224">
        <f t="shared" si="962"/>
        <v>147438.46809503608</v>
      </c>
      <c r="T224">
        <f t="shared" si="963"/>
        <v>147.43846809503609</v>
      </c>
    </row>
    <row r="225" spans="1:20" x14ac:dyDescent="0.25">
      <c r="A225" s="5">
        <v>44368</v>
      </c>
      <c r="B225">
        <v>5.7619999999999998E-3</v>
      </c>
      <c r="C225">
        <v>6.1669999999999997E-3</v>
      </c>
      <c r="D225">
        <v>3.8969999999999999E-3</v>
      </c>
      <c r="E225">
        <v>3.9810000000000002E-3</v>
      </c>
      <c r="F225">
        <v>792668417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-0.92599118942731251</v>
      </c>
      <c r="Q225">
        <f t="shared" si="960"/>
        <v>-734003970.27929497</v>
      </c>
      <c r="R225">
        <f t="shared" si="961"/>
        <v>14884509103.84099</v>
      </c>
      <c r="S225">
        <f t="shared" si="962"/>
        <v>148845.09103840991</v>
      </c>
      <c r="T225">
        <f t="shared" si="963"/>
        <v>148.84509103840992</v>
      </c>
    </row>
    <row r="226" spans="1:20" x14ac:dyDescent="0.25">
      <c r="A226" s="5">
        <v>44367</v>
      </c>
      <c r="B226">
        <v>6.0049999999999999E-3</v>
      </c>
      <c r="C226">
        <v>6.3E-3</v>
      </c>
      <c r="D226">
        <v>5.326E-3</v>
      </c>
      <c r="E226">
        <v>5.7559999999999998E-3</v>
      </c>
      <c r="F226">
        <v>365565522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-0.11704312114989772</v>
      </c>
      <c r="Q226">
        <f t="shared" si="960"/>
        <v>-42786929.6796716</v>
      </c>
      <c r="R226">
        <f t="shared" si="961"/>
        <v>15618513074.120285</v>
      </c>
      <c r="S226">
        <f t="shared" si="962"/>
        <v>156185.13074120285</v>
      </c>
      <c r="T226">
        <f t="shared" si="963"/>
        <v>156.18513074120284</v>
      </c>
    </row>
    <row r="227" spans="1:20" x14ac:dyDescent="0.25">
      <c r="A227" s="5">
        <v>44366</v>
      </c>
      <c r="B227">
        <v>6.2529999999999999E-3</v>
      </c>
      <c r="C227">
        <v>6.4140000000000004E-3</v>
      </c>
      <c r="D227">
        <v>5.9569999999999996E-3</v>
      </c>
      <c r="E227">
        <v>6.0049999999999999E-3</v>
      </c>
      <c r="F227">
        <v>199479677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-0.78993435448577587</v>
      </c>
      <c r="Q227">
        <f t="shared" si="960"/>
        <v>-157575849.88402608</v>
      </c>
      <c r="R227">
        <f t="shared" si="961"/>
        <v>15661300003.799957</v>
      </c>
      <c r="S227">
        <f t="shared" si="962"/>
        <v>156613.00003799956</v>
      </c>
      <c r="T227">
        <f t="shared" si="963"/>
        <v>156.61300003799957</v>
      </c>
    </row>
    <row r="228" spans="1:20" x14ac:dyDescent="0.25">
      <c r="A228" s="5">
        <v>44365</v>
      </c>
      <c r="B228">
        <v>6.9210000000000001E-3</v>
      </c>
      <c r="C228">
        <v>6.9210000000000001E-3</v>
      </c>
      <c r="D228">
        <v>6.0689999999999997E-3</v>
      </c>
      <c r="E228">
        <v>6.2399999999999999E-3</v>
      </c>
      <c r="F228">
        <v>306460371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-0.59859154929577452</v>
      </c>
      <c r="Q228">
        <f t="shared" si="960"/>
        <v>-183444588.27464786</v>
      </c>
      <c r="R228">
        <f t="shared" si="961"/>
        <v>15818875853.683983</v>
      </c>
      <c r="S228">
        <f t="shared" si="962"/>
        <v>158188.75853683983</v>
      </c>
      <c r="T228">
        <f t="shared" si="963"/>
        <v>158.18875853683983</v>
      </c>
    </row>
    <row r="229" spans="1:20" x14ac:dyDescent="0.25">
      <c r="A229" s="5">
        <v>44364</v>
      </c>
      <c r="B229">
        <v>7.0210000000000003E-3</v>
      </c>
      <c r="C229">
        <v>7.4660000000000004E-3</v>
      </c>
      <c r="D229">
        <v>6.7679999999999997E-3</v>
      </c>
      <c r="E229">
        <v>6.9170000000000004E-3</v>
      </c>
      <c r="F229">
        <v>399872674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-0.57306590257879497</v>
      </c>
      <c r="Q229">
        <f t="shared" si="960"/>
        <v>-229153394.84240624</v>
      </c>
      <c r="R229">
        <f t="shared" si="961"/>
        <v>16002320441.958632</v>
      </c>
      <c r="S229">
        <f t="shared" si="962"/>
        <v>160023.20441958631</v>
      </c>
      <c r="T229">
        <f t="shared" si="963"/>
        <v>160.02320441958631</v>
      </c>
    </row>
    <row r="230" spans="1:20" x14ac:dyDescent="0.25">
      <c r="A230" s="5">
        <v>44363</v>
      </c>
      <c r="B230">
        <v>7.4380000000000002E-3</v>
      </c>
      <c r="C230">
        <v>7.9330000000000008E-3</v>
      </c>
      <c r="D230">
        <v>6.8999999999999999E-3</v>
      </c>
      <c r="E230">
        <v>7.0359999999999997E-3</v>
      </c>
      <c r="F230">
        <v>669070758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-0.73668925459825807</v>
      </c>
      <c r="Q230">
        <f t="shared" si="960"/>
        <v>-492897237.98451149</v>
      </c>
      <c r="R230">
        <f t="shared" si="961"/>
        <v>16231473836.801037</v>
      </c>
      <c r="S230">
        <f t="shared" si="962"/>
        <v>162314.73836801038</v>
      </c>
      <c r="T230">
        <f t="shared" si="963"/>
        <v>162.31473836801038</v>
      </c>
    </row>
    <row r="231" spans="1:20" x14ac:dyDescent="0.25">
      <c r="A231" s="5">
        <v>44362</v>
      </c>
      <c r="B231">
        <v>6.9360000000000003E-3</v>
      </c>
      <c r="C231">
        <v>8.4700000000000001E-3</v>
      </c>
      <c r="D231">
        <v>6.7580000000000001E-3</v>
      </c>
      <c r="E231">
        <v>7.4390000000000003E-3</v>
      </c>
      <c r="F231">
        <v>1228615683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-0.20443925233644838</v>
      </c>
      <c r="Q231">
        <f t="shared" si="960"/>
        <v>-251177271.64135489</v>
      </c>
      <c r="R231">
        <f t="shared" si="961"/>
        <v>16724371074.785549</v>
      </c>
      <c r="S231">
        <f t="shared" si="962"/>
        <v>167243.71074785548</v>
      </c>
      <c r="T231">
        <f t="shared" si="963"/>
        <v>167.24371074785549</v>
      </c>
    </row>
    <row r="232" spans="1:20" x14ac:dyDescent="0.25">
      <c r="A232" s="5">
        <v>44361</v>
      </c>
      <c r="B232">
        <v>6.7470000000000004E-3</v>
      </c>
      <c r="C232">
        <v>7.4989999999999996E-3</v>
      </c>
      <c r="D232">
        <v>6.4669999999999997E-3</v>
      </c>
      <c r="E232">
        <v>6.9360000000000003E-3</v>
      </c>
      <c r="F232">
        <v>623584415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-9.1085271317828106E-2</v>
      </c>
      <c r="Q232">
        <f t="shared" si="960"/>
        <v>-56799355.629844122</v>
      </c>
      <c r="R232">
        <f t="shared" si="961"/>
        <v>16975548346.426905</v>
      </c>
      <c r="S232">
        <f t="shared" si="962"/>
        <v>169755.48346426905</v>
      </c>
      <c r="T232">
        <f t="shared" si="963"/>
        <v>169.75548346426905</v>
      </c>
    </row>
    <row r="233" spans="1:20" x14ac:dyDescent="0.25">
      <c r="A233" s="5">
        <v>44360</v>
      </c>
      <c r="B233">
        <v>6.6699999999999997E-3</v>
      </c>
      <c r="C233">
        <v>6.8230000000000001E-3</v>
      </c>
      <c r="D233">
        <v>5.9880000000000003E-3</v>
      </c>
      <c r="E233">
        <v>6.7390000000000002E-3</v>
      </c>
      <c r="F233">
        <v>532830977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0.79880239520958107</v>
      </c>
      <c r="Q233">
        <f t="shared" si="960"/>
        <v>425626660.66946119</v>
      </c>
      <c r="R233">
        <f t="shared" si="961"/>
        <v>17032347702.056749</v>
      </c>
      <c r="S233">
        <f t="shared" si="962"/>
        <v>170323.47702056749</v>
      </c>
      <c r="T233">
        <f t="shared" si="963"/>
        <v>170.32347702056748</v>
      </c>
    </row>
    <row r="234" spans="1:20" x14ac:dyDescent="0.25">
      <c r="A234" s="5">
        <v>44359</v>
      </c>
      <c r="B234">
        <v>7.6660000000000001E-3</v>
      </c>
      <c r="C234">
        <v>8.0350000000000005E-3</v>
      </c>
      <c r="D234">
        <v>6.2659999999999999E-3</v>
      </c>
      <c r="E234">
        <v>6.6709999999999998E-3</v>
      </c>
      <c r="F234">
        <v>653045855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-0.54211418880723594</v>
      </c>
      <c r="Q234">
        <f t="shared" si="960"/>
        <v>-354025423.93725282</v>
      </c>
      <c r="R234">
        <f t="shared" si="961"/>
        <v>16606721041.387289</v>
      </c>
      <c r="S234">
        <f t="shared" si="962"/>
        <v>166067.2104138729</v>
      </c>
      <c r="T234">
        <f t="shared" si="963"/>
        <v>166.06721041387291</v>
      </c>
    </row>
    <row r="235" spans="1:20" x14ac:dyDescent="0.25">
      <c r="A235" s="5">
        <v>44358</v>
      </c>
      <c r="B235">
        <v>8.7790000000000003E-3</v>
      </c>
      <c r="C235">
        <v>9.4179999999999993E-3</v>
      </c>
      <c r="D235">
        <v>7.5599999999999999E-3</v>
      </c>
      <c r="E235">
        <v>7.6800000000000002E-3</v>
      </c>
      <c r="F235">
        <v>603386893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-0.87082884822389628</v>
      </c>
      <c r="Q235">
        <f t="shared" si="960"/>
        <v>-525446713.06458533</v>
      </c>
      <c r="R235">
        <f t="shared" si="961"/>
        <v>16960746465.324541</v>
      </c>
      <c r="S235">
        <f t="shared" si="962"/>
        <v>169607.46465324541</v>
      </c>
      <c r="T235">
        <f t="shared" si="963"/>
        <v>169.60746465324542</v>
      </c>
    </row>
    <row r="236" spans="1:20" x14ac:dyDescent="0.25">
      <c r="A236" s="5">
        <v>44357</v>
      </c>
      <c r="B236">
        <v>8.6929999999999993E-3</v>
      </c>
      <c r="C236">
        <v>9.4999999999999998E-3</v>
      </c>
      <c r="D236">
        <v>8.4810000000000007E-3</v>
      </c>
      <c r="E236">
        <v>8.7910000000000002E-3</v>
      </c>
      <c r="F236">
        <v>382240559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-0.39156035328753719</v>
      </c>
      <c r="Q236">
        <f t="shared" si="960"/>
        <v>-149670248.32286569</v>
      </c>
      <c r="R236">
        <f t="shared" si="961"/>
        <v>17486193178.389126</v>
      </c>
      <c r="S236">
        <f t="shared" si="962"/>
        <v>174861.93178389125</v>
      </c>
      <c r="T236">
        <f t="shared" si="963"/>
        <v>174.86193178389127</v>
      </c>
    </row>
    <row r="237" spans="1:20" x14ac:dyDescent="0.25">
      <c r="A237" s="5">
        <v>44356</v>
      </c>
      <c r="B237">
        <v>8.567E-3</v>
      </c>
      <c r="C237">
        <v>8.7639999999999992E-3</v>
      </c>
      <c r="D237">
        <v>7.8120000000000004E-3</v>
      </c>
      <c r="E237">
        <v>8.6350000000000003E-3</v>
      </c>
      <c r="F237">
        <v>392141542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0.72899159663865742</v>
      </c>
      <c r="Q237">
        <f t="shared" si="960"/>
        <v>285867888.81092513</v>
      </c>
      <c r="R237">
        <f t="shared" si="961"/>
        <v>17635863426.71199</v>
      </c>
      <c r="S237">
        <f t="shared" si="962"/>
        <v>176358.63426711989</v>
      </c>
      <c r="T237">
        <f t="shared" si="963"/>
        <v>176.3586342671199</v>
      </c>
    </row>
    <row r="238" spans="1:20" x14ac:dyDescent="0.25">
      <c r="A238" s="5">
        <v>44355</v>
      </c>
      <c r="B238">
        <v>8.9300000000000004E-3</v>
      </c>
      <c r="C238">
        <v>9.3290000000000005E-3</v>
      </c>
      <c r="D238">
        <v>7.437E-3</v>
      </c>
      <c r="E238">
        <v>8.5730000000000008E-3</v>
      </c>
      <c r="F238">
        <v>397399277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0.2008456659619455</v>
      </c>
      <c r="Q238">
        <f t="shared" si="960"/>
        <v>79815922.441860646</v>
      </c>
      <c r="R238">
        <f t="shared" si="961"/>
        <v>17349995537.901066</v>
      </c>
      <c r="S238">
        <f t="shared" si="962"/>
        <v>173499.95537901064</v>
      </c>
      <c r="T238">
        <f t="shared" si="963"/>
        <v>173.49995537901066</v>
      </c>
    </row>
    <row r="239" spans="1:20" x14ac:dyDescent="0.25">
      <c r="A239" s="5">
        <v>44354</v>
      </c>
      <c r="B239">
        <v>9.5130000000000006E-3</v>
      </c>
      <c r="C239">
        <v>1.1214E-2</v>
      </c>
      <c r="D239">
        <v>8.9090000000000003E-3</v>
      </c>
      <c r="E239">
        <v>8.9610000000000002E-3</v>
      </c>
      <c r="F239">
        <v>463940237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-0.95488069414316701</v>
      </c>
      <c r="Q239">
        <f t="shared" si="960"/>
        <v>-443007575.54750544</v>
      </c>
      <c r="R239">
        <f t="shared" si="961"/>
        <v>17270179615.459206</v>
      </c>
      <c r="S239">
        <f t="shared" si="962"/>
        <v>172701.79615459207</v>
      </c>
      <c r="T239">
        <f t="shared" si="963"/>
        <v>172.70179615459207</v>
      </c>
    </row>
    <row r="240" spans="1:20" x14ac:dyDescent="0.25">
      <c r="A240" s="5">
        <v>44353</v>
      </c>
      <c r="B240">
        <v>8.9470000000000001E-3</v>
      </c>
      <c r="C240">
        <v>1.1276E-2</v>
      </c>
      <c r="D240">
        <v>8.8789999999999997E-3</v>
      </c>
      <c r="E240">
        <v>9.5130000000000006E-3</v>
      </c>
      <c r="F240">
        <v>1012539734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-0.47100542344597335</v>
      </c>
      <c r="Q240">
        <f t="shared" si="960"/>
        <v>-476911706.16854322</v>
      </c>
      <c r="R240">
        <f t="shared" si="961"/>
        <v>17713187191.00671</v>
      </c>
      <c r="S240">
        <f t="shared" si="962"/>
        <v>177131.8719100671</v>
      </c>
      <c r="T240">
        <f t="shared" si="963"/>
        <v>177.1318719100671</v>
      </c>
    </row>
    <row r="241" spans="1:20" x14ac:dyDescent="0.25">
      <c r="A241" s="5">
        <v>44352</v>
      </c>
      <c r="B241">
        <v>9.2079999999999992E-3</v>
      </c>
      <c r="C241">
        <v>9.4490000000000008E-3</v>
      </c>
      <c r="D241">
        <v>8.7100000000000007E-3</v>
      </c>
      <c r="E241">
        <v>8.9470000000000001E-3</v>
      </c>
      <c r="F241">
        <v>96195239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-0.35859269282814793</v>
      </c>
      <c r="Q241">
        <f t="shared" si="960"/>
        <v>-34494909.790257275</v>
      </c>
      <c r="R241">
        <f t="shared" si="961"/>
        <v>18190098897.175255</v>
      </c>
      <c r="S241">
        <f t="shared" si="962"/>
        <v>181900.98897175255</v>
      </c>
      <c r="T241">
        <f t="shared" si="963"/>
        <v>181.90098897175255</v>
      </c>
    </row>
    <row r="242" spans="1:20" x14ac:dyDescent="0.25">
      <c r="A242" s="5">
        <v>44351</v>
      </c>
      <c r="B242">
        <v>9.7389999999999994E-3</v>
      </c>
      <c r="C242">
        <v>9.7710000000000002E-3</v>
      </c>
      <c r="D242">
        <v>8.5730000000000008E-3</v>
      </c>
      <c r="E242">
        <v>9.2090000000000002E-3</v>
      </c>
      <c r="F242">
        <v>176810455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6.1769616026710723E-2</v>
      </c>
      <c r="Q242">
        <f t="shared" si="960"/>
        <v>10921513.914858015</v>
      </c>
      <c r="R242">
        <f t="shared" si="961"/>
        <v>18224593806.965511</v>
      </c>
      <c r="S242">
        <f t="shared" si="962"/>
        <v>182245.93806965512</v>
      </c>
      <c r="T242">
        <f t="shared" si="963"/>
        <v>182.24593806965512</v>
      </c>
    </row>
    <row r="243" spans="1:20" x14ac:dyDescent="0.25">
      <c r="A243" s="5">
        <v>44350</v>
      </c>
      <c r="B243">
        <v>9.443E-3</v>
      </c>
      <c r="C243">
        <v>9.8440000000000003E-3</v>
      </c>
      <c r="D243">
        <v>9.3019999999999995E-3</v>
      </c>
      <c r="E243">
        <v>9.6989999999999993E-3</v>
      </c>
      <c r="F243">
        <v>104068884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0.46494464944649144</v>
      </c>
      <c r="Q243">
        <f t="shared" si="960"/>
        <v>48386270.789667584</v>
      </c>
      <c r="R243">
        <f t="shared" si="961"/>
        <v>18213672293.050652</v>
      </c>
      <c r="S243">
        <f t="shared" si="962"/>
        <v>182136.72293050651</v>
      </c>
      <c r="T243">
        <f t="shared" si="963"/>
        <v>182.13672293050652</v>
      </c>
    </row>
    <row r="244" spans="1:20" x14ac:dyDescent="0.25">
      <c r="A244" s="5">
        <v>44349</v>
      </c>
      <c r="B244">
        <v>9.1470000000000006E-3</v>
      </c>
      <c r="C244">
        <v>9.5569999999999995E-3</v>
      </c>
      <c r="D244">
        <v>8.8830000000000003E-3</v>
      </c>
      <c r="E244">
        <v>9.4439999999999993E-3</v>
      </c>
      <c r="F244">
        <v>128410550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0.66468842729970212</v>
      </c>
      <c r="Q244">
        <f t="shared" si="960"/>
        <v>85353006.528189763</v>
      </c>
      <c r="R244">
        <f t="shared" si="961"/>
        <v>18165286022.260983</v>
      </c>
      <c r="S244">
        <f t="shared" si="962"/>
        <v>181652.86022260983</v>
      </c>
      <c r="T244">
        <f t="shared" si="963"/>
        <v>181.65286022260983</v>
      </c>
    </row>
    <row r="245" spans="1:20" x14ac:dyDescent="0.25">
      <c r="A245" s="5">
        <v>44348</v>
      </c>
      <c r="B245">
        <v>9.3930000000000003E-3</v>
      </c>
      <c r="C245">
        <v>9.4339999999999997E-3</v>
      </c>
      <c r="D245">
        <v>8.7740000000000005E-3</v>
      </c>
      <c r="E245">
        <v>9.1489999999999991E-3</v>
      </c>
      <c r="F245">
        <v>215398846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0.13636363636363361</v>
      </c>
      <c r="Q245">
        <f t="shared" si="960"/>
        <v>29372569.909090314</v>
      </c>
      <c r="R245">
        <f t="shared" si="961"/>
        <v>18079933015.732792</v>
      </c>
      <c r="S245">
        <f t="shared" si="962"/>
        <v>180799.33015732793</v>
      </c>
      <c r="T245">
        <f t="shared" si="963"/>
        <v>180.79933015732794</v>
      </c>
    </row>
    <row r="246" spans="1:20" x14ac:dyDescent="0.25">
      <c r="A246" s="5">
        <v>44347</v>
      </c>
      <c r="B246">
        <v>9.0880000000000006E-3</v>
      </c>
      <c r="C246">
        <v>9.4299999999999991E-3</v>
      </c>
      <c r="D246">
        <v>8.5810000000000001E-3</v>
      </c>
      <c r="E246">
        <v>9.4020000000000006E-3</v>
      </c>
      <c r="F246">
        <v>106136602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0.93404004711425548</v>
      </c>
      <c r="Q246">
        <f t="shared" si="960"/>
        <v>99135836.732626989</v>
      </c>
      <c r="R246">
        <f t="shared" si="961"/>
        <v>18050560445.8237</v>
      </c>
      <c r="S246">
        <f t="shared" si="962"/>
        <v>180505.60445823701</v>
      </c>
      <c r="T246">
        <f t="shared" si="963"/>
        <v>180.505604458237</v>
      </c>
    </row>
    <row r="247" spans="1:20" x14ac:dyDescent="0.25">
      <c r="A247" s="5">
        <v>44346</v>
      </c>
      <c r="B247">
        <v>9.1739999999999999E-3</v>
      </c>
      <c r="C247">
        <v>9.2280000000000001E-3</v>
      </c>
      <c r="D247">
        <v>8.3920000000000002E-3</v>
      </c>
      <c r="E247">
        <v>9.1059999999999995E-3</v>
      </c>
      <c r="F247">
        <v>142387723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0.70813397129186462</v>
      </c>
      <c r="Q247">
        <f t="shared" si="960"/>
        <v>100829583.75119597</v>
      </c>
      <c r="R247">
        <f t="shared" si="961"/>
        <v>17951424609.091072</v>
      </c>
      <c r="S247">
        <f t="shared" si="962"/>
        <v>179514.24609091072</v>
      </c>
      <c r="T247">
        <f t="shared" si="963"/>
        <v>179.51424609091072</v>
      </c>
    </row>
    <row r="248" spans="1:20" x14ac:dyDescent="0.25">
      <c r="A248" s="5">
        <v>44345</v>
      </c>
      <c r="B248">
        <v>8.9759999999999996E-3</v>
      </c>
      <c r="C248">
        <v>9.4000000000000004E-3</v>
      </c>
      <c r="D248">
        <v>8.2120000000000005E-3</v>
      </c>
      <c r="E248">
        <v>9.1819999999999992E-3</v>
      </c>
      <c r="F248">
        <v>184612013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0.632996632996631</v>
      </c>
      <c r="Q248">
        <f t="shared" si="960"/>
        <v>116858782.63973027</v>
      </c>
      <c r="R248">
        <f t="shared" si="961"/>
        <v>17850595025.339874</v>
      </c>
      <c r="S248">
        <f t="shared" si="962"/>
        <v>178505.95025339874</v>
      </c>
      <c r="T248">
        <f t="shared" si="963"/>
        <v>178.50595025339874</v>
      </c>
    </row>
    <row r="249" spans="1:20" x14ac:dyDescent="0.25">
      <c r="A249" s="5">
        <v>44344</v>
      </c>
      <c r="B249">
        <v>1.0120000000000001E-2</v>
      </c>
      <c r="C249">
        <v>1.0137E-2</v>
      </c>
      <c r="D249">
        <v>8.5839999999999996E-3</v>
      </c>
      <c r="E249">
        <v>8.9739999999999993E-3</v>
      </c>
      <c r="F249">
        <v>250322964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-0.497746297488732</v>
      </c>
      <c r="Q249">
        <f t="shared" si="960"/>
        <v>-124597328.50740515</v>
      </c>
      <c r="R249">
        <f t="shared" si="961"/>
        <v>17733736242.700146</v>
      </c>
      <c r="S249">
        <f t="shared" si="962"/>
        <v>177337.36242700147</v>
      </c>
      <c r="T249">
        <f t="shared" si="963"/>
        <v>177.33736242700147</v>
      </c>
    </row>
    <row r="250" spans="1:20" x14ac:dyDescent="0.25">
      <c r="A250" s="5">
        <v>44343</v>
      </c>
      <c r="B250">
        <v>1.0468E-2</v>
      </c>
      <c r="C250">
        <v>1.0468E-2</v>
      </c>
      <c r="D250">
        <v>9.4409999999999997E-3</v>
      </c>
      <c r="E250">
        <v>1.0158E-2</v>
      </c>
      <c r="F250">
        <v>310420100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0.3962999026290176</v>
      </c>
      <c r="Q250">
        <f t="shared" si="960"/>
        <v>123019455.40408991</v>
      </c>
      <c r="R250">
        <f t="shared" si="961"/>
        <v>17858333571.20755</v>
      </c>
      <c r="S250">
        <f t="shared" si="962"/>
        <v>178583.3357120755</v>
      </c>
      <c r="T250">
        <f t="shared" si="963"/>
        <v>178.5833357120755</v>
      </c>
    </row>
    <row r="251" spans="1:20" x14ac:dyDescent="0.25">
      <c r="A251" s="5">
        <v>44342</v>
      </c>
      <c r="B251">
        <v>9.8180000000000003E-3</v>
      </c>
      <c r="C251">
        <v>1.0541999999999999E-2</v>
      </c>
      <c r="D251">
        <v>9.3970000000000008E-3</v>
      </c>
      <c r="E251">
        <v>1.0481000000000001E-2</v>
      </c>
      <c r="F251">
        <v>414072476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0.89344978165939104</v>
      </c>
      <c r="Q251">
        <f t="shared" si="960"/>
        <v>369952963.27336341</v>
      </c>
      <c r="R251">
        <f t="shared" si="961"/>
        <v>17735314115.803459</v>
      </c>
      <c r="S251">
        <f t="shared" si="962"/>
        <v>177353.14115803459</v>
      </c>
      <c r="T251">
        <f t="shared" si="963"/>
        <v>177.35314115803459</v>
      </c>
    </row>
    <row r="252" spans="1:20" x14ac:dyDescent="0.25">
      <c r="A252" s="5">
        <v>44341</v>
      </c>
      <c r="B252">
        <v>9.7970000000000002E-3</v>
      </c>
      <c r="C252">
        <v>9.8600000000000007E-3</v>
      </c>
      <c r="D252">
        <v>8.5269999999999999E-3</v>
      </c>
      <c r="E252">
        <v>9.8200000000000006E-3</v>
      </c>
      <c r="F252">
        <v>717935873</v>
      </c>
      <c r="G252">
        <v>0</v>
      </c>
      <c r="L252" t="s">
        <v>7</v>
      </c>
      <c r="M252" t="s">
        <v>8</v>
      </c>
      <c r="N252" t="s">
        <v>7</v>
      </c>
      <c r="P252">
        <f t="shared" si="959"/>
        <v>0.93998499624906218</v>
      </c>
      <c r="Q252">
        <f t="shared" si="960"/>
        <v>674848948.88897216</v>
      </c>
      <c r="R252">
        <f t="shared" si="961"/>
        <v>17365361152.530094</v>
      </c>
      <c r="S252">
        <f t="shared" si="962"/>
        <v>173653.61152530095</v>
      </c>
      <c r="T252">
        <f t="shared" si="963"/>
        <v>173.65361152530096</v>
      </c>
    </row>
    <row r="253" spans="1:20" x14ac:dyDescent="0.25">
      <c r="A253" s="5">
        <v>44340</v>
      </c>
      <c r="B253">
        <v>9.1179999999999994E-3</v>
      </c>
      <c r="C253">
        <v>9.8809999999999992E-3</v>
      </c>
      <c r="D253">
        <v>7.9070000000000008E-3</v>
      </c>
      <c r="E253">
        <v>9.8010000000000007E-3</v>
      </c>
      <c r="F253">
        <v>865917562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0.9189463019250268</v>
      </c>
      <c r="Q253">
        <f t="shared" si="960"/>
        <v>795731741.37183511</v>
      </c>
      <c r="R253">
        <f t="shared" si="961"/>
        <v>16690512203.641121</v>
      </c>
      <c r="S253">
        <f t="shared" si="962"/>
        <v>166905.12203641122</v>
      </c>
      <c r="T253">
        <f t="shared" si="963"/>
        <v>166.90512203641123</v>
      </c>
    </row>
    <row r="254" spans="1:20" x14ac:dyDescent="0.25">
      <c r="A254" s="5">
        <v>44339</v>
      </c>
      <c r="B254">
        <v>1.1528999999999999E-2</v>
      </c>
      <c r="C254">
        <v>1.1559E-2</v>
      </c>
      <c r="D254">
        <v>7.5570000000000003E-3</v>
      </c>
      <c r="E254">
        <v>9.1780000000000004E-3</v>
      </c>
      <c r="F254">
        <v>743001047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-0.18990504747626175</v>
      </c>
      <c r="Q254">
        <f t="shared" si="960"/>
        <v>-141099649.10544717</v>
      </c>
      <c r="R254">
        <f t="shared" si="961"/>
        <v>15894780462.269285</v>
      </c>
      <c r="S254">
        <f t="shared" si="962"/>
        <v>158947.80462269284</v>
      </c>
      <c r="T254">
        <f t="shared" si="963"/>
        <v>158.94780462269284</v>
      </c>
    </row>
    <row r="255" spans="1:20" x14ac:dyDescent="0.25">
      <c r="A255" s="5">
        <v>44338</v>
      </c>
      <c r="B255">
        <v>1.0810999999999999E-2</v>
      </c>
      <c r="C255">
        <v>1.2748000000000001E-2</v>
      </c>
      <c r="D255">
        <v>9.4739999999999998E-3</v>
      </c>
      <c r="E255">
        <v>1.1528999999999999E-2</v>
      </c>
      <c r="F255">
        <v>1381004472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0.25534514355528343</v>
      </c>
      <c r="Q255">
        <f t="shared" si="960"/>
        <v>352632785.15332842</v>
      </c>
      <c r="R255">
        <f t="shared" si="961"/>
        <v>16035880111.374733</v>
      </c>
      <c r="S255">
        <f t="shared" si="962"/>
        <v>160358.80111374732</v>
      </c>
      <c r="T255">
        <f t="shared" si="963"/>
        <v>160.35880111374732</v>
      </c>
    </row>
    <row r="256" spans="1:20" x14ac:dyDescent="0.25">
      <c r="A256" s="5">
        <v>44337</v>
      </c>
      <c r="B256">
        <v>9.0889999999999999E-3</v>
      </c>
      <c r="C256">
        <v>1.2E-2</v>
      </c>
      <c r="D256">
        <v>8.9510000000000006E-3</v>
      </c>
      <c r="E256">
        <v>1.0808E-2</v>
      </c>
      <c r="F256">
        <v>1655655334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0.21810429649065236</v>
      </c>
      <c r="Q256">
        <f t="shared" si="960"/>
        <v>361105541.85306603</v>
      </c>
      <c r="R256">
        <f t="shared" si="961"/>
        <v>15683247326.221405</v>
      </c>
      <c r="S256">
        <f t="shared" si="962"/>
        <v>156832.47326221404</v>
      </c>
      <c r="T256">
        <f t="shared" si="963"/>
        <v>156.83247326221405</v>
      </c>
    </row>
    <row r="257" spans="1:20" x14ac:dyDescent="0.25">
      <c r="A257" s="5">
        <v>44336</v>
      </c>
      <c r="B257">
        <v>7.6140000000000001E-3</v>
      </c>
      <c r="C257">
        <v>9.1999999999999998E-3</v>
      </c>
      <c r="D257">
        <v>6.953E-3</v>
      </c>
      <c r="E257">
        <v>9.0559999999999998E-3</v>
      </c>
      <c r="F257">
        <v>539652909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0.8718291054739653</v>
      </c>
      <c r="Q257">
        <f t="shared" si="960"/>
        <v>470485112.91989321</v>
      </c>
      <c r="R257">
        <f t="shared" si="961"/>
        <v>15322141784.36834</v>
      </c>
      <c r="S257">
        <f t="shared" si="962"/>
        <v>153221.41784368339</v>
      </c>
      <c r="T257">
        <f t="shared" si="963"/>
        <v>153.22141784368338</v>
      </c>
    </row>
    <row r="258" spans="1:20" x14ac:dyDescent="0.25">
      <c r="A258" s="5">
        <v>44335</v>
      </c>
      <c r="B258">
        <v>1.0994E-2</v>
      </c>
      <c r="C258">
        <v>1.1358999999999999E-2</v>
      </c>
      <c r="D258">
        <v>6.0439999999999999E-3</v>
      </c>
      <c r="E258">
        <v>7.6119999999999998E-3</v>
      </c>
      <c r="F258">
        <v>875022172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-0.40997177798682966</v>
      </c>
      <c r="Q258">
        <f t="shared" si="960"/>
        <v>-358734395.63273746</v>
      </c>
      <c r="R258">
        <f t="shared" si="961"/>
        <v>14851656671.448446</v>
      </c>
      <c r="S258">
        <f t="shared" si="962"/>
        <v>148516.56671448445</v>
      </c>
      <c r="T258">
        <f t="shared" si="963"/>
        <v>148.51656671448444</v>
      </c>
    </row>
    <row r="259" spans="1:20" x14ac:dyDescent="0.25">
      <c r="A259" s="5">
        <v>44334</v>
      </c>
      <c r="B259">
        <v>1.0572E-2</v>
      </c>
      <c r="C259">
        <v>1.1998999999999999E-2</v>
      </c>
      <c r="D259">
        <v>1.0390999999999999E-2</v>
      </c>
      <c r="E259">
        <v>1.0999E-2</v>
      </c>
      <c r="F259">
        <v>411461956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-0.2437810945273621</v>
      </c>
      <c r="Q259">
        <f t="shared" si="960"/>
        <v>-100306645.9900493</v>
      </c>
      <c r="R259">
        <f t="shared" si="961"/>
        <v>15210391067.081184</v>
      </c>
      <c r="S259">
        <f t="shared" si="962"/>
        <v>152103.91067081183</v>
      </c>
      <c r="T259">
        <f t="shared" si="963"/>
        <v>152.10391067081184</v>
      </c>
    </row>
    <row r="260" spans="1:20" x14ac:dyDescent="0.25">
      <c r="A260" s="5">
        <v>44333</v>
      </c>
      <c r="B260">
        <v>1.1860000000000001E-2</v>
      </c>
      <c r="C260">
        <v>1.2441000000000001E-2</v>
      </c>
      <c r="D260">
        <v>1.0022E-2</v>
      </c>
      <c r="E260">
        <v>1.0545000000000001E-2</v>
      </c>
      <c r="F260">
        <v>799813464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-0.56758991318726693</v>
      </c>
      <c r="Q260">
        <f t="shared" si="960"/>
        <v>-453966054.59776723</v>
      </c>
      <c r="R260">
        <f t="shared" si="961"/>
        <v>15310697713.071234</v>
      </c>
      <c r="S260">
        <f t="shared" si="962"/>
        <v>153106.97713071233</v>
      </c>
      <c r="T260">
        <f t="shared" si="963"/>
        <v>153.10697713071232</v>
      </c>
    </row>
    <row r="261" spans="1:20" x14ac:dyDescent="0.25">
      <c r="A261" s="5">
        <v>44332</v>
      </c>
      <c r="B261">
        <v>1.2041E-2</v>
      </c>
      <c r="C261">
        <v>1.2751E-2</v>
      </c>
      <c r="D261">
        <v>1.1315E-2</v>
      </c>
      <c r="E261">
        <v>1.1839000000000001E-2</v>
      </c>
      <c r="F261">
        <v>327964750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-0.27019498607242304</v>
      </c>
      <c r="Q261">
        <f t="shared" si="960"/>
        <v>-88614431.0584957</v>
      </c>
      <c r="R261">
        <f t="shared" si="961"/>
        <v>15764663767.669001</v>
      </c>
      <c r="S261">
        <f t="shared" si="962"/>
        <v>157646.63767669001</v>
      </c>
      <c r="T261">
        <f t="shared" si="963"/>
        <v>157.64663767669001</v>
      </c>
    </row>
    <row r="262" spans="1:20" x14ac:dyDescent="0.25">
      <c r="A262" s="5">
        <v>44331</v>
      </c>
      <c r="B262">
        <v>1.3086E-2</v>
      </c>
      <c r="C262">
        <v>1.3251000000000001E-2</v>
      </c>
      <c r="D262">
        <v>1.193E-2</v>
      </c>
      <c r="E262">
        <v>1.2067E-2</v>
      </c>
      <c r="F262">
        <v>234513778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-0.7925813777441334</v>
      </c>
      <c r="Q262">
        <f t="shared" ref="Q262:Q325" si="965">F262*P262</f>
        <v>-185871253.26722184</v>
      </c>
      <c r="R262">
        <f t="shared" ref="R262:R325" si="966">R263+Q262</f>
        <v>15853278198.727497</v>
      </c>
      <c r="S262">
        <f t="shared" ref="S262:S325" si="967">R262/100000</f>
        <v>158532.78198727497</v>
      </c>
      <c r="T262">
        <f t="shared" ref="T262:T325" si="968">S262/1000</f>
        <v>158.53278198727497</v>
      </c>
    </row>
    <row r="263" spans="1:20" x14ac:dyDescent="0.25">
      <c r="A263" s="5">
        <v>44330</v>
      </c>
      <c r="B263">
        <v>1.2555E-2</v>
      </c>
      <c r="C263">
        <v>1.3254999999999999E-2</v>
      </c>
      <c r="D263">
        <v>1.24E-2</v>
      </c>
      <c r="E263">
        <v>1.3089999999999999E-2</v>
      </c>
      <c r="F263">
        <v>271062167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0.61403508771929771</v>
      </c>
      <c r="Q263">
        <f t="shared" si="965"/>
        <v>166441681.49122792</v>
      </c>
      <c r="R263">
        <f t="shared" si="966"/>
        <v>16039149451.994719</v>
      </c>
      <c r="S263">
        <f t="shared" si="967"/>
        <v>160391.49451994718</v>
      </c>
      <c r="T263">
        <f t="shared" si="968"/>
        <v>160.39149451994717</v>
      </c>
    </row>
    <row r="264" spans="1:20" x14ac:dyDescent="0.25">
      <c r="A264" s="5">
        <v>44329</v>
      </c>
      <c r="B264">
        <v>1.2369E-2</v>
      </c>
      <c r="C264">
        <v>1.3194000000000001E-2</v>
      </c>
      <c r="D264">
        <v>1.1627999999999999E-2</v>
      </c>
      <c r="E264">
        <v>1.2553999999999999E-2</v>
      </c>
      <c r="F264">
        <v>519338527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0.18263090676883639</v>
      </c>
      <c r="Q264">
        <f t="shared" si="965"/>
        <v>94847266.106001824</v>
      </c>
      <c r="R264">
        <f t="shared" si="966"/>
        <v>15872707770.50349</v>
      </c>
      <c r="S264">
        <f t="shared" si="967"/>
        <v>158727.0777050349</v>
      </c>
      <c r="T264">
        <f t="shared" si="968"/>
        <v>158.7270777050349</v>
      </c>
    </row>
    <row r="265" spans="1:20" x14ac:dyDescent="0.25">
      <c r="A265" s="5">
        <v>44328</v>
      </c>
      <c r="B265">
        <v>1.4808E-2</v>
      </c>
      <c r="C265">
        <v>1.5776999999999999E-2</v>
      </c>
      <c r="D265">
        <v>1.2172000000000001E-2</v>
      </c>
      <c r="E265">
        <v>1.2442E-2</v>
      </c>
      <c r="F265">
        <v>535469778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-0.85020804438280195</v>
      </c>
      <c r="Q265">
        <f t="shared" si="965"/>
        <v>-455260712.77947313</v>
      </c>
      <c r="R265">
        <f t="shared" si="966"/>
        <v>15777860504.39749</v>
      </c>
      <c r="S265">
        <f t="shared" si="967"/>
        <v>157778.60504397491</v>
      </c>
      <c r="T265">
        <f t="shared" si="968"/>
        <v>157.77860504397492</v>
      </c>
    </row>
    <row r="266" spans="1:20" x14ac:dyDescent="0.25">
      <c r="A266" s="5">
        <v>44327</v>
      </c>
      <c r="B266">
        <v>1.3350000000000001E-2</v>
      </c>
      <c r="C266">
        <v>1.5987000000000001E-2</v>
      </c>
      <c r="D266">
        <v>1.3219E-2</v>
      </c>
      <c r="E266">
        <v>1.4808999999999999E-2</v>
      </c>
      <c r="F266">
        <v>598769970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0.14884393063583715</v>
      </c>
      <c r="Q266">
        <f t="shared" si="965"/>
        <v>89123275.881502286</v>
      </c>
      <c r="R266">
        <f t="shared" si="966"/>
        <v>16233121217.176962</v>
      </c>
      <c r="S266">
        <f t="shared" si="967"/>
        <v>162331.21217176961</v>
      </c>
      <c r="T266">
        <f t="shared" si="968"/>
        <v>162.33121217176961</v>
      </c>
    </row>
    <row r="267" spans="1:20" x14ac:dyDescent="0.25">
      <c r="A267" s="5">
        <v>44326</v>
      </c>
      <c r="B267">
        <v>1.4402999999999999E-2</v>
      </c>
      <c r="C267">
        <v>1.6199000000000002E-2</v>
      </c>
      <c r="D267">
        <v>1.2917E-2</v>
      </c>
      <c r="E267">
        <v>1.3358999999999999E-2</v>
      </c>
      <c r="F267">
        <v>1043865731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-0.73065204143814777</v>
      </c>
      <c r="Q267">
        <f t="shared" si="965"/>
        <v>-762702627.34247446</v>
      </c>
      <c r="R267">
        <f t="shared" si="966"/>
        <v>16143997941.29546</v>
      </c>
      <c r="S267">
        <f t="shared" si="967"/>
        <v>161439.97941295459</v>
      </c>
      <c r="T267">
        <f t="shared" si="968"/>
        <v>161.43997941295459</v>
      </c>
    </row>
    <row r="268" spans="1:20" x14ac:dyDescent="0.25">
      <c r="A268" s="5">
        <v>44325</v>
      </c>
      <c r="B268">
        <v>1.4817E-2</v>
      </c>
      <c r="C268">
        <v>1.515E-2</v>
      </c>
      <c r="D268">
        <v>1.3608E-2</v>
      </c>
      <c r="E268">
        <v>1.439E-2</v>
      </c>
      <c r="F268">
        <v>374891814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1.4267185473410798E-2</v>
      </c>
      <c r="Q268">
        <f t="shared" si="965"/>
        <v>5348651.042801423</v>
      </c>
      <c r="R268">
        <f t="shared" si="966"/>
        <v>16906700568.637934</v>
      </c>
      <c r="S268">
        <f t="shared" si="967"/>
        <v>169067.00568637933</v>
      </c>
      <c r="T268">
        <f t="shared" si="968"/>
        <v>169.06700568637933</v>
      </c>
    </row>
    <row r="269" spans="1:20" x14ac:dyDescent="0.25">
      <c r="A269" s="5">
        <v>44324</v>
      </c>
      <c r="B269">
        <v>1.5452E-2</v>
      </c>
      <c r="C269">
        <v>1.5540999999999999E-2</v>
      </c>
      <c r="D269">
        <v>1.46E-2</v>
      </c>
      <c r="E269">
        <v>1.4817E-2</v>
      </c>
      <c r="F269">
        <v>329621362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-0.53878852284803325</v>
      </c>
      <c r="Q269">
        <f t="shared" si="965"/>
        <v>-177596206.73113683</v>
      </c>
      <c r="R269">
        <f t="shared" si="966"/>
        <v>16901351917.595133</v>
      </c>
      <c r="S269">
        <f t="shared" si="967"/>
        <v>169013.51917595134</v>
      </c>
      <c r="T269">
        <f t="shared" si="968"/>
        <v>169.01351917595133</v>
      </c>
    </row>
    <row r="270" spans="1:20" x14ac:dyDescent="0.25">
      <c r="A270" s="5">
        <v>44323</v>
      </c>
      <c r="B270">
        <v>1.5029000000000001E-2</v>
      </c>
      <c r="C270">
        <v>1.7250000000000001E-2</v>
      </c>
      <c r="D270">
        <v>1.4035000000000001E-2</v>
      </c>
      <c r="E270">
        <v>1.5452E-2</v>
      </c>
      <c r="F270">
        <v>895424260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-0.11850699844479037</v>
      </c>
      <c r="Q270">
        <f t="shared" si="965"/>
        <v>-106114041.38724758</v>
      </c>
      <c r="R270">
        <f t="shared" si="966"/>
        <v>17078948124.326269</v>
      </c>
      <c r="S270">
        <f t="shared" si="967"/>
        <v>170789.48124326268</v>
      </c>
      <c r="T270">
        <f t="shared" si="968"/>
        <v>170.78948124326268</v>
      </c>
    </row>
    <row r="271" spans="1:20" x14ac:dyDescent="0.25">
      <c r="A271" s="5">
        <v>44322</v>
      </c>
      <c r="B271">
        <v>1.6021000000000001E-2</v>
      </c>
      <c r="C271">
        <v>1.6021000000000001E-2</v>
      </c>
      <c r="D271">
        <v>1.4564000000000001E-2</v>
      </c>
      <c r="E271">
        <v>1.5014E-2</v>
      </c>
      <c r="F271">
        <v>550719242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-0.38229238160604112</v>
      </c>
      <c r="Q271">
        <f t="shared" si="965"/>
        <v>-210535770.62045372</v>
      </c>
      <c r="R271">
        <f t="shared" si="966"/>
        <v>17185062165.713516</v>
      </c>
      <c r="S271">
        <f t="shared" si="967"/>
        <v>171850.62165713517</v>
      </c>
      <c r="T271">
        <f t="shared" si="968"/>
        <v>171.85062165713518</v>
      </c>
    </row>
    <row r="272" spans="1:20" x14ac:dyDescent="0.25">
      <c r="A272" s="5">
        <v>44321</v>
      </c>
      <c r="B272">
        <v>1.4904000000000001E-2</v>
      </c>
      <c r="C272">
        <v>1.6199000000000002E-2</v>
      </c>
      <c r="D272">
        <v>1.4088E-2</v>
      </c>
      <c r="E272">
        <v>1.6024E-2</v>
      </c>
      <c r="F272">
        <v>892971782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0.83420180009474054</v>
      </c>
      <c r="Q272">
        <f t="shared" si="965"/>
        <v>744918667.97820818</v>
      </c>
      <c r="R272">
        <f t="shared" si="966"/>
        <v>17395597936.333969</v>
      </c>
      <c r="S272">
        <f t="shared" si="967"/>
        <v>173955.97936333969</v>
      </c>
      <c r="T272">
        <f t="shared" si="968"/>
        <v>173.95597936333968</v>
      </c>
    </row>
    <row r="273" spans="1:20" x14ac:dyDescent="0.25">
      <c r="A273" s="5">
        <v>44320</v>
      </c>
      <c r="B273">
        <v>1.7274999999999999E-2</v>
      </c>
      <c r="C273">
        <v>1.7284999999999998E-2</v>
      </c>
      <c r="D273">
        <v>1.4836E-2</v>
      </c>
      <c r="E273">
        <v>1.4888E-2</v>
      </c>
      <c r="F273">
        <v>692954450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-0.95753368721927312</v>
      </c>
      <c r="Q273">
        <f t="shared" si="965"/>
        <v>-663527229.58350348</v>
      </c>
      <c r="R273">
        <f t="shared" si="966"/>
        <v>16650679268.355762</v>
      </c>
      <c r="S273">
        <f t="shared" si="967"/>
        <v>166506.79268355764</v>
      </c>
      <c r="T273">
        <f t="shared" si="968"/>
        <v>166.50679268355765</v>
      </c>
    </row>
    <row r="274" spans="1:20" x14ac:dyDescent="0.25">
      <c r="A274" s="5">
        <v>44319</v>
      </c>
      <c r="B274">
        <v>1.7507000000000002E-2</v>
      </c>
      <c r="C274">
        <v>1.7918E-2</v>
      </c>
      <c r="D274">
        <v>1.7080000000000001E-2</v>
      </c>
      <c r="E274">
        <v>1.7274999999999999E-2</v>
      </c>
      <c r="F274">
        <v>551695212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-0.53460620525060232</v>
      </c>
      <c r="Q274">
        <f t="shared" si="965"/>
        <v>-294939683.74224657</v>
      </c>
      <c r="R274">
        <f t="shared" si="966"/>
        <v>17314206497.939266</v>
      </c>
      <c r="S274">
        <f t="shared" si="967"/>
        <v>173142.06497939266</v>
      </c>
      <c r="T274">
        <f t="shared" si="968"/>
        <v>173.14206497939264</v>
      </c>
    </row>
    <row r="275" spans="1:20" x14ac:dyDescent="0.25">
      <c r="A275" s="5">
        <v>44318</v>
      </c>
      <c r="B275">
        <v>1.6948000000000001E-2</v>
      </c>
      <c r="C275">
        <v>1.797E-2</v>
      </c>
      <c r="D275">
        <v>1.6125E-2</v>
      </c>
      <c r="E275">
        <v>1.7547E-2</v>
      </c>
      <c r="F275">
        <v>774625684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0.54146341463414649</v>
      </c>
      <c r="Q275">
        <f t="shared" si="965"/>
        <v>419431467.92195135</v>
      </c>
      <c r="R275">
        <f t="shared" si="966"/>
        <v>17609146181.681511</v>
      </c>
      <c r="S275">
        <f t="shared" si="967"/>
        <v>176091.46181681511</v>
      </c>
      <c r="T275">
        <f t="shared" si="968"/>
        <v>176.0914618168151</v>
      </c>
    </row>
    <row r="276" spans="1:20" x14ac:dyDescent="0.25">
      <c r="A276" s="5">
        <v>44317</v>
      </c>
      <c r="B276">
        <v>1.7122999999999999E-2</v>
      </c>
      <c r="C276">
        <v>1.7299999999999999E-2</v>
      </c>
      <c r="D276">
        <v>1.6301E-2</v>
      </c>
      <c r="E276">
        <v>1.6948000000000001E-2</v>
      </c>
      <c r="F276">
        <v>357938259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0.29529529529529891</v>
      </c>
      <c r="Q276">
        <f t="shared" si="965"/>
        <v>105697483.88889018</v>
      </c>
      <c r="R276">
        <f t="shared" si="966"/>
        <v>17189714713.75956</v>
      </c>
      <c r="S276">
        <f t="shared" si="967"/>
        <v>171897.1471375956</v>
      </c>
      <c r="T276">
        <f t="shared" si="968"/>
        <v>171.8971471375956</v>
      </c>
    </row>
    <row r="277" spans="1:20" x14ac:dyDescent="0.25">
      <c r="A277" s="5">
        <v>44316</v>
      </c>
      <c r="B277">
        <v>1.6549999999999999E-2</v>
      </c>
      <c r="C277">
        <v>1.7357999999999998E-2</v>
      </c>
      <c r="D277">
        <v>1.6049999999999998E-2</v>
      </c>
      <c r="E277">
        <v>1.7086E-2</v>
      </c>
      <c r="F277">
        <v>411732217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0.58409785932722036</v>
      </c>
      <c r="Q277">
        <f t="shared" si="965"/>
        <v>240491906.56575057</v>
      </c>
      <c r="R277">
        <f t="shared" si="966"/>
        <v>17084017229.87067</v>
      </c>
      <c r="S277">
        <f t="shared" si="967"/>
        <v>170840.17229870669</v>
      </c>
      <c r="T277">
        <f t="shared" si="968"/>
        <v>170.84017229870668</v>
      </c>
    </row>
    <row r="278" spans="1:20" x14ac:dyDescent="0.25">
      <c r="A278" s="5">
        <v>44315</v>
      </c>
      <c r="B278">
        <v>1.7250999999999999E-2</v>
      </c>
      <c r="C278">
        <v>1.7336000000000001E-2</v>
      </c>
      <c r="D278">
        <v>1.5887999999999999E-2</v>
      </c>
      <c r="E278">
        <v>1.6542999999999999E-2</v>
      </c>
      <c r="F278">
        <v>414466176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-9.53038674033167E-2</v>
      </c>
      <c r="Q278">
        <f t="shared" si="965"/>
        <v>-39500229.480663724</v>
      </c>
      <c r="R278">
        <f t="shared" si="966"/>
        <v>16843525323.30492</v>
      </c>
      <c r="S278">
        <f t="shared" si="967"/>
        <v>168435.25323304921</v>
      </c>
      <c r="T278">
        <f t="shared" si="968"/>
        <v>168.43525323304922</v>
      </c>
    </row>
    <row r="279" spans="1:20" x14ac:dyDescent="0.25">
      <c r="A279" s="5">
        <v>44314</v>
      </c>
      <c r="B279">
        <v>1.8381999999999999E-2</v>
      </c>
      <c r="C279">
        <v>1.8516000000000001E-2</v>
      </c>
      <c r="D279">
        <v>1.5604E-2</v>
      </c>
      <c r="E279">
        <v>1.7264999999999999E-2</v>
      </c>
      <c r="F279">
        <v>723409666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0.14079670329670227</v>
      </c>
      <c r="Q279">
        <f t="shared" si="965"/>
        <v>101853696.10576849</v>
      </c>
      <c r="R279">
        <f t="shared" si="966"/>
        <v>16883025552.785583</v>
      </c>
      <c r="S279">
        <f t="shared" si="967"/>
        <v>168830.25552785583</v>
      </c>
      <c r="T279">
        <f t="shared" si="968"/>
        <v>168.83025552785583</v>
      </c>
    </row>
    <row r="280" spans="1:20" x14ac:dyDescent="0.25">
      <c r="A280" s="5">
        <v>44313</v>
      </c>
      <c r="B280">
        <v>1.7059999999999999E-2</v>
      </c>
      <c r="C280">
        <v>1.9463000000000001E-2</v>
      </c>
      <c r="D280">
        <v>1.6761000000000002E-2</v>
      </c>
      <c r="E280">
        <v>1.8381999999999999E-2</v>
      </c>
      <c r="F280">
        <v>782895623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0.19985196150999091</v>
      </c>
      <c r="Q280">
        <f t="shared" si="965"/>
        <v>156463225.91413635</v>
      </c>
      <c r="R280">
        <f t="shared" si="966"/>
        <v>16781171856.679815</v>
      </c>
      <c r="S280">
        <f t="shared" si="967"/>
        <v>167811.71856679814</v>
      </c>
      <c r="T280">
        <f t="shared" si="968"/>
        <v>167.81171856679813</v>
      </c>
    </row>
    <row r="281" spans="1:20" x14ac:dyDescent="0.25">
      <c r="A281" s="5">
        <v>44312</v>
      </c>
      <c r="B281">
        <v>1.4399E-2</v>
      </c>
      <c r="C281">
        <v>1.7167000000000002E-2</v>
      </c>
      <c r="D281">
        <v>1.3871E-2</v>
      </c>
      <c r="E281">
        <v>1.7059999999999999E-2</v>
      </c>
      <c r="F281">
        <v>778236879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0.93507281553397881</v>
      </c>
      <c r="Q281">
        <f t="shared" si="965"/>
        <v>727708149.5989064</v>
      </c>
      <c r="R281">
        <f t="shared" si="966"/>
        <v>16624708630.765678</v>
      </c>
      <c r="S281">
        <f t="shared" si="967"/>
        <v>166247.08630765678</v>
      </c>
      <c r="T281">
        <f t="shared" si="968"/>
        <v>166.24708630765679</v>
      </c>
    </row>
    <row r="282" spans="1:20" x14ac:dyDescent="0.25">
      <c r="A282" s="5">
        <v>44311</v>
      </c>
      <c r="B282">
        <v>1.3455999999999999E-2</v>
      </c>
      <c r="C282">
        <v>1.5998999999999999E-2</v>
      </c>
      <c r="D282">
        <v>1.2454E-2</v>
      </c>
      <c r="E282">
        <v>1.4399E-2</v>
      </c>
      <c r="F282">
        <v>715834014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9.7320169252468711E-2</v>
      </c>
      <c r="Q282">
        <f t="shared" si="965"/>
        <v>69665087.399154052</v>
      </c>
      <c r="R282">
        <f t="shared" si="966"/>
        <v>15897000481.166773</v>
      </c>
      <c r="S282">
        <f t="shared" si="967"/>
        <v>158970.00481166772</v>
      </c>
      <c r="T282">
        <f t="shared" si="968"/>
        <v>158.97000481166771</v>
      </c>
    </row>
    <row r="283" spans="1:20" x14ac:dyDescent="0.25">
      <c r="A283" s="5">
        <v>44310</v>
      </c>
      <c r="B283">
        <v>1.3984E-2</v>
      </c>
      <c r="C283">
        <v>1.4966999999999999E-2</v>
      </c>
      <c r="D283">
        <v>1.265E-2</v>
      </c>
      <c r="E283">
        <v>1.3465E-2</v>
      </c>
      <c r="F283">
        <v>924529145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-0.29650410012947787</v>
      </c>
      <c r="Q283">
        <f t="shared" si="965"/>
        <v>-274126682.18170059</v>
      </c>
      <c r="R283">
        <f t="shared" si="966"/>
        <v>15827335393.767618</v>
      </c>
      <c r="S283">
        <f t="shared" si="967"/>
        <v>158273.35393767618</v>
      </c>
      <c r="T283">
        <f t="shared" si="968"/>
        <v>158.27335393767618</v>
      </c>
    </row>
    <row r="284" spans="1:20" x14ac:dyDescent="0.25">
      <c r="A284" s="5">
        <v>44309</v>
      </c>
      <c r="B284">
        <v>1.4189999999999999E-2</v>
      </c>
      <c r="C284">
        <v>1.4569E-2</v>
      </c>
      <c r="D284">
        <v>9.6930000000000002E-3</v>
      </c>
      <c r="E284">
        <v>1.3974E-2</v>
      </c>
      <c r="F284">
        <v>2170295036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0.75594749794913862</v>
      </c>
      <c r="Q284">
        <f t="shared" si="965"/>
        <v>1640629102.2756357</v>
      </c>
      <c r="R284">
        <f t="shared" si="966"/>
        <v>16101462075.949318</v>
      </c>
      <c r="S284">
        <f t="shared" si="967"/>
        <v>161014.62075949318</v>
      </c>
      <c r="T284">
        <f t="shared" si="968"/>
        <v>161.01462075949317</v>
      </c>
    </row>
    <row r="285" spans="1:20" x14ac:dyDescent="0.25">
      <c r="A285" s="5">
        <v>44308</v>
      </c>
      <c r="B285">
        <v>1.7586000000000001E-2</v>
      </c>
      <c r="C285">
        <v>1.7971999999999998E-2</v>
      </c>
      <c r="D285">
        <v>1.3849999999999999E-2</v>
      </c>
      <c r="E285">
        <v>1.4197E-2</v>
      </c>
      <c r="F285">
        <v>832466794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-0.83163512857835997</v>
      </c>
      <c r="Q285">
        <f t="shared" si="965"/>
        <v>-692308629.26540506</v>
      </c>
      <c r="R285">
        <f t="shared" si="966"/>
        <v>14460832973.673681</v>
      </c>
      <c r="S285">
        <f t="shared" si="967"/>
        <v>144608.32973673681</v>
      </c>
      <c r="T285">
        <f t="shared" si="968"/>
        <v>144.60832973673681</v>
      </c>
    </row>
    <row r="286" spans="1:20" x14ac:dyDescent="0.25">
      <c r="A286" s="5">
        <v>44307</v>
      </c>
      <c r="B286">
        <v>1.7462999999999999E-2</v>
      </c>
      <c r="C286">
        <v>1.95E-2</v>
      </c>
      <c r="D286">
        <v>1.7104999999999999E-2</v>
      </c>
      <c r="E286">
        <v>1.7548999999999999E-2</v>
      </c>
      <c r="F286">
        <v>831170238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-0.62922755741127367</v>
      </c>
      <c r="Q286">
        <f t="shared" si="965"/>
        <v>-522995218.64968699</v>
      </c>
      <c r="R286">
        <f t="shared" si="966"/>
        <v>15153141602.939087</v>
      </c>
      <c r="S286">
        <f t="shared" si="967"/>
        <v>151531.41602939088</v>
      </c>
      <c r="T286">
        <f t="shared" si="968"/>
        <v>151.53141602939087</v>
      </c>
    </row>
    <row r="287" spans="1:20" x14ac:dyDescent="0.25">
      <c r="A287" s="5">
        <v>44306</v>
      </c>
      <c r="B287">
        <v>1.6584999999999999E-2</v>
      </c>
      <c r="C287">
        <v>1.8988999999999999E-2</v>
      </c>
      <c r="D287">
        <v>1.4383E-2</v>
      </c>
      <c r="E287">
        <v>1.7482000000000001E-2</v>
      </c>
      <c r="F287">
        <v>1095786106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0.34563612679114275</v>
      </c>
      <c r="Q287">
        <f t="shared" si="965"/>
        <v>378743265.4693886</v>
      </c>
      <c r="R287">
        <f t="shared" si="966"/>
        <v>15676136821.588774</v>
      </c>
      <c r="S287">
        <f t="shared" si="967"/>
        <v>156761.36821588775</v>
      </c>
      <c r="T287">
        <f t="shared" si="968"/>
        <v>156.76136821588776</v>
      </c>
    </row>
    <row r="288" spans="1:20" x14ac:dyDescent="0.25">
      <c r="A288" s="5">
        <v>44305</v>
      </c>
      <c r="B288">
        <v>1.7947999999999999E-2</v>
      </c>
      <c r="C288">
        <v>1.8478000000000001E-2</v>
      </c>
      <c r="D288">
        <v>1.6022000000000002E-2</v>
      </c>
      <c r="E288">
        <v>1.6625000000000001E-2</v>
      </c>
      <c r="F288">
        <v>615374290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-0.50895765472312748</v>
      </c>
      <c r="Q288">
        <f t="shared" si="965"/>
        <v>-313199455.41530973</v>
      </c>
      <c r="R288">
        <f t="shared" si="966"/>
        <v>15297393556.119385</v>
      </c>
      <c r="S288">
        <f t="shared" si="967"/>
        <v>152973.93556119385</v>
      </c>
      <c r="T288">
        <f t="shared" si="968"/>
        <v>152.97393556119385</v>
      </c>
    </row>
    <row r="289" spans="1:20" x14ac:dyDescent="0.25">
      <c r="A289" s="5">
        <v>44304</v>
      </c>
      <c r="B289">
        <v>2.0910000000000002E-2</v>
      </c>
      <c r="C289">
        <v>2.3696999999999999E-2</v>
      </c>
      <c r="D289">
        <v>1.5626000000000001E-2</v>
      </c>
      <c r="E289">
        <v>1.7947999999999999E-2</v>
      </c>
      <c r="F289">
        <v>1296515013</v>
      </c>
      <c r="G289">
        <v>0</v>
      </c>
      <c r="L289" t="s">
        <v>8</v>
      </c>
      <c r="M289" t="s">
        <v>7</v>
      </c>
      <c r="N289" t="s">
        <v>7</v>
      </c>
      <c r="P289">
        <f t="shared" si="964"/>
        <v>-0.42460661628051094</v>
      </c>
      <c r="Q289">
        <f t="shared" si="965"/>
        <v>-550508852.6268127</v>
      </c>
      <c r="R289">
        <f t="shared" si="966"/>
        <v>15610593011.534695</v>
      </c>
      <c r="S289">
        <f t="shared" si="967"/>
        <v>156105.93011534694</v>
      </c>
      <c r="T289">
        <f t="shared" si="968"/>
        <v>156.10593011534695</v>
      </c>
    </row>
    <row r="290" spans="1:20" x14ac:dyDescent="0.25">
      <c r="A290" s="5">
        <v>44303</v>
      </c>
      <c r="B290">
        <v>1.9118E-2</v>
      </c>
      <c r="C290">
        <v>2.0986999999999999E-2</v>
      </c>
      <c r="D290">
        <v>1.8450000000000001E-2</v>
      </c>
      <c r="E290">
        <v>2.0912E-2</v>
      </c>
      <c r="F290">
        <v>1114114101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0.94087504927079324</v>
      </c>
      <c r="Q290">
        <f t="shared" si="965"/>
        <v>1048242159.6716605</v>
      </c>
      <c r="R290">
        <f t="shared" si="966"/>
        <v>16161101864.161507</v>
      </c>
      <c r="S290">
        <f t="shared" si="967"/>
        <v>161611.01864161505</v>
      </c>
      <c r="T290">
        <f t="shared" si="968"/>
        <v>161.61101864161506</v>
      </c>
    </row>
    <row r="291" spans="1:20" x14ac:dyDescent="0.25">
      <c r="A291" s="5">
        <v>44302</v>
      </c>
      <c r="B291">
        <v>2.1312999999999999E-2</v>
      </c>
      <c r="C291">
        <v>2.1350999999999998E-2</v>
      </c>
      <c r="D291">
        <v>1.8311999999999998E-2</v>
      </c>
      <c r="E291">
        <v>1.9087E-2</v>
      </c>
      <c r="F291">
        <v>1078079461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-0.48996380388285532</v>
      </c>
      <c r="Q291">
        <f t="shared" si="965"/>
        <v>-528219913.59953839</v>
      </c>
      <c r="R291">
        <f t="shared" si="966"/>
        <v>15112859704.489845</v>
      </c>
      <c r="S291">
        <f t="shared" si="967"/>
        <v>151128.59704489846</v>
      </c>
      <c r="T291">
        <f t="shared" si="968"/>
        <v>151.12859704489847</v>
      </c>
    </row>
    <row r="292" spans="1:20" x14ac:dyDescent="0.25">
      <c r="A292" s="5">
        <v>44301</v>
      </c>
      <c r="B292">
        <v>1.9827999999999998E-2</v>
      </c>
      <c r="C292">
        <v>2.2688E-2</v>
      </c>
      <c r="D292">
        <v>1.9809E-2</v>
      </c>
      <c r="E292">
        <v>2.1312999999999999E-2</v>
      </c>
      <c r="F292">
        <v>933095909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4.480722473080833E-2</v>
      </c>
      <c r="Q292">
        <f t="shared" si="965"/>
        <v>41809438.089960881</v>
      </c>
      <c r="R292">
        <f t="shared" si="966"/>
        <v>15641079618.089384</v>
      </c>
      <c r="S292">
        <f t="shared" si="967"/>
        <v>156410.79618089384</v>
      </c>
      <c r="T292">
        <f t="shared" si="968"/>
        <v>156.41079618089384</v>
      </c>
    </row>
    <row r="293" spans="1:20" x14ac:dyDescent="0.25">
      <c r="A293" s="5">
        <v>44300</v>
      </c>
      <c r="B293">
        <v>2.2100000000000002E-2</v>
      </c>
      <c r="C293">
        <v>2.2259000000000001E-2</v>
      </c>
      <c r="D293">
        <v>1.8904000000000001E-2</v>
      </c>
      <c r="E293">
        <v>1.9878E-2</v>
      </c>
      <c r="F293">
        <v>990699506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-0.41937406855439696</v>
      </c>
      <c r="Q293">
        <f t="shared" si="965"/>
        <v>-415473682.5460512</v>
      </c>
      <c r="R293">
        <f t="shared" si="966"/>
        <v>15599270179.999424</v>
      </c>
      <c r="S293">
        <f t="shared" si="967"/>
        <v>155992.70179999425</v>
      </c>
      <c r="T293">
        <f t="shared" si="968"/>
        <v>155.99270179999425</v>
      </c>
    </row>
    <row r="294" spans="1:20" x14ac:dyDescent="0.25">
      <c r="A294" s="5">
        <v>44299</v>
      </c>
      <c r="B294">
        <v>2.2138999999999999E-2</v>
      </c>
      <c r="C294">
        <v>2.35E-2</v>
      </c>
      <c r="D294">
        <v>2.1006E-2</v>
      </c>
      <c r="E294">
        <v>2.2121999999999999E-2</v>
      </c>
      <c r="F294">
        <v>624647323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-0.10505212510024131</v>
      </c>
      <c r="Q294">
        <f t="shared" si="965"/>
        <v>-65620528.719326839</v>
      </c>
      <c r="R294">
        <f t="shared" si="966"/>
        <v>16014743862.545475</v>
      </c>
      <c r="S294">
        <f t="shared" si="967"/>
        <v>160147.43862545476</v>
      </c>
      <c r="T294">
        <f t="shared" si="968"/>
        <v>160.14743862545475</v>
      </c>
    </row>
    <row r="295" spans="1:20" x14ac:dyDescent="0.25">
      <c r="A295" s="5">
        <v>44298</v>
      </c>
      <c r="B295">
        <v>2.2970999999999998E-2</v>
      </c>
      <c r="C295">
        <v>2.3258000000000001E-2</v>
      </c>
      <c r="D295">
        <v>2.12E-2</v>
      </c>
      <c r="E295">
        <v>2.2092000000000001E-2</v>
      </c>
      <c r="F295">
        <v>544721246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-0.13313896987366367</v>
      </c>
      <c r="Q295">
        <f t="shared" si="965"/>
        <v>-72523625.560738534</v>
      </c>
      <c r="R295">
        <f t="shared" si="966"/>
        <v>16080364391.264801</v>
      </c>
      <c r="S295">
        <f t="shared" si="967"/>
        <v>160803.643912648</v>
      </c>
      <c r="T295">
        <f t="shared" si="968"/>
        <v>160.803643912648</v>
      </c>
    </row>
    <row r="296" spans="1:20" x14ac:dyDescent="0.25">
      <c r="A296" s="5">
        <v>44297</v>
      </c>
      <c r="B296">
        <v>2.3939999999999999E-2</v>
      </c>
      <c r="C296">
        <v>2.401E-2</v>
      </c>
      <c r="D296">
        <v>2.0199999999999999E-2</v>
      </c>
      <c r="E296">
        <v>2.2956000000000001E-2</v>
      </c>
      <c r="F296">
        <v>964957741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0.44671916010498736</v>
      </c>
      <c r="Q296">
        <f t="shared" si="965"/>
        <v>431065111.59632593</v>
      </c>
      <c r="R296">
        <f t="shared" si="966"/>
        <v>16152888016.825539</v>
      </c>
      <c r="S296">
        <f t="shared" si="967"/>
        <v>161528.88016825539</v>
      </c>
      <c r="T296">
        <f t="shared" si="968"/>
        <v>161.5288801682554</v>
      </c>
    </row>
    <row r="297" spans="1:20" x14ac:dyDescent="0.25">
      <c r="A297" s="5">
        <v>44296</v>
      </c>
      <c r="B297">
        <v>2.5849E-2</v>
      </c>
      <c r="C297">
        <v>2.5899999999999999E-2</v>
      </c>
      <c r="D297">
        <v>2.2661000000000001E-2</v>
      </c>
      <c r="E297">
        <v>2.3945999999999999E-2</v>
      </c>
      <c r="F297">
        <v>809219975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-0.20654523000926309</v>
      </c>
      <c r="Q297">
        <f t="shared" si="965"/>
        <v>-167140525.86446512</v>
      </c>
      <c r="R297">
        <f t="shared" si="966"/>
        <v>15721822905.229212</v>
      </c>
      <c r="S297">
        <f t="shared" si="967"/>
        <v>157218.22905229212</v>
      </c>
      <c r="T297">
        <f t="shared" si="968"/>
        <v>157.21822905229212</v>
      </c>
    </row>
    <row r="298" spans="1:20" x14ac:dyDescent="0.25">
      <c r="A298" s="5">
        <v>44295</v>
      </c>
      <c r="B298">
        <v>2.5089E-2</v>
      </c>
      <c r="C298">
        <v>2.7E-2</v>
      </c>
      <c r="D298">
        <v>2.3793999999999999E-2</v>
      </c>
      <c r="E298">
        <v>2.5849E-2</v>
      </c>
      <c r="F298">
        <v>1681881626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0.2819713038053655</v>
      </c>
      <c r="Q298">
        <f t="shared" si="965"/>
        <v>474242354.92950809</v>
      </c>
      <c r="R298">
        <f t="shared" si="966"/>
        <v>15888963431.093678</v>
      </c>
      <c r="S298">
        <f t="shared" si="967"/>
        <v>158889.63431093679</v>
      </c>
      <c r="T298">
        <f t="shared" si="968"/>
        <v>158.8896343109368</v>
      </c>
    </row>
    <row r="299" spans="1:20" x14ac:dyDescent="0.25">
      <c r="A299" s="5">
        <v>44294</v>
      </c>
      <c r="B299">
        <v>1.9217999999999999E-2</v>
      </c>
      <c r="C299">
        <v>2.5874000000000001E-2</v>
      </c>
      <c r="D299">
        <v>1.9196999999999999E-2</v>
      </c>
      <c r="E299">
        <v>2.5090000000000001E-2</v>
      </c>
      <c r="F299">
        <v>2623311558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0.76516399580649996</v>
      </c>
      <c r="Q299">
        <f t="shared" si="965"/>
        <v>2007263553.9646549</v>
      </c>
      <c r="R299">
        <f t="shared" si="966"/>
        <v>15414721076.164169</v>
      </c>
      <c r="S299">
        <f t="shared" si="967"/>
        <v>154147.21076164171</v>
      </c>
      <c r="T299">
        <f t="shared" si="968"/>
        <v>154.1472107616417</v>
      </c>
    </row>
    <row r="300" spans="1:20" x14ac:dyDescent="0.25">
      <c r="A300" s="5">
        <v>44293</v>
      </c>
      <c r="B300">
        <v>2.5359E-2</v>
      </c>
      <c r="C300">
        <v>2.5392999999999999E-2</v>
      </c>
      <c r="D300">
        <v>1.7184999999999999E-2</v>
      </c>
      <c r="E300">
        <v>1.9199999999999998E-2</v>
      </c>
      <c r="F300">
        <v>2550919563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-0.50901559454191048</v>
      </c>
      <c r="Q300">
        <f t="shared" si="965"/>
        <v>-1298457837.9890354</v>
      </c>
      <c r="R300">
        <f t="shared" si="966"/>
        <v>13407457522.199514</v>
      </c>
      <c r="S300">
        <f t="shared" si="967"/>
        <v>134074.57522199515</v>
      </c>
      <c r="T300">
        <f t="shared" si="968"/>
        <v>134.07457522199516</v>
      </c>
    </row>
    <row r="301" spans="1:20" x14ac:dyDescent="0.25">
      <c r="A301" s="5">
        <v>44292</v>
      </c>
      <c r="B301">
        <v>2.7088000000000001E-2</v>
      </c>
      <c r="C301">
        <v>2.9000000000000001E-2</v>
      </c>
      <c r="D301">
        <v>2.2218999999999999E-2</v>
      </c>
      <c r="E301">
        <v>2.5232000000000001E-2</v>
      </c>
      <c r="F301">
        <v>2132215343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-0.11134051024922555</v>
      </c>
      <c r="Q301">
        <f t="shared" si="965"/>
        <v>-237401944.25084746</v>
      </c>
      <c r="R301">
        <f t="shared" si="966"/>
        <v>14705915360.188549</v>
      </c>
      <c r="S301">
        <f t="shared" si="967"/>
        <v>147059.15360188548</v>
      </c>
      <c r="T301">
        <f t="shared" si="968"/>
        <v>147.05915360188547</v>
      </c>
    </row>
    <row r="302" spans="1:20" x14ac:dyDescent="0.25">
      <c r="A302" s="5">
        <v>44291</v>
      </c>
      <c r="B302">
        <v>3.1819E-2</v>
      </c>
      <c r="C302">
        <v>3.3125000000000002E-2</v>
      </c>
      <c r="D302">
        <v>2.6651000000000001E-2</v>
      </c>
      <c r="E302">
        <v>2.7097E-2</v>
      </c>
      <c r="F302">
        <v>1287721349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-0.86221810318195913</v>
      </c>
      <c r="Q302">
        <f t="shared" si="965"/>
        <v>-1110296658.9616935</v>
      </c>
      <c r="R302">
        <f t="shared" si="966"/>
        <v>14943317304.439396</v>
      </c>
      <c r="S302">
        <f t="shared" si="967"/>
        <v>149433.17304439395</v>
      </c>
      <c r="T302">
        <f t="shared" si="968"/>
        <v>149.43317304439395</v>
      </c>
    </row>
    <row r="303" spans="1:20" x14ac:dyDescent="0.25">
      <c r="A303" s="5">
        <v>44290</v>
      </c>
      <c r="B303">
        <v>2.8884E-2</v>
      </c>
      <c r="C303">
        <v>3.2680000000000001E-2</v>
      </c>
      <c r="D303">
        <v>2.8802000000000001E-2</v>
      </c>
      <c r="E303">
        <v>3.1819E-2</v>
      </c>
      <c r="F303">
        <v>1111349555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0.55595667870036058</v>
      </c>
      <c r="Q303">
        <f t="shared" si="965"/>
        <v>617862207.47292376</v>
      </c>
      <c r="R303">
        <f t="shared" si="966"/>
        <v>16053613963.401089</v>
      </c>
      <c r="S303">
        <f t="shared" si="967"/>
        <v>160536.13963401088</v>
      </c>
      <c r="T303">
        <f t="shared" si="968"/>
        <v>160.53613963401088</v>
      </c>
    </row>
    <row r="304" spans="1:20" x14ac:dyDescent="0.25">
      <c r="A304" s="5">
        <v>44289</v>
      </c>
      <c r="B304">
        <v>3.4764999999999997E-2</v>
      </c>
      <c r="C304">
        <v>3.4764999999999997E-2</v>
      </c>
      <c r="D304">
        <v>2.7747999999999998E-2</v>
      </c>
      <c r="E304">
        <v>2.8886999999999999E-2</v>
      </c>
      <c r="F304">
        <v>1398793203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-0.67535984038762964</v>
      </c>
      <c r="Q304">
        <f t="shared" si="965"/>
        <v>-944688754.3133812</v>
      </c>
      <c r="R304">
        <f t="shared" si="966"/>
        <v>15435751755.928165</v>
      </c>
      <c r="S304">
        <f t="shared" si="967"/>
        <v>154357.51755928167</v>
      </c>
      <c r="T304">
        <f t="shared" si="968"/>
        <v>154.35751755928166</v>
      </c>
    </row>
    <row r="305" spans="1:20" x14ac:dyDescent="0.25">
      <c r="A305" s="5">
        <v>44288</v>
      </c>
      <c r="B305">
        <v>3.0214000000000001E-2</v>
      </c>
      <c r="C305">
        <v>4.3380000000000002E-2</v>
      </c>
      <c r="D305">
        <v>3.0180999999999999E-2</v>
      </c>
      <c r="E305">
        <v>3.4701000000000003E-2</v>
      </c>
      <c r="F305">
        <v>4221985479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-0.31509962875975417</v>
      </c>
      <c r="Q305">
        <f t="shared" si="965"/>
        <v>-1330346057.0619729</v>
      </c>
      <c r="R305">
        <f t="shared" si="966"/>
        <v>16380440510.241547</v>
      </c>
      <c r="S305">
        <f t="shared" si="967"/>
        <v>163804.40510241548</v>
      </c>
      <c r="T305">
        <f t="shared" si="968"/>
        <v>163.80440510241547</v>
      </c>
    </row>
    <row r="306" spans="1:20" x14ac:dyDescent="0.25">
      <c r="A306" s="5">
        <v>44287</v>
      </c>
      <c r="B306">
        <v>2.2057E-2</v>
      </c>
      <c r="C306">
        <v>3.1E-2</v>
      </c>
      <c r="D306">
        <v>2.1478000000000001E-2</v>
      </c>
      <c r="E306">
        <v>3.0214000000000001E-2</v>
      </c>
      <c r="F306">
        <v>2180246849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0.83490863264020199</v>
      </c>
      <c r="Q306">
        <f t="shared" si="965"/>
        <v>1820306915.5166988</v>
      </c>
      <c r="R306">
        <f t="shared" si="966"/>
        <v>17710786567.30352</v>
      </c>
      <c r="S306">
        <f t="shared" si="967"/>
        <v>177107.86567303521</v>
      </c>
      <c r="T306">
        <f t="shared" si="968"/>
        <v>177.10786567303521</v>
      </c>
    </row>
    <row r="307" spans="1:20" x14ac:dyDescent="0.25">
      <c r="A307" s="5">
        <v>44286</v>
      </c>
      <c r="B307">
        <v>2.0368000000000001E-2</v>
      </c>
      <c r="C307">
        <v>2.2998999999999999E-2</v>
      </c>
      <c r="D307">
        <v>1.9532000000000001E-2</v>
      </c>
      <c r="E307">
        <v>2.2085E-2</v>
      </c>
      <c r="F307">
        <v>962568409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0.47274300548024301</v>
      </c>
      <c r="Q307">
        <f t="shared" si="965"/>
        <v>455047482.65099579</v>
      </c>
      <c r="R307">
        <f t="shared" si="966"/>
        <v>15890479651.786823</v>
      </c>
      <c r="S307">
        <f t="shared" si="967"/>
        <v>158904.79651786824</v>
      </c>
      <c r="T307">
        <f t="shared" si="968"/>
        <v>158.90479651786825</v>
      </c>
    </row>
    <row r="308" spans="1:20" x14ac:dyDescent="0.25">
      <c r="A308" s="5">
        <v>44285</v>
      </c>
      <c r="B308">
        <v>1.9262000000000001E-2</v>
      </c>
      <c r="C308">
        <v>2.0791E-2</v>
      </c>
      <c r="D308">
        <v>1.9073E-2</v>
      </c>
      <c r="E308">
        <v>2.0365999999999999E-2</v>
      </c>
      <c r="F308">
        <v>509725165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0.50523864959254761</v>
      </c>
      <c r="Q308">
        <f t="shared" si="965"/>
        <v>257532854.02793851</v>
      </c>
      <c r="R308">
        <f t="shared" si="966"/>
        <v>15435432169.135828</v>
      </c>
      <c r="S308">
        <f t="shared" si="967"/>
        <v>154354.32169135829</v>
      </c>
      <c r="T308">
        <f t="shared" si="968"/>
        <v>154.35432169135828</v>
      </c>
    </row>
    <row r="309" spans="1:20" x14ac:dyDescent="0.25">
      <c r="A309" s="5">
        <v>44284</v>
      </c>
      <c r="B309">
        <v>1.8832000000000002E-2</v>
      </c>
      <c r="C309">
        <v>2.0500000000000001E-2</v>
      </c>
      <c r="D309">
        <v>1.8641999999999999E-2</v>
      </c>
      <c r="E309">
        <v>1.9262000000000001E-2</v>
      </c>
      <c r="F309">
        <v>518765478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-0.33261571582346411</v>
      </c>
      <c r="Q309">
        <f t="shared" si="965"/>
        <v>-172549550.80947152</v>
      </c>
      <c r="R309">
        <f t="shared" si="966"/>
        <v>15177899315.107889</v>
      </c>
      <c r="S309">
        <f t="shared" si="967"/>
        <v>151778.9931510789</v>
      </c>
      <c r="T309">
        <f t="shared" si="968"/>
        <v>151.77899315107891</v>
      </c>
    </row>
    <row r="310" spans="1:20" x14ac:dyDescent="0.25">
      <c r="A310" s="5">
        <v>44283</v>
      </c>
      <c r="B310">
        <v>1.9285E-2</v>
      </c>
      <c r="C310">
        <v>1.9373000000000001E-2</v>
      </c>
      <c r="D310">
        <v>1.8314E-2</v>
      </c>
      <c r="E310">
        <v>1.883E-2</v>
      </c>
      <c r="F310">
        <v>365041661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-2.549575070821784E-2</v>
      </c>
      <c r="Q310">
        <f t="shared" si="965"/>
        <v>-9307011.1869697664</v>
      </c>
      <c r="R310">
        <f t="shared" si="966"/>
        <v>15350448865.91736</v>
      </c>
      <c r="S310">
        <f t="shared" si="967"/>
        <v>153504.4886591736</v>
      </c>
      <c r="T310">
        <f t="shared" si="968"/>
        <v>153.5044886591736</v>
      </c>
    </row>
    <row r="311" spans="1:20" x14ac:dyDescent="0.25">
      <c r="A311" s="5">
        <v>44282</v>
      </c>
      <c r="B311">
        <v>1.9522000000000001E-2</v>
      </c>
      <c r="C311">
        <v>1.9636000000000001E-2</v>
      </c>
      <c r="D311">
        <v>1.8234E-2</v>
      </c>
      <c r="E311">
        <v>1.9348000000000001E-2</v>
      </c>
      <c r="F311">
        <v>576465914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0.58915834522111277</v>
      </c>
      <c r="Q311">
        <f t="shared" si="965"/>
        <v>339629703.96861631</v>
      </c>
      <c r="R311">
        <f t="shared" si="966"/>
        <v>15359755877.10433</v>
      </c>
      <c r="S311">
        <f t="shared" si="967"/>
        <v>153597.55877104329</v>
      </c>
      <c r="T311">
        <f t="shared" si="968"/>
        <v>153.59755877104328</v>
      </c>
    </row>
    <row r="312" spans="1:20" x14ac:dyDescent="0.25">
      <c r="A312" s="5">
        <v>44281</v>
      </c>
      <c r="B312">
        <v>1.8342000000000001E-2</v>
      </c>
      <c r="C312">
        <v>1.9570000000000001E-2</v>
      </c>
      <c r="D312">
        <v>1.7741E-2</v>
      </c>
      <c r="E312">
        <v>1.95E-2</v>
      </c>
      <c r="F312">
        <v>399291382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0.92345544013121861</v>
      </c>
      <c r="Q312">
        <f t="shared" si="965"/>
        <v>368727798.90541255</v>
      </c>
      <c r="R312">
        <f t="shared" si="966"/>
        <v>15020126173.135714</v>
      </c>
      <c r="S312">
        <f t="shared" si="967"/>
        <v>150201.26173135714</v>
      </c>
      <c r="T312">
        <f t="shared" si="968"/>
        <v>150.20126173135714</v>
      </c>
    </row>
    <row r="313" spans="1:20" x14ac:dyDescent="0.25">
      <c r="A313" s="5">
        <v>44280</v>
      </c>
      <c r="B313">
        <v>1.7638999999999998E-2</v>
      </c>
      <c r="C313">
        <v>1.8584E-2</v>
      </c>
      <c r="D313">
        <v>1.6542000000000001E-2</v>
      </c>
      <c r="E313">
        <v>1.8343000000000002E-2</v>
      </c>
      <c r="F313">
        <v>500348846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0.76395690499510449</v>
      </c>
      <c r="Q313">
        <f t="shared" si="965"/>
        <v>382244955.80803216</v>
      </c>
      <c r="R313">
        <f t="shared" si="966"/>
        <v>14651398374.230301</v>
      </c>
      <c r="S313">
        <f t="shared" si="967"/>
        <v>146513.98374230301</v>
      </c>
      <c r="T313">
        <f t="shared" si="968"/>
        <v>146.513983742303</v>
      </c>
    </row>
    <row r="314" spans="1:20" x14ac:dyDescent="0.25">
      <c r="A314" s="5">
        <v>44279</v>
      </c>
      <c r="B314">
        <v>1.9598000000000001E-2</v>
      </c>
      <c r="C314">
        <v>2.1482000000000001E-2</v>
      </c>
      <c r="D314">
        <v>1.6945999999999999E-2</v>
      </c>
      <c r="E314">
        <v>1.7618000000000002E-2</v>
      </c>
      <c r="F314">
        <v>985420926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-0.70370370370370272</v>
      </c>
      <c r="Q314">
        <f t="shared" si="965"/>
        <v>-693444355.33333242</v>
      </c>
      <c r="R314">
        <f t="shared" si="966"/>
        <v>14269153418.422268</v>
      </c>
      <c r="S314">
        <f t="shared" si="967"/>
        <v>142691.53418422269</v>
      </c>
      <c r="T314">
        <f t="shared" si="968"/>
        <v>142.69153418422269</v>
      </c>
    </row>
    <row r="315" spans="1:20" x14ac:dyDescent="0.25">
      <c r="A315" s="5">
        <v>44278</v>
      </c>
      <c r="B315">
        <v>2.1083000000000001E-2</v>
      </c>
      <c r="C315">
        <v>2.2325999999999999E-2</v>
      </c>
      <c r="D315">
        <v>1.6487000000000002E-2</v>
      </c>
      <c r="E315">
        <v>1.9689000000000002E-2</v>
      </c>
      <c r="F315">
        <v>1599831939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9.6763144374037213E-2</v>
      </c>
      <c r="Q315">
        <f t="shared" si="965"/>
        <v>154804768.8876529</v>
      </c>
      <c r="R315">
        <f t="shared" si="966"/>
        <v>14962597773.7556</v>
      </c>
      <c r="S315">
        <f t="shared" si="967"/>
        <v>149625.97773755601</v>
      </c>
      <c r="T315">
        <f t="shared" si="968"/>
        <v>149.62597773755601</v>
      </c>
    </row>
    <row r="316" spans="1:20" x14ac:dyDescent="0.25">
      <c r="A316" s="5">
        <v>44277</v>
      </c>
      <c r="B316">
        <v>2.4861000000000001E-2</v>
      </c>
      <c r="C316">
        <v>2.5122999999999999E-2</v>
      </c>
      <c r="D316">
        <v>1.975E-2</v>
      </c>
      <c r="E316">
        <v>2.1070999999999999E-2</v>
      </c>
      <c r="F316">
        <v>891326462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-0.50828215149823208</v>
      </c>
      <c r="Q316">
        <f t="shared" si="965"/>
        <v>-453045331.79266721</v>
      </c>
      <c r="R316">
        <f t="shared" si="966"/>
        <v>14807793004.867947</v>
      </c>
      <c r="S316">
        <f t="shared" si="967"/>
        <v>148077.93004867947</v>
      </c>
      <c r="T316">
        <f t="shared" si="968"/>
        <v>148.07793004867946</v>
      </c>
    </row>
    <row r="317" spans="1:20" x14ac:dyDescent="0.25">
      <c r="A317" s="5">
        <v>44276</v>
      </c>
      <c r="B317">
        <v>2.0934999999999999E-2</v>
      </c>
      <c r="C317">
        <v>2.598E-2</v>
      </c>
      <c r="D317">
        <v>2.0851999999999999E-2</v>
      </c>
      <c r="E317">
        <v>2.487E-2</v>
      </c>
      <c r="F317">
        <v>1351907550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0.56708268330733236</v>
      </c>
      <c r="Q317">
        <f t="shared" si="965"/>
        <v>766643361.03744161</v>
      </c>
      <c r="R317">
        <f t="shared" si="966"/>
        <v>15260838336.660614</v>
      </c>
      <c r="S317">
        <f t="shared" si="967"/>
        <v>152608.38336660614</v>
      </c>
      <c r="T317">
        <f t="shared" si="968"/>
        <v>152.60838336660615</v>
      </c>
    </row>
    <row r="318" spans="1:20" x14ac:dyDescent="0.25">
      <c r="A318" s="5">
        <v>44275</v>
      </c>
      <c r="B318">
        <v>2.2058999999999999E-2</v>
      </c>
      <c r="C318">
        <v>2.7463000000000001E-2</v>
      </c>
      <c r="D318">
        <v>2.0296000000000002E-2</v>
      </c>
      <c r="E318">
        <v>2.0999E-2</v>
      </c>
      <c r="F318">
        <v>3063204191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-0.80382307799637265</v>
      </c>
      <c r="Q318">
        <f t="shared" si="965"/>
        <v>-2462274221.3410087</v>
      </c>
      <c r="R318">
        <f t="shared" si="966"/>
        <v>14494194975.623173</v>
      </c>
      <c r="S318">
        <f t="shared" si="967"/>
        <v>144941.94975623174</v>
      </c>
      <c r="T318">
        <f t="shared" si="968"/>
        <v>144.94194975623174</v>
      </c>
    </row>
    <row r="319" spans="1:20" x14ac:dyDescent="0.25">
      <c r="A319" s="5">
        <v>44274</v>
      </c>
      <c r="B319">
        <v>1.7930999999999999E-2</v>
      </c>
      <c r="C319">
        <v>2.5999999999999999E-2</v>
      </c>
      <c r="D319">
        <v>1.7867000000000001E-2</v>
      </c>
      <c r="E319">
        <v>2.1961999999999999E-2</v>
      </c>
      <c r="F319">
        <v>5085449684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7.0084839542601798E-3</v>
      </c>
      <c r="Q319">
        <f t="shared" si="965"/>
        <v>35641292.510511503</v>
      </c>
      <c r="R319">
        <f t="shared" si="966"/>
        <v>16956469196.964182</v>
      </c>
      <c r="S319">
        <f t="shared" si="967"/>
        <v>169564.6919696418</v>
      </c>
      <c r="T319">
        <f t="shared" si="968"/>
        <v>169.56469196964181</v>
      </c>
    </row>
    <row r="320" spans="1:20" x14ac:dyDescent="0.25">
      <c r="A320" s="5">
        <v>44273</v>
      </c>
      <c r="B320">
        <v>1.3644E-2</v>
      </c>
      <c r="C320">
        <v>2.0128E-2</v>
      </c>
      <c r="D320">
        <v>1.2572E-2</v>
      </c>
      <c r="E320">
        <v>1.7958999999999999E-2</v>
      </c>
      <c r="F320">
        <v>4410533707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0.4258867125463206</v>
      </c>
      <c r="Q320">
        <f t="shared" si="965"/>
        <v>1878387701.0489669</v>
      </c>
      <c r="R320">
        <f t="shared" si="966"/>
        <v>16920827904.453671</v>
      </c>
      <c r="S320">
        <f t="shared" si="967"/>
        <v>169208.2790445367</v>
      </c>
      <c r="T320">
        <f t="shared" si="968"/>
        <v>169.20827904453671</v>
      </c>
    </row>
    <row r="321" spans="1:20" x14ac:dyDescent="0.25">
      <c r="A321" s="5">
        <v>44272</v>
      </c>
      <c r="B321">
        <v>1.436E-2</v>
      </c>
      <c r="C321">
        <v>1.4426E-2</v>
      </c>
      <c r="D321">
        <v>1.115E-2</v>
      </c>
      <c r="E321">
        <v>1.3690000000000001E-2</v>
      </c>
      <c r="F321">
        <v>1219245978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0.55067155067155127</v>
      </c>
      <c r="Q321">
        <f t="shared" si="965"/>
        <v>671404073.35531211</v>
      </c>
      <c r="R321">
        <f t="shared" si="966"/>
        <v>15042440203.404703</v>
      </c>
      <c r="S321">
        <f t="shared" si="967"/>
        <v>150424.40203404703</v>
      </c>
      <c r="T321">
        <f t="shared" si="968"/>
        <v>150.42440203404703</v>
      </c>
    </row>
    <row r="322" spans="1:20" x14ac:dyDescent="0.25">
      <c r="A322" s="5">
        <v>44271</v>
      </c>
      <c r="B322">
        <v>1.1668E-2</v>
      </c>
      <c r="C322">
        <v>1.4427000000000001E-2</v>
      </c>
      <c r="D322">
        <v>1.1299999999999999E-2</v>
      </c>
      <c r="E322">
        <v>1.4423999999999999E-2</v>
      </c>
      <c r="F322">
        <v>2299942246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0.99808122801407018</v>
      </c>
      <c r="Q322">
        <f t="shared" si="965"/>
        <v>2295529181.2491188</v>
      </c>
      <c r="R322">
        <f t="shared" si="966"/>
        <v>14371036130.049391</v>
      </c>
      <c r="S322">
        <f t="shared" si="967"/>
        <v>143710.36130049391</v>
      </c>
      <c r="T322">
        <f t="shared" si="968"/>
        <v>143.7103613004939</v>
      </c>
    </row>
    <row r="323" spans="1:20" x14ac:dyDescent="0.25">
      <c r="A323" s="5">
        <v>44270</v>
      </c>
      <c r="B323">
        <v>1.2411E-2</v>
      </c>
      <c r="C323">
        <v>1.2718E-2</v>
      </c>
      <c r="D323">
        <v>1.0000999999999999E-2</v>
      </c>
      <c r="E323">
        <v>1.1665999999999999E-2</v>
      </c>
      <c r="F323">
        <v>1422626494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0.22561648877438306</v>
      </c>
      <c r="Q323">
        <f t="shared" si="965"/>
        <v>320967994.41369092</v>
      </c>
      <c r="R323">
        <f t="shared" si="966"/>
        <v>12075506948.800272</v>
      </c>
      <c r="S323">
        <f t="shared" si="967"/>
        <v>120755.06948800271</v>
      </c>
      <c r="T323">
        <f t="shared" si="968"/>
        <v>120.75506948800272</v>
      </c>
    </row>
    <row r="324" spans="1:20" x14ac:dyDescent="0.25">
      <c r="A324" s="5">
        <v>44269</v>
      </c>
      <c r="B324">
        <v>1.3995E-2</v>
      </c>
      <c r="C324">
        <v>1.5100000000000001E-2</v>
      </c>
      <c r="D324">
        <v>1.1357000000000001E-2</v>
      </c>
      <c r="E324">
        <v>1.2409999999999999E-2</v>
      </c>
      <c r="F324">
        <v>3536813641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-0.4373497194763567</v>
      </c>
      <c r="Q324">
        <f t="shared" si="965"/>
        <v>-1546824453.7315018</v>
      </c>
      <c r="R324">
        <f t="shared" si="966"/>
        <v>11754538954.386581</v>
      </c>
      <c r="S324">
        <f t="shared" si="967"/>
        <v>117545.38954386581</v>
      </c>
      <c r="T324">
        <f t="shared" si="968"/>
        <v>117.54538954386581</v>
      </c>
    </row>
    <row r="325" spans="1:20" x14ac:dyDescent="0.25">
      <c r="A325" s="5">
        <v>44268</v>
      </c>
      <c r="B325">
        <v>5.5989999999999998E-3</v>
      </c>
      <c r="C325">
        <v>1.7611999999999999E-2</v>
      </c>
      <c r="D325">
        <v>5.5570000000000003E-3</v>
      </c>
      <c r="E325">
        <v>1.3996E-2</v>
      </c>
      <c r="F325">
        <v>25570627620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0.40008295313148068</v>
      </c>
      <c r="Q325">
        <f t="shared" si="965"/>
        <v>10230372211.635006</v>
      </c>
      <c r="R325">
        <f t="shared" si="966"/>
        <v>13301363408.118084</v>
      </c>
      <c r="S325">
        <f t="shared" si="967"/>
        <v>133013.63408118085</v>
      </c>
      <c r="T325">
        <f t="shared" si="968"/>
        <v>133.01363408118084</v>
      </c>
    </row>
    <row r="326" spans="1:20" x14ac:dyDescent="0.25">
      <c r="A326" s="5">
        <v>44267</v>
      </c>
      <c r="B326">
        <v>5.0270000000000002E-3</v>
      </c>
      <c r="C326">
        <v>6.1000000000000004E-3</v>
      </c>
      <c r="D326">
        <v>4.777E-3</v>
      </c>
      <c r="E326">
        <v>5.6049999999999997E-3</v>
      </c>
      <c r="F326">
        <v>1230499355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0.25170068027210807</v>
      </c>
      <c r="Q326">
        <f t="shared" ref="Q326:Q389" si="970">F326*P326</f>
        <v>309717524.72789019</v>
      </c>
      <c r="R326">
        <f t="shared" ref="R326:R389" si="971">R327+Q326</f>
        <v>3070991196.483079</v>
      </c>
      <c r="S326">
        <f t="shared" ref="S326:S389" si="972">R326/100000</f>
        <v>30709.91196483079</v>
      </c>
      <c r="T326">
        <f t="shared" ref="T326:T389" si="973">S326/1000</f>
        <v>30.709911964830791</v>
      </c>
    </row>
    <row r="327" spans="1:20" x14ac:dyDescent="0.25">
      <c r="A327" s="5">
        <v>44266</v>
      </c>
      <c r="B327">
        <v>4.8669999999999998E-3</v>
      </c>
      <c r="C327">
        <v>5.169E-3</v>
      </c>
      <c r="D327">
        <v>4.6239999999999996E-3</v>
      </c>
      <c r="E327">
        <v>5.0210000000000003E-3</v>
      </c>
      <c r="F327">
        <v>1016698702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0.4568807339449556</v>
      </c>
      <c r="Q327">
        <f t="shared" si="970"/>
        <v>464510049.17064369</v>
      </c>
      <c r="R327">
        <f t="shared" si="971"/>
        <v>2761273671.7551889</v>
      </c>
      <c r="S327">
        <f t="shared" si="972"/>
        <v>27612.736717551888</v>
      </c>
      <c r="T327">
        <f t="shared" si="973"/>
        <v>27.61273671755189</v>
      </c>
    </row>
    <row r="328" spans="1:20" x14ac:dyDescent="0.25">
      <c r="A328" s="5">
        <v>44265</v>
      </c>
      <c r="B328">
        <v>4.0720000000000001E-3</v>
      </c>
      <c r="C328">
        <v>6.4000000000000003E-3</v>
      </c>
      <c r="D328">
        <v>4.0509999999999999E-3</v>
      </c>
      <c r="E328">
        <v>4.8450000000000003E-3</v>
      </c>
      <c r="F328">
        <v>5504590972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-0.32396764580672599</v>
      </c>
      <c r="Q328">
        <f t="shared" si="970"/>
        <v>-1783309378.3277977</v>
      </c>
      <c r="R328">
        <f t="shared" si="971"/>
        <v>2296763622.5845451</v>
      </c>
      <c r="S328">
        <f t="shared" si="972"/>
        <v>22967.63622584545</v>
      </c>
      <c r="T328">
        <f t="shared" si="973"/>
        <v>22.96763622584545</v>
      </c>
    </row>
    <row r="329" spans="1:20" x14ac:dyDescent="0.25">
      <c r="A329" s="5">
        <v>44264</v>
      </c>
      <c r="B329">
        <v>3.722E-3</v>
      </c>
      <c r="C329">
        <v>4.1850000000000004E-3</v>
      </c>
      <c r="D329">
        <v>3.6219999999999998E-3</v>
      </c>
      <c r="E329">
        <v>4.0699999999999998E-3</v>
      </c>
      <c r="F329">
        <v>534505279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0.59147424511545155</v>
      </c>
      <c r="Q329">
        <f t="shared" si="970"/>
        <v>316146106.40674883</v>
      </c>
      <c r="R329">
        <f t="shared" si="971"/>
        <v>4080073000.912343</v>
      </c>
      <c r="S329">
        <f t="shared" si="972"/>
        <v>40800.730009123428</v>
      </c>
      <c r="T329">
        <f t="shared" si="973"/>
        <v>40.800730009123427</v>
      </c>
    </row>
    <row r="330" spans="1:20" x14ac:dyDescent="0.25">
      <c r="A330" s="5">
        <v>44263</v>
      </c>
      <c r="B330">
        <v>3.7069999999999998E-3</v>
      </c>
      <c r="C330">
        <v>3.7729999999999999E-3</v>
      </c>
      <c r="D330">
        <v>3.5049999999999999E-3</v>
      </c>
      <c r="E330">
        <v>3.7230000000000002E-3</v>
      </c>
      <c r="F330">
        <v>210412825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0.6268656716417933</v>
      </c>
      <c r="Q330">
        <f t="shared" si="970"/>
        <v>131900576.86567211</v>
      </c>
      <c r="R330">
        <f t="shared" si="971"/>
        <v>3763926894.5055943</v>
      </c>
      <c r="S330">
        <f t="shared" si="972"/>
        <v>37639.268945055941</v>
      </c>
      <c r="T330">
        <f t="shared" si="973"/>
        <v>37.639268945055939</v>
      </c>
    </row>
    <row r="331" spans="1:20" x14ac:dyDescent="0.25">
      <c r="A331" s="5">
        <v>44262</v>
      </c>
      <c r="B331">
        <v>3.7090000000000001E-3</v>
      </c>
      <c r="C331">
        <v>3.7269999999999998E-3</v>
      </c>
      <c r="D331">
        <v>3.5750000000000001E-3</v>
      </c>
      <c r="E331">
        <v>3.7030000000000001E-3</v>
      </c>
      <c r="F331">
        <v>147386191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0.68421052631579282</v>
      </c>
      <c r="Q331">
        <f t="shared" si="970"/>
        <v>100843183.31578997</v>
      </c>
      <c r="R331">
        <f t="shared" si="971"/>
        <v>3632026317.6399221</v>
      </c>
      <c r="S331">
        <f t="shared" si="972"/>
        <v>36320.263176399225</v>
      </c>
      <c r="T331">
        <f t="shared" si="973"/>
        <v>36.320263176399223</v>
      </c>
    </row>
    <row r="332" spans="1:20" x14ac:dyDescent="0.25">
      <c r="A332" s="5">
        <v>44261</v>
      </c>
      <c r="B332">
        <v>3.6480000000000002E-3</v>
      </c>
      <c r="C332">
        <v>3.8E-3</v>
      </c>
      <c r="D332">
        <v>3.4229999999999998E-3</v>
      </c>
      <c r="E332">
        <v>3.7090000000000001E-3</v>
      </c>
      <c r="F332">
        <v>291993136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0.51724137931034542</v>
      </c>
      <c r="Q332">
        <f t="shared" si="970"/>
        <v>151030932.41379327</v>
      </c>
      <c r="R332">
        <f t="shared" si="971"/>
        <v>3531183134.324132</v>
      </c>
      <c r="S332">
        <f t="shared" si="972"/>
        <v>35311.83134324132</v>
      </c>
      <c r="T332">
        <f t="shared" si="973"/>
        <v>35.311831343241323</v>
      </c>
    </row>
    <row r="333" spans="1:20" x14ac:dyDescent="0.25">
      <c r="A333" s="5">
        <v>44260</v>
      </c>
      <c r="B333">
        <v>3.5590000000000001E-3</v>
      </c>
      <c r="C333">
        <v>3.7000000000000002E-3</v>
      </c>
      <c r="D333">
        <v>3.274E-3</v>
      </c>
      <c r="E333">
        <v>3.6350000000000002E-3</v>
      </c>
      <c r="F333">
        <v>347279323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0.69483568075117408</v>
      </c>
      <c r="Q333">
        <f t="shared" si="970"/>
        <v>241302064.80751187</v>
      </c>
      <c r="R333">
        <f t="shared" si="971"/>
        <v>3380152201.9103389</v>
      </c>
      <c r="S333">
        <f t="shared" si="972"/>
        <v>33801.522019103388</v>
      </c>
      <c r="T333">
        <f t="shared" si="973"/>
        <v>33.801522019103388</v>
      </c>
    </row>
    <row r="334" spans="1:20" x14ac:dyDescent="0.25">
      <c r="A334" s="5">
        <v>44259</v>
      </c>
      <c r="B334">
        <v>3.4199999999999999E-3</v>
      </c>
      <c r="C334">
        <v>3.8170000000000001E-3</v>
      </c>
      <c r="D334">
        <v>3.2260000000000001E-3</v>
      </c>
      <c r="E334">
        <v>3.5590000000000001E-3</v>
      </c>
      <c r="F334">
        <v>546345305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0.12690355329949235</v>
      </c>
      <c r="Q334">
        <f t="shared" si="970"/>
        <v>69333160.532994911</v>
      </c>
      <c r="R334">
        <f t="shared" si="971"/>
        <v>3138850137.1028271</v>
      </c>
      <c r="S334">
        <f t="shared" si="972"/>
        <v>31388.501371028269</v>
      </c>
      <c r="T334">
        <f t="shared" si="973"/>
        <v>31.388501371028269</v>
      </c>
    </row>
    <row r="335" spans="1:20" x14ac:dyDescent="0.25">
      <c r="A335" s="5">
        <v>44258</v>
      </c>
      <c r="B335">
        <v>3.068E-3</v>
      </c>
      <c r="C335">
        <v>3.5000000000000001E-3</v>
      </c>
      <c r="D335">
        <v>3.0000000000000001E-3</v>
      </c>
      <c r="E335">
        <v>3.421E-3</v>
      </c>
      <c r="F335">
        <v>655654055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0.68399999999999972</v>
      </c>
      <c r="Q335">
        <f t="shared" si="970"/>
        <v>448467373.61999983</v>
      </c>
      <c r="R335">
        <f t="shared" si="971"/>
        <v>3069516976.5698323</v>
      </c>
      <c r="S335">
        <f t="shared" si="972"/>
        <v>30695.169765698323</v>
      </c>
      <c r="T335">
        <f t="shared" si="973"/>
        <v>30.695169765698324</v>
      </c>
    </row>
    <row r="336" spans="1:20" x14ac:dyDescent="0.25">
      <c r="A336" s="5">
        <v>44257</v>
      </c>
      <c r="B336">
        <v>3.143E-3</v>
      </c>
      <c r="C336">
        <v>3.2560000000000002E-3</v>
      </c>
      <c r="D336">
        <v>2.9489999999999998E-3</v>
      </c>
      <c r="E336">
        <v>3.0630000000000002E-3</v>
      </c>
      <c r="F336">
        <v>244309850</v>
      </c>
      <c r="G336">
        <v>0</v>
      </c>
      <c r="L336" t="s">
        <v>8</v>
      </c>
      <c r="M336" t="s">
        <v>7</v>
      </c>
      <c r="N336" t="s">
        <v>8</v>
      </c>
      <c r="P336">
        <f t="shared" si="969"/>
        <v>-0.25732899022801153</v>
      </c>
      <c r="Q336">
        <f t="shared" si="970"/>
        <v>-62868007.003256962</v>
      </c>
      <c r="R336">
        <f t="shared" si="971"/>
        <v>2621049602.9498324</v>
      </c>
      <c r="S336">
        <f t="shared" si="972"/>
        <v>26210.496029498325</v>
      </c>
      <c r="T336">
        <f t="shared" si="973"/>
        <v>26.210496029498326</v>
      </c>
    </row>
    <row r="337" spans="1:20" x14ac:dyDescent="0.25">
      <c r="A337" s="5">
        <v>44256</v>
      </c>
      <c r="B337">
        <v>2.944E-3</v>
      </c>
      <c r="C337">
        <v>3.14E-3</v>
      </c>
      <c r="D337">
        <v>2.8180000000000002E-3</v>
      </c>
      <c r="E337">
        <v>3.14E-3</v>
      </c>
      <c r="F337">
        <v>283128974</v>
      </c>
      <c r="G337">
        <v>0</v>
      </c>
      <c r="L337" t="s">
        <v>7</v>
      </c>
      <c r="M337" t="s">
        <v>7</v>
      </c>
      <c r="N337" t="s">
        <v>8</v>
      </c>
      <c r="P337">
        <f t="shared" si="969"/>
        <v>1</v>
      </c>
      <c r="Q337">
        <f t="shared" si="970"/>
        <v>283128974</v>
      </c>
      <c r="R337">
        <f t="shared" si="971"/>
        <v>2683917609.9530892</v>
      </c>
      <c r="S337">
        <f t="shared" si="972"/>
        <v>26839.176099530894</v>
      </c>
      <c r="T337">
        <f t="shared" si="973"/>
        <v>26.839176099530896</v>
      </c>
    </row>
    <row r="338" spans="1:20" x14ac:dyDescent="0.25">
      <c r="A338" s="5">
        <v>44255</v>
      </c>
      <c r="B338">
        <v>3.2650000000000001E-3</v>
      </c>
      <c r="C338">
        <v>3.7000000000000002E-3</v>
      </c>
      <c r="D338">
        <v>2.647E-3</v>
      </c>
      <c r="E338">
        <v>2.9390000000000002E-3</v>
      </c>
      <c r="F338">
        <v>943994777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-0.4453941120607785</v>
      </c>
      <c r="Q338">
        <f t="shared" si="970"/>
        <v>-420449715.49192762</v>
      </c>
      <c r="R338">
        <f t="shared" si="971"/>
        <v>2400788635.9530892</v>
      </c>
      <c r="S338">
        <f t="shared" si="972"/>
        <v>24007.886359530894</v>
      </c>
      <c r="T338">
        <f t="shared" si="973"/>
        <v>24.007886359530893</v>
      </c>
    </row>
    <row r="339" spans="1:20" x14ac:dyDescent="0.25">
      <c r="A339" s="5">
        <v>44254</v>
      </c>
      <c r="B339">
        <v>2.9880000000000002E-3</v>
      </c>
      <c r="C339">
        <v>3.555E-3</v>
      </c>
      <c r="D339">
        <v>2.9610000000000001E-3</v>
      </c>
      <c r="E339">
        <v>3.2529999999999998E-3</v>
      </c>
      <c r="F339">
        <v>614928142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-1.6835016835017612E-2</v>
      </c>
      <c r="Q339">
        <f t="shared" si="970"/>
        <v>-10352325.622896101</v>
      </c>
      <c r="R339">
        <f t="shared" si="971"/>
        <v>2821238351.4450169</v>
      </c>
      <c r="S339">
        <f t="shared" si="972"/>
        <v>28212.383514450168</v>
      </c>
      <c r="T339">
        <f t="shared" si="973"/>
        <v>28.212383514450167</v>
      </c>
    </row>
    <row r="340" spans="1:20" x14ac:dyDescent="0.25">
      <c r="A340" s="5">
        <v>44253</v>
      </c>
      <c r="B340">
        <v>2.794E-3</v>
      </c>
      <c r="C340">
        <v>3.114E-3</v>
      </c>
      <c r="D340">
        <v>2.6510000000000001E-3</v>
      </c>
      <c r="E340">
        <v>2.996E-3</v>
      </c>
      <c r="F340">
        <v>702172347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0.49028077753779664</v>
      </c>
      <c r="Q340">
        <f t="shared" si="970"/>
        <v>344261604.25269955</v>
      </c>
      <c r="R340">
        <f t="shared" si="971"/>
        <v>2831590677.0679131</v>
      </c>
      <c r="S340">
        <f t="shared" si="972"/>
        <v>28315.906770679132</v>
      </c>
      <c r="T340">
        <f t="shared" si="973"/>
        <v>28.315906770679131</v>
      </c>
    </row>
    <row r="341" spans="1:20" x14ac:dyDescent="0.25">
      <c r="A341" s="5">
        <v>44252</v>
      </c>
      <c r="B341">
        <v>2.9129999999999998E-3</v>
      </c>
      <c r="C341">
        <v>3.3310000000000002E-3</v>
      </c>
      <c r="D341">
        <v>2.7699999999999999E-3</v>
      </c>
      <c r="E341">
        <v>2.7929999999999999E-3</v>
      </c>
      <c r="F341">
        <v>639879991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-0.91800356506238856</v>
      </c>
      <c r="Q341">
        <f t="shared" si="970"/>
        <v>-587412112.9500891</v>
      </c>
      <c r="R341">
        <f t="shared" si="971"/>
        <v>2487329072.8152137</v>
      </c>
      <c r="S341">
        <f t="shared" si="972"/>
        <v>24873.290728152137</v>
      </c>
      <c r="T341">
        <f t="shared" si="973"/>
        <v>24.873290728152135</v>
      </c>
    </row>
    <row r="342" spans="1:20" x14ac:dyDescent="0.25">
      <c r="A342" s="5">
        <v>44251</v>
      </c>
      <c r="B342">
        <v>2.8809999999999999E-3</v>
      </c>
      <c r="C342">
        <v>3.1340000000000001E-3</v>
      </c>
      <c r="D342">
        <v>2.5999999999999999E-3</v>
      </c>
      <c r="E342">
        <v>2.9129999999999998E-3</v>
      </c>
      <c r="F342">
        <v>859315333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0.17228464419475581</v>
      </c>
      <c r="Q342">
        <f t="shared" si="970"/>
        <v>148046836.39700311</v>
      </c>
      <c r="R342">
        <f t="shared" si="971"/>
        <v>3074741185.7653027</v>
      </c>
      <c r="S342">
        <f t="shared" si="972"/>
        <v>30747.411857653027</v>
      </c>
      <c r="T342">
        <f t="shared" si="973"/>
        <v>30.747411857653027</v>
      </c>
    </row>
    <row r="343" spans="1:20" x14ac:dyDescent="0.25">
      <c r="A343" s="5">
        <v>44250</v>
      </c>
      <c r="B343">
        <v>3.7390000000000001E-3</v>
      </c>
      <c r="C343">
        <v>3.9500000000000004E-3</v>
      </c>
      <c r="D343">
        <v>2.101E-3</v>
      </c>
      <c r="E343">
        <v>2.859E-3</v>
      </c>
      <c r="F343">
        <v>1353264424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-0.18009734991887524</v>
      </c>
      <c r="Q343">
        <f t="shared" si="970"/>
        <v>-243719336.50189316</v>
      </c>
      <c r="R343">
        <f t="shared" si="971"/>
        <v>2926694349.3682995</v>
      </c>
      <c r="S343">
        <f t="shared" si="972"/>
        <v>29266.943493682997</v>
      </c>
      <c r="T343">
        <f t="shared" si="973"/>
        <v>29.266943493682998</v>
      </c>
    </row>
    <row r="344" spans="1:20" x14ac:dyDescent="0.25">
      <c r="A344" s="5">
        <v>44249</v>
      </c>
      <c r="B344">
        <v>4.1720000000000004E-3</v>
      </c>
      <c r="C344">
        <v>4.5859999999999998E-3</v>
      </c>
      <c r="D344">
        <v>2.9009999999999999E-3</v>
      </c>
      <c r="E344">
        <v>3.738E-3</v>
      </c>
      <c r="F344">
        <v>1574668123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-6.5281899109790658E-3</v>
      </c>
      <c r="Q344">
        <f t="shared" si="970"/>
        <v>-10279732.553708943</v>
      </c>
      <c r="R344">
        <f t="shared" si="971"/>
        <v>3170413685.8701925</v>
      </c>
      <c r="S344">
        <f t="shared" si="972"/>
        <v>31704.136858701924</v>
      </c>
      <c r="T344">
        <f t="shared" si="973"/>
        <v>31.704136858701926</v>
      </c>
    </row>
    <row r="345" spans="1:20" x14ac:dyDescent="0.25">
      <c r="A345" s="5">
        <v>44248</v>
      </c>
      <c r="B345">
        <v>3.7650000000000001E-3</v>
      </c>
      <c r="C345">
        <v>4.6899999999999997E-3</v>
      </c>
      <c r="D345">
        <v>3.6110000000000001E-3</v>
      </c>
      <c r="E345">
        <v>4.1720000000000004E-3</v>
      </c>
      <c r="F345">
        <v>1700778641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3.9851714550510613E-2</v>
      </c>
      <c r="Q345">
        <f t="shared" si="970"/>
        <v>67778944.914737359</v>
      </c>
      <c r="R345">
        <f t="shared" si="971"/>
        <v>3180693418.4239016</v>
      </c>
      <c r="S345">
        <f t="shared" si="972"/>
        <v>31806.934184239017</v>
      </c>
      <c r="T345">
        <f t="shared" si="973"/>
        <v>31.806934184239015</v>
      </c>
    </row>
    <row r="346" spans="1:20" x14ac:dyDescent="0.25">
      <c r="A346" s="5">
        <v>44247</v>
      </c>
      <c r="B346">
        <v>3.9779999999999998E-3</v>
      </c>
      <c r="C346">
        <v>4.2129999999999997E-3</v>
      </c>
      <c r="D346">
        <v>3.5760000000000002E-3</v>
      </c>
      <c r="E346">
        <v>3.774E-3</v>
      </c>
      <c r="F346">
        <v>1161259852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-0.37833594976452128</v>
      </c>
      <c r="Q346">
        <f t="shared" si="970"/>
        <v>-439346349.02982742</v>
      </c>
      <c r="R346">
        <f t="shared" si="971"/>
        <v>3112914473.5091643</v>
      </c>
      <c r="S346">
        <f t="shared" si="972"/>
        <v>31129.144735091642</v>
      </c>
      <c r="T346">
        <f t="shared" si="973"/>
        <v>31.129144735091643</v>
      </c>
    </row>
    <row r="347" spans="1:20" x14ac:dyDescent="0.25">
      <c r="A347" s="5">
        <v>44246</v>
      </c>
      <c r="B347">
        <v>3.9389999999999998E-3</v>
      </c>
      <c r="C347">
        <v>3.9789999999999999E-3</v>
      </c>
      <c r="D347">
        <v>3.4060000000000002E-3</v>
      </c>
      <c r="E347">
        <v>3.9550000000000002E-3</v>
      </c>
      <c r="F347">
        <v>1386890125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0.91623036649214751</v>
      </c>
      <c r="Q347">
        <f t="shared" si="970"/>
        <v>1270710847.5130904</v>
      </c>
      <c r="R347">
        <f t="shared" si="971"/>
        <v>3552260822.5389919</v>
      </c>
      <c r="S347">
        <f t="shared" si="972"/>
        <v>35522.608225389922</v>
      </c>
      <c r="T347">
        <f t="shared" si="973"/>
        <v>35.522608225389924</v>
      </c>
    </row>
    <row r="348" spans="1:20" x14ac:dyDescent="0.25">
      <c r="A348" s="5">
        <v>44245</v>
      </c>
      <c r="B348">
        <v>3.0049999999999999E-3</v>
      </c>
      <c r="C348">
        <v>4.5240000000000002E-3</v>
      </c>
      <c r="D348">
        <v>3.0049999999999999E-3</v>
      </c>
      <c r="E348">
        <v>3.9399999999999999E-3</v>
      </c>
      <c r="F348">
        <v>5898581714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0.23107307439104652</v>
      </c>
      <c r="Q348">
        <f t="shared" si="970"/>
        <v>1363003411.2007887</v>
      </c>
      <c r="R348">
        <f t="shared" si="971"/>
        <v>2281549975.0259018</v>
      </c>
      <c r="S348">
        <f t="shared" si="972"/>
        <v>22815.499750259019</v>
      </c>
      <c r="T348">
        <f t="shared" si="973"/>
        <v>22.815499750259018</v>
      </c>
    </row>
    <row r="349" spans="1:20" x14ac:dyDescent="0.25">
      <c r="A349" s="5">
        <v>44244</v>
      </c>
      <c r="B349">
        <v>2.6610000000000002E-3</v>
      </c>
      <c r="C349">
        <v>3.0999999999999999E-3</v>
      </c>
      <c r="D349">
        <v>2.6029999999999998E-3</v>
      </c>
      <c r="E349">
        <v>3.0170000000000002E-3</v>
      </c>
      <c r="F349">
        <v>1109700389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0.66599597585513182</v>
      </c>
      <c r="Q349">
        <f t="shared" si="970"/>
        <v>739055993.47887433</v>
      </c>
      <c r="R349">
        <f t="shared" si="971"/>
        <v>918546563.82511282</v>
      </c>
      <c r="S349">
        <f t="shared" si="972"/>
        <v>9185.4656382511275</v>
      </c>
      <c r="T349">
        <f t="shared" si="973"/>
        <v>9.1854656382511273</v>
      </c>
    </row>
    <row r="350" spans="1:20" x14ac:dyDescent="0.25">
      <c r="A350" s="5">
        <v>44243</v>
      </c>
      <c r="B350">
        <v>2.6180000000000001E-3</v>
      </c>
      <c r="C350">
        <v>2.8660000000000001E-3</v>
      </c>
      <c r="D350">
        <v>2.5609999999999999E-3</v>
      </c>
      <c r="E350">
        <v>2.6649999999999998E-3</v>
      </c>
      <c r="F350">
        <v>642890251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-0.31803278688524672</v>
      </c>
      <c r="Q350">
        <f t="shared" si="970"/>
        <v>-204460178.18688577</v>
      </c>
      <c r="R350">
        <f t="shared" si="971"/>
        <v>179490570.34623843</v>
      </c>
      <c r="S350">
        <f t="shared" si="972"/>
        <v>1794.9057034623843</v>
      </c>
      <c r="T350">
        <f t="shared" si="973"/>
        <v>1.7949057034623843</v>
      </c>
    </row>
    <row r="351" spans="1:20" x14ac:dyDescent="0.25">
      <c r="A351" s="5">
        <v>44242</v>
      </c>
      <c r="B351">
        <v>2.8509999999999998E-3</v>
      </c>
      <c r="C351">
        <v>2.9880000000000002E-3</v>
      </c>
      <c r="D351">
        <v>2.32E-3</v>
      </c>
      <c r="E351">
        <v>2.598E-3</v>
      </c>
      <c r="F351">
        <v>1229964673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-0.16766467065868276</v>
      </c>
      <c r="Q351">
        <f t="shared" si="970"/>
        <v>-206221621.82035944</v>
      </c>
      <c r="R351">
        <f t="shared" si="971"/>
        <v>383950748.53312421</v>
      </c>
      <c r="S351">
        <f t="shared" si="972"/>
        <v>3839.5074853312422</v>
      </c>
      <c r="T351">
        <f t="shared" si="973"/>
        <v>3.8395074853312421</v>
      </c>
    </row>
    <row r="352" spans="1:20" x14ac:dyDescent="0.25">
      <c r="A352" s="5">
        <v>44241</v>
      </c>
      <c r="B352">
        <v>2.7390000000000001E-3</v>
      </c>
      <c r="C352">
        <v>3.4320000000000002E-3</v>
      </c>
      <c r="D352">
        <v>2.5999999999999999E-3</v>
      </c>
      <c r="E352">
        <v>2.8509999999999998E-3</v>
      </c>
      <c r="F352">
        <v>2857065249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-0.39663461538461575</v>
      </c>
      <c r="Q352">
        <f t="shared" si="970"/>
        <v>-1133210976.1658664</v>
      </c>
      <c r="R352">
        <f t="shared" si="971"/>
        <v>590172370.35348368</v>
      </c>
      <c r="S352">
        <f t="shared" si="972"/>
        <v>5901.7237035348371</v>
      </c>
      <c r="T352">
        <f t="shared" si="973"/>
        <v>5.9017237035348371</v>
      </c>
    </row>
    <row r="353" spans="1:20" x14ac:dyDescent="0.25">
      <c r="A353" s="5">
        <v>44240</v>
      </c>
      <c r="B353">
        <v>2.539E-3</v>
      </c>
      <c r="C353">
        <v>2.826E-3</v>
      </c>
      <c r="D353">
        <v>2.3570000000000002E-3</v>
      </c>
      <c r="E353">
        <v>2.7330000000000002E-3</v>
      </c>
      <c r="F353">
        <v>1391668606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0.60341151385927583</v>
      </c>
      <c r="Q353">
        <f t="shared" si="970"/>
        <v>839748860.33688807</v>
      </c>
      <c r="R353">
        <f t="shared" si="971"/>
        <v>1723383346.5193501</v>
      </c>
      <c r="S353">
        <f t="shared" si="972"/>
        <v>17233.8334651935</v>
      </c>
      <c r="T353">
        <f t="shared" si="973"/>
        <v>17.233833465193499</v>
      </c>
    </row>
    <row r="354" spans="1:20" x14ac:dyDescent="0.25">
      <c r="A354" s="5">
        <v>44239</v>
      </c>
      <c r="B354">
        <v>2.2520000000000001E-3</v>
      </c>
      <c r="C354">
        <v>2.6220000000000002E-3</v>
      </c>
      <c r="D354">
        <v>2.1649999999999998E-3</v>
      </c>
      <c r="E354">
        <v>2.539E-3</v>
      </c>
      <c r="F354">
        <v>1090401987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0.63676148796498855</v>
      </c>
      <c r="Q354">
        <f t="shared" si="970"/>
        <v>694325991.72210014</v>
      </c>
      <c r="R354">
        <f t="shared" si="971"/>
        <v>883634486.18246198</v>
      </c>
      <c r="S354">
        <f t="shared" si="972"/>
        <v>8836.3448618246202</v>
      </c>
      <c r="T354">
        <f t="shared" si="973"/>
        <v>8.836344861824621</v>
      </c>
    </row>
    <row r="355" spans="1:20" x14ac:dyDescent="0.25">
      <c r="A355" s="5">
        <v>44238</v>
      </c>
      <c r="B355">
        <v>2.1259999999999999E-3</v>
      </c>
      <c r="C355">
        <v>2.3259999999999999E-3</v>
      </c>
      <c r="D355">
        <v>2.0630000000000002E-3</v>
      </c>
      <c r="E355">
        <v>2.2529999999999998E-3</v>
      </c>
      <c r="F355">
        <v>764798673</v>
      </c>
      <c r="G355">
        <v>0</v>
      </c>
      <c r="L355" t="s">
        <v>8</v>
      </c>
      <c r="M355" t="s">
        <v>7</v>
      </c>
      <c r="N355" t="s">
        <v>8</v>
      </c>
      <c r="P355">
        <f t="shared" si="969"/>
        <v>0.44486692015208967</v>
      </c>
      <c r="Q355">
        <f t="shared" si="970"/>
        <v>340233630.19391513</v>
      </c>
      <c r="R355">
        <f t="shared" si="971"/>
        <v>189308494.46036184</v>
      </c>
      <c r="S355">
        <f t="shared" si="972"/>
        <v>1893.0849446036184</v>
      </c>
      <c r="T355">
        <f t="shared" si="973"/>
        <v>1.8930849446036184</v>
      </c>
    </row>
    <row r="356" spans="1:20" x14ac:dyDescent="0.25">
      <c r="A356" s="5">
        <v>44237</v>
      </c>
      <c r="B356">
        <v>2.2859999999999998E-3</v>
      </c>
      <c r="C356">
        <v>2.3050000000000002E-3</v>
      </c>
      <c r="D356">
        <v>2E-3</v>
      </c>
      <c r="E356">
        <v>2.1289999999999998E-3</v>
      </c>
      <c r="F356">
        <v>863334362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-0.15409836065573959</v>
      </c>
      <c r="Q356">
        <f t="shared" si="970"/>
        <v>-133038409.88196884</v>
      </c>
      <c r="R356">
        <f t="shared" si="971"/>
        <v>-150925135.73355329</v>
      </c>
      <c r="S356">
        <f t="shared" si="972"/>
        <v>-1509.2513573355329</v>
      </c>
      <c r="T356">
        <f t="shared" si="973"/>
        <v>-1.5092513573355328</v>
      </c>
    </row>
    <row r="357" spans="1:20" x14ac:dyDescent="0.25">
      <c r="A357" s="5">
        <v>44236</v>
      </c>
      <c r="B357">
        <v>1.9989999999999999E-3</v>
      </c>
      <c r="C357">
        <v>2.7070000000000002E-3</v>
      </c>
      <c r="D357">
        <v>1.9680000000000001E-3</v>
      </c>
      <c r="E357">
        <v>2.2859999999999998E-3</v>
      </c>
      <c r="F357">
        <v>2306245184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-0.13937753721245014</v>
      </c>
      <c r="Q357">
        <f t="shared" si="970"/>
        <v>-321438773.95399392</v>
      </c>
      <c r="R357">
        <f t="shared" si="971"/>
        <v>-17886725.851584435</v>
      </c>
      <c r="S357">
        <f t="shared" si="972"/>
        <v>-178.86725851584436</v>
      </c>
      <c r="T357">
        <f t="shared" si="973"/>
        <v>-0.17886725851584437</v>
      </c>
    </row>
    <row r="358" spans="1:20" x14ac:dyDescent="0.25">
      <c r="A358" s="5">
        <v>44235</v>
      </c>
      <c r="B358">
        <v>1.756E-3</v>
      </c>
      <c r="C358">
        <v>2.3379999999999998E-3</v>
      </c>
      <c r="D358">
        <v>1.74E-3</v>
      </c>
      <c r="E358">
        <v>1.9989999999999999E-3</v>
      </c>
      <c r="F358">
        <v>1400701034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-0.13377926421404684</v>
      </c>
      <c r="Q358">
        <f t="shared" si="970"/>
        <v>-187384753.7123746</v>
      </c>
      <c r="R358">
        <f t="shared" si="971"/>
        <v>303552048.10240948</v>
      </c>
      <c r="S358">
        <f t="shared" si="972"/>
        <v>3035.5204810240948</v>
      </c>
      <c r="T358">
        <f t="shared" si="973"/>
        <v>3.0355204810240948</v>
      </c>
    </row>
    <row r="359" spans="1:20" x14ac:dyDescent="0.25">
      <c r="A359" s="5">
        <v>44234</v>
      </c>
      <c r="B359">
        <v>1.817E-3</v>
      </c>
      <c r="C359">
        <v>1.8320000000000001E-3</v>
      </c>
      <c r="D359">
        <v>1.681E-3</v>
      </c>
      <c r="E359">
        <v>1.7520000000000001E-3</v>
      </c>
      <c r="F359">
        <v>312502974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-5.9602649006621773E-2</v>
      </c>
      <c r="Q359">
        <f t="shared" si="970"/>
        <v>-18626005.072847448</v>
      </c>
      <c r="R359">
        <f t="shared" si="971"/>
        <v>490936801.81478405</v>
      </c>
      <c r="S359">
        <f t="shared" si="972"/>
        <v>4909.3680181478403</v>
      </c>
      <c r="T359">
        <f t="shared" si="973"/>
        <v>4.9093680181478403</v>
      </c>
    </row>
    <row r="360" spans="1:20" x14ac:dyDescent="0.25">
      <c r="A360" s="5">
        <v>44233</v>
      </c>
      <c r="B360">
        <v>1.9109999999999999E-3</v>
      </c>
      <c r="C360">
        <v>1.928E-3</v>
      </c>
      <c r="D360">
        <v>1.792E-3</v>
      </c>
      <c r="E360">
        <v>1.81E-3</v>
      </c>
      <c r="F360">
        <v>273168370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-0.73529411764705888</v>
      </c>
      <c r="Q360">
        <f t="shared" si="970"/>
        <v>-200859095.58823532</v>
      </c>
      <c r="R360">
        <f t="shared" si="971"/>
        <v>509562806.88763148</v>
      </c>
      <c r="S360">
        <f t="shared" si="972"/>
        <v>5095.6280688763145</v>
      </c>
      <c r="T360">
        <f t="shared" si="973"/>
        <v>5.0956280688763149</v>
      </c>
    </row>
    <row r="361" spans="1:20" x14ac:dyDescent="0.25">
      <c r="A361" s="5">
        <v>44232</v>
      </c>
      <c r="B361">
        <v>1.779E-3</v>
      </c>
      <c r="C361">
        <v>1.933E-3</v>
      </c>
      <c r="D361">
        <v>1.743E-3</v>
      </c>
      <c r="E361">
        <v>1.9109999999999999E-3</v>
      </c>
      <c r="F361">
        <v>536757713</v>
      </c>
      <c r="G361">
        <v>0</v>
      </c>
      <c r="L361" t="s">
        <v>8</v>
      </c>
      <c r="M361" t="s">
        <v>7</v>
      </c>
      <c r="N361" t="s">
        <v>8</v>
      </c>
      <c r="P361">
        <f t="shared" si="969"/>
        <v>0.76842105263157801</v>
      </c>
      <c r="Q361">
        <f t="shared" si="970"/>
        <v>412455926.83157843</v>
      </c>
      <c r="R361">
        <f t="shared" si="971"/>
        <v>710421902.47586679</v>
      </c>
      <c r="S361">
        <f t="shared" si="972"/>
        <v>7104.2190247586677</v>
      </c>
      <c r="T361">
        <f t="shared" si="973"/>
        <v>7.1042190247586676</v>
      </c>
    </row>
    <row r="362" spans="1:20" x14ac:dyDescent="0.25">
      <c r="A362" s="5">
        <v>44231</v>
      </c>
      <c r="B362">
        <v>1.9289999999999999E-3</v>
      </c>
      <c r="C362">
        <v>2.0049999999999998E-3</v>
      </c>
      <c r="D362">
        <v>1.72E-3</v>
      </c>
      <c r="E362">
        <v>1.779E-3</v>
      </c>
      <c r="F362">
        <v>664437071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-0.58596491228070136</v>
      </c>
      <c r="Q362">
        <f t="shared" si="970"/>
        <v>-389336810.02456117</v>
      </c>
      <c r="R362">
        <f t="shared" si="971"/>
        <v>297965975.6442883</v>
      </c>
      <c r="S362">
        <f t="shared" si="972"/>
        <v>2979.659756442883</v>
      </c>
      <c r="T362">
        <f t="shared" si="973"/>
        <v>2.9796597564428828</v>
      </c>
    </row>
    <row r="363" spans="1:20" x14ac:dyDescent="0.25">
      <c r="A363" s="5">
        <v>44230</v>
      </c>
      <c r="B363">
        <v>1.6869999999999999E-3</v>
      </c>
      <c r="C363">
        <v>2.2000000000000001E-3</v>
      </c>
      <c r="D363">
        <v>1.65E-3</v>
      </c>
      <c r="E363">
        <v>1.9220000000000001E-3</v>
      </c>
      <c r="F363">
        <v>1712725562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-1.0909090909090776E-2</v>
      </c>
      <c r="Q363">
        <f t="shared" si="970"/>
        <v>-18684278.858181592</v>
      </c>
      <c r="R363">
        <f t="shared" si="971"/>
        <v>687302785.66884947</v>
      </c>
      <c r="S363">
        <f t="shared" si="972"/>
        <v>6873.0278566884945</v>
      </c>
      <c r="T363">
        <f t="shared" si="973"/>
        <v>6.8730278566884948</v>
      </c>
    </row>
    <row r="364" spans="1:20" x14ac:dyDescent="0.25">
      <c r="A364" s="5">
        <v>44229</v>
      </c>
      <c r="B364">
        <v>1.5759999999999999E-3</v>
      </c>
      <c r="C364">
        <v>1.6980000000000001E-3</v>
      </c>
      <c r="D364">
        <v>1.57E-3</v>
      </c>
      <c r="E364">
        <v>1.6900000000000001E-3</v>
      </c>
      <c r="F364">
        <v>293096519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0.87500000000000044</v>
      </c>
      <c r="Q364">
        <f t="shared" si="970"/>
        <v>256459454.12500012</v>
      </c>
      <c r="R364">
        <f t="shared" si="971"/>
        <v>705987064.52703106</v>
      </c>
      <c r="S364">
        <f t="shared" si="972"/>
        <v>7059.8706452703109</v>
      </c>
      <c r="T364">
        <f t="shared" si="973"/>
        <v>7.0598706452703111</v>
      </c>
    </row>
    <row r="365" spans="1:20" x14ac:dyDescent="0.25">
      <c r="A365" s="5">
        <v>44228</v>
      </c>
      <c r="B365">
        <v>1.5560000000000001E-3</v>
      </c>
      <c r="C365">
        <v>1.5950000000000001E-3</v>
      </c>
      <c r="D365">
        <v>1.516E-3</v>
      </c>
      <c r="E365">
        <v>1.5759999999999999E-3</v>
      </c>
      <c r="F365">
        <v>173188833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0.51898734177214889</v>
      </c>
      <c r="Q365">
        <f t="shared" si="970"/>
        <v>89882812.063290626</v>
      </c>
      <c r="R365">
        <f t="shared" si="971"/>
        <v>449527610.40203094</v>
      </c>
      <c r="S365">
        <f t="shared" si="972"/>
        <v>4495.2761040203095</v>
      </c>
      <c r="T365">
        <f t="shared" si="973"/>
        <v>4.4952761040203093</v>
      </c>
    </row>
    <row r="366" spans="1:20" x14ac:dyDescent="0.25">
      <c r="A366" s="5">
        <v>44227</v>
      </c>
      <c r="B366">
        <v>1.5950000000000001E-3</v>
      </c>
      <c r="C366">
        <v>1.6130000000000001E-3</v>
      </c>
      <c r="D366">
        <v>1.516E-3</v>
      </c>
      <c r="E366">
        <v>1.562E-3</v>
      </c>
      <c r="F366">
        <v>164085679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-5.1546391752577414E-2</v>
      </c>
      <c r="Q366">
        <f t="shared" si="970"/>
        <v>-8458024.6907216646</v>
      </c>
      <c r="R366">
        <f t="shared" si="971"/>
        <v>359644798.33874029</v>
      </c>
      <c r="S366">
        <f t="shared" si="972"/>
        <v>3596.4479833874029</v>
      </c>
      <c r="T366">
        <f t="shared" si="973"/>
        <v>3.596447983387403</v>
      </c>
    </row>
    <row r="367" spans="1:20" x14ac:dyDescent="0.25">
      <c r="A367" s="5">
        <v>44226</v>
      </c>
      <c r="B367">
        <v>1.591E-3</v>
      </c>
      <c r="C367">
        <v>1.6379999999999999E-3</v>
      </c>
      <c r="D367">
        <v>1.56E-3</v>
      </c>
      <c r="E367">
        <v>1.5939999999999999E-3</v>
      </c>
      <c r="F367">
        <v>231510415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-0.12820512820512864</v>
      </c>
      <c r="Q367">
        <f t="shared" si="970"/>
        <v>-29680822.435897537</v>
      </c>
      <c r="R367">
        <f t="shared" si="971"/>
        <v>368102823.02946198</v>
      </c>
      <c r="S367">
        <f t="shared" si="972"/>
        <v>3681.0282302946198</v>
      </c>
      <c r="T367">
        <f t="shared" si="973"/>
        <v>3.6810282302946198</v>
      </c>
    </row>
    <row r="368" spans="1:20" x14ac:dyDescent="0.25">
      <c r="A368" s="5">
        <v>44225</v>
      </c>
      <c r="B368">
        <v>1.5870000000000001E-3</v>
      </c>
      <c r="C368">
        <v>1.642E-3</v>
      </c>
      <c r="D368">
        <v>1.5269999999999999E-3</v>
      </c>
      <c r="E368">
        <v>1.5870000000000001E-3</v>
      </c>
      <c r="F368">
        <v>180098811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4.3478260869567187E-2</v>
      </c>
      <c r="Q368">
        <f t="shared" si="970"/>
        <v>7830383.0869568763</v>
      </c>
      <c r="R368">
        <f t="shared" si="971"/>
        <v>397783645.46535951</v>
      </c>
      <c r="S368">
        <f t="shared" si="972"/>
        <v>3977.836454653595</v>
      </c>
      <c r="T368">
        <f t="shared" si="973"/>
        <v>3.9778364546535951</v>
      </c>
    </row>
    <row r="369" spans="1:20" x14ac:dyDescent="0.25">
      <c r="A369" s="5">
        <v>44224</v>
      </c>
      <c r="B369">
        <v>1.47E-3</v>
      </c>
      <c r="C369">
        <v>1.5969999999999999E-3</v>
      </c>
      <c r="D369">
        <v>1.4610000000000001E-3</v>
      </c>
      <c r="E369">
        <v>1.5870000000000001E-3</v>
      </c>
      <c r="F369">
        <v>141921477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0.85294117647059087</v>
      </c>
      <c r="Q369">
        <f t="shared" si="970"/>
        <v>121050671.5588239</v>
      </c>
      <c r="R369">
        <f t="shared" si="971"/>
        <v>389953262.37840265</v>
      </c>
      <c r="S369">
        <f t="shared" si="972"/>
        <v>3899.5326237840263</v>
      </c>
      <c r="T369">
        <f t="shared" si="973"/>
        <v>3.8995326237840264</v>
      </c>
    </row>
    <row r="370" spans="1:20" x14ac:dyDescent="0.25">
      <c r="A370" s="5">
        <v>44223</v>
      </c>
      <c r="B370">
        <v>1.562E-3</v>
      </c>
      <c r="C370">
        <v>1.565E-3</v>
      </c>
      <c r="D370">
        <v>1.426E-3</v>
      </c>
      <c r="E370">
        <v>1.474E-3</v>
      </c>
      <c r="F370">
        <v>110394501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-0.30935251798561042</v>
      </c>
      <c r="Q370">
        <f t="shared" si="970"/>
        <v>-34150816.856114991</v>
      </c>
      <c r="R370">
        <f t="shared" si="971"/>
        <v>268902590.81957877</v>
      </c>
      <c r="S370">
        <f t="shared" si="972"/>
        <v>2689.0259081957875</v>
      </c>
      <c r="T370">
        <f t="shared" si="973"/>
        <v>2.6890259081957875</v>
      </c>
    </row>
    <row r="371" spans="1:20" x14ac:dyDescent="0.25">
      <c r="A371" s="5">
        <v>44222</v>
      </c>
      <c r="B371">
        <v>1.562E-3</v>
      </c>
      <c r="C371">
        <v>1.5740000000000001E-3</v>
      </c>
      <c r="D371">
        <v>1.5020000000000001E-3</v>
      </c>
      <c r="E371">
        <v>1.565E-3</v>
      </c>
      <c r="F371">
        <v>84086745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0.749999999999997</v>
      </c>
      <c r="Q371">
        <f t="shared" si="970"/>
        <v>63065058.749999747</v>
      </c>
      <c r="R371">
        <f t="shared" si="971"/>
        <v>303053407.67569375</v>
      </c>
      <c r="S371">
        <f t="shared" si="972"/>
        <v>3030.5340767569373</v>
      </c>
      <c r="T371">
        <f t="shared" si="973"/>
        <v>3.0305340767569375</v>
      </c>
    </row>
    <row r="372" spans="1:20" x14ac:dyDescent="0.25">
      <c r="A372" s="5">
        <v>44221</v>
      </c>
      <c r="B372">
        <v>1.614E-3</v>
      </c>
      <c r="C372">
        <v>1.642E-3</v>
      </c>
      <c r="D372">
        <v>1.557E-3</v>
      </c>
      <c r="E372">
        <v>1.572E-3</v>
      </c>
      <c r="F372">
        <v>112742426</v>
      </c>
      <c r="G372">
        <v>0</v>
      </c>
      <c r="L372" t="s">
        <v>8</v>
      </c>
      <c r="M372" t="s">
        <v>7</v>
      </c>
      <c r="N372" t="s">
        <v>7</v>
      </c>
      <c r="P372">
        <f t="shared" si="969"/>
        <v>-0.64705882352941091</v>
      </c>
      <c r="Q372">
        <f t="shared" si="970"/>
        <v>-72950981.529411674</v>
      </c>
      <c r="R372">
        <f t="shared" si="971"/>
        <v>239988348.92569399</v>
      </c>
      <c r="S372">
        <f t="shared" si="972"/>
        <v>2399.8834892569398</v>
      </c>
      <c r="T372">
        <f t="shared" si="973"/>
        <v>2.3998834892569398</v>
      </c>
    </row>
    <row r="373" spans="1:20" x14ac:dyDescent="0.25">
      <c r="A373" s="5">
        <v>44220</v>
      </c>
      <c r="B373">
        <v>1.5560000000000001E-3</v>
      </c>
      <c r="C373">
        <v>1.6540000000000001E-3</v>
      </c>
      <c r="D373">
        <v>1.5510000000000001E-3</v>
      </c>
      <c r="E373">
        <v>1.614E-3</v>
      </c>
      <c r="F373">
        <v>139308448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0.22330097087378445</v>
      </c>
      <c r="Q373">
        <f t="shared" si="970"/>
        <v>31107711.689320117</v>
      </c>
      <c r="R373">
        <f t="shared" si="971"/>
        <v>312939330.45510566</v>
      </c>
      <c r="S373">
        <f t="shared" si="972"/>
        <v>3129.3933045510566</v>
      </c>
      <c r="T373">
        <f t="shared" si="973"/>
        <v>3.1293933045510567</v>
      </c>
    </row>
    <row r="374" spans="1:20" x14ac:dyDescent="0.25">
      <c r="A374" s="5">
        <v>44219</v>
      </c>
      <c r="B374">
        <v>1.5659999999999999E-3</v>
      </c>
      <c r="C374">
        <v>1.596E-3</v>
      </c>
      <c r="D374">
        <v>1.5139999999999999E-3</v>
      </c>
      <c r="E374">
        <v>1.56E-3</v>
      </c>
      <c r="F374">
        <v>87519190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0.12195121951219538</v>
      </c>
      <c r="Q374">
        <f t="shared" si="970"/>
        <v>10673071.951219535</v>
      </c>
      <c r="R374">
        <f t="shared" si="971"/>
        <v>281831618.76578557</v>
      </c>
      <c r="S374">
        <f t="shared" si="972"/>
        <v>2818.3161876578556</v>
      </c>
      <c r="T374">
        <f t="shared" si="973"/>
        <v>2.8183161876578557</v>
      </c>
    </row>
    <row r="375" spans="1:20" x14ac:dyDescent="0.25">
      <c r="A375" s="5">
        <v>44218</v>
      </c>
      <c r="B375">
        <v>1.521E-3</v>
      </c>
      <c r="C375">
        <v>1.598E-3</v>
      </c>
      <c r="D375">
        <v>1.4610000000000001E-3</v>
      </c>
      <c r="E375">
        <v>1.572E-3</v>
      </c>
      <c r="F375">
        <v>146442552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0.62043795620437969</v>
      </c>
      <c r="Q375">
        <f t="shared" si="970"/>
        <v>90858517.664233595</v>
      </c>
      <c r="R375">
        <f t="shared" si="971"/>
        <v>271158546.81456602</v>
      </c>
      <c r="S375">
        <f t="shared" si="972"/>
        <v>2711.5854681456603</v>
      </c>
      <c r="T375">
        <f t="shared" si="973"/>
        <v>2.7115854681456604</v>
      </c>
    </row>
    <row r="376" spans="1:20" x14ac:dyDescent="0.25">
      <c r="A376" s="5">
        <v>44217</v>
      </c>
      <c r="B376">
        <v>1.6689999999999999E-3</v>
      </c>
      <c r="C376">
        <v>1.7160000000000001E-3</v>
      </c>
      <c r="D376">
        <v>1.511E-3</v>
      </c>
      <c r="E376">
        <v>1.5139999999999999E-3</v>
      </c>
      <c r="F376">
        <v>197561940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-0.97073170731707348</v>
      </c>
      <c r="Q376">
        <f t="shared" si="970"/>
        <v>-191779639.31707323</v>
      </c>
      <c r="R376">
        <f t="shared" si="971"/>
        <v>180300029.15033239</v>
      </c>
      <c r="S376">
        <f t="shared" si="972"/>
        <v>1803.000291503324</v>
      </c>
      <c r="T376">
        <f t="shared" si="973"/>
        <v>1.8030002915033241</v>
      </c>
    </row>
    <row r="377" spans="1:20" x14ac:dyDescent="0.25">
      <c r="A377" s="5">
        <v>44216</v>
      </c>
      <c r="B377">
        <v>1.6949999999999999E-3</v>
      </c>
      <c r="C377">
        <v>1.7030000000000001E-3</v>
      </c>
      <c r="D377">
        <v>1.5870000000000001E-3</v>
      </c>
      <c r="E377">
        <v>1.6689999999999999E-3</v>
      </c>
      <c r="F377">
        <v>154221854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0.41379310344827286</v>
      </c>
      <c r="Q377">
        <f t="shared" si="970"/>
        <v>63815939.586206436</v>
      </c>
      <c r="R377">
        <f t="shared" si="971"/>
        <v>372079668.46740562</v>
      </c>
      <c r="S377">
        <f t="shared" si="972"/>
        <v>3720.796684674056</v>
      </c>
      <c r="T377">
        <f t="shared" si="973"/>
        <v>3.7207966846740561</v>
      </c>
    </row>
    <row r="378" spans="1:20" x14ac:dyDescent="0.25">
      <c r="A378" s="5">
        <v>44215</v>
      </c>
      <c r="B378">
        <v>1.655E-3</v>
      </c>
      <c r="C378">
        <v>1.815E-3</v>
      </c>
      <c r="D378">
        <v>1.624E-3</v>
      </c>
      <c r="E378">
        <v>1.6949999999999999E-3</v>
      </c>
      <c r="F378">
        <v>297976263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-0.25654450261780221</v>
      </c>
      <c r="Q378">
        <f t="shared" si="970"/>
        <v>-76444172.183246419</v>
      </c>
      <c r="R378">
        <f t="shared" si="971"/>
        <v>308263728.88119918</v>
      </c>
      <c r="S378">
        <f t="shared" si="972"/>
        <v>3082.6372888119918</v>
      </c>
      <c r="T378">
        <f t="shared" si="973"/>
        <v>3.0826372888119917</v>
      </c>
    </row>
    <row r="379" spans="1:20" x14ac:dyDescent="0.25">
      <c r="A379" s="5">
        <v>44214</v>
      </c>
      <c r="B379">
        <v>1.629E-3</v>
      </c>
      <c r="C379">
        <v>1.655E-3</v>
      </c>
      <c r="D379">
        <v>1.5629999999999999E-3</v>
      </c>
      <c r="E379">
        <v>1.655E-3</v>
      </c>
      <c r="F379">
        <v>134646633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1</v>
      </c>
      <c r="Q379">
        <f t="shared" si="970"/>
        <v>134646633</v>
      </c>
      <c r="R379">
        <f t="shared" si="971"/>
        <v>384707901.06444561</v>
      </c>
      <c r="S379">
        <f t="shared" si="972"/>
        <v>3847.079010644456</v>
      </c>
      <c r="T379">
        <f t="shared" si="973"/>
        <v>3.8470790106444559</v>
      </c>
    </row>
    <row r="380" spans="1:20" x14ac:dyDescent="0.25">
      <c r="A380" s="5">
        <v>44213</v>
      </c>
      <c r="B380">
        <v>1.6199999999999999E-3</v>
      </c>
      <c r="C380">
        <v>1.6670000000000001E-3</v>
      </c>
      <c r="D380">
        <v>1.5349999999999999E-3</v>
      </c>
      <c r="E380">
        <v>1.6260000000000001E-3</v>
      </c>
      <c r="F380">
        <v>165043085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0.37878787878787928</v>
      </c>
      <c r="Q380">
        <f t="shared" si="970"/>
        <v>62516320.07575766</v>
      </c>
      <c r="R380">
        <f t="shared" si="971"/>
        <v>250061268.06444561</v>
      </c>
      <c r="S380">
        <f t="shared" si="972"/>
        <v>2500.6126806444563</v>
      </c>
      <c r="T380">
        <f t="shared" si="973"/>
        <v>2.5006126806444562</v>
      </c>
    </row>
    <row r="381" spans="1:20" x14ac:dyDescent="0.25">
      <c r="A381" s="5">
        <v>44212</v>
      </c>
      <c r="B381">
        <v>1.56E-3</v>
      </c>
      <c r="C381">
        <v>1.6800000000000001E-3</v>
      </c>
      <c r="D381">
        <v>1.547E-3</v>
      </c>
      <c r="E381">
        <v>1.632E-3</v>
      </c>
      <c r="F381">
        <v>318295473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0.27819548872180377</v>
      </c>
      <c r="Q381">
        <f t="shared" si="970"/>
        <v>88548364.669172704</v>
      </c>
      <c r="R381">
        <f t="shared" si="971"/>
        <v>187544947.98868796</v>
      </c>
      <c r="S381">
        <f t="shared" si="972"/>
        <v>1875.4494798868795</v>
      </c>
      <c r="T381">
        <f t="shared" si="973"/>
        <v>1.8754494798868795</v>
      </c>
    </row>
    <row r="382" spans="1:20" x14ac:dyDescent="0.25">
      <c r="A382" s="5">
        <v>44211</v>
      </c>
      <c r="B382">
        <v>1.614E-3</v>
      </c>
      <c r="C382">
        <v>1.619E-3</v>
      </c>
      <c r="D382">
        <v>1.4859999999999999E-3</v>
      </c>
      <c r="E382">
        <v>1.565E-3</v>
      </c>
      <c r="F382">
        <v>131952884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0.18796992481203045</v>
      </c>
      <c r="Q382">
        <f t="shared" si="970"/>
        <v>24803173.684210576</v>
      </c>
      <c r="R382">
        <f t="shared" si="971"/>
        <v>98996583.319515258</v>
      </c>
      <c r="S382">
        <f t="shared" si="972"/>
        <v>989.96583319515253</v>
      </c>
      <c r="T382">
        <f t="shared" si="973"/>
        <v>0.98996583319515252</v>
      </c>
    </row>
    <row r="383" spans="1:20" x14ac:dyDescent="0.25">
      <c r="A383" s="5">
        <v>44210</v>
      </c>
      <c r="B383">
        <v>1.552E-3</v>
      </c>
      <c r="C383">
        <v>1.658E-3</v>
      </c>
      <c r="D383">
        <v>1.5319999999999999E-3</v>
      </c>
      <c r="E383">
        <v>1.6100000000000001E-3</v>
      </c>
      <c r="F383">
        <v>340679648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0.23809523809524039</v>
      </c>
      <c r="Q383">
        <f t="shared" si="970"/>
        <v>81114201.904762685</v>
      </c>
      <c r="R383">
        <f t="shared" si="971"/>
        <v>74193409.635304689</v>
      </c>
      <c r="S383">
        <f t="shared" si="972"/>
        <v>741.93409635304693</v>
      </c>
      <c r="T383">
        <f t="shared" si="973"/>
        <v>0.74193409635304697</v>
      </c>
    </row>
    <row r="384" spans="1:20" x14ac:dyDescent="0.25">
      <c r="A384" s="5">
        <v>44209</v>
      </c>
      <c r="B384">
        <v>1.4779999999999999E-3</v>
      </c>
      <c r="C384">
        <v>1.57E-3</v>
      </c>
      <c r="D384">
        <v>1.361E-3</v>
      </c>
      <c r="E384">
        <v>1.5510000000000001E-3</v>
      </c>
      <c r="F384">
        <v>592382209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0.8181818181818189</v>
      </c>
      <c r="Q384">
        <f t="shared" si="970"/>
        <v>484676352.81818223</v>
      </c>
      <c r="R384">
        <f t="shared" si="971"/>
        <v>-6920792.2694579959</v>
      </c>
      <c r="S384">
        <f t="shared" si="972"/>
        <v>-69.207922694579963</v>
      </c>
      <c r="T384">
        <f t="shared" si="973"/>
        <v>-6.9207922694579968E-2</v>
      </c>
    </row>
    <row r="385" spans="1:20" x14ac:dyDescent="0.25">
      <c r="A385" s="5">
        <v>44208</v>
      </c>
      <c r="B385">
        <v>1.457E-3</v>
      </c>
      <c r="C385">
        <v>1.5319999999999999E-3</v>
      </c>
      <c r="D385">
        <v>1.436E-3</v>
      </c>
      <c r="E385">
        <v>1.4779999999999999E-3</v>
      </c>
      <c r="F385">
        <v>210397163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-0.12500000000000086</v>
      </c>
      <c r="Q385">
        <f t="shared" si="970"/>
        <v>-26299645.375000183</v>
      </c>
      <c r="R385">
        <f t="shared" si="971"/>
        <v>-491597145.08764023</v>
      </c>
      <c r="S385">
        <f t="shared" si="972"/>
        <v>-4915.9714508764018</v>
      </c>
      <c r="T385">
        <f t="shared" si="973"/>
        <v>-4.9159714508764019</v>
      </c>
    </row>
    <row r="386" spans="1:20" x14ac:dyDescent="0.25">
      <c r="A386" s="5">
        <v>44207</v>
      </c>
      <c r="B386">
        <v>1.634E-3</v>
      </c>
      <c r="C386">
        <v>1.6429999999999999E-3</v>
      </c>
      <c r="D386">
        <v>1.3760000000000001E-3</v>
      </c>
      <c r="E386">
        <v>1.456E-3</v>
      </c>
      <c r="F386">
        <v>288066995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-0.40074906367041174</v>
      </c>
      <c r="Q386">
        <f t="shared" si="970"/>
        <v>-115442578.52059919</v>
      </c>
      <c r="R386">
        <f t="shared" si="971"/>
        <v>-465297499.71264005</v>
      </c>
      <c r="S386">
        <f t="shared" si="972"/>
        <v>-4652.9749971264009</v>
      </c>
      <c r="T386">
        <f t="shared" si="973"/>
        <v>-4.6529749971264005</v>
      </c>
    </row>
    <row r="387" spans="1:20" x14ac:dyDescent="0.25">
      <c r="A387" s="5">
        <v>44206</v>
      </c>
      <c r="B387">
        <v>1.7099999999999999E-3</v>
      </c>
      <c r="C387">
        <v>1.786E-3</v>
      </c>
      <c r="D387">
        <v>1.557E-3</v>
      </c>
      <c r="E387">
        <v>1.6329999999999999E-3</v>
      </c>
      <c r="F387">
        <v>477254547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-0.33624454148471716</v>
      </c>
      <c r="Q387">
        <f t="shared" si="970"/>
        <v>-160474236.3275114</v>
      </c>
      <c r="R387">
        <f t="shared" si="971"/>
        <v>-349854921.19204086</v>
      </c>
      <c r="S387">
        <f t="shared" si="972"/>
        <v>-3498.5492119204087</v>
      </c>
      <c r="T387">
        <f t="shared" si="973"/>
        <v>-3.4985492119204085</v>
      </c>
    </row>
    <row r="388" spans="1:20" x14ac:dyDescent="0.25">
      <c r="A388" s="5">
        <v>44205</v>
      </c>
      <c r="B388">
        <v>1.516E-3</v>
      </c>
      <c r="C388">
        <v>1.8500000000000001E-3</v>
      </c>
      <c r="D388">
        <v>1.498E-3</v>
      </c>
      <c r="E388">
        <v>1.702E-3</v>
      </c>
      <c r="F388">
        <v>1137945505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0.15909090909090859</v>
      </c>
      <c r="Q388">
        <f t="shared" si="970"/>
        <v>181036784.88636306</v>
      </c>
      <c r="R388">
        <f t="shared" si="971"/>
        <v>-189380684.86452946</v>
      </c>
      <c r="S388">
        <f t="shared" si="972"/>
        <v>-1893.8068486452946</v>
      </c>
      <c r="T388">
        <f t="shared" si="973"/>
        <v>-1.8938068486452946</v>
      </c>
    </row>
    <row r="389" spans="1:20" x14ac:dyDescent="0.25">
      <c r="A389" s="5">
        <v>44204</v>
      </c>
      <c r="B389">
        <v>1.536E-3</v>
      </c>
      <c r="C389">
        <v>1.549E-3</v>
      </c>
      <c r="D389">
        <v>1.426E-3</v>
      </c>
      <c r="E389">
        <v>1.523E-3</v>
      </c>
      <c r="F389">
        <v>273499768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0.57723577235772405</v>
      </c>
      <c r="Q389">
        <f t="shared" si="970"/>
        <v>157873849.82113835</v>
      </c>
      <c r="R389">
        <f t="shared" si="971"/>
        <v>-370417469.75089252</v>
      </c>
      <c r="S389">
        <f t="shared" si="972"/>
        <v>-3704.1746975089254</v>
      </c>
      <c r="T389">
        <f t="shared" si="973"/>
        <v>-3.7041746975089254</v>
      </c>
    </row>
    <row r="390" spans="1:20" x14ac:dyDescent="0.25">
      <c r="A390" s="5">
        <v>44203</v>
      </c>
      <c r="B390">
        <v>1.523E-3</v>
      </c>
      <c r="C390">
        <v>1.6000000000000001E-3</v>
      </c>
      <c r="D390">
        <v>1.474E-3</v>
      </c>
      <c r="E390">
        <v>1.5319999999999999E-3</v>
      </c>
      <c r="F390">
        <v>374029908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-7.9365079365081276E-2</v>
      </c>
      <c r="Q390">
        <f t="shared" ref="Q390:Q453" si="975">F390*P390</f>
        <v>-29684913.333334047</v>
      </c>
      <c r="R390">
        <f t="shared" ref="R390:R453" si="976">R391+Q390</f>
        <v>-528291319.57203084</v>
      </c>
      <c r="S390">
        <f t="shared" ref="S390:S453" si="977">R390/100000</f>
        <v>-5282.9131957203081</v>
      </c>
      <c r="T390">
        <f t="shared" ref="T390:T453" si="978">S390/1000</f>
        <v>-5.2829131957203082</v>
      </c>
    </row>
    <row r="391" spans="1:20" x14ac:dyDescent="0.25">
      <c r="A391" s="5">
        <v>44202</v>
      </c>
      <c r="B391">
        <v>1.5039999999999999E-3</v>
      </c>
      <c r="C391">
        <v>1.5250000000000001E-3</v>
      </c>
      <c r="D391">
        <v>1.451E-3</v>
      </c>
      <c r="E391">
        <v>1.523E-3</v>
      </c>
      <c r="F391">
        <v>322963990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0.94594594594594472</v>
      </c>
      <c r="Q391">
        <f t="shared" si="975"/>
        <v>305506477.02702665</v>
      </c>
      <c r="R391">
        <f t="shared" si="976"/>
        <v>-498606406.23869681</v>
      </c>
      <c r="S391">
        <f t="shared" si="977"/>
        <v>-4986.0640623869685</v>
      </c>
      <c r="T391">
        <f t="shared" si="978"/>
        <v>-4.9860640623869683</v>
      </c>
    </row>
    <row r="392" spans="1:20" x14ac:dyDescent="0.25">
      <c r="A392" s="5">
        <v>44201</v>
      </c>
      <c r="B392">
        <v>1.4469999999999999E-3</v>
      </c>
      <c r="C392">
        <v>1.5039999999999999E-3</v>
      </c>
      <c r="D392">
        <v>1.3810000000000001E-3</v>
      </c>
      <c r="E392">
        <v>1.5039999999999999E-3</v>
      </c>
      <c r="F392">
        <v>173261870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1</v>
      </c>
      <c r="Q392">
        <f t="shared" si="975"/>
        <v>173261870</v>
      </c>
      <c r="R392">
        <f t="shared" si="976"/>
        <v>-804112883.26572347</v>
      </c>
      <c r="S392">
        <f t="shared" si="977"/>
        <v>-8041.1288326572349</v>
      </c>
      <c r="T392">
        <f t="shared" si="978"/>
        <v>-8.0411288326572343</v>
      </c>
    </row>
    <row r="393" spans="1:20" x14ac:dyDescent="0.25">
      <c r="A393" s="5">
        <v>44200</v>
      </c>
      <c r="B393">
        <v>1.472E-3</v>
      </c>
      <c r="C393">
        <v>1.5200000000000001E-3</v>
      </c>
      <c r="D393">
        <v>1.3630000000000001E-3</v>
      </c>
      <c r="E393">
        <v>1.451E-3</v>
      </c>
      <c r="F393">
        <v>206708961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0.12101910828025425</v>
      </c>
      <c r="Q393">
        <f t="shared" si="975"/>
        <v>25015734.133757852</v>
      </c>
      <c r="R393">
        <f t="shared" si="976"/>
        <v>-977374753.26572347</v>
      </c>
      <c r="S393">
        <f t="shared" si="977"/>
        <v>-9773.7475326572348</v>
      </c>
      <c r="T393">
        <f t="shared" si="978"/>
        <v>-9.7737475326572341</v>
      </c>
    </row>
    <row r="394" spans="1:20" x14ac:dyDescent="0.25">
      <c r="A394" s="5">
        <v>44199</v>
      </c>
      <c r="B394">
        <v>1.524E-3</v>
      </c>
      <c r="C394">
        <v>1.524E-3</v>
      </c>
      <c r="D394">
        <v>1.4319999999999999E-3</v>
      </c>
      <c r="E394">
        <v>1.4710000000000001E-3</v>
      </c>
      <c r="F394">
        <v>221909711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-0.15217391304347477</v>
      </c>
      <c r="Q394">
        <f t="shared" si="975"/>
        <v>-33768869.065216616</v>
      </c>
      <c r="R394">
        <f t="shared" si="976"/>
        <v>-1002390487.3994813</v>
      </c>
      <c r="S394">
        <f t="shared" si="977"/>
        <v>-10023.904873994812</v>
      </c>
      <c r="T394">
        <f t="shared" si="978"/>
        <v>-10.023904873994812</v>
      </c>
    </row>
    <row r="395" spans="1:20" x14ac:dyDescent="0.25">
      <c r="A395" s="5">
        <v>44198</v>
      </c>
      <c r="B395">
        <v>1.57E-3</v>
      </c>
      <c r="C395">
        <v>1.6000000000000001E-3</v>
      </c>
      <c r="D395">
        <v>1.498E-3</v>
      </c>
      <c r="E395">
        <v>1.5200000000000001E-3</v>
      </c>
      <c r="F395">
        <v>135203906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-0.56862745098039058</v>
      </c>
      <c r="Q395">
        <f t="shared" si="975"/>
        <v>-76880652.43137233</v>
      </c>
      <c r="R395">
        <f t="shared" si="976"/>
        <v>-968621618.33426464</v>
      </c>
      <c r="S395">
        <f t="shared" si="977"/>
        <v>-9686.2161833426471</v>
      </c>
      <c r="T395">
        <f t="shared" si="978"/>
        <v>-9.6862161833426477</v>
      </c>
    </row>
    <row r="396" spans="1:20" x14ac:dyDescent="0.25">
      <c r="A396" s="5">
        <v>44197</v>
      </c>
      <c r="B396">
        <v>1.4350000000000001E-3</v>
      </c>
      <c r="C396">
        <v>1.6750000000000001E-3</v>
      </c>
      <c r="D396">
        <v>1.426E-3</v>
      </c>
      <c r="E396">
        <v>1.578E-3</v>
      </c>
      <c r="F396">
        <v>405043444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0.22088353413654582</v>
      </c>
      <c r="Q396">
        <f t="shared" si="975"/>
        <v>89467427.389558092</v>
      </c>
      <c r="R396">
        <f t="shared" si="976"/>
        <v>-891740965.90289235</v>
      </c>
      <c r="S396">
        <f t="shared" si="977"/>
        <v>-8917.4096590289228</v>
      </c>
      <c r="T396">
        <f t="shared" si="978"/>
        <v>-8.9174096590289231</v>
      </c>
    </row>
    <row r="397" spans="1:20" x14ac:dyDescent="0.25">
      <c r="A397" s="5">
        <v>44196</v>
      </c>
      <c r="B397">
        <v>1.431E-3</v>
      </c>
      <c r="C397">
        <v>1.4499999999999999E-3</v>
      </c>
      <c r="D397">
        <v>1.3910000000000001E-3</v>
      </c>
      <c r="E397">
        <v>1.4350000000000001E-3</v>
      </c>
      <c r="F397">
        <v>102448100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0.49152542372881791</v>
      </c>
      <c r="Q397">
        <f t="shared" si="975"/>
        <v>50355845.762712307</v>
      </c>
      <c r="R397">
        <f t="shared" si="976"/>
        <v>-981208393.29245043</v>
      </c>
      <c r="S397">
        <f t="shared" si="977"/>
        <v>-9812.0839329245046</v>
      </c>
      <c r="T397">
        <f t="shared" si="978"/>
        <v>-9.8120839329245051</v>
      </c>
    </row>
    <row r="398" spans="1:20" x14ac:dyDescent="0.25">
      <c r="A398" s="5">
        <v>44195</v>
      </c>
      <c r="B398">
        <v>1.4630000000000001E-3</v>
      </c>
      <c r="C398">
        <v>1.472E-3</v>
      </c>
      <c r="D398">
        <v>1.402E-3</v>
      </c>
      <c r="E398">
        <v>1.4400000000000001E-3</v>
      </c>
      <c r="F398">
        <v>153310293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8.5714285714287838E-2</v>
      </c>
      <c r="Q398">
        <f t="shared" si="975"/>
        <v>13140882.257143183</v>
      </c>
      <c r="R398">
        <f t="shared" si="976"/>
        <v>-1031564239.0551628</v>
      </c>
      <c r="S398">
        <f t="shared" si="977"/>
        <v>-10315.642390551628</v>
      </c>
      <c r="T398">
        <f t="shared" si="978"/>
        <v>-10.315642390551627</v>
      </c>
    </row>
    <row r="399" spans="1:20" x14ac:dyDescent="0.25">
      <c r="A399" s="5">
        <v>44194</v>
      </c>
      <c r="B399">
        <v>1.5039999999999999E-3</v>
      </c>
      <c r="C399">
        <v>1.505E-3</v>
      </c>
      <c r="D399">
        <v>1.374E-3</v>
      </c>
      <c r="E399">
        <v>1.462E-3</v>
      </c>
      <c r="F399">
        <v>274341206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0.34351145038167852</v>
      </c>
      <c r="Q399">
        <f t="shared" si="975"/>
        <v>94239345.57251884</v>
      </c>
      <c r="R399">
        <f t="shared" si="976"/>
        <v>-1044705121.3123059</v>
      </c>
      <c r="S399">
        <f t="shared" si="977"/>
        <v>-10447.051213123059</v>
      </c>
      <c r="T399">
        <f t="shared" si="978"/>
        <v>-10.447051213123059</v>
      </c>
    </row>
    <row r="400" spans="1:20" x14ac:dyDescent="0.25">
      <c r="A400" s="5">
        <v>44193</v>
      </c>
      <c r="B400">
        <v>1.5120000000000001E-3</v>
      </c>
      <c r="C400">
        <v>1.5250000000000001E-3</v>
      </c>
      <c r="D400">
        <v>1.4859999999999999E-3</v>
      </c>
      <c r="E400">
        <v>1.4940000000000001E-3</v>
      </c>
      <c r="F400">
        <v>93305798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-0.58974358974358176</v>
      </c>
      <c r="Q400">
        <f t="shared" si="975"/>
        <v>-55026496.256409511</v>
      </c>
      <c r="R400">
        <f t="shared" si="976"/>
        <v>-1138944466.8848248</v>
      </c>
      <c r="S400">
        <f t="shared" si="977"/>
        <v>-11389.444668848248</v>
      </c>
      <c r="T400">
        <f t="shared" si="978"/>
        <v>-11.389444668848247</v>
      </c>
    </row>
    <row r="401" spans="1:20" x14ac:dyDescent="0.25">
      <c r="A401" s="5">
        <v>44192</v>
      </c>
      <c r="B401">
        <v>1.5150000000000001E-3</v>
      </c>
      <c r="C401">
        <v>1.5709999999999999E-3</v>
      </c>
      <c r="D401">
        <v>1.4339999999999999E-3</v>
      </c>
      <c r="E401">
        <v>1.5120000000000001E-3</v>
      </c>
      <c r="F401">
        <v>228376947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0.13868613138686392</v>
      </c>
      <c r="Q401">
        <f t="shared" si="975"/>
        <v>31672715.277372859</v>
      </c>
      <c r="R401">
        <f t="shared" si="976"/>
        <v>-1083917970.6284153</v>
      </c>
      <c r="S401">
        <f t="shared" si="977"/>
        <v>-10839.179706284154</v>
      </c>
      <c r="T401">
        <f t="shared" si="978"/>
        <v>-10.839179706284154</v>
      </c>
    </row>
    <row r="402" spans="1:20" x14ac:dyDescent="0.25">
      <c r="A402" s="5">
        <v>44191</v>
      </c>
      <c r="B402">
        <v>1.5629999999999999E-3</v>
      </c>
      <c r="C402">
        <v>1.5759999999999999E-3</v>
      </c>
      <c r="D402">
        <v>1.5E-3</v>
      </c>
      <c r="E402">
        <v>1.5150000000000001E-3</v>
      </c>
      <c r="F402">
        <v>251814591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-0.60526315789473528</v>
      </c>
      <c r="Q402">
        <f t="shared" si="975"/>
        <v>-152414094.5526312</v>
      </c>
      <c r="R402">
        <f t="shared" si="976"/>
        <v>-1115590685.9057882</v>
      </c>
      <c r="S402">
        <f t="shared" si="977"/>
        <v>-11155.906859057883</v>
      </c>
      <c r="T402">
        <f t="shared" si="978"/>
        <v>-11.155906859057882</v>
      </c>
    </row>
    <row r="403" spans="1:20" x14ac:dyDescent="0.25">
      <c r="A403" s="5">
        <v>44190</v>
      </c>
      <c r="B403">
        <v>1.6230000000000001E-3</v>
      </c>
      <c r="C403">
        <v>1.637E-3</v>
      </c>
      <c r="D403">
        <v>1.5100000000000001E-3</v>
      </c>
      <c r="E403">
        <v>1.5629999999999999E-3</v>
      </c>
      <c r="F403">
        <v>305977023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-0.16535433070866296</v>
      </c>
      <c r="Q403">
        <f t="shared" si="975"/>
        <v>-50594625.850394174</v>
      </c>
      <c r="R403">
        <f t="shared" si="976"/>
        <v>-963176591.35315704</v>
      </c>
      <c r="S403">
        <f t="shared" si="977"/>
        <v>-9631.7659135315698</v>
      </c>
      <c r="T403">
        <f t="shared" si="978"/>
        <v>-9.6317659135315701</v>
      </c>
    </row>
    <row r="404" spans="1:20" x14ac:dyDescent="0.25">
      <c r="A404" s="5">
        <v>44189</v>
      </c>
      <c r="B404">
        <v>1.523E-3</v>
      </c>
      <c r="C404">
        <v>1.639E-3</v>
      </c>
      <c r="D404">
        <v>1.4E-3</v>
      </c>
      <c r="E404">
        <v>1.6280000000000001E-3</v>
      </c>
      <c r="F404">
        <v>452275532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0.90794979079497962</v>
      </c>
      <c r="Q404">
        <f t="shared" si="975"/>
        <v>410643474.66108811</v>
      </c>
      <c r="R404">
        <f t="shared" si="976"/>
        <v>-912581965.50276291</v>
      </c>
      <c r="S404">
        <f t="shared" si="977"/>
        <v>-9125.8196550276298</v>
      </c>
      <c r="T404">
        <f t="shared" si="978"/>
        <v>-9.1258196550276303</v>
      </c>
    </row>
    <row r="405" spans="1:20" x14ac:dyDescent="0.25">
      <c r="A405" s="5">
        <v>44188</v>
      </c>
      <c r="B405">
        <v>2.248E-3</v>
      </c>
      <c r="C405">
        <v>2.3500000000000001E-3</v>
      </c>
      <c r="D405">
        <v>1.418E-3</v>
      </c>
      <c r="E405">
        <v>1.526E-3</v>
      </c>
      <c r="F405">
        <v>1354955015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-0.76824034334763946</v>
      </c>
      <c r="Q405">
        <f t="shared" si="975"/>
        <v>-1040931105.944206</v>
      </c>
      <c r="R405">
        <f t="shared" si="976"/>
        <v>-1323225440.163851</v>
      </c>
      <c r="S405">
        <f t="shared" si="977"/>
        <v>-13232.254401638511</v>
      </c>
      <c r="T405">
        <f t="shared" si="978"/>
        <v>-13.23225440163851</v>
      </c>
    </row>
    <row r="406" spans="1:20" x14ac:dyDescent="0.25">
      <c r="A406" s="5">
        <v>44187</v>
      </c>
      <c r="B406">
        <v>2.232E-3</v>
      </c>
      <c r="C406">
        <v>2.3730000000000001E-3</v>
      </c>
      <c r="D406">
        <v>2.0019999999999999E-3</v>
      </c>
      <c r="E406">
        <v>2.2390000000000001E-3</v>
      </c>
      <c r="F406">
        <v>1585522788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0.27762803234501393</v>
      </c>
      <c r="Q406">
        <f t="shared" si="975"/>
        <v>440185571.87062067</v>
      </c>
      <c r="R406">
        <f t="shared" si="976"/>
        <v>-282294334.21964508</v>
      </c>
      <c r="S406">
        <f t="shared" si="977"/>
        <v>-2822.9433421964509</v>
      </c>
      <c r="T406">
        <f t="shared" si="978"/>
        <v>-2.8229433421964507</v>
      </c>
    </row>
    <row r="407" spans="1:20" x14ac:dyDescent="0.25">
      <c r="A407" s="5">
        <v>44186</v>
      </c>
      <c r="B407">
        <v>2.2000000000000001E-3</v>
      </c>
      <c r="C407">
        <v>2.555E-3</v>
      </c>
      <c r="D407">
        <v>1.9550000000000001E-3</v>
      </c>
      <c r="E407">
        <v>2.2300000000000002E-3</v>
      </c>
      <c r="F407">
        <v>1309656108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-8.3333333333332857E-2</v>
      </c>
      <c r="Q407">
        <f t="shared" si="975"/>
        <v>-109138008.99999937</v>
      </c>
      <c r="R407">
        <f t="shared" si="976"/>
        <v>-722479906.09026575</v>
      </c>
      <c r="S407">
        <f t="shared" si="977"/>
        <v>-7224.7990609026574</v>
      </c>
      <c r="T407">
        <f t="shared" si="978"/>
        <v>-7.2247990609026571</v>
      </c>
    </row>
    <row r="408" spans="1:20" x14ac:dyDescent="0.25">
      <c r="A408" s="5">
        <v>44185</v>
      </c>
      <c r="B408">
        <v>2.1810000000000002E-3</v>
      </c>
      <c r="C408">
        <v>2.3010000000000001E-3</v>
      </c>
      <c r="D408">
        <v>2.1099999999999999E-3</v>
      </c>
      <c r="E408">
        <v>2.2000000000000001E-3</v>
      </c>
      <c r="F408">
        <v>306047471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-5.7591623036647714E-2</v>
      </c>
      <c r="Q408">
        <f t="shared" si="975"/>
        <v>-17625770.581151374</v>
      </c>
      <c r="R408">
        <f t="shared" si="976"/>
        <v>-613341897.09026635</v>
      </c>
      <c r="S408">
        <f t="shared" si="977"/>
        <v>-6133.4189709026632</v>
      </c>
      <c r="T408">
        <f t="shared" si="978"/>
        <v>-6.133418970902663</v>
      </c>
    </row>
    <row r="409" spans="1:20" x14ac:dyDescent="0.25">
      <c r="A409" s="5">
        <v>44184</v>
      </c>
      <c r="B409">
        <v>2.15E-3</v>
      </c>
      <c r="C409">
        <v>2.2000000000000001E-3</v>
      </c>
      <c r="D409">
        <v>2.085E-3</v>
      </c>
      <c r="E409">
        <v>2.1810000000000002E-3</v>
      </c>
      <c r="F409">
        <v>267920844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0.66956521739130603</v>
      </c>
      <c r="Q409">
        <f t="shared" si="975"/>
        <v>179390478.15652218</v>
      </c>
      <c r="R409">
        <f t="shared" si="976"/>
        <v>-595716126.50911498</v>
      </c>
      <c r="S409">
        <f t="shared" si="977"/>
        <v>-5957.1612650911502</v>
      </c>
      <c r="T409">
        <f t="shared" si="978"/>
        <v>-5.9571612650911501</v>
      </c>
    </row>
    <row r="410" spans="1:20" x14ac:dyDescent="0.25">
      <c r="A410" s="5">
        <v>44183</v>
      </c>
      <c r="B410">
        <v>2.1419999999999998E-3</v>
      </c>
      <c r="C410">
        <v>2.2200000000000002E-3</v>
      </c>
      <c r="D410">
        <v>1.9980000000000002E-3</v>
      </c>
      <c r="E410">
        <v>2.15E-3</v>
      </c>
      <c r="F410">
        <v>466340821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0.36936936936936765</v>
      </c>
      <c r="Q410">
        <f t="shared" si="975"/>
        <v>172252014.96396315</v>
      </c>
      <c r="R410">
        <f t="shared" si="976"/>
        <v>-775106604.66563714</v>
      </c>
      <c r="S410">
        <f t="shared" si="977"/>
        <v>-7751.0660466563713</v>
      </c>
      <c r="T410">
        <f t="shared" si="978"/>
        <v>-7.751066046656371</v>
      </c>
    </row>
    <row r="411" spans="1:20" x14ac:dyDescent="0.25">
      <c r="A411" s="5">
        <v>44182</v>
      </c>
      <c r="B411">
        <v>1.944E-3</v>
      </c>
      <c r="C411">
        <v>2.3210000000000001E-3</v>
      </c>
      <c r="D411">
        <v>1.8929999999999999E-3</v>
      </c>
      <c r="E411">
        <v>2.1429999999999999E-3</v>
      </c>
      <c r="F411">
        <v>1357707598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0.16822429906542</v>
      </c>
      <c r="Q411">
        <f t="shared" si="975"/>
        <v>228399409.00934502</v>
      </c>
      <c r="R411">
        <f t="shared" si="976"/>
        <v>-947358619.62960029</v>
      </c>
      <c r="S411">
        <f t="shared" si="977"/>
        <v>-9473.5861962960025</v>
      </c>
      <c r="T411">
        <f t="shared" si="978"/>
        <v>-9.4735861962960026</v>
      </c>
    </row>
    <row r="412" spans="1:20" x14ac:dyDescent="0.25">
      <c r="A412" s="5">
        <v>44181</v>
      </c>
      <c r="B412">
        <v>1.784E-3</v>
      </c>
      <c r="C412">
        <v>1.9659999999999999E-3</v>
      </c>
      <c r="D412">
        <v>1.72E-3</v>
      </c>
      <c r="E412">
        <v>1.9430000000000001E-3</v>
      </c>
      <c r="F412">
        <v>387262722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0.81300813008130235</v>
      </c>
      <c r="Q412">
        <f t="shared" si="975"/>
        <v>314847741.46341521</v>
      </c>
      <c r="R412">
        <f t="shared" si="976"/>
        <v>-1175758028.6389453</v>
      </c>
      <c r="S412">
        <f t="shared" si="977"/>
        <v>-11757.580286389453</v>
      </c>
      <c r="T412">
        <f t="shared" si="978"/>
        <v>-11.757580286389453</v>
      </c>
    </row>
    <row r="413" spans="1:20" x14ac:dyDescent="0.25">
      <c r="A413" s="5">
        <v>44180</v>
      </c>
      <c r="B413">
        <v>1.7600000000000001E-3</v>
      </c>
      <c r="C413">
        <v>1.8220000000000001E-3</v>
      </c>
      <c r="D413">
        <v>1.722E-3</v>
      </c>
      <c r="E413">
        <v>1.784E-3</v>
      </c>
      <c r="F413">
        <v>248808021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0.23999999999999921</v>
      </c>
      <c r="Q413">
        <f t="shared" si="975"/>
        <v>59713925.039999805</v>
      </c>
      <c r="R413">
        <f t="shared" si="976"/>
        <v>-1490605770.1023605</v>
      </c>
      <c r="S413">
        <f t="shared" si="977"/>
        <v>-14906.057701023605</v>
      </c>
      <c r="T413">
        <f t="shared" si="978"/>
        <v>-14.906057701023604</v>
      </c>
    </row>
    <row r="414" spans="1:20" x14ac:dyDescent="0.25">
      <c r="A414" s="5">
        <v>44179</v>
      </c>
      <c r="B414">
        <v>1.6360000000000001E-3</v>
      </c>
      <c r="C414">
        <v>1.8289999999999999E-3</v>
      </c>
      <c r="D414">
        <v>1.603E-3</v>
      </c>
      <c r="E414">
        <v>1.7570000000000001E-3</v>
      </c>
      <c r="F414">
        <v>483952277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0.36283185840708104</v>
      </c>
      <c r="Q414">
        <f t="shared" si="975"/>
        <v>175593304.04424846</v>
      </c>
      <c r="R414">
        <f t="shared" si="976"/>
        <v>-1550319695.1423602</v>
      </c>
      <c r="S414">
        <f t="shared" si="977"/>
        <v>-15503.196951423603</v>
      </c>
      <c r="T414">
        <f t="shared" si="978"/>
        <v>-15.503196951423602</v>
      </c>
    </row>
    <row r="415" spans="1:20" x14ac:dyDescent="0.25">
      <c r="A415" s="5">
        <v>44178</v>
      </c>
      <c r="B415">
        <v>1.624E-3</v>
      </c>
      <c r="C415">
        <v>1.6570000000000001E-3</v>
      </c>
      <c r="D415">
        <v>1.6080000000000001E-3</v>
      </c>
      <c r="E415">
        <v>1.634E-3</v>
      </c>
      <c r="F415">
        <v>114118980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6.1224489795917644E-2</v>
      </c>
      <c r="Q415">
        <f t="shared" si="975"/>
        <v>6986876.3265305301</v>
      </c>
      <c r="R415">
        <f t="shared" si="976"/>
        <v>-1725912999.1866088</v>
      </c>
      <c r="S415">
        <f t="shared" si="977"/>
        <v>-17259.129991866088</v>
      </c>
      <c r="T415">
        <f t="shared" si="978"/>
        <v>-17.259129991866089</v>
      </c>
    </row>
    <row r="416" spans="1:20" x14ac:dyDescent="0.25">
      <c r="A416" s="5">
        <v>44177</v>
      </c>
      <c r="B416">
        <v>1.5690000000000001E-3</v>
      </c>
      <c r="C416">
        <v>1.6410000000000001E-3</v>
      </c>
      <c r="D416">
        <v>1.5640000000000001E-3</v>
      </c>
      <c r="E416">
        <v>1.624E-3</v>
      </c>
      <c r="F416">
        <v>171556325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0.5584415584415563</v>
      </c>
      <c r="Q416">
        <f t="shared" si="975"/>
        <v>95804181.493506119</v>
      </c>
      <c r="R416">
        <f t="shared" si="976"/>
        <v>-1732899875.5131392</v>
      </c>
      <c r="S416">
        <f t="shared" si="977"/>
        <v>-17328.998755131393</v>
      </c>
      <c r="T416">
        <f t="shared" si="978"/>
        <v>-17.328998755131394</v>
      </c>
    </row>
    <row r="417" spans="1:20" x14ac:dyDescent="0.25">
      <c r="A417" s="5">
        <v>44176</v>
      </c>
      <c r="B417">
        <v>1.598E-3</v>
      </c>
      <c r="C417">
        <v>1.6080000000000001E-3</v>
      </c>
      <c r="D417">
        <v>1.5009999999999999E-3</v>
      </c>
      <c r="E417">
        <v>1.5679999999999999E-3</v>
      </c>
      <c r="F417">
        <v>287238975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0.25233644859812965</v>
      </c>
      <c r="Q417">
        <f t="shared" si="975"/>
        <v>72480862.850466952</v>
      </c>
      <c r="R417">
        <f t="shared" si="976"/>
        <v>-1828704057.0066454</v>
      </c>
      <c r="S417">
        <f t="shared" si="977"/>
        <v>-18287.040570066456</v>
      </c>
      <c r="T417">
        <f t="shared" si="978"/>
        <v>-18.287040570066456</v>
      </c>
    </row>
    <row r="418" spans="1:20" x14ac:dyDescent="0.25">
      <c r="A418" s="5">
        <v>44175</v>
      </c>
      <c r="B418">
        <v>1.6100000000000001E-3</v>
      </c>
      <c r="C418">
        <v>1.6169999999999999E-3</v>
      </c>
      <c r="D418">
        <v>1.552E-3</v>
      </c>
      <c r="E418">
        <v>1.5969999999999999E-3</v>
      </c>
      <c r="F418">
        <v>177060848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0.38461538461538258</v>
      </c>
      <c r="Q418">
        <f t="shared" si="975"/>
        <v>68100326.153845787</v>
      </c>
      <c r="R418">
        <f t="shared" si="976"/>
        <v>-1901184919.8571124</v>
      </c>
      <c r="S418">
        <f t="shared" si="977"/>
        <v>-19011.849198571123</v>
      </c>
      <c r="T418">
        <f t="shared" si="978"/>
        <v>-19.011849198571124</v>
      </c>
    </row>
    <row r="419" spans="1:20" x14ac:dyDescent="0.25">
      <c r="A419" s="5">
        <v>44174</v>
      </c>
      <c r="B419">
        <v>1.632E-3</v>
      </c>
      <c r="C419">
        <v>1.65E-3</v>
      </c>
      <c r="D419">
        <v>1.498E-3</v>
      </c>
      <c r="E419">
        <v>1.6100000000000001E-3</v>
      </c>
      <c r="F419">
        <v>273499552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0.47368421052631732</v>
      </c>
      <c r="Q419">
        <f t="shared" si="975"/>
        <v>129552419.36842147</v>
      </c>
      <c r="R419">
        <f t="shared" si="976"/>
        <v>-1969285246.0109582</v>
      </c>
      <c r="S419">
        <f t="shared" si="977"/>
        <v>-19692.852460109581</v>
      </c>
      <c r="T419">
        <f t="shared" si="978"/>
        <v>-19.692852460109581</v>
      </c>
    </row>
    <row r="420" spans="1:20" x14ac:dyDescent="0.25">
      <c r="A420" s="5">
        <v>44173</v>
      </c>
      <c r="B420">
        <v>1.8489999999999999E-3</v>
      </c>
      <c r="C420">
        <v>1.8489999999999999E-3</v>
      </c>
      <c r="D420">
        <v>1.621E-3</v>
      </c>
      <c r="E420">
        <v>1.632E-3</v>
      </c>
      <c r="F420">
        <v>327239571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-0.90350877192982504</v>
      </c>
      <c r="Q420">
        <f t="shared" si="975"/>
        <v>-295663822.92105281</v>
      </c>
      <c r="R420">
        <f t="shared" si="976"/>
        <v>-2098837665.3793797</v>
      </c>
      <c r="S420">
        <f t="shared" si="977"/>
        <v>-20988.376653793799</v>
      </c>
      <c r="T420">
        <f t="shared" si="978"/>
        <v>-20.9883766537938</v>
      </c>
    </row>
    <row r="421" spans="1:20" x14ac:dyDescent="0.25">
      <c r="A421" s="5">
        <v>44172</v>
      </c>
      <c r="B421">
        <v>1.639E-3</v>
      </c>
      <c r="C421">
        <v>1.9599999999999999E-3</v>
      </c>
      <c r="D421">
        <v>1.629E-3</v>
      </c>
      <c r="E421">
        <v>1.8489999999999999E-3</v>
      </c>
      <c r="F421">
        <v>937964095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0.32930513595166155</v>
      </c>
      <c r="Q421">
        <f t="shared" si="975"/>
        <v>308876393.82175219</v>
      </c>
      <c r="R421">
        <f t="shared" si="976"/>
        <v>-1803173842.4583268</v>
      </c>
      <c r="S421">
        <f t="shared" si="977"/>
        <v>-18031.738424583269</v>
      </c>
      <c r="T421">
        <f t="shared" si="978"/>
        <v>-18.031738424583271</v>
      </c>
    </row>
    <row r="422" spans="1:20" x14ac:dyDescent="0.25">
      <c r="A422" s="5">
        <v>44171</v>
      </c>
      <c r="B422">
        <v>1.66E-3</v>
      </c>
      <c r="C422">
        <v>1.686E-3</v>
      </c>
      <c r="D422">
        <v>1.601E-3</v>
      </c>
      <c r="E422">
        <v>1.6299999999999999E-3</v>
      </c>
      <c r="F422">
        <v>186531961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-0.31764705882353073</v>
      </c>
      <c r="Q422">
        <f t="shared" si="975"/>
        <v>-59251328.788235538</v>
      </c>
      <c r="R422">
        <f t="shared" si="976"/>
        <v>-2112050236.2800789</v>
      </c>
      <c r="S422">
        <f t="shared" si="977"/>
        <v>-21120.502362800788</v>
      </c>
      <c r="T422">
        <f t="shared" si="978"/>
        <v>-21.120502362800789</v>
      </c>
    </row>
    <row r="423" spans="1:20" x14ac:dyDescent="0.25">
      <c r="A423" s="5">
        <v>44170</v>
      </c>
      <c r="B423">
        <v>1.598E-3</v>
      </c>
      <c r="C423">
        <v>1.6770000000000001E-3</v>
      </c>
      <c r="D423">
        <v>1.5640000000000001E-3</v>
      </c>
      <c r="E423">
        <v>1.6609999999999999E-3</v>
      </c>
      <c r="F423">
        <v>155763246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0.7168141592920324</v>
      </c>
      <c r="Q423">
        <f t="shared" si="975"/>
        <v>111653300.23008803</v>
      </c>
      <c r="R423">
        <f t="shared" si="976"/>
        <v>-2052798907.4918435</v>
      </c>
      <c r="S423">
        <f t="shared" si="977"/>
        <v>-20527.989074918434</v>
      </c>
      <c r="T423">
        <f t="shared" si="978"/>
        <v>-20.527989074918434</v>
      </c>
    </row>
    <row r="424" spans="1:20" x14ac:dyDescent="0.25">
      <c r="A424" s="5">
        <v>44169</v>
      </c>
      <c r="B424">
        <v>1.658E-3</v>
      </c>
      <c r="C424">
        <v>1.833E-3</v>
      </c>
      <c r="D424">
        <v>1.58E-3</v>
      </c>
      <c r="E424">
        <v>1.593E-3</v>
      </c>
      <c r="F424">
        <v>383876115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-0.89723320158102771</v>
      </c>
      <c r="Q424">
        <f t="shared" si="975"/>
        <v>-344426395.67193675</v>
      </c>
      <c r="R424">
        <f t="shared" si="976"/>
        <v>-2164452207.7219315</v>
      </c>
      <c r="S424">
        <f t="shared" si="977"/>
        <v>-21644.522077219313</v>
      </c>
      <c r="T424">
        <f t="shared" si="978"/>
        <v>-21.644522077219314</v>
      </c>
    </row>
    <row r="425" spans="1:20" x14ac:dyDescent="0.25">
      <c r="A425" s="5">
        <v>44168</v>
      </c>
      <c r="B425">
        <v>1.7179999999999999E-3</v>
      </c>
      <c r="C425">
        <v>1.7179999999999999E-3</v>
      </c>
      <c r="D425">
        <v>1.6410000000000001E-3</v>
      </c>
      <c r="E425">
        <v>1.658E-3</v>
      </c>
      <c r="F425">
        <v>117492538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-0.55844155844156074</v>
      </c>
      <c r="Q425">
        <f t="shared" si="975"/>
        <v>-65612716.025974296</v>
      </c>
      <c r="R425">
        <f t="shared" si="976"/>
        <v>-1820025812.0499949</v>
      </c>
      <c r="S425">
        <f t="shared" si="977"/>
        <v>-18200.258120499948</v>
      </c>
      <c r="T425">
        <f t="shared" si="978"/>
        <v>-18.200258120499949</v>
      </c>
    </row>
    <row r="426" spans="1:20" x14ac:dyDescent="0.25">
      <c r="A426" s="5">
        <v>44167</v>
      </c>
      <c r="B426">
        <v>1.5809999999999999E-3</v>
      </c>
      <c r="C426">
        <v>1.7489999999999999E-3</v>
      </c>
      <c r="D426">
        <v>1.5640000000000001E-3</v>
      </c>
      <c r="E426">
        <v>1.719E-3</v>
      </c>
      <c r="F426">
        <v>340882465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0.67567567567567688</v>
      </c>
      <c r="Q426">
        <f t="shared" si="975"/>
        <v>230325989.86486527</v>
      </c>
      <c r="R426">
        <f t="shared" si="976"/>
        <v>-1754413096.0240207</v>
      </c>
      <c r="S426">
        <f t="shared" si="977"/>
        <v>-17544.130960240207</v>
      </c>
      <c r="T426">
        <f t="shared" si="978"/>
        <v>-17.544130960240206</v>
      </c>
    </row>
    <row r="427" spans="1:20" x14ac:dyDescent="0.25">
      <c r="A427" s="5">
        <v>44166</v>
      </c>
      <c r="B427">
        <v>1.5740000000000001E-3</v>
      </c>
      <c r="C427">
        <v>1.745E-3</v>
      </c>
      <c r="D427">
        <v>1.5E-3</v>
      </c>
      <c r="E427">
        <v>1.5820000000000001E-3</v>
      </c>
      <c r="F427">
        <v>384782495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-0.33061224489795882</v>
      </c>
      <c r="Q427">
        <f t="shared" si="975"/>
        <v>-127213804.46938762</v>
      </c>
      <c r="R427">
        <f t="shared" si="976"/>
        <v>-1984739085.888886</v>
      </c>
      <c r="S427">
        <f t="shared" si="977"/>
        <v>-19847.390858888859</v>
      </c>
      <c r="T427">
        <f t="shared" si="978"/>
        <v>-19.847390858888858</v>
      </c>
    </row>
    <row r="428" spans="1:20" x14ac:dyDescent="0.25">
      <c r="A428" s="5">
        <v>44165</v>
      </c>
      <c r="B428">
        <v>1.4989999999999999E-3</v>
      </c>
      <c r="C428">
        <v>1.5759999999999999E-3</v>
      </c>
      <c r="D428">
        <v>1.462E-3</v>
      </c>
      <c r="E428">
        <v>1.5709999999999999E-3</v>
      </c>
      <c r="F428">
        <v>186679754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0.91228070175438569</v>
      </c>
      <c r="Q428">
        <f t="shared" si="975"/>
        <v>170304336.98245609</v>
      </c>
      <c r="R428">
        <f t="shared" si="976"/>
        <v>-1857525281.4194984</v>
      </c>
      <c r="S428">
        <f t="shared" si="977"/>
        <v>-18575.252814194984</v>
      </c>
      <c r="T428">
        <f t="shared" si="978"/>
        <v>-18.575252814194986</v>
      </c>
    </row>
    <row r="429" spans="1:20" x14ac:dyDescent="0.25">
      <c r="A429" s="5">
        <v>44164</v>
      </c>
      <c r="B429">
        <v>1.495E-3</v>
      </c>
      <c r="C429">
        <v>1.524E-3</v>
      </c>
      <c r="D429">
        <v>1.4580000000000001E-3</v>
      </c>
      <c r="E429">
        <v>1.485E-3</v>
      </c>
      <c r="F429">
        <v>74872646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-0.18181818181818332</v>
      </c>
      <c r="Q429">
        <f t="shared" si="975"/>
        <v>-13613208.363636477</v>
      </c>
      <c r="R429">
        <f t="shared" si="976"/>
        <v>-2027829618.4019544</v>
      </c>
      <c r="S429">
        <f t="shared" si="977"/>
        <v>-20278.296184019546</v>
      </c>
      <c r="T429">
        <f t="shared" si="978"/>
        <v>-20.278296184019545</v>
      </c>
    </row>
    <row r="430" spans="1:20" x14ac:dyDescent="0.25">
      <c r="A430" s="5">
        <v>44163</v>
      </c>
      <c r="B430">
        <v>1.462E-3</v>
      </c>
      <c r="C430">
        <v>1.5070000000000001E-3</v>
      </c>
      <c r="D430">
        <v>1.4400000000000001E-3</v>
      </c>
      <c r="E430">
        <v>1.493E-3</v>
      </c>
      <c r="F430">
        <v>42626013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0.58208955223880232</v>
      </c>
      <c r="Q430">
        <f t="shared" si="975"/>
        <v>24812156.820895366</v>
      </c>
      <c r="R430">
        <f t="shared" si="976"/>
        <v>-2014216410.0383179</v>
      </c>
      <c r="S430">
        <f t="shared" si="977"/>
        <v>-20142.164100383179</v>
      </c>
      <c r="T430">
        <f t="shared" si="978"/>
        <v>-20.14216410038318</v>
      </c>
    </row>
    <row r="431" spans="1:20" x14ac:dyDescent="0.25">
      <c r="A431" s="5">
        <v>44162</v>
      </c>
      <c r="B431">
        <v>1.47E-3</v>
      </c>
      <c r="C431">
        <v>1.498E-3</v>
      </c>
      <c r="D431">
        <v>1.403E-3</v>
      </c>
      <c r="E431">
        <v>1.462E-3</v>
      </c>
      <c r="F431">
        <v>74939947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0.24210526315789482</v>
      </c>
      <c r="Q431">
        <f t="shared" si="975"/>
        <v>18143355.589473691</v>
      </c>
      <c r="R431">
        <f t="shared" si="976"/>
        <v>-2039028566.8592134</v>
      </c>
      <c r="S431">
        <f t="shared" si="977"/>
        <v>-20390.285668592132</v>
      </c>
      <c r="T431">
        <f t="shared" si="978"/>
        <v>-20.390285668592131</v>
      </c>
    </row>
    <row r="432" spans="1:20" x14ac:dyDescent="0.25">
      <c r="A432" s="5">
        <v>44161</v>
      </c>
      <c r="B432">
        <v>1.647E-3</v>
      </c>
      <c r="C432">
        <v>1.6980000000000001E-3</v>
      </c>
      <c r="D432">
        <v>1.3749999999999999E-3</v>
      </c>
      <c r="E432">
        <v>1.469E-3</v>
      </c>
      <c r="F432">
        <v>268038773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-0.41795665634674878</v>
      </c>
      <c r="Q432">
        <f t="shared" si="975"/>
        <v>-112028589.3343652</v>
      </c>
      <c r="R432">
        <f t="shared" si="976"/>
        <v>-2057171922.4486871</v>
      </c>
      <c r="S432">
        <f t="shared" si="977"/>
        <v>-20571.719224486871</v>
      </c>
      <c r="T432">
        <f t="shared" si="978"/>
        <v>-20.57171922448687</v>
      </c>
    </row>
    <row r="433" spans="1:20" x14ac:dyDescent="0.25">
      <c r="A433" s="5">
        <v>44160</v>
      </c>
      <c r="B433">
        <v>1.5679999999999999E-3</v>
      </c>
      <c r="C433">
        <v>1.748E-3</v>
      </c>
      <c r="D433">
        <v>1.5299999999999999E-3</v>
      </c>
      <c r="E433">
        <v>1.64E-3</v>
      </c>
      <c r="F433">
        <v>322928402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9.1743119266057237E-3</v>
      </c>
      <c r="Q433">
        <f t="shared" si="975"/>
        <v>2962645.8899083277</v>
      </c>
      <c r="R433">
        <f t="shared" si="976"/>
        <v>-1945143333.1143219</v>
      </c>
      <c r="S433">
        <f t="shared" si="977"/>
        <v>-19451.43333114322</v>
      </c>
      <c r="T433">
        <f t="shared" si="978"/>
        <v>-19.451433331143221</v>
      </c>
    </row>
    <row r="434" spans="1:20" x14ac:dyDescent="0.25">
      <c r="A434" s="5">
        <v>44159</v>
      </c>
      <c r="B434">
        <v>1.5219999999999999E-3</v>
      </c>
      <c r="C434">
        <v>1.5740000000000001E-3</v>
      </c>
      <c r="D434">
        <v>1.48E-3</v>
      </c>
      <c r="E434">
        <v>1.5659999999999999E-3</v>
      </c>
      <c r="F434">
        <v>351803428</v>
      </c>
      <c r="G434">
        <v>0</v>
      </c>
      <c r="L434" t="s">
        <v>7</v>
      </c>
      <c r="M434" t="s">
        <v>8</v>
      </c>
      <c r="N434" t="s">
        <v>7</v>
      </c>
      <c r="P434">
        <f t="shared" si="974"/>
        <v>0.82978723404254928</v>
      </c>
      <c r="Q434">
        <f t="shared" si="975"/>
        <v>291921993.44680715</v>
      </c>
      <c r="R434">
        <f t="shared" si="976"/>
        <v>-1948105979.0042303</v>
      </c>
      <c r="S434">
        <f t="shared" si="977"/>
        <v>-19481.059790042302</v>
      </c>
      <c r="T434">
        <f t="shared" si="978"/>
        <v>-19.481059790042302</v>
      </c>
    </row>
    <row r="435" spans="1:20" x14ac:dyDescent="0.25">
      <c r="A435" s="5">
        <v>44158</v>
      </c>
      <c r="B435">
        <v>1.469E-3</v>
      </c>
      <c r="C435">
        <v>1.5759999999999999E-3</v>
      </c>
      <c r="D435">
        <v>1.4400000000000001E-3</v>
      </c>
      <c r="E435">
        <v>1.5269999999999999E-3</v>
      </c>
      <c r="F435">
        <v>286408352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0.27941176470588153</v>
      </c>
      <c r="Q435">
        <f t="shared" si="975"/>
        <v>80025863.058823287</v>
      </c>
      <c r="R435">
        <f t="shared" si="976"/>
        <v>-2240027972.4510374</v>
      </c>
      <c r="S435">
        <f t="shared" si="977"/>
        <v>-22400.279724510376</v>
      </c>
      <c r="T435">
        <f t="shared" si="978"/>
        <v>-22.400279724510376</v>
      </c>
    </row>
    <row r="436" spans="1:20" x14ac:dyDescent="0.25">
      <c r="A436" s="5">
        <v>44157</v>
      </c>
      <c r="B436">
        <v>1.4790000000000001E-3</v>
      </c>
      <c r="C436">
        <v>1.552E-3</v>
      </c>
      <c r="D436">
        <v>1.4400000000000001E-3</v>
      </c>
      <c r="E436">
        <v>1.4679999999999999E-3</v>
      </c>
      <c r="F436">
        <v>242190459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-0.50000000000000289</v>
      </c>
      <c r="Q436">
        <f t="shared" si="975"/>
        <v>-121095229.5000007</v>
      </c>
      <c r="R436">
        <f t="shared" si="976"/>
        <v>-2320053835.5098605</v>
      </c>
      <c r="S436">
        <f t="shared" si="977"/>
        <v>-23200.538355098604</v>
      </c>
      <c r="T436">
        <f t="shared" si="978"/>
        <v>-23.200538355098605</v>
      </c>
    </row>
    <row r="437" spans="1:20" x14ac:dyDescent="0.25">
      <c r="A437" s="5">
        <v>44156</v>
      </c>
      <c r="B437">
        <v>1.418E-3</v>
      </c>
      <c r="C437">
        <v>1.5070000000000001E-3</v>
      </c>
      <c r="D437">
        <v>1.382E-3</v>
      </c>
      <c r="E437">
        <v>1.4729999999999999E-3</v>
      </c>
      <c r="F437">
        <v>216398571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0.45599999999999768</v>
      </c>
      <c r="Q437">
        <f t="shared" si="975"/>
        <v>98677748.375999495</v>
      </c>
      <c r="R437">
        <f t="shared" si="976"/>
        <v>-2198958606.00986</v>
      </c>
      <c r="S437">
        <f t="shared" si="977"/>
        <v>-21989.586060098602</v>
      </c>
      <c r="T437">
        <f t="shared" si="978"/>
        <v>-21.989586060098603</v>
      </c>
    </row>
    <row r="438" spans="1:20" x14ac:dyDescent="0.25">
      <c r="A438" s="5">
        <v>44155</v>
      </c>
      <c r="B438">
        <v>1.351E-3</v>
      </c>
      <c r="C438">
        <v>1.474E-3</v>
      </c>
      <c r="D438">
        <v>1.346E-3</v>
      </c>
      <c r="E438">
        <v>1.4189999999999999E-3</v>
      </c>
      <c r="F438">
        <v>203699338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0.14062499999999825</v>
      </c>
      <c r="Q438">
        <f t="shared" si="975"/>
        <v>28645219.406249642</v>
      </c>
      <c r="R438">
        <f t="shared" si="976"/>
        <v>-2297636354.3858595</v>
      </c>
      <c r="S438">
        <f t="shared" si="977"/>
        <v>-22976.363543858595</v>
      </c>
      <c r="T438">
        <f t="shared" si="978"/>
        <v>-22.976363543858596</v>
      </c>
    </row>
    <row r="439" spans="1:20" x14ac:dyDescent="0.25">
      <c r="A439" s="5">
        <v>44154</v>
      </c>
      <c r="B439">
        <v>1.3600000000000001E-3</v>
      </c>
      <c r="C439">
        <v>1.372E-3</v>
      </c>
      <c r="D439">
        <v>1.32E-3</v>
      </c>
      <c r="E439">
        <v>1.3519999999999999E-3</v>
      </c>
      <c r="F439">
        <v>176813043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0.2307692307692282</v>
      </c>
      <c r="Q439">
        <f t="shared" si="975"/>
        <v>40803009.923076466</v>
      </c>
      <c r="R439">
        <f t="shared" si="976"/>
        <v>-2326281573.792109</v>
      </c>
      <c r="S439">
        <f t="shared" si="977"/>
        <v>-23262.81573792109</v>
      </c>
      <c r="T439">
        <f t="shared" si="978"/>
        <v>-23.262815737921091</v>
      </c>
    </row>
    <row r="440" spans="1:20" x14ac:dyDescent="0.25">
      <c r="A440" s="5">
        <v>44153</v>
      </c>
      <c r="B440">
        <v>1.408E-3</v>
      </c>
      <c r="C440">
        <v>1.4300000000000001E-3</v>
      </c>
      <c r="D440">
        <v>1.3500000000000001E-3</v>
      </c>
      <c r="E440">
        <v>1.3600000000000001E-3</v>
      </c>
      <c r="F440">
        <v>200124584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-0.74999999999999933</v>
      </c>
      <c r="Q440">
        <f t="shared" si="975"/>
        <v>-150093437.99999988</v>
      </c>
      <c r="R440">
        <f t="shared" si="976"/>
        <v>-2367084583.7151856</v>
      </c>
      <c r="S440">
        <f t="shared" si="977"/>
        <v>-23670.845837151857</v>
      </c>
      <c r="T440">
        <f t="shared" si="978"/>
        <v>-23.670845837151859</v>
      </c>
    </row>
    <row r="441" spans="1:20" x14ac:dyDescent="0.25">
      <c r="A441" s="5">
        <v>44152</v>
      </c>
      <c r="B441">
        <v>1.4599999999999999E-3</v>
      </c>
      <c r="C441">
        <v>1.4790000000000001E-3</v>
      </c>
      <c r="D441">
        <v>1.389E-3</v>
      </c>
      <c r="E441">
        <v>1.408E-3</v>
      </c>
      <c r="F441">
        <v>140390863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-0.57777777777777961</v>
      </c>
      <c r="Q441">
        <f t="shared" si="975"/>
        <v>-81114720.844444707</v>
      </c>
      <c r="R441">
        <f t="shared" si="976"/>
        <v>-2216991145.7151856</v>
      </c>
      <c r="S441">
        <f t="shared" si="977"/>
        <v>-22169.911457151855</v>
      </c>
      <c r="T441">
        <f t="shared" si="978"/>
        <v>-22.169911457151855</v>
      </c>
    </row>
    <row r="442" spans="1:20" x14ac:dyDescent="0.25">
      <c r="A442" s="5">
        <v>44151</v>
      </c>
      <c r="B442">
        <v>1.4239999999999999E-3</v>
      </c>
      <c r="C442">
        <v>1.4729999999999999E-3</v>
      </c>
      <c r="D442">
        <v>1.415E-3</v>
      </c>
      <c r="E442">
        <v>1.4599999999999999E-3</v>
      </c>
      <c r="F442">
        <v>145570305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0.55172413793103392</v>
      </c>
      <c r="Q442">
        <f t="shared" si="975"/>
        <v>80314651.034482673</v>
      </c>
      <c r="R442">
        <f t="shared" si="976"/>
        <v>-2135876424.8707411</v>
      </c>
      <c r="S442">
        <f t="shared" si="977"/>
        <v>-21358.764248707412</v>
      </c>
      <c r="T442">
        <f t="shared" si="978"/>
        <v>-21.358764248707413</v>
      </c>
    </row>
    <row r="443" spans="1:20" x14ac:dyDescent="0.25">
      <c r="A443" s="5">
        <v>44150</v>
      </c>
      <c r="B443">
        <v>1.449E-3</v>
      </c>
      <c r="C443">
        <v>1.4530000000000001E-3</v>
      </c>
      <c r="D443">
        <v>1.392E-3</v>
      </c>
      <c r="E443">
        <v>1.428E-3</v>
      </c>
      <c r="F443">
        <v>130355255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0.18032786885245786</v>
      </c>
      <c r="Q443">
        <f t="shared" si="975"/>
        <v>23506685.3278687</v>
      </c>
      <c r="R443">
        <f t="shared" si="976"/>
        <v>-2216191075.9052238</v>
      </c>
      <c r="S443">
        <f t="shared" si="977"/>
        <v>-22161.91075905224</v>
      </c>
      <c r="T443">
        <f t="shared" si="978"/>
        <v>-22.16191075905224</v>
      </c>
    </row>
    <row r="444" spans="1:20" x14ac:dyDescent="0.25">
      <c r="A444" s="5">
        <v>44149</v>
      </c>
      <c r="B444">
        <v>1.474E-3</v>
      </c>
      <c r="C444">
        <v>1.49E-3</v>
      </c>
      <c r="D444">
        <v>1.4109999999999999E-3</v>
      </c>
      <c r="E444">
        <v>1.4499999999999999E-3</v>
      </c>
      <c r="F444">
        <v>95648180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-1.2658227848102933E-2</v>
      </c>
      <c r="Q444">
        <f t="shared" si="975"/>
        <v>-1210736.4556963621</v>
      </c>
      <c r="R444">
        <f t="shared" si="976"/>
        <v>-2239697761.2330923</v>
      </c>
      <c r="S444">
        <f t="shared" si="977"/>
        <v>-22396.977612330924</v>
      </c>
      <c r="T444">
        <f t="shared" si="978"/>
        <v>-22.396977612330925</v>
      </c>
    </row>
    <row r="445" spans="1:20" x14ac:dyDescent="0.25">
      <c r="A445" s="5">
        <v>44148</v>
      </c>
      <c r="B445">
        <v>1.4549999999999999E-3</v>
      </c>
      <c r="C445">
        <v>1.4890000000000001E-3</v>
      </c>
      <c r="D445">
        <v>1.451E-3</v>
      </c>
      <c r="E445">
        <v>1.474E-3</v>
      </c>
      <c r="F445">
        <v>106339872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0.21052631578947278</v>
      </c>
      <c r="Q445">
        <f t="shared" si="975"/>
        <v>22387341.473684113</v>
      </c>
      <c r="R445">
        <f t="shared" si="976"/>
        <v>-2238487024.7773957</v>
      </c>
      <c r="S445">
        <f t="shared" si="977"/>
        <v>-22384.870247773957</v>
      </c>
      <c r="T445">
        <f t="shared" si="978"/>
        <v>-22.384870247773957</v>
      </c>
    </row>
    <row r="446" spans="1:20" x14ac:dyDescent="0.25">
      <c r="A446" s="5">
        <v>44147</v>
      </c>
      <c r="B446">
        <v>1.49E-3</v>
      </c>
      <c r="C446">
        <v>1.5200000000000001E-3</v>
      </c>
      <c r="D446">
        <v>1.4339999999999999E-3</v>
      </c>
      <c r="E446">
        <v>1.457E-3</v>
      </c>
      <c r="F446">
        <v>105390187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-0.46511627906976794</v>
      </c>
      <c r="Q446">
        <f t="shared" si="975"/>
        <v>-49018691.62790703</v>
      </c>
      <c r="R446">
        <f t="shared" si="976"/>
        <v>-2260874366.25108</v>
      </c>
      <c r="S446">
        <f t="shared" si="977"/>
        <v>-22608.743662510802</v>
      </c>
      <c r="T446">
        <f t="shared" si="978"/>
        <v>-22.6087436625108</v>
      </c>
    </row>
    <row r="447" spans="1:20" x14ac:dyDescent="0.25">
      <c r="A447" s="5">
        <v>44146</v>
      </c>
      <c r="B447">
        <v>1.4450000000000001E-3</v>
      </c>
      <c r="C447">
        <v>1.5089999999999999E-3</v>
      </c>
      <c r="D447">
        <v>1.4270000000000001E-3</v>
      </c>
      <c r="E447">
        <v>1.49E-3</v>
      </c>
      <c r="F447">
        <v>130058937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0.53658536585365946</v>
      </c>
      <c r="Q447">
        <f t="shared" si="975"/>
        <v>69787722.29268305</v>
      </c>
      <c r="R447">
        <f t="shared" si="976"/>
        <v>-2211855674.6231732</v>
      </c>
      <c r="S447">
        <f t="shared" si="977"/>
        <v>-22118.556746231734</v>
      </c>
      <c r="T447">
        <f t="shared" si="978"/>
        <v>-22.118556746231732</v>
      </c>
    </row>
    <row r="448" spans="1:20" x14ac:dyDescent="0.25">
      <c r="A448" s="5">
        <v>44145</v>
      </c>
      <c r="B448">
        <v>1.397E-3</v>
      </c>
      <c r="C448">
        <v>1.4450000000000001E-3</v>
      </c>
      <c r="D448">
        <v>1.3860000000000001E-3</v>
      </c>
      <c r="E448">
        <v>1.441E-3</v>
      </c>
      <c r="F448">
        <v>129454142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0.86440677966101376</v>
      </c>
      <c r="Q448">
        <f t="shared" si="975"/>
        <v>111901037.99999958</v>
      </c>
      <c r="R448">
        <f t="shared" si="976"/>
        <v>-2281643396.9158564</v>
      </c>
      <c r="S448">
        <f t="shared" si="977"/>
        <v>-22816.433969158563</v>
      </c>
      <c r="T448">
        <f t="shared" si="978"/>
        <v>-22.816433969158563</v>
      </c>
    </row>
    <row r="449" spans="1:20" x14ac:dyDescent="0.25">
      <c r="A449" s="5">
        <v>44144</v>
      </c>
      <c r="B449">
        <v>1.408E-3</v>
      </c>
      <c r="C449">
        <v>1.42E-3</v>
      </c>
      <c r="D449">
        <v>1.358E-3</v>
      </c>
      <c r="E449">
        <v>1.3979999999999999E-3</v>
      </c>
      <c r="F449">
        <v>138335736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0.29032258064515792</v>
      </c>
      <c r="Q449">
        <f t="shared" si="975"/>
        <v>40161987.870967276</v>
      </c>
      <c r="R449">
        <f t="shared" si="976"/>
        <v>-2393544434.9158559</v>
      </c>
      <c r="S449">
        <f t="shared" si="977"/>
        <v>-23935.444349158559</v>
      </c>
      <c r="T449">
        <f t="shared" si="978"/>
        <v>-23.935444349158558</v>
      </c>
    </row>
    <row r="450" spans="1:20" x14ac:dyDescent="0.25">
      <c r="A450" s="5">
        <v>44143</v>
      </c>
      <c r="B450">
        <v>1.359E-3</v>
      </c>
      <c r="C450">
        <v>1.42E-3</v>
      </c>
      <c r="D450">
        <v>1.3489999999999999E-3</v>
      </c>
      <c r="E450">
        <v>1.4090000000000001E-3</v>
      </c>
      <c r="F450">
        <v>97950046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0.69014084507042461</v>
      </c>
      <c r="Q450">
        <f t="shared" si="975"/>
        <v>67599327.521126971</v>
      </c>
      <c r="R450">
        <f t="shared" si="976"/>
        <v>-2433706422.7868233</v>
      </c>
      <c r="S450">
        <f t="shared" si="977"/>
        <v>-24337.064227868232</v>
      </c>
      <c r="T450">
        <f t="shared" si="978"/>
        <v>-24.337064227868233</v>
      </c>
    </row>
    <row r="451" spans="1:20" x14ac:dyDescent="0.25">
      <c r="A451" s="5">
        <v>44142</v>
      </c>
      <c r="B451">
        <v>1.4499999999999999E-3</v>
      </c>
      <c r="C451">
        <v>1.4649999999999999E-3</v>
      </c>
      <c r="D451">
        <v>1.341E-3</v>
      </c>
      <c r="E451">
        <v>1.3600000000000001E-3</v>
      </c>
      <c r="F451">
        <v>165808844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-0.69354838709677191</v>
      </c>
      <c r="Q451">
        <f t="shared" si="975"/>
        <v>-114996456.32258026</v>
      </c>
      <c r="R451">
        <f t="shared" si="976"/>
        <v>-2501305750.30795</v>
      </c>
      <c r="S451">
        <f t="shared" si="977"/>
        <v>-25013.057503079501</v>
      </c>
      <c r="T451">
        <f t="shared" si="978"/>
        <v>-25.013057503079501</v>
      </c>
    </row>
    <row r="452" spans="1:20" x14ac:dyDescent="0.25">
      <c r="A452" s="5">
        <v>44141</v>
      </c>
      <c r="B452">
        <v>1.3489999999999999E-3</v>
      </c>
      <c r="C452">
        <v>1.4610000000000001E-3</v>
      </c>
      <c r="D452">
        <v>1.3270000000000001E-3</v>
      </c>
      <c r="E452">
        <v>1.449E-3</v>
      </c>
      <c r="F452">
        <v>358005464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0.82089552238805863</v>
      </c>
      <c r="Q452">
        <f t="shared" si="975"/>
        <v>293885082.38805932</v>
      </c>
      <c r="R452">
        <f t="shared" si="976"/>
        <v>-2386309293.9853697</v>
      </c>
      <c r="S452">
        <f t="shared" si="977"/>
        <v>-23863.092939853697</v>
      </c>
      <c r="T452">
        <f t="shared" si="978"/>
        <v>-23.863092939853697</v>
      </c>
    </row>
    <row r="453" spans="1:20" x14ac:dyDescent="0.25">
      <c r="A453" s="5">
        <v>44140</v>
      </c>
      <c r="B453">
        <v>1.3029999999999999E-3</v>
      </c>
      <c r="C453">
        <v>1.4319999999999999E-3</v>
      </c>
      <c r="D453">
        <v>1.2650000000000001E-3</v>
      </c>
      <c r="E453">
        <v>1.3489999999999999E-3</v>
      </c>
      <c r="F453">
        <v>328735998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5.9880239520953109E-3</v>
      </c>
      <c r="Q453">
        <f t="shared" si="975"/>
        <v>1968479.0299399563</v>
      </c>
      <c r="R453">
        <f t="shared" si="976"/>
        <v>-2680194376.3734288</v>
      </c>
      <c r="S453">
        <f t="shared" si="977"/>
        <v>-26801.943763734289</v>
      </c>
      <c r="T453">
        <f t="shared" si="978"/>
        <v>-26.80194376373429</v>
      </c>
    </row>
    <row r="454" spans="1:20" x14ac:dyDescent="0.25">
      <c r="A454" s="5">
        <v>44139</v>
      </c>
      <c r="B454">
        <v>1.2880000000000001E-3</v>
      </c>
      <c r="C454">
        <v>1.307E-3</v>
      </c>
      <c r="D454">
        <v>1.266E-3</v>
      </c>
      <c r="E454">
        <v>1.3029999999999999E-3</v>
      </c>
      <c r="F454">
        <v>101411430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0.80487804878048319</v>
      </c>
      <c r="Q454">
        <f t="shared" ref="Q454:Q517" si="980">F454*P454</f>
        <v>81623833.902438551</v>
      </c>
      <c r="R454">
        <f t="shared" ref="R454:R517" si="981">R455+Q454</f>
        <v>-2682162855.4033689</v>
      </c>
      <c r="S454">
        <f t="shared" ref="S454:S517" si="982">R454/100000</f>
        <v>-26821.62855403369</v>
      </c>
      <c r="T454">
        <f t="shared" ref="T454:T517" si="983">S454/1000</f>
        <v>-26.821628554033691</v>
      </c>
    </row>
    <row r="455" spans="1:20" x14ac:dyDescent="0.25">
      <c r="A455" s="5">
        <v>44138</v>
      </c>
      <c r="B455">
        <v>1.34E-3</v>
      </c>
      <c r="C455">
        <v>1.3439999999999999E-3</v>
      </c>
      <c r="D455">
        <v>1.2459999999999999E-3</v>
      </c>
      <c r="E455">
        <v>1.2880000000000001E-3</v>
      </c>
      <c r="F455">
        <v>129706584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-0.14285714285713969</v>
      </c>
      <c r="Q455">
        <f t="shared" si="980"/>
        <v>-18529511.99999959</v>
      </c>
      <c r="R455">
        <f t="shared" si="981"/>
        <v>-2763786689.3058076</v>
      </c>
      <c r="S455">
        <f t="shared" si="982"/>
        <v>-27637.866893058075</v>
      </c>
      <c r="T455">
        <f t="shared" si="983"/>
        <v>-27.637866893058074</v>
      </c>
    </row>
    <row r="456" spans="1:20" x14ac:dyDescent="0.25">
      <c r="A456" s="5">
        <v>44137</v>
      </c>
      <c r="B456">
        <v>1.377E-3</v>
      </c>
      <c r="C456">
        <v>1.3960000000000001E-3</v>
      </c>
      <c r="D456">
        <v>1.3309999999999999E-3</v>
      </c>
      <c r="E456">
        <v>1.343E-3</v>
      </c>
      <c r="F456">
        <v>158510546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-0.63076923076922942</v>
      </c>
      <c r="Q456">
        <f t="shared" si="980"/>
        <v>-99983575.169230551</v>
      </c>
      <c r="R456">
        <f t="shared" si="981"/>
        <v>-2745257177.3058081</v>
      </c>
      <c r="S456">
        <f t="shared" si="982"/>
        <v>-27452.57177305808</v>
      </c>
      <c r="T456">
        <f t="shared" si="983"/>
        <v>-27.452571773058079</v>
      </c>
    </row>
    <row r="457" spans="1:20" x14ac:dyDescent="0.25">
      <c r="A457" s="5">
        <v>44136</v>
      </c>
      <c r="B457">
        <v>1.3619999999999999E-3</v>
      </c>
      <c r="C457">
        <v>1.4059999999999999E-3</v>
      </c>
      <c r="D457">
        <v>1.3600000000000001E-3</v>
      </c>
      <c r="E457">
        <v>1.377E-3</v>
      </c>
      <c r="F457">
        <v>118932327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-0.26086956521739396</v>
      </c>
      <c r="Q457">
        <f t="shared" si="980"/>
        <v>-31025824.434782926</v>
      </c>
      <c r="R457">
        <f t="shared" si="981"/>
        <v>-2645273602.1365776</v>
      </c>
      <c r="S457">
        <f t="shared" si="982"/>
        <v>-26452.736021365778</v>
      </c>
      <c r="T457">
        <f t="shared" si="983"/>
        <v>-26.452736021365777</v>
      </c>
    </row>
    <row r="458" spans="1:20" x14ac:dyDescent="0.25">
      <c r="A458" s="5">
        <v>44135</v>
      </c>
      <c r="B458">
        <v>1.3489999999999999E-3</v>
      </c>
      <c r="C458">
        <v>1.41E-3</v>
      </c>
      <c r="D458">
        <v>1.343E-3</v>
      </c>
      <c r="E458">
        <v>1.3649999999999999E-3</v>
      </c>
      <c r="F458">
        <v>118797107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-0.34328358208955573</v>
      </c>
      <c r="Q458">
        <f t="shared" si="980"/>
        <v>-40781096.432836235</v>
      </c>
      <c r="R458">
        <f t="shared" si="981"/>
        <v>-2614247777.7017946</v>
      </c>
      <c r="S458">
        <f t="shared" si="982"/>
        <v>-26142.477777017946</v>
      </c>
      <c r="T458">
        <f t="shared" si="983"/>
        <v>-26.142477777017945</v>
      </c>
    </row>
    <row r="459" spans="1:20" x14ac:dyDescent="0.25">
      <c r="A459" s="5">
        <v>44134</v>
      </c>
      <c r="B459">
        <v>1.4009999999999999E-3</v>
      </c>
      <c r="C459">
        <v>1.415E-3</v>
      </c>
      <c r="D459">
        <v>1.338E-3</v>
      </c>
      <c r="E459">
        <v>1.3489999999999999E-3</v>
      </c>
      <c r="F459">
        <v>120262590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-0.71428571428571586</v>
      </c>
      <c r="Q459">
        <f t="shared" si="980"/>
        <v>-85901850.000000194</v>
      </c>
      <c r="R459">
        <f t="shared" si="981"/>
        <v>-2573466681.2689586</v>
      </c>
      <c r="S459">
        <f t="shared" si="982"/>
        <v>-25734.666812689586</v>
      </c>
      <c r="T459">
        <f t="shared" si="983"/>
        <v>-25.734666812689586</v>
      </c>
    </row>
    <row r="460" spans="1:20" x14ac:dyDescent="0.25">
      <c r="A460" s="5">
        <v>44133</v>
      </c>
      <c r="B460">
        <v>1.4109999999999999E-3</v>
      </c>
      <c r="C460">
        <v>1.4419999999999999E-3</v>
      </c>
      <c r="D460">
        <v>1.374E-3</v>
      </c>
      <c r="E460">
        <v>1.397E-3</v>
      </c>
      <c r="F460">
        <v>99474182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-0.32352941176470457</v>
      </c>
      <c r="Q460">
        <f t="shared" si="980"/>
        <v>-32182823.588235162</v>
      </c>
      <c r="R460">
        <f t="shared" si="981"/>
        <v>-2487564831.2689586</v>
      </c>
      <c r="S460">
        <f t="shared" si="982"/>
        <v>-24875.648312689587</v>
      </c>
      <c r="T460">
        <f t="shared" si="983"/>
        <v>-24.875648312689588</v>
      </c>
    </row>
    <row r="461" spans="1:20" x14ac:dyDescent="0.25">
      <c r="A461" s="5">
        <v>44132</v>
      </c>
      <c r="B461">
        <v>1.4779999999999999E-3</v>
      </c>
      <c r="C461">
        <v>1.4790000000000001E-3</v>
      </c>
      <c r="D461">
        <v>1.3860000000000001E-3</v>
      </c>
      <c r="E461">
        <v>1.4109999999999999E-3</v>
      </c>
      <c r="F461">
        <v>106470423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-0.4623655913978526</v>
      </c>
      <c r="Q461">
        <f t="shared" si="980"/>
        <v>-49228260.096774526</v>
      </c>
      <c r="R461">
        <f t="shared" si="981"/>
        <v>-2455382007.6807232</v>
      </c>
      <c r="S461">
        <f t="shared" si="982"/>
        <v>-24553.820076807231</v>
      </c>
      <c r="T461">
        <f t="shared" si="983"/>
        <v>-24.553820076807231</v>
      </c>
    </row>
    <row r="462" spans="1:20" x14ac:dyDescent="0.25">
      <c r="A462" s="5">
        <v>44131</v>
      </c>
      <c r="B462">
        <v>1.487E-3</v>
      </c>
      <c r="C462">
        <v>1.506E-3</v>
      </c>
      <c r="D462">
        <v>1.4580000000000001E-3</v>
      </c>
      <c r="E462">
        <v>1.4790000000000001E-3</v>
      </c>
      <c r="F462">
        <v>146460177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-0.12499999999999888</v>
      </c>
      <c r="Q462">
        <f t="shared" si="980"/>
        <v>-18307522.124999836</v>
      </c>
      <c r="R462">
        <f t="shared" si="981"/>
        <v>-2406153747.5839486</v>
      </c>
      <c r="S462">
        <f t="shared" si="982"/>
        <v>-24061.537475839486</v>
      </c>
      <c r="T462">
        <f t="shared" si="983"/>
        <v>-24.061537475839486</v>
      </c>
    </row>
    <row r="463" spans="1:20" x14ac:dyDescent="0.25">
      <c r="A463" s="5">
        <v>44130</v>
      </c>
      <c r="B463">
        <v>1.521E-3</v>
      </c>
      <c r="C463">
        <v>1.5479999999999999E-3</v>
      </c>
      <c r="D463">
        <v>1.469E-3</v>
      </c>
      <c r="E463">
        <v>1.487E-3</v>
      </c>
      <c r="F463">
        <v>160345900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-0.54430379746835356</v>
      </c>
      <c r="Q463">
        <f t="shared" si="980"/>
        <v>-87276882.278480873</v>
      </c>
      <c r="R463">
        <f t="shared" si="981"/>
        <v>-2387846225.4589486</v>
      </c>
      <c r="S463">
        <f t="shared" si="982"/>
        <v>-23878.462254589485</v>
      </c>
      <c r="T463">
        <f t="shared" si="983"/>
        <v>-23.878462254589486</v>
      </c>
    </row>
    <row r="464" spans="1:20" x14ac:dyDescent="0.25">
      <c r="A464" s="5">
        <v>44129</v>
      </c>
      <c r="B464">
        <v>1.555E-3</v>
      </c>
      <c r="C464">
        <v>1.5640000000000001E-3</v>
      </c>
      <c r="D464">
        <v>1.511E-3</v>
      </c>
      <c r="E464">
        <v>1.5250000000000001E-3</v>
      </c>
      <c r="F464">
        <v>105812294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-0.47169811320754346</v>
      </c>
      <c r="Q464">
        <f t="shared" si="980"/>
        <v>-49911459.433961868</v>
      </c>
      <c r="R464">
        <f t="shared" si="981"/>
        <v>-2300569343.1804676</v>
      </c>
      <c r="S464">
        <f t="shared" si="982"/>
        <v>-23005.693431804677</v>
      </c>
      <c r="T464">
        <f t="shared" si="983"/>
        <v>-23.005693431804676</v>
      </c>
    </row>
    <row r="465" spans="1:20" x14ac:dyDescent="0.25">
      <c r="A465" s="5">
        <v>44128</v>
      </c>
      <c r="B465">
        <v>1.552E-3</v>
      </c>
      <c r="C465">
        <v>1.5590000000000001E-3</v>
      </c>
      <c r="D465">
        <v>1.5319999999999999E-3</v>
      </c>
      <c r="E465">
        <v>1.5529999999999999E-3</v>
      </c>
      <c r="F465">
        <v>98068963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0.55555555555554659</v>
      </c>
      <c r="Q465">
        <f t="shared" si="980"/>
        <v>54482757.222221345</v>
      </c>
      <c r="R465">
        <f t="shared" si="981"/>
        <v>-2250657883.7465057</v>
      </c>
      <c r="S465">
        <f t="shared" si="982"/>
        <v>-22506.578837465058</v>
      </c>
      <c r="T465">
        <f t="shared" si="983"/>
        <v>-22.506578837465057</v>
      </c>
    </row>
    <row r="466" spans="1:20" x14ac:dyDescent="0.25">
      <c r="A466" s="5">
        <v>44127</v>
      </c>
      <c r="B466">
        <v>1.5460000000000001E-3</v>
      </c>
      <c r="C466">
        <v>1.5950000000000001E-3</v>
      </c>
      <c r="D466">
        <v>1.5200000000000001E-3</v>
      </c>
      <c r="E466">
        <v>1.552E-3</v>
      </c>
      <c r="F466">
        <v>153038884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-0.14666666666666883</v>
      </c>
      <c r="Q466">
        <f t="shared" si="980"/>
        <v>-22445702.986667</v>
      </c>
      <c r="R466">
        <f t="shared" si="981"/>
        <v>-2305140640.9687271</v>
      </c>
      <c r="S466">
        <f t="shared" si="982"/>
        <v>-23051.406409687272</v>
      </c>
      <c r="T466">
        <f t="shared" si="983"/>
        <v>-23.051406409687271</v>
      </c>
    </row>
    <row r="467" spans="1:20" x14ac:dyDescent="0.25">
      <c r="A467" s="5">
        <v>44126</v>
      </c>
      <c r="B467">
        <v>1.5529999999999999E-3</v>
      </c>
      <c r="C467">
        <v>1.5709999999999999E-3</v>
      </c>
      <c r="D467">
        <v>1.5200000000000001E-3</v>
      </c>
      <c r="E467">
        <v>1.5449999999999999E-3</v>
      </c>
      <c r="F467">
        <v>138245633</v>
      </c>
      <c r="G467">
        <v>0</v>
      </c>
      <c r="L467" t="s">
        <v>7</v>
      </c>
      <c r="M467" t="s">
        <v>8</v>
      </c>
      <c r="N467" t="s">
        <v>7</v>
      </c>
      <c r="P467">
        <f t="shared" si="979"/>
        <v>-1.960784313725757E-2</v>
      </c>
      <c r="Q467">
        <f t="shared" si="980"/>
        <v>-2710698.6862748787</v>
      </c>
      <c r="R467">
        <f t="shared" si="981"/>
        <v>-2282694937.98206</v>
      </c>
      <c r="S467">
        <f t="shared" si="982"/>
        <v>-22826.949379820599</v>
      </c>
      <c r="T467">
        <f t="shared" si="983"/>
        <v>-22.826949379820597</v>
      </c>
    </row>
    <row r="468" spans="1:20" x14ac:dyDescent="0.25">
      <c r="A468" s="5">
        <v>44125</v>
      </c>
      <c r="B468">
        <v>1.508E-3</v>
      </c>
      <c r="C468">
        <v>1.5809999999999999E-3</v>
      </c>
      <c r="D468">
        <v>1.506E-3</v>
      </c>
      <c r="E468">
        <v>1.5579999999999999E-3</v>
      </c>
      <c r="F468">
        <v>119584046</v>
      </c>
      <c r="G468">
        <v>0</v>
      </c>
      <c r="L468" t="s">
        <v>7</v>
      </c>
      <c r="M468" t="s">
        <v>8</v>
      </c>
      <c r="N468" t="s">
        <v>7</v>
      </c>
      <c r="P468">
        <f t="shared" si="979"/>
        <v>0.38666666666666605</v>
      </c>
      <c r="Q468">
        <f t="shared" si="980"/>
        <v>46239164.453333259</v>
      </c>
      <c r="R468">
        <f t="shared" si="981"/>
        <v>-2279984239.295785</v>
      </c>
      <c r="S468">
        <f t="shared" si="982"/>
        <v>-22799.842392957849</v>
      </c>
      <c r="T468">
        <f t="shared" si="983"/>
        <v>-22.799842392957849</v>
      </c>
    </row>
    <row r="469" spans="1:20" x14ac:dyDescent="0.25">
      <c r="A469" s="5">
        <v>44124</v>
      </c>
      <c r="B469">
        <v>1.5430000000000001E-3</v>
      </c>
      <c r="C469">
        <v>1.555E-3</v>
      </c>
      <c r="D469">
        <v>1.5020000000000001E-3</v>
      </c>
      <c r="E469">
        <v>1.508E-3</v>
      </c>
      <c r="F469">
        <v>124015212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-0.77358490566037952</v>
      </c>
      <c r="Q469">
        <f t="shared" si="980"/>
        <v>-95936296.075471967</v>
      </c>
      <c r="R469">
        <f t="shared" si="981"/>
        <v>-2326223403.7491183</v>
      </c>
      <c r="S469">
        <f t="shared" si="982"/>
        <v>-23262.234037491184</v>
      </c>
      <c r="T469">
        <f t="shared" si="983"/>
        <v>-23.262234037491183</v>
      </c>
    </row>
    <row r="470" spans="1:20" x14ac:dyDescent="0.25">
      <c r="A470" s="5">
        <v>44123</v>
      </c>
      <c r="B470">
        <v>1.567E-3</v>
      </c>
      <c r="C470">
        <v>1.5920000000000001E-3</v>
      </c>
      <c r="D470">
        <v>1.5139999999999999E-3</v>
      </c>
      <c r="E470">
        <v>1.5449999999999999E-3</v>
      </c>
      <c r="F470">
        <v>147764961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-0.2051282051282069</v>
      </c>
      <c r="Q470">
        <f t="shared" si="980"/>
        <v>-30310761.230769493</v>
      </c>
      <c r="R470">
        <f t="shared" si="981"/>
        <v>-2230287107.6736465</v>
      </c>
      <c r="S470">
        <f t="shared" si="982"/>
        <v>-22302.871076736465</v>
      </c>
      <c r="T470">
        <f t="shared" si="983"/>
        <v>-22.302871076736466</v>
      </c>
    </row>
    <row r="471" spans="1:20" x14ac:dyDescent="0.25">
      <c r="A471" s="5">
        <v>44122</v>
      </c>
      <c r="B471">
        <v>1.572E-3</v>
      </c>
      <c r="C471">
        <v>1.578E-3</v>
      </c>
      <c r="D471">
        <v>1.5399999999999999E-3</v>
      </c>
      <c r="E471">
        <v>1.5659999999999999E-3</v>
      </c>
      <c r="F471">
        <v>102534446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0.36842105263157593</v>
      </c>
      <c r="Q471">
        <f t="shared" si="980"/>
        <v>37775848.52631548</v>
      </c>
      <c r="R471">
        <f t="shared" si="981"/>
        <v>-2199976346.4428768</v>
      </c>
      <c r="S471">
        <f t="shared" si="982"/>
        <v>-21999.763464428768</v>
      </c>
      <c r="T471">
        <f t="shared" si="983"/>
        <v>-21.999763464428767</v>
      </c>
    </row>
    <row r="472" spans="1:20" x14ac:dyDescent="0.25">
      <c r="A472" s="5">
        <v>44121</v>
      </c>
      <c r="B472">
        <v>1.585E-3</v>
      </c>
      <c r="C472">
        <v>1.601E-3</v>
      </c>
      <c r="D472">
        <v>1.547E-3</v>
      </c>
      <c r="E472">
        <v>1.5740000000000001E-3</v>
      </c>
      <c r="F472">
        <v>105061028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4.0155636017981637E-15</v>
      </c>
      <c r="Q472">
        <f t="shared" si="980"/>
        <v>4.2187924000429775E-7</v>
      </c>
      <c r="R472">
        <f t="shared" si="981"/>
        <v>-2237752194.9691925</v>
      </c>
      <c r="S472">
        <f t="shared" si="982"/>
        <v>-22377.521949691924</v>
      </c>
      <c r="T472">
        <f t="shared" si="983"/>
        <v>-22.377521949691925</v>
      </c>
    </row>
    <row r="473" spans="1:20" x14ac:dyDescent="0.25">
      <c r="A473" s="5">
        <v>44120</v>
      </c>
      <c r="B473">
        <v>1.516E-3</v>
      </c>
      <c r="C473">
        <v>1.5939999999999999E-3</v>
      </c>
      <c r="D473">
        <v>1.5E-3</v>
      </c>
      <c r="E473">
        <v>1.583E-3</v>
      </c>
      <c r="F473">
        <v>101724366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0.76595744680851163</v>
      </c>
      <c r="Q473">
        <f t="shared" si="980"/>
        <v>77916535.659574568</v>
      </c>
      <c r="R473">
        <f t="shared" si="981"/>
        <v>-2237752194.969193</v>
      </c>
      <c r="S473">
        <f t="shared" si="982"/>
        <v>-22377.521949691931</v>
      </c>
      <c r="T473">
        <f t="shared" si="983"/>
        <v>-22.377521949691932</v>
      </c>
    </row>
    <row r="474" spans="1:20" x14ac:dyDescent="0.25">
      <c r="A474" s="5">
        <v>44119</v>
      </c>
      <c r="B474">
        <v>1.5510000000000001E-3</v>
      </c>
      <c r="C474">
        <v>1.57E-3</v>
      </c>
      <c r="D474">
        <v>1.508E-3</v>
      </c>
      <c r="E474">
        <v>1.516E-3</v>
      </c>
      <c r="F474">
        <v>93376689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-0.74193548387096842</v>
      </c>
      <c r="Q474">
        <f t="shared" si="980"/>
        <v>-69279478.935483932</v>
      </c>
      <c r="R474">
        <f t="shared" si="981"/>
        <v>-2315668730.6287675</v>
      </c>
      <c r="S474">
        <f t="shared" si="982"/>
        <v>-23156.687306287677</v>
      </c>
      <c r="T474">
        <f t="shared" si="983"/>
        <v>-23.156687306287676</v>
      </c>
    </row>
    <row r="475" spans="1:20" x14ac:dyDescent="0.25">
      <c r="A475" s="5">
        <v>44118</v>
      </c>
      <c r="B475">
        <v>1.6130000000000001E-3</v>
      </c>
      <c r="C475">
        <v>1.6310000000000001E-3</v>
      </c>
      <c r="D475">
        <v>1.5250000000000001E-3</v>
      </c>
      <c r="E475">
        <v>1.552E-3</v>
      </c>
      <c r="F475">
        <v>260139428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-0.49056603773585089</v>
      </c>
      <c r="Q475">
        <f t="shared" si="980"/>
        <v>-127615568.45283067</v>
      </c>
      <c r="R475">
        <f t="shared" si="981"/>
        <v>-2246389251.6932836</v>
      </c>
      <c r="S475">
        <f t="shared" si="982"/>
        <v>-22463.892516932836</v>
      </c>
      <c r="T475">
        <f t="shared" si="983"/>
        <v>-22.463892516932837</v>
      </c>
    </row>
    <row r="476" spans="1:20" x14ac:dyDescent="0.25">
      <c r="A476" s="5">
        <v>44117</v>
      </c>
      <c r="B476">
        <v>1.6379999999999999E-3</v>
      </c>
      <c r="C476">
        <v>1.653E-3</v>
      </c>
      <c r="D476">
        <v>1.586E-3</v>
      </c>
      <c r="E476">
        <v>1.614E-3</v>
      </c>
      <c r="F476">
        <v>116531709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-0.16417910447761108</v>
      </c>
      <c r="Q476">
        <f t="shared" si="980"/>
        <v>-19132071.626865573</v>
      </c>
      <c r="R476">
        <f t="shared" si="981"/>
        <v>-2118773683.2404528</v>
      </c>
      <c r="S476">
        <f t="shared" si="982"/>
        <v>-21187.736832404527</v>
      </c>
      <c r="T476">
        <f t="shared" si="983"/>
        <v>-21.187736832404529</v>
      </c>
    </row>
    <row r="477" spans="1:20" x14ac:dyDescent="0.25">
      <c r="A477" s="5">
        <v>44116</v>
      </c>
      <c r="B477">
        <v>1.64E-3</v>
      </c>
      <c r="C477">
        <v>1.6609999999999999E-3</v>
      </c>
      <c r="D477">
        <v>1.6050000000000001E-3</v>
      </c>
      <c r="E477">
        <v>1.6379999999999999E-3</v>
      </c>
      <c r="F477">
        <v>177582271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0.17857142857142566</v>
      </c>
      <c r="Q477">
        <f t="shared" si="980"/>
        <v>31711119.821428053</v>
      </c>
      <c r="R477">
        <f t="shared" si="981"/>
        <v>-2099641611.6135871</v>
      </c>
      <c r="S477">
        <f t="shared" si="982"/>
        <v>-20996.416116135872</v>
      </c>
      <c r="T477">
        <f t="shared" si="983"/>
        <v>-20.996416116135872</v>
      </c>
    </row>
    <row r="478" spans="1:20" x14ac:dyDescent="0.25">
      <c r="A478" s="5">
        <v>44115</v>
      </c>
      <c r="B478">
        <v>1.683E-3</v>
      </c>
      <c r="C478">
        <v>1.6930000000000001E-3</v>
      </c>
      <c r="D478">
        <v>1.6329999999999999E-3</v>
      </c>
      <c r="E478">
        <v>1.6329999999999999E-3</v>
      </c>
      <c r="F478">
        <v>114351268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-1</v>
      </c>
      <c r="Q478">
        <f t="shared" si="980"/>
        <v>-114351268</v>
      </c>
      <c r="R478">
        <f t="shared" si="981"/>
        <v>-2131352731.4350152</v>
      </c>
      <c r="S478">
        <f t="shared" si="982"/>
        <v>-21313.527314350151</v>
      </c>
      <c r="T478">
        <f t="shared" si="983"/>
        <v>-21.31352731435015</v>
      </c>
    </row>
    <row r="479" spans="1:20" x14ac:dyDescent="0.25">
      <c r="A479" s="5">
        <v>44114</v>
      </c>
      <c r="B479">
        <v>1.6739999999999999E-3</v>
      </c>
      <c r="C479">
        <v>1.755E-3</v>
      </c>
      <c r="D479">
        <v>1.6440000000000001E-3</v>
      </c>
      <c r="E479">
        <v>1.684E-3</v>
      </c>
      <c r="F479">
        <v>191609577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-0.2792792792792812</v>
      </c>
      <c r="Q479">
        <f t="shared" si="980"/>
        <v>-53512584.567567937</v>
      </c>
      <c r="R479">
        <f t="shared" si="981"/>
        <v>-2017001463.4350152</v>
      </c>
      <c r="S479">
        <f t="shared" si="982"/>
        <v>-20170.014634350151</v>
      </c>
      <c r="T479">
        <f t="shared" si="983"/>
        <v>-20.170014634350149</v>
      </c>
    </row>
    <row r="480" spans="1:20" x14ac:dyDescent="0.25">
      <c r="A480" s="5">
        <v>44113</v>
      </c>
      <c r="B480">
        <v>1.549E-3</v>
      </c>
      <c r="C480">
        <v>1.75E-3</v>
      </c>
      <c r="D480">
        <v>1.5349999999999999E-3</v>
      </c>
      <c r="E480">
        <v>1.673E-3</v>
      </c>
      <c r="F480">
        <v>302192982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0.28372093023255829</v>
      </c>
      <c r="Q480">
        <f t="shared" si="980"/>
        <v>85738473.962790743</v>
      </c>
      <c r="R480">
        <f t="shared" si="981"/>
        <v>-1963488878.8674474</v>
      </c>
      <c r="S480">
        <f t="shared" si="982"/>
        <v>-19634.888788674474</v>
      </c>
      <c r="T480">
        <f t="shared" si="983"/>
        <v>-19.634888788674473</v>
      </c>
    </row>
    <row r="481" spans="1:20" x14ac:dyDescent="0.25">
      <c r="A481" s="5">
        <v>44112</v>
      </c>
      <c r="B481">
        <v>1.469E-3</v>
      </c>
      <c r="C481">
        <v>1.583E-3</v>
      </c>
      <c r="D481">
        <v>1.462E-3</v>
      </c>
      <c r="E481">
        <v>1.547E-3</v>
      </c>
      <c r="F481">
        <v>249279564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0.40495867768595034</v>
      </c>
      <c r="Q481">
        <f t="shared" si="980"/>
        <v>100947922.61157022</v>
      </c>
      <c r="R481">
        <f t="shared" si="981"/>
        <v>-2049227352.8302381</v>
      </c>
      <c r="S481">
        <f t="shared" si="982"/>
        <v>-20492.273528302379</v>
      </c>
      <c r="T481">
        <f t="shared" si="983"/>
        <v>-20.49227352830238</v>
      </c>
    </row>
    <row r="482" spans="1:20" x14ac:dyDescent="0.25">
      <c r="A482" s="5">
        <v>44111</v>
      </c>
      <c r="B482">
        <v>1.4419999999999999E-3</v>
      </c>
      <c r="C482">
        <v>1.49E-3</v>
      </c>
      <c r="D482">
        <v>1.41E-3</v>
      </c>
      <c r="E482">
        <v>1.469E-3</v>
      </c>
      <c r="F482">
        <v>84687715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0.47500000000000075</v>
      </c>
      <c r="Q482">
        <f t="shared" si="980"/>
        <v>40226664.625000067</v>
      </c>
      <c r="R482">
        <f t="shared" si="981"/>
        <v>-2150175275.4418082</v>
      </c>
      <c r="S482">
        <f t="shared" si="982"/>
        <v>-21501.752754418081</v>
      </c>
      <c r="T482">
        <f t="shared" si="983"/>
        <v>-21.501752754418082</v>
      </c>
    </row>
    <row r="483" spans="1:20" x14ac:dyDescent="0.25">
      <c r="A483" s="5">
        <v>44110</v>
      </c>
      <c r="B483">
        <v>1.5410000000000001E-3</v>
      </c>
      <c r="C483">
        <v>1.549E-3</v>
      </c>
      <c r="D483">
        <v>1.4139999999999999E-3</v>
      </c>
      <c r="E483">
        <v>1.4419999999999999E-3</v>
      </c>
      <c r="F483">
        <v>249988177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-0.58518518518518514</v>
      </c>
      <c r="Q483">
        <f t="shared" si="980"/>
        <v>-146289377.65185183</v>
      </c>
      <c r="R483">
        <f t="shared" si="981"/>
        <v>-2190401940.0668082</v>
      </c>
      <c r="S483">
        <f t="shared" si="982"/>
        <v>-21904.019400668083</v>
      </c>
      <c r="T483">
        <f t="shared" si="983"/>
        <v>-21.904019400668084</v>
      </c>
    </row>
    <row r="484" spans="1:20" x14ac:dyDescent="0.25">
      <c r="A484" s="5">
        <v>44109</v>
      </c>
      <c r="B484">
        <v>1.5889999999999999E-3</v>
      </c>
      <c r="C484">
        <v>1.5939999999999999E-3</v>
      </c>
      <c r="D484">
        <v>1.524E-3</v>
      </c>
      <c r="E484">
        <v>1.5430000000000001E-3</v>
      </c>
      <c r="F484">
        <v>210416739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-0.45714285714285297</v>
      </c>
      <c r="Q484">
        <f t="shared" si="980"/>
        <v>-96190509.257141978</v>
      </c>
      <c r="R484">
        <f t="shared" si="981"/>
        <v>-2044112562.4149563</v>
      </c>
      <c r="S484">
        <f t="shared" si="982"/>
        <v>-20441.125624149565</v>
      </c>
      <c r="T484">
        <f t="shared" si="983"/>
        <v>-20.441125624149564</v>
      </c>
    </row>
    <row r="485" spans="1:20" x14ac:dyDescent="0.25">
      <c r="A485" s="5">
        <v>44108</v>
      </c>
      <c r="B485">
        <v>1.578E-3</v>
      </c>
      <c r="C485">
        <v>1.5939999999999999E-3</v>
      </c>
      <c r="D485">
        <v>1.562E-3</v>
      </c>
      <c r="E485">
        <v>1.5870000000000001E-3</v>
      </c>
      <c r="F485">
        <v>55653175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0.56250000000000844</v>
      </c>
      <c r="Q485">
        <f t="shared" si="980"/>
        <v>31304910.937500469</v>
      </c>
      <c r="R485">
        <f t="shared" si="981"/>
        <v>-1947922053.1578143</v>
      </c>
      <c r="S485">
        <f t="shared" si="982"/>
        <v>-19479.220531578143</v>
      </c>
      <c r="T485">
        <f t="shared" si="983"/>
        <v>-19.479220531578143</v>
      </c>
    </row>
    <row r="486" spans="1:20" x14ac:dyDescent="0.25">
      <c r="A486" s="5">
        <v>44107</v>
      </c>
      <c r="B486">
        <v>1.586E-3</v>
      </c>
      <c r="C486">
        <v>1.6199999999999999E-3</v>
      </c>
      <c r="D486">
        <v>1.575E-3</v>
      </c>
      <c r="E486">
        <v>1.5820000000000001E-3</v>
      </c>
      <c r="F486">
        <v>95376856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-0.68888888888888544</v>
      </c>
      <c r="Q486">
        <f t="shared" si="980"/>
        <v>-65704056.355555229</v>
      </c>
      <c r="R486">
        <f t="shared" si="981"/>
        <v>-1979226964.0953147</v>
      </c>
      <c r="S486">
        <f t="shared" si="982"/>
        <v>-19792.269640953149</v>
      </c>
      <c r="T486">
        <f t="shared" si="983"/>
        <v>-19.792269640953148</v>
      </c>
    </row>
    <row r="487" spans="1:20" x14ac:dyDescent="0.25">
      <c r="A487" s="5">
        <v>44106</v>
      </c>
      <c r="B487">
        <v>1.627E-3</v>
      </c>
      <c r="C487">
        <v>1.6429999999999999E-3</v>
      </c>
      <c r="D487">
        <v>1.555E-3</v>
      </c>
      <c r="E487">
        <v>1.5839999999999999E-3</v>
      </c>
      <c r="F487">
        <v>128287949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-0.34090909090909194</v>
      </c>
      <c r="Q487">
        <f t="shared" si="980"/>
        <v>-43734528.068181947</v>
      </c>
      <c r="R487">
        <f t="shared" si="981"/>
        <v>-1913522907.7397594</v>
      </c>
      <c r="S487">
        <f t="shared" si="982"/>
        <v>-19135.229077397595</v>
      </c>
      <c r="T487">
        <f t="shared" si="983"/>
        <v>-19.135229077397593</v>
      </c>
    </row>
    <row r="488" spans="1:20" x14ac:dyDescent="0.25">
      <c r="A488" s="5">
        <v>44105</v>
      </c>
      <c r="B488">
        <v>1.6459999999999999E-3</v>
      </c>
      <c r="C488">
        <v>1.6800000000000001E-3</v>
      </c>
      <c r="D488">
        <v>1.5950000000000001E-3</v>
      </c>
      <c r="E488">
        <v>1.627E-3</v>
      </c>
      <c r="F488">
        <v>108030130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-0.24705882352941391</v>
      </c>
      <c r="Q488">
        <f t="shared" si="980"/>
        <v>-26689796.823529642</v>
      </c>
      <c r="R488">
        <f t="shared" si="981"/>
        <v>-1869788379.6715775</v>
      </c>
      <c r="S488">
        <f t="shared" si="982"/>
        <v>-18697.883796715774</v>
      </c>
      <c r="T488">
        <f t="shared" si="983"/>
        <v>-18.697883796715775</v>
      </c>
    </row>
    <row r="489" spans="1:20" x14ac:dyDescent="0.25">
      <c r="A489" s="5">
        <v>44104</v>
      </c>
      <c r="B489">
        <v>1.642E-3</v>
      </c>
      <c r="C489">
        <v>1.725E-3</v>
      </c>
      <c r="D489">
        <v>1.634E-3</v>
      </c>
      <c r="E489">
        <v>1.6440000000000001E-3</v>
      </c>
      <c r="F489">
        <v>158420024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-0.78021978021977945</v>
      </c>
      <c r="Q489">
        <f t="shared" si="980"/>
        <v>-123602436.30769219</v>
      </c>
      <c r="R489">
        <f t="shared" si="981"/>
        <v>-1843098582.8480477</v>
      </c>
      <c r="S489">
        <f t="shared" si="982"/>
        <v>-18430.985828480476</v>
      </c>
      <c r="T489">
        <f t="shared" si="983"/>
        <v>-18.430985828480477</v>
      </c>
    </row>
    <row r="490" spans="1:20" x14ac:dyDescent="0.25">
      <c r="A490" s="5">
        <v>44103</v>
      </c>
      <c r="B490">
        <v>1.65E-3</v>
      </c>
      <c r="C490">
        <v>1.6639999999999999E-3</v>
      </c>
      <c r="D490">
        <v>1.611E-3</v>
      </c>
      <c r="E490">
        <v>1.642E-3</v>
      </c>
      <c r="F490">
        <v>112819151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0.16981132075471944</v>
      </c>
      <c r="Q490">
        <f t="shared" si="980"/>
        <v>19157969.037736125</v>
      </c>
      <c r="R490">
        <f t="shared" si="981"/>
        <v>-1719496146.5403554</v>
      </c>
      <c r="S490">
        <f t="shared" si="982"/>
        <v>-17194.961465403554</v>
      </c>
      <c r="T490">
        <f t="shared" si="983"/>
        <v>-17.194961465403555</v>
      </c>
    </row>
    <row r="491" spans="1:20" x14ac:dyDescent="0.25">
      <c r="A491" s="5">
        <v>44102</v>
      </c>
      <c r="B491">
        <v>1.67E-3</v>
      </c>
      <c r="C491">
        <v>1.6980000000000001E-3</v>
      </c>
      <c r="D491">
        <v>1.637E-3</v>
      </c>
      <c r="E491">
        <v>1.6479999999999999E-3</v>
      </c>
      <c r="F491">
        <v>92465789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-0.63934426229508434</v>
      </c>
      <c r="Q491">
        <f t="shared" si="980"/>
        <v>-59117471.655737922</v>
      </c>
      <c r="R491">
        <f t="shared" si="981"/>
        <v>-1738654115.5780916</v>
      </c>
      <c r="S491">
        <f t="shared" si="982"/>
        <v>-17386.541155780917</v>
      </c>
      <c r="T491">
        <f t="shared" si="983"/>
        <v>-17.386541155780918</v>
      </c>
    </row>
    <row r="492" spans="1:20" x14ac:dyDescent="0.25">
      <c r="A492" s="5">
        <v>44101</v>
      </c>
      <c r="B492">
        <v>1.671E-3</v>
      </c>
      <c r="C492">
        <v>1.701E-3</v>
      </c>
      <c r="D492">
        <v>1.6360000000000001E-3</v>
      </c>
      <c r="E492">
        <v>1.681E-3</v>
      </c>
      <c r="F492">
        <v>107788272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0.38461538461538258</v>
      </c>
      <c r="Q492">
        <f t="shared" si="980"/>
        <v>41457027.692307472</v>
      </c>
      <c r="R492">
        <f t="shared" si="981"/>
        <v>-1679536643.9223537</v>
      </c>
      <c r="S492">
        <f t="shared" si="982"/>
        <v>-16795.366439223537</v>
      </c>
      <c r="T492">
        <f t="shared" si="983"/>
        <v>-16.795366439223535</v>
      </c>
    </row>
    <row r="493" spans="1:20" x14ac:dyDescent="0.25">
      <c r="A493" s="5">
        <v>44100</v>
      </c>
      <c r="B493">
        <v>1.6659999999999999E-3</v>
      </c>
      <c r="C493">
        <v>1.6850000000000001E-3</v>
      </c>
      <c r="D493">
        <v>1.642E-3</v>
      </c>
      <c r="E493">
        <v>1.671E-3</v>
      </c>
      <c r="F493">
        <v>119858810</v>
      </c>
      <c r="G493">
        <v>0</v>
      </c>
      <c r="L493" t="s">
        <v>7</v>
      </c>
      <c r="M493" t="s">
        <v>7</v>
      </c>
      <c r="N493" t="s">
        <v>8</v>
      </c>
      <c r="P493">
        <f t="shared" si="979"/>
        <v>0.34883720930232087</v>
      </c>
      <c r="Q493">
        <f t="shared" si="980"/>
        <v>41811212.790697113</v>
      </c>
      <c r="R493">
        <f t="shared" si="981"/>
        <v>-1720993671.6146612</v>
      </c>
      <c r="S493">
        <f t="shared" si="982"/>
        <v>-17209.936716146611</v>
      </c>
      <c r="T493">
        <f t="shared" si="983"/>
        <v>-17.209936716146611</v>
      </c>
    </row>
    <row r="494" spans="1:20" x14ac:dyDescent="0.25">
      <c r="A494" s="5">
        <v>44099</v>
      </c>
      <c r="B494">
        <v>1.668E-3</v>
      </c>
      <c r="C494">
        <v>1.784E-3</v>
      </c>
      <c r="D494">
        <v>1.632E-3</v>
      </c>
      <c r="E494">
        <v>1.6739999999999999E-3</v>
      </c>
      <c r="F494">
        <v>213304338</v>
      </c>
      <c r="G494">
        <v>0</v>
      </c>
      <c r="L494" t="s">
        <v>8</v>
      </c>
      <c r="M494" t="s">
        <v>7</v>
      </c>
      <c r="N494" t="s">
        <v>8</v>
      </c>
      <c r="P494">
        <f t="shared" si="979"/>
        <v>-0.44736842105263247</v>
      </c>
      <c r="Q494">
        <f t="shared" si="980"/>
        <v>-95425624.894737035</v>
      </c>
      <c r="R494">
        <f t="shared" si="981"/>
        <v>-1762804884.4053583</v>
      </c>
      <c r="S494">
        <f t="shared" si="982"/>
        <v>-17628.048844053585</v>
      </c>
      <c r="T494">
        <f t="shared" si="983"/>
        <v>-17.628048844053584</v>
      </c>
    </row>
    <row r="495" spans="1:20" x14ac:dyDescent="0.25">
      <c r="A495" s="5">
        <v>44098</v>
      </c>
      <c r="B495">
        <v>1.5900000000000001E-3</v>
      </c>
      <c r="C495">
        <v>1.7129999999999999E-3</v>
      </c>
      <c r="D495">
        <v>1.5679999999999999E-3</v>
      </c>
      <c r="E495">
        <v>1.668E-3</v>
      </c>
      <c r="F495">
        <v>134632835</v>
      </c>
      <c r="G495">
        <v>0</v>
      </c>
      <c r="L495" t="s">
        <v>8</v>
      </c>
      <c r="M495" t="s">
        <v>7</v>
      </c>
      <c r="N495" t="s">
        <v>8</v>
      </c>
      <c r="P495">
        <f t="shared" si="979"/>
        <v>0.37931034482758735</v>
      </c>
      <c r="Q495">
        <f t="shared" si="980"/>
        <v>51067627.068965673</v>
      </c>
      <c r="R495">
        <f t="shared" si="981"/>
        <v>-1667379259.5106213</v>
      </c>
      <c r="S495">
        <f t="shared" si="982"/>
        <v>-16673.792595106213</v>
      </c>
      <c r="T495">
        <f t="shared" si="983"/>
        <v>-16.673792595106214</v>
      </c>
    </row>
    <row r="496" spans="1:20" x14ac:dyDescent="0.25">
      <c r="A496" s="5">
        <v>44097</v>
      </c>
      <c r="B496">
        <v>1.7340000000000001E-3</v>
      </c>
      <c r="C496">
        <v>1.7899999999999999E-3</v>
      </c>
      <c r="D496">
        <v>1.5659999999999999E-3</v>
      </c>
      <c r="E496">
        <v>1.578E-3</v>
      </c>
      <c r="F496">
        <v>228771499</v>
      </c>
      <c r="G496">
        <v>0</v>
      </c>
      <c r="L496" t="s">
        <v>7</v>
      </c>
      <c r="M496" t="s">
        <v>7</v>
      </c>
      <c r="N496" t="s">
        <v>8</v>
      </c>
      <c r="P496">
        <f t="shared" si="979"/>
        <v>-0.89285714285714224</v>
      </c>
      <c r="Q496">
        <f t="shared" si="980"/>
        <v>-204260266.96428558</v>
      </c>
      <c r="R496">
        <f t="shared" si="981"/>
        <v>-1718446886.579587</v>
      </c>
      <c r="S496">
        <f t="shared" si="982"/>
        <v>-17184.468865795869</v>
      </c>
      <c r="T496">
        <f t="shared" si="983"/>
        <v>-17.184468865795868</v>
      </c>
    </row>
    <row r="497" spans="1:20" x14ac:dyDescent="0.25">
      <c r="A497" s="5">
        <v>44096</v>
      </c>
      <c r="B497">
        <v>1.678E-3</v>
      </c>
      <c r="C497">
        <v>1.7880000000000001E-3</v>
      </c>
      <c r="D497">
        <v>1.6559999999999999E-3</v>
      </c>
      <c r="E497">
        <v>1.732E-3</v>
      </c>
      <c r="F497">
        <v>198468324</v>
      </c>
      <c r="G497">
        <v>0</v>
      </c>
      <c r="L497" t="s">
        <v>8</v>
      </c>
      <c r="M497" t="s">
        <v>7</v>
      </c>
      <c r="N497" t="s">
        <v>8</v>
      </c>
      <c r="P497">
        <f t="shared" si="979"/>
        <v>0.15151515151515171</v>
      </c>
      <c r="Q497">
        <f t="shared" si="980"/>
        <v>30070958.181818221</v>
      </c>
      <c r="R497">
        <f t="shared" si="981"/>
        <v>-1514186619.6153014</v>
      </c>
      <c r="S497">
        <f t="shared" si="982"/>
        <v>-15141.866196153014</v>
      </c>
      <c r="T497">
        <f t="shared" si="983"/>
        <v>-15.141866196153014</v>
      </c>
    </row>
    <row r="498" spans="1:20" x14ac:dyDescent="0.25">
      <c r="A498" s="5">
        <v>44095</v>
      </c>
      <c r="B498">
        <v>1.9170000000000001E-3</v>
      </c>
      <c r="C498">
        <v>2.0579999999999999E-3</v>
      </c>
      <c r="D498">
        <v>1.591E-3</v>
      </c>
      <c r="E498">
        <v>1.678E-3</v>
      </c>
      <c r="F498">
        <v>764181558</v>
      </c>
      <c r="G498">
        <v>0</v>
      </c>
      <c r="L498" t="s">
        <v>7</v>
      </c>
      <c r="M498" t="s">
        <v>8</v>
      </c>
      <c r="N498" t="s">
        <v>8</v>
      </c>
      <c r="P498">
        <f t="shared" si="979"/>
        <v>-0.62740899357601687</v>
      </c>
      <c r="Q498">
        <f t="shared" si="980"/>
        <v>-479454382.21413255</v>
      </c>
      <c r="R498">
        <f t="shared" si="981"/>
        <v>-1544257577.7971196</v>
      </c>
      <c r="S498">
        <f t="shared" si="982"/>
        <v>-15442.575777971197</v>
      </c>
      <c r="T498">
        <f t="shared" si="983"/>
        <v>-15.442575777971197</v>
      </c>
    </row>
    <row r="499" spans="1:20" x14ac:dyDescent="0.25">
      <c r="A499" s="5">
        <v>44094</v>
      </c>
      <c r="B499">
        <v>1.9289999999999999E-3</v>
      </c>
      <c r="C499">
        <v>1.9499999999999999E-3</v>
      </c>
      <c r="D499">
        <v>1.8289999999999999E-3</v>
      </c>
      <c r="E499">
        <v>1.9189999999999999E-3</v>
      </c>
      <c r="F499">
        <v>138037189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0.48760330578512412</v>
      </c>
      <c r="Q499">
        <f t="shared" si="980"/>
        <v>67307389.677685976</v>
      </c>
      <c r="R499">
        <f t="shared" si="981"/>
        <v>-1064803195.5829871</v>
      </c>
      <c r="S499">
        <f t="shared" si="982"/>
        <v>-10648.031955829871</v>
      </c>
      <c r="T499">
        <f t="shared" si="983"/>
        <v>-10.64803195582987</v>
      </c>
    </row>
    <row r="500" spans="1:20" x14ac:dyDescent="0.25">
      <c r="A500" s="5">
        <v>44093</v>
      </c>
      <c r="B500">
        <v>1.9550000000000001E-3</v>
      </c>
      <c r="C500">
        <v>1.9849999999999998E-3</v>
      </c>
      <c r="D500">
        <v>1.8940000000000001E-3</v>
      </c>
      <c r="E500">
        <v>1.9369999999999999E-3</v>
      </c>
      <c r="F500">
        <v>217178839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-5.4945054945055256E-2</v>
      </c>
      <c r="Q500">
        <f t="shared" si="980"/>
        <v>-11932903.241758309</v>
      </c>
      <c r="R500">
        <f t="shared" si="981"/>
        <v>-1132110585.260673</v>
      </c>
      <c r="S500">
        <f t="shared" si="982"/>
        <v>-11321.10585260673</v>
      </c>
      <c r="T500">
        <f t="shared" si="983"/>
        <v>-11.321105852606729</v>
      </c>
    </row>
    <row r="501" spans="1:20" x14ac:dyDescent="0.25">
      <c r="A501" s="5">
        <v>44092</v>
      </c>
      <c r="B501">
        <v>1.776E-3</v>
      </c>
      <c r="C501">
        <v>1.9949999999999998E-3</v>
      </c>
      <c r="D501">
        <v>1.7589999999999999E-3</v>
      </c>
      <c r="E501">
        <v>1.9499999999999999E-3</v>
      </c>
      <c r="F501">
        <v>445653860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0.61864406779661085</v>
      </c>
      <c r="Q501">
        <f t="shared" si="980"/>
        <v>275701116.7796613</v>
      </c>
      <c r="R501">
        <f t="shared" si="981"/>
        <v>-1120177682.0189147</v>
      </c>
      <c r="S501">
        <f t="shared" si="982"/>
        <v>-11201.776820189147</v>
      </c>
      <c r="T501">
        <f t="shared" si="983"/>
        <v>-11.201776820189147</v>
      </c>
    </row>
    <row r="502" spans="1:20" x14ac:dyDescent="0.25">
      <c r="A502" s="5">
        <v>44091</v>
      </c>
      <c r="B502">
        <v>1.712E-3</v>
      </c>
      <c r="C502">
        <v>1.8389999999999999E-3</v>
      </c>
      <c r="D502">
        <v>1.691E-3</v>
      </c>
      <c r="E502">
        <v>1.7750000000000001E-3</v>
      </c>
      <c r="F502">
        <v>268646731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0.13513513513513703</v>
      </c>
      <c r="Q502">
        <f t="shared" si="980"/>
        <v>36303612.297297806</v>
      </c>
      <c r="R502">
        <f t="shared" si="981"/>
        <v>-1395878798.7985761</v>
      </c>
      <c r="S502">
        <f t="shared" si="982"/>
        <v>-13958.787987985761</v>
      </c>
      <c r="T502">
        <f t="shared" si="983"/>
        <v>-13.958787987985762</v>
      </c>
    </row>
    <row r="503" spans="1:20" x14ac:dyDescent="0.25">
      <c r="A503" s="5">
        <v>44090</v>
      </c>
      <c r="B503">
        <v>1.7420000000000001E-3</v>
      </c>
      <c r="C503">
        <v>1.7470000000000001E-3</v>
      </c>
      <c r="D503">
        <v>1.676E-3</v>
      </c>
      <c r="E503">
        <v>1.712E-3</v>
      </c>
      <c r="F503">
        <v>122808500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1.4084507042252318E-2</v>
      </c>
      <c r="Q503">
        <f t="shared" si="980"/>
        <v>1729697.1830984438</v>
      </c>
      <c r="R503">
        <f t="shared" si="981"/>
        <v>-1432182411.0958738</v>
      </c>
      <c r="S503">
        <f t="shared" si="982"/>
        <v>-14321.824110958738</v>
      </c>
      <c r="T503">
        <f t="shared" si="983"/>
        <v>-14.321824110958739</v>
      </c>
    </row>
    <row r="504" spans="1:20" x14ac:dyDescent="0.25">
      <c r="A504" s="5">
        <v>44089</v>
      </c>
      <c r="B504">
        <v>1.833E-3</v>
      </c>
      <c r="C504">
        <v>1.833E-3</v>
      </c>
      <c r="D504">
        <v>1.735E-3</v>
      </c>
      <c r="E504">
        <v>1.7440000000000001E-3</v>
      </c>
      <c r="F504">
        <v>167881089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-0.8163265306122427</v>
      </c>
      <c r="Q504">
        <f t="shared" si="980"/>
        <v>-137045786.93877515</v>
      </c>
      <c r="R504">
        <f t="shared" si="981"/>
        <v>-1433912108.2789724</v>
      </c>
      <c r="S504">
        <f t="shared" si="982"/>
        <v>-14339.121082789723</v>
      </c>
      <c r="T504">
        <f t="shared" si="983"/>
        <v>-14.339121082789722</v>
      </c>
    </row>
    <row r="505" spans="1:20" x14ac:dyDescent="0.25">
      <c r="A505" s="5">
        <v>44088</v>
      </c>
      <c r="B505">
        <v>1.6739999999999999E-3</v>
      </c>
      <c r="C505">
        <v>1.8489999999999999E-3</v>
      </c>
      <c r="D505">
        <v>1.645E-3</v>
      </c>
      <c r="E505">
        <v>1.8209999999999999E-3</v>
      </c>
      <c r="F505">
        <v>261127481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0.72549019607843102</v>
      </c>
      <c r="Q505">
        <f t="shared" si="980"/>
        <v>189445427.39215678</v>
      </c>
      <c r="R505">
        <f t="shared" si="981"/>
        <v>-1296866321.3401973</v>
      </c>
      <c r="S505">
        <f t="shared" si="982"/>
        <v>-12968.663213401973</v>
      </c>
      <c r="T505">
        <f t="shared" si="983"/>
        <v>-12.968663213401973</v>
      </c>
    </row>
    <row r="506" spans="1:20" x14ac:dyDescent="0.25">
      <c r="A506" s="5">
        <v>44087</v>
      </c>
      <c r="B506">
        <v>1.771E-3</v>
      </c>
      <c r="C506">
        <v>1.7930000000000001E-3</v>
      </c>
      <c r="D506">
        <v>1.6459999999999999E-3</v>
      </c>
      <c r="E506">
        <v>1.6739999999999999E-3</v>
      </c>
      <c r="F506">
        <v>137799160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-0.61904761904761918</v>
      </c>
      <c r="Q506">
        <f t="shared" si="980"/>
        <v>-85304241.904761925</v>
      </c>
      <c r="R506">
        <f t="shared" si="981"/>
        <v>-1486311748.7323542</v>
      </c>
      <c r="S506">
        <f t="shared" si="982"/>
        <v>-14863.117487323541</v>
      </c>
      <c r="T506">
        <f t="shared" si="983"/>
        <v>-14.863117487323541</v>
      </c>
    </row>
    <row r="507" spans="1:20" x14ac:dyDescent="0.25">
      <c r="A507" s="5">
        <v>44086</v>
      </c>
      <c r="B507">
        <v>1.7210000000000001E-3</v>
      </c>
      <c r="C507">
        <v>1.776E-3</v>
      </c>
      <c r="D507">
        <v>1.6689999999999999E-3</v>
      </c>
      <c r="E507">
        <v>1.771E-3</v>
      </c>
      <c r="F507">
        <v>211349498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0.90654205607476623</v>
      </c>
      <c r="Q507">
        <f t="shared" si="980"/>
        <v>191597208.46728969</v>
      </c>
      <c r="R507">
        <f t="shared" si="981"/>
        <v>-1401007506.8275921</v>
      </c>
      <c r="S507">
        <f t="shared" si="982"/>
        <v>-14010.075068275921</v>
      </c>
      <c r="T507">
        <f t="shared" si="983"/>
        <v>-14.010075068275921</v>
      </c>
    </row>
    <row r="508" spans="1:20" x14ac:dyDescent="0.25">
      <c r="A508" s="5">
        <v>44085</v>
      </c>
      <c r="B508">
        <v>1.7799999999999999E-3</v>
      </c>
      <c r="C508">
        <v>1.7930000000000001E-3</v>
      </c>
      <c r="D508">
        <v>1.64E-3</v>
      </c>
      <c r="E508">
        <v>1.7210000000000001E-3</v>
      </c>
      <c r="F508">
        <v>387634943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5.8823529411765371E-2</v>
      </c>
      <c r="Q508">
        <f t="shared" si="980"/>
        <v>22802055.470588494</v>
      </c>
      <c r="R508">
        <f t="shared" si="981"/>
        <v>-1592604715.2948818</v>
      </c>
      <c r="S508">
        <f t="shared" si="982"/>
        <v>-15926.047152948819</v>
      </c>
      <c r="T508">
        <f t="shared" si="983"/>
        <v>-15.926047152948819</v>
      </c>
    </row>
    <row r="509" spans="1:20" x14ac:dyDescent="0.25">
      <c r="A509" s="5">
        <v>44084</v>
      </c>
      <c r="B509">
        <v>1.505E-3</v>
      </c>
      <c r="C509">
        <v>1.8890000000000001E-3</v>
      </c>
      <c r="D509">
        <v>1.5039999999999999E-3</v>
      </c>
      <c r="E509">
        <v>1.7819999999999999E-3</v>
      </c>
      <c r="F509">
        <v>868702775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0.4441558441558438</v>
      </c>
      <c r="Q509">
        <f t="shared" si="980"/>
        <v>385839414.35064906</v>
      </c>
      <c r="R509">
        <f t="shared" si="981"/>
        <v>-1615406770.7654703</v>
      </c>
      <c r="S509">
        <f t="shared" si="982"/>
        <v>-16154.067707654704</v>
      </c>
      <c r="T509">
        <f t="shared" si="983"/>
        <v>-16.154067707654704</v>
      </c>
    </row>
    <row r="510" spans="1:20" x14ac:dyDescent="0.25">
      <c r="A510" s="5">
        <v>44083</v>
      </c>
      <c r="B510">
        <v>1.4809999999999999E-3</v>
      </c>
      <c r="C510">
        <v>1.549E-3</v>
      </c>
      <c r="D510">
        <v>1.469E-3</v>
      </c>
      <c r="E510">
        <v>1.506E-3</v>
      </c>
      <c r="F510">
        <v>239044113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-7.5000000000001829E-2</v>
      </c>
      <c r="Q510">
        <f t="shared" si="980"/>
        <v>-17928308.475000437</v>
      </c>
      <c r="R510">
        <f t="shared" si="981"/>
        <v>-2001246185.1161194</v>
      </c>
      <c r="S510">
        <f t="shared" si="982"/>
        <v>-20012.461851161195</v>
      </c>
      <c r="T510">
        <f t="shared" si="983"/>
        <v>-20.012461851161195</v>
      </c>
    </row>
    <row r="511" spans="1:20" x14ac:dyDescent="0.25">
      <c r="A511" s="5">
        <v>44082</v>
      </c>
      <c r="B511">
        <v>1.49E-3</v>
      </c>
      <c r="C511">
        <v>1.513E-3</v>
      </c>
      <c r="D511">
        <v>1.4339999999999999E-3</v>
      </c>
      <c r="E511">
        <v>1.48E-3</v>
      </c>
      <c r="F511">
        <v>335159951</v>
      </c>
      <c r="G511">
        <v>0</v>
      </c>
      <c r="L511" t="s">
        <v>7</v>
      </c>
      <c r="M511" t="s">
        <v>8</v>
      </c>
      <c r="N511" t="s">
        <v>8</v>
      </c>
      <c r="P511">
        <f t="shared" si="979"/>
        <v>0.16455696202531617</v>
      </c>
      <c r="Q511">
        <f t="shared" si="980"/>
        <v>55152903.329113826</v>
      </c>
      <c r="R511">
        <f t="shared" si="981"/>
        <v>-1983317876.641119</v>
      </c>
      <c r="S511">
        <f t="shared" si="982"/>
        <v>-19833.178766411191</v>
      </c>
      <c r="T511">
        <f t="shared" si="983"/>
        <v>-19.833178766411191</v>
      </c>
    </row>
    <row r="512" spans="1:20" x14ac:dyDescent="0.25">
      <c r="A512" s="5">
        <v>44081</v>
      </c>
      <c r="B512">
        <v>1.5250000000000001E-3</v>
      </c>
      <c r="C512">
        <v>1.542E-3</v>
      </c>
      <c r="D512">
        <v>1.3979999999999999E-3</v>
      </c>
      <c r="E512">
        <v>1.4909999999999999E-3</v>
      </c>
      <c r="F512">
        <v>259464668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0.29166666666666619</v>
      </c>
      <c r="Q512">
        <f t="shared" si="980"/>
        <v>75677194.833333209</v>
      </c>
      <c r="R512">
        <f t="shared" si="981"/>
        <v>-2038470779.9702327</v>
      </c>
      <c r="S512">
        <f t="shared" si="982"/>
        <v>-20384.707799702326</v>
      </c>
      <c r="T512">
        <f t="shared" si="983"/>
        <v>-20.384707799702326</v>
      </c>
    </row>
    <row r="513" spans="1:20" x14ac:dyDescent="0.25">
      <c r="A513" s="5">
        <v>44080</v>
      </c>
      <c r="B513">
        <v>1.4369999999999999E-3</v>
      </c>
      <c r="C513">
        <v>1.531E-3</v>
      </c>
      <c r="D513">
        <v>1.3519999999999999E-3</v>
      </c>
      <c r="E513">
        <v>1.523E-3</v>
      </c>
      <c r="F513">
        <v>239403518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0.91061452513966512</v>
      </c>
      <c r="Q513">
        <f t="shared" si="980"/>
        <v>218004320.86033526</v>
      </c>
      <c r="R513">
        <f t="shared" si="981"/>
        <v>-2114147974.803566</v>
      </c>
      <c r="S513">
        <f t="shared" si="982"/>
        <v>-21141.479748035661</v>
      </c>
      <c r="T513">
        <f t="shared" si="983"/>
        <v>-21.14147974803566</v>
      </c>
    </row>
    <row r="514" spans="1:20" x14ac:dyDescent="0.25">
      <c r="A514" s="5">
        <v>44079</v>
      </c>
      <c r="B514">
        <v>1.5889999999999999E-3</v>
      </c>
      <c r="C514">
        <v>1.6149999999999999E-3</v>
      </c>
      <c r="D514">
        <v>9.7000000000000005E-4</v>
      </c>
      <c r="E514">
        <v>1.4350000000000001E-3</v>
      </c>
      <c r="F514">
        <v>255502003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0.44186046511627947</v>
      </c>
      <c r="Q514">
        <f t="shared" si="980"/>
        <v>112896233.88372104</v>
      </c>
      <c r="R514">
        <f t="shared" si="981"/>
        <v>-2332152295.6639013</v>
      </c>
      <c r="S514">
        <f t="shared" si="982"/>
        <v>-23321.522956639012</v>
      </c>
      <c r="T514">
        <f t="shared" si="983"/>
        <v>-23.321522956639011</v>
      </c>
    </row>
    <row r="515" spans="1:20" x14ac:dyDescent="0.25">
      <c r="A515" s="5">
        <v>44078</v>
      </c>
      <c r="B515">
        <v>1.508E-3</v>
      </c>
      <c r="C515">
        <v>1.6440000000000001E-3</v>
      </c>
      <c r="D515">
        <v>1.4E-3</v>
      </c>
      <c r="E515">
        <v>1.5900000000000001E-3</v>
      </c>
      <c r="F515">
        <v>383155739</v>
      </c>
      <c r="G515">
        <v>0</v>
      </c>
      <c r="L515" t="s">
        <v>8</v>
      </c>
      <c r="M515" t="s">
        <v>8</v>
      </c>
      <c r="N515" t="s">
        <v>8</v>
      </c>
      <c r="P515">
        <f t="shared" si="979"/>
        <v>0.55737704918032793</v>
      </c>
      <c r="Q515">
        <f t="shared" si="980"/>
        <v>213562215.18032789</v>
      </c>
      <c r="R515">
        <f t="shared" si="981"/>
        <v>-2445048529.5476222</v>
      </c>
      <c r="S515">
        <f t="shared" si="982"/>
        <v>-24450.485295476221</v>
      </c>
      <c r="T515">
        <f t="shared" si="983"/>
        <v>-24.45048529547622</v>
      </c>
    </row>
    <row r="516" spans="1:20" x14ac:dyDescent="0.25">
      <c r="A516" s="5">
        <v>44077</v>
      </c>
      <c r="B516">
        <v>1.869E-3</v>
      </c>
      <c r="C516">
        <v>1.92E-3</v>
      </c>
      <c r="D516">
        <v>2.14E-4</v>
      </c>
      <c r="E516">
        <v>1.505E-3</v>
      </c>
      <c r="F516">
        <v>694576199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0.51348182883939042</v>
      </c>
      <c r="Q516">
        <f t="shared" si="980"/>
        <v>356652256.93083239</v>
      </c>
      <c r="R516">
        <f t="shared" si="981"/>
        <v>-2658610744.7279501</v>
      </c>
      <c r="S516">
        <f t="shared" si="982"/>
        <v>-26586.107447279501</v>
      </c>
      <c r="T516">
        <f t="shared" si="983"/>
        <v>-26.586107447279502</v>
      </c>
    </row>
    <row r="517" spans="1:20" x14ac:dyDescent="0.25">
      <c r="A517" s="5">
        <v>44076</v>
      </c>
      <c r="B517">
        <v>1.9940000000000001E-3</v>
      </c>
      <c r="C517">
        <v>2.006E-3</v>
      </c>
      <c r="D517">
        <v>1.805E-3</v>
      </c>
      <c r="E517">
        <v>1.8699999999999999E-3</v>
      </c>
      <c r="F517">
        <v>226621625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-0.35323383084577165</v>
      </c>
      <c r="Q517">
        <f t="shared" si="980"/>
        <v>-80050424.751243889</v>
      </c>
      <c r="R517">
        <f t="shared" si="981"/>
        <v>-3015263001.6587825</v>
      </c>
      <c r="S517">
        <f t="shared" si="982"/>
        <v>-30152.630016587824</v>
      </c>
      <c r="T517">
        <f t="shared" si="983"/>
        <v>-30.152630016587825</v>
      </c>
    </row>
    <row r="518" spans="1:20" x14ac:dyDescent="0.25">
      <c r="A518" s="5">
        <v>44075</v>
      </c>
      <c r="B518">
        <v>1.9919999999999998E-3</v>
      </c>
      <c r="C518">
        <v>2.0100000000000001E-3</v>
      </c>
      <c r="D518">
        <v>1.952E-3</v>
      </c>
      <c r="E518">
        <v>1.993E-3</v>
      </c>
      <c r="F518">
        <v>233437016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0.41379310344827391</v>
      </c>
      <c r="Q518">
        <f t="shared" ref="Q518:Q581" si="985">F518*P518</f>
        <v>96594627.310344368</v>
      </c>
      <c r="R518">
        <f t="shared" ref="R518:R581" si="986">R519+Q518</f>
        <v>-2935212576.9075384</v>
      </c>
      <c r="S518">
        <f t="shared" ref="S518:S581" si="987">R518/100000</f>
        <v>-29352.125769075385</v>
      </c>
      <c r="T518">
        <f t="shared" ref="T518:T581" si="988">S518/1000</f>
        <v>-29.352125769075386</v>
      </c>
    </row>
    <row r="519" spans="1:20" x14ac:dyDescent="0.25">
      <c r="A519" s="5">
        <v>44074</v>
      </c>
      <c r="B519">
        <v>2.052E-3</v>
      </c>
      <c r="C519">
        <v>2.0600000000000002E-3</v>
      </c>
      <c r="D519">
        <v>1.97E-3</v>
      </c>
      <c r="E519">
        <v>1.993E-3</v>
      </c>
      <c r="F519">
        <v>244869422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-0.48888888888888987</v>
      </c>
      <c r="Q519">
        <f t="shared" si="985"/>
        <v>-119713939.64444469</v>
      </c>
      <c r="R519">
        <f t="shared" si="986"/>
        <v>-3031807204.2178826</v>
      </c>
      <c r="S519">
        <f t="shared" si="987"/>
        <v>-30318.072042178825</v>
      </c>
      <c r="T519">
        <f t="shared" si="988"/>
        <v>-30.318072042178823</v>
      </c>
    </row>
    <row r="520" spans="1:20" x14ac:dyDescent="0.25">
      <c r="A520" s="5">
        <v>44073</v>
      </c>
      <c r="B520">
        <v>2.032E-3</v>
      </c>
      <c r="C520">
        <v>2.0769999999999999E-3</v>
      </c>
      <c r="D520">
        <v>2.0119999999999999E-3</v>
      </c>
      <c r="E520">
        <v>2.0509999999999999E-3</v>
      </c>
      <c r="F520">
        <v>173516629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0.2</v>
      </c>
      <c r="Q520">
        <f t="shared" si="985"/>
        <v>34703325.800000004</v>
      </c>
      <c r="R520">
        <f t="shared" si="986"/>
        <v>-2912093264.5734382</v>
      </c>
      <c r="S520">
        <f t="shared" si="987"/>
        <v>-29120.932645734381</v>
      </c>
      <c r="T520">
        <f t="shared" si="988"/>
        <v>-29.120932645734381</v>
      </c>
    </row>
    <row r="521" spans="1:20" x14ac:dyDescent="0.25">
      <c r="A521" s="5">
        <v>44072</v>
      </c>
      <c r="B521">
        <v>1.9949999999999998E-3</v>
      </c>
      <c r="C521">
        <v>2.0530000000000001E-3</v>
      </c>
      <c r="D521">
        <v>1.97E-3</v>
      </c>
      <c r="E521">
        <v>2.032E-3</v>
      </c>
      <c r="F521">
        <v>171902326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0.49397590361445443</v>
      </c>
      <c r="Q521">
        <f t="shared" si="985"/>
        <v>84915606.819276527</v>
      </c>
      <c r="R521">
        <f t="shared" si="986"/>
        <v>-2946796590.3734384</v>
      </c>
      <c r="S521">
        <f t="shared" si="987"/>
        <v>-29467.965903734384</v>
      </c>
      <c r="T521">
        <f t="shared" si="988"/>
        <v>-29.467965903734385</v>
      </c>
    </row>
    <row r="522" spans="1:20" x14ac:dyDescent="0.25">
      <c r="A522" s="5">
        <v>44071</v>
      </c>
      <c r="B522">
        <v>1.9530000000000001E-3</v>
      </c>
      <c r="C522">
        <v>2.006E-3</v>
      </c>
      <c r="D522">
        <v>1.9530000000000001E-3</v>
      </c>
      <c r="E522">
        <v>1.9949999999999998E-3</v>
      </c>
      <c r="F522">
        <v>183966307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0.58490566037735159</v>
      </c>
      <c r="Q522">
        <f t="shared" si="985"/>
        <v>107602934.28301761</v>
      </c>
      <c r="R522">
        <f t="shared" si="986"/>
        <v>-3031712197.1927147</v>
      </c>
      <c r="S522">
        <f t="shared" si="987"/>
        <v>-30317.121971927147</v>
      </c>
      <c r="T522">
        <f t="shared" si="988"/>
        <v>-30.317121971927147</v>
      </c>
    </row>
    <row r="523" spans="1:20" x14ac:dyDescent="0.25">
      <c r="A523" s="5">
        <v>44070</v>
      </c>
      <c r="B523">
        <v>2.0660000000000001E-3</v>
      </c>
      <c r="C523">
        <v>2.0730000000000002E-3</v>
      </c>
      <c r="D523">
        <v>1.916E-3</v>
      </c>
      <c r="E523">
        <v>1.952E-3</v>
      </c>
      <c r="F523">
        <v>237208755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-0.54140127388535086</v>
      </c>
      <c r="Q523">
        <f t="shared" si="985"/>
        <v>-128425122.1337581</v>
      </c>
      <c r="R523">
        <f t="shared" si="986"/>
        <v>-3139315131.4757323</v>
      </c>
      <c r="S523">
        <f t="shared" si="987"/>
        <v>-31393.151314757324</v>
      </c>
      <c r="T523">
        <f t="shared" si="988"/>
        <v>-31.393151314757326</v>
      </c>
    </row>
    <row r="524" spans="1:20" x14ac:dyDescent="0.25">
      <c r="A524" s="5">
        <v>44069</v>
      </c>
      <c r="B524">
        <v>1.9889999999999999E-3</v>
      </c>
      <c r="C524">
        <v>2.0860000000000002E-3</v>
      </c>
      <c r="D524">
        <v>1.9819999999999998E-3</v>
      </c>
      <c r="E524">
        <v>2.0690000000000001E-3</v>
      </c>
      <c r="F524">
        <v>328880154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0.67307692307692246</v>
      </c>
      <c r="Q524">
        <f t="shared" si="985"/>
        <v>221361642.1153844</v>
      </c>
      <c r="R524">
        <f t="shared" si="986"/>
        <v>-3010890009.3419743</v>
      </c>
      <c r="S524">
        <f t="shared" si="987"/>
        <v>-30108.900093419743</v>
      </c>
      <c r="T524">
        <f t="shared" si="988"/>
        <v>-30.108900093419741</v>
      </c>
    </row>
    <row r="525" spans="1:20" x14ac:dyDescent="0.25">
      <c r="A525" s="5">
        <v>44068</v>
      </c>
      <c r="B525">
        <v>2.1090000000000002E-3</v>
      </c>
      <c r="C525">
        <v>2.1099999999999999E-3</v>
      </c>
      <c r="D525">
        <v>1.934E-3</v>
      </c>
      <c r="E525">
        <v>1.9910000000000001E-3</v>
      </c>
      <c r="F525">
        <v>242275849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-0.35227272727272485</v>
      </c>
      <c r="Q525">
        <f t="shared" si="985"/>
        <v>-85347174.079544872</v>
      </c>
      <c r="R525">
        <f t="shared" si="986"/>
        <v>-3232251651.4573588</v>
      </c>
      <c r="S525">
        <f t="shared" si="987"/>
        <v>-32322.516514573588</v>
      </c>
      <c r="T525">
        <f t="shared" si="988"/>
        <v>-32.322516514573586</v>
      </c>
    </row>
    <row r="526" spans="1:20" x14ac:dyDescent="0.25">
      <c r="A526" s="5">
        <v>44067</v>
      </c>
      <c r="B526">
        <v>2.052E-3</v>
      </c>
      <c r="C526">
        <v>2.1199999999999999E-3</v>
      </c>
      <c r="D526">
        <v>2.0170000000000001E-3</v>
      </c>
      <c r="E526">
        <v>2.1090000000000002E-3</v>
      </c>
      <c r="F526">
        <v>226594175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0.78640776699029613</v>
      </c>
      <c r="Q526">
        <f t="shared" si="985"/>
        <v>178195419.17475837</v>
      </c>
      <c r="R526">
        <f t="shared" si="986"/>
        <v>-3146904477.3778138</v>
      </c>
      <c r="S526">
        <f t="shared" si="987"/>
        <v>-31469.04477377814</v>
      </c>
      <c r="T526">
        <f t="shared" si="988"/>
        <v>-31.46904477377814</v>
      </c>
    </row>
    <row r="527" spans="1:20" x14ac:dyDescent="0.25">
      <c r="A527" s="5">
        <v>44066</v>
      </c>
      <c r="B527">
        <v>2.0860000000000002E-3</v>
      </c>
      <c r="C527">
        <v>2.088E-3</v>
      </c>
      <c r="D527">
        <v>2.0010000000000002E-3</v>
      </c>
      <c r="E527">
        <v>2.052E-3</v>
      </c>
      <c r="F527">
        <v>185000294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0.17241379310344657</v>
      </c>
      <c r="Q527">
        <f t="shared" si="985"/>
        <v>31896602.413792789</v>
      </c>
      <c r="R527">
        <f t="shared" si="986"/>
        <v>-3325099896.5525723</v>
      </c>
      <c r="S527">
        <f t="shared" si="987"/>
        <v>-33250.998965525723</v>
      </c>
      <c r="T527">
        <f t="shared" si="988"/>
        <v>-33.250998965525724</v>
      </c>
    </row>
    <row r="528" spans="1:20" x14ac:dyDescent="0.25">
      <c r="A528" s="5">
        <v>44065</v>
      </c>
      <c r="B528">
        <v>2.032E-3</v>
      </c>
      <c r="C528">
        <v>2.0960000000000002E-3</v>
      </c>
      <c r="D528">
        <v>1.9469999999999999E-3</v>
      </c>
      <c r="E528">
        <v>2.0860000000000002E-3</v>
      </c>
      <c r="F528">
        <v>282291690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0.86577181208053677</v>
      </c>
      <c r="Q528">
        <f t="shared" si="985"/>
        <v>244400187.98657715</v>
      </c>
      <c r="R528">
        <f t="shared" si="986"/>
        <v>-3356996498.9663649</v>
      </c>
      <c r="S528">
        <f t="shared" si="987"/>
        <v>-33569.964989663647</v>
      </c>
      <c r="T528">
        <f t="shared" si="988"/>
        <v>-33.569964989663646</v>
      </c>
    </row>
    <row r="529" spans="1:20" x14ac:dyDescent="0.25">
      <c r="A529" s="5">
        <v>44064</v>
      </c>
      <c r="B529">
        <v>2.124E-3</v>
      </c>
      <c r="C529">
        <v>2.1299999999999999E-3</v>
      </c>
      <c r="D529">
        <v>2.0209999999999998E-3</v>
      </c>
      <c r="E529">
        <v>2.032E-3</v>
      </c>
      <c r="F529">
        <v>237871839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-0.79816513761467622</v>
      </c>
      <c r="Q529">
        <f t="shared" si="985"/>
        <v>-189861009.11009112</v>
      </c>
      <c r="R529">
        <f t="shared" si="986"/>
        <v>-3601396686.9529419</v>
      </c>
      <c r="S529">
        <f t="shared" si="987"/>
        <v>-36013.966869529417</v>
      </c>
      <c r="T529">
        <f t="shared" si="988"/>
        <v>-36.013966869529419</v>
      </c>
    </row>
    <row r="530" spans="1:20" x14ac:dyDescent="0.25">
      <c r="A530" s="5">
        <v>44063</v>
      </c>
      <c r="B530">
        <v>2.0720000000000001E-3</v>
      </c>
      <c r="C530">
        <v>2.1299999999999999E-3</v>
      </c>
      <c r="D530">
        <v>2.0439999999999998E-3</v>
      </c>
      <c r="E530">
        <v>2.1259999999999999E-3</v>
      </c>
      <c r="F530">
        <v>270494896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0.90697674418604435</v>
      </c>
      <c r="Q530">
        <f t="shared" si="985"/>
        <v>245332580.09302267</v>
      </c>
      <c r="R530">
        <f t="shared" si="986"/>
        <v>-3411535677.8428507</v>
      </c>
      <c r="S530">
        <f t="shared" si="987"/>
        <v>-34115.356778428504</v>
      </c>
      <c r="T530">
        <f t="shared" si="988"/>
        <v>-34.115356778428506</v>
      </c>
    </row>
    <row r="531" spans="1:20" x14ac:dyDescent="0.25">
      <c r="A531" s="5">
        <v>44062</v>
      </c>
      <c r="B531">
        <v>2.1419999999999998E-3</v>
      </c>
      <c r="C531">
        <v>2.153E-3</v>
      </c>
      <c r="D531">
        <v>2.0349999999999999E-3</v>
      </c>
      <c r="E531">
        <v>2.0720000000000001E-3</v>
      </c>
      <c r="F531">
        <v>332749589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-0.37288135593220129</v>
      </c>
      <c r="Q531">
        <f t="shared" si="985"/>
        <v>-124076117.9322027</v>
      </c>
      <c r="R531">
        <f t="shared" si="986"/>
        <v>-3656868257.9358735</v>
      </c>
      <c r="S531">
        <f t="shared" si="987"/>
        <v>-36568.682579358734</v>
      </c>
      <c r="T531">
        <f t="shared" si="988"/>
        <v>-36.568682579358736</v>
      </c>
    </row>
    <row r="532" spans="1:20" x14ac:dyDescent="0.25">
      <c r="A532" s="5">
        <v>44061</v>
      </c>
      <c r="B532">
        <v>2.2339999999999999E-3</v>
      </c>
      <c r="C532">
        <v>2.2629999999999998E-3</v>
      </c>
      <c r="D532">
        <v>2.1080000000000001E-3</v>
      </c>
      <c r="E532">
        <v>2.1429999999999999E-3</v>
      </c>
      <c r="F532">
        <v>411257973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-0.5483870967741945</v>
      </c>
      <c r="Q532">
        <f t="shared" si="985"/>
        <v>-225528565.83871007</v>
      </c>
      <c r="R532">
        <f t="shared" si="986"/>
        <v>-3532792140.0036707</v>
      </c>
      <c r="S532">
        <f t="shared" si="987"/>
        <v>-35327.921400036706</v>
      </c>
      <c r="T532">
        <f t="shared" si="988"/>
        <v>-35.327921400036708</v>
      </c>
    </row>
    <row r="533" spans="1:20" x14ac:dyDescent="0.25">
      <c r="A533" s="5">
        <v>44060</v>
      </c>
      <c r="B533">
        <v>2.212E-3</v>
      </c>
      <c r="C533">
        <v>2.3400000000000001E-3</v>
      </c>
      <c r="D533">
        <v>2.1619999999999999E-3</v>
      </c>
      <c r="E533">
        <v>2.2290000000000001E-3</v>
      </c>
      <c r="F533">
        <v>653063332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-0.24719101123595347</v>
      </c>
      <c r="Q533">
        <f t="shared" si="985"/>
        <v>-161431385.43820122</v>
      </c>
      <c r="R533">
        <f t="shared" si="986"/>
        <v>-3307263574.1649604</v>
      </c>
      <c r="S533">
        <f t="shared" si="987"/>
        <v>-33072.635741649603</v>
      </c>
      <c r="T533">
        <f t="shared" si="988"/>
        <v>-33.072635741649606</v>
      </c>
    </row>
    <row r="534" spans="1:20" x14ac:dyDescent="0.25">
      <c r="A534" s="5">
        <v>44059</v>
      </c>
      <c r="B534">
        <v>2.1940000000000002E-3</v>
      </c>
      <c r="C534">
        <v>2.2200000000000002E-3</v>
      </c>
      <c r="D534">
        <v>2.1289999999999998E-3</v>
      </c>
      <c r="E534">
        <v>2.2070000000000002E-3</v>
      </c>
      <c r="F534">
        <v>340984366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0.71428571428571563</v>
      </c>
      <c r="Q534">
        <f t="shared" si="985"/>
        <v>243560261.42857188</v>
      </c>
      <c r="R534">
        <f t="shared" si="986"/>
        <v>-3145832188.726759</v>
      </c>
      <c r="S534">
        <f t="shared" si="987"/>
        <v>-31458.32188726759</v>
      </c>
      <c r="T534">
        <f t="shared" si="988"/>
        <v>-31.458321887267591</v>
      </c>
    </row>
    <row r="535" spans="1:20" x14ac:dyDescent="0.25">
      <c r="A535" s="5">
        <v>44058</v>
      </c>
      <c r="B535">
        <v>2.2100000000000002E-3</v>
      </c>
      <c r="C535">
        <v>2.225E-3</v>
      </c>
      <c r="D535">
        <v>2.1489999999999999E-3</v>
      </c>
      <c r="E535">
        <v>2.1930000000000001E-3</v>
      </c>
      <c r="F535">
        <v>345751036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0.15789473684210886</v>
      </c>
      <c r="Q535">
        <f t="shared" si="985"/>
        <v>54592268.842106506</v>
      </c>
      <c r="R535">
        <f t="shared" si="986"/>
        <v>-3389392450.1553307</v>
      </c>
      <c r="S535">
        <f t="shared" si="987"/>
        <v>-33893.924501553309</v>
      </c>
      <c r="T535">
        <f t="shared" si="988"/>
        <v>-33.893924501553307</v>
      </c>
    </row>
    <row r="536" spans="1:20" x14ac:dyDescent="0.25">
      <c r="A536" s="5">
        <v>44057</v>
      </c>
      <c r="B536">
        <v>2.173E-3</v>
      </c>
      <c r="C536">
        <v>2.3779999999999999E-3</v>
      </c>
      <c r="D536">
        <v>2.1419999999999998E-3</v>
      </c>
      <c r="E536">
        <v>2.2100000000000002E-3</v>
      </c>
      <c r="F536">
        <v>772237604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-0.4237288135593193</v>
      </c>
      <c r="Q536">
        <f t="shared" si="985"/>
        <v>-327219323.72881144</v>
      </c>
      <c r="R536">
        <f t="shared" si="986"/>
        <v>-3443984718.997437</v>
      </c>
      <c r="S536">
        <f t="shared" si="987"/>
        <v>-34439.847189974367</v>
      </c>
      <c r="T536">
        <f t="shared" si="988"/>
        <v>-34.439847189974365</v>
      </c>
    </row>
    <row r="537" spans="1:20" x14ac:dyDescent="0.25">
      <c r="A537" s="5">
        <v>44056</v>
      </c>
      <c r="B537">
        <v>2.1289999999999998E-3</v>
      </c>
      <c r="C537">
        <v>2.1909999999999998E-3</v>
      </c>
      <c r="D537">
        <v>2.0639999999999999E-3</v>
      </c>
      <c r="E537">
        <v>2.1719999999999999E-3</v>
      </c>
      <c r="F537">
        <v>432428661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0.70078740157480424</v>
      </c>
      <c r="Q537">
        <f t="shared" si="985"/>
        <v>303040557.70866191</v>
      </c>
      <c r="R537">
        <f t="shared" si="986"/>
        <v>-3116765395.2686257</v>
      </c>
      <c r="S537">
        <f t="shared" si="987"/>
        <v>-31167.653952686258</v>
      </c>
      <c r="T537">
        <f t="shared" si="988"/>
        <v>-31.167653952686258</v>
      </c>
    </row>
    <row r="538" spans="1:20" x14ac:dyDescent="0.25">
      <c r="A538" s="5">
        <v>44055</v>
      </c>
      <c r="B538">
        <v>2.134E-3</v>
      </c>
      <c r="C538">
        <v>2.1749999999999999E-3</v>
      </c>
      <c r="D538">
        <v>2.032E-3</v>
      </c>
      <c r="E538">
        <v>2.1299999999999999E-3</v>
      </c>
      <c r="F538">
        <v>435638581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0.37062937062937157</v>
      </c>
      <c r="Q538">
        <f t="shared" si="985"/>
        <v>161460453.09790251</v>
      </c>
      <c r="R538">
        <f t="shared" si="986"/>
        <v>-3419805952.9772878</v>
      </c>
      <c r="S538">
        <f t="shared" si="987"/>
        <v>-34198.05952977288</v>
      </c>
      <c r="T538">
        <f t="shared" si="988"/>
        <v>-34.198059529772877</v>
      </c>
    </row>
    <row r="539" spans="1:20" x14ac:dyDescent="0.25">
      <c r="A539" s="5">
        <v>44054</v>
      </c>
      <c r="B539">
        <v>2.2300000000000002E-3</v>
      </c>
      <c r="C539">
        <v>2.3119999999999998E-3</v>
      </c>
      <c r="D539">
        <v>2.068E-3</v>
      </c>
      <c r="E539">
        <v>2.134E-3</v>
      </c>
      <c r="F539">
        <v>1106183287</v>
      </c>
      <c r="G539">
        <v>0</v>
      </c>
      <c r="L539" t="s">
        <v>8</v>
      </c>
      <c r="M539" t="s">
        <v>7</v>
      </c>
      <c r="N539" t="s">
        <v>8</v>
      </c>
      <c r="P539">
        <f t="shared" si="984"/>
        <v>-0.45901639344262191</v>
      </c>
      <c r="Q539">
        <f t="shared" si="985"/>
        <v>-507756262.88524473</v>
      </c>
      <c r="R539">
        <f t="shared" si="986"/>
        <v>-3581266406.0751901</v>
      </c>
      <c r="S539">
        <f t="shared" si="987"/>
        <v>-35812.6640607519</v>
      </c>
      <c r="T539">
        <f t="shared" si="988"/>
        <v>-35.812664060751899</v>
      </c>
    </row>
    <row r="540" spans="1:20" x14ac:dyDescent="0.25">
      <c r="A540" s="5">
        <v>44053</v>
      </c>
      <c r="B540">
        <v>2.1540000000000001E-3</v>
      </c>
      <c r="C540">
        <v>2.2439999999999999E-3</v>
      </c>
      <c r="D540">
        <v>2.0990000000000002E-3</v>
      </c>
      <c r="E540">
        <v>2.2300000000000002E-3</v>
      </c>
      <c r="F540">
        <v>509022662</v>
      </c>
      <c r="G540">
        <v>0</v>
      </c>
      <c r="L540" t="s">
        <v>8</v>
      </c>
      <c r="M540" t="s">
        <v>7</v>
      </c>
      <c r="N540" t="s">
        <v>8</v>
      </c>
      <c r="P540">
        <f t="shared" si="984"/>
        <v>0.80689655172414188</v>
      </c>
      <c r="Q540">
        <f t="shared" si="985"/>
        <v>410728630.71724337</v>
      </c>
      <c r="R540">
        <f t="shared" si="986"/>
        <v>-3073510143.1899452</v>
      </c>
      <c r="S540">
        <f t="shared" si="987"/>
        <v>-30735.101431899453</v>
      </c>
      <c r="T540">
        <f t="shared" si="988"/>
        <v>-30.735101431899452</v>
      </c>
    </row>
    <row r="541" spans="1:20" x14ac:dyDescent="0.25">
      <c r="A541" s="5">
        <v>44052</v>
      </c>
      <c r="B541">
        <v>2.111E-3</v>
      </c>
      <c r="C541">
        <v>2.1800000000000001E-3</v>
      </c>
      <c r="D541">
        <v>2.0950000000000001E-3</v>
      </c>
      <c r="E541">
        <v>2.1540000000000001E-3</v>
      </c>
      <c r="F541">
        <v>347788687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0.38823529411764751</v>
      </c>
      <c r="Q541">
        <f t="shared" si="985"/>
        <v>135023843.18823546</v>
      </c>
      <c r="R541">
        <f t="shared" si="986"/>
        <v>-3484238773.9071884</v>
      </c>
      <c r="S541">
        <f t="shared" si="987"/>
        <v>-34842.387739071884</v>
      </c>
      <c r="T541">
        <f t="shared" si="988"/>
        <v>-34.842387739071881</v>
      </c>
    </row>
    <row r="542" spans="1:20" x14ac:dyDescent="0.25">
      <c r="A542" s="5">
        <v>44051</v>
      </c>
      <c r="B542">
        <v>2.0720000000000001E-3</v>
      </c>
      <c r="C542">
        <v>2.1480000000000002E-3</v>
      </c>
      <c r="D542">
        <v>2.0639999999999999E-3</v>
      </c>
      <c r="E542">
        <v>2.1120000000000002E-3</v>
      </c>
      <c r="F542">
        <v>413798213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0.14285714285714582</v>
      </c>
      <c r="Q542">
        <f t="shared" si="985"/>
        <v>59114030.428572655</v>
      </c>
      <c r="R542">
        <f t="shared" si="986"/>
        <v>-3619262617.0954237</v>
      </c>
      <c r="S542">
        <f t="shared" si="987"/>
        <v>-36192.626170954238</v>
      </c>
      <c r="T542">
        <f t="shared" si="988"/>
        <v>-36.192626170954235</v>
      </c>
    </row>
    <row r="543" spans="1:20" x14ac:dyDescent="0.25">
      <c r="A543" s="5">
        <v>44050</v>
      </c>
      <c r="B543">
        <v>2.0669999999999998E-3</v>
      </c>
      <c r="C543">
        <v>2.0999999999999999E-3</v>
      </c>
      <c r="D543">
        <v>2.006E-3</v>
      </c>
      <c r="E543">
        <v>2.0720000000000001E-3</v>
      </c>
      <c r="F543">
        <v>641469746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0.40425531914893953</v>
      </c>
      <c r="Q543">
        <f t="shared" si="985"/>
        <v>259317556.89361918</v>
      </c>
      <c r="R543">
        <f t="shared" si="986"/>
        <v>-3678376647.5239964</v>
      </c>
      <c r="S543">
        <f t="shared" si="987"/>
        <v>-36783.766475239965</v>
      </c>
      <c r="T543">
        <f t="shared" si="988"/>
        <v>-36.783766475239965</v>
      </c>
    </row>
    <row r="544" spans="1:20" x14ac:dyDescent="0.25">
      <c r="A544" s="5">
        <v>44049</v>
      </c>
      <c r="B544">
        <v>2.0860000000000002E-3</v>
      </c>
      <c r="C544">
        <v>2.091E-3</v>
      </c>
      <c r="D544">
        <v>2.0449999999999999E-3</v>
      </c>
      <c r="E544">
        <v>2.065E-3</v>
      </c>
      <c r="F544">
        <v>388252326</v>
      </c>
      <c r="G544">
        <v>0</v>
      </c>
      <c r="L544" t="s">
        <v>7</v>
      </c>
      <c r="M544" t="s">
        <v>7</v>
      </c>
      <c r="N544" t="s">
        <v>8</v>
      </c>
      <c r="P544">
        <f t="shared" si="984"/>
        <v>-0.13043478260869401</v>
      </c>
      <c r="Q544">
        <f t="shared" si="985"/>
        <v>-50641607.739129797</v>
      </c>
      <c r="R544">
        <f t="shared" si="986"/>
        <v>-3937694204.4176154</v>
      </c>
      <c r="S544">
        <f t="shared" si="987"/>
        <v>-39376.942044176154</v>
      </c>
      <c r="T544">
        <f t="shared" si="988"/>
        <v>-39.376942044176154</v>
      </c>
    </row>
    <row r="545" spans="1:20" x14ac:dyDescent="0.25">
      <c r="A545" s="5">
        <v>44048</v>
      </c>
      <c r="B545">
        <v>2.1259999999999999E-3</v>
      </c>
      <c r="C545">
        <v>2.1320000000000002E-3</v>
      </c>
      <c r="D545">
        <v>2.0460000000000001E-3</v>
      </c>
      <c r="E545">
        <v>2.0860000000000002E-3</v>
      </c>
      <c r="F545">
        <v>356140311</v>
      </c>
      <c r="G545">
        <v>0</v>
      </c>
      <c r="L545" t="s">
        <v>7</v>
      </c>
      <c r="M545" t="s">
        <v>7</v>
      </c>
      <c r="N545" t="s">
        <v>8</v>
      </c>
      <c r="P545">
        <f t="shared" si="984"/>
        <v>-6.9767441860464172E-2</v>
      </c>
      <c r="Q545">
        <f t="shared" si="985"/>
        <v>-24846998.441860128</v>
      </c>
      <c r="R545">
        <f t="shared" si="986"/>
        <v>-3887052596.6784854</v>
      </c>
      <c r="S545">
        <f t="shared" si="987"/>
        <v>-38870.525966784851</v>
      </c>
      <c r="T545">
        <f t="shared" si="988"/>
        <v>-38.870525966784854</v>
      </c>
    </row>
    <row r="546" spans="1:20" x14ac:dyDescent="0.25">
      <c r="A546" s="5">
        <v>44047</v>
      </c>
      <c r="B546">
        <v>2.2079999999999999E-3</v>
      </c>
      <c r="C546">
        <v>2.2100000000000002E-3</v>
      </c>
      <c r="D546">
        <v>2.0899999999999998E-3</v>
      </c>
      <c r="E546">
        <v>2.1259999999999999E-3</v>
      </c>
      <c r="F546">
        <v>507610946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-0.40000000000000147</v>
      </c>
      <c r="Q546">
        <f t="shared" si="985"/>
        <v>-203044378.40000075</v>
      </c>
      <c r="R546">
        <f t="shared" si="986"/>
        <v>-3862205598.2366252</v>
      </c>
      <c r="S546">
        <f t="shared" si="987"/>
        <v>-38622.055982366255</v>
      </c>
      <c r="T546">
        <f t="shared" si="988"/>
        <v>-38.622055982366255</v>
      </c>
    </row>
    <row r="547" spans="1:20" x14ac:dyDescent="0.25">
      <c r="A547" s="5">
        <v>44046</v>
      </c>
      <c r="B547">
        <v>2.4320000000000001E-3</v>
      </c>
      <c r="C547">
        <v>2.4480000000000001E-3</v>
      </c>
      <c r="D547">
        <v>2.0720000000000001E-3</v>
      </c>
      <c r="E547">
        <v>2.2079999999999999E-3</v>
      </c>
      <c r="F547">
        <v>1595590608</v>
      </c>
      <c r="G547">
        <v>0</v>
      </c>
      <c r="L547" t="s">
        <v>7</v>
      </c>
      <c r="M547" t="s">
        <v>7</v>
      </c>
      <c r="N547" t="s">
        <v>8</v>
      </c>
      <c r="P547">
        <f t="shared" si="984"/>
        <v>-0.27659574468085202</v>
      </c>
      <c r="Q547">
        <f t="shared" si="985"/>
        <v>-441333572.42553341</v>
      </c>
      <c r="R547">
        <f t="shared" si="986"/>
        <v>-3659161219.8366246</v>
      </c>
      <c r="S547">
        <f t="shared" si="987"/>
        <v>-36591.612198366245</v>
      </c>
      <c r="T547">
        <f t="shared" si="988"/>
        <v>-36.591612198366242</v>
      </c>
    </row>
    <row r="548" spans="1:20" x14ac:dyDescent="0.25">
      <c r="A548" s="5">
        <v>44045</v>
      </c>
      <c r="B548">
        <v>2.4759999999999999E-3</v>
      </c>
      <c r="C548">
        <v>2.493E-3</v>
      </c>
      <c r="D548">
        <v>2.1189999999999998E-3</v>
      </c>
      <c r="E548">
        <v>2.4250000000000001E-3</v>
      </c>
      <c r="F548">
        <v>768852288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0.63636363636363702</v>
      </c>
      <c r="Q548">
        <f t="shared" si="985"/>
        <v>489269637.81818235</v>
      </c>
      <c r="R548">
        <f t="shared" si="986"/>
        <v>-3217827647.4110913</v>
      </c>
      <c r="S548">
        <f t="shared" si="987"/>
        <v>-32178.276474110913</v>
      </c>
      <c r="T548">
        <f t="shared" si="988"/>
        <v>-32.178276474110916</v>
      </c>
    </row>
    <row r="549" spans="1:20" x14ac:dyDescent="0.25">
      <c r="A549" s="5">
        <v>44044</v>
      </c>
      <c r="B549">
        <v>2.5379999999999999E-3</v>
      </c>
      <c r="C549">
        <v>2.5730000000000002E-3</v>
      </c>
      <c r="D549">
        <v>2.3869999999999998E-3</v>
      </c>
      <c r="E549">
        <v>2.477E-3</v>
      </c>
      <c r="F549">
        <v>836514896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-3.225806451612858E-2</v>
      </c>
      <c r="Q549">
        <f t="shared" si="985"/>
        <v>-26984351.483870588</v>
      </c>
      <c r="R549">
        <f t="shared" si="986"/>
        <v>-3707097285.2292738</v>
      </c>
      <c r="S549">
        <f t="shared" si="987"/>
        <v>-37070.97285229274</v>
      </c>
      <c r="T549">
        <f t="shared" si="988"/>
        <v>-37.070972852292741</v>
      </c>
    </row>
    <row r="550" spans="1:20" x14ac:dyDescent="0.25">
      <c r="A550" s="5">
        <v>44043</v>
      </c>
      <c r="B550">
        <v>2.1359999999999999E-3</v>
      </c>
      <c r="C550">
        <v>2.5999999999999999E-3</v>
      </c>
      <c r="D550">
        <v>2.1120000000000002E-3</v>
      </c>
      <c r="E550">
        <v>2.5379999999999999E-3</v>
      </c>
      <c r="F550">
        <v>1417975427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0.74590163934426224</v>
      </c>
      <c r="Q550">
        <f t="shared" si="985"/>
        <v>1057670195.5491803</v>
      </c>
      <c r="R550">
        <f t="shared" si="986"/>
        <v>-3680112933.7454033</v>
      </c>
      <c r="S550">
        <f t="shared" si="987"/>
        <v>-36801.129337454033</v>
      </c>
      <c r="T550">
        <f t="shared" si="988"/>
        <v>-36.801129337454036</v>
      </c>
    </row>
    <row r="551" spans="1:20" x14ac:dyDescent="0.25">
      <c r="A551" s="5">
        <v>44042</v>
      </c>
      <c r="B551">
        <v>2.117E-3</v>
      </c>
      <c r="C551">
        <v>2.1710000000000002E-3</v>
      </c>
      <c r="D551">
        <v>2.0630000000000002E-3</v>
      </c>
      <c r="E551">
        <v>2.1359999999999999E-3</v>
      </c>
      <c r="F551">
        <v>482671668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0.35185185185184625</v>
      </c>
      <c r="Q551">
        <f t="shared" si="985"/>
        <v>169828920.22221953</v>
      </c>
      <c r="R551">
        <f t="shared" si="986"/>
        <v>-4737783129.2945833</v>
      </c>
      <c r="S551">
        <f t="shared" si="987"/>
        <v>-47377.831292945833</v>
      </c>
      <c r="T551">
        <f t="shared" si="988"/>
        <v>-47.377831292945835</v>
      </c>
    </row>
    <row r="552" spans="1:20" x14ac:dyDescent="0.25">
      <c r="A552" s="5">
        <v>44041</v>
      </c>
      <c r="B552">
        <v>1.936E-3</v>
      </c>
      <c r="C552">
        <v>2.2629999999999998E-3</v>
      </c>
      <c r="D552">
        <v>1.934E-3</v>
      </c>
      <c r="E552">
        <v>2.1180000000000001E-3</v>
      </c>
      <c r="F552">
        <v>980490211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0.11854103343465174</v>
      </c>
      <c r="Q552">
        <f t="shared" si="985"/>
        <v>116228322.88449973</v>
      </c>
      <c r="R552">
        <f t="shared" si="986"/>
        <v>-4907612049.5168028</v>
      </c>
      <c r="S552">
        <f t="shared" si="987"/>
        <v>-49076.120495168027</v>
      </c>
      <c r="T552">
        <f t="shared" si="988"/>
        <v>-49.076120495168027</v>
      </c>
    </row>
    <row r="553" spans="1:20" x14ac:dyDescent="0.25">
      <c r="A553" s="5">
        <v>44040</v>
      </c>
      <c r="B553">
        <v>1.8730000000000001E-3</v>
      </c>
      <c r="C553">
        <v>1.9780000000000002E-3</v>
      </c>
      <c r="D553">
        <v>1.8619999999999999E-3</v>
      </c>
      <c r="E553">
        <v>1.936E-3</v>
      </c>
      <c r="F553">
        <v>334949745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0.27586206896551596</v>
      </c>
      <c r="Q553">
        <f t="shared" si="985"/>
        <v>92399929.65517199</v>
      </c>
      <c r="R553">
        <f t="shared" si="986"/>
        <v>-5023840372.4013023</v>
      </c>
      <c r="S553">
        <f t="shared" si="987"/>
        <v>-50238.40372401302</v>
      </c>
      <c r="T553">
        <f t="shared" si="988"/>
        <v>-50.238403724013018</v>
      </c>
    </row>
    <row r="554" spans="1:20" x14ac:dyDescent="0.25">
      <c r="A554" s="5">
        <v>44039</v>
      </c>
      <c r="B554">
        <v>2.013E-3</v>
      </c>
      <c r="C554">
        <v>2.0400000000000001E-3</v>
      </c>
      <c r="D554">
        <v>1.835E-3</v>
      </c>
      <c r="E554">
        <v>1.874E-3</v>
      </c>
      <c r="F554">
        <v>605980562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-0.61951219512195166</v>
      </c>
      <c r="Q554">
        <f t="shared" si="985"/>
        <v>-375412348.16585392</v>
      </c>
      <c r="R554">
        <f t="shared" si="986"/>
        <v>-5116240302.0564747</v>
      </c>
      <c r="S554">
        <f t="shared" si="987"/>
        <v>-51162.40302056475</v>
      </c>
      <c r="T554">
        <f t="shared" si="988"/>
        <v>-51.162403020564753</v>
      </c>
    </row>
    <row r="555" spans="1:20" x14ac:dyDescent="0.25">
      <c r="A555" s="5">
        <v>44038</v>
      </c>
      <c r="B555">
        <v>2.085E-3</v>
      </c>
      <c r="C555">
        <v>2.0920000000000001E-3</v>
      </c>
      <c r="D555">
        <v>1.9849999999999998E-3</v>
      </c>
      <c r="E555">
        <v>2.0119999999999999E-3</v>
      </c>
      <c r="F555">
        <v>309351738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-0.49532710280373771</v>
      </c>
      <c r="Q555">
        <f t="shared" si="985"/>
        <v>-153230300.13084093</v>
      </c>
      <c r="R555">
        <f t="shared" si="986"/>
        <v>-4740827953.8906212</v>
      </c>
      <c r="S555">
        <f t="shared" si="987"/>
        <v>-47408.279538906208</v>
      </c>
      <c r="T555">
        <f t="shared" si="988"/>
        <v>-47.408279538906207</v>
      </c>
    </row>
    <row r="556" spans="1:20" x14ac:dyDescent="0.25">
      <c r="A556" s="5">
        <v>44037</v>
      </c>
      <c r="B556">
        <v>2.1120000000000002E-3</v>
      </c>
      <c r="C556">
        <v>2.1570000000000001E-3</v>
      </c>
      <c r="D556">
        <v>2.0709999999999999E-3</v>
      </c>
      <c r="E556">
        <v>2.0890000000000001E-3</v>
      </c>
      <c r="F556">
        <v>277553768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-0.58139534883720489</v>
      </c>
      <c r="Q556">
        <f t="shared" si="985"/>
        <v>-161368469.76744065</v>
      </c>
      <c r="R556">
        <f t="shared" si="986"/>
        <v>-4587597653.7597799</v>
      </c>
      <c r="S556">
        <f t="shared" si="987"/>
        <v>-45875.976537597802</v>
      </c>
      <c r="T556">
        <f t="shared" si="988"/>
        <v>-45.875976537597801</v>
      </c>
    </row>
    <row r="557" spans="1:20" x14ac:dyDescent="0.25">
      <c r="A557" s="5">
        <v>44036</v>
      </c>
      <c r="B557">
        <v>2.1540000000000001E-3</v>
      </c>
      <c r="C557">
        <v>2.1610000000000002E-3</v>
      </c>
      <c r="D557">
        <v>2.0999999999999999E-3</v>
      </c>
      <c r="E557">
        <v>2.1120000000000002E-3</v>
      </c>
      <c r="F557">
        <v>241047941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-0.60655737704917267</v>
      </c>
      <c r="Q557">
        <f t="shared" si="985"/>
        <v>-146209406.83606374</v>
      </c>
      <c r="R557">
        <f t="shared" si="986"/>
        <v>-4426229183.9923391</v>
      </c>
      <c r="S557">
        <f t="shared" si="987"/>
        <v>-44262.291839923389</v>
      </c>
      <c r="T557">
        <f t="shared" si="988"/>
        <v>-44.262291839923392</v>
      </c>
    </row>
    <row r="558" spans="1:20" x14ac:dyDescent="0.25">
      <c r="A558" s="5">
        <v>44035</v>
      </c>
      <c r="B558">
        <v>2.1299999999999999E-3</v>
      </c>
      <c r="C558">
        <v>2.2200000000000002E-3</v>
      </c>
      <c r="D558">
        <v>2.0799999999999998E-3</v>
      </c>
      <c r="E558">
        <v>2.1549999999999998E-3</v>
      </c>
      <c r="F558">
        <v>607274030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7.142857142856833E-2</v>
      </c>
      <c r="Q558">
        <f t="shared" si="985"/>
        <v>43376716.428569548</v>
      </c>
      <c r="R558">
        <f t="shared" si="986"/>
        <v>-4280019777.1562753</v>
      </c>
      <c r="S558">
        <f t="shared" si="987"/>
        <v>-42800.197771562751</v>
      </c>
      <c r="T558">
        <f t="shared" si="988"/>
        <v>-42.80019777156275</v>
      </c>
    </row>
    <row r="559" spans="1:20" x14ac:dyDescent="0.25">
      <c r="A559" s="5">
        <v>44034</v>
      </c>
      <c r="B559">
        <v>2.1159999999999998E-3</v>
      </c>
      <c r="C559">
        <v>2.173E-3</v>
      </c>
      <c r="D559">
        <v>2.0860000000000002E-3</v>
      </c>
      <c r="E559">
        <v>2.1299999999999999E-3</v>
      </c>
      <c r="F559">
        <v>228281350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1.149425287355978E-2</v>
      </c>
      <c r="Q559">
        <f t="shared" si="985"/>
        <v>2623923.5632176059</v>
      </c>
      <c r="R559">
        <f t="shared" si="986"/>
        <v>-4323396493.5848446</v>
      </c>
      <c r="S559">
        <f t="shared" si="987"/>
        <v>-43233.964935848446</v>
      </c>
      <c r="T559">
        <f t="shared" si="988"/>
        <v>-43.233964935848448</v>
      </c>
    </row>
    <row r="560" spans="1:20" x14ac:dyDescent="0.25">
      <c r="A560" s="5">
        <v>44033</v>
      </c>
      <c r="B560">
        <v>2.1189999999999998E-3</v>
      </c>
      <c r="C560">
        <v>2.1310000000000001E-3</v>
      </c>
      <c r="D560">
        <v>2.0569999999999998E-3</v>
      </c>
      <c r="E560">
        <v>2.1159999999999998E-3</v>
      </c>
      <c r="F560">
        <v>247029763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0.59459459459458919</v>
      </c>
      <c r="Q560">
        <f t="shared" si="985"/>
        <v>146882561.78378245</v>
      </c>
      <c r="R560">
        <f t="shared" si="986"/>
        <v>-4326020417.1480618</v>
      </c>
      <c r="S560">
        <f t="shared" si="987"/>
        <v>-43260.204171480618</v>
      </c>
      <c r="T560">
        <f t="shared" si="988"/>
        <v>-43.260204171480616</v>
      </c>
    </row>
    <row r="561" spans="1:104" x14ac:dyDescent="0.25">
      <c r="A561" s="5">
        <v>44032</v>
      </c>
      <c r="B561">
        <v>2.1450000000000002E-3</v>
      </c>
      <c r="C561">
        <v>2.2200000000000002E-3</v>
      </c>
      <c r="D561">
        <v>2.0999999999999999E-3</v>
      </c>
      <c r="E561">
        <v>2.1189999999999998E-3</v>
      </c>
      <c r="F561">
        <v>465389488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-0.68333333333333546</v>
      </c>
      <c r="Q561">
        <f t="shared" si="985"/>
        <v>-318016150.13333434</v>
      </c>
      <c r="R561">
        <f t="shared" si="986"/>
        <v>-4472902978.9318438</v>
      </c>
      <c r="S561">
        <f t="shared" si="987"/>
        <v>-44729.02978931844</v>
      </c>
      <c r="T561">
        <f t="shared" si="988"/>
        <v>-44.729029789318439</v>
      </c>
      <c r="CZ561" t="s">
        <v>7</v>
      </c>
    </row>
    <row r="562" spans="1:104" x14ac:dyDescent="0.25">
      <c r="A562" s="5">
        <v>44031</v>
      </c>
      <c r="B562">
        <v>2.1120000000000002E-3</v>
      </c>
      <c r="C562">
        <v>2.15E-3</v>
      </c>
      <c r="D562">
        <v>2.0669999999999998E-3</v>
      </c>
      <c r="E562">
        <v>2.1389999999999998E-3</v>
      </c>
      <c r="F562">
        <v>269366956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0.73493975903614128</v>
      </c>
      <c r="Q562">
        <f t="shared" si="985"/>
        <v>197968485.73493886</v>
      </c>
      <c r="R562">
        <f t="shared" si="986"/>
        <v>-4154886828.7985096</v>
      </c>
      <c r="S562">
        <f t="shared" si="987"/>
        <v>-41548.868287985097</v>
      </c>
      <c r="T562">
        <f t="shared" si="988"/>
        <v>-41.548868287985094</v>
      </c>
      <c r="CZ562" t="s">
        <v>7</v>
      </c>
    </row>
    <row r="563" spans="1:104" x14ac:dyDescent="0.25">
      <c r="A563" s="5">
        <v>44030</v>
      </c>
      <c r="B563">
        <v>2.1419999999999998E-3</v>
      </c>
      <c r="C563">
        <v>2.1619999999999999E-3</v>
      </c>
      <c r="D563">
        <v>2.081E-3</v>
      </c>
      <c r="E563">
        <v>2.1120000000000002E-3</v>
      </c>
      <c r="F563">
        <v>320515885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-0.23456790123456181</v>
      </c>
      <c r="Q563">
        <f t="shared" si="985"/>
        <v>-75182738.456788167</v>
      </c>
      <c r="R563">
        <f t="shared" si="986"/>
        <v>-4352855314.5334482</v>
      </c>
      <c r="S563">
        <f t="shared" si="987"/>
        <v>-43528.553145334481</v>
      </c>
      <c r="T563">
        <f t="shared" si="988"/>
        <v>-43.528553145334484</v>
      </c>
      <c r="CZ563" t="s">
        <v>7</v>
      </c>
    </row>
    <row r="564" spans="1:104" x14ac:dyDescent="0.25">
      <c r="A564" s="5">
        <v>44029</v>
      </c>
      <c r="B564">
        <v>2.1410000000000001E-3</v>
      </c>
      <c r="C564">
        <v>2.225E-3</v>
      </c>
      <c r="D564">
        <v>2.0830000000000002E-3</v>
      </c>
      <c r="E564">
        <v>2.1419999999999998E-3</v>
      </c>
      <c r="F564">
        <v>407227576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-0.16901408450704664</v>
      </c>
      <c r="Q564">
        <f t="shared" si="985"/>
        <v>-68827195.943663761</v>
      </c>
      <c r="R564">
        <f t="shared" si="986"/>
        <v>-4277672576.0766597</v>
      </c>
      <c r="S564">
        <f t="shared" si="987"/>
        <v>-42776.725760766596</v>
      </c>
      <c r="T564">
        <f t="shared" si="988"/>
        <v>-42.776725760766595</v>
      </c>
    </row>
    <row r="565" spans="1:104" x14ac:dyDescent="0.25">
      <c r="A565" s="5">
        <v>44028</v>
      </c>
      <c r="B565">
        <v>2.1090000000000002E-3</v>
      </c>
      <c r="C565">
        <v>2.209E-3</v>
      </c>
      <c r="D565">
        <v>1.949E-3</v>
      </c>
      <c r="E565">
        <v>2.1489999999999999E-3</v>
      </c>
      <c r="F565">
        <v>788042076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0.53846153846153733</v>
      </c>
      <c r="Q565">
        <f t="shared" si="985"/>
        <v>424330348.61538374</v>
      </c>
      <c r="R565">
        <f t="shared" si="986"/>
        <v>-4208845380.1329961</v>
      </c>
      <c r="S565">
        <f t="shared" si="987"/>
        <v>-42088.453801329961</v>
      </c>
      <c r="T565">
        <f t="shared" si="988"/>
        <v>-42.088453801329962</v>
      </c>
    </row>
    <row r="566" spans="1:104" x14ac:dyDescent="0.25">
      <c r="A566" s="5">
        <v>44027</v>
      </c>
      <c r="B566">
        <v>2.0600000000000002E-3</v>
      </c>
      <c r="C566">
        <v>2.199E-3</v>
      </c>
      <c r="D566">
        <v>2.0279999999999999E-3</v>
      </c>
      <c r="E566">
        <v>2.1129999999999999E-3</v>
      </c>
      <c r="F566">
        <v>485338880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-5.8479532163750406E-3</v>
      </c>
      <c r="Q566">
        <f t="shared" si="985"/>
        <v>-2838239.0643278598</v>
      </c>
      <c r="R566">
        <f t="shared" si="986"/>
        <v>-4633175728.7483797</v>
      </c>
      <c r="S566">
        <f t="shared" si="987"/>
        <v>-46331.757287483801</v>
      </c>
      <c r="T566">
        <f t="shared" si="988"/>
        <v>-46.331757287483804</v>
      </c>
    </row>
    <row r="567" spans="1:104" x14ac:dyDescent="0.25">
      <c r="A567" s="5">
        <v>44026</v>
      </c>
      <c r="B567">
        <v>1.9710000000000001E-3</v>
      </c>
      <c r="C567">
        <v>2.124E-3</v>
      </c>
      <c r="D567">
        <v>1.9559999999999998E-3</v>
      </c>
      <c r="E567">
        <v>2.0590000000000001E-3</v>
      </c>
      <c r="F567">
        <v>554467631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0.22619047619047758</v>
      </c>
      <c r="Q567">
        <f t="shared" si="985"/>
        <v>125415297.48809601</v>
      </c>
      <c r="R567">
        <f t="shared" si="986"/>
        <v>-4630337489.6840515</v>
      </c>
      <c r="S567">
        <f t="shared" si="987"/>
        <v>-46303.374896840513</v>
      </c>
      <c r="T567">
        <f t="shared" si="988"/>
        <v>-46.303374896840509</v>
      </c>
    </row>
    <row r="568" spans="1:104" x14ac:dyDescent="0.25">
      <c r="A568" s="5">
        <v>44025</v>
      </c>
      <c r="B568">
        <v>2.0219999999999999E-3</v>
      </c>
      <c r="C568">
        <v>2.137E-3</v>
      </c>
      <c r="D568">
        <v>1.9580000000000001E-3</v>
      </c>
      <c r="E568">
        <v>1.97E-3</v>
      </c>
      <c r="F568">
        <v>483719336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-0.86592178770949868</v>
      </c>
      <c r="Q568">
        <f t="shared" si="985"/>
        <v>-418863112.17877167</v>
      </c>
      <c r="R568">
        <f t="shared" si="986"/>
        <v>-4755752787.1721478</v>
      </c>
      <c r="S568">
        <f t="shared" si="987"/>
        <v>-47557.527871721475</v>
      </c>
      <c r="T568">
        <f t="shared" si="988"/>
        <v>-47.557527871721476</v>
      </c>
    </row>
    <row r="569" spans="1:104" x14ac:dyDescent="0.25">
      <c r="A569" s="5">
        <v>44024</v>
      </c>
      <c r="B569">
        <v>2.0630000000000002E-3</v>
      </c>
      <c r="C569">
        <v>2.1080000000000001E-3</v>
      </c>
      <c r="D569">
        <v>1.9810000000000001E-3</v>
      </c>
      <c r="E569">
        <v>2.0200000000000001E-3</v>
      </c>
      <c r="F569">
        <v>315854118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-0.38582677165354345</v>
      </c>
      <c r="Q569">
        <f t="shared" si="985"/>
        <v>-121864974.66141737</v>
      </c>
      <c r="R569">
        <f t="shared" si="986"/>
        <v>-4336889674.9933758</v>
      </c>
      <c r="S569">
        <f t="shared" si="987"/>
        <v>-43368.89674993376</v>
      </c>
      <c r="T569">
        <f t="shared" si="988"/>
        <v>-43.368896749933761</v>
      </c>
    </row>
    <row r="570" spans="1:104" x14ac:dyDescent="0.25">
      <c r="A570" s="5">
        <v>44023</v>
      </c>
      <c r="B570">
        <v>2.0509999999999999E-3</v>
      </c>
      <c r="C570">
        <v>2.0960000000000002E-3</v>
      </c>
      <c r="D570">
        <v>1.9729999999999999E-3</v>
      </c>
      <c r="E570">
        <v>2.0630000000000002E-3</v>
      </c>
      <c r="F570">
        <v>424706021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0.46341463414634199</v>
      </c>
      <c r="Q570">
        <f t="shared" si="985"/>
        <v>196814985.34146363</v>
      </c>
      <c r="R570">
        <f t="shared" si="986"/>
        <v>-4215024700.3319583</v>
      </c>
      <c r="S570">
        <f t="shared" si="987"/>
        <v>-42150.247003319586</v>
      </c>
      <c r="T570">
        <f t="shared" si="988"/>
        <v>-42.150247003319585</v>
      </c>
    </row>
    <row r="571" spans="1:104" x14ac:dyDescent="0.25">
      <c r="A571" s="5">
        <v>44022</v>
      </c>
      <c r="B571">
        <v>1.9040000000000001E-3</v>
      </c>
      <c r="C571">
        <v>2.336E-3</v>
      </c>
      <c r="D571">
        <v>1.895E-3</v>
      </c>
      <c r="E571">
        <v>2.055E-3</v>
      </c>
      <c r="F571">
        <v>1136853268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-0.27437641723356015</v>
      </c>
      <c r="Q571">
        <f t="shared" si="985"/>
        <v>-311925726.59410441</v>
      </c>
      <c r="R571">
        <f t="shared" si="986"/>
        <v>-4411839685.6734219</v>
      </c>
      <c r="S571">
        <f t="shared" si="987"/>
        <v>-44118.396856734216</v>
      </c>
      <c r="T571">
        <f t="shared" si="988"/>
        <v>-44.118396856734215</v>
      </c>
    </row>
    <row r="572" spans="1:104" x14ac:dyDescent="0.25">
      <c r="A572" s="5">
        <v>44021</v>
      </c>
      <c r="B572">
        <v>1.903E-3</v>
      </c>
      <c r="C572">
        <v>1.952E-3</v>
      </c>
      <c r="D572">
        <v>1.8400000000000001E-3</v>
      </c>
      <c r="E572">
        <v>1.9040000000000001E-3</v>
      </c>
      <c r="F572">
        <v>417154367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0.14285714285714451</v>
      </c>
      <c r="Q572">
        <f t="shared" si="985"/>
        <v>59593481.000000693</v>
      </c>
      <c r="R572">
        <f t="shared" si="986"/>
        <v>-4099913959.0793176</v>
      </c>
      <c r="S572">
        <f t="shared" si="987"/>
        <v>-40999.139590793173</v>
      </c>
      <c r="T572">
        <f t="shared" si="988"/>
        <v>-40.99913959079317</v>
      </c>
    </row>
    <row r="573" spans="1:104" x14ac:dyDescent="0.25">
      <c r="A573" s="5">
        <v>44020</v>
      </c>
      <c r="B573">
        <v>1.864E-3</v>
      </c>
      <c r="C573">
        <v>1.9040000000000001E-3</v>
      </c>
      <c r="D573">
        <v>1.848E-3</v>
      </c>
      <c r="E573">
        <v>1.903E-3</v>
      </c>
      <c r="F573">
        <v>257901084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0.96428571428570964</v>
      </c>
      <c r="Q573">
        <f t="shared" si="985"/>
        <v>248690330.99999881</v>
      </c>
      <c r="R573">
        <f t="shared" si="986"/>
        <v>-4159507440.079318</v>
      </c>
      <c r="S573">
        <f t="shared" si="987"/>
        <v>-41595.074400793179</v>
      </c>
      <c r="T573">
        <f t="shared" si="988"/>
        <v>-41.59507440079318</v>
      </c>
    </row>
    <row r="574" spans="1:104" x14ac:dyDescent="0.25">
      <c r="A574" s="5">
        <v>44019</v>
      </c>
      <c r="B574">
        <v>1.9090000000000001E-3</v>
      </c>
      <c r="C574">
        <v>1.926E-3</v>
      </c>
      <c r="D574">
        <v>1.8190000000000001E-3</v>
      </c>
      <c r="E574">
        <v>1.8749999999999999E-3</v>
      </c>
      <c r="F574">
        <v>266786023</v>
      </c>
      <c r="G574">
        <v>0</v>
      </c>
      <c r="L574" t="s">
        <v>7</v>
      </c>
      <c r="M574" t="s">
        <v>8</v>
      </c>
      <c r="N574" t="s">
        <v>8</v>
      </c>
      <c r="P574">
        <f t="shared" si="984"/>
        <v>4.6728971962614968E-2</v>
      </c>
      <c r="Q574">
        <f t="shared" si="985"/>
        <v>12466636.588784551</v>
      </c>
      <c r="R574">
        <f t="shared" si="986"/>
        <v>-4408197771.0793171</v>
      </c>
      <c r="S574">
        <f t="shared" si="987"/>
        <v>-44081.977710793173</v>
      </c>
      <c r="T574">
        <f t="shared" si="988"/>
        <v>-44.081977710793176</v>
      </c>
    </row>
    <row r="575" spans="1:104" x14ac:dyDescent="0.25">
      <c r="A575" s="5">
        <v>44018</v>
      </c>
      <c r="B575">
        <v>1.8979999999999999E-3</v>
      </c>
      <c r="C575">
        <v>1.9530000000000001E-3</v>
      </c>
      <c r="D575">
        <v>1.8890000000000001E-3</v>
      </c>
      <c r="E575">
        <v>1.908E-3</v>
      </c>
      <c r="F575">
        <v>188331298</v>
      </c>
      <c r="G575">
        <v>0</v>
      </c>
      <c r="L575" t="s">
        <v>7</v>
      </c>
      <c r="M575" t="s">
        <v>8</v>
      </c>
      <c r="N575" t="s">
        <v>8</v>
      </c>
      <c r="P575">
        <f t="shared" si="984"/>
        <v>-0.40625000000000283</v>
      </c>
      <c r="Q575">
        <f t="shared" si="985"/>
        <v>-76509589.812500536</v>
      </c>
      <c r="R575">
        <f t="shared" si="986"/>
        <v>-4420664407.6681013</v>
      </c>
      <c r="S575">
        <f t="shared" si="987"/>
        <v>-44206.644076681012</v>
      </c>
      <c r="T575">
        <f t="shared" si="988"/>
        <v>-44.206644076681009</v>
      </c>
    </row>
    <row r="576" spans="1:104" x14ac:dyDescent="0.25">
      <c r="A576" s="5">
        <v>44017</v>
      </c>
      <c r="B576">
        <v>1.993E-3</v>
      </c>
      <c r="C576">
        <v>1.9940000000000001E-3</v>
      </c>
      <c r="D576">
        <v>1.869E-3</v>
      </c>
      <c r="E576">
        <v>1.8990000000000001E-3</v>
      </c>
      <c r="F576">
        <v>271638697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-0.51999999999999913</v>
      </c>
      <c r="Q576">
        <f t="shared" si="985"/>
        <v>-141252122.43999976</v>
      </c>
      <c r="R576">
        <f t="shared" si="986"/>
        <v>-4344154817.8556004</v>
      </c>
      <c r="S576">
        <f t="shared" si="987"/>
        <v>-43441.548178556004</v>
      </c>
      <c r="T576">
        <f t="shared" si="988"/>
        <v>-43.441548178556005</v>
      </c>
    </row>
    <row r="577" spans="1:20" x14ac:dyDescent="0.25">
      <c r="A577" s="5">
        <v>44016</v>
      </c>
      <c r="B577">
        <v>1.8450000000000001E-3</v>
      </c>
      <c r="C577">
        <v>2.0999999999999999E-3</v>
      </c>
      <c r="D577">
        <v>1.833E-3</v>
      </c>
      <c r="E577">
        <v>1.9940000000000001E-3</v>
      </c>
      <c r="F577">
        <v>611765189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0.20599250936329733</v>
      </c>
      <c r="Q577">
        <f t="shared" si="985"/>
        <v>126019046.42322186</v>
      </c>
      <c r="R577">
        <f t="shared" si="986"/>
        <v>-4202902695.4156003</v>
      </c>
      <c r="S577">
        <f t="shared" si="987"/>
        <v>-42029.026954156005</v>
      </c>
      <c r="T577">
        <f t="shared" si="988"/>
        <v>-42.029026954156002</v>
      </c>
    </row>
    <row r="578" spans="1:20" x14ac:dyDescent="0.25">
      <c r="A578" s="5">
        <v>44015</v>
      </c>
      <c r="B578">
        <v>1.7730000000000001E-3</v>
      </c>
      <c r="C578">
        <v>1.8600000000000001E-3</v>
      </c>
      <c r="D578">
        <v>1.755E-3</v>
      </c>
      <c r="E578">
        <v>1.841E-3</v>
      </c>
      <c r="F578">
        <v>291107744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0.63809523809523572</v>
      </c>
      <c r="Q578">
        <f t="shared" si="985"/>
        <v>185754465.21904692</v>
      </c>
      <c r="R578">
        <f t="shared" si="986"/>
        <v>-4328921741.8388224</v>
      </c>
      <c r="S578">
        <f t="shared" si="987"/>
        <v>-43289.217418388223</v>
      </c>
      <c r="T578">
        <f t="shared" si="988"/>
        <v>-43.289217418388226</v>
      </c>
    </row>
    <row r="579" spans="1:20" x14ac:dyDescent="0.25">
      <c r="A579" s="5">
        <v>44014</v>
      </c>
      <c r="B579">
        <v>1.846E-3</v>
      </c>
      <c r="C579">
        <v>1.872E-3</v>
      </c>
      <c r="D579">
        <v>1.722E-3</v>
      </c>
      <c r="E579">
        <v>1.7719999999999999E-3</v>
      </c>
      <c r="F579">
        <v>267420761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-0.33333333333333431</v>
      </c>
      <c r="Q579">
        <f t="shared" si="985"/>
        <v>-89140253.666666925</v>
      </c>
      <c r="R579">
        <f t="shared" si="986"/>
        <v>-4514676207.057869</v>
      </c>
      <c r="S579">
        <f t="shared" si="987"/>
        <v>-45146.76207057869</v>
      </c>
      <c r="T579">
        <f t="shared" si="988"/>
        <v>-45.146762070578689</v>
      </c>
    </row>
    <row r="580" spans="1:20" x14ac:dyDescent="0.25">
      <c r="A580" s="5">
        <v>44013</v>
      </c>
      <c r="B580">
        <v>1.8519999999999999E-3</v>
      </c>
      <c r="C580">
        <v>1.882E-3</v>
      </c>
      <c r="D580">
        <v>1.7960000000000001E-3</v>
      </c>
      <c r="E580">
        <v>1.846E-3</v>
      </c>
      <c r="F580">
        <v>307111251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0.16279069767441767</v>
      </c>
      <c r="Q580">
        <f t="shared" si="985"/>
        <v>49994854.813953198</v>
      </c>
      <c r="R580">
        <f t="shared" si="986"/>
        <v>-4425535953.391202</v>
      </c>
      <c r="S580">
        <f t="shared" si="987"/>
        <v>-44255.359533912022</v>
      </c>
      <c r="T580">
        <f t="shared" si="988"/>
        <v>-44.255359533912021</v>
      </c>
    </row>
    <row r="581" spans="1:20" x14ac:dyDescent="0.25">
      <c r="A581" s="5">
        <v>44012</v>
      </c>
      <c r="B581">
        <v>1.732E-3</v>
      </c>
      <c r="C581">
        <v>1.908E-3</v>
      </c>
      <c r="D581">
        <v>1.7279999999999999E-3</v>
      </c>
      <c r="E581">
        <v>1.8439999999999999E-3</v>
      </c>
      <c r="F581">
        <v>435488391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0.28888888888888864</v>
      </c>
      <c r="Q581">
        <f t="shared" si="985"/>
        <v>125807757.39999989</v>
      </c>
      <c r="R581">
        <f t="shared" si="986"/>
        <v>-4475530808.2051554</v>
      </c>
      <c r="S581">
        <f t="shared" si="987"/>
        <v>-44755.308082051553</v>
      </c>
      <c r="T581">
        <f t="shared" si="988"/>
        <v>-44.755308082051556</v>
      </c>
    </row>
    <row r="582" spans="1:20" x14ac:dyDescent="0.25">
      <c r="A582" s="5">
        <v>44011</v>
      </c>
      <c r="B582">
        <v>1.735E-3</v>
      </c>
      <c r="C582">
        <v>1.758E-3</v>
      </c>
      <c r="D582">
        <v>1.681E-3</v>
      </c>
      <c r="E582">
        <v>1.7329999999999999E-3</v>
      </c>
      <c r="F582">
        <v>188500102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0.35064935064934921</v>
      </c>
      <c r="Q582">
        <f t="shared" ref="Q582:Q645" si="990">F582*P582</f>
        <v>66097438.363636091</v>
      </c>
      <c r="R582">
        <f t="shared" ref="R582:R645" si="991">R583+Q582</f>
        <v>-4601338565.605155</v>
      </c>
      <c r="S582">
        <f t="shared" ref="S582:S645" si="992">R582/100000</f>
        <v>-46013.385656051549</v>
      </c>
      <c r="T582">
        <f t="shared" ref="T582:T645" si="993">S582/1000</f>
        <v>-46.013385656051547</v>
      </c>
    </row>
    <row r="583" spans="1:20" x14ac:dyDescent="0.25">
      <c r="A583" s="5">
        <v>44010</v>
      </c>
      <c r="B583">
        <v>1.699E-3</v>
      </c>
      <c r="C583">
        <v>1.745E-3</v>
      </c>
      <c r="D583">
        <v>1.65E-3</v>
      </c>
      <c r="E583">
        <v>1.735E-3</v>
      </c>
      <c r="F583">
        <v>188281527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0.78947368421052588</v>
      </c>
      <c r="Q583">
        <f t="shared" si="990"/>
        <v>148643310.78947359</v>
      </c>
      <c r="R583">
        <f t="shared" si="991"/>
        <v>-4667436003.968791</v>
      </c>
      <c r="S583">
        <f t="shared" si="992"/>
        <v>-46674.360039687912</v>
      </c>
      <c r="T583">
        <f t="shared" si="993"/>
        <v>-46.674360039687912</v>
      </c>
    </row>
    <row r="584" spans="1:20" x14ac:dyDescent="0.25">
      <c r="A584" s="5">
        <v>44009</v>
      </c>
      <c r="B584">
        <v>1.7819999999999999E-3</v>
      </c>
      <c r="C584">
        <v>1.797E-3</v>
      </c>
      <c r="D584">
        <v>1.676E-3</v>
      </c>
      <c r="E584">
        <v>1.6869999999999999E-3</v>
      </c>
      <c r="F584">
        <v>302248658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-0.81818181818181912</v>
      </c>
      <c r="Q584">
        <f t="shared" si="990"/>
        <v>-247294356.54545483</v>
      </c>
      <c r="R584">
        <f t="shared" si="991"/>
        <v>-4816079314.7582645</v>
      </c>
      <c r="S584">
        <f t="shared" si="992"/>
        <v>-48160.793147582648</v>
      </c>
      <c r="T584">
        <f t="shared" si="993"/>
        <v>-48.160793147582645</v>
      </c>
    </row>
    <row r="585" spans="1:20" x14ac:dyDescent="0.25">
      <c r="A585" s="5">
        <v>44008</v>
      </c>
      <c r="B585">
        <v>1.8259999999999999E-3</v>
      </c>
      <c r="C585">
        <v>1.8630000000000001E-3</v>
      </c>
      <c r="D585">
        <v>1.7700000000000001E-3</v>
      </c>
      <c r="E585">
        <v>1.7830000000000001E-3</v>
      </c>
      <c r="F585">
        <v>237698352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-0.72043010752688186</v>
      </c>
      <c r="Q585">
        <f t="shared" si="990"/>
        <v>-171245049.2903226</v>
      </c>
      <c r="R585">
        <f t="shared" si="991"/>
        <v>-4568784958.2128096</v>
      </c>
      <c r="S585">
        <f t="shared" si="992"/>
        <v>-45687.849582128096</v>
      </c>
      <c r="T585">
        <f t="shared" si="993"/>
        <v>-45.687849582128095</v>
      </c>
    </row>
    <row r="586" spans="1:20" x14ac:dyDescent="0.25">
      <c r="A586" s="5">
        <v>44007</v>
      </c>
      <c r="B586">
        <v>1.867E-3</v>
      </c>
      <c r="C586">
        <v>1.882E-3</v>
      </c>
      <c r="D586">
        <v>1.7390000000000001E-3</v>
      </c>
      <c r="E586">
        <v>1.8259999999999999E-3</v>
      </c>
      <c r="F586">
        <v>309214566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0.21678321678321538</v>
      </c>
      <c r="Q586">
        <f t="shared" si="990"/>
        <v>67032528.293705858</v>
      </c>
      <c r="R586">
        <f t="shared" si="991"/>
        <v>-4397539908.9224873</v>
      </c>
      <c r="S586">
        <f t="shared" si="992"/>
        <v>-43975.399089224869</v>
      </c>
      <c r="T586">
        <f t="shared" si="993"/>
        <v>-43.975399089224872</v>
      </c>
    </row>
    <row r="587" spans="1:20" x14ac:dyDescent="0.25">
      <c r="A587" s="5">
        <v>44006</v>
      </c>
      <c r="B587">
        <v>2.0230000000000001E-3</v>
      </c>
      <c r="C587">
        <v>2.0300000000000001E-3</v>
      </c>
      <c r="D587">
        <v>1.8240000000000001E-3</v>
      </c>
      <c r="E587">
        <v>1.869E-3</v>
      </c>
      <c r="F587">
        <v>346997893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-0.56310679611650583</v>
      </c>
      <c r="Q587">
        <f t="shared" si="990"/>
        <v>-195396871.7864081</v>
      </c>
      <c r="R587">
        <f t="shared" si="991"/>
        <v>-4464572437.2161932</v>
      </c>
      <c r="S587">
        <f t="shared" si="992"/>
        <v>-44645.724372161931</v>
      </c>
      <c r="T587">
        <f t="shared" si="993"/>
        <v>-44.645724372161929</v>
      </c>
    </row>
    <row r="588" spans="1:20" x14ac:dyDescent="0.25">
      <c r="A588" s="5">
        <v>44005</v>
      </c>
      <c r="B588">
        <v>1.9849999999999998E-3</v>
      </c>
      <c r="C588">
        <v>2.1069999999999999E-3</v>
      </c>
      <c r="D588">
        <v>1.9819999999999998E-3</v>
      </c>
      <c r="E588">
        <v>2.0230000000000001E-3</v>
      </c>
      <c r="F588">
        <v>401966120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-0.34399999999999675</v>
      </c>
      <c r="Q588">
        <f t="shared" si="990"/>
        <v>-138276345.27999869</v>
      </c>
      <c r="R588">
        <f t="shared" si="991"/>
        <v>-4269175565.4297848</v>
      </c>
      <c r="S588">
        <f t="shared" si="992"/>
        <v>-42691.755654297849</v>
      </c>
      <c r="T588">
        <f t="shared" si="993"/>
        <v>-42.69175565429785</v>
      </c>
    </row>
    <row r="589" spans="1:20" x14ac:dyDescent="0.25">
      <c r="A589" s="5">
        <v>44004</v>
      </c>
      <c r="B589">
        <v>2.0070000000000001E-3</v>
      </c>
      <c r="C589">
        <v>2.1029999999999998E-3</v>
      </c>
      <c r="D589">
        <v>1.931E-3</v>
      </c>
      <c r="E589">
        <v>1.9859999999999999E-3</v>
      </c>
      <c r="F589">
        <v>523582592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-0.36046511627907002</v>
      </c>
      <c r="Q589">
        <f t="shared" si="990"/>
        <v>-188733259.90697688</v>
      </c>
      <c r="R589">
        <f t="shared" si="991"/>
        <v>-4130899220.149786</v>
      </c>
      <c r="S589">
        <f t="shared" si="992"/>
        <v>-41308.992201497858</v>
      </c>
      <c r="T589">
        <f t="shared" si="993"/>
        <v>-41.308992201497858</v>
      </c>
    </row>
    <row r="590" spans="1:20" x14ac:dyDescent="0.25">
      <c r="A590" s="5">
        <v>44003</v>
      </c>
      <c r="B590">
        <v>2.0010000000000002E-3</v>
      </c>
      <c r="C590">
        <v>2.222E-3</v>
      </c>
      <c r="D590">
        <v>1.9729999999999999E-3</v>
      </c>
      <c r="E590">
        <v>2.006E-3</v>
      </c>
      <c r="F590">
        <v>1165360068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-0.73493975903614428</v>
      </c>
      <c r="Q590">
        <f t="shared" si="990"/>
        <v>-856469447.56626475</v>
      </c>
      <c r="R590">
        <f t="shared" si="991"/>
        <v>-3942165960.2428093</v>
      </c>
      <c r="S590">
        <f t="shared" si="992"/>
        <v>-39421.659602428095</v>
      </c>
      <c r="T590">
        <f t="shared" si="993"/>
        <v>-39.421659602428093</v>
      </c>
    </row>
    <row r="591" spans="1:20" x14ac:dyDescent="0.25">
      <c r="A591" s="5">
        <v>44002</v>
      </c>
      <c r="B591">
        <v>1.8649999999999999E-3</v>
      </c>
      <c r="C591">
        <v>2.176E-3</v>
      </c>
      <c r="D591">
        <v>1.82E-3</v>
      </c>
      <c r="E591">
        <v>2.0010000000000002E-3</v>
      </c>
      <c r="F591">
        <v>1254179993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1.6853932584270682E-2</v>
      </c>
      <c r="Q591">
        <f t="shared" si="990"/>
        <v>21137865.050563075</v>
      </c>
      <c r="R591">
        <f t="shared" si="991"/>
        <v>-3085696512.6765447</v>
      </c>
      <c r="S591">
        <f t="shared" si="992"/>
        <v>-30856.965126765448</v>
      </c>
      <c r="T591">
        <f t="shared" si="993"/>
        <v>-30.856965126765449</v>
      </c>
    </row>
    <row r="592" spans="1:20" x14ac:dyDescent="0.25">
      <c r="A592" s="5">
        <v>44001</v>
      </c>
      <c r="B592">
        <v>1.833E-3</v>
      </c>
      <c r="C592">
        <v>1.9170000000000001E-3</v>
      </c>
      <c r="D592">
        <v>1.758E-3</v>
      </c>
      <c r="E592">
        <v>1.8649999999999999E-3</v>
      </c>
      <c r="F592">
        <v>496240372</v>
      </c>
      <c r="G592">
        <v>0</v>
      </c>
      <c r="L592" t="s">
        <v>8</v>
      </c>
      <c r="M592" t="s">
        <v>7</v>
      </c>
      <c r="N592" t="s">
        <v>7</v>
      </c>
      <c r="P592">
        <f t="shared" si="989"/>
        <v>0.34591194968553263</v>
      </c>
      <c r="Q592">
        <f t="shared" si="990"/>
        <v>171655474.591194</v>
      </c>
      <c r="R592">
        <f t="shared" si="991"/>
        <v>-3106834377.7271075</v>
      </c>
      <c r="S592">
        <f t="shared" si="992"/>
        <v>-31068.343777271075</v>
      </c>
      <c r="T592">
        <f t="shared" si="993"/>
        <v>-31.068343777271075</v>
      </c>
    </row>
    <row r="593" spans="1:20" x14ac:dyDescent="0.25">
      <c r="A593" s="5">
        <v>44000</v>
      </c>
      <c r="B593">
        <v>1.823E-3</v>
      </c>
      <c r="C593">
        <v>1.861E-3</v>
      </c>
      <c r="D593">
        <v>1.794E-3</v>
      </c>
      <c r="E593">
        <v>1.8320000000000001E-3</v>
      </c>
      <c r="F593">
        <v>271447801</v>
      </c>
      <c r="G593">
        <v>0</v>
      </c>
      <c r="L593" t="s">
        <v>8</v>
      </c>
      <c r="M593" t="s">
        <v>7</v>
      </c>
      <c r="N593" t="s">
        <v>7</v>
      </c>
      <c r="P593">
        <f t="shared" si="989"/>
        <v>0.13432835820895686</v>
      </c>
      <c r="Q593">
        <f t="shared" si="990"/>
        <v>36463137.44776164</v>
      </c>
      <c r="R593">
        <f t="shared" si="991"/>
        <v>-3278489852.3183017</v>
      </c>
      <c r="S593">
        <f t="shared" si="992"/>
        <v>-32784.898523183016</v>
      </c>
      <c r="T593">
        <f t="shared" si="993"/>
        <v>-32.784898523183017</v>
      </c>
    </row>
    <row r="594" spans="1:20" x14ac:dyDescent="0.25">
      <c r="A594" s="5">
        <v>43999</v>
      </c>
      <c r="B594">
        <v>1.8140000000000001E-3</v>
      </c>
      <c r="C594">
        <v>1.867E-3</v>
      </c>
      <c r="D594">
        <v>1.7589999999999999E-3</v>
      </c>
      <c r="E594">
        <v>1.8220000000000001E-3</v>
      </c>
      <c r="F594">
        <v>448708427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0.16666666666666868</v>
      </c>
      <c r="Q594">
        <f t="shared" si="990"/>
        <v>74784737.833334237</v>
      </c>
      <c r="R594">
        <f t="shared" si="991"/>
        <v>-3314952989.7660632</v>
      </c>
      <c r="S594">
        <f t="shared" si="992"/>
        <v>-33149.529897660635</v>
      </c>
      <c r="T594">
        <f t="shared" si="993"/>
        <v>-33.149529897660635</v>
      </c>
    </row>
    <row r="595" spans="1:20" x14ac:dyDescent="0.25">
      <c r="A595" s="5">
        <v>43998</v>
      </c>
      <c r="B595">
        <v>1.7149999999999999E-3</v>
      </c>
      <c r="C595">
        <v>1.82E-3</v>
      </c>
      <c r="D595">
        <v>1.702E-3</v>
      </c>
      <c r="E595">
        <v>1.8140000000000001E-3</v>
      </c>
      <c r="F595">
        <v>382537089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0.89830508474576398</v>
      </c>
      <c r="Q595">
        <f t="shared" si="990"/>
        <v>343635012.15254283</v>
      </c>
      <c r="R595">
        <f t="shared" si="991"/>
        <v>-3389737727.5993977</v>
      </c>
      <c r="S595">
        <f t="shared" si="992"/>
        <v>-33897.377275993975</v>
      </c>
      <c r="T595">
        <f t="shared" si="993"/>
        <v>-33.897377275993975</v>
      </c>
    </row>
    <row r="596" spans="1:20" x14ac:dyDescent="0.25">
      <c r="A596" s="5">
        <v>43997</v>
      </c>
      <c r="B596">
        <v>1.7799999999999999E-3</v>
      </c>
      <c r="C596">
        <v>1.7899999999999999E-3</v>
      </c>
      <c r="D596">
        <v>1.6019999999999999E-3</v>
      </c>
      <c r="E596">
        <v>1.7240000000000001E-3</v>
      </c>
      <c r="F596">
        <v>327838383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0.29787234042553334</v>
      </c>
      <c r="Q596">
        <f t="shared" si="990"/>
        <v>97653986.425532386</v>
      </c>
      <c r="R596">
        <f t="shared" si="991"/>
        <v>-3733372739.7519407</v>
      </c>
      <c r="S596">
        <f t="shared" si="992"/>
        <v>-37333.727397519404</v>
      </c>
      <c r="T596">
        <f t="shared" si="993"/>
        <v>-37.333727397519404</v>
      </c>
    </row>
    <row r="597" spans="1:20" x14ac:dyDescent="0.25">
      <c r="A597" s="5">
        <v>43996</v>
      </c>
      <c r="B597">
        <v>1.854E-3</v>
      </c>
      <c r="C597">
        <v>1.869E-3</v>
      </c>
      <c r="D597">
        <v>1.758E-3</v>
      </c>
      <c r="E597">
        <v>1.7819999999999999E-3</v>
      </c>
      <c r="F597">
        <v>256562260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-0.56756756756756876</v>
      </c>
      <c r="Q597">
        <f t="shared" si="990"/>
        <v>-145616417.83783814</v>
      </c>
      <c r="R597">
        <f t="shared" si="991"/>
        <v>-3831026726.1774731</v>
      </c>
      <c r="S597">
        <f t="shared" si="992"/>
        <v>-38310.26726177473</v>
      </c>
      <c r="T597">
        <f t="shared" si="993"/>
        <v>-38.310267261774733</v>
      </c>
    </row>
    <row r="598" spans="1:20" x14ac:dyDescent="0.25">
      <c r="A598" s="5">
        <v>43995</v>
      </c>
      <c r="B598">
        <v>1.756E-3</v>
      </c>
      <c r="C598">
        <v>1.951E-3</v>
      </c>
      <c r="D598">
        <v>1.7409999999999999E-3</v>
      </c>
      <c r="E598">
        <v>1.853E-3</v>
      </c>
      <c r="F598">
        <v>671167800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6.6666666666667221E-2</v>
      </c>
      <c r="Q598">
        <f t="shared" si="990"/>
        <v>44744520.000000373</v>
      </c>
      <c r="R598">
        <f t="shared" si="991"/>
        <v>-3685410308.3396349</v>
      </c>
      <c r="S598">
        <f t="shared" si="992"/>
        <v>-36854.103083396352</v>
      </c>
      <c r="T598">
        <f t="shared" si="993"/>
        <v>-36.854103083396353</v>
      </c>
    </row>
    <row r="599" spans="1:20" x14ac:dyDescent="0.25">
      <c r="A599" s="5">
        <v>43994</v>
      </c>
      <c r="B599">
        <v>1.6590000000000001E-3</v>
      </c>
      <c r="C599">
        <v>1.776E-3</v>
      </c>
      <c r="D599">
        <v>1.6459999999999999E-3</v>
      </c>
      <c r="E599">
        <v>1.756E-3</v>
      </c>
      <c r="F599">
        <v>310811495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0.69230769230769185</v>
      </c>
      <c r="Q599">
        <f t="shared" si="990"/>
        <v>215177188.84615371</v>
      </c>
      <c r="R599">
        <f t="shared" si="991"/>
        <v>-3730154828.3396354</v>
      </c>
      <c r="S599">
        <f t="shared" si="992"/>
        <v>-37301.548283396354</v>
      </c>
      <c r="T599">
        <f t="shared" si="993"/>
        <v>-37.301548283396357</v>
      </c>
    </row>
    <row r="600" spans="1:20" x14ac:dyDescent="0.25">
      <c r="A600" s="5">
        <v>43993</v>
      </c>
      <c r="B600">
        <v>1.9289999999999999E-3</v>
      </c>
      <c r="C600">
        <v>1.9499999999999999E-3</v>
      </c>
      <c r="D600">
        <v>1.4959999999999999E-3</v>
      </c>
      <c r="E600">
        <v>1.6590000000000001E-3</v>
      </c>
      <c r="F600">
        <v>459225761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-0.28193832599118868</v>
      </c>
      <c r="Q600">
        <f t="shared" si="990"/>
        <v>-129473342.3083697</v>
      </c>
      <c r="R600">
        <f t="shared" si="991"/>
        <v>-3945332017.1857891</v>
      </c>
      <c r="S600">
        <f t="shared" si="992"/>
        <v>-39453.320171857893</v>
      </c>
      <c r="T600">
        <f t="shared" si="993"/>
        <v>-39.453320171857897</v>
      </c>
    </row>
    <row r="601" spans="1:20" x14ac:dyDescent="0.25">
      <c r="A601" s="5">
        <v>43992</v>
      </c>
      <c r="B601">
        <v>1.8309999999999999E-3</v>
      </c>
      <c r="C601">
        <v>1.9430000000000001E-3</v>
      </c>
      <c r="D601">
        <v>1.802E-3</v>
      </c>
      <c r="E601">
        <v>1.9300000000000001E-3</v>
      </c>
      <c r="F601">
        <v>343442876</v>
      </c>
      <c r="G601">
        <v>0</v>
      </c>
      <c r="L601" t="s">
        <v>8</v>
      </c>
      <c r="M601" t="s">
        <v>8</v>
      </c>
      <c r="N601" t="s">
        <v>7</v>
      </c>
      <c r="P601">
        <f t="shared" si="989"/>
        <v>0.8156028368794328</v>
      </c>
      <c r="Q601">
        <f t="shared" si="990"/>
        <v>280112983.97163129</v>
      </c>
      <c r="R601">
        <f t="shared" si="991"/>
        <v>-3815858674.8774195</v>
      </c>
      <c r="S601">
        <f t="shared" si="992"/>
        <v>-38158.586748774193</v>
      </c>
      <c r="T601">
        <f t="shared" si="993"/>
        <v>-38.158586748774191</v>
      </c>
    </row>
    <row r="602" spans="1:20" x14ac:dyDescent="0.25">
      <c r="A602" s="5">
        <v>43991</v>
      </c>
      <c r="B602">
        <v>1.8519999999999999E-3</v>
      </c>
      <c r="C602">
        <v>1.864E-3</v>
      </c>
      <c r="D602">
        <v>1.7769999999999999E-3</v>
      </c>
      <c r="E602">
        <v>1.8320000000000001E-3</v>
      </c>
      <c r="F602">
        <v>285684995</v>
      </c>
      <c r="G602">
        <v>0</v>
      </c>
      <c r="L602" t="s">
        <v>7</v>
      </c>
      <c r="M602" t="s">
        <v>8</v>
      </c>
      <c r="N602" t="s">
        <v>7</v>
      </c>
      <c r="P602">
        <f t="shared" si="989"/>
        <v>0.26436781609195653</v>
      </c>
      <c r="Q602">
        <f t="shared" si="990"/>
        <v>75525918.218391523</v>
      </c>
      <c r="R602">
        <f t="shared" si="991"/>
        <v>-4095971658.8490505</v>
      </c>
      <c r="S602">
        <f t="shared" si="992"/>
        <v>-40959.716588490504</v>
      </c>
      <c r="T602">
        <f t="shared" si="993"/>
        <v>-40.959716588490501</v>
      </c>
    </row>
    <row r="603" spans="1:20" x14ac:dyDescent="0.25">
      <c r="A603" s="5">
        <v>43990</v>
      </c>
      <c r="B603">
        <v>1.895E-3</v>
      </c>
      <c r="C603">
        <v>1.9070000000000001E-3</v>
      </c>
      <c r="D603">
        <v>1.8129999999999999E-3</v>
      </c>
      <c r="E603">
        <v>1.851E-3</v>
      </c>
      <c r="F603">
        <v>393824936</v>
      </c>
      <c r="G603">
        <v>0</v>
      </c>
      <c r="L603" t="s">
        <v>7</v>
      </c>
      <c r="M603" t="s">
        <v>8</v>
      </c>
      <c r="N603" t="s">
        <v>7</v>
      </c>
      <c r="P603">
        <f t="shared" si="989"/>
        <v>-0.19148936170212746</v>
      </c>
      <c r="Q603">
        <f t="shared" si="990"/>
        <v>-75413285.617021203</v>
      </c>
      <c r="R603">
        <f t="shared" si="991"/>
        <v>-4171497577.0674419</v>
      </c>
      <c r="S603">
        <f t="shared" si="992"/>
        <v>-41714.97577067442</v>
      </c>
      <c r="T603">
        <f t="shared" si="993"/>
        <v>-41.714975770674421</v>
      </c>
    </row>
    <row r="604" spans="1:20" x14ac:dyDescent="0.25">
      <c r="A604" s="5">
        <v>43989</v>
      </c>
      <c r="B604">
        <v>1.926E-3</v>
      </c>
      <c r="C604">
        <v>1.98E-3</v>
      </c>
      <c r="D604">
        <v>1.817E-3</v>
      </c>
      <c r="E604">
        <v>1.895E-3</v>
      </c>
      <c r="F604">
        <v>544027396</v>
      </c>
      <c r="G604">
        <v>0</v>
      </c>
      <c r="L604" t="s">
        <v>7</v>
      </c>
      <c r="M604" t="s">
        <v>8</v>
      </c>
      <c r="N604" t="s">
        <v>7</v>
      </c>
      <c r="P604">
        <f t="shared" si="989"/>
        <v>-4.294478527607401E-2</v>
      </c>
      <c r="Q604">
        <f t="shared" si="990"/>
        <v>-23363139.705521684</v>
      </c>
      <c r="R604">
        <f t="shared" si="991"/>
        <v>-4096084291.4504209</v>
      </c>
      <c r="S604">
        <f t="shared" si="992"/>
        <v>-40960.84291450421</v>
      </c>
      <c r="T604">
        <f t="shared" si="993"/>
        <v>-40.960842914504212</v>
      </c>
    </row>
    <row r="605" spans="1:20" x14ac:dyDescent="0.25">
      <c r="A605" s="5">
        <v>43988</v>
      </c>
      <c r="B605">
        <v>1.768E-3</v>
      </c>
      <c r="C605">
        <v>1.983E-3</v>
      </c>
      <c r="D605">
        <v>1.735E-3</v>
      </c>
      <c r="E605">
        <v>1.926E-3</v>
      </c>
      <c r="F605">
        <v>407996041</v>
      </c>
      <c r="G605">
        <v>0</v>
      </c>
      <c r="L605" t="s">
        <v>8</v>
      </c>
      <c r="M605" t="s">
        <v>8</v>
      </c>
      <c r="N605" t="s">
        <v>7</v>
      </c>
      <c r="P605">
        <f t="shared" si="989"/>
        <v>0.54032258064516137</v>
      </c>
      <c r="Q605">
        <f t="shared" si="990"/>
        <v>220449473.76612908</v>
      </c>
      <c r="R605">
        <f t="shared" si="991"/>
        <v>-4072721151.7448993</v>
      </c>
      <c r="S605">
        <f t="shared" si="992"/>
        <v>-40727.211517448995</v>
      </c>
      <c r="T605">
        <f t="shared" si="993"/>
        <v>-40.727211517448993</v>
      </c>
    </row>
    <row r="606" spans="1:20" x14ac:dyDescent="0.25">
      <c r="A606" s="5">
        <v>43987</v>
      </c>
      <c r="B606">
        <v>1.797E-3</v>
      </c>
      <c r="C606">
        <v>1.8309999999999999E-3</v>
      </c>
      <c r="D606">
        <v>1.7619999999999999E-3</v>
      </c>
      <c r="E606">
        <v>1.768E-3</v>
      </c>
      <c r="F606">
        <v>292753999</v>
      </c>
      <c r="G606">
        <v>0</v>
      </c>
      <c r="L606" t="s">
        <v>8</v>
      </c>
      <c r="M606" t="s">
        <v>7</v>
      </c>
      <c r="N606" t="s">
        <v>7</v>
      </c>
      <c r="P606">
        <f t="shared" si="989"/>
        <v>-0.82608695652173503</v>
      </c>
      <c r="Q606">
        <f t="shared" si="990"/>
        <v>-241840260.04347706</v>
      </c>
      <c r="R606">
        <f t="shared" si="991"/>
        <v>-4293170625.5110283</v>
      </c>
      <c r="S606">
        <f t="shared" si="992"/>
        <v>-42931.706255110286</v>
      </c>
      <c r="T606">
        <f t="shared" si="993"/>
        <v>-42.931706255110285</v>
      </c>
    </row>
    <row r="607" spans="1:20" x14ac:dyDescent="0.25">
      <c r="A607" s="5">
        <v>43986</v>
      </c>
      <c r="B607">
        <v>1.748E-3</v>
      </c>
      <c r="C607">
        <v>1.817E-3</v>
      </c>
      <c r="D607">
        <v>1.7229999999999999E-3</v>
      </c>
      <c r="E607">
        <v>1.7979999999999999E-3</v>
      </c>
      <c r="F607">
        <v>475670556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0.59574468085106147</v>
      </c>
      <c r="Q607">
        <f t="shared" si="990"/>
        <v>283378203.57446694</v>
      </c>
      <c r="R607">
        <f t="shared" si="991"/>
        <v>-4051330365.4675512</v>
      </c>
      <c r="S607">
        <f t="shared" si="992"/>
        <v>-40513.30365467551</v>
      </c>
      <c r="T607">
        <f t="shared" si="993"/>
        <v>-40.513303654675511</v>
      </c>
    </row>
    <row r="608" spans="1:20" x14ac:dyDescent="0.25">
      <c r="A608" s="5">
        <v>43985</v>
      </c>
      <c r="B608">
        <v>1.6620000000000001E-3</v>
      </c>
      <c r="C608">
        <v>1.8029999999999999E-3</v>
      </c>
      <c r="D608">
        <v>1.65E-3</v>
      </c>
      <c r="E608">
        <v>1.7489999999999999E-3</v>
      </c>
      <c r="F608">
        <v>379598595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0.29411764705882304</v>
      </c>
      <c r="Q608">
        <f t="shared" si="990"/>
        <v>111646645.58823511</v>
      </c>
      <c r="R608">
        <f t="shared" si="991"/>
        <v>-4334708569.0420179</v>
      </c>
      <c r="S608">
        <f t="shared" si="992"/>
        <v>-43347.085690420179</v>
      </c>
      <c r="T608">
        <f t="shared" si="993"/>
        <v>-43.34708569042018</v>
      </c>
    </row>
    <row r="609" spans="1:20" x14ac:dyDescent="0.25">
      <c r="A609" s="5">
        <v>43984</v>
      </c>
      <c r="B609">
        <v>1.7440000000000001E-3</v>
      </c>
      <c r="C609">
        <v>1.766E-3</v>
      </c>
      <c r="D609">
        <v>1.5820000000000001E-3</v>
      </c>
      <c r="E609">
        <v>1.6609999999999999E-3</v>
      </c>
      <c r="F609">
        <v>294679090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-0.14130434782608808</v>
      </c>
      <c r="Q609">
        <f t="shared" si="990"/>
        <v>-41639436.630435117</v>
      </c>
      <c r="R609">
        <f t="shared" si="991"/>
        <v>-4446355214.6302528</v>
      </c>
      <c r="S609">
        <f t="shared" si="992"/>
        <v>-44463.552146302529</v>
      </c>
      <c r="T609">
        <f t="shared" si="993"/>
        <v>-44.463552146302526</v>
      </c>
    </row>
    <row r="610" spans="1:20" x14ac:dyDescent="0.25">
      <c r="A610" s="5">
        <v>43983</v>
      </c>
      <c r="B610">
        <v>1.6670000000000001E-3</v>
      </c>
      <c r="C610">
        <v>1.763E-3</v>
      </c>
      <c r="D610">
        <v>1.6659999999999999E-3</v>
      </c>
      <c r="E610">
        <v>1.7390000000000001E-3</v>
      </c>
      <c r="F610">
        <v>312974224</v>
      </c>
      <c r="G610">
        <v>0</v>
      </c>
      <c r="L610" t="s">
        <v>7</v>
      </c>
      <c r="M610" t="s">
        <v>7</v>
      </c>
      <c r="N610" t="s">
        <v>7</v>
      </c>
      <c r="P610">
        <f t="shared" si="989"/>
        <v>0.50515463917525949</v>
      </c>
      <c r="Q610">
        <f t="shared" si="990"/>
        <v>158100381.19587684</v>
      </c>
      <c r="R610">
        <f t="shared" si="991"/>
        <v>-4404715777.9998178</v>
      </c>
      <c r="S610">
        <f t="shared" si="992"/>
        <v>-44047.157779998175</v>
      </c>
      <c r="T610">
        <f t="shared" si="993"/>
        <v>-44.047157779998173</v>
      </c>
    </row>
    <row r="611" spans="1:20" x14ac:dyDescent="0.25">
      <c r="A611" s="5">
        <v>43982</v>
      </c>
      <c r="B611">
        <v>1.784E-3</v>
      </c>
      <c r="C611">
        <v>1.823E-3</v>
      </c>
      <c r="D611">
        <v>1.64E-3</v>
      </c>
      <c r="E611">
        <v>1.668E-3</v>
      </c>
      <c r="F611">
        <v>484764632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-0.69398907103825103</v>
      </c>
      <c r="Q611">
        <f t="shared" si="990"/>
        <v>-336421356.6338796</v>
      </c>
      <c r="R611">
        <f t="shared" si="991"/>
        <v>-4562816159.1956949</v>
      </c>
      <c r="S611">
        <f t="shared" si="992"/>
        <v>-45628.161591956952</v>
      </c>
      <c r="T611">
        <f t="shared" si="993"/>
        <v>-45.628161591956953</v>
      </c>
    </row>
    <row r="612" spans="1:20" x14ac:dyDescent="0.25">
      <c r="A612" s="5">
        <v>43981</v>
      </c>
      <c r="B612">
        <v>1.786E-3</v>
      </c>
      <c r="C612">
        <v>1.8400000000000001E-3</v>
      </c>
      <c r="D612">
        <v>1.73E-3</v>
      </c>
      <c r="E612">
        <v>1.7849999999999999E-3</v>
      </c>
      <c r="F612">
        <v>380227687</v>
      </c>
      <c r="G612">
        <v>0</v>
      </c>
      <c r="L612" t="s">
        <v>8</v>
      </c>
      <c r="M612" t="s">
        <v>7</v>
      </c>
      <c r="N612" t="s">
        <v>7</v>
      </c>
      <c r="P612">
        <f t="shared" si="989"/>
        <v>-1.9712766772463703E-15</v>
      </c>
      <c r="Q612">
        <f t="shared" si="990"/>
        <v>-7.4953397142643288E-7</v>
      </c>
      <c r="R612">
        <f t="shared" si="991"/>
        <v>-4226394802.5618153</v>
      </c>
      <c r="S612">
        <f t="shared" si="992"/>
        <v>-42263.948025618156</v>
      </c>
      <c r="T612">
        <f t="shared" si="993"/>
        <v>-42.263948025618156</v>
      </c>
    </row>
    <row r="613" spans="1:20" x14ac:dyDescent="0.25">
      <c r="A613" s="5">
        <v>43980</v>
      </c>
      <c r="B613">
        <v>1.8029999999999999E-3</v>
      </c>
      <c r="C613">
        <v>1.8500000000000001E-3</v>
      </c>
      <c r="D613">
        <v>1.6930000000000001E-3</v>
      </c>
      <c r="E613">
        <v>1.7880000000000001E-3</v>
      </c>
      <c r="F613">
        <v>630093957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0.21019108280254803</v>
      </c>
      <c r="Q613">
        <f t="shared" si="990"/>
        <v>132440131.08917214</v>
      </c>
      <c r="R613">
        <f t="shared" si="991"/>
        <v>-4226394802.5618143</v>
      </c>
      <c r="S613">
        <f t="shared" si="992"/>
        <v>-42263.948025618141</v>
      </c>
      <c r="T613">
        <f t="shared" si="993"/>
        <v>-42.263948025618141</v>
      </c>
    </row>
    <row r="614" spans="1:20" x14ac:dyDescent="0.25">
      <c r="A614" s="5">
        <v>43979</v>
      </c>
      <c r="B614">
        <v>2.0300000000000001E-3</v>
      </c>
      <c r="C614">
        <v>2.085E-3</v>
      </c>
      <c r="D614">
        <v>1.8010000000000001E-3</v>
      </c>
      <c r="E614">
        <v>1.805E-3</v>
      </c>
      <c r="F614">
        <v>909760672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-0.97183098591549377</v>
      </c>
      <c r="Q614">
        <f t="shared" si="990"/>
        <v>-884133610.81690216</v>
      </c>
      <c r="R614">
        <f t="shared" si="991"/>
        <v>-4358834933.6509867</v>
      </c>
      <c r="S614">
        <f t="shared" si="992"/>
        <v>-43588.349336509869</v>
      </c>
      <c r="T614">
        <f t="shared" si="993"/>
        <v>-43.588349336509872</v>
      </c>
    </row>
    <row r="615" spans="1:20" x14ac:dyDescent="0.25">
      <c r="A615" s="5">
        <v>43978</v>
      </c>
      <c r="B615">
        <v>2.5040000000000001E-3</v>
      </c>
      <c r="C615">
        <v>2.8999999999999998E-3</v>
      </c>
      <c r="D615">
        <v>1.861E-3</v>
      </c>
      <c r="E615">
        <v>2.042E-3</v>
      </c>
      <c r="F615">
        <v>3823620830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-0.65158806544754577</v>
      </c>
      <c r="Q615">
        <f t="shared" si="990"/>
        <v>-2491425699.6246395</v>
      </c>
      <c r="R615">
        <f t="shared" si="991"/>
        <v>-3474701322.8340845</v>
      </c>
      <c r="S615">
        <f t="shared" si="992"/>
        <v>-34747.013228340846</v>
      </c>
      <c r="T615">
        <f t="shared" si="993"/>
        <v>-34.747013228340847</v>
      </c>
    </row>
    <row r="616" spans="1:20" x14ac:dyDescent="0.25">
      <c r="A616" s="5">
        <v>43977</v>
      </c>
      <c r="B616">
        <v>1.944E-3</v>
      </c>
      <c r="C616">
        <v>2.8E-3</v>
      </c>
      <c r="D616">
        <v>1.7960000000000001E-3</v>
      </c>
      <c r="E616">
        <v>2.5019999999999999E-3</v>
      </c>
      <c r="F616">
        <v>3696317207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0.40637450199203162</v>
      </c>
      <c r="Q616">
        <f t="shared" si="990"/>
        <v>1502089064.1992023</v>
      </c>
      <c r="R616">
        <f t="shared" si="991"/>
        <v>-983275623.20944476</v>
      </c>
      <c r="S616">
        <f t="shared" si="992"/>
        <v>-9832.7562320944471</v>
      </c>
      <c r="T616">
        <f t="shared" si="993"/>
        <v>-9.8327562320944466</v>
      </c>
    </row>
    <row r="617" spans="1:20" x14ac:dyDescent="0.25">
      <c r="A617" s="5">
        <v>43976</v>
      </c>
      <c r="B617">
        <v>1.47E-3</v>
      </c>
      <c r="C617">
        <v>2.1120000000000002E-3</v>
      </c>
      <c r="D617">
        <v>1.4519999999999999E-3</v>
      </c>
      <c r="E617">
        <v>1.9499999999999999E-3</v>
      </c>
      <c r="F617">
        <v>1772172082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0.50909090909090848</v>
      </c>
      <c r="Q617">
        <f t="shared" si="990"/>
        <v>902196696.29090798</v>
      </c>
      <c r="R617">
        <f t="shared" si="991"/>
        <v>-2485364687.4086471</v>
      </c>
      <c r="S617">
        <f t="shared" si="992"/>
        <v>-24853.646874086469</v>
      </c>
      <c r="T617">
        <f t="shared" si="993"/>
        <v>-24.853646874086468</v>
      </c>
    </row>
    <row r="618" spans="1:20" x14ac:dyDescent="0.25">
      <c r="A618" s="5">
        <v>43975</v>
      </c>
      <c r="B618">
        <v>1.521E-3</v>
      </c>
      <c r="C618">
        <v>1.6149999999999999E-3</v>
      </c>
      <c r="D618">
        <v>1.4679999999999999E-3</v>
      </c>
      <c r="E618">
        <v>1.4779999999999999E-3</v>
      </c>
      <c r="F618">
        <v>418357054</v>
      </c>
      <c r="G618">
        <v>0</v>
      </c>
      <c r="L618" t="s">
        <v>8</v>
      </c>
      <c r="M618" t="s">
        <v>7</v>
      </c>
      <c r="N618" t="s">
        <v>8</v>
      </c>
      <c r="P618">
        <f t="shared" si="989"/>
        <v>-0.86394557823129214</v>
      </c>
      <c r="Q618">
        <f t="shared" si="990"/>
        <v>-361437726.92516989</v>
      </c>
      <c r="R618">
        <f t="shared" si="991"/>
        <v>-3387561383.6995549</v>
      </c>
      <c r="S618">
        <f t="shared" si="992"/>
        <v>-33875.613836995552</v>
      </c>
      <c r="T618">
        <f t="shared" si="993"/>
        <v>-33.875613836995555</v>
      </c>
    </row>
    <row r="619" spans="1:20" x14ac:dyDescent="0.25">
      <c r="A619" s="5">
        <v>43974</v>
      </c>
      <c r="B619">
        <v>1.6000000000000001E-3</v>
      </c>
      <c r="C619">
        <v>1.6100000000000001E-3</v>
      </c>
      <c r="D619">
        <v>1.4630000000000001E-3</v>
      </c>
      <c r="E619">
        <v>1.521E-3</v>
      </c>
      <c r="F619">
        <v>404305814</v>
      </c>
      <c r="G619">
        <v>0</v>
      </c>
      <c r="L619" t="s">
        <v>7</v>
      </c>
      <c r="M619" t="s">
        <v>7</v>
      </c>
      <c r="N619" t="s">
        <v>8</v>
      </c>
      <c r="P619">
        <f t="shared" si="989"/>
        <v>-0.21088435374149805</v>
      </c>
      <c r="Q619">
        <f t="shared" si="990"/>
        <v>-85261770.29932031</v>
      </c>
      <c r="R619">
        <f t="shared" si="991"/>
        <v>-3026123656.774385</v>
      </c>
      <c r="S619">
        <f t="shared" si="992"/>
        <v>-30261.23656774385</v>
      </c>
      <c r="T619">
        <f t="shared" si="993"/>
        <v>-30.26123656774385</v>
      </c>
    </row>
    <row r="620" spans="1:20" x14ac:dyDescent="0.25">
      <c r="A620" s="5">
        <v>43973</v>
      </c>
      <c r="B620">
        <v>1.436E-3</v>
      </c>
      <c r="C620">
        <v>1.8E-3</v>
      </c>
      <c r="D620">
        <v>1.39E-3</v>
      </c>
      <c r="E620">
        <v>1.6000000000000001E-3</v>
      </c>
      <c r="F620">
        <v>1017305667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2.4390243902439619E-2</v>
      </c>
      <c r="Q620">
        <f t="shared" si="990"/>
        <v>24812333.34146402</v>
      </c>
      <c r="R620">
        <f t="shared" si="991"/>
        <v>-2940861886.4750648</v>
      </c>
      <c r="S620">
        <f t="shared" si="992"/>
        <v>-29408.618864750646</v>
      </c>
      <c r="T620">
        <f t="shared" si="993"/>
        <v>-29.408618864750647</v>
      </c>
    </row>
    <row r="621" spans="1:20" x14ac:dyDescent="0.25">
      <c r="A621" s="5">
        <v>43972</v>
      </c>
      <c r="B621">
        <v>1.3669999999999999E-3</v>
      </c>
      <c r="C621">
        <v>1.5380000000000001E-3</v>
      </c>
      <c r="D621">
        <v>1.3240000000000001E-3</v>
      </c>
      <c r="E621">
        <v>1.449E-3</v>
      </c>
      <c r="F621">
        <v>439487156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0.16822429906541958</v>
      </c>
      <c r="Q621">
        <f t="shared" si="990"/>
        <v>73932418.76635471</v>
      </c>
      <c r="R621">
        <f t="shared" si="991"/>
        <v>-2965674219.8165288</v>
      </c>
      <c r="S621">
        <f t="shared" si="992"/>
        <v>-29656.742198165288</v>
      </c>
      <c r="T621">
        <f t="shared" si="993"/>
        <v>-29.656742198165286</v>
      </c>
    </row>
    <row r="622" spans="1:20" x14ac:dyDescent="0.25">
      <c r="A622" s="5">
        <v>43971</v>
      </c>
      <c r="B622">
        <v>1.403E-3</v>
      </c>
      <c r="C622">
        <v>1.4499999999999999E-3</v>
      </c>
      <c r="D622">
        <v>1.338E-3</v>
      </c>
      <c r="E622">
        <v>1.364E-3</v>
      </c>
      <c r="F622">
        <v>180448031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-0.5357142857142857</v>
      </c>
      <c r="Q622">
        <f t="shared" si="990"/>
        <v>-96668588.035714284</v>
      </c>
      <c r="R622">
        <f t="shared" si="991"/>
        <v>-3039606638.5828834</v>
      </c>
      <c r="S622">
        <f t="shared" si="992"/>
        <v>-30396.066385828835</v>
      </c>
      <c r="T622">
        <f t="shared" si="993"/>
        <v>-30.396066385828835</v>
      </c>
    </row>
    <row r="623" spans="1:20" x14ac:dyDescent="0.25">
      <c r="A623" s="5">
        <v>43970</v>
      </c>
      <c r="B623">
        <v>1.379E-3</v>
      </c>
      <c r="C623">
        <v>1.4109999999999999E-3</v>
      </c>
      <c r="D623">
        <v>1.338E-3</v>
      </c>
      <c r="E623">
        <v>1.4090000000000001E-3</v>
      </c>
      <c r="F623">
        <v>107398428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0.94520547945205935</v>
      </c>
      <c r="Q623">
        <f t="shared" si="990"/>
        <v>101513582.63013747</v>
      </c>
      <c r="R623">
        <f t="shared" si="991"/>
        <v>-2942938050.5471692</v>
      </c>
      <c r="S623">
        <f t="shared" si="992"/>
        <v>-29429.38050547169</v>
      </c>
      <c r="T623">
        <f t="shared" si="993"/>
        <v>-29.429380505471691</v>
      </c>
    </row>
    <row r="624" spans="1:20" x14ac:dyDescent="0.25">
      <c r="A624" s="5">
        <v>43969</v>
      </c>
      <c r="B624">
        <v>1.384E-3</v>
      </c>
      <c r="C624">
        <v>1.4499999999999999E-3</v>
      </c>
      <c r="D624">
        <v>1.15E-3</v>
      </c>
      <c r="E624">
        <v>1.379E-3</v>
      </c>
      <c r="F624">
        <v>190113022</v>
      </c>
      <c r="G624">
        <v>0</v>
      </c>
      <c r="L624" t="s">
        <v>7</v>
      </c>
      <c r="M624" t="s">
        <v>7</v>
      </c>
      <c r="N624" t="s">
        <v>7</v>
      </c>
      <c r="P624">
        <f t="shared" si="989"/>
        <v>0.52666666666666728</v>
      </c>
      <c r="Q624">
        <f t="shared" si="990"/>
        <v>100126191.58666678</v>
      </c>
      <c r="R624">
        <f t="shared" si="991"/>
        <v>-3044451633.1773067</v>
      </c>
      <c r="S624">
        <f t="shared" si="992"/>
        <v>-30444.516331773066</v>
      </c>
      <c r="T624">
        <f t="shared" si="993"/>
        <v>-30.444516331773066</v>
      </c>
    </row>
    <row r="625" spans="1:20" x14ac:dyDescent="0.25">
      <c r="A625" s="5">
        <v>43968</v>
      </c>
      <c r="B625">
        <v>1.428E-3</v>
      </c>
      <c r="C625">
        <v>1.487E-3</v>
      </c>
      <c r="D625">
        <v>1.3550000000000001E-3</v>
      </c>
      <c r="E625">
        <v>1.3810000000000001E-3</v>
      </c>
      <c r="F625">
        <v>437644213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-0.60606060606060619</v>
      </c>
      <c r="Q625">
        <f t="shared" si="990"/>
        <v>-265238916.96969703</v>
      </c>
      <c r="R625">
        <f t="shared" si="991"/>
        <v>-3144577824.7639732</v>
      </c>
      <c r="S625">
        <f t="shared" si="992"/>
        <v>-31445.778247639733</v>
      </c>
      <c r="T625">
        <f t="shared" si="993"/>
        <v>-31.445778247639733</v>
      </c>
    </row>
    <row r="626" spans="1:20" x14ac:dyDescent="0.25">
      <c r="A626" s="5">
        <v>43967</v>
      </c>
      <c r="B626">
        <v>1.2229999999999999E-3</v>
      </c>
      <c r="C626">
        <v>1.573E-3</v>
      </c>
      <c r="D626">
        <v>1.175E-3</v>
      </c>
      <c r="E626">
        <v>1.4270000000000001E-3</v>
      </c>
      <c r="F626">
        <v>501633682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0.26633165829145783</v>
      </c>
      <c r="Q626">
        <f t="shared" si="990"/>
        <v>133600930.38190982</v>
      </c>
      <c r="R626">
        <f t="shared" si="991"/>
        <v>-2879338907.7942762</v>
      </c>
      <c r="S626">
        <f t="shared" si="992"/>
        <v>-28793.389077942764</v>
      </c>
      <c r="T626">
        <f t="shared" si="993"/>
        <v>-28.793389077942763</v>
      </c>
    </row>
    <row r="627" spans="1:20" x14ac:dyDescent="0.25">
      <c r="A627" s="5">
        <v>43966</v>
      </c>
      <c r="B627">
        <v>1.2019999999999999E-3</v>
      </c>
      <c r="C627">
        <v>1.2520000000000001E-3</v>
      </c>
      <c r="D627">
        <v>1.181E-3</v>
      </c>
      <c r="E627">
        <v>1.224E-3</v>
      </c>
      <c r="F627">
        <v>156940122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0.21126760563380306</v>
      </c>
      <c r="Q627">
        <f t="shared" si="990"/>
        <v>33156363.802816939</v>
      </c>
      <c r="R627">
        <f t="shared" si="991"/>
        <v>-3012939838.1761861</v>
      </c>
      <c r="S627">
        <f t="shared" si="992"/>
        <v>-30129.398381761861</v>
      </c>
      <c r="T627">
        <f t="shared" si="993"/>
        <v>-30.12939838176186</v>
      </c>
    </row>
    <row r="628" spans="1:20" x14ac:dyDescent="0.25">
      <c r="A628" s="5">
        <v>43965</v>
      </c>
      <c r="B628">
        <v>1.214E-3</v>
      </c>
      <c r="C628">
        <v>1.2509999999999999E-3</v>
      </c>
      <c r="D628">
        <v>1.168E-3</v>
      </c>
      <c r="E628">
        <v>1.2030000000000001E-3</v>
      </c>
      <c r="F628">
        <v>198556415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-0.15662650602409375</v>
      </c>
      <c r="Q628">
        <f t="shared" si="990"/>
        <v>-31099197.530119959</v>
      </c>
      <c r="R628">
        <f t="shared" si="991"/>
        <v>-3046096201.979003</v>
      </c>
      <c r="S628">
        <f t="shared" si="992"/>
        <v>-30460.962019790029</v>
      </c>
      <c r="T628">
        <f t="shared" si="993"/>
        <v>-30.460962019790028</v>
      </c>
    </row>
    <row r="629" spans="1:20" x14ac:dyDescent="0.25">
      <c r="A629" s="5">
        <v>43964</v>
      </c>
      <c r="B629">
        <v>1.201E-3</v>
      </c>
      <c r="C629">
        <v>1.2570000000000001E-3</v>
      </c>
      <c r="D629">
        <v>1.196E-3</v>
      </c>
      <c r="E629">
        <v>1.2130000000000001E-3</v>
      </c>
      <c r="F629">
        <v>150329473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-0.4426229508196699</v>
      </c>
      <c r="Q629">
        <f t="shared" si="990"/>
        <v>-66539274.934425898</v>
      </c>
      <c r="R629">
        <f t="shared" si="991"/>
        <v>-3014997004.4488831</v>
      </c>
      <c r="S629">
        <f t="shared" si="992"/>
        <v>-30149.970044488829</v>
      </c>
      <c r="T629">
        <f t="shared" si="993"/>
        <v>-30.149970044488828</v>
      </c>
    </row>
    <row r="630" spans="1:20" x14ac:dyDescent="0.25">
      <c r="A630" s="5">
        <v>43963</v>
      </c>
      <c r="B630">
        <v>1.1640000000000001E-3</v>
      </c>
      <c r="C630">
        <v>1.2099999999999999E-3</v>
      </c>
      <c r="D630">
        <v>1.16E-3</v>
      </c>
      <c r="E630">
        <v>1.201E-3</v>
      </c>
      <c r="F630">
        <v>113796117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0.64000000000000368</v>
      </c>
      <c r="Q630">
        <f t="shared" si="990"/>
        <v>72829514.880000412</v>
      </c>
      <c r="R630">
        <f t="shared" si="991"/>
        <v>-2948457729.5144572</v>
      </c>
      <c r="S630">
        <f t="shared" si="992"/>
        <v>-29484.577295144572</v>
      </c>
      <c r="T630">
        <f t="shared" si="993"/>
        <v>-29.484577295144572</v>
      </c>
    </row>
    <row r="631" spans="1:20" x14ac:dyDescent="0.25">
      <c r="A631" s="5">
        <v>43962</v>
      </c>
      <c r="B631">
        <v>1.1590000000000001E-3</v>
      </c>
      <c r="C631">
        <v>1.2340000000000001E-3</v>
      </c>
      <c r="D631">
        <v>1.132E-3</v>
      </c>
      <c r="E631">
        <v>1.165E-3</v>
      </c>
      <c r="F631">
        <v>182948283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-0.35294117647058798</v>
      </c>
      <c r="Q631">
        <f t="shared" si="990"/>
        <v>-64569982.235294074</v>
      </c>
      <c r="R631">
        <f t="shared" si="991"/>
        <v>-3021287244.3944578</v>
      </c>
      <c r="S631">
        <f t="shared" si="992"/>
        <v>-30212.87244394458</v>
      </c>
      <c r="T631">
        <f t="shared" si="993"/>
        <v>-30.21287244394458</v>
      </c>
    </row>
    <row r="632" spans="1:20" x14ac:dyDescent="0.25">
      <c r="A632" s="5">
        <v>43961</v>
      </c>
      <c r="B632">
        <v>1.317E-3</v>
      </c>
      <c r="C632">
        <v>1.3209999999999999E-3</v>
      </c>
      <c r="D632">
        <v>1.1410000000000001E-3</v>
      </c>
      <c r="E632">
        <v>1.16E-3</v>
      </c>
      <c r="F632">
        <v>242095343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-0.78888888888888953</v>
      </c>
      <c r="Q632">
        <f t="shared" si="990"/>
        <v>-190986326.14444458</v>
      </c>
      <c r="R632">
        <f t="shared" si="991"/>
        <v>-2956717262.159164</v>
      </c>
      <c r="S632">
        <f t="shared" si="992"/>
        <v>-29567.172621591639</v>
      </c>
      <c r="T632">
        <f t="shared" si="993"/>
        <v>-29.567172621591638</v>
      </c>
    </row>
    <row r="633" spans="1:20" x14ac:dyDescent="0.25">
      <c r="A633" s="5">
        <v>43960</v>
      </c>
      <c r="B633">
        <v>1.33E-3</v>
      </c>
      <c r="C633">
        <v>1.3500000000000001E-3</v>
      </c>
      <c r="D633">
        <v>1.31E-3</v>
      </c>
      <c r="E633">
        <v>1.317E-3</v>
      </c>
      <c r="F633">
        <v>149810851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-0.6499999999999978</v>
      </c>
      <c r="Q633">
        <f t="shared" si="990"/>
        <v>-97377053.149999663</v>
      </c>
      <c r="R633">
        <f t="shared" si="991"/>
        <v>-2765730936.0147195</v>
      </c>
      <c r="S633">
        <f t="shared" si="992"/>
        <v>-27657.309360147196</v>
      </c>
      <c r="T633">
        <f t="shared" si="993"/>
        <v>-27.657309360147195</v>
      </c>
    </row>
    <row r="634" spans="1:20" x14ac:dyDescent="0.25">
      <c r="A634" s="5">
        <v>43959</v>
      </c>
      <c r="B634">
        <v>1.3439999999999999E-3</v>
      </c>
      <c r="C634">
        <v>1.3450000000000001E-3</v>
      </c>
      <c r="D634">
        <v>1.2979999999999999E-3</v>
      </c>
      <c r="E634">
        <v>1.33E-3</v>
      </c>
      <c r="F634">
        <v>153123583</v>
      </c>
      <c r="G634">
        <v>0</v>
      </c>
      <c r="L634" t="s">
        <v>7</v>
      </c>
      <c r="M634" t="s">
        <v>7</v>
      </c>
      <c r="N634" t="s">
        <v>8</v>
      </c>
      <c r="P634">
        <f t="shared" si="989"/>
        <v>0.36170212765957505</v>
      </c>
      <c r="Q634">
        <f t="shared" si="990"/>
        <v>55385125.765957534</v>
      </c>
      <c r="R634">
        <f t="shared" si="991"/>
        <v>-2668353882.8647199</v>
      </c>
      <c r="S634">
        <f t="shared" si="992"/>
        <v>-26683.538828647197</v>
      </c>
      <c r="T634">
        <f t="shared" si="993"/>
        <v>-26.683538828647198</v>
      </c>
    </row>
    <row r="635" spans="1:20" x14ac:dyDescent="0.25">
      <c r="A635" s="5">
        <v>43958</v>
      </c>
      <c r="B635">
        <v>1.323E-3</v>
      </c>
      <c r="C635">
        <v>1.348E-3</v>
      </c>
      <c r="D635">
        <v>1.302E-3</v>
      </c>
      <c r="E635">
        <v>1.3450000000000001E-3</v>
      </c>
      <c r="F635">
        <v>303630259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0.86956521739130599</v>
      </c>
      <c r="Q635">
        <f t="shared" si="990"/>
        <v>264026312.17391354</v>
      </c>
      <c r="R635">
        <f t="shared" si="991"/>
        <v>-2723739008.6306772</v>
      </c>
      <c r="S635">
        <f t="shared" si="992"/>
        <v>-27237.390086306772</v>
      </c>
      <c r="T635">
        <f t="shared" si="993"/>
        <v>-27.237390086306771</v>
      </c>
    </row>
    <row r="636" spans="1:20" x14ac:dyDescent="0.25">
      <c r="A636" s="5">
        <v>43957</v>
      </c>
      <c r="B636">
        <v>1.3519999999999999E-3</v>
      </c>
      <c r="C636">
        <v>1.374E-3</v>
      </c>
      <c r="D636">
        <v>1.322E-3</v>
      </c>
      <c r="E636">
        <v>1.323E-3</v>
      </c>
      <c r="F636">
        <v>229535232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-0.96153846153846478</v>
      </c>
      <c r="Q636">
        <f t="shared" si="990"/>
        <v>-220706953.8461546</v>
      </c>
      <c r="R636">
        <f t="shared" si="991"/>
        <v>-2987765320.8045907</v>
      </c>
      <c r="S636">
        <f t="shared" si="992"/>
        <v>-29877.653208045907</v>
      </c>
      <c r="T636">
        <f t="shared" si="993"/>
        <v>-29.877653208045906</v>
      </c>
    </row>
    <row r="637" spans="1:20" x14ac:dyDescent="0.25">
      <c r="A637" s="5">
        <v>43956</v>
      </c>
      <c r="B637">
        <v>1.31E-3</v>
      </c>
      <c r="C637">
        <v>1.42E-3</v>
      </c>
      <c r="D637">
        <v>1.3010000000000001E-3</v>
      </c>
      <c r="E637">
        <v>1.359E-3</v>
      </c>
      <c r="F637">
        <v>459548841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-2.5210084033614976E-2</v>
      </c>
      <c r="Q637">
        <f t="shared" si="990"/>
        <v>-11585264.899160367</v>
      </c>
      <c r="R637">
        <f t="shared" si="991"/>
        <v>-2767058366.958436</v>
      </c>
      <c r="S637">
        <f t="shared" si="992"/>
        <v>-27670.583669584361</v>
      </c>
      <c r="T637">
        <f t="shared" si="993"/>
        <v>-27.67058366958436</v>
      </c>
    </row>
    <row r="638" spans="1:20" x14ac:dyDescent="0.25">
      <c r="A638" s="5">
        <v>43955</v>
      </c>
      <c r="B638">
        <v>1.346E-3</v>
      </c>
      <c r="C638">
        <v>1.369E-3</v>
      </c>
      <c r="D638">
        <v>1.232E-3</v>
      </c>
      <c r="E638">
        <v>1.3110000000000001E-3</v>
      </c>
      <c r="F638">
        <v>277135568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0.15328467153284811</v>
      </c>
      <c r="Q638">
        <f t="shared" si="990"/>
        <v>42480634.510949291</v>
      </c>
      <c r="R638">
        <f t="shared" si="991"/>
        <v>-2755473102.0592756</v>
      </c>
      <c r="S638">
        <f t="shared" si="992"/>
        <v>-27554.731020592757</v>
      </c>
      <c r="T638">
        <f t="shared" si="993"/>
        <v>-27.554731020592758</v>
      </c>
    </row>
    <row r="639" spans="1:20" x14ac:dyDescent="0.25">
      <c r="A639" s="5">
        <v>43954</v>
      </c>
      <c r="B639">
        <v>1.3389999999999999E-3</v>
      </c>
      <c r="C639">
        <v>1.5579999999999999E-3</v>
      </c>
      <c r="D639">
        <v>1.2930000000000001E-3</v>
      </c>
      <c r="E639">
        <v>1.351E-3</v>
      </c>
      <c r="F639">
        <v>414075220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-0.56226415094339677</v>
      </c>
      <c r="Q639">
        <f t="shared" si="990"/>
        <v>-232819652.00000024</v>
      </c>
      <c r="R639">
        <f t="shared" si="991"/>
        <v>-2797953736.5702248</v>
      </c>
      <c r="S639">
        <f t="shared" si="992"/>
        <v>-27979.537365702246</v>
      </c>
      <c r="T639">
        <f t="shared" si="993"/>
        <v>-27.979537365702246</v>
      </c>
    </row>
    <row r="640" spans="1:20" x14ac:dyDescent="0.25">
      <c r="A640" s="5">
        <v>43953</v>
      </c>
      <c r="B640">
        <v>1.323E-3</v>
      </c>
      <c r="C640">
        <v>1.348E-3</v>
      </c>
      <c r="D640">
        <v>1.31E-3</v>
      </c>
      <c r="E640">
        <v>1.3389999999999999E-3</v>
      </c>
      <c r="F640">
        <v>159490888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0.52631578947367907</v>
      </c>
      <c r="Q640">
        <f t="shared" si="990"/>
        <v>83942572.631578133</v>
      </c>
      <c r="R640">
        <f t="shared" si="991"/>
        <v>-2565134084.5702243</v>
      </c>
      <c r="S640">
        <f t="shared" si="992"/>
        <v>-25651.340845702241</v>
      </c>
      <c r="T640">
        <f t="shared" si="993"/>
        <v>-25.65134084570224</v>
      </c>
    </row>
    <row r="641" spans="1:20" x14ac:dyDescent="0.25">
      <c r="A641" s="5">
        <v>43952</v>
      </c>
      <c r="B641">
        <v>1.276E-3</v>
      </c>
      <c r="C641">
        <v>1.343E-3</v>
      </c>
      <c r="D641">
        <v>1.273E-3</v>
      </c>
      <c r="E641">
        <v>1.322E-3</v>
      </c>
      <c r="F641">
        <v>179201865</v>
      </c>
      <c r="G641">
        <v>0</v>
      </c>
      <c r="L641" t="s">
        <v>8</v>
      </c>
      <c r="M641" t="s">
        <v>8</v>
      </c>
      <c r="N641" t="s">
        <v>7</v>
      </c>
      <c r="P641">
        <f t="shared" si="989"/>
        <v>0.40000000000000063</v>
      </c>
      <c r="Q641">
        <f t="shared" si="990"/>
        <v>71680746.000000119</v>
      </c>
      <c r="R641">
        <f t="shared" si="991"/>
        <v>-2649076657.2018023</v>
      </c>
      <c r="S641">
        <f t="shared" si="992"/>
        <v>-26490.766572018023</v>
      </c>
      <c r="T641">
        <f t="shared" si="993"/>
        <v>-26.490766572018025</v>
      </c>
    </row>
    <row r="642" spans="1:20" x14ac:dyDescent="0.25">
      <c r="A642" s="5">
        <v>43951</v>
      </c>
      <c r="B642">
        <v>1.3259999999999999E-3</v>
      </c>
      <c r="C642">
        <v>1.358E-3</v>
      </c>
      <c r="D642">
        <v>1.2600000000000001E-3</v>
      </c>
      <c r="E642">
        <v>1.276E-3</v>
      </c>
      <c r="F642">
        <v>212013357</v>
      </c>
      <c r="G642">
        <v>0</v>
      </c>
      <c r="L642" t="s">
        <v>7</v>
      </c>
      <c r="M642" t="s">
        <v>8</v>
      </c>
      <c r="N642" t="s">
        <v>7</v>
      </c>
      <c r="P642">
        <f t="shared" si="989"/>
        <v>-0.6734693877551029</v>
      </c>
      <c r="Q642">
        <f t="shared" si="990"/>
        <v>-142784505.73469406</v>
      </c>
      <c r="R642">
        <f t="shared" si="991"/>
        <v>-2720757403.2018023</v>
      </c>
      <c r="S642">
        <f t="shared" si="992"/>
        <v>-27207.574032018023</v>
      </c>
      <c r="T642">
        <f t="shared" si="993"/>
        <v>-27.207574032018023</v>
      </c>
    </row>
    <row r="643" spans="1:20" x14ac:dyDescent="0.25">
      <c r="A643" s="5">
        <v>43950</v>
      </c>
      <c r="B643">
        <v>1.2880000000000001E-3</v>
      </c>
      <c r="C643">
        <v>1.341E-3</v>
      </c>
      <c r="D643">
        <v>1.2880000000000001E-3</v>
      </c>
      <c r="E643">
        <v>1.3259999999999999E-3</v>
      </c>
      <c r="F643">
        <v>170837498</v>
      </c>
      <c r="G643">
        <v>0</v>
      </c>
      <c r="L643" t="s">
        <v>7</v>
      </c>
      <c r="M643" t="s">
        <v>8</v>
      </c>
      <c r="N643" t="s">
        <v>7</v>
      </c>
      <c r="P643">
        <f t="shared" si="989"/>
        <v>0.43396226415094064</v>
      </c>
      <c r="Q643">
        <f t="shared" si="990"/>
        <v>74137027.433961794</v>
      </c>
      <c r="R643">
        <f t="shared" si="991"/>
        <v>-2577972897.4671082</v>
      </c>
      <c r="S643">
        <f t="shared" si="992"/>
        <v>-25779.728974671081</v>
      </c>
      <c r="T643">
        <f t="shared" si="993"/>
        <v>-25.77972897467108</v>
      </c>
    </row>
    <row r="644" spans="1:20" x14ac:dyDescent="0.25">
      <c r="A644" s="5">
        <v>43949</v>
      </c>
      <c r="B644">
        <v>1.325E-3</v>
      </c>
      <c r="C644">
        <v>1.3309999999999999E-3</v>
      </c>
      <c r="D644">
        <v>1.2669999999999999E-3</v>
      </c>
      <c r="E644">
        <v>1.2880000000000001E-3</v>
      </c>
      <c r="F644">
        <v>199882635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-0.34374999999999462</v>
      </c>
      <c r="Q644">
        <f t="shared" si="990"/>
        <v>-68709655.781248927</v>
      </c>
      <c r="R644">
        <f t="shared" si="991"/>
        <v>-2652109924.9010701</v>
      </c>
      <c r="S644">
        <f t="shared" si="992"/>
        <v>-26521.099249010702</v>
      </c>
      <c r="T644">
        <f t="shared" si="993"/>
        <v>-26.521099249010703</v>
      </c>
    </row>
    <row r="645" spans="1:20" x14ac:dyDescent="0.25">
      <c r="A645" s="5">
        <v>43948</v>
      </c>
      <c r="B645">
        <v>1.3780000000000001E-3</v>
      </c>
      <c r="C645">
        <v>1.4059999999999999E-3</v>
      </c>
      <c r="D645">
        <v>1.2999999999999999E-3</v>
      </c>
      <c r="E645">
        <v>1.325E-3</v>
      </c>
      <c r="F645">
        <v>237229169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-0.52830188679245149</v>
      </c>
      <c r="Q645">
        <f t="shared" si="990"/>
        <v>-125328617.58490534</v>
      </c>
      <c r="R645">
        <f t="shared" si="991"/>
        <v>-2583400269.1198211</v>
      </c>
      <c r="S645">
        <f t="shared" si="992"/>
        <v>-25834.00269119821</v>
      </c>
      <c r="T645">
        <f t="shared" si="993"/>
        <v>-25.834002691198208</v>
      </c>
    </row>
    <row r="646" spans="1:20" x14ac:dyDescent="0.25">
      <c r="A646" s="5">
        <v>43947</v>
      </c>
      <c r="B646">
        <v>1.2639999999999999E-3</v>
      </c>
      <c r="C646">
        <v>1.3829999999999999E-3</v>
      </c>
      <c r="D646">
        <v>1.2600000000000001E-3</v>
      </c>
      <c r="E646">
        <v>1.374E-3</v>
      </c>
      <c r="F646">
        <v>270473785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0.85365853658536739</v>
      </c>
      <c r="Q646">
        <f t="shared" ref="Q646:Q709" si="995">F646*P646</f>
        <v>230892255.48780531</v>
      </c>
      <c r="R646">
        <f t="shared" ref="R646:R709" si="996">R647+Q646</f>
        <v>-2458071651.5349159</v>
      </c>
      <c r="S646">
        <f t="shared" ref="S646:S709" si="997">R646/100000</f>
        <v>-24580.716515349159</v>
      </c>
      <c r="T646">
        <f t="shared" ref="T646:T709" si="998">S646/1000</f>
        <v>-24.58071651534916</v>
      </c>
    </row>
    <row r="647" spans="1:20" x14ac:dyDescent="0.25">
      <c r="A647" s="5">
        <v>43946</v>
      </c>
      <c r="B647">
        <v>1.2470000000000001E-3</v>
      </c>
      <c r="C647">
        <v>1.273E-3</v>
      </c>
      <c r="D647">
        <v>1.227E-3</v>
      </c>
      <c r="E647">
        <v>1.2650000000000001E-3</v>
      </c>
      <c r="F647">
        <v>126880202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0.65217391304347949</v>
      </c>
      <c r="Q647">
        <f t="shared" si="995"/>
        <v>82747957.826087117</v>
      </c>
      <c r="R647">
        <f t="shared" si="996"/>
        <v>-2688963907.0227213</v>
      </c>
      <c r="S647">
        <f t="shared" si="997"/>
        <v>-26889.639070227215</v>
      </c>
      <c r="T647">
        <f t="shared" si="998"/>
        <v>-26.889639070227215</v>
      </c>
    </row>
    <row r="648" spans="1:20" x14ac:dyDescent="0.25">
      <c r="A648" s="5">
        <v>43945</v>
      </c>
      <c r="B648">
        <v>1.2160000000000001E-3</v>
      </c>
      <c r="C648">
        <v>1.307E-3</v>
      </c>
      <c r="D648">
        <v>1.206E-3</v>
      </c>
      <c r="E648">
        <v>1.2470000000000001E-3</v>
      </c>
      <c r="F648">
        <v>185739473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-0.1881188118811874</v>
      </c>
      <c r="Q648">
        <f t="shared" si="995"/>
        <v>-34941088.980197884</v>
      </c>
      <c r="R648">
        <f t="shared" si="996"/>
        <v>-2771711864.8488083</v>
      </c>
      <c r="S648">
        <f t="shared" si="997"/>
        <v>-27717.118648488082</v>
      </c>
      <c r="T648">
        <f t="shared" si="998"/>
        <v>-27.717118648488082</v>
      </c>
    </row>
    <row r="649" spans="1:20" x14ac:dyDescent="0.25">
      <c r="A649" s="5">
        <v>43944</v>
      </c>
      <c r="B649">
        <v>1.193E-3</v>
      </c>
      <c r="C649">
        <v>1.2340000000000001E-3</v>
      </c>
      <c r="D649">
        <v>1.1720000000000001E-3</v>
      </c>
      <c r="E649">
        <v>1.2160000000000001E-3</v>
      </c>
      <c r="F649">
        <v>134392111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0.41935483870967721</v>
      </c>
      <c r="Q649">
        <f t="shared" si="995"/>
        <v>56357982.032258034</v>
      </c>
      <c r="R649">
        <f t="shared" si="996"/>
        <v>-2736770775.8686104</v>
      </c>
      <c r="S649">
        <f t="shared" si="997"/>
        <v>-27367.707758686105</v>
      </c>
      <c r="T649">
        <f t="shared" si="998"/>
        <v>-27.367707758686105</v>
      </c>
    </row>
    <row r="650" spans="1:20" x14ac:dyDescent="0.25">
      <c r="A650" s="5">
        <v>43943</v>
      </c>
      <c r="B650">
        <v>1.158E-3</v>
      </c>
      <c r="C650">
        <v>1.2049999999999999E-3</v>
      </c>
      <c r="D650">
        <v>1.1429999999999999E-3</v>
      </c>
      <c r="E650">
        <v>1.193E-3</v>
      </c>
      <c r="F650">
        <v>110019093</v>
      </c>
      <c r="G650">
        <v>0</v>
      </c>
      <c r="L650" t="s">
        <v>7</v>
      </c>
      <c r="M650" t="s">
        <v>7</v>
      </c>
      <c r="N650" t="s">
        <v>7</v>
      </c>
      <c r="P650">
        <f t="shared" si="994"/>
        <v>0.61290322580645618</v>
      </c>
      <c r="Q650">
        <f t="shared" si="995"/>
        <v>67431057.000000507</v>
      </c>
      <c r="R650">
        <f t="shared" si="996"/>
        <v>-2793128757.9008684</v>
      </c>
      <c r="S650">
        <f t="shared" si="997"/>
        <v>-27931.287579008684</v>
      </c>
      <c r="T650">
        <f t="shared" si="998"/>
        <v>-27.931287579008682</v>
      </c>
    </row>
    <row r="651" spans="1:20" x14ac:dyDescent="0.25">
      <c r="A651" s="5">
        <v>43942</v>
      </c>
      <c r="B651">
        <v>1.15E-3</v>
      </c>
      <c r="C651">
        <v>1.178E-3</v>
      </c>
      <c r="D651">
        <v>1.1410000000000001E-3</v>
      </c>
      <c r="E651">
        <v>1.1590000000000001E-3</v>
      </c>
      <c r="F651">
        <v>110243918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-2.7027027027024808E-2</v>
      </c>
      <c r="Q651">
        <f t="shared" si="995"/>
        <v>-2979565.3513511065</v>
      </c>
      <c r="R651">
        <f t="shared" si="996"/>
        <v>-2860559814.9008689</v>
      </c>
      <c r="S651">
        <f t="shared" si="997"/>
        <v>-28605.598149008689</v>
      </c>
      <c r="T651">
        <f t="shared" si="998"/>
        <v>-28.605598149008689</v>
      </c>
    </row>
    <row r="652" spans="1:20" x14ac:dyDescent="0.25">
      <c r="A652" s="5">
        <v>43941</v>
      </c>
      <c r="B652">
        <v>1.2149999999999999E-3</v>
      </c>
      <c r="C652">
        <v>1.238E-3</v>
      </c>
      <c r="D652">
        <v>1.1410000000000001E-3</v>
      </c>
      <c r="E652">
        <v>1.15E-3</v>
      </c>
      <c r="F652">
        <v>151159036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-0.81443298969072353</v>
      </c>
      <c r="Q652">
        <f t="shared" si="995"/>
        <v>-123108905.60824771</v>
      </c>
      <c r="R652">
        <f t="shared" si="996"/>
        <v>-2857580249.5495176</v>
      </c>
      <c r="S652">
        <f t="shared" si="997"/>
        <v>-28575.802495495176</v>
      </c>
      <c r="T652">
        <f t="shared" si="998"/>
        <v>-28.575802495495175</v>
      </c>
    </row>
    <row r="653" spans="1:20" x14ac:dyDescent="0.25">
      <c r="A653" s="5">
        <v>43940</v>
      </c>
      <c r="B653">
        <v>1.2440000000000001E-3</v>
      </c>
      <c r="C653">
        <v>1.2509999999999999E-3</v>
      </c>
      <c r="D653">
        <v>1.209E-3</v>
      </c>
      <c r="E653">
        <v>1.2149999999999999E-3</v>
      </c>
      <c r="F653">
        <v>119256911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-0.71428571428571719</v>
      </c>
      <c r="Q653">
        <f t="shared" si="995"/>
        <v>-85183507.857143208</v>
      </c>
      <c r="R653">
        <f t="shared" si="996"/>
        <v>-2734471343.9412699</v>
      </c>
      <c r="S653">
        <f t="shared" si="997"/>
        <v>-27344.713439412699</v>
      </c>
      <c r="T653">
        <f t="shared" si="998"/>
        <v>-27.3447134394127</v>
      </c>
    </row>
    <row r="654" spans="1:20" x14ac:dyDescent="0.25">
      <c r="A654" s="5">
        <v>43939</v>
      </c>
      <c r="B654">
        <v>1.2110000000000001E-3</v>
      </c>
      <c r="C654">
        <v>1.2509999999999999E-3</v>
      </c>
      <c r="D654">
        <v>1.2049999999999999E-3</v>
      </c>
      <c r="E654">
        <v>1.2440000000000001E-3</v>
      </c>
      <c r="F654">
        <v>121920775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0.69565217391305045</v>
      </c>
      <c r="Q654">
        <f t="shared" si="995"/>
        <v>84814452.173913896</v>
      </c>
      <c r="R654">
        <f t="shared" si="996"/>
        <v>-2649287836.0841265</v>
      </c>
      <c r="S654">
        <f t="shared" si="997"/>
        <v>-26492.878360841263</v>
      </c>
      <c r="T654">
        <f t="shared" si="998"/>
        <v>-26.492878360841264</v>
      </c>
    </row>
    <row r="655" spans="1:20" x14ac:dyDescent="0.25">
      <c r="A655" s="5">
        <v>43938</v>
      </c>
      <c r="B655">
        <v>1.209E-3</v>
      </c>
      <c r="C655">
        <v>1.225E-3</v>
      </c>
      <c r="D655">
        <v>1.1839999999999999E-3</v>
      </c>
      <c r="E655">
        <v>1.212E-3</v>
      </c>
      <c r="F655">
        <v>122376909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0.36585365853658613</v>
      </c>
      <c r="Q655">
        <f t="shared" si="995"/>
        <v>44772039.878048874</v>
      </c>
      <c r="R655">
        <f t="shared" si="996"/>
        <v>-2734102288.2580404</v>
      </c>
      <c r="S655">
        <f t="shared" si="997"/>
        <v>-27341.022882580404</v>
      </c>
      <c r="T655">
        <f t="shared" si="998"/>
        <v>-27.341022882580404</v>
      </c>
    </row>
    <row r="656" spans="1:20" x14ac:dyDescent="0.25">
      <c r="A656" s="5">
        <v>43937</v>
      </c>
      <c r="B656">
        <v>1.163E-3</v>
      </c>
      <c r="C656">
        <v>1.3370000000000001E-3</v>
      </c>
      <c r="D656">
        <v>1.14E-3</v>
      </c>
      <c r="E656">
        <v>1.2110000000000001E-3</v>
      </c>
      <c r="F656">
        <v>123202887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-0.2791878172588827</v>
      </c>
      <c r="Q656">
        <f t="shared" si="995"/>
        <v>-34396745.101522774</v>
      </c>
      <c r="R656">
        <f t="shared" si="996"/>
        <v>-2778874328.1360893</v>
      </c>
      <c r="S656">
        <f t="shared" si="997"/>
        <v>-27788.743281360894</v>
      </c>
      <c r="T656">
        <f t="shared" si="998"/>
        <v>-27.788743281360894</v>
      </c>
    </row>
    <row r="657" spans="1:20" x14ac:dyDescent="0.25">
      <c r="A657" s="5">
        <v>43936</v>
      </c>
      <c r="B657">
        <v>1.238E-3</v>
      </c>
      <c r="C657">
        <v>1.25E-3</v>
      </c>
      <c r="D657">
        <v>1.1540000000000001E-3</v>
      </c>
      <c r="E657">
        <v>1.1620000000000001E-3</v>
      </c>
      <c r="F657">
        <v>118333882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-0.8333333333333337</v>
      </c>
      <c r="Q657">
        <f t="shared" si="995"/>
        <v>-98611568.333333373</v>
      </c>
      <c r="R657">
        <f t="shared" si="996"/>
        <v>-2744477583.0345664</v>
      </c>
      <c r="S657">
        <f t="shared" si="997"/>
        <v>-27444.775830345665</v>
      </c>
      <c r="T657">
        <f t="shared" si="998"/>
        <v>-27.444775830345666</v>
      </c>
    </row>
    <row r="658" spans="1:20" x14ac:dyDescent="0.25">
      <c r="A658" s="5">
        <v>43935</v>
      </c>
      <c r="B658">
        <v>1.2290000000000001E-3</v>
      </c>
      <c r="C658">
        <v>1.266E-3</v>
      </c>
      <c r="D658">
        <v>1.2149999999999999E-3</v>
      </c>
      <c r="E658">
        <v>1.235E-3</v>
      </c>
      <c r="F658">
        <v>138898159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-0.2156862745098026</v>
      </c>
      <c r="Q658">
        <f t="shared" si="995"/>
        <v>-29958426.450980209</v>
      </c>
      <c r="R658">
        <f t="shared" si="996"/>
        <v>-2645866014.7012329</v>
      </c>
      <c r="S658">
        <f t="shared" si="997"/>
        <v>-26458.660147012328</v>
      </c>
      <c r="T658">
        <f t="shared" si="998"/>
        <v>-26.458660147012328</v>
      </c>
    </row>
    <row r="659" spans="1:20" x14ac:dyDescent="0.25">
      <c r="A659" s="5">
        <v>43934</v>
      </c>
      <c r="B659">
        <v>1.279E-3</v>
      </c>
      <c r="C659">
        <v>1.2899999999999999E-3</v>
      </c>
      <c r="D659">
        <v>1.2099999999999999E-3</v>
      </c>
      <c r="E659">
        <v>1.2290000000000001E-3</v>
      </c>
      <c r="F659">
        <v>155532734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-0.52499999999999658</v>
      </c>
      <c r="Q659">
        <f t="shared" si="995"/>
        <v>-81654685.349999472</v>
      </c>
      <c r="R659">
        <f t="shared" si="996"/>
        <v>-2615907588.2502527</v>
      </c>
      <c r="S659">
        <f t="shared" si="997"/>
        <v>-26159.075882502526</v>
      </c>
      <c r="T659">
        <f t="shared" si="998"/>
        <v>-26.159075882502528</v>
      </c>
    </row>
    <row r="660" spans="1:20" x14ac:dyDescent="0.25">
      <c r="A660" s="5">
        <v>43933</v>
      </c>
      <c r="B660">
        <v>1.281E-3</v>
      </c>
      <c r="C660">
        <v>1.2999999999999999E-3</v>
      </c>
      <c r="D660">
        <v>1.253E-3</v>
      </c>
      <c r="E660">
        <v>1.279E-3</v>
      </c>
      <c r="F660">
        <v>118136964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0.10638297872340464</v>
      </c>
      <c r="Q660">
        <f t="shared" si="995"/>
        <v>12567762.127659621</v>
      </c>
      <c r="R660">
        <f t="shared" si="996"/>
        <v>-2534252902.9002533</v>
      </c>
      <c r="S660">
        <f t="shared" si="997"/>
        <v>-25342.529029002533</v>
      </c>
      <c r="T660">
        <f t="shared" si="998"/>
        <v>-25.342529029002534</v>
      </c>
    </row>
    <row r="661" spans="1:20" x14ac:dyDescent="0.25">
      <c r="A661" s="5">
        <v>43932</v>
      </c>
      <c r="B661">
        <v>1.2899999999999999E-3</v>
      </c>
      <c r="C661">
        <v>1.305E-3</v>
      </c>
      <c r="D661">
        <v>1.2650000000000001E-3</v>
      </c>
      <c r="E661">
        <v>1.281E-3</v>
      </c>
      <c r="F661">
        <v>162090419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-0.2</v>
      </c>
      <c r="Q661">
        <f t="shared" si="995"/>
        <v>-32418083.800000001</v>
      </c>
      <c r="R661">
        <f t="shared" si="996"/>
        <v>-2546820665.0279131</v>
      </c>
      <c r="S661">
        <f t="shared" si="997"/>
        <v>-25468.206650279131</v>
      </c>
      <c r="T661">
        <f t="shared" si="998"/>
        <v>-25.468206650279132</v>
      </c>
    </row>
    <row r="662" spans="1:20" x14ac:dyDescent="0.25">
      <c r="A662" s="5">
        <v>43931</v>
      </c>
      <c r="B662">
        <v>1.3879999999999999E-3</v>
      </c>
      <c r="C662">
        <v>1.3929999999999999E-3</v>
      </c>
      <c r="D662">
        <v>1.2620000000000001E-3</v>
      </c>
      <c r="E662">
        <v>1.2899999999999999E-3</v>
      </c>
      <c r="F662">
        <v>171065769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-0.57251908396946793</v>
      </c>
      <c r="Q662">
        <f t="shared" si="995"/>
        <v>-97938417.36641261</v>
      </c>
      <c r="R662">
        <f t="shared" si="996"/>
        <v>-2514402581.2279129</v>
      </c>
      <c r="S662">
        <f t="shared" si="997"/>
        <v>-25144.025812279127</v>
      </c>
      <c r="T662">
        <f t="shared" si="998"/>
        <v>-25.144025812279128</v>
      </c>
    </row>
    <row r="663" spans="1:20" x14ac:dyDescent="0.25">
      <c r="A663" s="5">
        <v>43930</v>
      </c>
      <c r="B663">
        <v>1.3990000000000001E-3</v>
      </c>
      <c r="C663">
        <v>1.4090000000000001E-3</v>
      </c>
      <c r="D663">
        <v>1.3630000000000001E-3</v>
      </c>
      <c r="E663">
        <v>1.389E-3</v>
      </c>
      <c r="F663">
        <v>134771128</v>
      </c>
      <c r="G663">
        <v>0</v>
      </c>
      <c r="L663" t="s">
        <v>8</v>
      </c>
      <c r="M663" t="s">
        <v>7</v>
      </c>
      <c r="N663" t="s">
        <v>8</v>
      </c>
      <c r="P663">
        <f t="shared" si="994"/>
        <v>0.13043478260869401</v>
      </c>
      <c r="Q663">
        <f t="shared" si="995"/>
        <v>17578842.782608476</v>
      </c>
      <c r="R663">
        <f t="shared" si="996"/>
        <v>-2416464163.8615003</v>
      </c>
      <c r="S663">
        <f t="shared" si="997"/>
        <v>-24164.641638615001</v>
      </c>
      <c r="T663">
        <f t="shared" si="998"/>
        <v>-24.164641638615002</v>
      </c>
    </row>
    <row r="664" spans="1:20" x14ac:dyDescent="0.25">
      <c r="A664" s="5">
        <v>43929</v>
      </c>
      <c r="B664">
        <v>1.3829999999999999E-3</v>
      </c>
      <c r="C664">
        <v>1.4350000000000001E-3</v>
      </c>
      <c r="D664">
        <v>1.377E-3</v>
      </c>
      <c r="E664">
        <v>1.3990000000000001E-3</v>
      </c>
      <c r="F664">
        <v>156928084</v>
      </c>
      <c r="G664">
        <v>0</v>
      </c>
      <c r="L664" t="s">
        <v>8</v>
      </c>
      <c r="M664" t="s">
        <v>7</v>
      </c>
      <c r="N664" t="s">
        <v>8</v>
      </c>
      <c r="P664">
        <f t="shared" si="994"/>
        <v>-0.24137931034482552</v>
      </c>
      <c r="Q664">
        <f t="shared" si="995"/>
        <v>-37879192.689654849</v>
      </c>
      <c r="R664">
        <f t="shared" si="996"/>
        <v>-2434043006.6441088</v>
      </c>
      <c r="S664">
        <f t="shared" si="997"/>
        <v>-24340.430066441088</v>
      </c>
      <c r="T664">
        <f t="shared" si="998"/>
        <v>-24.340430066441087</v>
      </c>
    </row>
    <row r="665" spans="1:20" x14ac:dyDescent="0.25">
      <c r="A665" s="5">
        <v>43928</v>
      </c>
      <c r="B665">
        <v>1.4270000000000001E-3</v>
      </c>
      <c r="C665">
        <v>1.441E-3</v>
      </c>
      <c r="D665">
        <v>1.3799999999999999E-3</v>
      </c>
      <c r="E665">
        <v>1.3829999999999999E-3</v>
      </c>
      <c r="F665">
        <v>201007240</v>
      </c>
      <c r="G665">
        <v>0</v>
      </c>
      <c r="L665" t="s">
        <v>8</v>
      </c>
      <c r="M665" t="s">
        <v>7</v>
      </c>
      <c r="N665" t="s">
        <v>8</v>
      </c>
      <c r="P665">
        <f t="shared" si="994"/>
        <v>-0.90163934426229642</v>
      </c>
      <c r="Q665">
        <f t="shared" si="995"/>
        <v>-181236036.06557405</v>
      </c>
      <c r="R665">
        <f t="shared" si="996"/>
        <v>-2396163813.9544539</v>
      </c>
      <c r="S665">
        <f t="shared" si="997"/>
        <v>-23961.638139544539</v>
      </c>
      <c r="T665">
        <f t="shared" si="998"/>
        <v>-23.96163813954454</v>
      </c>
    </row>
    <row r="666" spans="1:20" x14ac:dyDescent="0.25">
      <c r="A666" s="5">
        <v>43927</v>
      </c>
      <c r="B666">
        <v>1.3680000000000001E-3</v>
      </c>
      <c r="C666">
        <v>1.4400000000000001E-3</v>
      </c>
      <c r="D666">
        <v>1.3600000000000001E-3</v>
      </c>
      <c r="E666">
        <v>1.428E-3</v>
      </c>
      <c r="F666">
        <v>158351175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0.69999999999999807</v>
      </c>
      <c r="Q666">
        <f t="shared" si="995"/>
        <v>110845822.49999969</v>
      </c>
      <c r="R666">
        <f t="shared" si="996"/>
        <v>-2214927777.8888798</v>
      </c>
      <c r="S666">
        <f t="shared" si="997"/>
        <v>-22149.277778888798</v>
      </c>
      <c r="T666">
        <f t="shared" si="998"/>
        <v>-22.149277778888798</v>
      </c>
    </row>
    <row r="667" spans="1:20" x14ac:dyDescent="0.25">
      <c r="A667" s="5">
        <v>43926</v>
      </c>
      <c r="B667">
        <v>1.392E-3</v>
      </c>
      <c r="C667">
        <v>1.42E-3</v>
      </c>
      <c r="D667">
        <v>1.364E-3</v>
      </c>
      <c r="E667">
        <v>1.369E-3</v>
      </c>
      <c r="F667">
        <v>137833636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-0.82142857142857117</v>
      </c>
      <c r="Q667">
        <f t="shared" si="995"/>
        <v>-113220486.71428569</v>
      </c>
      <c r="R667">
        <f t="shared" si="996"/>
        <v>-2325773600.3888793</v>
      </c>
      <c r="S667">
        <f t="shared" si="997"/>
        <v>-23257.736003888793</v>
      </c>
      <c r="T667">
        <f t="shared" si="998"/>
        <v>-23.257736003888791</v>
      </c>
    </row>
    <row r="668" spans="1:20" x14ac:dyDescent="0.25">
      <c r="A668" s="5">
        <v>43925</v>
      </c>
      <c r="B668">
        <v>1.353E-3</v>
      </c>
      <c r="C668">
        <v>1.423E-3</v>
      </c>
      <c r="D668">
        <v>1.3500000000000001E-3</v>
      </c>
      <c r="E668">
        <v>1.392E-3</v>
      </c>
      <c r="F668">
        <v>148450475</v>
      </c>
      <c r="G668">
        <v>0</v>
      </c>
      <c r="L668" t="s">
        <v>8</v>
      </c>
      <c r="M668" t="s">
        <v>7</v>
      </c>
      <c r="N668" t="s">
        <v>8</v>
      </c>
      <c r="P668">
        <f t="shared" si="994"/>
        <v>0.15068493150684867</v>
      </c>
      <c r="Q668">
        <f t="shared" si="995"/>
        <v>22369249.657534152</v>
      </c>
      <c r="R668">
        <f t="shared" si="996"/>
        <v>-2212553113.6745934</v>
      </c>
      <c r="S668">
        <f t="shared" si="997"/>
        <v>-22125.531136745936</v>
      </c>
      <c r="T668">
        <f t="shared" si="998"/>
        <v>-22.125531136745938</v>
      </c>
    </row>
    <row r="669" spans="1:20" x14ac:dyDescent="0.25">
      <c r="A669" s="5">
        <v>43924</v>
      </c>
      <c r="B669">
        <v>1.361E-3</v>
      </c>
      <c r="C669">
        <v>1.403E-3</v>
      </c>
      <c r="D669">
        <v>1.3339999999999999E-3</v>
      </c>
      <c r="E669">
        <v>1.353E-3</v>
      </c>
      <c r="F669">
        <v>156072548</v>
      </c>
      <c r="G669">
        <v>0</v>
      </c>
      <c r="L669" t="s">
        <v>8</v>
      </c>
      <c r="M669" t="s">
        <v>7</v>
      </c>
      <c r="N669" t="s">
        <v>8</v>
      </c>
      <c r="P669">
        <f t="shared" si="994"/>
        <v>-0.44927536231883702</v>
      </c>
      <c r="Q669">
        <f t="shared" si="995"/>
        <v>-70119550.550724089</v>
      </c>
      <c r="R669">
        <f t="shared" si="996"/>
        <v>-2234922363.3321276</v>
      </c>
      <c r="S669">
        <f t="shared" si="997"/>
        <v>-22349.223633321275</v>
      </c>
      <c r="T669">
        <f t="shared" si="998"/>
        <v>-22.349223633321277</v>
      </c>
    </row>
    <row r="670" spans="1:20" x14ac:dyDescent="0.25">
      <c r="A670" s="5">
        <v>43923</v>
      </c>
      <c r="B670">
        <v>1.364E-3</v>
      </c>
      <c r="C670">
        <v>1.405E-3</v>
      </c>
      <c r="D670">
        <v>1.322E-3</v>
      </c>
      <c r="E670">
        <v>1.358E-3</v>
      </c>
      <c r="F670">
        <v>170977075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-0.13253012048192708</v>
      </c>
      <c r="Q670">
        <f t="shared" si="995"/>
        <v>-22659612.349397484</v>
      </c>
      <c r="R670">
        <f t="shared" si="996"/>
        <v>-2164802812.7814035</v>
      </c>
      <c r="S670">
        <f t="shared" si="997"/>
        <v>-21648.028127814036</v>
      </c>
      <c r="T670">
        <f t="shared" si="998"/>
        <v>-21.648028127814037</v>
      </c>
    </row>
    <row r="671" spans="1:20" x14ac:dyDescent="0.25">
      <c r="A671" s="5">
        <v>43922</v>
      </c>
      <c r="B671">
        <v>1.392E-3</v>
      </c>
      <c r="C671">
        <v>1.3979999999999999E-3</v>
      </c>
      <c r="D671">
        <v>1.291E-3</v>
      </c>
      <c r="E671">
        <v>1.364E-3</v>
      </c>
      <c r="F671">
        <v>173634990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0.36448598130841131</v>
      </c>
      <c r="Q671">
        <f t="shared" si="995"/>
        <v>63287519.719626188</v>
      </c>
      <c r="R671">
        <f t="shared" si="996"/>
        <v>-2142143200.4320061</v>
      </c>
      <c r="S671">
        <f t="shared" si="997"/>
        <v>-21421.432004320061</v>
      </c>
      <c r="T671">
        <f t="shared" si="998"/>
        <v>-21.42143200432006</v>
      </c>
    </row>
    <row r="672" spans="1:20" x14ac:dyDescent="0.25">
      <c r="A672" s="5">
        <v>43921</v>
      </c>
      <c r="B672">
        <v>1.415E-3</v>
      </c>
      <c r="C672">
        <v>1.462E-3</v>
      </c>
      <c r="D672">
        <v>1.3810000000000001E-3</v>
      </c>
      <c r="E672">
        <v>1.392E-3</v>
      </c>
      <c r="F672">
        <v>146959388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-0.72839506172839619</v>
      </c>
      <c r="Q672">
        <f t="shared" si="995"/>
        <v>-107044492.49382733</v>
      </c>
      <c r="R672">
        <f t="shared" si="996"/>
        <v>-2205430720.1516323</v>
      </c>
      <c r="S672">
        <f t="shared" si="997"/>
        <v>-22054.307201516323</v>
      </c>
      <c r="T672">
        <f t="shared" si="998"/>
        <v>-22.054307201516323</v>
      </c>
    </row>
    <row r="673" spans="1:20" x14ac:dyDescent="0.25">
      <c r="A673" s="5">
        <v>43920</v>
      </c>
      <c r="B673">
        <v>1.372E-3</v>
      </c>
      <c r="C673">
        <v>1.4859999999999999E-3</v>
      </c>
      <c r="D673">
        <v>1.3320000000000001E-3</v>
      </c>
      <c r="E673">
        <v>1.4159999999999999E-3</v>
      </c>
      <c r="F673">
        <v>253706423</v>
      </c>
      <c r="G673">
        <v>0</v>
      </c>
      <c r="L673" t="s">
        <v>7</v>
      </c>
      <c r="M673" t="s">
        <v>7</v>
      </c>
      <c r="N673" t="s">
        <v>8</v>
      </c>
      <c r="P673">
        <f t="shared" si="994"/>
        <v>9.0909090909090398E-2</v>
      </c>
      <c r="Q673">
        <f t="shared" si="995"/>
        <v>23064220.272727143</v>
      </c>
      <c r="R673">
        <f t="shared" si="996"/>
        <v>-2098386227.657805</v>
      </c>
      <c r="S673">
        <f t="shared" si="997"/>
        <v>-20983.862276578049</v>
      </c>
      <c r="T673">
        <f t="shared" si="998"/>
        <v>-20.983862276578048</v>
      </c>
    </row>
    <row r="674" spans="1:20" x14ac:dyDescent="0.25">
      <c r="A674" s="5">
        <v>43919</v>
      </c>
      <c r="B674">
        <v>1.4649999999999999E-3</v>
      </c>
      <c r="C674">
        <v>1.5009999999999999E-3</v>
      </c>
      <c r="D674">
        <v>1.3569999999999999E-3</v>
      </c>
      <c r="E674">
        <v>1.372E-3</v>
      </c>
      <c r="F674">
        <v>208691122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-0.79166666666666619</v>
      </c>
      <c r="Q674">
        <f t="shared" si="995"/>
        <v>-165213804.91666657</v>
      </c>
      <c r="R674">
        <f t="shared" si="996"/>
        <v>-2121450447.9305322</v>
      </c>
      <c r="S674">
        <f t="shared" si="997"/>
        <v>-21214.504479305324</v>
      </c>
      <c r="T674">
        <f t="shared" si="998"/>
        <v>-21.214504479305322</v>
      </c>
    </row>
    <row r="675" spans="1:20" x14ac:dyDescent="0.25">
      <c r="A675" s="5">
        <v>43918</v>
      </c>
      <c r="B675">
        <v>1.441E-3</v>
      </c>
      <c r="C675">
        <v>1.4859999999999999E-3</v>
      </c>
      <c r="D675">
        <v>1.34E-3</v>
      </c>
      <c r="E675">
        <v>1.4649999999999999E-3</v>
      </c>
      <c r="F675">
        <v>339591838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0.71232876712328785</v>
      </c>
      <c r="Q675">
        <f t="shared" si="995"/>
        <v>241901035.2876713</v>
      </c>
      <c r="R675">
        <f t="shared" si="996"/>
        <v>-1956236643.0138657</v>
      </c>
      <c r="S675">
        <f t="shared" si="997"/>
        <v>-19562.366430138656</v>
      </c>
      <c r="T675">
        <f t="shared" si="998"/>
        <v>-19.562366430138656</v>
      </c>
    </row>
    <row r="676" spans="1:20" x14ac:dyDescent="0.25">
      <c r="A676" s="5">
        <v>43917</v>
      </c>
      <c r="B676">
        <v>1.245E-3</v>
      </c>
      <c r="C676">
        <v>1.645E-3</v>
      </c>
      <c r="D676">
        <v>1.23E-3</v>
      </c>
      <c r="E676">
        <v>1.4419999999999999E-3</v>
      </c>
      <c r="F676">
        <v>808130057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2.168674698795155E-2</v>
      </c>
      <c r="Q676">
        <f t="shared" si="995"/>
        <v>17525712.079517864</v>
      </c>
      <c r="R676">
        <f t="shared" si="996"/>
        <v>-2198137678.301537</v>
      </c>
      <c r="S676">
        <f t="shared" si="997"/>
        <v>-21981.37678301537</v>
      </c>
      <c r="T676">
        <f t="shared" si="998"/>
        <v>-21.981376783015371</v>
      </c>
    </row>
    <row r="677" spans="1:20" x14ac:dyDescent="0.25">
      <c r="A677" s="5">
        <v>43916</v>
      </c>
      <c r="B677">
        <v>1.238E-3</v>
      </c>
      <c r="C677">
        <v>1.292E-3</v>
      </c>
      <c r="D677">
        <v>1.2019999999999999E-3</v>
      </c>
      <c r="E677">
        <v>1.245E-3</v>
      </c>
      <c r="F677">
        <v>145211739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-4.4444444444443107E-2</v>
      </c>
      <c r="Q677">
        <f t="shared" si="995"/>
        <v>-6453855.0666664727</v>
      </c>
      <c r="R677">
        <f t="shared" si="996"/>
        <v>-2215663390.3810549</v>
      </c>
      <c r="S677">
        <f t="shared" si="997"/>
        <v>-22156.633903810547</v>
      </c>
      <c r="T677">
        <f t="shared" si="998"/>
        <v>-22.156633903810548</v>
      </c>
    </row>
    <row r="678" spans="1:20" x14ac:dyDescent="0.25">
      <c r="A678" s="5">
        <v>43915</v>
      </c>
      <c r="B678">
        <v>1.281E-3</v>
      </c>
      <c r="C678">
        <v>1.289E-3</v>
      </c>
      <c r="D678">
        <v>1.2130000000000001E-3</v>
      </c>
      <c r="E678">
        <v>1.2390000000000001E-3</v>
      </c>
      <c r="F678">
        <v>148561688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-0.31578947368421006</v>
      </c>
      <c r="Q678">
        <f t="shared" si="995"/>
        <v>-46914217.26315783</v>
      </c>
      <c r="R678">
        <f t="shared" si="996"/>
        <v>-2209209535.3143883</v>
      </c>
      <c r="S678">
        <f t="shared" si="997"/>
        <v>-22092.095353143883</v>
      </c>
      <c r="T678">
        <f t="shared" si="998"/>
        <v>-22.092095353143883</v>
      </c>
    </row>
    <row r="679" spans="1:20" x14ac:dyDescent="0.25">
      <c r="A679" s="5">
        <v>43914</v>
      </c>
      <c r="B679">
        <v>1.3029999999999999E-3</v>
      </c>
      <c r="C679">
        <v>1.333E-3</v>
      </c>
      <c r="D679">
        <v>1.219E-3</v>
      </c>
      <c r="E679">
        <v>1.2750000000000001E-3</v>
      </c>
      <c r="F679">
        <v>208791726</v>
      </c>
      <c r="G679">
        <v>0</v>
      </c>
      <c r="L679" t="s">
        <v>7</v>
      </c>
      <c r="M679" t="s">
        <v>7</v>
      </c>
      <c r="N679" t="s">
        <v>8</v>
      </c>
      <c r="P679">
        <f t="shared" si="994"/>
        <v>-1.7543859649121338E-2</v>
      </c>
      <c r="Q679">
        <f t="shared" si="995"/>
        <v>-3663012.7368417988</v>
      </c>
      <c r="R679">
        <f t="shared" si="996"/>
        <v>-2162295318.0512304</v>
      </c>
      <c r="S679">
        <f t="shared" si="997"/>
        <v>-21622.953180512304</v>
      </c>
      <c r="T679">
        <f t="shared" si="998"/>
        <v>-21.622953180512305</v>
      </c>
    </row>
    <row r="680" spans="1:20" x14ac:dyDescent="0.25">
      <c r="A680" s="5">
        <v>43913</v>
      </c>
      <c r="B680">
        <v>1.212E-3</v>
      </c>
      <c r="C680">
        <v>1.47E-3</v>
      </c>
      <c r="D680">
        <v>1.1529999999999999E-3</v>
      </c>
      <c r="E680">
        <v>1.3010000000000001E-3</v>
      </c>
      <c r="F680">
        <v>430955005</v>
      </c>
      <c r="G680">
        <v>0</v>
      </c>
      <c r="L680" t="s">
        <v>8</v>
      </c>
      <c r="M680" t="s">
        <v>8</v>
      </c>
      <c r="N680" t="s">
        <v>8</v>
      </c>
      <c r="P680">
        <f t="shared" si="994"/>
        <v>-6.6246056782333598E-2</v>
      </c>
      <c r="Q680">
        <f t="shared" si="995"/>
        <v>-28549069.731860861</v>
      </c>
      <c r="R680">
        <f t="shared" si="996"/>
        <v>-2158632305.3143888</v>
      </c>
      <c r="S680">
        <f t="shared" si="997"/>
        <v>-21586.323053143886</v>
      </c>
      <c r="T680">
        <f t="shared" si="998"/>
        <v>-21.586323053143886</v>
      </c>
    </row>
    <row r="681" spans="1:20" x14ac:dyDescent="0.25">
      <c r="A681" s="5">
        <v>43912</v>
      </c>
      <c r="B681">
        <v>1.2210000000000001E-3</v>
      </c>
      <c r="C681">
        <v>1.2880000000000001E-3</v>
      </c>
      <c r="D681">
        <v>1.168E-3</v>
      </c>
      <c r="E681">
        <v>1.2130000000000001E-3</v>
      </c>
      <c r="F681">
        <v>187638612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-0.24999999999999864</v>
      </c>
      <c r="Q681">
        <f t="shared" si="995"/>
        <v>-46909652.999999747</v>
      </c>
      <c r="R681">
        <f t="shared" si="996"/>
        <v>-2130083235.5825279</v>
      </c>
      <c r="S681">
        <f t="shared" si="997"/>
        <v>-21300.832355825278</v>
      </c>
      <c r="T681">
        <f t="shared" si="998"/>
        <v>-21.300832355825278</v>
      </c>
    </row>
    <row r="682" spans="1:20" x14ac:dyDescent="0.25">
      <c r="A682" s="5">
        <v>43911</v>
      </c>
      <c r="B682">
        <v>1.2130000000000001E-3</v>
      </c>
      <c r="C682">
        <v>1.2509999999999999E-3</v>
      </c>
      <c r="D682">
        <v>1.155E-3</v>
      </c>
      <c r="E682">
        <v>1.222E-3</v>
      </c>
      <c r="F682">
        <v>175886383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0.39583333333333415</v>
      </c>
      <c r="Q682">
        <f t="shared" si="995"/>
        <v>69621693.270833477</v>
      </c>
      <c r="R682">
        <f t="shared" si="996"/>
        <v>-2083173582.5825281</v>
      </c>
      <c r="S682">
        <f t="shared" si="997"/>
        <v>-20831.735825825283</v>
      </c>
      <c r="T682">
        <f t="shared" si="998"/>
        <v>-20.831735825825284</v>
      </c>
    </row>
    <row r="683" spans="1:20" x14ac:dyDescent="0.25">
      <c r="A683" s="5">
        <v>43910</v>
      </c>
      <c r="B683">
        <v>1.248E-3</v>
      </c>
      <c r="C683">
        <v>1.3630000000000001E-3</v>
      </c>
      <c r="D683">
        <v>1.127E-3</v>
      </c>
      <c r="E683">
        <v>1.2130000000000001E-3</v>
      </c>
      <c r="F683">
        <v>248801652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-0.27118644067796521</v>
      </c>
      <c r="Q683">
        <f t="shared" si="995"/>
        <v>-67471634.440677747</v>
      </c>
      <c r="R683">
        <f t="shared" si="996"/>
        <v>-2152795275.8533616</v>
      </c>
      <c r="S683">
        <f t="shared" si="997"/>
        <v>-21527.952758533615</v>
      </c>
      <c r="T683">
        <f t="shared" si="998"/>
        <v>-21.527952758533615</v>
      </c>
    </row>
    <row r="684" spans="1:20" x14ac:dyDescent="0.25">
      <c r="A684" s="5">
        <v>43909</v>
      </c>
      <c r="B684">
        <v>1.126E-3</v>
      </c>
      <c r="C684">
        <v>1.2800000000000001E-3</v>
      </c>
      <c r="D684">
        <v>1.1069999999999999E-3</v>
      </c>
      <c r="E684">
        <v>1.248E-3</v>
      </c>
      <c r="F684">
        <v>252072374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0.63005780346820706</v>
      </c>
      <c r="Q684">
        <f t="shared" si="995"/>
        <v>158820166.27745637</v>
      </c>
      <c r="R684">
        <f t="shared" si="996"/>
        <v>-2085323641.412684</v>
      </c>
      <c r="S684">
        <f t="shared" si="997"/>
        <v>-20853.236414126841</v>
      </c>
      <c r="T684">
        <f t="shared" si="998"/>
        <v>-20.85323641412684</v>
      </c>
    </row>
    <row r="685" spans="1:20" x14ac:dyDescent="0.25">
      <c r="A685" s="5">
        <v>43908</v>
      </c>
      <c r="B685">
        <v>1.122E-3</v>
      </c>
      <c r="C685">
        <v>1.261E-3</v>
      </c>
      <c r="D685">
        <v>1.062E-3</v>
      </c>
      <c r="E685">
        <v>1.126E-3</v>
      </c>
      <c r="F685">
        <v>177617458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-0.35678391959798944</v>
      </c>
      <c r="Q685">
        <f t="shared" si="995"/>
        <v>-63371052.854271263</v>
      </c>
      <c r="R685">
        <f t="shared" si="996"/>
        <v>-2244143807.6901402</v>
      </c>
      <c r="S685">
        <f t="shared" si="997"/>
        <v>-22441.438076901402</v>
      </c>
      <c r="T685">
        <f t="shared" si="998"/>
        <v>-22.441438076901402</v>
      </c>
    </row>
    <row r="686" spans="1:20" x14ac:dyDescent="0.25">
      <c r="A686" s="5">
        <v>43907</v>
      </c>
      <c r="B686">
        <v>1.073E-3</v>
      </c>
      <c r="C686">
        <v>1.1999999999999999E-3</v>
      </c>
      <c r="D686">
        <v>1.0560000000000001E-3</v>
      </c>
      <c r="E686">
        <v>1.1230000000000001E-3</v>
      </c>
      <c r="F686">
        <v>193630652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-6.9444444444443212E-2</v>
      </c>
      <c r="Q686">
        <f t="shared" si="995"/>
        <v>-13446573.055555318</v>
      </c>
      <c r="R686">
        <f t="shared" si="996"/>
        <v>-2180772754.8358688</v>
      </c>
      <c r="S686">
        <f t="shared" si="997"/>
        <v>-21807.727548358689</v>
      </c>
      <c r="T686">
        <f t="shared" si="998"/>
        <v>-21.807727548358688</v>
      </c>
    </row>
    <row r="687" spans="1:20" x14ac:dyDescent="0.25">
      <c r="A687" s="5">
        <v>43906</v>
      </c>
      <c r="B687">
        <v>1.2459999999999999E-3</v>
      </c>
      <c r="C687">
        <v>1.258E-3</v>
      </c>
      <c r="D687">
        <v>9.5799999999999998E-4</v>
      </c>
      <c r="E687">
        <v>1.073E-3</v>
      </c>
      <c r="F687">
        <v>207239713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-0.23333333333333356</v>
      </c>
      <c r="Q687">
        <f t="shared" si="995"/>
        <v>-48355933.033333384</v>
      </c>
      <c r="R687">
        <f t="shared" si="996"/>
        <v>-2167326181.7803135</v>
      </c>
      <c r="S687">
        <f t="shared" si="997"/>
        <v>-21673.261817803133</v>
      </c>
      <c r="T687">
        <f t="shared" si="998"/>
        <v>-21.673261817803134</v>
      </c>
    </row>
    <row r="688" spans="1:20" x14ac:dyDescent="0.25">
      <c r="A688" s="5">
        <v>43905</v>
      </c>
      <c r="B688">
        <v>1.1150000000000001E-3</v>
      </c>
      <c r="C688">
        <v>1.369E-3</v>
      </c>
      <c r="D688">
        <v>1.106E-3</v>
      </c>
      <c r="E688">
        <v>1.2470000000000001E-3</v>
      </c>
      <c r="F688">
        <v>245835657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7.2243346007605083E-2</v>
      </c>
      <c r="Q688">
        <f t="shared" si="995"/>
        <v>17759990.429657921</v>
      </c>
      <c r="R688">
        <f t="shared" si="996"/>
        <v>-2118970248.7469802</v>
      </c>
      <c r="S688">
        <f t="shared" si="997"/>
        <v>-21189.702487469804</v>
      </c>
      <c r="T688">
        <f t="shared" si="998"/>
        <v>-21.189702487469802</v>
      </c>
    </row>
    <row r="689" spans="1:20" x14ac:dyDescent="0.25">
      <c r="A689" s="5">
        <v>43904</v>
      </c>
      <c r="B689">
        <v>1.0640000000000001E-3</v>
      </c>
      <c r="C689">
        <v>1.281E-3</v>
      </c>
      <c r="D689">
        <v>1.034E-3</v>
      </c>
      <c r="E689">
        <v>1.116E-3</v>
      </c>
      <c r="F689">
        <v>264250459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-0.3360323886639674</v>
      </c>
      <c r="Q689">
        <f t="shared" si="995"/>
        <v>-88796712.943319783</v>
      </c>
      <c r="R689">
        <f t="shared" si="996"/>
        <v>-2136730239.1766381</v>
      </c>
      <c r="S689">
        <f t="shared" si="997"/>
        <v>-21367.302391766381</v>
      </c>
      <c r="T689">
        <f t="shared" si="998"/>
        <v>-21.36730239176638</v>
      </c>
    </row>
    <row r="690" spans="1:20" x14ac:dyDescent="0.25">
      <c r="A690" s="5">
        <v>43903</v>
      </c>
      <c r="B690">
        <v>9.7199999999999999E-4</v>
      </c>
      <c r="C690">
        <v>1.1310000000000001E-3</v>
      </c>
      <c r="D690">
        <v>6.3500000000000004E-4</v>
      </c>
      <c r="E690">
        <v>1.065E-3</v>
      </c>
      <c r="F690">
        <v>405129263</v>
      </c>
      <c r="G690">
        <v>0</v>
      </c>
      <c r="L690" t="s">
        <v>8</v>
      </c>
      <c r="M690" t="s">
        <v>7</v>
      </c>
      <c r="N690" t="s">
        <v>7</v>
      </c>
      <c r="P690">
        <f t="shared" si="994"/>
        <v>0.73387096774193517</v>
      </c>
      <c r="Q690">
        <f t="shared" si="995"/>
        <v>297312604.29838699</v>
      </c>
      <c r="R690">
        <f t="shared" si="996"/>
        <v>-2047933526.2333183</v>
      </c>
      <c r="S690">
        <f t="shared" si="997"/>
        <v>-20479.335262333185</v>
      </c>
      <c r="T690">
        <f t="shared" si="998"/>
        <v>-20.479335262333183</v>
      </c>
    </row>
    <row r="691" spans="1:20" x14ac:dyDescent="0.25">
      <c r="A691" s="5">
        <v>43902</v>
      </c>
      <c r="B691">
        <v>1.7669999999999999E-3</v>
      </c>
      <c r="C691">
        <v>1.7769999999999999E-3</v>
      </c>
      <c r="D691">
        <v>8.9999999999999998E-4</v>
      </c>
      <c r="E691">
        <v>9.7400000000000004E-4</v>
      </c>
      <c r="F691">
        <v>503611417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-0.83124287343215497</v>
      </c>
      <c r="Q691">
        <f t="shared" si="995"/>
        <v>-418623401.3603192</v>
      </c>
      <c r="R691">
        <f t="shared" si="996"/>
        <v>-2345246130.5317054</v>
      </c>
      <c r="S691">
        <f t="shared" si="997"/>
        <v>-23452.461305317054</v>
      </c>
      <c r="T691">
        <f t="shared" si="998"/>
        <v>-23.452461305317055</v>
      </c>
    </row>
    <row r="692" spans="1:20" x14ac:dyDescent="0.25">
      <c r="A692" s="5">
        <v>43901</v>
      </c>
      <c r="B692">
        <v>1.918E-3</v>
      </c>
      <c r="C692">
        <v>1.933E-3</v>
      </c>
      <c r="D692">
        <v>1.6639999999999999E-3</v>
      </c>
      <c r="E692">
        <v>1.768E-3</v>
      </c>
      <c r="F692">
        <v>217845459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-0.22676579925650492</v>
      </c>
      <c r="Q692">
        <f t="shared" si="995"/>
        <v>-49399899.624535173</v>
      </c>
      <c r="R692">
        <f t="shared" si="996"/>
        <v>-1926622729.171386</v>
      </c>
      <c r="S692">
        <f t="shared" si="997"/>
        <v>-19266.227291713862</v>
      </c>
      <c r="T692">
        <f t="shared" si="998"/>
        <v>-19.266227291713861</v>
      </c>
    </row>
    <row r="693" spans="1:20" x14ac:dyDescent="0.25">
      <c r="A693" s="5">
        <v>43900</v>
      </c>
      <c r="B693">
        <v>1.8630000000000001E-3</v>
      </c>
      <c r="C693">
        <v>2E-3</v>
      </c>
      <c r="D693">
        <v>1.833E-3</v>
      </c>
      <c r="E693">
        <v>1.9189999999999999E-3</v>
      </c>
      <c r="F693">
        <v>191274371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2.9940119760477814E-2</v>
      </c>
      <c r="Q693">
        <f t="shared" si="995"/>
        <v>5726777.5748500647</v>
      </c>
      <c r="R693">
        <f t="shared" si="996"/>
        <v>-1877222829.5468509</v>
      </c>
      <c r="S693">
        <f t="shared" si="997"/>
        <v>-18772.228295468511</v>
      </c>
      <c r="T693">
        <f t="shared" si="998"/>
        <v>-18.772228295468512</v>
      </c>
    </row>
    <row r="694" spans="1:20" x14ac:dyDescent="0.25">
      <c r="A694" s="5">
        <v>43899</v>
      </c>
      <c r="B694">
        <v>1.828E-3</v>
      </c>
      <c r="C694">
        <v>1.931E-3</v>
      </c>
      <c r="D694">
        <v>1.712E-3</v>
      </c>
      <c r="E694">
        <v>1.8619999999999999E-3</v>
      </c>
      <c r="F694">
        <v>303458296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0.36986301369862973</v>
      </c>
      <c r="Q694">
        <f t="shared" si="995"/>
        <v>112237999.89041084</v>
      </c>
      <c r="R694">
        <f t="shared" si="996"/>
        <v>-1882949607.121701</v>
      </c>
      <c r="S694">
        <f t="shared" si="997"/>
        <v>-18829.49607121701</v>
      </c>
      <c r="T694">
        <f t="shared" si="998"/>
        <v>-18.829496071217012</v>
      </c>
    </row>
    <row r="695" spans="1:20" x14ac:dyDescent="0.25">
      <c r="A695" s="5">
        <v>43898</v>
      </c>
      <c r="B695">
        <v>2.369E-3</v>
      </c>
      <c r="C695">
        <v>2.372E-3</v>
      </c>
      <c r="D695">
        <v>1.784E-3</v>
      </c>
      <c r="E695">
        <v>1.828E-3</v>
      </c>
      <c r="F695">
        <v>447715906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-0.85034013605442182</v>
      </c>
      <c r="Q695">
        <f t="shared" si="995"/>
        <v>-380710804.42176872</v>
      </c>
      <c r="R695">
        <f t="shared" si="996"/>
        <v>-1995187607.0121119</v>
      </c>
      <c r="S695">
        <f t="shared" si="997"/>
        <v>-19951.876070121118</v>
      </c>
      <c r="T695">
        <f t="shared" si="998"/>
        <v>-19.951876070121116</v>
      </c>
    </row>
    <row r="696" spans="1:20" x14ac:dyDescent="0.25">
      <c r="A696" s="5">
        <v>43897</v>
      </c>
      <c r="B696">
        <v>2.2880000000000001E-3</v>
      </c>
      <c r="C696">
        <v>2.5959999999999998E-3</v>
      </c>
      <c r="D696">
        <v>2.2420000000000001E-3</v>
      </c>
      <c r="E696">
        <v>2.372E-3</v>
      </c>
      <c r="F696">
        <v>846694605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-0.26553672316384175</v>
      </c>
      <c r="Q696">
        <f t="shared" si="995"/>
        <v>-224828510.93220335</v>
      </c>
      <c r="R696">
        <f t="shared" si="996"/>
        <v>-1614476802.5903432</v>
      </c>
      <c r="S696">
        <f t="shared" si="997"/>
        <v>-16144.768025903433</v>
      </c>
      <c r="T696">
        <f t="shared" si="998"/>
        <v>-16.144768025903435</v>
      </c>
    </row>
    <row r="697" spans="1:20" x14ac:dyDescent="0.25">
      <c r="A697" s="5">
        <v>43896</v>
      </c>
      <c r="B697">
        <v>2.2190000000000001E-3</v>
      </c>
      <c r="C697">
        <v>2.3839999999999998E-3</v>
      </c>
      <c r="D697">
        <v>2.1589999999999999E-3</v>
      </c>
      <c r="E697">
        <v>2.287E-3</v>
      </c>
      <c r="F697">
        <v>376294017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0.13777777777777875</v>
      </c>
      <c r="Q697">
        <f t="shared" si="995"/>
        <v>51844953.453333698</v>
      </c>
      <c r="R697">
        <f t="shared" si="996"/>
        <v>-1389648291.6581399</v>
      </c>
      <c r="S697">
        <f t="shared" si="997"/>
        <v>-13896.482916581399</v>
      </c>
      <c r="T697">
        <f t="shared" si="998"/>
        <v>-13.896482916581398</v>
      </c>
    </row>
    <row r="698" spans="1:20" x14ac:dyDescent="0.25">
      <c r="A698" s="5">
        <v>43895</v>
      </c>
      <c r="B698">
        <v>2.0760000000000002E-3</v>
      </c>
      <c r="C698">
        <v>2.4009999999999999E-3</v>
      </c>
      <c r="D698">
        <v>2.0639999999999999E-3</v>
      </c>
      <c r="E698">
        <v>2.2190000000000001E-3</v>
      </c>
      <c r="F698">
        <v>400600051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-8.0118694362016837E-2</v>
      </c>
      <c r="Q698">
        <f t="shared" si="995"/>
        <v>-32095553.047477357</v>
      </c>
      <c r="R698">
        <f t="shared" si="996"/>
        <v>-1441493245.1114736</v>
      </c>
      <c r="S698">
        <f t="shared" si="997"/>
        <v>-14414.932451114735</v>
      </c>
      <c r="T698">
        <f t="shared" si="998"/>
        <v>-14.414932451114735</v>
      </c>
    </row>
    <row r="699" spans="1:20" x14ac:dyDescent="0.25">
      <c r="A699" s="5">
        <v>43894</v>
      </c>
      <c r="B699">
        <v>2.1159999999999998E-3</v>
      </c>
      <c r="C699">
        <v>2.1700000000000001E-3</v>
      </c>
      <c r="D699">
        <v>2.006E-3</v>
      </c>
      <c r="E699">
        <v>2.078E-3</v>
      </c>
      <c r="F699">
        <v>190628364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-0.12195121951219538</v>
      </c>
      <c r="Q699">
        <f t="shared" si="995"/>
        <v>-23247361.463414684</v>
      </c>
      <c r="R699">
        <f t="shared" si="996"/>
        <v>-1409397692.0639963</v>
      </c>
      <c r="S699">
        <f t="shared" si="997"/>
        <v>-14093.976920639963</v>
      </c>
      <c r="T699">
        <f t="shared" si="998"/>
        <v>-14.093976920639964</v>
      </c>
    </row>
    <row r="700" spans="1:20" x14ac:dyDescent="0.25">
      <c r="A700" s="5">
        <v>43893</v>
      </c>
      <c r="B700">
        <v>2.124E-3</v>
      </c>
      <c r="C700">
        <v>2.1350000000000002E-3</v>
      </c>
      <c r="D700">
        <v>2.0070000000000001E-3</v>
      </c>
      <c r="E700">
        <v>2.1180000000000001E-3</v>
      </c>
      <c r="F700">
        <v>186152351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0.73437499999999878</v>
      </c>
      <c r="Q700">
        <f t="shared" si="995"/>
        <v>136705632.76562476</v>
      </c>
      <c r="R700">
        <f t="shared" si="996"/>
        <v>-1386150330.6005816</v>
      </c>
      <c r="S700">
        <f t="shared" si="997"/>
        <v>-13861.503306005816</v>
      </c>
      <c r="T700">
        <f t="shared" si="998"/>
        <v>-13.861503306005815</v>
      </c>
    </row>
    <row r="701" spans="1:20" x14ac:dyDescent="0.25">
      <c r="A701" s="5">
        <v>43892</v>
      </c>
      <c r="B701">
        <v>2.0270000000000002E-3</v>
      </c>
      <c r="C701">
        <v>2.153E-3</v>
      </c>
      <c r="D701">
        <v>1.936E-3</v>
      </c>
      <c r="E701">
        <v>2.124E-3</v>
      </c>
      <c r="F701">
        <v>148458698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0.73271889400921708</v>
      </c>
      <c r="Q701">
        <f t="shared" si="995"/>
        <v>108778493.00460836</v>
      </c>
      <c r="R701">
        <f t="shared" si="996"/>
        <v>-1522855963.3662064</v>
      </c>
      <c r="S701">
        <f t="shared" si="997"/>
        <v>-15228.559633662064</v>
      </c>
      <c r="T701">
        <f t="shared" si="998"/>
        <v>-15.228559633662064</v>
      </c>
    </row>
    <row r="702" spans="1:20" x14ac:dyDescent="0.25">
      <c r="A702" s="5">
        <v>43891</v>
      </c>
      <c r="B702">
        <v>2.134E-3</v>
      </c>
      <c r="C702">
        <v>2.1779999999999998E-3</v>
      </c>
      <c r="D702">
        <v>1.941E-3</v>
      </c>
      <c r="E702">
        <v>2.026E-3</v>
      </c>
      <c r="F702">
        <v>138281859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-0.28270042194092759</v>
      </c>
      <c r="Q702">
        <f t="shared" si="995"/>
        <v>-39092339.886075854</v>
      </c>
      <c r="R702">
        <f t="shared" si="996"/>
        <v>-1631634456.3708148</v>
      </c>
      <c r="S702">
        <f t="shared" si="997"/>
        <v>-16316.344563708148</v>
      </c>
      <c r="T702">
        <f t="shared" si="998"/>
        <v>-16.316344563708149</v>
      </c>
    </row>
    <row r="703" spans="1:20" x14ac:dyDescent="0.25">
      <c r="A703" s="5">
        <v>43890</v>
      </c>
      <c r="B703">
        <v>2.2399999999999998E-3</v>
      </c>
      <c r="C703">
        <v>2.2659999999999998E-3</v>
      </c>
      <c r="D703">
        <v>2.0460000000000001E-3</v>
      </c>
      <c r="E703">
        <v>2.1210000000000001E-3</v>
      </c>
      <c r="F703">
        <v>165992400</v>
      </c>
      <c r="G703">
        <v>0</v>
      </c>
      <c r="L703" t="s">
        <v>7</v>
      </c>
      <c r="M703" t="s">
        <v>8</v>
      </c>
      <c r="N703" t="s">
        <v>7</v>
      </c>
      <c r="P703">
        <f t="shared" si="994"/>
        <v>-0.31818181818181746</v>
      </c>
      <c r="Q703">
        <f t="shared" si="995"/>
        <v>-52815763.636363514</v>
      </c>
      <c r="R703">
        <f t="shared" si="996"/>
        <v>-1592542116.4847388</v>
      </c>
      <c r="S703">
        <f t="shared" si="997"/>
        <v>-15925.421164847388</v>
      </c>
      <c r="T703">
        <f t="shared" si="998"/>
        <v>-15.925421164847389</v>
      </c>
    </row>
    <row r="704" spans="1:20" x14ac:dyDescent="0.25">
      <c r="A704" s="5">
        <v>43889</v>
      </c>
      <c r="B704">
        <v>2.0569999999999998E-3</v>
      </c>
      <c r="C704">
        <v>2.3089999999999999E-3</v>
      </c>
      <c r="D704">
        <v>1.949E-3</v>
      </c>
      <c r="E704">
        <v>2.2390000000000001E-3</v>
      </c>
      <c r="F704">
        <v>357639365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0.61111111111111238</v>
      </c>
      <c r="Q704">
        <f t="shared" si="995"/>
        <v>218557389.72222269</v>
      </c>
      <c r="R704">
        <f t="shared" si="996"/>
        <v>-1539726352.8483753</v>
      </c>
      <c r="S704">
        <f t="shared" si="997"/>
        <v>-15397.263528483752</v>
      </c>
      <c r="T704">
        <f t="shared" si="998"/>
        <v>-15.397263528483752</v>
      </c>
    </row>
    <row r="705" spans="1:20" x14ac:dyDescent="0.25">
      <c r="A705" s="5">
        <v>43888</v>
      </c>
      <c r="B705">
        <v>1.836E-3</v>
      </c>
      <c r="C705">
        <v>2.15E-3</v>
      </c>
      <c r="D705">
        <v>1.7060000000000001E-3</v>
      </c>
      <c r="E705">
        <v>2.0569999999999998E-3</v>
      </c>
      <c r="F705">
        <v>293351129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0.58108108108108014</v>
      </c>
      <c r="Q705">
        <f t="shared" si="995"/>
        <v>170460791.17567539</v>
      </c>
      <c r="R705">
        <f t="shared" si="996"/>
        <v>-1758283742.5705981</v>
      </c>
      <c r="S705">
        <f t="shared" si="997"/>
        <v>-17582.83742570598</v>
      </c>
      <c r="T705">
        <f t="shared" si="998"/>
        <v>-17.582837425705982</v>
      </c>
    </row>
    <row r="706" spans="1:20" x14ac:dyDescent="0.25">
      <c r="A706" s="5">
        <v>43887</v>
      </c>
      <c r="B706">
        <v>2.153E-3</v>
      </c>
      <c r="C706">
        <v>2.2160000000000001E-3</v>
      </c>
      <c r="D706">
        <v>1.7229999999999999E-3</v>
      </c>
      <c r="E706">
        <v>1.8339999999999999E-3</v>
      </c>
      <c r="F706">
        <v>320846250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-0.54969574036511182</v>
      </c>
      <c r="Q706">
        <f t="shared" si="995"/>
        <v>-176367816.93711975</v>
      </c>
      <c r="R706">
        <f t="shared" si="996"/>
        <v>-1928744533.7462735</v>
      </c>
      <c r="S706">
        <f t="shared" si="997"/>
        <v>-19287.445337462734</v>
      </c>
      <c r="T706">
        <f t="shared" si="998"/>
        <v>-19.287445337462735</v>
      </c>
    </row>
    <row r="707" spans="1:20" x14ac:dyDescent="0.25">
      <c r="A707" s="5">
        <v>43886</v>
      </c>
      <c r="B707">
        <v>2.3999999999999998E-3</v>
      </c>
      <c r="C707">
        <v>2.4120000000000001E-3</v>
      </c>
      <c r="D707">
        <v>2.104E-3</v>
      </c>
      <c r="E707">
        <v>2.1580000000000002E-3</v>
      </c>
      <c r="F707">
        <v>353940051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-0.64935064935064801</v>
      </c>
      <c r="Q707">
        <f t="shared" si="995"/>
        <v>-229831201.94805148</v>
      </c>
      <c r="R707">
        <f t="shared" si="996"/>
        <v>-1752376716.8091538</v>
      </c>
      <c r="S707">
        <f t="shared" si="997"/>
        <v>-17523.767168091537</v>
      </c>
      <c r="T707">
        <f t="shared" si="998"/>
        <v>-17.523767168091538</v>
      </c>
    </row>
    <row r="708" spans="1:20" x14ac:dyDescent="0.25">
      <c r="A708" s="5">
        <v>43885</v>
      </c>
      <c r="B708">
        <v>2.5790000000000001E-3</v>
      </c>
      <c r="C708">
        <v>2.7009999999999998E-3</v>
      </c>
      <c r="D708">
        <v>2.3E-3</v>
      </c>
      <c r="E708">
        <v>2.3999999999999998E-3</v>
      </c>
      <c r="F708">
        <v>306354865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-0.50124688279301821</v>
      </c>
      <c r="Q708">
        <f t="shared" si="995"/>
        <v>-153559421.10972592</v>
      </c>
      <c r="R708">
        <f t="shared" si="996"/>
        <v>-1522545514.8611023</v>
      </c>
      <c r="S708">
        <f t="shared" si="997"/>
        <v>-15225.455148611023</v>
      </c>
      <c r="T708">
        <f t="shared" si="998"/>
        <v>-15.225455148611022</v>
      </c>
    </row>
    <row r="709" spans="1:20" x14ac:dyDescent="0.25">
      <c r="A709" s="5">
        <v>43884</v>
      </c>
      <c r="B709">
        <v>2.6120000000000002E-3</v>
      </c>
      <c r="C709">
        <v>2.7290000000000001E-3</v>
      </c>
      <c r="D709">
        <v>2.5539999999999998E-3</v>
      </c>
      <c r="E709">
        <v>2.5790000000000001E-3</v>
      </c>
      <c r="F709">
        <v>215816134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-0.71428571428571141</v>
      </c>
      <c r="Q709">
        <f t="shared" si="995"/>
        <v>-154154381.42857081</v>
      </c>
      <c r="R709">
        <f t="shared" si="996"/>
        <v>-1368986093.7513764</v>
      </c>
      <c r="S709">
        <f t="shared" si="997"/>
        <v>-13689.860937513764</v>
      </c>
      <c r="T709">
        <f t="shared" si="998"/>
        <v>-13.689860937513764</v>
      </c>
    </row>
    <row r="710" spans="1:20" x14ac:dyDescent="0.25">
      <c r="A710" s="5">
        <v>43883</v>
      </c>
      <c r="B710">
        <v>3.2239999999999999E-3</v>
      </c>
      <c r="C710">
        <v>3.2499999999999999E-3</v>
      </c>
      <c r="D710">
        <v>2.4489999999999998E-3</v>
      </c>
      <c r="E710">
        <v>2.611E-3</v>
      </c>
      <c r="F710">
        <v>648799171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-0.59550561797752755</v>
      </c>
      <c r="Q710">
        <f t="shared" ref="Q710:Q766" si="1000">F710*P710</f>
        <v>-386363551.26966256</v>
      </c>
      <c r="R710">
        <f t="shared" ref="R710:R766" si="1001">R711+Q710</f>
        <v>-1214831712.3228056</v>
      </c>
      <c r="S710">
        <f t="shared" ref="S710:S766" si="1002">R710/100000</f>
        <v>-12148.317123228057</v>
      </c>
      <c r="T710">
        <f t="shared" ref="T710:T766" si="1003">S710/1000</f>
        <v>-12.148317123228056</v>
      </c>
    </row>
    <row r="711" spans="1:20" x14ac:dyDescent="0.25">
      <c r="A711" s="5">
        <v>43882</v>
      </c>
      <c r="B711">
        <v>4.8170000000000001E-3</v>
      </c>
      <c r="C711">
        <v>6.0000000000000001E-3</v>
      </c>
      <c r="D711">
        <v>2.9139999999999999E-3</v>
      </c>
      <c r="E711">
        <v>3.222E-3</v>
      </c>
      <c r="F711">
        <v>1035082083</v>
      </c>
      <c r="G711">
        <v>0</v>
      </c>
      <c r="P711">
        <f t="shared" si="999"/>
        <v>-0.8003888528839922</v>
      </c>
      <c r="Q711">
        <f t="shared" si="1000"/>
        <v>-828468161.05314314</v>
      </c>
      <c r="R711">
        <f t="shared" si="1001"/>
        <v>-828468161.05314314</v>
      </c>
      <c r="S711">
        <f t="shared" si="1002"/>
        <v>-8284.6816105314319</v>
      </c>
      <c r="T711">
        <f t="shared" si="1003"/>
        <v>-8.2846816105314325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J852" sqref="LJ85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$A$851</v>
      </c>
      <c r="D111" s="1" t="str">
        <f>ADDRESS(C121-1,D121,1,1)</f>
        <v>$LJ$851</v>
      </c>
      <c r="E111"/>
    </row>
    <row r="112" spans="1:5" x14ac:dyDescent="0.25">
      <c r="A112" s="7">
        <v>12164.144957890772</v>
      </c>
      <c r="C112" s="1" t="str">
        <f>ADDRESS(C121,1,1,1)</f>
        <v>$A$852</v>
      </c>
      <c r="D112" s="1" t="str">
        <f>ADDRESS(C121,D121-1,1,1)</f>
        <v>$LI$852</v>
      </c>
      <c r="E112"/>
    </row>
    <row r="113" spans="1:5" x14ac:dyDescent="0.25">
      <c r="A113" s="7">
        <v>11925.63231165762</v>
      </c>
      <c r="C113" s="1" t="str">
        <f>ADDRESS(C121+1,1,1,1)</f>
        <v>$A$853</v>
      </c>
      <c r="D113" s="1" t="str">
        <f>ADDRESS(C121-1,D121+1,1,1)</f>
        <v>$LK$851</v>
      </c>
    </row>
    <row r="114" spans="1:5" x14ac:dyDescent="0.25">
      <c r="A114" s="7">
        <v>11691.796383978059</v>
      </c>
      <c r="C114" s="1" t="str">
        <f>ADDRESS(C121,D121,1,1)</f>
        <v>$LJ$852</v>
      </c>
      <c r="D114" s="1" t="str">
        <f>ADDRESS(C121+1,D121+1,1,1)</f>
        <v>$LK$853</v>
      </c>
    </row>
    <row r="115" spans="1:5" x14ac:dyDescent="0.25">
      <c r="A115" s="7">
        <v>11462.545474488292</v>
      </c>
      <c r="C115" s="1" t="str">
        <f>ADDRESS(C121+1,D121,1,1)</f>
        <v>$LJ$853</v>
      </c>
    </row>
    <row r="116" spans="1:5" x14ac:dyDescent="0.25">
      <c r="A116" s="7">
        <v>11237.789680870874</v>
      </c>
      <c r="C116" s="1">
        <f>C117-1</f>
        <v>851</v>
      </c>
    </row>
    <row r="117" spans="1:5" x14ac:dyDescent="0.25">
      <c r="A117" s="7">
        <v>11017.440863598895</v>
      </c>
      <c r="C117" s="1">
        <f>C121</f>
        <v>852</v>
      </c>
      <c r="D117" s="1">
        <f>D121</f>
        <v>322</v>
      </c>
    </row>
    <row r="118" spans="1:5" x14ac:dyDescent="0.25">
      <c r="A118" s="7">
        <v>10801.412611371465</v>
      </c>
      <c r="C118" s="1">
        <f>C117+1</f>
        <v>853</v>
      </c>
      <c r="D118" s="1">
        <f>D117+1</f>
        <v>323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852</v>
      </c>
      <c r="D121" s="19">
        <v>322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R852</v>
      </c>
      <c r="D123" s="1" t="str">
        <f>"C"&amp;D121</f>
        <v>C322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5.2596213922246494E-3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178" x14ac:dyDescent="0.25">
      <c r="A737" s="7">
        <v>5.1283095966678877E-2</v>
      </c>
      <c r="B737"/>
      <c r="C737"/>
      <c r="D737"/>
      <c r="E737"/>
      <c r="F737" s="27" t="s">
        <v>7</v>
      </c>
    </row>
    <row r="738" spans="1:178" x14ac:dyDescent="0.25">
      <c r="A738" s="7">
        <v>5.0277545065371444E-2</v>
      </c>
      <c r="B738"/>
      <c r="C738"/>
      <c r="D738"/>
      <c r="E738"/>
      <c r="F738" s="27" t="s">
        <v>7</v>
      </c>
    </row>
    <row r="739" spans="1:178" x14ac:dyDescent="0.25">
      <c r="A739" s="7">
        <v>4.9291710848403378E-2</v>
      </c>
      <c r="B739"/>
      <c r="C739"/>
      <c r="D739"/>
      <c r="E739"/>
      <c r="F739" s="27" t="s">
        <v>7</v>
      </c>
    </row>
    <row r="740" spans="1:178" x14ac:dyDescent="0.25">
      <c r="A740" s="7">
        <v>4.8325206714120959E-2</v>
      </c>
      <c r="B740"/>
      <c r="C740"/>
      <c r="D740"/>
      <c r="E740"/>
      <c r="F740" s="27" t="s">
        <v>7</v>
      </c>
    </row>
    <row r="741" spans="1:178" x14ac:dyDescent="0.25">
      <c r="A741" s="7">
        <v>4.7377653641295057E-2</v>
      </c>
      <c r="B741"/>
      <c r="C741"/>
      <c r="D741"/>
      <c r="E741"/>
      <c r="F741" s="27" t="s">
        <v>7</v>
      </c>
    </row>
    <row r="742" spans="1:178" x14ac:dyDescent="0.25">
      <c r="A742" s="7">
        <v>4.644868004048535E-2</v>
      </c>
      <c r="B742"/>
      <c r="C742"/>
      <c r="D742"/>
      <c r="E742"/>
      <c r="F742" s="27" t="s">
        <v>7</v>
      </c>
    </row>
    <row r="743" spans="1:178" x14ac:dyDescent="0.25">
      <c r="A743" s="7">
        <v>4.5537921608318974E-2</v>
      </c>
      <c r="B743"/>
      <c r="C743"/>
      <c r="D743"/>
      <c r="E743"/>
      <c r="F743" s="27" t="s">
        <v>7</v>
      </c>
    </row>
    <row r="744" spans="1:178" x14ac:dyDescent="0.25">
      <c r="A744" s="7">
        <v>4.4645021184626446E-2</v>
      </c>
      <c r="B744"/>
      <c r="C744"/>
      <c r="D744"/>
      <c r="E744"/>
      <c r="F744" s="27" t="s">
        <v>7</v>
      </c>
    </row>
    <row r="745" spans="1:178" x14ac:dyDescent="0.25">
      <c r="A745" s="7">
        <v>4.3769628612378868E-2</v>
      </c>
      <c r="B745"/>
      <c r="C745"/>
      <c r="D745"/>
      <c r="E745"/>
      <c r="F745" s="27" t="s">
        <v>7</v>
      </c>
    </row>
    <row r="746" spans="1:178" x14ac:dyDescent="0.25">
      <c r="A746" s="7">
        <v>4.2911400600371442E-2</v>
      </c>
      <c r="B746"/>
      <c r="C746"/>
      <c r="D746"/>
      <c r="E746"/>
      <c r="F746" s="27" t="s">
        <v>7</v>
      </c>
      <c r="FU746" s="27" t="s">
        <v>8</v>
      </c>
    </row>
    <row r="747" spans="1:178" x14ac:dyDescent="0.25">
      <c r="A747" s="7">
        <v>4.2070000588599457E-2</v>
      </c>
      <c r="B747"/>
      <c r="C747"/>
      <c r="D747"/>
      <c r="E747"/>
      <c r="F747" s="27" t="s">
        <v>7</v>
      </c>
      <c r="FU747" s="27" t="s">
        <v>8</v>
      </c>
      <c r="FV747" s="27" t="s">
        <v>7</v>
      </c>
    </row>
    <row r="748" spans="1:178" x14ac:dyDescent="0.25">
      <c r="A748" s="7">
        <v>4.1245098616273977E-2</v>
      </c>
      <c r="B748"/>
      <c r="C748"/>
      <c r="D748"/>
      <c r="E748"/>
      <c r="F748" s="27" t="s">
        <v>7</v>
      </c>
      <c r="FU748" s="27" t="s">
        <v>8</v>
      </c>
      <c r="FV748" s="27" t="s">
        <v>7</v>
      </c>
    </row>
    <row r="749" spans="1:178" x14ac:dyDescent="0.25">
      <c r="A749" s="7">
        <v>4.043637119242547E-2</v>
      </c>
      <c r="B749"/>
      <c r="C749"/>
      <c r="D749"/>
      <c r="E749"/>
      <c r="F749" s="27" t="s">
        <v>7</v>
      </c>
      <c r="FU749" s="27" t="s">
        <v>8</v>
      </c>
      <c r="FV749" s="27" t="s">
        <v>7</v>
      </c>
    </row>
    <row r="750" spans="1:178" x14ac:dyDescent="0.25">
      <c r="A750" s="7">
        <v>3.9643501169044582E-2</v>
      </c>
      <c r="B750"/>
      <c r="C750"/>
      <c r="D750"/>
      <c r="E750"/>
      <c r="F750" s="27" t="s">
        <v>7</v>
      </c>
      <c r="FU750" s="27" t="s">
        <v>8</v>
      </c>
      <c r="FV750" s="27" t="s">
        <v>7</v>
      </c>
    </row>
    <row r="751" spans="1:178" x14ac:dyDescent="0.25">
      <c r="A751" s="7">
        <v>3.8866177616710372E-2</v>
      </c>
      <c r="B751"/>
      <c r="C751"/>
      <c r="D751"/>
      <c r="E751"/>
      <c r="F751" s="27" t="s">
        <v>7</v>
      </c>
      <c r="FU751" s="27" t="s">
        <v>8</v>
      </c>
      <c r="FV751" s="27" t="s">
        <v>7</v>
      </c>
    </row>
    <row r="752" spans="1:178" x14ac:dyDescent="0.25">
      <c r="A752" s="7">
        <v>3.8104095702657229E-2</v>
      </c>
      <c r="B752"/>
      <c r="C752"/>
      <c r="D752"/>
      <c r="E752"/>
      <c r="F752" s="27" t="s">
        <v>7</v>
      </c>
      <c r="FU752" s="27" t="s">
        <v>8</v>
      </c>
      <c r="FV752" s="27" t="s">
        <v>7</v>
      </c>
    </row>
    <row r="753" spans="1:180" x14ac:dyDescent="0.25">
      <c r="A753" s="7">
        <v>3.7356956571232579E-2</v>
      </c>
      <c r="B753"/>
      <c r="C753"/>
      <c r="D753"/>
      <c r="E753"/>
      <c r="F753" s="27" t="s">
        <v>7</v>
      </c>
      <c r="FU753" s="27" t="s">
        <v>8</v>
      </c>
      <c r="FV753" s="27" t="s">
        <v>7</v>
      </c>
    </row>
    <row r="754" spans="1:180" x14ac:dyDescent="0.25">
      <c r="A754" s="7">
        <v>3.6624467226698605E-2</v>
      </c>
      <c r="B754"/>
      <c r="C754"/>
      <c r="D754"/>
      <c r="E754"/>
      <c r="F754" s="27" t="s">
        <v>7</v>
      </c>
      <c r="FU754" s="27" t="s">
        <v>8</v>
      </c>
      <c r="FV754" s="27" t="s">
        <v>7</v>
      </c>
    </row>
    <row r="755" spans="1:180" x14ac:dyDescent="0.25">
      <c r="A755" s="7">
        <v>3.5906340418331961E-2</v>
      </c>
      <c r="B755"/>
      <c r="C755"/>
      <c r="D755"/>
      <c r="E755"/>
      <c r="F755" s="27" t="s">
        <v>7</v>
      </c>
      <c r="FU755" s="27" t="s">
        <v>8</v>
      </c>
      <c r="FV755" s="27" t="s">
        <v>7</v>
      </c>
    </row>
    <row r="756" spans="1:180" x14ac:dyDescent="0.25">
      <c r="A756" s="7">
        <v>3.5202294527776436E-2</v>
      </c>
      <c r="B756"/>
      <c r="C756"/>
      <c r="D756"/>
      <c r="E756"/>
      <c r="F756" s="27" t="s">
        <v>7</v>
      </c>
      <c r="FU756" s="27" t="s">
        <v>8</v>
      </c>
      <c r="FV756" s="27" t="s">
        <v>7</v>
      </c>
    </row>
    <row r="757" spans="1:180" x14ac:dyDescent="0.25">
      <c r="A757" s="7">
        <v>3.451205345860435E-2</v>
      </c>
      <c r="B757"/>
      <c r="C757"/>
      <c r="D757"/>
      <c r="E757"/>
      <c r="F757" s="27" t="s">
        <v>7</v>
      </c>
      <c r="FU757" s="27" t="s">
        <v>8</v>
      </c>
      <c r="FV757" s="27" t="s">
        <v>7</v>
      </c>
    </row>
    <row r="758" spans="1:180" x14ac:dyDescent="0.25">
      <c r="A758" s="7">
        <v>3.3835346528043479E-2</v>
      </c>
      <c r="B758"/>
      <c r="C758"/>
      <c r="D758"/>
      <c r="E758"/>
      <c r="F758" s="27" t="s">
        <v>7</v>
      </c>
      <c r="FU758" s="27" t="s">
        <v>8</v>
      </c>
      <c r="FV758" s="27" t="s">
        <v>7</v>
      </c>
    </row>
    <row r="759" spans="1:180" x14ac:dyDescent="0.25">
      <c r="A759" s="7">
        <v>3.3171908360826938E-2</v>
      </c>
      <c r="B759"/>
      <c r="C759"/>
      <c r="D759"/>
      <c r="E759"/>
      <c r="F759" s="27" t="s">
        <v>7</v>
      </c>
      <c r="FU759" s="27" t="s">
        <v>8</v>
      </c>
      <c r="FV759" s="27" t="s">
        <v>7</v>
      </c>
    </row>
    <row r="760" spans="1:180" x14ac:dyDescent="0.25">
      <c r="A760" s="7">
        <v>3.2521478785124451E-2</v>
      </c>
      <c r="B760"/>
      <c r="C760"/>
      <c r="D760"/>
      <c r="E760"/>
      <c r="F760" s="27" t="s">
        <v>7</v>
      </c>
      <c r="FU760" s="27" t="s">
        <v>8</v>
      </c>
      <c r="FV760" s="27" t="s">
        <v>7</v>
      </c>
      <c r="FW760" s="27" t="s">
        <v>8</v>
      </c>
    </row>
    <row r="761" spans="1:180" x14ac:dyDescent="0.25">
      <c r="A761" s="7">
        <v>3.1883802730514173E-2</v>
      </c>
      <c r="B761"/>
      <c r="C761"/>
      <c r="D761"/>
      <c r="E761"/>
      <c r="F761" s="27" t="s">
        <v>7</v>
      </c>
      <c r="FU761" s="27" t="s">
        <v>8</v>
      </c>
      <c r="FV761" s="27" t="s">
        <v>7</v>
      </c>
      <c r="FW761" s="27" t="s">
        <v>8</v>
      </c>
      <c r="FX761" s="27" t="s">
        <v>7</v>
      </c>
    </row>
    <row r="762" spans="1:180" x14ac:dyDescent="0.25">
      <c r="A762" s="7">
        <v>3.1258630127955073E-2</v>
      </c>
      <c r="B762"/>
      <c r="C762"/>
      <c r="D762"/>
      <c r="E762"/>
      <c r="F762" s="27" t="s">
        <v>7</v>
      </c>
      <c r="FU762" s="27" t="s">
        <v>8</v>
      </c>
      <c r="FV762" s="27" t="s">
        <v>7</v>
      </c>
      <c r="FW762" s="27" t="s">
        <v>8</v>
      </c>
      <c r="FX762" s="27" t="s">
        <v>7</v>
      </c>
    </row>
    <row r="763" spans="1:180" x14ac:dyDescent="0.25">
      <c r="A763" s="7">
        <v>3.064571581172066E-2</v>
      </c>
      <c r="B763"/>
      <c r="C763"/>
      <c r="D763"/>
      <c r="E763"/>
      <c r="F763" s="27" t="s">
        <v>7</v>
      </c>
      <c r="FU763" s="27" t="s">
        <v>8</v>
      </c>
      <c r="FV763" s="27" t="s">
        <v>7</v>
      </c>
      <c r="FW763" s="27" t="s">
        <v>8</v>
      </c>
      <c r="FX763" s="27" t="s">
        <v>7</v>
      </c>
    </row>
    <row r="764" spans="1:180" x14ac:dyDescent="0.25">
      <c r="A764" s="7">
        <v>3.0044819423255549E-2</v>
      </c>
      <c r="B764"/>
      <c r="C764"/>
      <c r="D764"/>
      <c r="E764"/>
      <c r="F764" s="27" t="s">
        <v>7</v>
      </c>
      <c r="FU764" s="27" t="s">
        <v>8</v>
      </c>
      <c r="FV764" s="27" t="s">
        <v>7</v>
      </c>
      <c r="FW764" s="27" t="s">
        <v>8</v>
      </c>
      <c r="FX764" s="27" t="s">
        <v>7</v>
      </c>
    </row>
    <row r="765" spans="1:180" x14ac:dyDescent="0.25">
      <c r="A765" s="7">
        <v>2.9455705316917203E-2</v>
      </c>
      <c r="B765"/>
      <c r="C765"/>
      <c r="D765"/>
      <c r="E765"/>
      <c r="F765" s="27" t="s">
        <v>7</v>
      </c>
      <c r="FU765" s="27" t="s">
        <v>8</v>
      </c>
      <c r="FV765" s="27" t="s">
        <v>7</v>
      </c>
      <c r="FW765" s="27" t="s">
        <v>8</v>
      </c>
      <c r="FX765" s="27" t="s">
        <v>7</v>
      </c>
    </row>
    <row r="766" spans="1:180" x14ac:dyDescent="0.25">
      <c r="A766" s="7">
        <v>2.8878142467565884E-2</v>
      </c>
      <c r="B766"/>
      <c r="C766"/>
      <c r="D766"/>
      <c r="E766"/>
      <c r="F766" s="27" t="s">
        <v>7</v>
      </c>
      <c r="FU766" s="27" t="s">
        <v>8</v>
      </c>
      <c r="FV766" s="27" t="s">
        <v>7</v>
      </c>
      <c r="FW766" s="27" t="s">
        <v>8</v>
      </c>
      <c r="FX766" s="27" t="s">
        <v>7</v>
      </c>
    </row>
    <row r="767" spans="1:180" x14ac:dyDescent="0.25">
      <c r="A767" s="7">
        <v>2.8311904379966554E-2</v>
      </c>
      <c r="B767"/>
      <c r="C767"/>
      <c r="D767"/>
      <c r="E767"/>
      <c r="F767" s="27" t="s">
        <v>7</v>
      </c>
      <c r="FU767" s="27" t="s">
        <v>8</v>
      </c>
      <c r="FV767" s="27" t="s">
        <v>7</v>
      </c>
      <c r="FW767" s="27" t="s">
        <v>8</v>
      </c>
      <c r="FX767" s="27" t="s">
        <v>7</v>
      </c>
    </row>
    <row r="768" spans="1:180" x14ac:dyDescent="0.25">
      <c r="A768" s="7">
        <v>2.7756768999967207E-2</v>
      </c>
      <c r="B768"/>
      <c r="C768"/>
      <c r="D768"/>
      <c r="E768"/>
      <c r="F768" s="27" t="s">
        <v>7</v>
      </c>
      <c r="FU768" s="27" t="s">
        <v>8</v>
      </c>
      <c r="FV768" s="27" t="s">
        <v>7</v>
      </c>
      <c r="FX768" s="27" t="s">
        <v>7</v>
      </c>
    </row>
    <row r="769" spans="1:188" x14ac:dyDescent="0.25">
      <c r="A769" s="7">
        <v>2.7212518627418834E-2</v>
      </c>
      <c r="B769"/>
      <c r="C769"/>
      <c r="D769"/>
      <c r="E769"/>
      <c r="F769" s="27" t="s">
        <v>7</v>
      </c>
      <c r="FO769" s="27" t="s">
        <v>8</v>
      </c>
      <c r="FU769" s="27" t="s">
        <v>8</v>
      </c>
      <c r="FX769" s="27" t="s">
        <v>7</v>
      </c>
    </row>
    <row r="770" spans="1:188" x14ac:dyDescent="0.25">
      <c r="A770" s="7">
        <v>2.6678939830802779E-2</v>
      </c>
      <c r="B770"/>
      <c r="C770"/>
      <c r="D770"/>
      <c r="E770"/>
      <c r="F770" s="27" t="s">
        <v>7</v>
      </c>
      <c r="FO770" s="27" t="s">
        <v>8</v>
      </c>
      <c r="FP770" s="27" t="s">
        <v>7</v>
      </c>
      <c r="FU770" s="27" t="s">
        <v>8</v>
      </c>
      <c r="FX770" s="27" t="s">
        <v>7</v>
      </c>
      <c r="FY770" s="27" t="s">
        <v>8</v>
      </c>
    </row>
    <row r="771" spans="1:188" x14ac:dyDescent="0.25">
      <c r="A771" s="7">
        <v>2.615582336353214E-2</v>
      </c>
      <c r="B771"/>
      <c r="C771"/>
      <c r="D771"/>
      <c r="E771"/>
      <c r="F771" s="27" t="s">
        <v>7</v>
      </c>
      <c r="FO771" s="27" t="s">
        <v>8</v>
      </c>
      <c r="FP771" s="27" t="s">
        <v>7</v>
      </c>
      <c r="FU771" s="27" t="s">
        <v>8</v>
      </c>
      <c r="FX771" s="27" t="s">
        <v>7</v>
      </c>
      <c r="FY771" s="27" t="s">
        <v>8</v>
      </c>
      <c r="FZ771" s="27" t="s">
        <v>7</v>
      </c>
    </row>
    <row r="772" spans="1:188" x14ac:dyDescent="0.25">
      <c r="A772" s="7">
        <v>2.5642964081894253E-2</v>
      </c>
      <c r="B772"/>
      <c r="C772"/>
      <c r="D772"/>
      <c r="E772"/>
      <c r="F772" s="27" t="s">
        <v>7</v>
      </c>
      <c r="FO772" s="27" t="s">
        <v>8</v>
      </c>
      <c r="FP772" s="27" t="s">
        <v>7</v>
      </c>
      <c r="FU772" s="27" t="s">
        <v>8</v>
      </c>
      <c r="FX772" s="27" t="s">
        <v>7</v>
      </c>
      <c r="FY772" s="27" t="s">
        <v>8</v>
      </c>
      <c r="FZ772" s="27" t="s">
        <v>7</v>
      </c>
    </row>
    <row r="773" spans="1:188" x14ac:dyDescent="0.25">
      <c r="A773" s="7">
        <v>2.5140160864602207E-2</v>
      </c>
      <c r="B773"/>
      <c r="C773"/>
      <c r="D773"/>
      <c r="E773"/>
      <c r="F773" s="27" t="s">
        <v>7</v>
      </c>
      <c r="FO773" s="27" t="s">
        <v>8</v>
      </c>
      <c r="FP773" s="27" t="s">
        <v>7</v>
      </c>
      <c r="FU773" s="27" t="s">
        <v>8</v>
      </c>
      <c r="FX773" s="27" t="s">
        <v>7</v>
      </c>
      <c r="FY773" s="27" t="s">
        <v>8</v>
      </c>
      <c r="FZ773" s="27" t="s">
        <v>7</v>
      </c>
    </row>
    <row r="774" spans="1:188" x14ac:dyDescent="0.25">
      <c r="A774" s="7">
        <v>2.4647216533923735E-2</v>
      </c>
      <c r="B774"/>
      <c r="C774"/>
      <c r="D774"/>
      <c r="E774"/>
      <c r="F774" s="27" t="s">
        <v>7</v>
      </c>
      <c r="FO774" s="27" t="s">
        <v>8</v>
      </c>
      <c r="FP774" s="27" t="s">
        <v>7</v>
      </c>
      <c r="FU774" s="27" t="s">
        <v>8</v>
      </c>
      <c r="FX774" s="27" t="s">
        <v>7</v>
      </c>
      <c r="FY774" s="27" t="s">
        <v>8</v>
      </c>
      <c r="FZ774" s="27" t="s">
        <v>7</v>
      </c>
    </row>
    <row r="775" spans="1:188" x14ac:dyDescent="0.25">
      <c r="A775" s="7">
        <v>2.4163937778356601E-2</v>
      </c>
      <c r="B775"/>
      <c r="C775"/>
      <c r="D775"/>
      <c r="E775"/>
      <c r="F775" s="27" t="s">
        <v>7</v>
      </c>
      <c r="FO775" s="27" t="s">
        <v>8</v>
      </c>
      <c r="FP775" s="27" t="s">
        <v>7</v>
      </c>
      <c r="FU775" s="27" t="s">
        <v>8</v>
      </c>
      <c r="FX775" s="27" t="s">
        <v>7</v>
      </c>
      <c r="FY775" s="27" t="s">
        <v>8</v>
      </c>
      <c r="FZ775" s="27" t="s">
        <v>7</v>
      </c>
    </row>
    <row r="776" spans="1:188" x14ac:dyDescent="0.25">
      <c r="A776" s="7">
        <v>2.3690135076820197E-2</v>
      </c>
      <c r="B776"/>
      <c r="C776"/>
      <c r="D776"/>
      <c r="E776"/>
      <c r="F776" s="27" t="s">
        <v>7</v>
      </c>
      <c r="FO776" s="27" t="s">
        <v>8</v>
      </c>
      <c r="FP776" s="27" t="s">
        <v>7</v>
      </c>
      <c r="FU776" s="27" t="s">
        <v>8</v>
      </c>
      <c r="FX776" s="27" t="s">
        <v>7</v>
      </c>
      <c r="FY776" s="27" t="s">
        <v>8</v>
      </c>
      <c r="FZ776" s="27" t="s">
        <v>7</v>
      </c>
      <c r="GE776" s="27" t="s">
        <v>8</v>
      </c>
    </row>
    <row r="777" spans="1:188" x14ac:dyDescent="0.25">
      <c r="A777" s="7">
        <v>2.3225622624333527E-2</v>
      </c>
      <c r="B777"/>
      <c r="C777"/>
      <c r="D777"/>
      <c r="E777"/>
      <c r="F777" s="27" t="s">
        <v>7</v>
      </c>
      <c r="FO777" s="27" t="s">
        <v>8</v>
      </c>
      <c r="FP777" s="27" t="s">
        <v>7</v>
      </c>
      <c r="FU777" s="27" t="s">
        <v>8</v>
      </c>
      <c r="FX777" s="27" t="s">
        <v>7</v>
      </c>
      <c r="FY777" s="27" t="s">
        <v>8</v>
      </c>
      <c r="FZ777" s="27" t="s">
        <v>7</v>
      </c>
      <c r="GA777" s="27" t="s">
        <v>8</v>
      </c>
      <c r="GE777" s="27" t="s">
        <v>8</v>
      </c>
      <c r="GF777" s="27" t="s">
        <v>7</v>
      </c>
    </row>
    <row r="778" spans="1:188" x14ac:dyDescent="0.25">
      <c r="A778" s="7">
        <v>2.2770218259150519E-2</v>
      </c>
      <c r="B778"/>
      <c r="C778"/>
      <c r="D778"/>
      <c r="E778"/>
      <c r="F778" s="27" t="s">
        <v>7</v>
      </c>
      <c r="FO778" s="27" t="s">
        <v>8</v>
      </c>
      <c r="FP778" s="27" t="s">
        <v>7</v>
      </c>
      <c r="FU778" s="27" t="s">
        <v>8</v>
      </c>
      <c r="FX778" s="27" t="s">
        <v>7</v>
      </c>
      <c r="FY778" s="27" t="s">
        <v>8</v>
      </c>
      <c r="FZ778" s="27" t="s">
        <v>7</v>
      </c>
      <c r="GA778" s="27" t="s">
        <v>8</v>
      </c>
      <c r="GB778" s="27" t="s">
        <v>7</v>
      </c>
      <c r="GE778" s="27" t="s">
        <v>8</v>
      </c>
      <c r="GF778" s="27" t="s">
        <v>7</v>
      </c>
    </row>
    <row r="779" spans="1:188" x14ac:dyDescent="0.25">
      <c r="A779" s="7">
        <v>2.2323743391324039E-2</v>
      </c>
      <c r="B779"/>
      <c r="C779"/>
      <c r="D779"/>
      <c r="E779"/>
      <c r="F779" s="27" t="s">
        <v>7</v>
      </c>
      <c r="FO779" s="27" t="s">
        <v>8</v>
      </c>
      <c r="FP779" s="27" t="s">
        <v>7</v>
      </c>
      <c r="FU779" s="27" t="s">
        <v>8</v>
      </c>
      <c r="FX779" s="27" t="s">
        <v>7</v>
      </c>
      <c r="FY779" s="27" t="s">
        <v>8</v>
      </c>
      <c r="FZ779" s="27" t="s">
        <v>7</v>
      </c>
      <c r="GA779" s="27" t="s">
        <v>8</v>
      </c>
      <c r="GB779" s="27" t="s">
        <v>7</v>
      </c>
      <c r="GC779" s="27" t="s">
        <v>8</v>
      </c>
      <c r="GE779" s="27" t="s">
        <v>8</v>
      </c>
      <c r="GF779" s="27" t="s">
        <v>7</v>
      </c>
    </row>
    <row r="780" spans="1:188" x14ac:dyDescent="0.25">
      <c r="A780" s="7">
        <v>2.188602293267063E-2</v>
      </c>
      <c r="B780"/>
      <c r="C780"/>
      <c r="D780"/>
      <c r="E780"/>
      <c r="F780" s="27" t="s">
        <v>7</v>
      </c>
      <c r="FO780" s="27" t="s">
        <v>8</v>
      </c>
      <c r="FP780" s="27" t="s">
        <v>7</v>
      </c>
      <c r="FU780" s="27" t="s">
        <v>8</v>
      </c>
      <c r="FX780" s="27" t="s">
        <v>7</v>
      </c>
      <c r="FY780" s="27" t="s">
        <v>8</v>
      </c>
      <c r="FZ780" s="27" t="s">
        <v>7</v>
      </c>
      <c r="GA780" s="27" t="s">
        <v>8</v>
      </c>
      <c r="GB780" s="27" t="s">
        <v>7</v>
      </c>
      <c r="GC780" s="27" t="s">
        <v>8</v>
      </c>
      <c r="GD780" s="27" t="s">
        <v>7</v>
      </c>
      <c r="GE780" s="27" t="s">
        <v>8</v>
      </c>
      <c r="GF780" s="27" t="s">
        <v>7</v>
      </c>
    </row>
    <row r="781" spans="1:188" x14ac:dyDescent="0.25">
      <c r="A781" s="7">
        <v>2.1456885228108461E-2</v>
      </c>
      <c r="B781"/>
      <c r="C781"/>
      <c r="D781"/>
      <c r="E781"/>
      <c r="F781" s="27" t="s">
        <v>7</v>
      </c>
      <c r="FO781" s="27" t="s">
        <v>8</v>
      </c>
      <c r="FP781" s="27" t="s">
        <v>7</v>
      </c>
      <c r="FQ781" s="27" t="s">
        <v>8</v>
      </c>
      <c r="FU781" s="27" t="s">
        <v>8</v>
      </c>
      <c r="FX781" s="27" t="s">
        <v>7</v>
      </c>
      <c r="FY781" s="27" t="s">
        <v>8</v>
      </c>
      <c r="FZ781" s="27" t="s">
        <v>7</v>
      </c>
      <c r="GA781" s="27" t="s">
        <v>8</v>
      </c>
      <c r="GB781" s="27" t="s">
        <v>7</v>
      </c>
      <c r="GC781" s="27" t="s">
        <v>8</v>
      </c>
      <c r="GD781" s="27" t="s">
        <v>7</v>
      </c>
      <c r="GE781" s="27" t="s">
        <v>8</v>
      </c>
      <c r="GF781" s="27" t="s">
        <v>7</v>
      </c>
    </row>
    <row r="782" spans="1:188" x14ac:dyDescent="0.25">
      <c r="A782" s="7">
        <v>2.1036161988341632E-2</v>
      </c>
      <c r="B782"/>
      <c r="C782"/>
      <c r="D782"/>
      <c r="E782"/>
      <c r="F782" s="27" t="s">
        <v>7</v>
      </c>
      <c r="FO782" s="27" t="s">
        <v>8</v>
      </c>
      <c r="FP782" s="27" t="s">
        <v>7</v>
      </c>
      <c r="FQ782" s="27" t="s">
        <v>8</v>
      </c>
      <c r="FR782" s="27" t="s">
        <v>7</v>
      </c>
      <c r="FU782" s="27" t="s">
        <v>8</v>
      </c>
      <c r="FX782" s="27" t="s">
        <v>7</v>
      </c>
      <c r="FY782" s="27" t="s">
        <v>8</v>
      </c>
      <c r="FZ782" s="27" t="s">
        <v>7</v>
      </c>
      <c r="GA782" s="27" t="s">
        <v>8</v>
      </c>
      <c r="GB782" s="27" t="s">
        <v>7</v>
      </c>
      <c r="GC782" s="27" t="s">
        <v>8</v>
      </c>
      <c r="GD782" s="27" t="s">
        <v>7</v>
      </c>
      <c r="GE782" s="27" t="s">
        <v>8</v>
      </c>
      <c r="GF782" s="27" t="s">
        <v>7</v>
      </c>
    </row>
    <row r="783" spans="1:188" x14ac:dyDescent="0.25">
      <c r="A783" s="7">
        <v>2.0623688223864345E-2</v>
      </c>
      <c r="B783"/>
      <c r="C783"/>
      <c r="D783"/>
      <c r="E783"/>
      <c r="F783" s="27" t="s">
        <v>7</v>
      </c>
      <c r="FO783" s="27" t="s">
        <v>8</v>
      </c>
      <c r="FP783" s="27" t="s">
        <v>7</v>
      </c>
      <c r="FQ783" s="27" t="s">
        <v>8</v>
      </c>
      <c r="FR783" s="27" t="s">
        <v>7</v>
      </c>
      <c r="FU783" s="27" t="s">
        <v>8</v>
      </c>
      <c r="FX783" s="27" t="s">
        <v>7</v>
      </c>
      <c r="FY783" s="27" t="s">
        <v>8</v>
      </c>
      <c r="FZ783" s="27" t="s">
        <v>7</v>
      </c>
      <c r="GA783" s="27" t="s">
        <v>8</v>
      </c>
      <c r="GB783" s="27" t="s">
        <v>7</v>
      </c>
      <c r="GC783" s="27" t="s">
        <v>8</v>
      </c>
      <c r="GD783" s="27" t="s">
        <v>7</v>
      </c>
      <c r="GE783" s="27" t="s">
        <v>8</v>
      </c>
      <c r="GF783" s="27" t="s">
        <v>7</v>
      </c>
    </row>
    <row r="784" spans="1:188" x14ac:dyDescent="0.25">
      <c r="A784" s="7">
        <v>2.021930218025916E-2</v>
      </c>
      <c r="B784"/>
      <c r="C784"/>
      <c r="D784"/>
      <c r="E784"/>
      <c r="F784" s="27" t="s">
        <v>7</v>
      </c>
      <c r="FO784" s="27" t="s">
        <v>8</v>
      </c>
      <c r="FP784" s="27" t="s">
        <v>7</v>
      </c>
      <c r="FQ784" s="27" t="s">
        <v>8</v>
      </c>
      <c r="FR784" s="27" t="s">
        <v>7</v>
      </c>
      <c r="FU784" s="27" t="s">
        <v>8</v>
      </c>
      <c r="FX784" s="27" t="s">
        <v>7</v>
      </c>
      <c r="FY784" s="27" t="s">
        <v>8</v>
      </c>
      <c r="FZ784" s="27" t="s">
        <v>7</v>
      </c>
      <c r="GB784" s="27" t="s">
        <v>7</v>
      </c>
      <c r="GC784" s="27" t="s">
        <v>8</v>
      </c>
      <c r="GD784" s="27" t="s">
        <v>7</v>
      </c>
      <c r="GE784" s="27" t="s">
        <v>8</v>
      </c>
      <c r="GF784" s="27" t="s">
        <v>7</v>
      </c>
    </row>
    <row r="785" spans="1:295" x14ac:dyDescent="0.25">
      <c r="A785" s="7">
        <v>1.9822845274763884E-2</v>
      </c>
      <c r="B785"/>
      <c r="C785"/>
      <c r="D785"/>
      <c r="E785"/>
      <c r="F785" s="27" t="s">
        <v>7</v>
      </c>
      <c r="FO785" s="27" t="s">
        <v>8</v>
      </c>
      <c r="FP785" s="27" t="s">
        <v>7</v>
      </c>
      <c r="FQ785" s="27" t="s">
        <v>8</v>
      </c>
      <c r="FR785" s="27" t="s">
        <v>7</v>
      </c>
      <c r="FU785" s="27" t="s">
        <v>8</v>
      </c>
      <c r="FX785" s="27" t="s">
        <v>7</v>
      </c>
      <c r="FY785" s="27" t="s">
        <v>8</v>
      </c>
      <c r="GB785" s="27" t="s">
        <v>7</v>
      </c>
      <c r="GC785" s="27" t="s">
        <v>8</v>
      </c>
      <c r="GD785" s="27" t="s">
        <v>7</v>
      </c>
      <c r="GE785" s="27" t="s">
        <v>8</v>
      </c>
      <c r="GF785" s="27" t="s">
        <v>7</v>
      </c>
    </row>
    <row r="786" spans="1:295" x14ac:dyDescent="0.25">
      <c r="A786" s="7">
        <v>1.9434162034082238E-2</v>
      </c>
      <c r="B786"/>
      <c r="C786"/>
      <c r="D786"/>
      <c r="E786"/>
      <c r="F786" s="27" t="s">
        <v>7</v>
      </c>
      <c r="FO786" s="27" t="s">
        <v>8</v>
      </c>
      <c r="FP786" s="27" t="s">
        <v>7</v>
      </c>
      <c r="FQ786" s="27" t="s">
        <v>8</v>
      </c>
      <c r="FR786" s="27" t="s">
        <v>7</v>
      </c>
      <c r="FS786" s="27" t="s">
        <v>8</v>
      </c>
      <c r="FU786" s="27" t="s">
        <v>8</v>
      </c>
      <c r="FX786" s="27" t="s">
        <v>7</v>
      </c>
      <c r="FY786" s="27" t="s">
        <v>8</v>
      </c>
      <c r="GB786" s="27" t="s">
        <v>7</v>
      </c>
      <c r="GC786" s="27" t="s">
        <v>8</v>
      </c>
      <c r="GD786" s="27" t="s">
        <v>7</v>
      </c>
      <c r="GE786" s="27" t="s">
        <v>8</v>
      </c>
      <c r="GF786" s="27" t="s">
        <v>7</v>
      </c>
      <c r="GG786" s="27" t="s">
        <v>8</v>
      </c>
      <c r="GI786" s="27" t="s">
        <v>8</v>
      </c>
    </row>
    <row r="787" spans="1:295" x14ac:dyDescent="0.25">
      <c r="A787" s="7">
        <v>1.9053100033413959E-2</v>
      </c>
      <c r="B787"/>
      <c r="C787"/>
      <c r="D787"/>
      <c r="E787"/>
      <c r="F787" s="27" t="s">
        <v>7</v>
      </c>
      <c r="FO787" s="27" t="s">
        <v>8</v>
      </c>
      <c r="FP787" s="27" t="s">
        <v>7</v>
      </c>
      <c r="FQ787" s="27" t="s">
        <v>8</v>
      </c>
      <c r="FR787" s="27" t="s">
        <v>7</v>
      </c>
      <c r="FS787" s="27" t="s">
        <v>8</v>
      </c>
      <c r="FT787" s="27" t="s">
        <v>7</v>
      </c>
      <c r="FU787" s="27" t="s">
        <v>8</v>
      </c>
      <c r="FX787" s="27" t="s">
        <v>7</v>
      </c>
      <c r="FY787" s="27" t="s">
        <v>8</v>
      </c>
      <c r="GB787" s="27" t="s">
        <v>7</v>
      </c>
      <c r="GD787" s="27" t="s">
        <v>7</v>
      </c>
      <c r="GE787" s="27" t="s">
        <v>8</v>
      </c>
      <c r="GF787" s="27" t="s">
        <v>7</v>
      </c>
      <c r="GG787" s="27" t="s">
        <v>8</v>
      </c>
      <c r="GH787" s="27" t="s">
        <v>7</v>
      </c>
      <c r="GI787" s="27" t="s">
        <v>8</v>
      </c>
      <c r="GJ787" s="27" t="s">
        <v>7</v>
      </c>
    </row>
    <row r="788" spans="1:295" x14ac:dyDescent="0.25">
      <c r="A788" s="7">
        <v>1.867950983668035E-2</v>
      </c>
      <c r="B788"/>
      <c r="C788"/>
      <c r="D788"/>
      <c r="E788"/>
      <c r="F788" s="27" t="s">
        <v>7</v>
      </c>
      <c r="FO788" s="27" t="s">
        <v>8</v>
      </c>
      <c r="FP788" s="27" t="s">
        <v>7</v>
      </c>
      <c r="FQ788" s="27" t="s">
        <v>8</v>
      </c>
      <c r="FR788" s="27" t="s">
        <v>7</v>
      </c>
      <c r="FS788" s="27" t="s">
        <v>8</v>
      </c>
      <c r="FT788" s="27" t="s">
        <v>7</v>
      </c>
      <c r="FU788" s="27" t="s">
        <v>8</v>
      </c>
      <c r="FX788" s="27" t="s">
        <v>7</v>
      </c>
      <c r="FY788" s="27" t="s">
        <v>8</v>
      </c>
      <c r="GD788" s="27" t="s">
        <v>7</v>
      </c>
      <c r="GE788" s="27" t="s">
        <v>8</v>
      </c>
      <c r="GF788" s="27" t="s">
        <v>7</v>
      </c>
      <c r="GG788" s="27" t="s">
        <v>8</v>
      </c>
      <c r="GH788" s="27" t="s">
        <v>7</v>
      </c>
      <c r="GI788" s="27" t="s">
        <v>8</v>
      </c>
      <c r="GJ788" s="27" t="s">
        <v>7</v>
      </c>
    </row>
    <row r="789" spans="1:295" x14ac:dyDescent="0.25">
      <c r="A789" s="7">
        <v>1.8313244937921913E-2</v>
      </c>
      <c r="B789"/>
      <c r="C789"/>
      <c r="D789"/>
      <c r="E789"/>
      <c r="F789" s="27" t="s">
        <v>7</v>
      </c>
      <c r="FO789" s="27" t="s">
        <v>8</v>
      </c>
      <c r="FP789" s="27" t="s">
        <v>7</v>
      </c>
      <c r="FQ789" s="27" t="s">
        <v>8</v>
      </c>
      <c r="FR789" s="27" t="s">
        <v>7</v>
      </c>
      <c r="FS789" s="27" t="s">
        <v>8</v>
      </c>
      <c r="FT789" s="27" t="s">
        <v>7</v>
      </c>
      <c r="FX789" s="27" t="s">
        <v>7</v>
      </c>
      <c r="FY789" s="27" t="s">
        <v>8</v>
      </c>
      <c r="GD789" s="27" t="s">
        <v>7</v>
      </c>
      <c r="GF789" s="27" t="s">
        <v>7</v>
      </c>
      <c r="GG789" s="27" t="s">
        <v>8</v>
      </c>
      <c r="GH789" s="27" t="s">
        <v>7</v>
      </c>
      <c r="GI789" s="27" t="s">
        <v>8</v>
      </c>
      <c r="GJ789" s="27" t="s">
        <v>7</v>
      </c>
    </row>
    <row r="790" spans="1:295" x14ac:dyDescent="0.25">
      <c r="A790" s="7">
        <v>1.7954161703845013E-2</v>
      </c>
      <c r="B790"/>
      <c r="C790"/>
      <c r="D790"/>
      <c r="E790"/>
      <c r="F790" s="27" t="s">
        <v>7</v>
      </c>
      <c r="FO790" s="27" t="s">
        <v>8</v>
      </c>
      <c r="FP790" s="27" t="s">
        <v>7</v>
      </c>
      <c r="FQ790" s="27" t="s">
        <v>8</v>
      </c>
      <c r="FR790" s="27" t="s">
        <v>7</v>
      </c>
      <c r="FS790" s="27" t="s">
        <v>8</v>
      </c>
      <c r="FX790" s="27" t="s">
        <v>7</v>
      </c>
      <c r="FY790" s="27" t="s">
        <v>8</v>
      </c>
      <c r="GF790" s="27" t="s">
        <v>7</v>
      </c>
      <c r="GG790" s="27" t="s">
        <v>8</v>
      </c>
      <c r="GH790" s="27" t="s">
        <v>7</v>
      </c>
      <c r="GI790" s="27" t="s">
        <v>8</v>
      </c>
      <c r="GJ790" s="27" t="s">
        <v>7</v>
      </c>
      <c r="GM790" s="27" t="s">
        <v>8</v>
      </c>
    </row>
    <row r="791" spans="1:295" x14ac:dyDescent="0.25">
      <c r="A791" s="7">
        <v>1.7602119317495109E-2</v>
      </c>
      <c r="B791"/>
      <c r="C791"/>
      <c r="D791"/>
      <c r="E791"/>
      <c r="F791" s="27" t="s">
        <v>7</v>
      </c>
      <c r="FK791" s="27" t="s">
        <v>8</v>
      </c>
      <c r="FO791" s="27" t="s">
        <v>8</v>
      </c>
      <c r="FP791" s="27" t="s">
        <v>7</v>
      </c>
      <c r="FQ791" s="27" t="s">
        <v>8</v>
      </c>
      <c r="FR791" s="27" t="s">
        <v>7</v>
      </c>
      <c r="FS791" s="27" t="s">
        <v>8</v>
      </c>
      <c r="FX791" s="27" t="s">
        <v>7</v>
      </c>
      <c r="FY791" s="27" t="s">
        <v>8</v>
      </c>
      <c r="GF791" s="27" t="s">
        <v>7</v>
      </c>
      <c r="GG791" s="27" t="s">
        <v>8</v>
      </c>
      <c r="GH791" s="27" t="s">
        <v>7</v>
      </c>
      <c r="GI791" s="27" t="s">
        <v>8</v>
      </c>
      <c r="GJ791" s="27" t="s">
        <v>7</v>
      </c>
      <c r="GM791" s="27" t="s">
        <v>8</v>
      </c>
      <c r="GN791" s="27" t="s">
        <v>7</v>
      </c>
    </row>
    <row r="792" spans="1:295" x14ac:dyDescent="0.25">
      <c r="A792" s="7">
        <v>1.7256979723034419E-2</v>
      </c>
      <c r="B792"/>
      <c r="C792"/>
      <c r="D792"/>
      <c r="E792"/>
      <c r="F792" s="27" t="s">
        <v>7</v>
      </c>
      <c r="FK792" s="27" t="s">
        <v>8</v>
      </c>
      <c r="FL792" s="27" t="s">
        <v>7</v>
      </c>
      <c r="FO792" s="27" t="s">
        <v>8</v>
      </c>
      <c r="FP792" s="27" t="s">
        <v>7</v>
      </c>
      <c r="FQ792" s="27" t="s">
        <v>8</v>
      </c>
      <c r="FR792" s="27" t="s">
        <v>7</v>
      </c>
      <c r="FS792" s="27" t="s">
        <v>8</v>
      </c>
      <c r="FX792" s="27" t="s">
        <v>7</v>
      </c>
      <c r="GF792" s="27" t="s">
        <v>7</v>
      </c>
      <c r="GG792" s="27" t="s">
        <v>8</v>
      </c>
      <c r="GH792" s="27" t="s">
        <v>7</v>
      </c>
      <c r="GI792" s="27" t="s">
        <v>8</v>
      </c>
      <c r="GJ792" s="27" t="s">
        <v>7</v>
      </c>
      <c r="GK792" s="27" t="s">
        <v>8</v>
      </c>
      <c r="GM792" s="27" t="s">
        <v>8</v>
      </c>
      <c r="GN792" s="27" t="s">
        <v>7</v>
      </c>
    </row>
    <row r="793" spans="1:295" x14ac:dyDescent="0.25">
      <c r="A793" s="7">
        <v>1.6918607571602372E-2</v>
      </c>
      <c r="B793"/>
      <c r="C793"/>
      <c r="D793"/>
      <c r="E793"/>
      <c r="F793" s="27" t="s">
        <v>7</v>
      </c>
      <c r="FK793" s="27" t="s">
        <v>8</v>
      </c>
      <c r="FL793" s="27" t="s">
        <v>7</v>
      </c>
      <c r="FO793" s="27" t="s">
        <v>8</v>
      </c>
      <c r="FP793" s="27" t="s">
        <v>7</v>
      </c>
      <c r="FQ793" s="27" t="s">
        <v>8</v>
      </c>
      <c r="FR793" s="27" t="s">
        <v>7</v>
      </c>
      <c r="FS793" s="27" t="s">
        <v>8</v>
      </c>
      <c r="GF793" s="27" t="s">
        <v>7</v>
      </c>
      <c r="GG793" s="27" t="s">
        <v>8</v>
      </c>
      <c r="GH793" s="27" t="s">
        <v>7</v>
      </c>
      <c r="GI793" s="27" t="s">
        <v>8</v>
      </c>
      <c r="GJ793" s="27" t="s">
        <v>7</v>
      </c>
      <c r="GK793" s="27" t="s">
        <v>8</v>
      </c>
      <c r="GL793" s="27" t="s">
        <v>7</v>
      </c>
      <c r="GM793" s="27" t="s">
        <v>8</v>
      </c>
      <c r="GN793" s="27" t="s">
        <v>7</v>
      </c>
      <c r="GO793" s="27" t="s">
        <v>8</v>
      </c>
    </row>
    <row r="794" spans="1:295" x14ac:dyDescent="0.25">
      <c r="A794" s="7">
        <v>1.6586870168237622E-2</v>
      </c>
      <c r="B794"/>
      <c r="C794"/>
      <c r="D794"/>
      <c r="E794"/>
      <c r="F794" s="27" t="s">
        <v>7</v>
      </c>
      <c r="FK794" s="27" t="s">
        <v>8</v>
      </c>
      <c r="FL794" s="27" t="s">
        <v>7</v>
      </c>
      <c r="FO794" s="27" t="s">
        <v>8</v>
      </c>
      <c r="FP794" s="27" t="s">
        <v>7</v>
      </c>
      <c r="FR794" s="27" t="s">
        <v>7</v>
      </c>
      <c r="GF794" s="27" t="s">
        <v>7</v>
      </c>
      <c r="GG794" s="27" t="s">
        <v>8</v>
      </c>
      <c r="GH794" s="27" t="s">
        <v>7</v>
      </c>
      <c r="GI794" s="27" t="s">
        <v>8</v>
      </c>
      <c r="GJ794" s="27" t="s">
        <v>7</v>
      </c>
      <c r="GK794" s="27" t="s">
        <v>8</v>
      </c>
      <c r="GL794" s="27" t="s">
        <v>7</v>
      </c>
      <c r="GM794" s="27" t="s">
        <v>8</v>
      </c>
      <c r="GN794" s="27" t="s">
        <v>7</v>
      </c>
      <c r="GO794" s="27" t="s">
        <v>8</v>
      </c>
      <c r="GP794" s="27" t="s">
        <v>7</v>
      </c>
      <c r="KE794" s="27" t="s">
        <v>8</v>
      </c>
    </row>
    <row r="795" spans="1:295" x14ac:dyDescent="0.25">
      <c r="A795" s="7">
        <v>1.6261637419840807E-2</v>
      </c>
      <c r="B795"/>
      <c r="C795"/>
      <c r="D795"/>
      <c r="E795"/>
      <c r="F795" s="27" t="s">
        <v>7</v>
      </c>
      <c r="FK795" s="27" t="s">
        <v>8</v>
      </c>
      <c r="FL795" s="27" t="s">
        <v>7</v>
      </c>
      <c r="FO795" s="27" t="s">
        <v>8</v>
      </c>
      <c r="GF795" s="27" t="s">
        <v>7</v>
      </c>
      <c r="GG795" s="27" t="s">
        <v>8</v>
      </c>
      <c r="GH795" s="27" t="s">
        <v>7</v>
      </c>
      <c r="GI795" s="27" t="s">
        <v>8</v>
      </c>
      <c r="GJ795" s="27" t="s">
        <v>7</v>
      </c>
      <c r="GK795" s="27" t="s">
        <v>8</v>
      </c>
      <c r="GL795" s="27" t="s">
        <v>7</v>
      </c>
      <c r="GN795" s="27" t="s">
        <v>7</v>
      </c>
      <c r="GO795" s="27" t="s">
        <v>8</v>
      </c>
      <c r="GP795" s="27" t="s">
        <v>7</v>
      </c>
      <c r="JQ795" s="27" t="s">
        <v>8</v>
      </c>
      <c r="KE795" s="27" t="s">
        <v>8</v>
      </c>
      <c r="KF795" s="27" t="s">
        <v>7</v>
      </c>
    </row>
    <row r="796" spans="1:295" x14ac:dyDescent="0.25">
      <c r="A796" s="7">
        <v>1.5942781784157655E-2</v>
      </c>
      <c r="B796"/>
      <c r="C796"/>
      <c r="D796"/>
      <c r="E796"/>
      <c r="F796" s="27" t="s">
        <v>7</v>
      </c>
      <c r="FK796" s="27" t="s">
        <v>8</v>
      </c>
      <c r="FL796" s="27" t="s">
        <v>7</v>
      </c>
      <c r="FO796" s="27" t="s">
        <v>8</v>
      </c>
      <c r="GF796" s="27" t="s">
        <v>7</v>
      </c>
      <c r="GG796" s="27" t="s">
        <v>8</v>
      </c>
      <c r="GH796" s="27" t="s">
        <v>7</v>
      </c>
      <c r="GI796" s="27" t="s">
        <v>8</v>
      </c>
      <c r="GJ796" s="27" t="s">
        <v>7</v>
      </c>
      <c r="GK796" s="27" t="s">
        <v>8</v>
      </c>
      <c r="GN796" s="27" t="s">
        <v>7</v>
      </c>
      <c r="GO796" s="27" t="s">
        <v>8</v>
      </c>
      <c r="GP796" s="27" t="s">
        <v>7</v>
      </c>
      <c r="GQ796" s="27" t="s">
        <v>8</v>
      </c>
      <c r="JQ796" s="27" t="s">
        <v>8</v>
      </c>
      <c r="JR796" s="27" t="s">
        <v>7</v>
      </c>
      <c r="KE796" s="27" t="s">
        <v>8</v>
      </c>
      <c r="KF796" s="27" t="s">
        <v>7</v>
      </c>
    </row>
    <row r="797" spans="1:295" x14ac:dyDescent="0.25">
      <c r="A797" s="7">
        <v>1.5630178219762408E-2</v>
      </c>
      <c r="B797"/>
      <c r="C797"/>
      <c r="D797"/>
      <c r="E797"/>
      <c r="F797" s="27" t="s">
        <v>7</v>
      </c>
      <c r="FK797" s="27" t="s">
        <v>8</v>
      </c>
      <c r="FL797" s="27" t="s">
        <v>7</v>
      </c>
      <c r="FO797" s="27" t="s">
        <v>8</v>
      </c>
      <c r="GF797" s="27" t="s">
        <v>7</v>
      </c>
      <c r="GG797" s="27" t="s">
        <v>8</v>
      </c>
      <c r="GH797" s="27" t="s">
        <v>7</v>
      </c>
      <c r="GI797" s="27" t="s">
        <v>8</v>
      </c>
      <c r="GJ797" s="27" t="s">
        <v>7</v>
      </c>
      <c r="GN797" s="27" t="s">
        <v>7</v>
      </c>
      <c r="GO797" s="27" t="s">
        <v>8</v>
      </c>
      <c r="GP797" s="27" t="s">
        <v>7</v>
      </c>
      <c r="GQ797" s="27" t="s">
        <v>8</v>
      </c>
      <c r="GR797" s="27" t="s">
        <v>7</v>
      </c>
      <c r="JQ797" s="27" t="s">
        <v>8</v>
      </c>
      <c r="JR797" s="27" t="s">
        <v>7</v>
      </c>
      <c r="KE797" s="27" t="s">
        <v>8</v>
      </c>
      <c r="KF797" s="27" t="s">
        <v>7</v>
      </c>
    </row>
    <row r="798" spans="1:295" x14ac:dyDescent="0.25">
      <c r="A798" s="7">
        <v>1.5323704137021967E-2</v>
      </c>
      <c r="B798"/>
      <c r="C798"/>
      <c r="D798"/>
      <c r="E798"/>
      <c r="F798" s="27" t="s">
        <v>7</v>
      </c>
      <c r="FK798" s="27" t="s">
        <v>8</v>
      </c>
      <c r="FL798" s="27" t="s">
        <v>7</v>
      </c>
      <c r="FO798" s="27" t="s">
        <v>8</v>
      </c>
      <c r="GF798" s="27" t="s">
        <v>7</v>
      </c>
      <c r="GG798" s="27" t="s">
        <v>8</v>
      </c>
      <c r="GH798" s="27" t="s">
        <v>7</v>
      </c>
      <c r="GI798" s="27" t="s">
        <v>8</v>
      </c>
      <c r="GN798" s="27" t="s">
        <v>7</v>
      </c>
      <c r="GO798" s="27" t="s">
        <v>8</v>
      </c>
      <c r="GP798" s="27" t="s">
        <v>7</v>
      </c>
      <c r="GQ798" s="27" t="s">
        <v>8</v>
      </c>
      <c r="GR798" s="27" t="s">
        <v>7</v>
      </c>
      <c r="JQ798" s="27" t="s">
        <v>8</v>
      </c>
      <c r="JR798" s="27" t="s">
        <v>7</v>
      </c>
      <c r="KE798" s="27" t="s">
        <v>8</v>
      </c>
      <c r="KF798" s="27" t="s">
        <v>7</v>
      </c>
    </row>
    <row r="799" spans="1:295" x14ac:dyDescent="0.25">
      <c r="A799" s="7">
        <v>1.5023239350021535E-2</v>
      </c>
      <c r="B799"/>
      <c r="C799"/>
      <c r="D799"/>
      <c r="E799"/>
      <c r="F799" s="27" t="s">
        <v>7</v>
      </c>
      <c r="FK799" s="27" t="s">
        <v>8</v>
      </c>
      <c r="FL799" s="27" t="s">
        <v>7</v>
      </c>
      <c r="FO799" s="27" t="s">
        <v>8</v>
      </c>
      <c r="GF799" s="27" t="s">
        <v>7</v>
      </c>
      <c r="GG799" s="27" t="s">
        <v>8</v>
      </c>
      <c r="GH799" s="27" t="s">
        <v>7</v>
      </c>
      <c r="GI799" s="27" t="s">
        <v>8</v>
      </c>
      <c r="GN799" s="27" t="s">
        <v>7</v>
      </c>
      <c r="GO799" s="27" t="s">
        <v>8</v>
      </c>
      <c r="GP799" s="27" t="s">
        <v>7</v>
      </c>
      <c r="GQ799" s="27" t="s">
        <v>8</v>
      </c>
      <c r="GR799" s="27" t="s">
        <v>7</v>
      </c>
      <c r="JQ799" s="27" t="s">
        <v>8</v>
      </c>
      <c r="JR799" s="27" t="s">
        <v>7</v>
      </c>
      <c r="KE799" s="27" t="s">
        <v>8</v>
      </c>
      <c r="KF799" s="27" t="s">
        <v>7</v>
      </c>
    </row>
    <row r="800" spans="1:295" x14ac:dyDescent="0.25">
      <c r="A800" s="7">
        <v>1.4728666029432878E-2</v>
      </c>
      <c r="B800"/>
      <c r="C800"/>
      <c r="D800"/>
      <c r="E800"/>
      <c r="F800" s="27" t="s">
        <v>7</v>
      </c>
      <c r="FK800" s="27" t="s">
        <v>8</v>
      </c>
      <c r="FL800" s="27" t="s">
        <v>7</v>
      </c>
      <c r="FO800" s="27" t="s">
        <v>8</v>
      </c>
      <c r="GF800" s="27" t="s">
        <v>7</v>
      </c>
      <c r="GG800" s="27" t="s">
        <v>8</v>
      </c>
      <c r="GH800" s="27" t="s">
        <v>7</v>
      </c>
      <c r="GI800" s="27" t="s">
        <v>8</v>
      </c>
      <c r="GN800" s="27" t="s">
        <v>7</v>
      </c>
      <c r="GO800" s="27" t="s">
        <v>8</v>
      </c>
      <c r="GP800" s="27" t="s">
        <v>7</v>
      </c>
      <c r="GQ800" s="27" t="s">
        <v>8</v>
      </c>
      <c r="GR800" s="27" t="s">
        <v>7</v>
      </c>
      <c r="JQ800" s="27" t="s">
        <v>8</v>
      </c>
      <c r="JR800" s="27" t="s">
        <v>7</v>
      </c>
      <c r="KE800" s="27" t="s">
        <v>8</v>
      </c>
      <c r="KF800" s="27" t="s">
        <v>7</v>
      </c>
      <c r="KI800" s="27" t="s">
        <v>8</v>
      </c>
    </row>
    <row r="801" spans="1:313" x14ac:dyDescent="0.25">
      <c r="A801" s="7">
        <v>1.4439868656306743E-2</v>
      </c>
      <c r="B801"/>
      <c r="C801"/>
      <c r="D801"/>
      <c r="E801"/>
      <c r="F801" s="27" t="s">
        <v>7</v>
      </c>
      <c r="FK801" s="27" t="s">
        <v>8</v>
      </c>
      <c r="FL801" s="27" t="s">
        <v>7</v>
      </c>
      <c r="FO801" s="27" t="s">
        <v>8</v>
      </c>
      <c r="GF801" s="27" t="s">
        <v>7</v>
      </c>
      <c r="GH801" s="27" t="s">
        <v>7</v>
      </c>
      <c r="GI801" s="27" t="s">
        <v>8</v>
      </c>
      <c r="GN801" s="27" t="s">
        <v>7</v>
      </c>
      <c r="GO801" s="27" t="s">
        <v>8</v>
      </c>
      <c r="GP801" s="27" t="s">
        <v>7</v>
      </c>
      <c r="GQ801" s="27" t="s">
        <v>8</v>
      </c>
      <c r="GR801" s="27" t="s">
        <v>7</v>
      </c>
      <c r="JQ801" s="27" t="s">
        <v>8</v>
      </c>
      <c r="JR801" s="27" t="s">
        <v>7</v>
      </c>
      <c r="KE801" s="27" t="s">
        <v>8</v>
      </c>
      <c r="KF801" s="27" t="s">
        <v>7</v>
      </c>
      <c r="KI801" s="27" t="s">
        <v>8</v>
      </c>
      <c r="KJ801" s="27" t="s">
        <v>7</v>
      </c>
    </row>
    <row r="802" spans="1:313" x14ac:dyDescent="0.25">
      <c r="A802" s="7">
        <v>1.4156733976771318E-2</v>
      </c>
      <c r="B802"/>
      <c r="C802"/>
      <c r="D802"/>
      <c r="E802"/>
      <c r="F802" s="27" t="s">
        <v>7</v>
      </c>
      <c r="FK802" s="27" t="s">
        <v>8</v>
      </c>
      <c r="FL802" s="27" t="s">
        <v>7</v>
      </c>
      <c r="FM802" s="27" t="s">
        <v>8</v>
      </c>
      <c r="FO802" s="27" t="s">
        <v>8</v>
      </c>
      <c r="GH802" s="27" t="s">
        <v>7</v>
      </c>
      <c r="GI802" s="27" t="s">
        <v>8</v>
      </c>
      <c r="GN802" s="27" t="s">
        <v>7</v>
      </c>
      <c r="GP802" s="27" t="s">
        <v>7</v>
      </c>
      <c r="GQ802" s="27" t="s">
        <v>8</v>
      </c>
      <c r="GR802" s="27" t="s">
        <v>7</v>
      </c>
      <c r="JA802" s="27" t="s">
        <v>8</v>
      </c>
      <c r="JQ802" s="27" t="s">
        <v>8</v>
      </c>
      <c r="JR802" s="27" t="s">
        <v>7</v>
      </c>
      <c r="KE802" s="27" t="s">
        <v>8</v>
      </c>
      <c r="KF802" s="27" t="s">
        <v>7</v>
      </c>
      <c r="KI802" s="27" t="s">
        <v>8</v>
      </c>
      <c r="KJ802" s="27" t="s">
        <v>7</v>
      </c>
    </row>
    <row r="803" spans="1:313" x14ac:dyDescent="0.25">
      <c r="A803" s="7">
        <v>1.3879150957618939E-2</v>
      </c>
      <c r="B803"/>
      <c r="C803"/>
      <c r="D803"/>
      <c r="E803"/>
      <c r="F803" s="27" t="s">
        <v>7</v>
      </c>
      <c r="FK803" s="27" t="s">
        <v>8</v>
      </c>
      <c r="FL803" s="27" t="s">
        <v>7</v>
      </c>
      <c r="FM803" s="27" t="s">
        <v>8</v>
      </c>
      <c r="FN803" s="27" t="s">
        <v>7</v>
      </c>
      <c r="FO803" s="27" t="s">
        <v>8</v>
      </c>
      <c r="GH803" s="27" t="s">
        <v>7</v>
      </c>
      <c r="GI803" s="27" t="s">
        <v>8</v>
      </c>
      <c r="GP803" s="27" t="s">
        <v>7</v>
      </c>
      <c r="GQ803" s="27" t="s">
        <v>8</v>
      </c>
      <c r="GR803" s="27" t="s">
        <v>7</v>
      </c>
      <c r="JA803" s="27" t="s">
        <v>8</v>
      </c>
      <c r="JB803" s="27" t="s">
        <v>7</v>
      </c>
      <c r="JQ803" s="27" t="s">
        <v>8</v>
      </c>
      <c r="JR803" s="27" t="s">
        <v>7</v>
      </c>
      <c r="KE803" s="27" t="s">
        <v>8</v>
      </c>
      <c r="KF803" s="27" t="s">
        <v>7</v>
      </c>
      <c r="KI803" s="27" t="s">
        <v>8</v>
      </c>
      <c r="KJ803" s="27" t="s">
        <v>7</v>
      </c>
      <c r="KK803" s="27" t="s">
        <v>8</v>
      </c>
    </row>
    <row r="804" spans="1:313" x14ac:dyDescent="0.25">
      <c r="A804" s="7">
        <v>1.3607010742763666E-2</v>
      </c>
      <c r="B804"/>
      <c r="C804"/>
      <c r="D804"/>
      <c r="E804"/>
      <c r="F804" s="27" t="s">
        <v>7</v>
      </c>
      <c r="FK804" s="27" t="s">
        <v>8</v>
      </c>
      <c r="FL804" s="27" t="s">
        <v>7</v>
      </c>
      <c r="FM804" s="27" t="s">
        <v>8</v>
      </c>
      <c r="FN804" s="27" t="s">
        <v>7</v>
      </c>
      <c r="FO804" s="27" t="s">
        <v>8</v>
      </c>
      <c r="GH804" s="27" t="s">
        <v>7</v>
      </c>
      <c r="GI804" s="27" t="s">
        <v>8</v>
      </c>
      <c r="GP804" s="27" t="s">
        <v>7</v>
      </c>
      <c r="GQ804" s="27" t="s">
        <v>8</v>
      </c>
      <c r="GR804" s="27" t="s">
        <v>7</v>
      </c>
      <c r="JA804" s="27" t="s">
        <v>8</v>
      </c>
      <c r="JB804" s="27" t="s">
        <v>7</v>
      </c>
      <c r="JQ804" s="27" t="s">
        <v>8</v>
      </c>
      <c r="JR804" s="27" t="s">
        <v>7</v>
      </c>
      <c r="KE804" s="27" t="s">
        <v>8</v>
      </c>
      <c r="KF804" s="27" t="s">
        <v>7</v>
      </c>
      <c r="KI804" s="27" t="s">
        <v>8</v>
      </c>
      <c r="KJ804" s="27" t="s">
        <v>7</v>
      </c>
      <c r="KK804" s="27" t="s">
        <v>8</v>
      </c>
      <c r="KL804" s="27" t="s">
        <v>7</v>
      </c>
    </row>
    <row r="805" spans="1:313" x14ac:dyDescent="0.25">
      <c r="A805" s="7">
        <v>1.3340206610552614E-2</v>
      </c>
      <c r="B805"/>
      <c r="C805"/>
      <c r="D805"/>
      <c r="E805"/>
      <c r="F805" s="27" t="s">
        <v>7</v>
      </c>
      <c r="FK805" s="27" t="s">
        <v>8</v>
      </c>
      <c r="FL805" s="27" t="s">
        <v>7</v>
      </c>
      <c r="FM805" s="27" t="s">
        <v>8</v>
      </c>
      <c r="FN805" s="27" t="s">
        <v>7</v>
      </c>
      <c r="FO805" s="27" t="s">
        <v>8</v>
      </c>
      <c r="GH805" s="27" t="s">
        <v>7</v>
      </c>
      <c r="GI805" s="27" t="s">
        <v>8</v>
      </c>
      <c r="GP805" s="27" t="s">
        <v>7</v>
      </c>
      <c r="GQ805" s="27" t="s">
        <v>8</v>
      </c>
      <c r="GR805" s="27" t="s">
        <v>7</v>
      </c>
      <c r="JA805" s="27" t="s">
        <v>8</v>
      </c>
      <c r="JB805" s="27" t="s">
        <v>7</v>
      </c>
      <c r="JQ805" s="27" t="s">
        <v>8</v>
      </c>
      <c r="JR805" s="27" t="s">
        <v>7</v>
      </c>
      <c r="KE805" s="27" t="s">
        <v>8</v>
      </c>
      <c r="KF805" s="27" t="s">
        <v>7</v>
      </c>
      <c r="KI805" s="27" t="s">
        <v>8</v>
      </c>
      <c r="KJ805" s="27" t="s">
        <v>7</v>
      </c>
      <c r="KK805" s="27" t="s">
        <v>8</v>
      </c>
      <c r="KL805" s="27" t="s">
        <v>7</v>
      </c>
    </row>
    <row r="806" spans="1:313" x14ac:dyDescent="0.25">
      <c r="A806" s="7">
        <v>1.3078633931914328E-2</v>
      </c>
      <c r="B806"/>
      <c r="C806"/>
      <c r="D806"/>
      <c r="E806"/>
      <c r="F806" s="27" t="s">
        <v>7</v>
      </c>
      <c r="FK806" s="27" t="s">
        <v>8</v>
      </c>
      <c r="FL806" s="27" t="s">
        <v>7</v>
      </c>
      <c r="FM806" s="27" t="s">
        <v>8</v>
      </c>
      <c r="FN806" s="27" t="s">
        <v>7</v>
      </c>
      <c r="FO806" s="27" t="s">
        <v>8</v>
      </c>
      <c r="GH806" s="27" t="s">
        <v>7</v>
      </c>
      <c r="GI806" s="27" t="s">
        <v>8</v>
      </c>
      <c r="GP806" s="27" t="s">
        <v>7</v>
      </c>
      <c r="GR806" s="27" t="s">
        <v>7</v>
      </c>
      <c r="GS806" s="27" t="s">
        <v>8</v>
      </c>
      <c r="JA806" s="27" t="s">
        <v>8</v>
      </c>
      <c r="JB806" s="27" t="s">
        <v>7</v>
      </c>
      <c r="JQ806" s="27" t="s">
        <v>8</v>
      </c>
      <c r="JR806" s="27" t="s">
        <v>7</v>
      </c>
      <c r="KE806" s="27" t="s">
        <v>8</v>
      </c>
      <c r="KF806" s="27" t="s">
        <v>7</v>
      </c>
      <c r="KI806" s="27" t="s">
        <v>8</v>
      </c>
      <c r="KJ806" s="27" t="s">
        <v>7</v>
      </c>
      <c r="KK806" s="27" t="s">
        <v>8</v>
      </c>
      <c r="KL806" s="27" t="s">
        <v>7</v>
      </c>
    </row>
    <row r="807" spans="1:313" x14ac:dyDescent="0.25">
      <c r="A807" s="7">
        <v>1.2822190129327771E-2</v>
      </c>
      <c r="B807"/>
      <c r="C807"/>
      <c r="D807"/>
      <c r="E807"/>
      <c r="F807" s="27" t="s">
        <v>7</v>
      </c>
      <c r="FK807" s="27" t="s">
        <v>8</v>
      </c>
      <c r="FL807" s="27" t="s">
        <v>7</v>
      </c>
      <c r="FM807" s="27" t="s">
        <v>8</v>
      </c>
      <c r="FN807" s="27" t="s">
        <v>7</v>
      </c>
      <c r="FO807" s="27" t="s">
        <v>8</v>
      </c>
      <c r="GH807" s="27" t="s">
        <v>7</v>
      </c>
      <c r="GI807" s="27" t="s">
        <v>8</v>
      </c>
      <c r="GR807" s="27" t="s">
        <v>7</v>
      </c>
      <c r="GS807" s="27" t="s">
        <v>8</v>
      </c>
      <c r="GT807" s="27" t="s">
        <v>7</v>
      </c>
      <c r="JA807" s="27" t="s">
        <v>8</v>
      </c>
      <c r="JB807" s="27" t="s">
        <v>7</v>
      </c>
      <c r="JQ807" s="27" t="s">
        <v>8</v>
      </c>
      <c r="JR807" s="27" t="s">
        <v>7</v>
      </c>
      <c r="KE807" s="27" t="s">
        <v>8</v>
      </c>
      <c r="KF807" s="27" t="s">
        <v>7</v>
      </c>
      <c r="KI807" s="27" t="s">
        <v>8</v>
      </c>
      <c r="KJ807" s="27" t="s">
        <v>7</v>
      </c>
      <c r="KK807" s="27" t="s">
        <v>8</v>
      </c>
      <c r="KL807" s="27" t="s">
        <v>7</v>
      </c>
    </row>
    <row r="808" spans="1:313" x14ac:dyDescent="0.25">
      <c r="A808" s="7">
        <v>1.2570774636595854E-2</v>
      </c>
      <c r="B808"/>
      <c r="C808"/>
      <c r="D808"/>
      <c r="E808"/>
      <c r="F808" s="27" t="s">
        <v>7</v>
      </c>
      <c r="FK808" s="27" t="s">
        <v>8</v>
      </c>
      <c r="FL808" s="27" t="s">
        <v>7</v>
      </c>
      <c r="FM808" s="27" t="s">
        <v>8</v>
      </c>
      <c r="FN808" s="27" t="s">
        <v>7</v>
      </c>
      <c r="FO808" s="27" t="s">
        <v>8</v>
      </c>
      <c r="GH808" s="27" t="s">
        <v>7</v>
      </c>
      <c r="GI808" s="27" t="s">
        <v>8</v>
      </c>
      <c r="GR808" s="27" t="s">
        <v>7</v>
      </c>
      <c r="GS808" s="27" t="s">
        <v>8</v>
      </c>
      <c r="GT808" s="27" t="s">
        <v>7</v>
      </c>
      <c r="GW808" s="27" t="s">
        <v>8</v>
      </c>
      <c r="JA808" s="27" t="s">
        <v>8</v>
      </c>
      <c r="JB808" s="27" t="s">
        <v>7</v>
      </c>
      <c r="JQ808" s="27" t="s">
        <v>8</v>
      </c>
      <c r="JR808" s="27" t="s">
        <v>7</v>
      </c>
      <c r="KE808" s="27" t="s">
        <v>8</v>
      </c>
      <c r="KF808" s="27" t="s">
        <v>7</v>
      </c>
      <c r="KG808" s="27" t="s">
        <v>8</v>
      </c>
      <c r="KI808" s="27" t="s">
        <v>8</v>
      </c>
      <c r="KJ808" s="27" t="s">
        <v>7</v>
      </c>
      <c r="KK808" s="27" t="s">
        <v>8</v>
      </c>
      <c r="KL808" s="27" t="s">
        <v>7</v>
      </c>
    </row>
    <row r="809" spans="1:313" x14ac:dyDescent="0.25">
      <c r="A809" s="7">
        <v>1.23242888594077E-2</v>
      </c>
      <c r="B809"/>
      <c r="C809"/>
      <c r="D809"/>
      <c r="E809"/>
      <c r="F809" s="27" t="s">
        <v>7</v>
      </c>
      <c r="FK809" s="27" t="s">
        <v>8</v>
      </c>
      <c r="FL809" s="27" t="s">
        <v>7</v>
      </c>
      <c r="FM809" s="27" t="s">
        <v>8</v>
      </c>
      <c r="FN809" s="27" t="s">
        <v>7</v>
      </c>
      <c r="FO809" s="27" t="s">
        <v>8</v>
      </c>
      <c r="GH809" s="27" t="s">
        <v>7</v>
      </c>
      <c r="GI809" s="27" t="s">
        <v>8</v>
      </c>
      <c r="GR809" s="27" t="s">
        <v>7</v>
      </c>
      <c r="GS809" s="27" t="s">
        <v>8</v>
      </c>
      <c r="GT809" s="27" t="s">
        <v>7</v>
      </c>
      <c r="GW809" s="27" t="s">
        <v>8</v>
      </c>
      <c r="GX809" s="27" t="s">
        <v>7</v>
      </c>
      <c r="JA809" s="27" t="s">
        <v>8</v>
      </c>
      <c r="JB809" s="27" t="s">
        <v>7</v>
      </c>
      <c r="JQ809" s="27" t="s">
        <v>8</v>
      </c>
      <c r="JR809" s="27" t="s">
        <v>7</v>
      </c>
      <c r="KE809" s="27" t="s">
        <v>8</v>
      </c>
      <c r="KF809" s="27" t="s">
        <v>7</v>
      </c>
      <c r="KG809" s="27" t="s">
        <v>8</v>
      </c>
      <c r="KH809" s="27" t="s">
        <v>7</v>
      </c>
      <c r="KI809" s="27" t="s">
        <v>8</v>
      </c>
      <c r="KJ809" s="27" t="s">
        <v>7</v>
      </c>
      <c r="KK809" s="27" t="s">
        <v>8</v>
      </c>
      <c r="KL809" s="27" t="s">
        <v>7</v>
      </c>
    </row>
    <row r="810" spans="1:313" x14ac:dyDescent="0.25">
      <c r="A810" s="7">
        <v>1.2082636136674216E-2</v>
      </c>
      <c r="B810"/>
      <c r="C810"/>
      <c r="D810"/>
      <c r="E810"/>
      <c r="F810" s="27" t="s">
        <v>7</v>
      </c>
      <c r="FK810" s="27" t="s">
        <v>8</v>
      </c>
      <c r="FL810" s="27" t="s">
        <v>7</v>
      </c>
      <c r="FM810" s="27" t="s">
        <v>8</v>
      </c>
      <c r="FN810" s="27" t="s">
        <v>7</v>
      </c>
      <c r="FO810" s="27" t="s">
        <v>8</v>
      </c>
      <c r="GH810" s="27" t="s">
        <v>7</v>
      </c>
      <c r="GI810" s="27" t="s">
        <v>8</v>
      </c>
      <c r="GR810" s="27" t="s">
        <v>7</v>
      </c>
      <c r="GS810" s="27" t="s">
        <v>8</v>
      </c>
      <c r="GT810" s="27" t="s">
        <v>7</v>
      </c>
      <c r="GW810" s="27" t="s">
        <v>8</v>
      </c>
      <c r="GX810" s="27" t="s">
        <v>7</v>
      </c>
      <c r="JA810" s="27" t="s">
        <v>8</v>
      </c>
      <c r="JB810" s="27" t="s">
        <v>7</v>
      </c>
      <c r="JQ810" s="27" t="s">
        <v>8</v>
      </c>
      <c r="JR810" s="27" t="s">
        <v>7</v>
      </c>
      <c r="KE810" s="27" t="s">
        <v>8</v>
      </c>
      <c r="KF810" s="27" t="s">
        <v>7</v>
      </c>
      <c r="KG810" s="27" t="s">
        <v>8</v>
      </c>
      <c r="KH810" s="27" t="s">
        <v>7</v>
      </c>
      <c r="KI810" s="27" t="s">
        <v>8</v>
      </c>
      <c r="KJ810" s="27" t="s">
        <v>7</v>
      </c>
      <c r="KK810" s="27" t="s">
        <v>8</v>
      </c>
      <c r="KL810" s="27" t="s">
        <v>7</v>
      </c>
    </row>
    <row r="811" spans="1:313" x14ac:dyDescent="0.25">
      <c r="A811" s="7">
        <v>1.184572170262178E-2</v>
      </c>
      <c r="B811"/>
      <c r="C811"/>
      <c r="D811"/>
      <c r="E811"/>
      <c r="F811" s="27" t="s">
        <v>7</v>
      </c>
      <c r="FK811" s="27" t="s">
        <v>8</v>
      </c>
      <c r="FL811" s="27" t="s">
        <v>7</v>
      </c>
      <c r="FM811" s="27" t="s">
        <v>8</v>
      </c>
      <c r="FN811" s="27" t="s">
        <v>7</v>
      </c>
      <c r="FO811" s="27" t="s">
        <v>8</v>
      </c>
      <c r="GH811" s="27" t="s">
        <v>7</v>
      </c>
      <c r="GI811" s="27" t="s">
        <v>8</v>
      </c>
      <c r="GR811" s="27" t="s">
        <v>7</v>
      </c>
      <c r="GT811" s="27" t="s">
        <v>7</v>
      </c>
      <c r="GU811" s="27" t="s">
        <v>8</v>
      </c>
      <c r="GW811" s="27" t="s">
        <v>8</v>
      </c>
      <c r="GX811" s="27" t="s">
        <v>7</v>
      </c>
      <c r="JA811" s="27" t="s">
        <v>8</v>
      </c>
      <c r="JB811" s="27" t="s">
        <v>7</v>
      </c>
      <c r="JQ811" s="27" t="s">
        <v>8</v>
      </c>
      <c r="JR811" s="27" t="s">
        <v>7</v>
      </c>
      <c r="KE811" s="27" t="s">
        <v>8</v>
      </c>
      <c r="KF811" s="27" t="s">
        <v>7</v>
      </c>
      <c r="KG811" s="27" t="s">
        <v>8</v>
      </c>
      <c r="KH811" s="27" t="s">
        <v>7</v>
      </c>
      <c r="KI811" s="27" t="s">
        <v>8</v>
      </c>
      <c r="KJ811" s="27" t="s">
        <v>7</v>
      </c>
      <c r="KK811" s="27" t="s">
        <v>8</v>
      </c>
      <c r="KL811" s="27" t="s">
        <v>7</v>
      </c>
    </row>
    <row r="812" spans="1:313" x14ac:dyDescent="0.25">
      <c r="A812" s="7">
        <v>1.1613452649629196E-2</v>
      </c>
      <c r="B812"/>
      <c r="C812"/>
      <c r="D812"/>
      <c r="E812"/>
      <c r="F812" s="27" t="s">
        <v>7</v>
      </c>
      <c r="FK812" s="27" t="s">
        <v>8</v>
      </c>
      <c r="FL812" s="27" t="s">
        <v>7</v>
      </c>
      <c r="FM812" s="27" t="s">
        <v>8</v>
      </c>
      <c r="FN812" s="27" t="s">
        <v>7</v>
      </c>
      <c r="FO812" s="27" t="s">
        <v>8</v>
      </c>
      <c r="GH812" s="27" t="s">
        <v>7</v>
      </c>
      <c r="GI812" s="27" t="s">
        <v>8</v>
      </c>
      <c r="GT812" s="27" t="s">
        <v>7</v>
      </c>
      <c r="GU812" s="27" t="s">
        <v>8</v>
      </c>
      <c r="GV812" s="27" t="s">
        <v>7</v>
      </c>
      <c r="GW812" s="27" t="s">
        <v>8</v>
      </c>
      <c r="GX812" s="27" t="s">
        <v>7</v>
      </c>
      <c r="IS812" s="27" t="s">
        <v>8</v>
      </c>
      <c r="JA812" s="27" t="s">
        <v>8</v>
      </c>
      <c r="JB812" s="27" t="s">
        <v>7</v>
      </c>
      <c r="JQ812" s="27" t="s">
        <v>8</v>
      </c>
      <c r="JR812" s="27" t="s">
        <v>7</v>
      </c>
      <c r="JS812" s="27" t="s">
        <v>8</v>
      </c>
      <c r="KE812" s="27" t="s">
        <v>8</v>
      </c>
      <c r="KF812" s="27" t="s">
        <v>7</v>
      </c>
      <c r="KG812" s="27" t="s">
        <v>8</v>
      </c>
      <c r="KH812" s="27" t="s">
        <v>7</v>
      </c>
      <c r="KI812" s="27" t="s">
        <v>8</v>
      </c>
      <c r="KJ812" s="27" t="s">
        <v>7</v>
      </c>
      <c r="KK812" s="27" t="s">
        <v>8</v>
      </c>
      <c r="KL812" s="27" t="s">
        <v>7</v>
      </c>
    </row>
    <row r="813" spans="1:313" x14ac:dyDescent="0.25">
      <c r="A813" s="7">
        <v>1.138573789179333E-2</v>
      </c>
      <c r="B813"/>
      <c r="C813"/>
      <c r="D813"/>
      <c r="E813"/>
      <c r="F813" s="27" t="s">
        <v>7</v>
      </c>
      <c r="FK813" s="27" t="s">
        <v>8</v>
      </c>
      <c r="FL813" s="27" t="s">
        <v>7</v>
      </c>
      <c r="FM813" s="27" t="s">
        <v>8</v>
      </c>
      <c r="FN813" s="27" t="s">
        <v>7</v>
      </c>
      <c r="FO813" s="27" t="s">
        <v>8</v>
      </c>
      <c r="GH813" s="27" t="s">
        <v>7</v>
      </c>
      <c r="GI813" s="27" t="s">
        <v>8</v>
      </c>
      <c r="GT813" s="27" t="s">
        <v>7</v>
      </c>
      <c r="GU813" s="27" t="s">
        <v>8</v>
      </c>
      <c r="GV813" s="27" t="s">
        <v>7</v>
      </c>
      <c r="GW813" s="27" t="s">
        <v>8</v>
      </c>
      <c r="GX813" s="27" t="s">
        <v>7</v>
      </c>
      <c r="IS813" s="27" t="s">
        <v>8</v>
      </c>
      <c r="IT813" s="27" t="s">
        <v>7</v>
      </c>
      <c r="JA813" s="27" t="s">
        <v>8</v>
      </c>
      <c r="JB813" s="27" t="s">
        <v>7</v>
      </c>
      <c r="JO813" s="27" t="s">
        <v>8</v>
      </c>
      <c r="JQ813" s="27" t="s">
        <v>8</v>
      </c>
      <c r="JR813" s="27" t="s">
        <v>7</v>
      </c>
      <c r="JS813" s="27" t="s">
        <v>8</v>
      </c>
      <c r="JT813" s="27" t="s">
        <v>7</v>
      </c>
      <c r="KA813" s="27" t="s">
        <v>8</v>
      </c>
      <c r="KE813" s="27" t="s">
        <v>8</v>
      </c>
      <c r="KF813" s="27" t="s">
        <v>7</v>
      </c>
      <c r="KG813" s="27" t="s">
        <v>8</v>
      </c>
      <c r="KH813" s="27" t="s">
        <v>7</v>
      </c>
      <c r="KI813" s="27" t="s">
        <v>8</v>
      </c>
      <c r="KJ813" s="27" t="s">
        <v>7</v>
      </c>
      <c r="KK813" s="27" t="s">
        <v>8</v>
      </c>
      <c r="KL813" s="27" t="s">
        <v>7</v>
      </c>
    </row>
    <row r="814" spans="1:313" x14ac:dyDescent="0.25">
      <c r="A814" s="7">
        <v>1.1162488129209149E-2</v>
      </c>
      <c r="B814"/>
      <c r="C814"/>
      <c r="D814"/>
      <c r="E814"/>
      <c r="F814" s="27" t="s">
        <v>7</v>
      </c>
      <c r="FK814" s="27" t="s">
        <v>8</v>
      </c>
      <c r="FL814" s="27" t="s">
        <v>7</v>
      </c>
      <c r="FM814" s="27" t="s">
        <v>8</v>
      </c>
      <c r="FN814" s="27" t="s">
        <v>7</v>
      </c>
      <c r="GH814" s="27" t="s">
        <v>7</v>
      </c>
      <c r="GI814" s="27" t="s">
        <v>8</v>
      </c>
      <c r="GT814" s="27" t="s">
        <v>7</v>
      </c>
      <c r="GU814" s="27" t="s">
        <v>8</v>
      </c>
      <c r="GV814" s="27" t="s">
        <v>7</v>
      </c>
      <c r="GW814" s="27" t="s">
        <v>8</v>
      </c>
      <c r="GX814" s="27" t="s">
        <v>7</v>
      </c>
      <c r="HG814" s="27" t="s">
        <v>8</v>
      </c>
      <c r="IS814" s="27" t="s">
        <v>8</v>
      </c>
      <c r="IT814" s="27" t="s">
        <v>7</v>
      </c>
      <c r="JA814" s="27" t="s">
        <v>8</v>
      </c>
      <c r="JB814" s="27" t="s">
        <v>7</v>
      </c>
      <c r="JO814" s="27" t="s">
        <v>8</v>
      </c>
      <c r="JP814" s="27" t="s">
        <v>7</v>
      </c>
      <c r="JQ814" s="27" t="s">
        <v>8</v>
      </c>
      <c r="JR814" s="27" t="s">
        <v>7</v>
      </c>
      <c r="JS814" s="27" t="s">
        <v>8</v>
      </c>
      <c r="JT814" s="27" t="s">
        <v>7</v>
      </c>
      <c r="KA814" s="27" t="s">
        <v>8</v>
      </c>
      <c r="KB814" s="27" t="s">
        <v>7</v>
      </c>
      <c r="KE814" s="27" t="s">
        <v>8</v>
      </c>
      <c r="KF814" s="27" t="s">
        <v>7</v>
      </c>
      <c r="KG814" s="27" t="s">
        <v>8</v>
      </c>
      <c r="KH814" s="27" t="s">
        <v>7</v>
      </c>
      <c r="KI814" s="27" t="s">
        <v>8</v>
      </c>
      <c r="KJ814" s="27" t="s">
        <v>7</v>
      </c>
      <c r="KL814" s="27" t="s">
        <v>7</v>
      </c>
    </row>
    <row r="815" spans="1:313" x14ac:dyDescent="0.25">
      <c r="A815" s="7">
        <v>1.0943615812950145E-2</v>
      </c>
      <c r="B815"/>
      <c r="C815"/>
      <c r="D815"/>
      <c r="E815"/>
      <c r="F815" s="27" t="s">
        <v>7</v>
      </c>
      <c r="FK815" s="27" t="s">
        <v>8</v>
      </c>
      <c r="FL815" s="27" t="s">
        <v>7</v>
      </c>
      <c r="FM815" s="27" t="s">
        <v>8</v>
      </c>
      <c r="GH815" s="27" t="s">
        <v>7</v>
      </c>
      <c r="GI815" s="27" t="s">
        <v>8</v>
      </c>
      <c r="GT815" s="27" t="s">
        <v>7</v>
      </c>
      <c r="GU815" s="27" t="s">
        <v>8</v>
      </c>
      <c r="GV815" s="27" t="s">
        <v>7</v>
      </c>
      <c r="GW815" s="27" t="s">
        <v>8</v>
      </c>
      <c r="GX815" s="27" t="s">
        <v>7</v>
      </c>
      <c r="HG815" s="27" t="s">
        <v>8</v>
      </c>
      <c r="HH815" s="27" t="s">
        <v>7</v>
      </c>
      <c r="IK815" s="27" t="s">
        <v>8</v>
      </c>
      <c r="IS815" s="27" t="s">
        <v>8</v>
      </c>
      <c r="IT815" s="27" t="s">
        <v>7</v>
      </c>
      <c r="IY815" s="27" t="s">
        <v>8</v>
      </c>
      <c r="JA815" s="27" t="s">
        <v>8</v>
      </c>
      <c r="JB815" s="27" t="s">
        <v>7</v>
      </c>
      <c r="JO815" s="27" t="s">
        <v>8</v>
      </c>
      <c r="JP815" s="27" t="s">
        <v>7</v>
      </c>
      <c r="JQ815" s="27" t="s">
        <v>8</v>
      </c>
      <c r="JR815" s="27" t="s">
        <v>7</v>
      </c>
      <c r="JS815" s="27" t="s">
        <v>8</v>
      </c>
      <c r="JT815" s="27" t="s">
        <v>7</v>
      </c>
      <c r="JY815" s="27" t="s">
        <v>8</v>
      </c>
      <c r="KA815" s="27" t="s">
        <v>8</v>
      </c>
      <c r="KB815" s="27" t="s">
        <v>7</v>
      </c>
      <c r="KE815" s="27" t="s">
        <v>8</v>
      </c>
      <c r="KF815" s="27" t="s">
        <v>7</v>
      </c>
      <c r="KG815" s="27" t="s">
        <v>8</v>
      </c>
      <c r="KH815" s="27" t="s">
        <v>7</v>
      </c>
      <c r="KL815" s="27" t="s">
        <v>7</v>
      </c>
    </row>
    <row r="816" spans="1:313" x14ac:dyDescent="0.25">
      <c r="A816" s="7">
        <v>1.0729035110735436E-2</v>
      </c>
      <c r="B816"/>
      <c r="C816"/>
      <c r="D816"/>
      <c r="E816"/>
      <c r="F816" s="27" t="s">
        <v>7</v>
      </c>
      <c r="FK816" s="27" t="s">
        <v>8</v>
      </c>
      <c r="FL816" s="27" t="s">
        <v>7</v>
      </c>
      <c r="FM816" s="27" t="s">
        <v>8</v>
      </c>
      <c r="GH816" s="27" t="s">
        <v>7</v>
      </c>
      <c r="GI816" s="27" t="s">
        <v>8</v>
      </c>
      <c r="GT816" s="27" t="s">
        <v>7</v>
      </c>
      <c r="GU816" s="27" t="s">
        <v>8</v>
      </c>
      <c r="GV816" s="27" t="s">
        <v>7</v>
      </c>
      <c r="GW816" s="27" t="s">
        <v>8</v>
      </c>
      <c r="GX816" s="27" t="s">
        <v>7</v>
      </c>
      <c r="HG816" s="27" t="s">
        <v>8</v>
      </c>
      <c r="HH816" s="27" t="s">
        <v>7</v>
      </c>
      <c r="IK816" s="27" t="s">
        <v>8</v>
      </c>
      <c r="IL816" s="27" t="s">
        <v>7</v>
      </c>
      <c r="IO816" s="27" t="s">
        <v>8</v>
      </c>
      <c r="IQ816" s="27" t="s">
        <v>8</v>
      </c>
      <c r="IS816" s="27" t="s">
        <v>8</v>
      </c>
      <c r="IT816" s="27" t="s">
        <v>7</v>
      </c>
      <c r="IY816" s="27" t="s">
        <v>8</v>
      </c>
      <c r="IZ816" s="27" t="s">
        <v>7</v>
      </c>
      <c r="JA816" s="27" t="s">
        <v>8</v>
      </c>
      <c r="JB816" s="27" t="s">
        <v>7</v>
      </c>
      <c r="JC816" s="27" t="s">
        <v>8</v>
      </c>
      <c r="JO816" s="27" t="s">
        <v>8</v>
      </c>
      <c r="JP816" s="27" t="s">
        <v>7</v>
      </c>
      <c r="JQ816" s="27" t="s">
        <v>8</v>
      </c>
      <c r="JR816" s="27" t="s">
        <v>7</v>
      </c>
      <c r="JS816" s="27" t="s">
        <v>8</v>
      </c>
      <c r="JT816" s="27" t="s">
        <v>7</v>
      </c>
      <c r="JY816" s="27" t="s">
        <v>8</v>
      </c>
      <c r="JZ816" s="27" t="s">
        <v>7</v>
      </c>
      <c r="KA816" s="27" t="s">
        <v>8</v>
      </c>
      <c r="KB816" s="27" t="s">
        <v>7</v>
      </c>
      <c r="KC816" s="27" t="s">
        <v>8</v>
      </c>
      <c r="KE816" s="27" t="s">
        <v>8</v>
      </c>
      <c r="KF816" s="27" t="s">
        <v>7</v>
      </c>
      <c r="KG816" s="27" t="s">
        <v>8</v>
      </c>
      <c r="KL816" s="27" t="s">
        <v>7</v>
      </c>
      <c r="LA816" s="27" t="s">
        <v>8</v>
      </c>
    </row>
    <row r="817" spans="1:316" x14ac:dyDescent="0.25">
      <c r="A817" s="7">
        <v>1.0518661873270036E-2</v>
      </c>
      <c r="B817"/>
      <c r="C817"/>
      <c r="D817"/>
      <c r="E817"/>
      <c r="F817" s="27" t="s">
        <v>7</v>
      </c>
      <c r="FK817" s="27" t="s">
        <v>8</v>
      </c>
      <c r="FL817" s="27" t="s">
        <v>7</v>
      </c>
      <c r="FM817" s="27" t="s">
        <v>8</v>
      </c>
      <c r="GH817" s="27" t="s">
        <v>7</v>
      </c>
      <c r="GI817" s="27" t="s">
        <v>8</v>
      </c>
      <c r="GT817" s="27" t="s">
        <v>7</v>
      </c>
      <c r="GU817" s="27" t="s">
        <v>8</v>
      </c>
      <c r="GV817" s="27" t="s">
        <v>7</v>
      </c>
      <c r="GW817" s="27" t="s">
        <v>8</v>
      </c>
      <c r="GX817" s="27" t="s">
        <v>7</v>
      </c>
      <c r="HA817" s="27" t="s">
        <v>8</v>
      </c>
      <c r="HG817" s="27" t="s">
        <v>8</v>
      </c>
      <c r="HH817" s="27" t="s">
        <v>7</v>
      </c>
      <c r="IK817" s="27" t="s">
        <v>8</v>
      </c>
      <c r="IL817" s="27" t="s">
        <v>7</v>
      </c>
      <c r="IO817" s="27" t="s">
        <v>8</v>
      </c>
      <c r="IP817" s="27" t="s">
        <v>7</v>
      </c>
      <c r="IQ817" s="27" t="s">
        <v>8</v>
      </c>
      <c r="IR817" s="27" t="s">
        <v>7</v>
      </c>
      <c r="IS817" s="27" t="s">
        <v>8</v>
      </c>
      <c r="IT817" s="27" t="s">
        <v>7</v>
      </c>
      <c r="IU817" s="27" t="s">
        <v>8</v>
      </c>
      <c r="IY817" s="27" t="s">
        <v>8</v>
      </c>
      <c r="IZ817" s="27" t="s">
        <v>7</v>
      </c>
      <c r="JA817" s="27" t="s">
        <v>8</v>
      </c>
      <c r="JB817" s="27" t="s">
        <v>7</v>
      </c>
      <c r="JC817" s="27" t="s">
        <v>8</v>
      </c>
      <c r="JD817" s="27" t="s">
        <v>7</v>
      </c>
      <c r="JO817" s="27" t="s">
        <v>8</v>
      </c>
      <c r="JP817" s="27" t="s">
        <v>7</v>
      </c>
      <c r="JQ817" s="27" t="s">
        <v>8</v>
      </c>
      <c r="JR817" s="27" t="s">
        <v>7</v>
      </c>
      <c r="JS817" s="27" t="s">
        <v>8</v>
      </c>
      <c r="JT817" s="27" t="s">
        <v>7</v>
      </c>
      <c r="JU817" s="27" t="s">
        <v>8</v>
      </c>
      <c r="JW817" s="27" t="s">
        <v>8</v>
      </c>
      <c r="JY817" s="27" t="s">
        <v>8</v>
      </c>
      <c r="JZ817" s="27" t="s">
        <v>7</v>
      </c>
      <c r="KA817" s="27" t="s">
        <v>8</v>
      </c>
      <c r="KB817" s="27" t="s">
        <v>7</v>
      </c>
      <c r="KC817" s="27" t="s">
        <v>8</v>
      </c>
      <c r="KD817" s="27" t="s">
        <v>7</v>
      </c>
      <c r="KE817" s="27" t="s">
        <v>8</v>
      </c>
      <c r="KF817" s="27" t="s">
        <v>7</v>
      </c>
      <c r="KG817" s="27" t="s">
        <v>8</v>
      </c>
      <c r="KL817" s="27" t="s">
        <v>7</v>
      </c>
      <c r="LA817" s="27" t="s">
        <v>8</v>
      </c>
      <c r="LB817" s="27" t="s">
        <v>7</v>
      </c>
    </row>
    <row r="818" spans="1:316" x14ac:dyDescent="0.25">
      <c r="A818" s="7">
        <v>1.0312413601245135E-2</v>
      </c>
      <c r="B818"/>
      <c r="C818"/>
      <c r="D818"/>
      <c r="E818"/>
      <c r="F818" s="27" t="s">
        <v>7</v>
      </c>
      <c r="FK818" s="27" t="s">
        <v>8</v>
      </c>
      <c r="FL818" s="27" t="s">
        <v>7</v>
      </c>
      <c r="FM818" s="27" t="s">
        <v>8</v>
      </c>
      <c r="GH818" s="27" t="s">
        <v>7</v>
      </c>
      <c r="GI818" s="27" t="s">
        <v>8</v>
      </c>
      <c r="GT818" s="27" t="s">
        <v>7</v>
      </c>
      <c r="GU818" s="27" t="s">
        <v>8</v>
      </c>
      <c r="GV818" s="27" t="s">
        <v>7</v>
      </c>
      <c r="GW818" s="27" t="s">
        <v>8</v>
      </c>
      <c r="GX818" s="27" t="s">
        <v>7</v>
      </c>
      <c r="HA818" s="27" t="s">
        <v>8</v>
      </c>
      <c r="HB818" s="27" t="s">
        <v>7</v>
      </c>
      <c r="HG818" s="27" t="s">
        <v>8</v>
      </c>
      <c r="HH818" s="27" t="s">
        <v>7</v>
      </c>
      <c r="IK818" s="27" t="s">
        <v>8</v>
      </c>
      <c r="IL818" s="27" t="s">
        <v>7</v>
      </c>
      <c r="IO818" s="27" t="s">
        <v>8</v>
      </c>
      <c r="IP818" s="27" t="s">
        <v>7</v>
      </c>
      <c r="IQ818" s="27" t="s">
        <v>8</v>
      </c>
      <c r="IR818" s="27" t="s">
        <v>7</v>
      </c>
      <c r="IS818" s="27" t="s">
        <v>8</v>
      </c>
      <c r="IT818" s="27" t="s">
        <v>7</v>
      </c>
      <c r="IU818" s="27" t="s">
        <v>8</v>
      </c>
      <c r="IV818" s="27" t="s">
        <v>7</v>
      </c>
      <c r="IY818" s="27" t="s">
        <v>8</v>
      </c>
      <c r="IZ818" s="27" t="s">
        <v>7</v>
      </c>
      <c r="JB818" s="27" t="s">
        <v>7</v>
      </c>
      <c r="JC818" s="27" t="s">
        <v>8</v>
      </c>
      <c r="JD818" s="27" t="s">
        <v>7</v>
      </c>
      <c r="JO818" s="27" t="s">
        <v>8</v>
      </c>
      <c r="JP818" s="27" t="s">
        <v>7</v>
      </c>
      <c r="JQ818" s="27" t="s">
        <v>8</v>
      </c>
      <c r="JR818" s="27" t="s">
        <v>7</v>
      </c>
      <c r="JS818" s="27" t="s">
        <v>8</v>
      </c>
      <c r="JT818" s="27" t="s">
        <v>7</v>
      </c>
      <c r="JU818" s="27" t="s">
        <v>8</v>
      </c>
      <c r="JV818" s="27" t="s">
        <v>7</v>
      </c>
      <c r="JW818" s="27" t="s">
        <v>8</v>
      </c>
      <c r="JX818" s="27" t="s">
        <v>7</v>
      </c>
      <c r="JY818" s="27" t="s">
        <v>8</v>
      </c>
      <c r="JZ818" s="27" t="s">
        <v>7</v>
      </c>
      <c r="KA818" s="27" t="s">
        <v>8</v>
      </c>
      <c r="KB818" s="27" t="s">
        <v>7</v>
      </c>
      <c r="KC818" s="27" t="s">
        <v>8</v>
      </c>
      <c r="KD818" s="27" t="s">
        <v>7</v>
      </c>
      <c r="KE818" s="27" t="s">
        <v>8</v>
      </c>
      <c r="KF818" s="27" t="s">
        <v>7</v>
      </c>
      <c r="KG818" s="27" t="s">
        <v>8</v>
      </c>
      <c r="KL818" s="27" t="s">
        <v>7</v>
      </c>
      <c r="KM818" s="27" t="s">
        <v>8</v>
      </c>
      <c r="LA818" s="27" t="s">
        <v>8</v>
      </c>
      <c r="LB818" s="27" t="s">
        <v>7</v>
      </c>
    </row>
    <row r="819" spans="1:316" x14ac:dyDescent="0.25">
      <c r="A819" s="7">
        <v>1.0110209412985426E-2</v>
      </c>
      <c r="B819"/>
      <c r="C819"/>
      <c r="D819"/>
      <c r="E819"/>
      <c r="F819" s="27" t="s">
        <v>7</v>
      </c>
      <c r="FK819" s="27" t="s">
        <v>8</v>
      </c>
      <c r="FL819" s="27" t="s">
        <v>7</v>
      </c>
      <c r="GH819" s="27" t="s">
        <v>7</v>
      </c>
      <c r="GI819" s="27" t="s">
        <v>8</v>
      </c>
      <c r="GT819" s="27" t="s">
        <v>7</v>
      </c>
      <c r="GV819" s="27" t="s">
        <v>7</v>
      </c>
      <c r="GW819" s="27" t="s">
        <v>8</v>
      </c>
      <c r="GX819" s="27" t="s">
        <v>7</v>
      </c>
      <c r="HA819" s="27" t="s">
        <v>8</v>
      </c>
      <c r="HB819" s="27" t="s">
        <v>7</v>
      </c>
      <c r="HG819" s="27" t="s">
        <v>8</v>
      </c>
      <c r="HH819" s="27" t="s">
        <v>7</v>
      </c>
      <c r="IK819" s="27" t="s">
        <v>8</v>
      </c>
      <c r="IL819" s="27" t="s">
        <v>7</v>
      </c>
      <c r="IO819" s="27" t="s">
        <v>8</v>
      </c>
      <c r="IP819" s="27" t="s">
        <v>7</v>
      </c>
      <c r="IQ819" s="27" t="s">
        <v>8</v>
      </c>
      <c r="IR819" s="27" t="s">
        <v>7</v>
      </c>
      <c r="IS819" s="27" t="s">
        <v>8</v>
      </c>
      <c r="IT819" s="27" t="s">
        <v>7</v>
      </c>
      <c r="IU819" s="27" t="s">
        <v>8</v>
      </c>
      <c r="IV819" s="27" t="s">
        <v>7</v>
      </c>
      <c r="IW819" s="27" t="s">
        <v>8</v>
      </c>
      <c r="IY819" s="27" t="s">
        <v>8</v>
      </c>
      <c r="JB819" s="27" t="s">
        <v>7</v>
      </c>
      <c r="JC819" s="27" t="s">
        <v>8</v>
      </c>
      <c r="JD819" s="27" t="s">
        <v>7</v>
      </c>
      <c r="JG819" s="27" t="s">
        <v>8</v>
      </c>
      <c r="JO819" s="27" t="s">
        <v>8</v>
      </c>
      <c r="JP819" s="27" t="s">
        <v>7</v>
      </c>
      <c r="JQ819" s="27" t="s">
        <v>8</v>
      </c>
      <c r="JR819" s="27" t="s">
        <v>7</v>
      </c>
      <c r="JS819" s="27" t="s">
        <v>8</v>
      </c>
      <c r="JT819" s="27" t="s">
        <v>7</v>
      </c>
      <c r="JU819" s="27" t="s">
        <v>8</v>
      </c>
      <c r="JV819" s="27" t="s">
        <v>7</v>
      </c>
      <c r="JW819" s="27" t="s">
        <v>8</v>
      </c>
      <c r="JX819" s="27" t="s">
        <v>7</v>
      </c>
      <c r="JY819" s="27" t="s">
        <v>8</v>
      </c>
      <c r="JZ819" s="27" t="s">
        <v>7</v>
      </c>
      <c r="KA819" s="27" t="s">
        <v>8</v>
      </c>
      <c r="KB819" s="27" t="s">
        <v>7</v>
      </c>
      <c r="KC819" s="27" t="s">
        <v>8</v>
      </c>
      <c r="KD819" s="27" t="s">
        <v>7</v>
      </c>
      <c r="KE819" s="27" t="s">
        <v>8</v>
      </c>
      <c r="KF819" s="27" t="s">
        <v>7</v>
      </c>
      <c r="KG819" s="27" t="s">
        <v>8</v>
      </c>
      <c r="KL819" s="27" t="s">
        <v>7</v>
      </c>
      <c r="KM819" s="27" t="s">
        <v>8</v>
      </c>
      <c r="KN819" s="27" t="s">
        <v>7</v>
      </c>
      <c r="KO819" s="27" t="s">
        <v>8</v>
      </c>
      <c r="LA819" s="27" t="s">
        <v>8</v>
      </c>
      <c r="LB819" s="27" t="s">
        <v>7</v>
      </c>
    </row>
    <row r="820" spans="1:316" x14ac:dyDescent="0.25">
      <c r="A820" s="7">
        <v>9.9119700127308103E-3</v>
      </c>
      <c r="B820"/>
      <c r="C820"/>
      <c r="D820"/>
      <c r="E820"/>
      <c r="F820" s="27" t="s">
        <v>7</v>
      </c>
      <c r="FK820" s="27" t="s">
        <v>8</v>
      </c>
      <c r="GH820" s="27" t="s">
        <v>7</v>
      </c>
      <c r="GI820" s="27" t="s">
        <v>8</v>
      </c>
      <c r="GV820" s="27" t="s">
        <v>7</v>
      </c>
      <c r="GW820" s="27" t="s">
        <v>8</v>
      </c>
      <c r="GX820" s="27" t="s">
        <v>7</v>
      </c>
      <c r="HA820" s="27" t="s">
        <v>8</v>
      </c>
      <c r="HB820" s="27" t="s">
        <v>7</v>
      </c>
      <c r="HG820" s="27" t="s">
        <v>8</v>
      </c>
      <c r="HH820" s="27" t="s">
        <v>7</v>
      </c>
      <c r="IK820" s="27" t="s">
        <v>8</v>
      </c>
      <c r="IL820" s="27" t="s">
        <v>7</v>
      </c>
      <c r="IM820" s="27" t="s">
        <v>8</v>
      </c>
      <c r="IO820" s="27" t="s">
        <v>8</v>
      </c>
      <c r="IP820" s="27" t="s">
        <v>7</v>
      </c>
      <c r="IQ820" s="27" t="s">
        <v>8</v>
      </c>
      <c r="IR820" s="27" t="s">
        <v>7</v>
      </c>
      <c r="IS820" s="27" t="s">
        <v>8</v>
      </c>
      <c r="IT820" s="27" t="s">
        <v>7</v>
      </c>
      <c r="IU820" s="27" t="s">
        <v>8</v>
      </c>
      <c r="IV820" s="27" t="s">
        <v>7</v>
      </c>
      <c r="IW820" s="27" t="s">
        <v>8</v>
      </c>
      <c r="IX820" s="27" t="s">
        <v>7</v>
      </c>
      <c r="IY820" s="27" t="s">
        <v>8</v>
      </c>
      <c r="JB820" s="27" t="s">
        <v>7</v>
      </c>
      <c r="JC820" s="27" t="s">
        <v>8</v>
      </c>
      <c r="JD820" s="27" t="s">
        <v>7</v>
      </c>
      <c r="JE820" s="27" t="s">
        <v>8</v>
      </c>
      <c r="JG820" s="27" t="s">
        <v>8</v>
      </c>
      <c r="JH820" s="27" t="s">
        <v>7</v>
      </c>
      <c r="JO820" s="27" t="s">
        <v>8</v>
      </c>
      <c r="JP820" s="27" t="s">
        <v>7</v>
      </c>
      <c r="JQ820" s="27" t="s">
        <v>8</v>
      </c>
      <c r="JR820" s="27" t="s">
        <v>7</v>
      </c>
      <c r="JS820" s="27" t="s">
        <v>8</v>
      </c>
      <c r="JT820" s="27" t="s">
        <v>7</v>
      </c>
      <c r="JU820" s="27" t="s">
        <v>8</v>
      </c>
      <c r="JV820" s="27" t="s">
        <v>7</v>
      </c>
      <c r="JX820" s="27" t="s">
        <v>7</v>
      </c>
      <c r="JY820" s="27" t="s">
        <v>8</v>
      </c>
      <c r="JZ820" s="27" t="s">
        <v>7</v>
      </c>
      <c r="KB820" s="27" t="s">
        <v>7</v>
      </c>
      <c r="KC820" s="27" t="s">
        <v>8</v>
      </c>
      <c r="KD820" s="27" t="s">
        <v>7</v>
      </c>
      <c r="KE820" s="27" t="s">
        <v>8</v>
      </c>
      <c r="KF820" s="27" t="s">
        <v>7</v>
      </c>
      <c r="KG820" s="27" t="s">
        <v>8</v>
      </c>
      <c r="KL820" s="27" t="s">
        <v>7</v>
      </c>
      <c r="KM820" s="27" t="s">
        <v>8</v>
      </c>
      <c r="KN820" s="27" t="s">
        <v>7</v>
      </c>
      <c r="KO820" s="27" t="s">
        <v>8</v>
      </c>
      <c r="KP820" s="27" t="s">
        <v>7</v>
      </c>
      <c r="LA820" s="27" t="s">
        <v>8</v>
      </c>
      <c r="LB820" s="27" t="s">
        <v>7</v>
      </c>
    </row>
    <row r="821" spans="1:316" x14ac:dyDescent="0.25">
      <c r="A821" s="7">
        <v>9.717617659540009E-3</v>
      </c>
      <c r="B821"/>
      <c r="C821"/>
      <c r="D821"/>
      <c r="E821"/>
      <c r="F821" s="27" t="s">
        <v>7</v>
      </c>
      <c r="FK821" s="27" t="s">
        <v>8</v>
      </c>
      <c r="GH821" s="27" t="s">
        <v>7</v>
      </c>
      <c r="GV821" s="27" t="s">
        <v>7</v>
      </c>
      <c r="GW821" s="27" t="s">
        <v>8</v>
      </c>
      <c r="GX821" s="27" t="s">
        <v>7</v>
      </c>
      <c r="GY821" s="27" t="s">
        <v>8</v>
      </c>
      <c r="HA821" s="27" t="s">
        <v>8</v>
      </c>
      <c r="HB821" s="27" t="s">
        <v>7</v>
      </c>
      <c r="HE821" s="27" t="s">
        <v>8</v>
      </c>
      <c r="HG821" s="27" t="s">
        <v>8</v>
      </c>
      <c r="HH821" s="27" t="s">
        <v>7</v>
      </c>
      <c r="IK821" s="27" t="s">
        <v>8</v>
      </c>
      <c r="IL821" s="27" t="s">
        <v>7</v>
      </c>
      <c r="IM821" s="27" t="s">
        <v>8</v>
      </c>
      <c r="IN821" s="27" t="s">
        <v>7</v>
      </c>
      <c r="IO821" s="27" t="s">
        <v>8</v>
      </c>
      <c r="IP821" s="27" t="s">
        <v>7</v>
      </c>
      <c r="IR821" s="27" t="s">
        <v>7</v>
      </c>
      <c r="IS821" s="27" t="s">
        <v>8</v>
      </c>
      <c r="IT821" s="27" t="s">
        <v>7</v>
      </c>
      <c r="IU821" s="27" t="s">
        <v>8</v>
      </c>
      <c r="IV821" s="27" t="s">
        <v>7</v>
      </c>
      <c r="IW821" s="27" t="s">
        <v>8</v>
      </c>
      <c r="IX821" s="27" t="s">
        <v>7</v>
      </c>
      <c r="IY821" s="27" t="s">
        <v>8</v>
      </c>
      <c r="JB821" s="27" t="s">
        <v>7</v>
      </c>
      <c r="JC821" s="27" t="s">
        <v>8</v>
      </c>
      <c r="JD821" s="27" t="s">
        <v>7</v>
      </c>
      <c r="JE821" s="27" t="s">
        <v>8</v>
      </c>
      <c r="JF821" s="27" t="s">
        <v>7</v>
      </c>
      <c r="JG821" s="27" t="s">
        <v>8</v>
      </c>
      <c r="JH821" s="27" t="s">
        <v>7</v>
      </c>
      <c r="JO821" s="27" t="s">
        <v>8</v>
      </c>
      <c r="JP821" s="27" t="s">
        <v>7</v>
      </c>
      <c r="JQ821" s="27" t="s">
        <v>8</v>
      </c>
      <c r="JR821" s="27" t="s">
        <v>7</v>
      </c>
      <c r="JS821" s="27" t="s">
        <v>8</v>
      </c>
      <c r="JT821" s="27" t="s">
        <v>7</v>
      </c>
      <c r="JU821" s="27" t="s">
        <v>8</v>
      </c>
      <c r="JX821" s="27" t="s">
        <v>7</v>
      </c>
      <c r="JY821" s="27" t="s">
        <v>8</v>
      </c>
      <c r="KB821" s="27" t="s">
        <v>7</v>
      </c>
      <c r="KC821" s="27" t="s">
        <v>8</v>
      </c>
      <c r="KD821" s="27" t="s">
        <v>7</v>
      </c>
      <c r="KE821" s="27" t="s">
        <v>8</v>
      </c>
      <c r="KF821" s="27" t="s">
        <v>7</v>
      </c>
      <c r="KL821" s="27" t="s">
        <v>7</v>
      </c>
      <c r="KM821" s="27" t="s">
        <v>8</v>
      </c>
      <c r="KN821" s="27" t="s">
        <v>7</v>
      </c>
      <c r="KO821" s="27" t="s">
        <v>8</v>
      </c>
      <c r="KP821" s="27" t="s">
        <v>7</v>
      </c>
      <c r="LA821" s="27" t="s">
        <v>8</v>
      </c>
      <c r="LB821" s="27" t="s">
        <v>7</v>
      </c>
    </row>
    <row r="822" spans="1:316" x14ac:dyDescent="0.25">
      <c r="A822" s="7">
        <v>9.5270761368039299E-3</v>
      </c>
      <c r="B822"/>
      <c r="C822"/>
      <c r="D822"/>
      <c r="E822"/>
      <c r="F822" s="27" t="s">
        <v>7</v>
      </c>
      <c r="FK822" s="27" t="s">
        <v>8</v>
      </c>
      <c r="GV822" s="27" t="s">
        <v>7</v>
      </c>
      <c r="GW822" s="27" t="s">
        <v>8</v>
      </c>
      <c r="GX822" s="27" t="s">
        <v>7</v>
      </c>
      <c r="GY822" s="27" t="s">
        <v>8</v>
      </c>
      <c r="GZ822" s="27" t="s">
        <v>7</v>
      </c>
      <c r="HA822" s="27" t="s">
        <v>8</v>
      </c>
      <c r="HB822" s="27" t="s">
        <v>7</v>
      </c>
      <c r="HE822" s="27" t="s">
        <v>8</v>
      </c>
      <c r="HF822" s="27" t="s">
        <v>7</v>
      </c>
      <c r="HG822" s="27" t="s">
        <v>8</v>
      </c>
      <c r="HH822" s="27" t="s">
        <v>7</v>
      </c>
      <c r="IK822" s="27" t="s">
        <v>8</v>
      </c>
      <c r="IL822" s="27" t="s">
        <v>7</v>
      </c>
      <c r="IM822" s="27" t="s">
        <v>8</v>
      </c>
      <c r="IN822" s="27" t="s">
        <v>7</v>
      </c>
      <c r="IO822" s="27" t="s">
        <v>8</v>
      </c>
      <c r="IR822" s="27" t="s">
        <v>7</v>
      </c>
      <c r="IS822" s="27" t="s">
        <v>8</v>
      </c>
      <c r="IT822" s="27" t="s">
        <v>7</v>
      </c>
      <c r="IV822" s="27" t="s">
        <v>7</v>
      </c>
      <c r="IW822" s="27" t="s">
        <v>8</v>
      </c>
      <c r="IX822" s="27" t="s">
        <v>7</v>
      </c>
      <c r="IY822" s="27" t="s">
        <v>8</v>
      </c>
      <c r="JB822" s="27" t="s">
        <v>7</v>
      </c>
      <c r="JC822" s="27" t="s">
        <v>8</v>
      </c>
      <c r="JD822" s="27" t="s">
        <v>7</v>
      </c>
      <c r="JE822" s="27" t="s">
        <v>8</v>
      </c>
      <c r="JF822" s="27" t="s">
        <v>7</v>
      </c>
      <c r="JG822" s="27" t="s">
        <v>8</v>
      </c>
      <c r="JH822" s="27" t="s">
        <v>7</v>
      </c>
      <c r="JO822" s="27" t="s">
        <v>8</v>
      </c>
      <c r="JP822" s="27" t="s">
        <v>7</v>
      </c>
      <c r="JR822" s="27" t="s">
        <v>7</v>
      </c>
      <c r="JT822" s="27" t="s">
        <v>7</v>
      </c>
      <c r="JX822" s="27" t="s">
        <v>7</v>
      </c>
      <c r="JY822" s="27" t="s">
        <v>8</v>
      </c>
      <c r="KB822" s="27" t="s">
        <v>7</v>
      </c>
      <c r="KD822" s="27" t="s">
        <v>7</v>
      </c>
      <c r="KL822" s="27" t="s">
        <v>7</v>
      </c>
      <c r="KM822" s="27" t="s">
        <v>8</v>
      </c>
      <c r="KN822" s="27" t="s">
        <v>7</v>
      </c>
      <c r="KO822" s="27" t="s">
        <v>8</v>
      </c>
      <c r="KP822" s="27" t="s">
        <v>7</v>
      </c>
      <c r="LA822" s="27" t="s">
        <v>8</v>
      </c>
      <c r="LB822" s="27" t="s">
        <v>7</v>
      </c>
    </row>
    <row r="823" spans="1:316" x14ac:dyDescent="0.25">
      <c r="A823" s="7">
        <v>9.3402707223567936E-3</v>
      </c>
      <c r="B823"/>
      <c r="C823"/>
      <c r="D823"/>
      <c r="E823"/>
      <c r="F823" s="27" t="s">
        <v>7</v>
      </c>
      <c r="FK823" s="27" t="s">
        <v>8</v>
      </c>
      <c r="GV823" s="27" t="s">
        <v>7</v>
      </c>
      <c r="GW823" s="27" t="s">
        <v>8</v>
      </c>
      <c r="GX823" s="27" t="s">
        <v>7</v>
      </c>
      <c r="GY823" s="27" t="s">
        <v>8</v>
      </c>
      <c r="GZ823" s="27" t="s">
        <v>7</v>
      </c>
      <c r="HA823" s="27" t="s">
        <v>8</v>
      </c>
      <c r="HB823" s="27" t="s">
        <v>7</v>
      </c>
      <c r="HC823" s="27" t="s">
        <v>8</v>
      </c>
      <c r="HE823" s="27" t="s">
        <v>8</v>
      </c>
      <c r="HF823" s="27" t="s">
        <v>7</v>
      </c>
      <c r="HG823" s="27" t="s">
        <v>8</v>
      </c>
      <c r="HH823" s="27" t="s">
        <v>7</v>
      </c>
      <c r="HI823" s="27" t="s">
        <v>8</v>
      </c>
      <c r="IK823" s="27" t="s">
        <v>8</v>
      </c>
      <c r="IL823" s="27" t="s">
        <v>7</v>
      </c>
      <c r="IM823" s="27" t="s">
        <v>8</v>
      </c>
      <c r="IN823" s="27" t="s">
        <v>7</v>
      </c>
      <c r="IO823" s="27" t="s">
        <v>8</v>
      </c>
      <c r="IR823" s="27" t="s">
        <v>7</v>
      </c>
      <c r="IS823" s="27" t="s">
        <v>8</v>
      </c>
      <c r="IV823" s="27" t="s">
        <v>7</v>
      </c>
      <c r="IW823" s="27" t="s">
        <v>8</v>
      </c>
      <c r="IX823" s="27" t="s">
        <v>7</v>
      </c>
      <c r="JB823" s="27" t="s">
        <v>7</v>
      </c>
      <c r="JC823" s="27" t="s">
        <v>8</v>
      </c>
      <c r="JD823" s="27" t="s">
        <v>7</v>
      </c>
      <c r="JF823" s="27" t="s">
        <v>7</v>
      </c>
      <c r="JG823" s="27" t="s">
        <v>8</v>
      </c>
      <c r="JH823" s="27" t="s">
        <v>7</v>
      </c>
      <c r="JO823" s="27" t="s">
        <v>8</v>
      </c>
      <c r="JX823" s="27" t="s">
        <v>7</v>
      </c>
      <c r="JY823" s="27" t="s">
        <v>8</v>
      </c>
      <c r="KL823" s="27" t="s">
        <v>7</v>
      </c>
      <c r="KM823" s="27" t="s">
        <v>8</v>
      </c>
      <c r="KN823" s="27" t="s">
        <v>7</v>
      </c>
      <c r="KO823" s="27" t="s">
        <v>8</v>
      </c>
      <c r="KP823" s="27" t="s">
        <v>7</v>
      </c>
      <c r="KW823" s="27" t="s">
        <v>8</v>
      </c>
      <c r="LA823" s="27" t="s">
        <v>8</v>
      </c>
      <c r="LB823" s="27" t="s">
        <v>7</v>
      </c>
    </row>
    <row r="824" spans="1:316" x14ac:dyDescent="0.25">
      <c r="A824" s="7">
        <v>9.1571281591733261E-3</v>
      </c>
      <c r="B824"/>
      <c r="C824"/>
      <c r="D824"/>
      <c r="E824"/>
      <c r="F824" s="27" t="s">
        <v>7</v>
      </c>
      <c r="FK824" s="27" t="s">
        <v>8</v>
      </c>
      <c r="GV824" s="27" t="s">
        <v>7</v>
      </c>
      <c r="GW824" s="27" t="s">
        <v>8</v>
      </c>
      <c r="GX824" s="27" t="s">
        <v>7</v>
      </c>
      <c r="GY824" s="27" t="s">
        <v>8</v>
      </c>
      <c r="GZ824" s="27" t="s">
        <v>7</v>
      </c>
      <c r="HA824" s="27" t="s">
        <v>8</v>
      </c>
      <c r="HB824" s="27" t="s">
        <v>7</v>
      </c>
      <c r="HC824" s="27" t="s">
        <v>8</v>
      </c>
      <c r="HD824" s="27" t="s">
        <v>7</v>
      </c>
      <c r="HE824" s="27" t="s">
        <v>8</v>
      </c>
      <c r="HF824" s="27" t="s">
        <v>7</v>
      </c>
      <c r="HG824" s="27" t="s">
        <v>8</v>
      </c>
      <c r="HH824" s="27" t="s">
        <v>7</v>
      </c>
      <c r="HI824" s="27" t="s">
        <v>8</v>
      </c>
      <c r="HJ824" s="27" t="s">
        <v>7</v>
      </c>
      <c r="IK824" s="27" t="s">
        <v>8</v>
      </c>
      <c r="IL824" s="27" t="s">
        <v>7</v>
      </c>
      <c r="IM824" s="27" t="s">
        <v>8</v>
      </c>
      <c r="IN824" s="27" t="s">
        <v>7</v>
      </c>
      <c r="IO824" s="27" t="s">
        <v>8</v>
      </c>
      <c r="IR824" s="27" t="s">
        <v>7</v>
      </c>
      <c r="IS824" s="27" t="s">
        <v>8</v>
      </c>
      <c r="IV824" s="27" t="s">
        <v>7</v>
      </c>
      <c r="JB824" s="27" t="s">
        <v>7</v>
      </c>
      <c r="JC824" s="27" t="s">
        <v>8</v>
      </c>
      <c r="JF824" s="27" t="s">
        <v>7</v>
      </c>
      <c r="JG824" s="27" t="s">
        <v>8</v>
      </c>
      <c r="JH824" s="27" t="s">
        <v>7</v>
      </c>
      <c r="JO824" s="27" t="s">
        <v>8</v>
      </c>
      <c r="JX824" s="27" t="s">
        <v>7</v>
      </c>
      <c r="JY824" s="27" t="s">
        <v>8</v>
      </c>
      <c r="KL824" s="27" t="s">
        <v>7</v>
      </c>
      <c r="KM824" s="27" t="s">
        <v>8</v>
      </c>
      <c r="KN824" s="27" t="s">
        <v>7</v>
      </c>
      <c r="KO824" s="27" t="s">
        <v>8</v>
      </c>
      <c r="KP824" s="27" t="s">
        <v>7</v>
      </c>
      <c r="KW824" s="27" t="s">
        <v>8</v>
      </c>
      <c r="KX824" s="27" t="s">
        <v>7</v>
      </c>
      <c r="LA824" s="27" t="s">
        <v>8</v>
      </c>
      <c r="LB824" s="27" t="s">
        <v>7</v>
      </c>
    </row>
    <row r="825" spans="1:316" x14ac:dyDescent="0.25">
      <c r="A825" s="7">
        <v>8.9775766266405148E-3</v>
      </c>
      <c r="B825"/>
      <c r="C825"/>
      <c r="D825"/>
      <c r="E825"/>
      <c r="F825" s="27" t="s">
        <v>7</v>
      </c>
      <c r="FK825" s="27" t="s">
        <v>8</v>
      </c>
      <c r="GV825" s="27" t="s">
        <v>7</v>
      </c>
      <c r="GW825" s="27" t="s">
        <v>8</v>
      </c>
      <c r="GX825" s="27" t="s">
        <v>7</v>
      </c>
      <c r="GY825" s="27" t="s">
        <v>8</v>
      </c>
      <c r="GZ825" s="27" t="s">
        <v>7</v>
      </c>
      <c r="HA825" s="27" t="s">
        <v>8</v>
      </c>
      <c r="HB825" s="27" t="s">
        <v>7</v>
      </c>
      <c r="HC825" s="27" t="s">
        <v>8</v>
      </c>
      <c r="HD825" s="27" t="s">
        <v>7</v>
      </c>
      <c r="HE825" s="27" t="s">
        <v>8</v>
      </c>
      <c r="HF825" s="27" t="s">
        <v>7</v>
      </c>
      <c r="HG825" s="27" t="s">
        <v>8</v>
      </c>
      <c r="HH825" s="27" t="s">
        <v>7</v>
      </c>
      <c r="HI825" s="27" t="s">
        <v>8</v>
      </c>
      <c r="HJ825" s="27" t="s">
        <v>7</v>
      </c>
      <c r="IE825" s="27" t="s">
        <v>8</v>
      </c>
      <c r="IK825" s="27" t="s">
        <v>8</v>
      </c>
      <c r="IL825" s="27" t="s">
        <v>7</v>
      </c>
      <c r="IM825" s="27" t="s">
        <v>8</v>
      </c>
      <c r="IN825" s="27" t="s">
        <v>7</v>
      </c>
      <c r="IR825" s="27" t="s">
        <v>7</v>
      </c>
      <c r="JB825" s="27" t="s">
        <v>7</v>
      </c>
      <c r="JC825" s="27" t="s">
        <v>8</v>
      </c>
      <c r="JF825" s="27" t="s">
        <v>7</v>
      </c>
      <c r="JH825" s="27" t="s">
        <v>7</v>
      </c>
      <c r="JO825" s="27" t="s">
        <v>8</v>
      </c>
      <c r="JX825" s="27" t="s">
        <v>7</v>
      </c>
      <c r="JY825" s="27" t="s">
        <v>8</v>
      </c>
      <c r="KL825" s="27" t="s">
        <v>7</v>
      </c>
      <c r="KM825" s="27" t="s">
        <v>8</v>
      </c>
      <c r="KN825" s="27" t="s">
        <v>7</v>
      </c>
      <c r="KO825" s="27" t="s">
        <v>8</v>
      </c>
      <c r="KP825" s="27" t="s">
        <v>7</v>
      </c>
      <c r="KQ825" s="27" t="s">
        <v>8</v>
      </c>
      <c r="KW825" s="27" t="s">
        <v>8</v>
      </c>
      <c r="KX825" s="27" t="s">
        <v>7</v>
      </c>
      <c r="LA825" s="27" t="s">
        <v>8</v>
      </c>
      <c r="LB825" s="27" t="s">
        <v>7</v>
      </c>
    </row>
    <row r="826" spans="1:316" x14ac:dyDescent="0.25">
      <c r="A826" s="7">
        <v>8.8015457123926614E-3</v>
      </c>
      <c r="B826"/>
      <c r="C826"/>
      <c r="D826"/>
      <c r="E826"/>
      <c r="F826" s="27" t="s">
        <v>7</v>
      </c>
      <c r="FK826" s="27" t="s">
        <v>8</v>
      </c>
      <c r="GV826" s="27" t="s">
        <v>7</v>
      </c>
      <c r="GW826" s="27" t="s">
        <v>8</v>
      </c>
      <c r="GX826" s="27" t="s">
        <v>7</v>
      </c>
      <c r="GY826" s="27" t="s">
        <v>8</v>
      </c>
      <c r="GZ826" s="27" t="s">
        <v>7</v>
      </c>
      <c r="HA826" s="27" t="s">
        <v>8</v>
      </c>
      <c r="HB826" s="27" t="s">
        <v>7</v>
      </c>
      <c r="HC826" s="27" t="s">
        <v>8</v>
      </c>
      <c r="HD826" s="27" t="s">
        <v>7</v>
      </c>
      <c r="HF826" s="27" t="s">
        <v>7</v>
      </c>
      <c r="HG826" s="27" t="s">
        <v>8</v>
      </c>
      <c r="HH826" s="27" t="s">
        <v>7</v>
      </c>
      <c r="HI826" s="27" t="s">
        <v>8</v>
      </c>
      <c r="HJ826" s="27" t="s">
        <v>7</v>
      </c>
      <c r="IE826" s="27" t="s">
        <v>8</v>
      </c>
      <c r="IF826" s="27" t="s">
        <v>7</v>
      </c>
      <c r="IK826" s="27" t="s">
        <v>8</v>
      </c>
      <c r="IL826" s="27" t="s">
        <v>7</v>
      </c>
      <c r="JB826" s="27" t="s">
        <v>7</v>
      </c>
      <c r="JC826" s="27" t="s">
        <v>8</v>
      </c>
      <c r="JH826" s="27" t="s">
        <v>7</v>
      </c>
      <c r="JO826" s="27" t="s">
        <v>8</v>
      </c>
      <c r="JX826" s="27" t="s">
        <v>7</v>
      </c>
      <c r="JY826" s="27" t="s">
        <v>8</v>
      </c>
      <c r="KL826" s="27" t="s">
        <v>7</v>
      </c>
      <c r="KM826" s="27" t="s">
        <v>8</v>
      </c>
      <c r="KN826" s="27" t="s">
        <v>7</v>
      </c>
      <c r="KO826" s="27" t="s">
        <v>8</v>
      </c>
      <c r="KP826" s="27" t="s">
        <v>7</v>
      </c>
      <c r="KQ826" s="27" t="s">
        <v>8</v>
      </c>
      <c r="KR826" s="27" t="s">
        <v>7</v>
      </c>
      <c r="KW826" s="27" t="s">
        <v>8</v>
      </c>
      <c r="KX826" s="27" t="s">
        <v>7</v>
      </c>
      <c r="LA826" s="27" t="s">
        <v>8</v>
      </c>
      <c r="LB826" s="27" t="s">
        <v>7</v>
      </c>
    </row>
    <row r="827" spans="1:316" x14ac:dyDescent="0.25">
      <c r="A827" s="7">
        <v>8.6289663846986879E-3</v>
      </c>
      <c r="B827"/>
      <c r="C827"/>
      <c r="D827"/>
      <c r="E827"/>
      <c r="F827" s="27" t="s">
        <v>7</v>
      </c>
      <c r="FK827" s="27" t="s">
        <v>8</v>
      </c>
      <c r="GV827" s="27" t="s">
        <v>7</v>
      </c>
      <c r="GW827" s="27" t="s">
        <v>8</v>
      </c>
      <c r="GX827" s="27" t="s">
        <v>7</v>
      </c>
      <c r="GY827" s="27" t="s">
        <v>8</v>
      </c>
      <c r="GZ827" s="27" t="s">
        <v>7</v>
      </c>
      <c r="HB827" s="27" t="s">
        <v>7</v>
      </c>
      <c r="HC827" s="27" t="s">
        <v>8</v>
      </c>
      <c r="HF827" s="27" t="s">
        <v>7</v>
      </c>
      <c r="HH827" s="27" t="s">
        <v>7</v>
      </c>
      <c r="HI827" s="27" t="s">
        <v>8</v>
      </c>
      <c r="HJ827" s="27" t="s">
        <v>7</v>
      </c>
      <c r="HS827" s="27" t="s">
        <v>8</v>
      </c>
      <c r="IE827" s="27" t="s">
        <v>8</v>
      </c>
      <c r="IF827" s="27" t="s">
        <v>7</v>
      </c>
      <c r="IG827" s="27" t="s">
        <v>8</v>
      </c>
      <c r="IK827" s="27" t="s">
        <v>8</v>
      </c>
      <c r="JB827" s="27" t="s">
        <v>7</v>
      </c>
      <c r="JC827" s="27" t="s">
        <v>8</v>
      </c>
      <c r="JH827" s="27" t="s">
        <v>7</v>
      </c>
      <c r="JI827" s="27" t="s">
        <v>8</v>
      </c>
      <c r="JO827" s="27" t="s">
        <v>8</v>
      </c>
      <c r="JX827" s="27" t="s">
        <v>7</v>
      </c>
      <c r="KL827" s="27" t="s">
        <v>7</v>
      </c>
      <c r="KM827" s="27" t="s">
        <v>8</v>
      </c>
      <c r="KN827" s="27" t="s">
        <v>7</v>
      </c>
      <c r="KO827" s="27" t="s">
        <v>8</v>
      </c>
      <c r="KP827" s="27" t="s">
        <v>7</v>
      </c>
      <c r="KQ827" s="27" t="s">
        <v>8</v>
      </c>
      <c r="KR827" s="27" t="s">
        <v>7</v>
      </c>
      <c r="KS827" s="27" t="s">
        <v>8</v>
      </c>
      <c r="KU827" s="27" t="s">
        <v>8</v>
      </c>
      <c r="KW827" s="27" t="s">
        <v>8</v>
      </c>
      <c r="KX827" s="27" t="s">
        <v>7</v>
      </c>
      <c r="KY827" s="27" t="s">
        <v>8</v>
      </c>
      <c r="LA827" s="27" t="s">
        <v>8</v>
      </c>
      <c r="LB827" s="27" t="s">
        <v>7</v>
      </c>
    </row>
    <row r="828" spans="1:316" x14ac:dyDescent="0.25">
      <c r="A828" s="7">
        <v>8.4597709653908715E-3</v>
      </c>
      <c r="B828"/>
      <c r="C828"/>
      <c r="D828"/>
      <c r="E828"/>
      <c r="F828" s="27" t="s">
        <v>7</v>
      </c>
      <c r="FK828" s="27" t="s">
        <v>8</v>
      </c>
      <c r="GV828" s="27" t="s">
        <v>7</v>
      </c>
      <c r="GW828" s="27" t="s">
        <v>8</v>
      </c>
      <c r="GX828" s="27" t="s">
        <v>7</v>
      </c>
      <c r="GY828" s="27" t="s">
        <v>8</v>
      </c>
      <c r="HB828" s="27" t="s">
        <v>7</v>
      </c>
      <c r="HC828" s="27" t="s">
        <v>8</v>
      </c>
      <c r="HH828" s="27" t="s">
        <v>7</v>
      </c>
      <c r="HI828" s="27" t="s">
        <v>8</v>
      </c>
      <c r="HJ828" s="27" t="s">
        <v>7</v>
      </c>
      <c r="HK828" s="27" t="s">
        <v>8</v>
      </c>
      <c r="HS828" s="27" t="s">
        <v>8</v>
      </c>
      <c r="HT828" s="27" t="s">
        <v>7</v>
      </c>
      <c r="IE828" s="27" t="s">
        <v>8</v>
      </c>
      <c r="IF828" s="27" t="s">
        <v>7</v>
      </c>
      <c r="IG828" s="27" t="s">
        <v>8</v>
      </c>
      <c r="IH828" s="27" t="s">
        <v>7</v>
      </c>
      <c r="IK828" s="27" t="s">
        <v>8</v>
      </c>
      <c r="JB828" s="27" t="s">
        <v>7</v>
      </c>
      <c r="JC828" s="27" t="s">
        <v>8</v>
      </c>
      <c r="JH828" s="27" t="s">
        <v>7</v>
      </c>
      <c r="JI828" s="27" t="s">
        <v>8</v>
      </c>
      <c r="JJ828" s="27" t="s">
        <v>7</v>
      </c>
      <c r="JO828" s="27" t="s">
        <v>8</v>
      </c>
      <c r="KL828" s="27" t="s">
        <v>7</v>
      </c>
      <c r="KM828" s="27" t="s">
        <v>8</v>
      </c>
      <c r="KN828" s="27" t="s">
        <v>7</v>
      </c>
      <c r="KO828" s="27" t="s">
        <v>8</v>
      </c>
      <c r="KP828" s="27" t="s">
        <v>7</v>
      </c>
      <c r="KR828" s="27" t="s">
        <v>7</v>
      </c>
      <c r="KS828" s="27" t="s">
        <v>8</v>
      </c>
      <c r="KT828" s="27" t="s">
        <v>7</v>
      </c>
      <c r="KU828" s="27" t="s">
        <v>8</v>
      </c>
      <c r="KV828" s="27" t="s">
        <v>7</v>
      </c>
      <c r="KW828" s="27" t="s">
        <v>8</v>
      </c>
      <c r="KX828" s="27" t="s">
        <v>7</v>
      </c>
      <c r="KY828" s="27" t="s">
        <v>8</v>
      </c>
      <c r="KZ828" s="27" t="s">
        <v>7</v>
      </c>
      <c r="LA828" s="27" t="s">
        <v>8</v>
      </c>
      <c r="LB828" s="27" t="s">
        <v>7</v>
      </c>
    </row>
    <row r="829" spans="1:316" x14ac:dyDescent="0.25">
      <c r="A829" s="7">
        <v>8.2938931033243839E-3</v>
      </c>
      <c r="B829"/>
      <c r="C829"/>
      <c r="D829"/>
      <c r="E829"/>
      <c r="F829" s="27" t="s">
        <v>7</v>
      </c>
      <c r="FK829" s="27" t="s">
        <v>8</v>
      </c>
      <c r="GV829" s="27" t="s">
        <v>7</v>
      </c>
      <c r="GW829" s="27" t="s">
        <v>8</v>
      </c>
      <c r="GX829" s="27" t="s">
        <v>7</v>
      </c>
      <c r="GY829" s="27" t="s">
        <v>8</v>
      </c>
      <c r="HB829" s="27" t="s">
        <v>7</v>
      </c>
      <c r="HH829" s="27" t="s">
        <v>7</v>
      </c>
      <c r="HI829" s="27" t="s">
        <v>8</v>
      </c>
      <c r="HJ829" s="27" t="s">
        <v>7</v>
      </c>
      <c r="HK829" s="27" t="s">
        <v>8</v>
      </c>
      <c r="HL829" s="27" t="s">
        <v>7</v>
      </c>
      <c r="HS829" s="27" t="s">
        <v>8</v>
      </c>
      <c r="HT829" s="27" t="s">
        <v>7</v>
      </c>
      <c r="IE829" s="27" t="s">
        <v>8</v>
      </c>
      <c r="IF829" s="27" t="s">
        <v>7</v>
      </c>
      <c r="IG829" s="27" t="s">
        <v>8</v>
      </c>
      <c r="IH829" s="27" t="s">
        <v>7</v>
      </c>
      <c r="IK829" s="27" t="s">
        <v>8</v>
      </c>
      <c r="JB829" s="27" t="s">
        <v>7</v>
      </c>
      <c r="JH829" s="27" t="s">
        <v>7</v>
      </c>
      <c r="JI829" s="27" t="s">
        <v>8</v>
      </c>
      <c r="JJ829" s="27" t="s">
        <v>7</v>
      </c>
      <c r="JO829" s="27" t="s">
        <v>8</v>
      </c>
      <c r="KL829" s="27" t="s">
        <v>7</v>
      </c>
      <c r="KM829" s="27" t="s">
        <v>8</v>
      </c>
      <c r="KN829" s="27" t="s">
        <v>7</v>
      </c>
      <c r="KO829" s="27" t="s">
        <v>8</v>
      </c>
      <c r="KR829" s="27" t="s">
        <v>7</v>
      </c>
      <c r="KS829" s="27" t="s">
        <v>8</v>
      </c>
      <c r="KT829" s="27" t="s">
        <v>7</v>
      </c>
      <c r="KU829" s="27" t="s">
        <v>8</v>
      </c>
      <c r="KV829" s="27" t="s">
        <v>7</v>
      </c>
      <c r="KW829" s="27" t="s">
        <v>8</v>
      </c>
      <c r="KX829" s="27" t="s">
        <v>7</v>
      </c>
      <c r="KY829" s="27" t="s">
        <v>8</v>
      </c>
      <c r="KZ829" s="27" t="s">
        <v>7</v>
      </c>
      <c r="LA829" s="27" t="s">
        <v>8</v>
      </c>
      <c r="LB829" s="27" t="s">
        <v>7</v>
      </c>
    </row>
    <row r="830" spans="1:316" x14ac:dyDescent="0.25">
      <c r="A830" s="7">
        <v>8.1312677483572383E-3</v>
      </c>
      <c r="B830"/>
      <c r="C830"/>
      <c r="D830"/>
      <c r="E830"/>
      <c r="F830" s="27" t="s">
        <v>7</v>
      </c>
      <c r="FK830" s="27" t="s">
        <v>8</v>
      </c>
      <c r="GV830" s="27" t="s">
        <v>7</v>
      </c>
      <c r="GW830" s="27" t="s">
        <v>8</v>
      </c>
      <c r="GX830" s="27" t="s">
        <v>7</v>
      </c>
      <c r="GY830" s="27" t="s">
        <v>8</v>
      </c>
      <c r="HH830" s="27" t="s">
        <v>7</v>
      </c>
      <c r="HI830" s="27" t="s">
        <v>8</v>
      </c>
      <c r="HJ830" s="27" t="s">
        <v>7</v>
      </c>
      <c r="HK830" s="27" t="s">
        <v>8</v>
      </c>
      <c r="HL830" s="27" t="s">
        <v>7</v>
      </c>
      <c r="HS830" s="27" t="s">
        <v>8</v>
      </c>
      <c r="HT830" s="27" t="s">
        <v>7</v>
      </c>
      <c r="IE830" s="27" t="s">
        <v>8</v>
      </c>
      <c r="IF830" s="27" t="s">
        <v>7</v>
      </c>
      <c r="IG830" s="27" t="s">
        <v>8</v>
      </c>
      <c r="IH830" s="27" t="s">
        <v>7</v>
      </c>
      <c r="II830" s="27" t="s">
        <v>8</v>
      </c>
      <c r="IK830" s="27" t="s">
        <v>8</v>
      </c>
      <c r="JH830" s="27" t="s">
        <v>7</v>
      </c>
      <c r="JI830" s="27" t="s">
        <v>8</v>
      </c>
      <c r="JJ830" s="27" t="s">
        <v>7</v>
      </c>
      <c r="JK830" s="27" t="s">
        <v>8</v>
      </c>
      <c r="JO830" s="27" t="s">
        <v>8</v>
      </c>
      <c r="KL830" s="27" t="s">
        <v>7</v>
      </c>
      <c r="KN830" s="27" t="s">
        <v>7</v>
      </c>
      <c r="KR830" s="27" t="s">
        <v>7</v>
      </c>
      <c r="KS830" s="27" t="s">
        <v>8</v>
      </c>
      <c r="KT830" s="27" t="s">
        <v>7</v>
      </c>
      <c r="KV830" s="27" t="s">
        <v>7</v>
      </c>
      <c r="KW830" s="27" t="s">
        <v>8</v>
      </c>
      <c r="KX830" s="27" t="s">
        <v>7</v>
      </c>
      <c r="KZ830" s="27" t="s">
        <v>7</v>
      </c>
      <c r="LB830" s="27" t="s">
        <v>7</v>
      </c>
      <c r="LC830" s="27" t="s">
        <v>8</v>
      </c>
    </row>
    <row r="831" spans="1:316" x14ac:dyDescent="0.25">
      <c r="A831" s="7">
        <v>7.9718311258404305E-3</v>
      </c>
      <c r="B831"/>
      <c r="C831"/>
      <c r="D831"/>
      <c r="E831"/>
      <c r="F831" s="27" t="s">
        <v>7</v>
      </c>
      <c r="FK831" s="27" t="s">
        <v>8</v>
      </c>
      <c r="GV831" s="27" t="s">
        <v>7</v>
      </c>
      <c r="GW831" s="27" t="s">
        <v>8</v>
      </c>
      <c r="GX831" s="27" t="s">
        <v>7</v>
      </c>
      <c r="GY831" s="27" t="s">
        <v>8</v>
      </c>
      <c r="HH831" s="27" t="s">
        <v>7</v>
      </c>
      <c r="HI831" s="27" t="s">
        <v>8</v>
      </c>
      <c r="HJ831" s="27" t="s">
        <v>7</v>
      </c>
      <c r="HK831" s="27" t="s">
        <v>8</v>
      </c>
      <c r="HL831" s="27" t="s">
        <v>7</v>
      </c>
      <c r="HS831" s="27" t="s">
        <v>8</v>
      </c>
      <c r="HT831" s="27" t="s">
        <v>7</v>
      </c>
      <c r="IE831" s="27" t="s">
        <v>8</v>
      </c>
      <c r="IF831" s="27" t="s">
        <v>7</v>
      </c>
      <c r="IG831" s="27" t="s">
        <v>8</v>
      </c>
      <c r="IH831" s="27" t="s">
        <v>7</v>
      </c>
      <c r="II831" s="27" t="s">
        <v>8</v>
      </c>
      <c r="IJ831" s="27" t="s">
        <v>7</v>
      </c>
      <c r="IK831" s="27" t="s">
        <v>8</v>
      </c>
      <c r="JH831" s="27" t="s">
        <v>7</v>
      </c>
      <c r="JI831" s="27" t="s">
        <v>8</v>
      </c>
      <c r="JJ831" s="27" t="s">
        <v>7</v>
      </c>
      <c r="JK831" s="27" t="s">
        <v>8</v>
      </c>
      <c r="JL831" s="27" t="s">
        <v>7</v>
      </c>
      <c r="JO831" s="27" t="s">
        <v>8</v>
      </c>
      <c r="KR831" s="27" t="s">
        <v>7</v>
      </c>
      <c r="KS831" s="27" t="s">
        <v>8</v>
      </c>
      <c r="KV831" s="27" t="s">
        <v>7</v>
      </c>
      <c r="LB831" s="27" t="s">
        <v>7</v>
      </c>
      <c r="LC831" s="27" t="s">
        <v>8</v>
      </c>
      <c r="LD831" s="27" t="s">
        <v>7</v>
      </c>
    </row>
    <row r="832" spans="1:316" x14ac:dyDescent="0.25">
      <c r="A832" s="7">
        <v>7.8155207116082648E-3</v>
      </c>
      <c r="B832"/>
      <c r="C832"/>
      <c r="D832"/>
      <c r="E832"/>
      <c r="F832" s="27" t="s">
        <v>7</v>
      </c>
      <c r="FK832" s="27" t="s">
        <v>8</v>
      </c>
      <c r="GV832" s="27" t="s">
        <v>7</v>
      </c>
      <c r="GW832" s="27" t="s">
        <v>8</v>
      </c>
      <c r="GX832" s="27" t="s">
        <v>7</v>
      </c>
      <c r="GY832" s="27" t="s">
        <v>8</v>
      </c>
      <c r="HH832" s="27" t="s">
        <v>7</v>
      </c>
      <c r="HI832" s="27" t="s">
        <v>8</v>
      </c>
      <c r="HJ832" s="27" t="s">
        <v>7</v>
      </c>
      <c r="HK832" s="27" t="s">
        <v>8</v>
      </c>
      <c r="HL832" s="27" t="s">
        <v>7</v>
      </c>
      <c r="HQ832" s="27" t="s">
        <v>8</v>
      </c>
      <c r="HS832" s="27" t="s">
        <v>8</v>
      </c>
      <c r="HT832" s="27" t="s">
        <v>7</v>
      </c>
      <c r="IE832" s="27" t="s">
        <v>8</v>
      </c>
      <c r="IF832" s="27" t="s">
        <v>7</v>
      </c>
      <c r="IG832" s="27" t="s">
        <v>8</v>
      </c>
      <c r="IH832" s="27" t="s">
        <v>7</v>
      </c>
      <c r="II832" s="27" t="s">
        <v>8</v>
      </c>
      <c r="IJ832" s="27" t="s">
        <v>7</v>
      </c>
      <c r="IK832" s="27" t="s">
        <v>8</v>
      </c>
      <c r="JH832" s="27" t="s">
        <v>7</v>
      </c>
      <c r="JI832" s="27" t="s">
        <v>8</v>
      </c>
      <c r="JJ832" s="27" t="s">
        <v>7</v>
      </c>
      <c r="JK832" s="27" t="s">
        <v>8</v>
      </c>
      <c r="JL832" s="27" t="s">
        <v>7</v>
      </c>
      <c r="JO832" s="27" t="s">
        <v>8</v>
      </c>
      <c r="KR832" s="27" t="s">
        <v>7</v>
      </c>
      <c r="LB832" s="27" t="s">
        <v>7</v>
      </c>
      <c r="LC832" s="27" t="s">
        <v>8</v>
      </c>
      <c r="LD832" s="27" t="s">
        <v>7</v>
      </c>
    </row>
    <row r="833" spans="1:322" x14ac:dyDescent="0.25">
      <c r="A833" s="7">
        <v>7.6622752074590825E-3</v>
      </c>
      <c r="B833"/>
      <c r="C833"/>
      <c r="D833"/>
      <c r="E833"/>
      <c r="F833" s="27" t="s">
        <v>7</v>
      </c>
      <c r="FK833" s="27" t="s">
        <v>8</v>
      </c>
      <c r="GV833" s="27" t="s">
        <v>7</v>
      </c>
      <c r="GW833" s="27" t="s">
        <v>8</v>
      </c>
      <c r="GX833" s="27" t="s">
        <v>7</v>
      </c>
      <c r="HH833" s="27" t="s">
        <v>7</v>
      </c>
      <c r="HI833" s="27" t="s">
        <v>8</v>
      </c>
      <c r="HJ833" s="27" t="s">
        <v>7</v>
      </c>
      <c r="HK833" s="27" t="s">
        <v>8</v>
      </c>
      <c r="HL833" s="27" t="s">
        <v>7</v>
      </c>
      <c r="HQ833" s="27" t="s">
        <v>8</v>
      </c>
      <c r="HR833" s="27" t="s">
        <v>7</v>
      </c>
      <c r="HS833" s="27" t="s">
        <v>8</v>
      </c>
      <c r="HT833" s="27" t="s">
        <v>7</v>
      </c>
      <c r="HW833" s="27" t="s">
        <v>8</v>
      </c>
      <c r="IE833" s="27" t="s">
        <v>8</v>
      </c>
      <c r="IF833" s="27" t="s">
        <v>7</v>
      </c>
      <c r="IH833" s="27" t="s">
        <v>7</v>
      </c>
      <c r="IJ833" s="27" t="s">
        <v>7</v>
      </c>
      <c r="JH833" s="27" t="s">
        <v>7</v>
      </c>
      <c r="JI833" s="27" t="s">
        <v>8</v>
      </c>
      <c r="JJ833" s="27" t="s">
        <v>7</v>
      </c>
      <c r="JK833" s="27" t="s">
        <v>8</v>
      </c>
      <c r="JL833" s="27" t="s">
        <v>7</v>
      </c>
      <c r="JM833" s="27" t="s">
        <v>8</v>
      </c>
      <c r="JO833" s="27" t="s">
        <v>8</v>
      </c>
      <c r="LB833" s="27" t="s">
        <v>7</v>
      </c>
      <c r="LC833" s="27" t="s">
        <v>8</v>
      </c>
      <c r="LD833" s="27" t="s">
        <v>7</v>
      </c>
    </row>
    <row r="834" spans="1:322" x14ac:dyDescent="0.25">
      <c r="A834" s="7">
        <v>7.5120345171167469E-3</v>
      </c>
      <c r="B834"/>
      <c r="C834"/>
      <c r="D834"/>
      <c r="E834"/>
      <c r="F834" s="27" t="s">
        <v>7</v>
      </c>
      <c r="FK834" s="27" t="s">
        <v>8</v>
      </c>
      <c r="GV834" s="27" t="s">
        <v>7</v>
      </c>
      <c r="GW834" s="27" t="s">
        <v>8</v>
      </c>
      <c r="HH834" s="27" t="s">
        <v>7</v>
      </c>
      <c r="HJ834" s="27" t="s">
        <v>7</v>
      </c>
      <c r="HK834" s="27" t="s">
        <v>8</v>
      </c>
      <c r="HL834" s="27" t="s">
        <v>7</v>
      </c>
      <c r="HQ834" s="27" t="s">
        <v>8</v>
      </c>
      <c r="HR834" s="27" t="s">
        <v>7</v>
      </c>
      <c r="HS834" s="27" t="s">
        <v>8</v>
      </c>
      <c r="HT834" s="27" t="s">
        <v>7</v>
      </c>
      <c r="HW834" s="27" t="s">
        <v>8</v>
      </c>
      <c r="HX834" s="27" t="s">
        <v>7</v>
      </c>
      <c r="IE834" s="27" t="s">
        <v>8</v>
      </c>
      <c r="JH834" s="27" t="s">
        <v>7</v>
      </c>
      <c r="JI834" s="27" t="s">
        <v>8</v>
      </c>
      <c r="JJ834" s="27" t="s">
        <v>7</v>
      </c>
      <c r="JK834" s="27" t="s">
        <v>8</v>
      </c>
      <c r="JL834" s="27" t="s">
        <v>7</v>
      </c>
      <c r="JM834" s="27" t="s">
        <v>8</v>
      </c>
      <c r="JN834" s="27" t="s">
        <v>7</v>
      </c>
      <c r="JO834" s="27" t="s">
        <v>8</v>
      </c>
      <c r="LB834" s="27" t="s">
        <v>7</v>
      </c>
      <c r="LC834" s="27" t="s">
        <v>8</v>
      </c>
      <c r="LD834" s="27" t="s">
        <v>7</v>
      </c>
      <c r="LE834" s="27" t="s">
        <v>8</v>
      </c>
    </row>
    <row r="835" spans="1:322" x14ac:dyDescent="0.25">
      <c r="A835" s="7">
        <v>7.3647397226634772E-3</v>
      </c>
      <c r="B835"/>
      <c r="C835"/>
      <c r="D835"/>
      <c r="E835"/>
      <c r="F835" s="27" t="s">
        <v>7</v>
      </c>
      <c r="FK835" s="27" t="s">
        <v>8</v>
      </c>
      <c r="GV835" s="27" t="s">
        <v>7</v>
      </c>
      <c r="GW835" s="27" t="s">
        <v>8</v>
      </c>
      <c r="HJ835" s="27" t="s">
        <v>7</v>
      </c>
      <c r="HK835" s="27" t="s">
        <v>8</v>
      </c>
      <c r="HL835" s="27" t="s">
        <v>7</v>
      </c>
      <c r="HQ835" s="27" t="s">
        <v>8</v>
      </c>
      <c r="HR835" s="27" t="s">
        <v>7</v>
      </c>
      <c r="HS835" s="27" t="s">
        <v>8</v>
      </c>
      <c r="HT835" s="27" t="s">
        <v>7</v>
      </c>
      <c r="HW835" s="27" t="s">
        <v>8</v>
      </c>
      <c r="HX835" s="27" t="s">
        <v>7</v>
      </c>
      <c r="IE835" s="27" t="s">
        <v>8</v>
      </c>
      <c r="JH835" s="27" t="s">
        <v>7</v>
      </c>
      <c r="JI835" s="27" t="s">
        <v>8</v>
      </c>
      <c r="JJ835" s="27" t="s">
        <v>7</v>
      </c>
      <c r="JK835" s="27" t="s">
        <v>8</v>
      </c>
      <c r="JL835" s="27" t="s">
        <v>7</v>
      </c>
      <c r="JM835" s="27" t="s">
        <v>8</v>
      </c>
      <c r="JN835" s="27" t="s">
        <v>7</v>
      </c>
      <c r="JO835" s="27" t="s">
        <v>8</v>
      </c>
      <c r="LB835" s="27" t="s">
        <v>7</v>
      </c>
      <c r="LC835" s="27" t="s">
        <v>8</v>
      </c>
      <c r="LD835" s="27" t="s">
        <v>7</v>
      </c>
      <c r="LE835" s="27" t="s">
        <v>8</v>
      </c>
      <c r="LF835" s="27" t="s">
        <v>7</v>
      </c>
    </row>
    <row r="836" spans="1:322" x14ac:dyDescent="0.25">
      <c r="A836" s="7">
        <v>7.2203330614347815E-3</v>
      </c>
      <c r="B836"/>
      <c r="C836"/>
      <c r="D836"/>
      <c r="E836"/>
      <c r="F836" s="27" t="s">
        <v>7</v>
      </c>
      <c r="FK836" s="27" t="s">
        <v>8</v>
      </c>
      <c r="GV836" s="27" t="s">
        <v>7</v>
      </c>
      <c r="GW836" s="27" t="s">
        <v>8</v>
      </c>
      <c r="HJ836" s="27" t="s">
        <v>7</v>
      </c>
      <c r="HK836" s="27" t="s">
        <v>8</v>
      </c>
      <c r="HL836" s="27" t="s">
        <v>7</v>
      </c>
      <c r="HQ836" s="27" t="s">
        <v>8</v>
      </c>
      <c r="HR836" s="27" t="s">
        <v>7</v>
      </c>
      <c r="HS836" s="27" t="s">
        <v>8</v>
      </c>
      <c r="HT836" s="27" t="s">
        <v>7</v>
      </c>
      <c r="HU836" s="27" t="s">
        <v>8</v>
      </c>
      <c r="HW836" s="27" t="s">
        <v>8</v>
      </c>
      <c r="HX836" s="27" t="s">
        <v>7</v>
      </c>
      <c r="IE836" s="27" t="s">
        <v>8</v>
      </c>
      <c r="JH836" s="27" t="s">
        <v>7</v>
      </c>
      <c r="JI836" s="27" t="s">
        <v>8</v>
      </c>
      <c r="JJ836" s="27" t="s">
        <v>7</v>
      </c>
      <c r="JL836" s="27" t="s">
        <v>7</v>
      </c>
      <c r="JN836" s="27" t="s">
        <v>7</v>
      </c>
      <c r="JO836" s="27" t="s">
        <v>8</v>
      </c>
      <c r="LB836" s="27" t="s">
        <v>7</v>
      </c>
      <c r="LC836" s="27" t="s">
        <v>8</v>
      </c>
      <c r="LD836" s="27" t="s">
        <v>7</v>
      </c>
      <c r="LE836" s="27" t="s">
        <v>8</v>
      </c>
      <c r="LF836" s="27" t="s">
        <v>7</v>
      </c>
    </row>
    <row r="837" spans="1:322" x14ac:dyDescent="0.25">
      <c r="A837" s="7">
        <v>7.0787579033674327E-3</v>
      </c>
      <c r="B837"/>
      <c r="C837"/>
      <c r="D837"/>
      <c r="E837"/>
      <c r="F837" s="27" t="s">
        <v>7</v>
      </c>
      <c r="FK837" s="27" t="s">
        <v>8</v>
      </c>
      <c r="GV837" s="27" t="s">
        <v>7</v>
      </c>
      <c r="GW837" s="27" t="s">
        <v>8</v>
      </c>
      <c r="HJ837" s="27" t="s">
        <v>7</v>
      </c>
      <c r="HK837" s="27" t="s">
        <v>8</v>
      </c>
      <c r="HL837" s="27" t="s">
        <v>7</v>
      </c>
      <c r="HQ837" s="27" t="s">
        <v>8</v>
      </c>
      <c r="HR837" s="27" t="s">
        <v>7</v>
      </c>
      <c r="HS837" s="27" t="s">
        <v>8</v>
      </c>
      <c r="HT837" s="27" t="s">
        <v>7</v>
      </c>
      <c r="HU837" s="27" t="s">
        <v>8</v>
      </c>
      <c r="HV837" s="27" t="s">
        <v>7</v>
      </c>
      <c r="HW837" s="27" t="s">
        <v>8</v>
      </c>
      <c r="HX837" s="27" t="s">
        <v>7</v>
      </c>
      <c r="IE837" s="27" t="s">
        <v>8</v>
      </c>
      <c r="JH837" s="27" t="s">
        <v>7</v>
      </c>
      <c r="JN837" s="27" t="s">
        <v>7</v>
      </c>
      <c r="JO837" s="27" t="s">
        <v>8</v>
      </c>
      <c r="LB837" s="27" t="s">
        <v>7</v>
      </c>
      <c r="LC837" s="27" t="s">
        <v>8</v>
      </c>
      <c r="LD837" s="27" t="s">
        <v>7</v>
      </c>
      <c r="LF837" s="27" t="s">
        <v>7</v>
      </c>
    </row>
    <row r="838" spans="1:322" x14ac:dyDescent="0.25">
      <c r="A838" s="7">
        <v>6.9399587287916013E-3</v>
      </c>
      <c r="B838"/>
      <c r="C838"/>
      <c r="D838"/>
      <c r="E838"/>
      <c r="F838" s="27" t="s">
        <v>7</v>
      </c>
      <c r="FK838" s="27" t="s">
        <v>8</v>
      </c>
      <c r="GV838" s="27" t="s">
        <v>7</v>
      </c>
      <c r="GW838" s="27" t="s">
        <v>8</v>
      </c>
      <c r="HJ838" s="27" t="s">
        <v>7</v>
      </c>
      <c r="HK838" s="27" t="s">
        <v>8</v>
      </c>
      <c r="HL838" s="27" t="s">
        <v>7</v>
      </c>
      <c r="HO838" s="27" t="s">
        <v>8</v>
      </c>
      <c r="HQ838" s="27" t="s">
        <v>8</v>
      </c>
      <c r="HR838" s="27" t="s">
        <v>7</v>
      </c>
      <c r="HS838" s="27" t="s">
        <v>8</v>
      </c>
      <c r="HT838" s="27" t="s">
        <v>7</v>
      </c>
      <c r="HU838" s="27" t="s">
        <v>8</v>
      </c>
      <c r="HV838" s="27" t="s">
        <v>7</v>
      </c>
      <c r="HW838" s="27" t="s">
        <v>8</v>
      </c>
      <c r="HX838" s="27" t="s">
        <v>7</v>
      </c>
      <c r="IC838" s="27" t="s">
        <v>8</v>
      </c>
      <c r="IE838" s="27" t="s">
        <v>8</v>
      </c>
      <c r="JN838" s="27" t="s">
        <v>7</v>
      </c>
      <c r="JO838" s="27" t="s">
        <v>8</v>
      </c>
      <c r="LB838" s="27" t="s">
        <v>7</v>
      </c>
      <c r="LC838" s="27" t="s">
        <v>8</v>
      </c>
      <c r="LF838" s="27" t="s">
        <v>7</v>
      </c>
    </row>
    <row r="839" spans="1:322" x14ac:dyDescent="0.25">
      <c r="A839" s="7">
        <v>6.8038811066584333E-3</v>
      </c>
      <c r="B839"/>
      <c r="C839"/>
      <c r="D839"/>
      <c r="E839"/>
      <c r="F839" s="27" t="s">
        <v>7</v>
      </c>
      <c r="FK839" s="27" t="s">
        <v>8</v>
      </c>
      <c r="GV839" s="27" t="s">
        <v>7</v>
      </c>
      <c r="GW839" s="27" t="s">
        <v>8</v>
      </c>
      <c r="HJ839" s="27" t="s">
        <v>7</v>
      </c>
      <c r="HK839" s="27" t="s">
        <v>8</v>
      </c>
      <c r="HL839" s="27" t="s">
        <v>7</v>
      </c>
      <c r="HO839" s="27" t="s">
        <v>8</v>
      </c>
      <c r="HP839" s="27" t="s">
        <v>7</v>
      </c>
      <c r="HQ839" s="27" t="s">
        <v>8</v>
      </c>
      <c r="HR839" s="27" t="s">
        <v>7</v>
      </c>
      <c r="HS839" s="27" t="s">
        <v>8</v>
      </c>
      <c r="HT839" s="27" t="s">
        <v>7</v>
      </c>
      <c r="HU839" s="27" t="s">
        <v>8</v>
      </c>
      <c r="HV839" s="27" t="s">
        <v>7</v>
      </c>
      <c r="HW839" s="27" t="s">
        <v>8</v>
      </c>
      <c r="HX839" s="27" t="s">
        <v>7</v>
      </c>
      <c r="IC839" s="27" t="s">
        <v>8</v>
      </c>
      <c r="ID839" s="27" t="s">
        <v>7</v>
      </c>
      <c r="IE839" s="27" t="s">
        <v>8</v>
      </c>
      <c r="JN839" s="27" t="s">
        <v>7</v>
      </c>
      <c r="LB839" s="27" t="s">
        <v>7</v>
      </c>
      <c r="LC839" s="27" t="s">
        <v>8</v>
      </c>
      <c r="LF839" s="27" t="s">
        <v>7</v>
      </c>
    </row>
    <row r="840" spans="1:322" x14ac:dyDescent="0.25">
      <c r="A840" s="7">
        <v>6.6704716731945425E-3</v>
      </c>
      <c r="B840"/>
      <c r="C840"/>
      <c r="D840"/>
      <c r="E840"/>
      <c r="F840" s="27" t="s">
        <v>7</v>
      </c>
      <c r="FK840" s="27" t="s">
        <v>8</v>
      </c>
      <c r="GV840" s="27" t="s">
        <v>7</v>
      </c>
      <c r="GW840" s="27" t="s">
        <v>8</v>
      </c>
      <c r="HJ840" s="27" t="s">
        <v>7</v>
      </c>
      <c r="HK840" s="27" t="s">
        <v>8</v>
      </c>
      <c r="HL840" s="27" t="s">
        <v>7</v>
      </c>
      <c r="HO840" s="27" t="s">
        <v>8</v>
      </c>
      <c r="HP840" s="27" t="s">
        <v>7</v>
      </c>
      <c r="HQ840" s="27" t="s">
        <v>8</v>
      </c>
      <c r="HR840" s="27" t="s">
        <v>7</v>
      </c>
      <c r="HS840" s="27" t="s">
        <v>8</v>
      </c>
      <c r="HT840" s="27" t="s">
        <v>7</v>
      </c>
      <c r="HU840" s="27" t="s">
        <v>8</v>
      </c>
      <c r="HV840" s="27" t="s">
        <v>7</v>
      </c>
      <c r="HX840" s="27" t="s">
        <v>7</v>
      </c>
      <c r="IC840" s="27" t="s">
        <v>8</v>
      </c>
      <c r="ID840" s="27" t="s">
        <v>7</v>
      </c>
      <c r="IE840" s="27" t="s">
        <v>8</v>
      </c>
      <c r="LB840" s="27" t="s">
        <v>7</v>
      </c>
      <c r="LC840" s="27" t="s">
        <v>8</v>
      </c>
      <c r="LF840" s="27" t="s">
        <v>7</v>
      </c>
    </row>
    <row r="841" spans="1:322" x14ac:dyDescent="0.25">
      <c r="A841" s="7">
        <v>6.5396781109750427E-3</v>
      </c>
      <c r="B841"/>
      <c r="C841"/>
      <c r="D841"/>
      <c r="E841"/>
      <c r="F841" s="27" t="s">
        <v>7</v>
      </c>
      <c r="FK841" s="27" t="s">
        <v>8</v>
      </c>
      <c r="GV841" s="27" t="s">
        <v>7</v>
      </c>
      <c r="GW841" s="27" t="s">
        <v>8</v>
      </c>
      <c r="HJ841" s="27" t="s">
        <v>7</v>
      </c>
      <c r="HK841" s="27" t="s">
        <v>8</v>
      </c>
      <c r="HL841" s="27" t="s">
        <v>7</v>
      </c>
      <c r="HO841" s="27" t="s">
        <v>8</v>
      </c>
      <c r="HP841" s="27" t="s">
        <v>7</v>
      </c>
      <c r="HQ841" s="27" t="s">
        <v>8</v>
      </c>
      <c r="HR841" s="27" t="s">
        <v>7</v>
      </c>
      <c r="HS841" s="27" t="s">
        <v>8</v>
      </c>
      <c r="HT841" s="27" t="s">
        <v>7</v>
      </c>
      <c r="HU841" s="27" t="s">
        <v>8</v>
      </c>
      <c r="HX841" s="27" t="s">
        <v>7</v>
      </c>
      <c r="IC841" s="27" t="s">
        <v>8</v>
      </c>
      <c r="ID841" s="27" t="s">
        <v>7</v>
      </c>
      <c r="IE841" s="27" t="s">
        <v>8</v>
      </c>
      <c r="LB841" s="27" t="s">
        <v>7</v>
      </c>
      <c r="LF841" s="27" t="s">
        <v>7</v>
      </c>
    </row>
    <row r="842" spans="1:322" x14ac:dyDescent="0.25">
      <c r="A842" s="7">
        <v>6.4114491284069045E-3</v>
      </c>
      <c r="B842"/>
      <c r="C842"/>
      <c r="D842"/>
      <c r="E842"/>
      <c r="F842" s="27" t="s">
        <v>7</v>
      </c>
      <c r="FK842" s="27" t="s">
        <v>8</v>
      </c>
      <c r="GV842" s="27" t="s">
        <v>7</v>
      </c>
      <c r="GW842" s="27" t="s">
        <v>8</v>
      </c>
      <c r="HJ842" s="27" t="s">
        <v>7</v>
      </c>
      <c r="HK842" s="27" t="s">
        <v>8</v>
      </c>
      <c r="HL842" s="27" t="s">
        <v>7</v>
      </c>
      <c r="HO842" s="27" t="s">
        <v>8</v>
      </c>
      <c r="HP842" s="27" t="s">
        <v>7</v>
      </c>
      <c r="HQ842" s="27" t="s">
        <v>8</v>
      </c>
      <c r="HR842" s="27" t="s">
        <v>7</v>
      </c>
      <c r="HS842" s="27" t="s">
        <v>8</v>
      </c>
      <c r="HT842" s="27" t="s">
        <v>7</v>
      </c>
      <c r="HX842" s="27" t="s">
        <v>7</v>
      </c>
      <c r="IA842" s="18" t="s">
        <v>8</v>
      </c>
      <c r="IC842" s="27" t="s">
        <v>8</v>
      </c>
      <c r="ID842" s="27" t="s">
        <v>7</v>
      </c>
      <c r="LF842" s="27" t="s">
        <v>7</v>
      </c>
    </row>
    <row r="843" spans="1:322" x14ac:dyDescent="0.25">
      <c r="A843" s="7">
        <v>6.2857344396146115E-3</v>
      </c>
      <c r="B843"/>
      <c r="C843"/>
      <c r="D843"/>
      <c r="E843"/>
      <c r="F843" s="27" t="s">
        <v>7</v>
      </c>
      <c r="FI843" s="27" t="s">
        <v>8</v>
      </c>
      <c r="FK843" s="27" t="s">
        <v>8</v>
      </c>
      <c r="GV843" s="27" t="s">
        <v>7</v>
      </c>
      <c r="GW843" s="27" t="s">
        <v>8</v>
      </c>
      <c r="HJ843" s="27" t="s">
        <v>7</v>
      </c>
      <c r="HK843" s="27" t="s">
        <v>8</v>
      </c>
      <c r="HL843" s="27" t="s">
        <v>7</v>
      </c>
      <c r="HO843" s="27" t="s">
        <v>8</v>
      </c>
      <c r="HP843" s="27" t="s">
        <v>7</v>
      </c>
      <c r="HQ843" s="27" t="s">
        <v>8</v>
      </c>
      <c r="HR843" s="27" t="s">
        <v>7</v>
      </c>
      <c r="HS843" s="27" t="s">
        <v>8</v>
      </c>
      <c r="HX843" s="27" t="s">
        <v>7</v>
      </c>
      <c r="HY843" s="27" t="s">
        <v>8</v>
      </c>
      <c r="IA843" s="27" t="s">
        <v>8</v>
      </c>
      <c r="IB843" s="27" t="s">
        <v>7</v>
      </c>
      <c r="IC843" s="27" t="s">
        <v>8</v>
      </c>
      <c r="LF843" s="27" t="s">
        <v>7</v>
      </c>
    </row>
    <row r="844" spans="1:322" x14ac:dyDescent="0.25">
      <c r="A844" s="7">
        <v>6.1624847447202076E-3</v>
      </c>
      <c r="B844"/>
      <c r="C844"/>
      <c r="D844"/>
      <c r="E844"/>
      <c r="F844" s="27" t="s">
        <v>7</v>
      </c>
      <c r="FI844" s="27" t="s">
        <v>8</v>
      </c>
      <c r="FJ844" s="27" t="s">
        <v>7</v>
      </c>
      <c r="FK844" s="27" t="s">
        <v>8</v>
      </c>
      <c r="GV844" s="27" t="s">
        <v>7</v>
      </c>
      <c r="HJ844" s="27" t="s">
        <v>7</v>
      </c>
      <c r="HK844" s="27" t="s">
        <v>8</v>
      </c>
      <c r="HL844" s="27" t="s">
        <v>7</v>
      </c>
      <c r="HO844" s="27" t="s">
        <v>8</v>
      </c>
      <c r="HP844" s="27" t="s">
        <v>7</v>
      </c>
      <c r="HQ844" s="27" t="s">
        <v>8</v>
      </c>
      <c r="HR844" s="27" t="s">
        <v>7</v>
      </c>
      <c r="HX844" s="27" t="s">
        <v>7</v>
      </c>
      <c r="HY844" s="27" t="s">
        <v>8</v>
      </c>
      <c r="HZ844" s="27" t="s">
        <v>7</v>
      </c>
      <c r="IA844" s="27" t="s">
        <v>8</v>
      </c>
      <c r="IB844" s="27" t="s">
        <v>7</v>
      </c>
      <c r="IC844" s="27" t="s">
        <v>8</v>
      </c>
      <c r="LF844" s="27" t="s">
        <v>7</v>
      </c>
    </row>
    <row r="845" spans="1:322" x14ac:dyDescent="0.25">
      <c r="A845" s="7">
        <v>6.0416517105100079E-3</v>
      </c>
      <c r="B845"/>
      <c r="C845"/>
      <c r="D845"/>
      <c r="E845"/>
      <c r="F845" s="27" t="s">
        <v>7</v>
      </c>
      <c r="FI845" s="27" t="s">
        <v>8</v>
      </c>
      <c r="FJ845" s="27" t="s">
        <v>7</v>
      </c>
      <c r="FK845" s="27" t="s">
        <v>8</v>
      </c>
      <c r="HJ845" s="27" t="s">
        <v>7</v>
      </c>
      <c r="HL845" s="27" t="s">
        <v>7</v>
      </c>
      <c r="HO845" s="27" t="s">
        <v>8</v>
      </c>
      <c r="HP845" s="27" t="s">
        <v>7</v>
      </c>
      <c r="HQ845" s="27" t="s">
        <v>8</v>
      </c>
      <c r="HX845" s="27" t="s">
        <v>7</v>
      </c>
      <c r="HY845" s="27" t="s">
        <v>8</v>
      </c>
      <c r="HZ845" s="27" t="s">
        <v>7</v>
      </c>
      <c r="IA845" s="27" t="s">
        <v>8</v>
      </c>
      <c r="IB845" s="27" t="s">
        <v>7</v>
      </c>
      <c r="IC845" s="27" t="s">
        <v>8</v>
      </c>
      <c r="LF845" s="27" t="s">
        <v>7</v>
      </c>
      <c r="LI845" s="27" t="s">
        <v>8</v>
      </c>
    </row>
    <row r="846" spans="1:322" x14ac:dyDescent="0.25">
      <c r="A846" s="7">
        <v>5.9231879514803996E-3</v>
      </c>
      <c r="B846"/>
      <c r="C846"/>
      <c r="D846"/>
      <c r="E846"/>
      <c r="F846" s="27" t="s">
        <v>7</v>
      </c>
      <c r="FI846" s="27" t="s">
        <v>8</v>
      </c>
      <c r="FJ846" s="27" t="s">
        <v>7</v>
      </c>
      <c r="FK846" s="27" t="s">
        <v>8</v>
      </c>
      <c r="HL846" s="27" t="s">
        <v>7</v>
      </c>
      <c r="HO846" s="27" t="s">
        <v>8</v>
      </c>
      <c r="HP846" s="27" t="s">
        <v>7</v>
      </c>
      <c r="HQ846" s="27" t="s">
        <v>8</v>
      </c>
      <c r="HX846" s="27" t="s">
        <v>7</v>
      </c>
      <c r="HY846" s="27" t="s">
        <v>8</v>
      </c>
      <c r="HZ846" s="27" t="s">
        <v>7</v>
      </c>
      <c r="IB846" s="27" t="s">
        <v>7</v>
      </c>
      <c r="IC846" s="27" t="s">
        <v>8</v>
      </c>
      <c r="LF846" s="27" t="s">
        <v>7</v>
      </c>
      <c r="LI846" s="27" t="s">
        <v>8</v>
      </c>
      <c r="LJ846" s="27" t="s">
        <v>7</v>
      </c>
    </row>
    <row r="847" spans="1:322" x14ac:dyDescent="0.25">
      <c r="A847" s="7">
        <v>5.8070470112552936E-3</v>
      </c>
      <c r="B847"/>
      <c r="C847"/>
      <c r="D847"/>
      <c r="E847"/>
      <c r="F847" s="27" t="s">
        <v>7</v>
      </c>
      <c r="FI847" s="27" t="s">
        <v>8</v>
      </c>
      <c r="FJ847" s="27" t="s">
        <v>7</v>
      </c>
      <c r="FK847" s="27" t="s">
        <v>8</v>
      </c>
      <c r="HL847" s="27" t="s">
        <v>7</v>
      </c>
      <c r="HO847" s="27" t="s">
        <v>8</v>
      </c>
      <c r="HP847" s="27" t="s">
        <v>7</v>
      </c>
      <c r="HQ847" s="27" t="s">
        <v>8</v>
      </c>
      <c r="HX847" s="27" t="s">
        <v>7</v>
      </c>
      <c r="IB847" s="27" t="s">
        <v>7</v>
      </c>
      <c r="IC847" s="27" t="s">
        <v>8</v>
      </c>
      <c r="LF847" s="27" t="s">
        <v>7</v>
      </c>
      <c r="LI847" s="27" t="s">
        <v>8</v>
      </c>
      <c r="LJ847" s="27" t="s">
        <v>7</v>
      </c>
    </row>
    <row r="848" spans="1:322" x14ac:dyDescent="0.25">
      <c r="A848" s="7">
        <v>5.6931833443679353E-3</v>
      </c>
      <c r="B848"/>
      <c r="C848"/>
      <c r="D848"/>
      <c r="E848"/>
      <c r="F848" s="27" t="s">
        <v>7</v>
      </c>
      <c r="FI848" s="27" t="s">
        <v>8</v>
      </c>
      <c r="FJ848" s="27" t="s">
        <v>7</v>
      </c>
      <c r="FK848" s="27" t="s">
        <v>8</v>
      </c>
      <c r="HL848" s="27" t="s">
        <v>7</v>
      </c>
      <c r="HO848" s="27" t="s">
        <v>8</v>
      </c>
      <c r="HP848" s="27" t="s">
        <v>7</v>
      </c>
      <c r="HQ848" s="27" t="s">
        <v>8</v>
      </c>
      <c r="IB848" s="27" t="s">
        <v>7</v>
      </c>
      <c r="IC848" s="27" t="s">
        <v>8</v>
      </c>
      <c r="LF848" s="27" t="s">
        <v>7</v>
      </c>
      <c r="LI848" s="27" t="s">
        <v>8</v>
      </c>
      <c r="LJ848" s="27" t="s">
        <v>7</v>
      </c>
    </row>
    <row r="849" spans="1:322" x14ac:dyDescent="0.25">
      <c r="A849" s="7">
        <v>5.5815522983999367E-3</v>
      </c>
      <c r="B849"/>
      <c r="C849"/>
      <c r="D849"/>
      <c r="E849"/>
      <c r="F849" s="27" t="s">
        <v>7</v>
      </c>
      <c r="FI849" s="27" t="s">
        <v>8</v>
      </c>
      <c r="FJ849" s="27" t="s">
        <v>7</v>
      </c>
      <c r="FK849" s="27" t="s">
        <v>8</v>
      </c>
      <c r="HL849" s="27" t="s">
        <v>7</v>
      </c>
      <c r="HO849" s="27" t="s">
        <v>8</v>
      </c>
      <c r="HP849" s="27" t="s">
        <v>7</v>
      </c>
      <c r="HQ849" s="27" t="s">
        <v>8</v>
      </c>
      <c r="IB849" s="27" t="s">
        <v>7</v>
      </c>
      <c r="IC849" s="27" t="s">
        <v>8</v>
      </c>
      <c r="LF849" s="27" t="s">
        <v>7</v>
      </c>
      <c r="LI849" s="27" t="s">
        <v>8</v>
      </c>
      <c r="LJ849" s="27" t="s">
        <v>7</v>
      </c>
    </row>
    <row r="850" spans="1:322" x14ac:dyDescent="0.25">
      <c r="A850" s="7">
        <v>5.4721100964705257E-3</v>
      </c>
      <c r="B850"/>
      <c r="C850"/>
      <c r="D850"/>
      <c r="E850"/>
      <c r="F850" s="27" t="s">
        <v>7</v>
      </c>
      <c r="FI850" s="27" t="s">
        <v>8</v>
      </c>
      <c r="FJ850" s="27" t="s">
        <v>7</v>
      </c>
      <c r="FK850" s="27" t="s">
        <v>8</v>
      </c>
      <c r="HL850" s="27" t="s">
        <v>7</v>
      </c>
      <c r="HO850" s="27" t="s">
        <v>8</v>
      </c>
      <c r="HP850" s="27" t="s">
        <v>7</v>
      </c>
      <c r="HQ850" s="27" t="s">
        <v>8</v>
      </c>
      <c r="IB850" s="27" t="s">
        <v>7</v>
      </c>
      <c r="IC850" s="27" t="s">
        <v>8</v>
      </c>
      <c r="LF850" s="27" t="s">
        <v>7</v>
      </c>
      <c r="LI850" s="27" t="s">
        <v>8</v>
      </c>
      <c r="LJ850" s="27" t="s">
        <v>7</v>
      </c>
    </row>
    <row r="851" spans="1:322" x14ac:dyDescent="0.25">
      <c r="A851" s="7">
        <v>5.3648138200691423E-3</v>
      </c>
      <c r="B851"/>
      <c r="C851"/>
      <c r="D851"/>
      <c r="E851"/>
      <c r="F851" s="27" t="s">
        <v>7</v>
      </c>
      <c r="FI851" s="27" t="s">
        <v>8</v>
      </c>
      <c r="FJ851" s="27" t="s">
        <v>7</v>
      </c>
      <c r="FK851" s="27" t="s">
        <v>8</v>
      </c>
      <c r="HL851" s="27" t="s">
        <v>7</v>
      </c>
      <c r="HO851" s="27" t="s">
        <v>8</v>
      </c>
      <c r="HP851" s="27" t="s">
        <v>7</v>
      </c>
      <c r="HQ851" s="27" t="s">
        <v>8</v>
      </c>
      <c r="IB851" s="27" t="s">
        <v>7</v>
      </c>
      <c r="IC851" s="27" t="s">
        <v>8</v>
      </c>
      <c r="LF851" s="27" t="s">
        <v>7</v>
      </c>
      <c r="LG851" s="27" t="s">
        <v>8</v>
      </c>
      <c r="LI851" s="27" t="s">
        <v>8</v>
      </c>
      <c r="LJ851" s="27" t="s">
        <v>7</v>
      </c>
    </row>
    <row r="852" spans="1:322" x14ac:dyDescent="0.25">
      <c r="A852" s="7">
        <v>5.2596213922246494E-3</v>
      </c>
      <c r="B852"/>
      <c r="C852"/>
      <c r="D852"/>
      <c r="E852"/>
      <c r="F852" s="27" t="s">
        <v>7</v>
      </c>
      <c r="FI852" s="27" t="s">
        <v>8</v>
      </c>
      <c r="FJ852" s="27" t="s">
        <v>7</v>
      </c>
      <c r="FK852" s="27" t="s">
        <v>8</v>
      </c>
      <c r="HL852" s="27" t="s">
        <v>7</v>
      </c>
      <c r="HO852" s="27" t="s">
        <v>8</v>
      </c>
      <c r="HP852" s="27" t="s">
        <v>7</v>
      </c>
      <c r="IB852" s="27" t="s">
        <v>7</v>
      </c>
      <c r="LF852" s="27" t="s">
        <v>7</v>
      </c>
      <c r="LG852" s="27" t="s">
        <v>8</v>
      </c>
      <c r="LH852" s="27" t="s">
        <v>7</v>
      </c>
      <c r="LI852" s="27" t="s">
        <v>8</v>
      </c>
      <c r="LJ852" s="27" t="s">
        <v>7</v>
      </c>
    </row>
    <row r="853" spans="1:322" x14ac:dyDescent="0.25">
      <c r="A853" s="7">
        <v>5.1564915610045588E-3</v>
      </c>
      <c r="B853"/>
      <c r="C853"/>
      <c r="D853"/>
      <c r="E853"/>
      <c r="F853" s="27" t="s">
        <v>7</v>
      </c>
      <c r="FI853" s="27" t="s">
        <v>8</v>
      </c>
      <c r="FJ853" s="27" t="s">
        <v>7</v>
      </c>
      <c r="FK853" s="27" t="s">
        <v>8</v>
      </c>
      <c r="HL853" s="27" t="s">
        <v>7</v>
      </c>
      <c r="HO853" s="27" t="s">
        <v>8</v>
      </c>
      <c r="LF853" s="27" t="s">
        <v>7</v>
      </c>
      <c r="LG853" s="27" t="s">
        <v>8</v>
      </c>
      <c r="LH853" s="27" t="s">
        <v>7</v>
      </c>
      <c r="LI853" s="27" t="s">
        <v>8</v>
      </c>
    </row>
    <row r="854" spans="1:322" x14ac:dyDescent="0.25">
      <c r="A854" s="7">
        <v>5.0553838833378023E-3</v>
      </c>
      <c r="B854"/>
      <c r="C854"/>
      <c r="D854"/>
      <c r="E854"/>
      <c r="F854" s="27" t="s">
        <v>7</v>
      </c>
      <c r="FI854" s="27" t="s">
        <v>8</v>
      </c>
      <c r="FJ854" s="27" t="s">
        <v>7</v>
      </c>
      <c r="FK854" s="27" t="s">
        <v>8</v>
      </c>
      <c r="HL854" s="27" t="s">
        <v>7</v>
      </c>
      <c r="HO854" s="27" t="s">
        <v>8</v>
      </c>
      <c r="LF854" s="27" t="s">
        <v>7</v>
      </c>
      <c r="LG854" s="27" t="s">
        <v>8</v>
      </c>
      <c r="LH854" s="27" t="s">
        <v>7</v>
      </c>
      <c r="LI854" s="27" t="s">
        <v>8</v>
      </c>
    </row>
    <row r="855" spans="1:322" x14ac:dyDescent="0.25">
      <c r="A855" s="7">
        <v>4.9562587091547079E-3</v>
      </c>
      <c r="B855"/>
      <c r="C855"/>
      <c r="D855"/>
      <c r="E855"/>
      <c r="F855" s="27" t="s">
        <v>7</v>
      </c>
      <c r="FI855" s="27" t="s">
        <v>8</v>
      </c>
      <c r="FJ855" s="27" t="s">
        <v>7</v>
      </c>
      <c r="FK855" s="27" t="s">
        <v>8</v>
      </c>
      <c r="HL855" s="27" t="s">
        <v>7</v>
      </c>
      <c r="HO855" s="27" t="s">
        <v>8</v>
      </c>
      <c r="LF855" s="27" t="s">
        <v>7</v>
      </c>
      <c r="LG855" s="27" t="s">
        <v>8</v>
      </c>
      <c r="LH855" s="27" t="s">
        <v>7</v>
      </c>
      <c r="LI855" s="27" t="s">
        <v>8</v>
      </c>
    </row>
    <row r="856" spans="1:322" x14ac:dyDescent="0.25">
      <c r="A856" s="7">
        <v>4.8590771658379491E-3</v>
      </c>
      <c r="B856"/>
      <c r="C856"/>
      <c r="D856"/>
      <c r="E856"/>
      <c r="F856" s="27" t="s">
        <v>7</v>
      </c>
      <c r="FI856" s="27" t="s">
        <v>8</v>
      </c>
      <c r="FJ856" s="27" t="s">
        <v>7</v>
      </c>
      <c r="FK856" s="27" t="s">
        <v>8</v>
      </c>
      <c r="HL856" s="27" t="s">
        <v>7</v>
      </c>
      <c r="HO856" s="27" t="s">
        <v>8</v>
      </c>
      <c r="LF856" s="27" t="s">
        <v>7</v>
      </c>
      <c r="LG856" s="27" t="s">
        <v>8</v>
      </c>
      <c r="LH856" s="27" t="s">
        <v>7</v>
      </c>
      <c r="LI856" s="27" t="s">
        <v>8</v>
      </c>
    </row>
    <row r="857" spans="1:322" x14ac:dyDescent="0.25">
      <c r="A857" s="7">
        <v>4.7638011429783815E-3</v>
      </c>
      <c r="B857"/>
      <c r="C857"/>
      <c r="D857"/>
      <c r="E857"/>
      <c r="F857" s="27" t="s">
        <v>7</v>
      </c>
      <c r="FI857" s="27" t="s">
        <v>8</v>
      </c>
      <c r="FJ857" s="27" t="s">
        <v>7</v>
      </c>
      <c r="FK857" s="27" t="s">
        <v>8</v>
      </c>
      <c r="HL857" s="27" t="s">
        <v>7</v>
      </c>
      <c r="HO857" s="27" t="s">
        <v>8</v>
      </c>
      <c r="LF857" s="27" t="s">
        <v>7</v>
      </c>
      <c r="LG857" s="27" t="s">
        <v>8</v>
      </c>
      <c r="LH857" s="27" t="s">
        <v>7</v>
      </c>
      <c r="LI857" s="27" t="s">
        <v>8</v>
      </c>
    </row>
    <row r="858" spans="1:322" x14ac:dyDescent="0.25">
      <c r="A858" s="7">
        <v>4.6703932774297859E-3</v>
      </c>
      <c r="B858"/>
      <c r="C858"/>
      <c r="D858"/>
      <c r="E858"/>
      <c r="F858" s="27" t="s">
        <v>7</v>
      </c>
      <c r="EY858" s="27" t="s">
        <v>8</v>
      </c>
      <c r="FI858" s="27" t="s">
        <v>8</v>
      </c>
      <c r="FJ858" s="27" t="s">
        <v>7</v>
      </c>
      <c r="HL858" s="27" t="s">
        <v>7</v>
      </c>
      <c r="HM858" s="27" t="s">
        <v>8</v>
      </c>
      <c r="HO858" s="27" t="s">
        <v>8</v>
      </c>
      <c r="LF858" s="27" t="s">
        <v>7</v>
      </c>
      <c r="LG858" s="27" t="s">
        <v>8</v>
      </c>
      <c r="LH858" s="27" t="s">
        <v>7</v>
      </c>
      <c r="LI858" s="27" t="s">
        <v>8</v>
      </c>
    </row>
    <row r="859" spans="1:322" x14ac:dyDescent="0.25">
      <c r="A859" s="7">
        <v>4.5788169386566527E-3</v>
      </c>
      <c r="B859"/>
      <c r="C859"/>
      <c r="D859"/>
      <c r="E859"/>
      <c r="F859" s="27" t="s">
        <v>7</v>
      </c>
      <c r="EY859" s="27" t="s">
        <v>8</v>
      </c>
      <c r="EZ859" s="27" t="s">
        <v>7</v>
      </c>
      <c r="FI859" s="27" t="s">
        <v>8</v>
      </c>
      <c r="HL859" s="27" t="s">
        <v>7</v>
      </c>
      <c r="HM859" s="27" t="s">
        <v>8</v>
      </c>
      <c r="HN859" s="27" t="s">
        <v>7</v>
      </c>
      <c r="HO859" s="27" t="s">
        <v>8</v>
      </c>
      <c r="LF859" s="27" t="s">
        <v>7</v>
      </c>
      <c r="LH859" s="27" t="s">
        <v>7</v>
      </c>
    </row>
    <row r="860" spans="1:322" x14ac:dyDescent="0.25">
      <c r="A860" s="7">
        <v>4.4890362143692672E-3</v>
      </c>
      <c r="B860"/>
      <c r="C860"/>
      <c r="D860"/>
      <c r="E860"/>
      <c r="F860" s="27" t="s">
        <v>7</v>
      </c>
      <c r="EW860" s="27" t="s">
        <v>8</v>
      </c>
      <c r="EY860" s="27" t="s">
        <v>8</v>
      </c>
      <c r="EZ860" s="27" t="s">
        <v>7</v>
      </c>
      <c r="FI860" s="27" t="s">
        <v>8</v>
      </c>
      <c r="HL860" s="27" t="s">
        <v>7</v>
      </c>
      <c r="HM860" s="27" t="s">
        <v>8</v>
      </c>
      <c r="HN860" s="27" t="s">
        <v>7</v>
      </c>
      <c r="HO860" s="27" t="s">
        <v>8</v>
      </c>
    </row>
    <row r="861" spans="1:322" x14ac:dyDescent="0.25">
      <c r="A861" s="7">
        <v>4.4010158964404578E-3</v>
      </c>
      <c r="B861"/>
      <c r="C861"/>
      <c r="D861"/>
      <c r="E861"/>
      <c r="F861" s="27" t="s">
        <v>7</v>
      </c>
      <c r="EW861" s="27" t="s">
        <v>8</v>
      </c>
      <c r="EX861" s="27" t="s">
        <v>7</v>
      </c>
      <c r="EY861" s="27" t="s">
        <v>8</v>
      </c>
      <c r="EZ861" s="27" t="s">
        <v>7</v>
      </c>
      <c r="FI861" s="27" t="s">
        <v>8</v>
      </c>
      <c r="HL861" s="27" t="s">
        <v>7</v>
      </c>
      <c r="HM861" s="27" t="s">
        <v>8</v>
      </c>
      <c r="HN861" s="27" t="s">
        <v>7</v>
      </c>
      <c r="HO861" s="27" t="s">
        <v>8</v>
      </c>
    </row>
    <row r="862" spans="1:322" x14ac:dyDescent="0.25">
      <c r="A862" s="7">
        <v>4.314721467098488E-3</v>
      </c>
      <c r="B862"/>
      <c r="C862"/>
      <c r="D862"/>
      <c r="E862"/>
      <c r="F862" s="27" t="s">
        <v>7</v>
      </c>
      <c r="EW862" s="27" t="s">
        <v>8</v>
      </c>
      <c r="EX862" s="27" t="s">
        <v>7</v>
      </c>
      <c r="EY862" s="27" t="s">
        <v>8</v>
      </c>
      <c r="EZ862" s="27" t="s">
        <v>7</v>
      </c>
      <c r="FI862" s="27" t="s">
        <v>8</v>
      </c>
      <c r="HL862" s="27" t="s">
        <v>7</v>
      </c>
      <c r="HM862" s="27" t="s">
        <v>8</v>
      </c>
      <c r="HN862" s="27" t="s">
        <v>7</v>
      </c>
      <c r="HO862" s="27" t="s">
        <v>8</v>
      </c>
    </row>
    <row r="863" spans="1:322" x14ac:dyDescent="0.25">
      <c r="A863" s="7">
        <v>4.2301190853906746E-3</v>
      </c>
      <c r="B863"/>
      <c r="C863"/>
      <c r="D863"/>
      <c r="E863"/>
      <c r="F863" s="27" t="s">
        <v>7</v>
      </c>
      <c r="EW863" s="27" t="s">
        <v>8</v>
      </c>
      <c r="EX863" s="27" t="s">
        <v>7</v>
      </c>
      <c r="EY863" s="27" t="s">
        <v>8</v>
      </c>
      <c r="EZ863" s="27" t="s">
        <v>7</v>
      </c>
      <c r="FI863" s="27" t="s">
        <v>8</v>
      </c>
      <c r="HL863" s="27" t="s">
        <v>7</v>
      </c>
      <c r="HM863" s="27" t="s">
        <v>8</v>
      </c>
      <c r="HN863" s="27" t="s">
        <v>7</v>
      </c>
      <c r="HO863" s="27" t="s">
        <v>8</v>
      </c>
    </row>
    <row r="864" spans="1:322" x14ac:dyDescent="0.25">
      <c r="A864" s="7">
        <v>4.1471755739124266E-3</v>
      </c>
      <c r="B864"/>
      <c r="C864"/>
      <c r="D864"/>
      <c r="E864"/>
      <c r="F864" s="27" t="s">
        <v>7</v>
      </c>
      <c r="EW864" s="27" t="s">
        <v>8</v>
      </c>
      <c r="EX864" s="27" t="s">
        <v>7</v>
      </c>
      <c r="EY864" s="27" t="s">
        <v>8</v>
      </c>
      <c r="EZ864" s="27" t="s">
        <v>7</v>
      </c>
      <c r="FI864" s="27" t="s">
        <v>8</v>
      </c>
      <c r="HL864" s="27" t="s">
        <v>7</v>
      </c>
      <c r="HM864" s="27" t="s">
        <v>8</v>
      </c>
      <c r="HN864" s="27" t="s">
        <v>7</v>
      </c>
      <c r="HO864" s="27" t="s">
        <v>8</v>
      </c>
    </row>
    <row r="865" spans="1:223" x14ac:dyDescent="0.25">
      <c r="A865" s="7">
        <v>4.0658584057964966E-3</v>
      </c>
      <c r="B865"/>
      <c r="C865"/>
      <c r="D865"/>
      <c r="E865"/>
      <c r="F865" s="27" t="s">
        <v>7</v>
      </c>
      <c r="EW865" s="27" t="s">
        <v>8</v>
      </c>
      <c r="EX865" s="27" t="s">
        <v>7</v>
      </c>
      <c r="EY865" s="27" t="s">
        <v>8</v>
      </c>
      <c r="EZ865" s="27" t="s">
        <v>7</v>
      </c>
      <c r="FI865" s="27" t="s">
        <v>8</v>
      </c>
      <c r="HL865" s="27" t="s">
        <v>7</v>
      </c>
      <c r="HM865" s="27" t="s">
        <v>8</v>
      </c>
      <c r="HN865" s="27" t="s">
        <v>7</v>
      </c>
      <c r="HO865" s="27" t="s">
        <v>8</v>
      </c>
    </row>
    <row r="866" spans="1:223" x14ac:dyDescent="0.25">
      <c r="A866" s="7">
        <v>3.9861356919573491E-3</v>
      </c>
      <c r="B866"/>
      <c r="C866"/>
      <c r="D866"/>
      <c r="E866"/>
      <c r="F866" s="27" t="s">
        <v>7</v>
      </c>
      <c r="EW866" s="27" t="s">
        <v>8</v>
      </c>
      <c r="EX866" s="27" t="s">
        <v>7</v>
      </c>
      <c r="EY866" s="27" t="s">
        <v>8</v>
      </c>
      <c r="EZ866" s="27" t="s">
        <v>7</v>
      </c>
      <c r="FI866" s="27" t="s">
        <v>8</v>
      </c>
      <c r="HL866" s="27" t="s">
        <v>7</v>
      </c>
      <c r="HM866" s="27" t="s">
        <v>8</v>
      </c>
      <c r="HN866" s="27" t="s">
        <v>7</v>
      </c>
      <c r="HO866" s="27" t="s">
        <v>8</v>
      </c>
    </row>
    <row r="867" spans="1:223" x14ac:dyDescent="0.25">
      <c r="A867" s="7">
        <v>3.9079761685856364E-3</v>
      </c>
      <c r="B867"/>
      <c r="C867"/>
      <c r="D867"/>
      <c r="E867"/>
      <c r="F867" s="27" t="s">
        <v>7</v>
      </c>
      <c r="EW867" s="27" t="s">
        <v>8</v>
      </c>
      <c r="EX867" s="27" t="s">
        <v>7</v>
      </c>
      <c r="EY867" s="27" t="s">
        <v>8</v>
      </c>
      <c r="EZ867" s="27" t="s">
        <v>7</v>
      </c>
      <c r="FI867" s="27" t="s">
        <v>8</v>
      </c>
      <c r="HL867" s="27" t="s">
        <v>7</v>
      </c>
      <c r="HM867" s="27" t="s">
        <v>8</v>
      </c>
      <c r="HN867" s="27" t="s">
        <v>7</v>
      </c>
    </row>
    <row r="868" spans="1:223" x14ac:dyDescent="0.25">
      <c r="A868" s="7">
        <v>3.8313491848878793E-3</v>
      </c>
      <c r="B868"/>
      <c r="C868"/>
      <c r="D868"/>
      <c r="E868"/>
      <c r="F868" s="27" t="s">
        <v>7</v>
      </c>
      <c r="EW868" s="27" t="s">
        <v>8</v>
      </c>
      <c r="EX868" s="27" t="s">
        <v>7</v>
      </c>
      <c r="EY868" s="27" t="s">
        <v>8</v>
      </c>
      <c r="EZ868" s="27" t="s">
        <v>7</v>
      </c>
      <c r="FI868" s="27" t="s">
        <v>8</v>
      </c>
      <c r="HL868" s="27" t="s">
        <v>7</v>
      </c>
      <c r="HM868" s="27" t="s">
        <v>8</v>
      </c>
    </row>
    <row r="869" spans="1:223" x14ac:dyDescent="0.25">
      <c r="A869" s="7">
        <v>3.7562246910665485E-3</v>
      </c>
      <c r="B869"/>
      <c r="C869"/>
      <c r="D869"/>
      <c r="E869"/>
      <c r="F869" s="27" t="s">
        <v>7</v>
      </c>
      <c r="EW869" s="27" t="s">
        <v>8</v>
      </c>
      <c r="EX869" s="27" t="s">
        <v>7</v>
      </c>
      <c r="EY869" s="27" t="s">
        <v>8</v>
      </c>
      <c r="EZ869" s="27" t="s">
        <v>7</v>
      </c>
      <c r="FE869" s="27" t="s">
        <v>8</v>
      </c>
      <c r="FG869" s="27" t="s">
        <v>8</v>
      </c>
      <c r="FI869" s="27" t="s">
        <v>8</v>
      </c>
      <c r="HL869" s="27" t="s">
        <v>7</v>
      </c>
      <c r="HM869" s="27" t="s">
        <v>8</v>
      </c>
    </row>
    <row r="870" spans="1:223" x14ac:dyDescent="0.25">
      <c r="A870" s="7">
        <v>3.6825732265358315E-3</v>
      </c>
      <c r="B870"/>
      <c r="C870"/>
      <c r="D870"/>
      <c r="E870"/>
      <c r="F870" s="27" t="s">
        <v>7</v>
      </c>
      <c r="EW870" s="27" t="s">
        <v>8</v>
      </c>
      <c r="EX870" s="27" t="s">
        <v>7</v>
      </c>
      <c r="EY870" s="27" t="s">
        <v>8</v>
      </c>
      <c r="EZ870" s="27" t="s">
        <v>7</v>
      </c>
      <c r="FC870" s="27" t="s">
        <v>8</v>
      </c>
      <c r="FE870" s="27" t="s">
        <v>8</v>
      </c>
      <c r="FF870" s="27" t="s">
        <v>7</v>
      </c>
      <c r="FG870" s="27" t="s">
        <v>8</v>
      </c>
      <c r="FH870" s="27" t="s">
        <v>7</v>
      </c>
      <c r="FI870" s="27" t="s">
        <v>8</v>
      </c>
      <c r="HL870" s="27" t="s">
        <v>7</v>
      </c>
      <c r="HM870" s="27" t="s">
        <v>8</v>
      </c>
    </row>
    <row r="871" spans="1:223" x14ac:dyDescent="0.25">
      <c r="A871" s="7">
        <v>3.6103659083684624E-3</v>
      </c>
      <c r="B871"/>
      <c r="C871"/>
      <c r="D871"/>
      <c r="E871"/>
      <c r="F871" s="27" t="s">
        <v>7</v>
      </c>
      <c r="EW871" s="27" t="s">
        <v>8</v>
      </c>
      <c r="EX871" s="27" t="s">
        <v>7</v>
      </c>
      <c r="EY871" s="27" t="s">
        <v>8</v>
      </c>
      <c r="EZ871" s="27" t="s">
        <v>7</v>
      </c>
      <c r="FC871" s="27" t="s">
        <v>8</v>
      </c>
      <c r="FD871" s="27" t="s">
        <v>7</v>
      </c>
      <c r="FE871" s="27" t="s">
        <v>8</v>
      </c>
      <c r="FF871" s="27" t="s">
        <v>7</v>
      </c>
      <c r="FG871" s="27" t="s">
        <v>8</v>
      </c>
      <c r="FH871" s="27" t="s">
        <v>7</v>
      </c>
      <c r="FI871" s="27" t="s">
        <v>8</v>
      </c>
      <c r="HL871" s="27" t="s">
        <v>7</v>
      </c>
      <c r="HM871" s="27" t="s">
        <v>8</v>
      </c>
    </row>
    <row r="872" spans="1:223" x14ac:dyDescent="0.25">
      <c r="A872" s="7">
        <v>3.539574419969081E-3</v>
      </c>
      <c r="B872"/>
      <c r="C872"/>
      <c r="D872"/>
      <c r="E872"/>
      <c r="F872" s="27" t="s">
        <v>7</v>
      </c>
      <c r="EW872" s="27" t="s">
        <v>8</v>
      </c>
      <c r="EX872" s="27" t="s">
        <v>7</v>
      </c>
      <c r="EY872" s="27" t="s">
        <v>8</v>
      </c>
      <c r="EZ872" s="27" t="s">
        <v>7</v>
      </c>
      <c r="FC872" s="27" t="s">
        <v>8</v>
      </c>
      <c r="FD872" s="27" t="s">
        <v>7</v>
      </c>
      <c r="FE872" s="27" t="s">
        <v>8</v>
      </c>
      <c r="FF872" s="27" t="s">
        <v>7</v>
      </c>
      <c r="FG872" s="27" t="s">
        <v>8</v>
      </c>
      <c r="FH872" s="27" t="s">
        <v>7</v>
      </c>
      <c r="HL872" s="27" t="s">
        <v>7</v>
      </c>
      <c r="HM872" s="27" t="s">
        <v>8</v>
      </c>
    </row>
    <row r="873" spans="1:223" x14ac:dyDescent="0.25">
      <c r="A873" s="7">
        <v>3.4701709999696872E-3</v>
      </c>
      <c r="B873"/>
      <c r="C873"/>
      <c r="D873"/>
      <c r="E873"/>
      <c r="F873" s="27" t="s">
        <v>7</v>
      </c>
      <c r="EW873" s="27" t="s">
        <v>8</v>
      </c>
      <c r="EX873" s="27" t="s">
        <v>7</v>
      </c>
      <c r="EZ873" s="27" t="s">
        <v>7</v>
      </c>
      <c r="FC873" s="27" t="s">
        <v>8</v>
      </c>
      <c r="FD873" s="27" t="s">
        <v>7</v>
      </c>
      <c r="FE873" s="27" t="s">
        <v>8</v>
      </c>
      <c r="FF873" s="27" t="s">
        <v>7</v>
      </c>
      <c r="FG873" s="27" t="s">
        <v>8</v>
      </c>
      <c r="HL873" s="27" t="s">
        <v>7</v>
      </c>
      <c r="HM873" s="27" t="s">
        <v>8</v>
      </c>
    </row>
    <row r="874" spans="1:223" x14ac:dyDescent="0.25">
      <c r="A874" s="7">
        <v>3.4021284313428307E-3</v>
      </c>
      <c r="B874"/>
      <c r="C874"/>
      <c r="D874"/>
      <c r="E874"/>
      <c r="F874" s="27" t="s">
        <v>7</v>
      </c>
      <c r="EU874" s="27" t="s">
        <v>8</v>
      </c>
      <c r="EW874" s="27" t="s">
        <v>8</v>
      </c>
      <c r="EZ874" s="27" t="s">
        <v>7</v>
      </c>
      <c r="FC874" s="27" t="s">
        <v>8</v>
      </c>
      <c r="FD874" s="27" t="s">
        <v>7</v>
      </c>
      <c r="FE874" s="27" t="s">
        <v>8</v>
      </c>
      <c r="FF874" s="27" t="s">
        <v>7</v>
      </c>
      <c r="FG874" s="27" t="s">
        <v>8</v>
      </c>
      <c r="HL874" s="27" t="s">
        <v>7</v>
      </c>
      <c r="HM874" s="27" t="s">
        <v>8</v>
      </c>
    </row>
    <row r="875" spans="1:223" x14ac:dyDescent="0.25">
      <c r="A875" s="7">
        <v>3.3354200307282654E-3</v>
      </c>
      <c r="B875"/>
      <c r="C875"/>
      <c r="D875"/>
      <c r="E875"/>
      <c r="F875" s="27" t="s">
        <v>7</v>
      </c>
      <c r="EU875" s="27" t="s">
        <v>8</v>
      </c>
      <c r="EV875" s="27" t="s">
        <v>7</v>
      </c>
      <c r="EW875" s="27" t="s">
        <v>8</v>
      </c>
      <c r="EZ875" s="27" t="s">
        <v>7</v>
      </c>
      <c r="FC875" s="27" t="s">
        <v>8</v>
      </c>
      <c r="FD875" s="27" t="s">
        <v>7</v>
      </c>
      <c r="FE875" s="27" t="s">
        <v>8</v>
      </c>
      <c r="FF875" s="27" t="s">
        <v>7</v>
      </c>
      <c r="HL875" s="27" t="s">
        <v>7</v>
      </c>
      <c r="HM875" s="27" t="s">
        <v>8</v>
      </c>
    </row>
    <row r="876" spans="1:223" x14ac:dyDescent="0.25">
      <c r="A876" s="7">
        <v>3.2700196379688881E-3</v>
      </c>
      <c r="B876"/>
      <c r="C876"/>
      <c r="D876"/>
      <c r="E876"/>
      <c r="F876" s="27" t="s">
        <v>7</v>
      </c>
      <c r="EU876" s="27" t="s">
        <v>8</v>
      </c>
      <c r="EV876" s="27" t="s">
        <v>7</v>
      </c>
      <c r="EW876" s="27" t="s">
        <v>8</v>
      </c>
      <c r="EZ876" s="27" t="s">
        <v>7</v>
      </c>
      <c r="FA876" s="27" t="s">
        <v>8</v>
      </c>
      <c r="FC876" s="27" t="s">
        <v>8</v>
      </c>
      <c r="FD876" s="27" t="s">
        <v>7</v>
      </c>
      <c r="FE876" s="27" t="s">
        <v>8</v>
      </c>
      <c r="HL876" s="27" t="s">
        <v>7</v>
      </c>
      <c r="HM876" s="27" t="s">
        <v>8</v>
      </c>
    </row>
    <row r="877" spans="1:223" x14ac:dyDescent="0.25">
      <c r="A877" s="7">
        <v>3.205901605851851E-3</v>
      </c>
      <c r="B877"/>
      <c r="C877"/>
      <c r="D877"/>
      <c r="E877"/>
      <c r="F877" s="27" t="s">
        <v>7</v>
      </c>
      <c r="EU877" s="27" t="s">
        <v>8</v>
      </c>
      <c r="EV877" s="27" t="s">
        <v>7</v>
      </c>
      <c r="EW877" s="27" t="s">
        <v>8</v>
      </c>
      <c r="EZ877" s="27" t="s">
        <v>7</v>
      </c>
      <c r="FA877" s="27" t="s">
        <v>8</v>
      </c>
      <c r="FB877" s="27" t="s">
        <v>7</v>
      </c>
      <c r="FC877" s="27" t="s">
        <v>8</v>
      </c>
      <c r="FD877" s="27" t="s">
        <v>7</v>
      </c>
      <c r="FE877" s="27" t="s">
        <v>8</v>
      </c>
      <c r="HL877" s="27" t="s">
        <v>7</v>
      </c>
      <c r="HM877" s="27" t="s">
        <v>8</v>
      </c>
    </row>
    <row r="878" spans="1:223" x14ac:dyDescent="0.25">
      <c r="A878" s="7">
        <v>3.1430407900508344E-3</v>
      </c>
      <c r="B878"/>
      <c r="C878"/>
      <c r="D878"/>
      <c r="E878"/>
      <c r="F878" s="27" t="s">
        <v>7</v>
      </c>
      <c r="EU878" s="27" t="s">
        <v>8</v>
      </c>
      <c r="EV878" s="27" t="s">
        <v>7</v>
      </c>
      <c r="EW878" s="27" t="s">
        <v>8</v>
      </c>
      <c r="EZ878" s="27" t="s">
        <v>7</v>
      </c>
      <c r="FA878" s="27" t="s">
        <v>8</v>
      </c>
      <c r="FB878" s="27" t="s">
        <v>7</v>
      </c>
      <c r="FC878" s="27" t="s">
        <v>8</v>
      </c>
      <c r="FD878" s="27" t="s">
        <v>7</v>
      </c>
      <c r="FE878" s="27" t="s">
        <v>8</v>
      </c>
      <c r="HL878" s="27" t="s">
        <v>7</v>
      </c>
      <c r="HM878" s="27" t="s">
        <v>8</v>
      </c>
    </row>
    <row r="879" spans="1:223" x14ac:dyDescent="0.25">
      <c r="A879" s="7">
        <v>3.0814125392655241E-3</v>
      </c>
      <c r="B879"/>
      <c r="C879"/>
      <c r="D879"/>
      <c r="E879"/>
      <c r="F879" s="27" t="s">
        <v>7</v>
      </c>
      <c r="EU879" s="27" t="s">
        <v>8</v>
      </c>
      <c r="EV879" s="27" t="s">
        <v>7</v>
      </c>
      <c r="EW879" s="27" t="s">
        <v>8</v>
      </c>
      <c r="EZ879" s="27" t="s">
        <v>7</v>
      </c>
      <c r="FA879" s="27" t="s">
        <v>8</v>
      </c>
      <c r="FB879" s="27" t="s">
        <v>7</v>
      </c>
      <c r="FC879" s="27" t="s">
        <v>8</v>
      </c>
      <c r="FD879" s="27" t="s">
        <v>7</v>
      </c>
      <c r="FE879" s="27" t="s">
        <v>8</v>
      </c>
      <c r="HL879" s="27" t="s">
        <v>7</v>
      </c>
      <c r="HM879" s="27" t="s">
        <v>8</v>
      </c>
    </row>
    <row r="880" spans="1:223" x14ac:dyDescent="0.25">
      <c r="A880" s="7">
        <v>3.0209926855544354E-3</v>
      </c>
      <c r="B880"/>
      <c r="C880"/>
      <c r="D880"/>
      <c r="E880"/>
      <c r="F880" s="27" t="s">
        <v>7</v>
      </c>
      <c r="EU880" s="27" t="s">
        <v>8</v>
      </c>
      <c r="EV880" s="27" t="s">
        <v>7</v>
      </c>
      <c r="EW880" s="27" t="s">
        <v>8</v>
      </c>
      <c r="EZ880" s="27" t="s">
        <v>7</v>
      </c>
      <c r="FA880" s="27" t="s">
        <v>8</v>
      </c>
      <c r="FB880" s="27" t="s">
        <v>7</v>
      </c>
      <c r="FC880" s="27" t="s">
        <v>8</v>
      </c>
      <c r="FD880" s="27" t="s">
        <v>7</v>
      </c>
      <c r="FE880" s="27" t="s">
        <v>8</v>
      </c>
      <c r="HL880" s="27" t="s">
        <v>7</v>
      </c>
    </row>
    <row r="881" spans="1:161" x14ac:dyDescent="0.25">
      <c r="A881" s="7">
        <v>2.9617575348572897E-3</v>
      </c>
      <c r="B881"/>
      <c r="C881"/>
      <c r="D881"/>
      <c r="E881"/>
      <c r="F881" s="27" t="s">
        <v>7</v>
      </c>
      <c r="EU881" s="27" t="s">
        <v>8</v>
      </c>
      <c r="EV881" s="27" t="s">
        <v>7</v>
      </c>
      <c r="EW881" s="27" t="s">
        <v>8</v>
      </c>
      <c r="EZ881" s="27" t="s">
        <v>7</v>
      </c>
      <c r="FA881" s="27" t="s">
        <v>8</v>
      </c>
      <c r="FB881" s="27" t="s">
        <v>7</v>
      </c>
      <c r="FC881" s="27" t="s">
        <v>8</v>
      </c>
      <c r="FD881" s="27" t="s">
        <v>7</v>
      </c>
      <c r="FE881" s="27" t="s">
        <v>8</v>
      </c>
    </row>
    <row r="882" spans="1:161" x14ac:dyDescent="0.25">
      <c r="A882" s="7">
        <v>2.9036838577032251E-3</v>
      </c>
      <c r="B882"/>
      <c r="C882"/>
      <c r="D882"/>
      <c r="E882"/>
      <c r="F882" s="27" t="s">
        <v>7</v>
      </c>
      <c r="EU882" s="27" t="s">
        <v>8</v>
      </c>
      <c r="EV882" s="27" t="s">
        <v>7</v>
      </c>
      <c r="EW882" s="27" t="s">
        <v>8</v>
      </c>
      <c r="EZ882" s="27" t="s">
        <v>7</v>
      </c>
      <c r="FA882" s="27" t="s">
        <v>8</v>
      </c>
      <c r="FB882" s="27" t="s">
        <v>7</v>
      </c>
      <c r="FC882" s="27" t="s">
        <v>8</v>
      </c>
      <c r="FD882" s="27" t="s">
        <v>7</v>
      </c>
      <c r="FE882" s="27" t="s">
        <v>8</v>
      </c>
    </row>
    <row r="883" spans="1:161" x14ac:dyDescent="0.25">
      <c r="A883" s="7">
        <v>2.8467488801012012E-3</v>
      </c>
      <c r="B883"/>
      <c r="C883"/>
      <c r="D883"/>
      <c r="E883"/>
      <c r="F883" s="27" t="s">
        <v>7</v>
      </c>
      <c r="AQ883" s="27" t="s">
        <v>8</v>
      </c>
      <c r="EU883" s="27" t="s">
        <v>8</v>
      </c>
      <c r="EV883" s="27" t="s">
        <v>7</v>
      </c>
      <c r="EW883" s="27" t="s">
        <v>8</v>
      </c>
      <c r="EZ883" s="27" t="s">
        <v>7</v>
      </c>
      <c r="FA883" s="27" t="s">
        <v>8</v>
      </c>
      <c r="FB883" s="27" t="s">
        <v>7</v>
      </c>
      <c r="FC883" s="27" t="s">
        <v>8</v>
      </c>
      <c r="FD883" s="27" t="s">
        <v>7</v>
      </c>
    </row>
    <row r="884" spans="1:161" x14ac:dyDescent="0.25">
      <c r="A884" s="7">
        <v>2.7909302746090209E-3</v>
      </c>
      <c r="B884"/>
      <c r="C884"/>
      <c r="D884"/>
      <c r="E884"/>
      <c r="F884" s="27" t="s">
        <v>7</v>
      </c>
      <c r="AQ884" s="27" t="s">
        <v>8</v>
      </c>
      <c r="AR884" s="27" t="s">
        <v>7</v>
      </c>
      <c r="EU884" s="27" t="s">
        <v>8</v>
      </c>
      <c r="EV884" s="27" t="s">
        <v>7</v>
      </c>
      <c r="EW884" s="27" t="s">
        <v>8</v>
      </c>
      <c r="EZ884" s="27" t="s">
        <v>7</v>
      </c>
      <c r="FA884" s="27" t="s">
        <v>8</v>
      </c>
      <c r="FB884" s="27" t="s">
        <v>7</v>
      </c>
      <c r="FC884" s="27" t="s">
        <v>8</v>
      </c>
    </row>
    <row r="885" spans="1:161" x14ac:dyDescent="0.25">
      <c r="A885" s="7">
        <v>2.7362061515774716E-3</v>
      </c>
      <c r="B885"/>
      <c r="C885"/>
      <c r="D885"/>
      <c r="E885"/>
      <c r="F885" s="27" t="s">
        <v>7</v>
      </c>
      <c r="AQ885" s="27" t="s">
        <v>8</v>
      </c>
      <c r="AR885" s="27" t="s">
        <v>7</v>
      </c>
      <c r="EU885" s="27" t="s">
        <v>8</v>
      </c>
      <c r="EV885" s="27" t="s">
        <v>7</v>
      </c>
      <c r="EW885" s="27" t="s">
        <v>8</v>
      </c>
      <c r="EZ885" s="27" t="s">
        <v>7</v>
      </c>
      <c r="FA885" s="27" t="s">
        <v>8</v>
      </c>
      <c r="FB885" s="27" t="s">
        <v>7</v>
      </c>
      <c r="FC885" s="27" t="s">
        <v>8</v>
      </c>
    </row>
    <row r="886" spans="1:161" x14ac:dyDescent="0.25">
      <c r="A886" s="7">
        <v>2.6825550505661486E-3</v>
      </c>
      <c r="B886"/>
      <c r="C886"/>
      <c r="D886"/>
      <c r="E886"/>
      <c r="F886" s="27" t="s">
        <v>7</v>
      </c>
      <c r="G886" s="27" t="s">
        <v>8</v>
      </c>
      <c r="AQ886" s="27" t="s">
        <v>8</v>
      </c>
      <c r="AR886" s="27" t="s">
        <v>7</v>
      </c>
      <c r="ES886" s="27" t="s">
        <v>8</v>
      </c>
      <c r="EU886" s="27" t="s">
        <v>8</v>
      </c>
      <c r="EV886" s="27" t="s">
        <v>7</v>
      </c>
      <c r="EW886" s="27" t="s">
        <v>8</v>
      </c>
      <c r="EZ886" s="27" t="s">
        <v>7</v>
      </c>
      <c r="FA886" s="27" t="s">
        <v>8</v>
      </c>
      <c r="FB886" s="27" t="s">
        <v>7</v>
      </c>
    </row>
    <row r="887" spans="1:161" x14ac:dyDescent="0.25">
      <c r="A887" s="7">
        <v>2.6299559319275965E-3</v>
      </c>
      <c r="B887"/>
      <c r="C887"/>
      <c r="D887"/>
      <c r="E887"/>
      <c r="F887" s="27" t="s">
        <v>7</v>
      </c>
      <c r="G887" s="27" t="s">
        <v>8</v>
      </c>
      <c r="H887" s="27" t="s">
        <v>7</v>
      </c>
      <c r="AQ887" s="27" t="s">
        <v>8</v>
      </c>
      <c r="AR887" s="27" t="s">
        <v>7</v>
      </c>
      <c r="ES887" s="27" t="s">
        <v>8</v>
      </c>
      <c r="ET887" s="27" t="s">
        <v>7</v>
      </c>
      <c r="EU887" s="27" t="s">
        <v>8</v>
      </c>
      <c r="EV887" s="27" t="s">
        <v>7</v>
      </c>
      <c r="EW887" s="27" t="s">
        <v>8</v>
      </c>
      <c r="EZ887" s="27" t="s">
        <v>7</v>
      </c>
      <c r="FA887" s="27" t="s">
        <v>8</v>
      </c>
    </row>
    <row r="888" spans="1:161" x14ac:dyDescent="0.25">
      <c r="A888" s="7">
        <v>2.578388168556467E-3</v>
      </c>
      <c r="B888"/>
      <c r="C888"/>
      <c r="D888"/>
      <c r="E888"/>
      <c r="F888" s="27" t="s">
        <v>7</v>
      </c>
      <c r="G888" s="27" t="s">
        <v>8</v>
      </c>
      <c r="H888" s="27" t="s">
        <v>7</v>
      </c>
      <c r="M888" s="27" t="s">
        <v>8</v>
      </c>
      <c r="AQ888" s="27" t="s">
        <v>8</v>
      </c>
      <c r="AR888" s="27" t="s">
        <v>7</v>
      </c>
      <c r="BU888" s="27" t="s">
        <v>8</v>
      </c>
      <c r="ES888" s="27" t="s">
        <v>8</v>
      </c>
      <c r="ET888" s="27" t="s">
        <v>7</v>
      </c>
      <c r="EU888" s="27" t="s">
        <v>8</v>
      </c>
      <c r="EV888" s="27" t="s">
        <v>7</v>
      </c>
      <c r="EW888" s="27" t="s">
        <v>8</v>
      </c>
      <c r="EZ888" s="27" t="s">
        <v>7</v>
      </c>
      <c r="FA888" s="27" t="s">
        <v>8</v>
      </c>
    </row>
    <row r="889" spans="1:161" x14ac:dyDescent="0.25">
      <c r="A889" s="7">
        <v>2.5278315378004577E-3</v>
      </c>
      <c r="B889"/>
      <c r="C889"/>
      <c r="D889"/>
      <c r="E889"/>
      <c r="F889" s="27" t="s">
        <v>7</v>
      </c>
      <c r="G889" s="27" t="s">
        <v>8</v>
      </c>
      <c r="H889" s="27" t="s">
        <v>7</v>
      </c>
      <c r="M889" s="27" t="s">
        <v>8</v>
      </c>
      <c r="N889" s="27" t="s">
        <v>7</v>
      </c>
      <c r="AQ889" s="27" t="s">
        <v>8</v>
      </c>
      <c r="AR889" s="27" t="s">
        <v>7</v>
      </c>
      <c r="BU889" s="27" t="s">
        <v>8</v>
      </c>
      <c r="BV889" s="27" t="s">
        <v>7</v>
      </c>
      <c r="DU889" s="27" t="s">
        <v>8</v>
      </c>
      <c r="ES889" s="27" t="s">
        <v>8</v>
      </c>
      <c r="ET889" s="27" t="s">
        <v>7</v>
      </c>
      <c r="EU889" s="27" t="s">
        <v>8</v>
      </c>
      <c r="EV889" s="27" t="s">
        <v>7</v>
      </c>
      <c r="EW889" s="27" t="s">
        <v>8</v>
      </c>
      <c r="EZ889" s="27" t="s">
        <v>7</v>
      </c>
      <c r="FA889" s="27" t="s">
        <v>8</v>
      </c>
    </row>
    <row r="890" spans="1:161" x14ac:dyDescent="0.25">
      <c r="A890" s="7">
        <v>2.4782662135298603E-3</v>
      </c>
      <c r="B890"/>
      <c r="C890"/>
      <c r="D890"/>
      <c r="E890"/>
      <c r="F890" s="27" t="s">
        <v>7</v>
      </c>
      <c r="H890" s="27" t="s">
        <v>7</v>
      </c>
      <c r="M890" s="27" t="s">
        <v>8</v>
      </c>
      <c r="N890" s="27" t="s">
        <v>7</v>
      </c>
      <c r="AQ890" s="27" t="s">
        <v>8</v>
      </c>
      <c r="AR890" s="27" t="s">
        <v>7</v>
      </c>
      <c r="BU890" s="27" t="s">
        <v>8</v>
      </c>
      <c r="BV890" s="27" t="s">
        <v>7</v>
      </c>
      <c r="DU890" s="27" t="s">
        <v>8</v>
      </c>
      <c r="DV890" s="27" t="s">
        <v>7</v>
      </c>
      <c r="ES890" s="27" t="s">
        <v>8</v>
      </c>
      <c r="ET890" s="27" t="s">
        <v>7</v>
      </c>
      <c r="EU890" s="27" t="s">
        <v>8</v>
      </c>
      <c r="EV890" s="27" t="s">
        <v>7</v>
      </c>
      <c r="EW890" s="27" t="s">
        <v>8</v>
      </c>
      <c r="EZ890" s="27" t="s">
        <v>7</v>
      </c>
      <c r="FA890" s="27" t="s">
        <v>8</v>
      </c>
    </row>
    <row r="891" spans="1:161" x14ac:dyDescent="0.25">
      <c r="A891" s="7">
        <v>2.4296727583626083E-3</v>
      </c>
      <c r="B891"/>
      <c r="C891"/>
      <c r="D891"/>
      <c r="E891"/>
      <c r="H891" s="27" t="s">
        <v>7</v>
      </c>
      <c r="M891" s="27" t="s">
        <v>8</v>
      </c>
      <c r="N891" s="27" t="s">
        <v>7</v>
      </c>
      <c r="AQ891" s="27" t="s">
        <v>8</v>
      </c>
      <c r="AR891" s="27" t="s">
        <v>7</v>
      </c>
      <c r="BU891" s="27" t="s">
        <v>8</v>
      </c>
      <c r="BV891" s="27" t="s">
        <v>7</v>
      </c>
      <c r="DU891" s="27" t="s">
        <v>8</v>
      </c>
      <c r="DV891" s="27" t="s">
        <v>7</v>
      </c>
      <c r="ES891" s="27" t="s">
        <v>8</v>
      </c>
      <c r="ET891" s="27" t="s">
        <v>7</v>
      </c>
      <c r="EU891" s="27" t="s">
        <v>8</v>
      </c>
      <c r="EV891" s="27" t="s">
        <v>7</v>
      </c>
      <c r="EW891" s="27" t="s">
        <v>8</v>
      </c>
      <c r="EZ891" s="27" t="s">
        <v>7</v>
      </c>
      <c r="FA891" s="27" t="s">
        <v>8</v>
      </c>
    </row>
    <row r="892" spans="1:161" x14ac:dyDescent="0.25">
      <c r="A892" s="7">
        <v>2.3820321160417726E-3</v>
      </c>
      <c r="B892"/>
      <c r="C892"/>
      <c r="D892"/>
      <c r="E892"/>
      <c r="H892" s="27" t="s">
        <v>7</v>
      </c>
      <c r="K892" s="27" t="s">
        <v>8</v>
      </c>
      <c r="M892" s="27" t="s">
        <v>8</v>
      </c>
      <c r="N892" s="27" t="s">
        <v>7</v>
      </c>
      <c r="AQ892" s="27" t="s">
        <v>8</v>
      </c>
      <c r="AR892" s="27" t="s">
        <v>7</v>
      </c>
      <c r="BU892" s="27" t="s">
        <v>8</v>
      </c>
      <c r="BV892" s="27" t="s">
        <v>7</v>
      </c>
      <c r="DU892" s="27" t="s">
        <v>8</v>
      </c>
      <c r="DV892" s="27" t="s">
        <v>7</v>
      </c>
      <c r="ES892" s="27" t="s">
        <v>8</v>
      </c>
      <c r="ET892" s="27" t="s">
        <v>7</v>
      </c>
      <c r="EU892" s="27" t="s">
        <v>8</v>
      </c>
      <c r="EV892" s="27" t="s">
        <v>7</v>
      </c>
      <c r="EW892" s="27" t="s">
        <v>8</v>
      </c>
      <c r="EZ892" s="27" t="s">
        <v>7</v>
      </c>
      <c r="FA892" s="27" t="s">
        <v>8</v>
      </c>
    </row>
    <row r="893" spans="1:161" x14ac:dyDescent="0.25">
      <c r="A893" s="7">
        <v>2.3353256039625224E-3</v>
      </c>
      <c r="B893"/>
      <c r="C893"/>
      <c r="D893"/>
      <c r="E893"/>
      <c r="H893" s="27" t="s">
        <v>7</v>
      </c>
      <c r="K893" s="27" t="s">
        <v>8</v>
      </c>
      <c r="L893" s="27" t="s">
        <v>7</v>
      </c>
      <c r="M893" s="27" t="s">
        <v>8</v>
      </c>
      <c r="N893" s="27" t="s">
        <v>7</v>
      </c>
      <c r="AQ893" s="27" t="s">
        <v>8</v>
      </c>
      <c r="AR893" s="27" t="s">
        <v>7</v>
      </c>
      <c r="BI893" s="27" t="s">
        <v>8</v>
      </c>
      <c r="BU893" s="27" t="s">
        <v>8</v>
      </c>
      <c r="BV893" s="27" t="s">
        <v>7</v>
      </c>
      <c r="CA893" s="27" t="s">
        <v>8</v>
      </c>
      <c r="CC893" s="27" t="s">
        <v>8</v>
      </c>
      <c r="DU893" s="27" t="s">
        <v>8</v>
      </c>
      <c r="DV893" s="27" t="s">
        <v>7</v>
      </c>
      <c r="ES893" s="27" t="s">
        <v>8</v>
      </c>
      <c r="ET893" s="27" t="s">
        <v>7</v>
      </c>
      <c r="EU893" s="27" t="s">
        <v>8</v>
      </c>
      <c r="EV893" s="27" t="s">
        <v>7</v>
      </c>
      <c r="EZ893" s="27" t="s">
        <v>7</v>
      </c>
      <c r="FA893" s="27" t="s">
        <v>8</v>
      </c>
    </row>
    <row r="894" spans="1:161" x14ac:dyDescent="0.25">
      <c r="A894" s="7">
        <v>2.2895349058456101E-3</v>
      </c>
      <c r="B894"/>
      <c r="C894"/>
      <c r="D894"/>
      <c r="E894"/>
      <c r="H894" s="27" t="s">
        <v>7</v>
      </c>
      <c r="I894" s="27" t="s">
        <v>8</v>
      </c>
      <c r="K894" s="27" t="s">
        <v>8</v>
      </c>
      <c r="L894" s="27" t="s">
        <v>7</v>
      </c>
      <c r="M894" s="27" t="s">
        <v>8</v>
      </c>
      <c r="N894" s="27" t="s">
        <v>7</v>
      </c>
      <c r="AQ894" s="27" t="s">
        <v>8</v>
      </c>
      <c r="AR894" s="27" t="s">
        <v>7</v>
      </c>
      <c r="BI894" s="27" t="s">
        <v>8</v>
      </c>
      <c r="BJ894" s="27" t="s">
        <v>7</v>
      </c>
      <c r="BU894" s="27" t="s">
        <v>8</v>
      </c>
      <c r="BV894" s="27" t="s">
        <v>7</v>
      </c>
      <c r="BY894" s="27" t="s">
        <v>8</v>
      </c>
      <c r="CA894" s="27" t="s">
        <v>8</v>
      </c>
      <c r="CB894" s="27" t="s">
        <v>7</v>
      </c>
      <c r="CC894" s="27" t="s">
        <v>8</v>
      </c>
      <c r="CD894" s="27" t="s">
        <v>7</v>
      </c>
      <c r="DS894" s="27" t="s">
        <v>8</v>
      </c>
      <c r="DU894" s="27" t="s">
        <v>8</v>
      </c>
      <c r="DV894" s="27" t="s">
        <v>7</v>
      </c>
      <c r="ES894" s="27" t="s">
        <v>8</v>
      </c>
      <c r="ET894" s="27" t="s">
        <v>7</v>
      </c>
      <c r="EU894" s="27" t="s">
        <v>8</v>
      </c>
      <c r="EZ894" s="27" t="s">
        <v>7</v>
      </c>
      <c r="FA894" s="27" t="s">
        <v>8</v>
      </c>
    </row>
    <row r="895" spans="1:161" x14ac:dyDescent="0.25">
      <c r="A895" s="7">
        <v>2.24464206455452E-3</v>
      </c>
      <c r="B895"/>
      <c r="C895"/>
      <c r="D895"/>
      <c r="E895"/>
      <c r="H895" s="27" t="s">
        <v>7</v>
      </c>
      <c r="I895" s="27" t="s">
        <v>8</v>
      </c>
      <c r="J895" s="27" t="s">
        <v>7</v>
      </c>
      <c r="K895" s="27" t="s">
        <v>8</v>
      </c>
      <c r="L895" s="27" t="s">
        <v>7</v>
      </c>
      <c r="M895" s="27" t="s">
        <v>8</v>
      </c>
      <c r="N895" s="27" t="s">
        <v>7</v>
      </c>
      <c r="AQ895" s="27" t="s">
        <v>8</v>
      </c>
      <c r="AR895" s="27" t="s">
        <v>7</v>
      </c>
      <c r="BI895" s="27" t="s">
        <v>8</v>
      </c>
      <c r="BJ895" s="27" t="s">
        <v>7</v>
      </c>
      <c r="BS895" s="27" t="s">
        <v>8</v>
      </c>
      <c r="BU895" s="27" t="s">
        <v>8</v>
      </c>
      <c r="BV895" s="27" t="s">
        <v>7</v>
      </c>
      <c r="BY895" s="27" t="s">
        <v>8</v>
      </c>
      <c r="BZ895" s="27" t="s">
        <v>7</v>
      </c>
      <c r="CA895" s="27" t="s">
        <v>8</v>
      </c>
      <c r="CB895" s="27" t="s">
        <v>7</v>
      </c>
      <c r="CC895" s="27" t="s">
        <v>8</v>
      </c>
      <c r="CD895" s="27" t="s">
        <v>7</v>
      </c>
      <c r="DS895" s="27" t="s">
        <v>8</v>
      </c>
      <c r="DT895" s="27" t="s">
        <v>7</v>
      </c>
      <c r="DU895" s="27" t="s">
        <v>8</v>
      </c>
      <c r="DV895" s="27" t="s">
        <v>7</v>
      </c>
      <c r="ES895" s="27" t="s">
        <v>8</v>
      </c>
      <c r="ET895" s="27" t="s">
        <v>7</v>
      </c>
      <c r="EU895" s="27" t="s">
        <v>8</v>
      </c>
      <c r="EZ895" s="27" t="s">
        <v>7</v>
      </c>
      <c r="FA895" s="27" t="s">
        <v>8</v>
      </c>
    </row>
    <row r="896" spans="1:161" x14ac:dyDescent="0.25">
      <c r="A896" s="7">
        <v>2.200629475053451E-3</v>
      </c>
      <c r="B896"/>
      <c r="C896"/>
      <c r="D896"/>
      <c r="E896"/>
      <c r="H896" s="27" t="s">
        <v>7</v>
      </c>
      <c r="I896" s="27" t="s">
        <v>8</v>
      </c>
      <c r="J896" s="27" t="s">
        <v>7</v>
      </c>
      <c r="K896" s="27" t="s">
        <v>8</v>
      </c>
      <c r="L896" s="27" t="s">
        <v>7</v>
      </c>
      <c r="N896" s="27" t="s">
        <v>7</v>
      </c>
      <c r="AQ896" s="27" t="s">
        <v>8</v>
      </c>
      <c r="AR896" s="27" t="s">
        <v>7</v>
      </c>
      <c r="BA896" s="27" t="s">
        <v>8</v>
      </c>
      <c r="BI896" s="27" t="s">
        <v>8</v>
      </c>
      <c r="BJ896" s="27" t="s">
        <v>7</v>
      </c>
      <c r="BM896" s="27" t="s">
        <v>8</v>
      </c>
      <c r="BO896" s="27" t="s">
        <v>8</v>
      </c>
      <c r="BQ896" s="27" t="s">
        <v>8</v>
      </c>
      <c r="BS896" s="27" t="s">
        <v>8</v>
      </c>
      <c r="BT896" s="27" t="s">
        <v>7</v>
      </c>
      <c r="BU896" s="27" t="s">
        <v>8</v>
      </c>
      <c r="BV896" s="27" t="s">
        <v>7</v>
      </c>
      <c r="BW896" s="27" t="s">
        <v>8</v>
      </c>
      <c r="BY896" s="27" t="s">
        <v>8</v>
      </c>
      <c r="BZ896" s="27" t="s">
        <v>7</v>
      </c>
      <c r="CA896" s="27" t="s">
        <v>8</v>
      </c>
      <c r="CB896" s="27" t="s">
        <v>7</v>
      </c>
      <c r="CC896" s="27" t="s">
        <v>8</v>
      </c>
      <c r="CD896" s="27" t="s">
        <v>7</v>
      </c>
      <c r="DS896" s="27" t="s">
        <v>8</v>
      </c>
      <c r="DT896" s="27" t="s">
        <v>7</v>
      </c>
      <c r="DU896" s="27" t="s">
        <v>8</v>
      </c>
      <c r="DV896" s="27" t="s">
        <v>7</v>
      </c>
      <c r="ES896" s="27" t="s">
        <v>8</v>
      </c>
      <c r="ET896" s="27" t="s">
        <v>7</v>
      </c>
      <c r="EU896" s="27" t="s">
        <v>8</v>
      </c>
      <c r="EZ896" s="27" t="s">
        <v>7</v>
      </c>
      <c r="FA896" s="27" t="s">
        <v>8</v>
      </c>
    </row>
    <row r="897" spans="1:157" x14ac:dyDescent="0.25">
      <c r="A897" s="7">
        <v>2.1574798775033832E-3</v>
      </c>
      <c r="B897"/>
      <c r="C897"/>
      <c r="D897"/>
      <c r="E897"/>
      <c r="H897" s="27" t="s">
        <v>7</v>
      </c>
      <c r="I897" s="27" t="s">
        <v>8</v>
      </c>
      <c r="J897" s="27" t="s">
        <v>7</v>
      </c>
      <c r="K897" s="27" t="s">
        <v>8</v>
      </c>
      <c r="N897" s="27" t="s">
        <v>7</v>
      </c>
      <c r="AQ897" s="27" t="s">
        <v>8</v>
      </c>
      <c r="AR897" s="27" t="s">
        <v>7</v>
      </c>
      <c r="BA897" s="27" t="s">
        <v>8</v>
      </c>
      <c r="BB897" s="27" t="s">
        <v>7</v>
      </c>
      <c r="BI897" s="27" t="s">
        <v>8</v>
      </c>
      <c r="BJ897" s="27" t="s">
        <v>7</v>
      </c>
      <c r="BM897" s="27" t="s">
        <v>8</v>
      </c>
      <c r="BN897" s="27" t="s">
        <v>7</v>
      </c>
      <c r="BO897" s="27" t="s">
        <v>8</v>
      </c>
      <c r="BP897" s="27" t="s">
        <v>7</v>
      </c>
      <c r="BQ897" s="27" t="s">
        <v>8</v>
      </c>
      <c r="BR897" s="27" t="s">
        <v>7</v>
      </c>
      <c r="BS897" s="27" t="s">
        <v>8</v>
      </c>
      <c r="BT897" s="27" t="s">
        <v>7</v>
      </c>
      <c r="BU897" s="27" t="s">
        <v>8</v>
      </c>
      <c r="BV897" s="27" t="s">
        <v>7</v>
      </c>
      <c r="BW897" s="27" t="s">
        <v>8</v>
      </c>
      <c r="BX897" s="27" t="s">
        <v>7</v>
      </c>
      <c r="BY897" s="27" t="s">
        <v>8</v>
      </c>
      <c r="BZ897" s="27" t="s">
        <v>7</v>
      </c>
      <c r="CA897" s="27" t="s">
        <v>8</v>
      </c>
      <c r="CB897" s="27" t="s">
        <v>7</v>
      </c>
      <c r="CD897" s="27" t="s">
        <v>7</v>
      </c>
      <c r="DS897" s="27" t="s">
        <v>8</v>
      </c>
      <c r="DT897" s="27" t="s">
        <v>7</v>
      </c>
      <c r="DU897" s="27" t="s">
        <v>8</v>
      </c>
      <c r="DV897" s="27" t="s">
        <v>7</v>
      </c>
      <c r="EO897" s="27" t="s">
        <v>8</v>
      </c>
      <c r="ES897" s="27" t="s">
        <v>8</v>
      </c>
      <c r="ET897" s="27" t="s">
        <v>7</v>
      </c>
      <c r="EU897" s="27" t="s">
        <v>8</v>
      </c>
      <c r="EZ897" s="27" t="s">
        <v>7</v>
      </c>
      <c r="FA897" s="27" t="s">
        <v>8</v>
      </c>
    </row>
    <row r="898" spans="1:157" x14ac:dyDescent="0.25">
      <c r="A898" s="7">
        <v>2.115176350493513E-3</v>
      </c>
      <c r="B898"/>
      <c r="C898"/>
      <c r="D898"/>
      <c r="E898"/>
      <c r="H898" s="27" t="s">
        <v>7</v>
      </c>
      <c r="I898" s="27" t="s">
        <v>8</v>
      </c>
      <c r="J898" s="27" t="s">
        <v>7</v>
      </c>
      <c r="K898" s="27" t="s">
        <v>8</v>
      </c>
      <c r="N898" s="27" t="s">
        <v>7</v>
      </c>
      <c r="AQ898" s="27" t="s">
        <v>8</v>
      </c>
      <c r="AR898" s="27" t="s">
        <v>7</v>
      </c>
      <c r="BA898" s="27" t="s">
        <v>8</v>
      </c>
      <c r="BB898" s="27" t="s">
        <v>7</v>
      </c>
      <c r="BI898" s="27" t="s">
        <v>8</v>
      </c>
      <c r="BJ898" s="27" t="s">
        <v>7</v>
      </c>
      <c r="BK898" s="27" t="s">
        <v>8</v>
      </c>
      <c r="BM898" s="27" t="s">
        <v>8</v>
      </c>
      <c r="BN898" s="27" t="s">
        <v>7</v>
      </c>
      <c r="BO898" s="27" t="s">
        <v>8</v>
      </c>
      <c r="BP898" s="27" t="s">
        <v>7</v>
      </c>
      <c r="BQ898" s="27" t="s">
        <v>8</v>
      </c>
      <c r="BR898" s="27" t="s">
        <v>7</v>
      </c>
      <c r="BS898" s="27" t="s">
        <v>8</v>
      </c>
      <c r="BT898" s="27" t="s">
        <v>7</v>
      </c>
      <c r="BU898" s="27" t="s">
        <v>8</v>
      </c>
      <c r="BV898" s="27" t="s">
        <v>7</v>
      </c>
      <c r="BW898" s="27" t="s">
        <v>8</v>
      </c>
      <c r="BX898" s="27" t="s">
        <v>7</v>
      </c>
      <c r="BY898" s="27" t="s">
        <v>8</v>
      </c>
      <c r="BZ898" s="27" t="s">
        <v>7</v>
      </c>
      <c r="CA898" s="27" t="s">
        <v>8</v>
      </c>
      <c r="CD898" s="27" t="s">
        <v>7</v>
      </c>
      <c r="CE898" s="27" t="s">
        <v>8</v>
      </c>
      <c r="DS898" s="27" t="s">
        <v>8</v>
      </c>
      <c r="DT898" s="27" t="s">
        <v>7</v>
      </c>
      <c r="DU898" s="27" t="s">
        <v>8</v>
      </c>
      <c r="DV898" s="27" t="s">
        <v>7</v>
      </c>
      <c r="EO898" s="27" t="s">
        <v>8</v>
      </c>
      <c r="EP898" s="27" t="s">
        <v>7</v>
      </c>
      <c r="ES898" s="27" t="s">
        <v>8</v>
      </c>
      <c r="ET898" s="27" t="s">
        <v>7</v>
      </c>
      <c r="EU898" s="27" t="s">
        <v>8</v>
      </c>
      <c r="EZ898" s="27" t="s">
        <v>7</v>
      </c>
    </row>
    <row r="899" spans="1:157" x14ac:dyDescent="0.25">
      <c r="A899" s="7">
        <v>2.0737023044054047E-3</v>
      </c>
      <c r="B899"/>
      <c r="C899"/>
      <c r="D899"/>
      <c r="E899"/>
      <c r="H899" s="27" t="s">
        <v>7</v>
      </c>
      <c r="I899" s="27" t="s">
        <v>8</v>
      </c>
      <c r="J899" s="27" t="s">
        <v>7</v>
      </c>
      <c r="K899" s="27" t="s">
        <v>8</v>
      </c>
      <c r="N899" s="27" t="s">
        <v>7</v>
      </c>
      <c r="AQ899" s="27" t="s">
        <v>8</v>
      </c>
      <c r="AR899" s="27" t="s">
        <v>7</v>
      </c>
      <c r="BA899" s="27" t="s">
        <v>8</v>
      </c>
      <c r="BB899" s="27" t="s">
        <v>7</v>
      </c>
      <c r="BC899" s="27" t="s">
        <v>8</v>
      </c>
      <c r="BG899" s="27" t="s">
        <v>8</v>
      </c>
      <c r="BI899" s="27" t="s">
        <v>8</v>
      </c>
      <c r="BJ899" s="27" t="s">
        <v>7</v>
      </c>
      <c r="BK899" s="27" t="s">
        <v>8</v>
      </c>
      <c r="BL899" s="27" t="s">
        <v>7</v>
      </c>
      <c r="BM899" s="27" t="s">
        <v>8</v>
      </c>
      <c r="BN899" s="27" t="s">
        <v>7</v>
      </c>
      <c r="BP899" s="27" t="s">
        <v>7</v>
      </c>
      <c r="BR899" s="27" t="s">
        <v>7</v>
      </c>
      <c r="BS899" s="27" t="s">
        <v>8</v>
      </c>
      <c r="BT899" s="27" t="s">
        <v>7</v>
      </c>
      <c r="BV899" s="27" t="s">
        <v>7</v>
      </c>
      <c r="BX899" s="27" t="s">
        <v>7</v>
      </c>
      <c r="BY899" s="27" t="s">
        <v>8</v>
      </c>
      <c r="BZ899" s="27" t="s">
        <v>7</v>
      </c>
      <c r="CA899" s="27" t="s">
        <v>8</v>
      </c>
      <c r="CD899" s="27" t="s">
        <v>7</v>
      </c>
      <c r="CE899" s="27" t="s">
        <v>8</v>
      </c>
      <c r="CF899" s="27" t="s">
        <v>7</v>
      </c>
      <c r="CG899" s="27" t="s">
        <v>8</v>
      </c>
      <c r="CI899" s="27" t="s">
        <v>8</v>
      </c>
      <c r="DS899" s="27" t="s">
        <v>8</v>
      </c>
      <c r="DT899" s="27" t="s">
        <v>7</v>
      </c>
      <c r="DU899" s="27" t="s">
        <v>8</v>
      </c>
      <c r="DV899" s="27" t="s">
        <v>7</v>
      </c>
      <c r="EO899" s="27" t="s">
        <v>8</v>
      </c>
      <c r="EP899" s="27" t="s">
        <v>7</v>
      </c>
      <c r="ES899" s="27" t="s">
        <v>8</v>
      </c>
      <c r="ET899" s="27" t="s">
        <v>7</v>
      </c>
      <c r="EU899" s="27" t="s">
        <v>8</v>
      </c>
    </row>
    <row r="900" spans="1:157" x14ac:dyDescent="0.25">
      <c r="A900" s="7">
        <v>2.0330414749072595E-3</v>
      </c>
      <c r="B900"/>
      <c r="C900"/>
      <c r="D900"/>
      <c r="E900"/>
      <c r="H900" s="27" t="s">
        <v>7</v>
      </c>
      <c r="I900" s="27" t="s">
        <v>8</v>
      </c>
      <c r="J900" s="27" t="s">
        <v>7</v>
      </c>
      <c r="K900" s="27" t="s">
        <v>8</v>
      </c>
      <c r="N900" s="27" t="s">
        <v>7</v>
      </c>
      <c r="AQ900" s="27" t="s">
        <v>8</v>
      </c>
      <c r="AR900" s="27" t="s">
        <v>7</v>
      </c>
      <c r="BA900" s="27" t="s">
        <v>8</v>
      </c>
      <c r="BB900" s="27" t="s">
        <v>7</v>
      </c>
      <c r="BC900" s="27" t="s">
        <v>8</v>
      </c>
      <c r="BD900" s="27" t="s">
        <v>7</v>
      </c>
      <c r="BG900" s="27" t="s">
        <v>8</v>
      </c>
      <c r="BH900" s="27" t="s">
        <v>7</v>
      </c>
      <c r="BI900" s="27" t="s">
        <v>8</v>
      </c>
      <c r="BJ900" s="27" t="s">
        <v>7</v>
      </c>
      <c r="BK900" s="27" t="s">
        <v>8</v>
      </c>
      <c r="BL900" s="27" t="s">
        <v>7</v>
      </c>
      <c r="BM900" s="27" t="s">
        <v>8</v>
      </c>
      <c r="BR900" s="27" t="s">
        <v>7</v>
      </c>
      <c r="BS900" s="27" t="s">
        <v>8</v>
      </c>
      <c r="BX900" s="27" t="s">
        <v>7</v>
      </c>
      <c r="BZ900" s="27" t="s">
        <v>7</v>
      </c>
      <c r="CD900" s="27" t="s">
        <v>7</v>
      </c>
      <c r="CE900" s="27" t="s">
        <v>8</v>
      </c>
      <c r="CF900" s="27" t="s">
        <v>7</v>
      </c>
      <c r="CG900" s="27" t="s">
        <v>8</v>
      </c>
      <c r="CH900" s="27" t="s">
        <v>7</v>
      </c>
      <c r="CI900" s="27" t="s">
        <v>8</v>
      </c>
      <c r="CJ900" s="27" t="s">
        <v>7</v>
      </c>
      <c r="DS900" s="27" t="s">
        <v>8</v>
      </c>
      <c r="DT900" s="27" t="s">
        <v>7</v>
      </c>
      <c r="DV900" s="27" t="s">
        <v>7</v>
      </c>
      <c r="EO900" s="27" t="s">
        <v>8</v>
      </c>
      <c r="EP900" s="27" t="s">
        <v>7</v>
      </c>
      <c r="ES900" s="27" t="s">
        <v>8</v>
      </c>
      <c r="ET900" s="27" t="s">
        <v>7</v>
      </c>
    </row>
    <row r="901" spans="1:157" x14ac:dyDescent="0.25">
      <c r="A901" s="7">
        <v>1.9931779165757446E-3</v>
      </c>
      <c r="B901"/>
      <c r="C901"/>
      <c r="D901"/>
      <c r="E901"/>
      <c r="H901" s="27" t="s">
        <v>7</v>
      </c>
      <c r="I901" s="27" t="s">
        <v>8</v>
      </c>
      <c r="J901" s="27" t="s">
        <v>7</v>
      </c>
      <c r="K901" s="27" t="s">
        <v>8</v>
      </c>
      <c r="N901" s="27" t="s">
        <v>7</v>
      </c>
      <c r="O901" s="27" t="s">
        <v>8</v>
      </c>
      <c r="AQ901" s="27" t="s">
        <v>8</v>
      </c>
      <c r="AR901" s="27" t="s">
        <v>7</v>
      </c>
      <c r="BA901" s="27" t="s">
        <v>8</v>
      </c>
      <c r="BB901" s="27" t="s">
        <v>7</v>
      </c>
      <c r="BC901" s="27" t="s">
        <v>8</v>
      </c>
      <c r="BD901" s="27" t="s">
        <v>7</v>
      </c>
      <c r="BG901" s="27" t="s">
        <v>8</v>
      </c>
      <c r="BH901" s="27" t="s">
        <v>7</v>
      </c>
      <c r="BI901" s="27" t="s">
        <v>8</v>
      </c>
      <c r="BJ901" s="27" t="s">
        <v>7</v>
      </c>
      <c r="BL901" s="27" t="s">
        <v>7</v>
      </c>
      <c r="BR901" s="27" t="s">
        <v>7</v>
      </c>
      <c r="BS901" s="27" t="s">
        <v>8</v>
      </c>
      <c r="CD901" s="27" t="s">
        <v>7</v>
      </c>
      <c r="CE901" s="27" t="s">
        <v>8</v>
      </c>
      <c r="CF901" s="27" t="s">
        <v>7</v>
      </c>
      <c r="CG901" s="27" t="s">
        <v>8</v>
      </c>
      <c r="CH901" s="27" t="s">
        <v>7</v>
      </c>
      <c r="CI901" s="27" t="s">
        <v>8</v>
      </c>
      <c r="CJ901" s="27" t="s">
        <v>7</v>
      </c>
      <c r="CU901" s="27" t="s">
        <v>8</v>
      </c>
      <c r="DS901" s="27" t="s">
        <v>8</v>
      </c>
      <c r="DV901" s="27" t="s">
        <v>7</v>
      </c>
      <c r="EO901" s="27" t="s">
        <v>8</v>
      </c>
      <c r="EP901" s="27" t="s">
        <v>7</v>
      </c>
      <c r="ES901" s="27" t="s">
        <v>8</v>
      </c>
    </row>
    <row r="902" spans="1:157" x14ac:dyDescent="0.25">
      <c r="A902" s="7">
        <v>1.954095996642887E-3</v>
      </c>
      <c r="B902"/>
      <c r="C902"/>
      <c r="D902"/>
      <c r="E902"/>
      <c r="H902" s="27" t="s">
        <v>7</v>
      </c>
      <c r="I902" s="27" t="s">
        <v>8</v>
      </c>
      <c r="J902" s="27" t="s">
        <v>7</v>
      </c>
      <c r="N902" s="27" t="s">
        <v>7</v>
      </c>
      <c r="O902" s="27" t="s">
        <v>8</v>
      </c>
      <c r="P902" s="27" t="s">
        <v>7</v>
      </c>
      <c r="AQ902" s="27" t="s">
        <v>8</v>
      </c>
      <c r="AR902" s="27" t="s">
        <v>7</v>
      </c>
      <c r="AU902" s="27" t="s">
        <v>8</v>
      </c>
      <c r="BA902" s="27" t="s">
        <v>8</v>
      </c>
      <c r="BB902" s="27" t="s">
        <v>7</v>
      </c>
      <c r="BD902" s="27" t="s">
        <v>7</v>
      </c>
      <c r="BG902" s="27" t="s">
        <v>8</v>
      </c>
      <c r="BH902" s="27" t="s">
        <v>7</v>
      </c>
      <c r="BI902" s="27" t="s">
        <v>8</v>
      </c>
      <c r="BR902" s="27" t="s">
        <v>7</v>
      </c>
      <c r="BS902" s="27" t="s">
        <v>8</v>
      </c>
      <c r="CD902" s="27" t="s">
        <v>7</v>
      </c>
      <c r="CF902" s="27" t="s">
        <v>7</v>
      </c>
      <c r="CH902" s="27" t="s">
        <v>7</v>
      </c>
      <c r="CJ902" s="27" t="s">
        <v>7</v>
      </c>
      <c r="CU902" s="27" t="s">
        <v>8</v>
      </c>
      <c r="CV902" s="27" t="s">
        <v>7</v>
      </c>
      <c r="DO902" s="27" t="s">
        <v>8</v>
      </c>
      <c r="DS902" s="27" t="s">
        <v>8</v>
      </c>
      <c r="DV902" s="27" t="s">
        <v>7</v>
      </c>
      <c r="EO902" s="27" t="s">
        <v>8</v>
      </c>
      <c r="EP902" s="27" t="s">
        <v>7</v>
      </c>
      <c r="ES902" s="27" t="s">
        <v>8</v>
      </c>
    </row>
    <row r="903" spans="1:157" x14ac:dyDescent="0.25">
      <c r="A903" s="7">
        <v>1.9157803888655755E-3</v>
      </c>
      <c r="B903"/>
      <c r="C903"/>
      <c r="D903"/>
      <c r="E903"/>
      <c r="H903" s="27" t="s">
        <v>7</v>
      </c>
      <c r="I903" s="27" t="s">
        <v>8</v>
      </c>
      <c r="N903" s="27" t="s">
        <v>7</v>
      </c>
      <c r="O903" s="27" t="s">
        <v>8</v>
      </c>
      <c r="P903" s="27" t="s">
        <v>7</v>
      </c>
      <c r="AQ903" s="27" t="s">
        <v>8</v>
      </c>
      <c r="AR903" s="27" t="s">
        <v>7</v>
      </c>
      <c r="AU903" s="27" t="s">
        <v>8</v>
      </c>
      <c r="AV903" s="27" t="s">
        <v>7</v>
      </c>
      <c r="AW903" s="27" t="s">
        <v>8</v>
      </c>
      <c r="AY903" s="27" t="s">
        <v>8</v>
      </c>
      <c r="BA903" s="27" t="s">
        <v>8</v>
      </c>
      <c r="BD903" s="27" t="s">
        <v>7</v>
      </c>
      <c r="BG903" s="27" t="s">
        <v>8</v>
      </c>
      <c r="BH903" s="27" t="s">
        <v>7</v>
      </c>
      <c r="BI903" s="27" t="s">
        <v>8</v>
      </c>
      <c r="BR903" s="27" t="s">
        <v>7</v>
      </c>
      <c r="BS903" s="27" t="s">
        <v>8</v>
      </c>
      <c r="CJ903" s="27" t="s">
        <v>7</v>
      </c>
      <c r="CU903" s="27" t="s">
        <v>8</v>
      </c>
      <c r="CV903" s="27" t="s">
        <v>7</v>
      </c>
      <c r="DO903" s="27" t="s">
        <v>8</v>
      </c>
      <c r="DP903" s="27" t="s">
        <v>7</v>
      </c>
      <c r="DS903" s="27" t="s">
        <v>8</v>
      </c>
      <c r="DV903" s="27" t="s">
        <v>7</v>
      </c>
      <c r="EO903" s="27" t="s">
        <v>8</v>
      </c>
      <c r="EP903" s="27" t="s">
        <v>7</v>
      </c>
      <c r="EQ903" s="27" t="s">
        <v>8</v>
      </c>
      <c r="ES903" s="27" t="s">
        <v>8</v>
      </c>
    </row>
    <row r="904" spans="1:157" x14ac:dyDescent="0.25">
      <c r="A904" s="7">
        <v>1.8782160675152703E-3</v>
      </c>
      <c r="B904"/>
      <c r="C904"/>
      <c r="D904"/>
      <c r="E904"/>
      <c r="H904" s="27" t="s">
        <v>7</v>
      </c>
      <c r="I904" s="27" t="s">
        <v>8</v>
      </c>
      <c r="N904" s="27" t="s">
        <v>7</v>
      </c>
      <c r="O904" s="27" t="s">
        <v>8</v>
      </c>
      <c r="P904" s="27" t="s">
        <v>7</v>
      </c>
      <c r="AQ904" s="27" t="s">
        <v>8</v>
      </c>
      <c r="AR904" s="27" t="s">
        <v>7</v>
      </c>
      <c r="AU904" s="27" t="s">
        <v>8</v>
      </c>
      <c r="AV904" s="27" t="s">
        <v>7</v>
      </c>
      <c r="AW904" s="27" t="s">
        <v>8</v>
      </c>
      <c r="AX904" s="27" t="s">
        <v>7</v>
      </c>
      <c r="AY904" s="27" t="s">
        <v>8</v>
      </c>
      <c r="AZ904" s="27" t="s">
        <v>7</v>
      </c>
      <c r="BA904" s="27" t="s">
        <v>8</v>
      </c>
      <c r="BD904" s="27" t="s">
        <v>7</v>
      </c>
      <c r="BE904" s="27" t="s">
        <v>8</v>
      </c>
      <c r="BG904" s="27" t="s">
        <v>8</v>
      </c>
      <c r="BH904" s="27" t="s">
        <v>7</v>
      </c>
      <c r="BI904" s="27" t="s">
        <v>8</v>
      </c>
      <c r="BR904" s="27" t="s">
        <v>7</v>
      </c>
      <c r="BS904" s="27" t="s">
        <v>8</v>
      </c>
      <c r="CJ904" s="27" t="s">
        <v>7</v>
      </c>
      <c r="CO904" s="27" t="s">
        <v>8</v>
      </c>
      <c r="CU904" s="27" t="s">
        <v>8</v>
      </c>
      <c r="CV904" s="27" t="s">
        <v>7</v>
      </c>
      <c r="DO904" s="27" t="s">
        <v>8</v>
      </c>
      <c r="DP904" s="27" t="s">
        <v>7</v>
      </c>
      <c r="DS904" s="27" t="s">
        <v>8</v>
      </c>
      <c r="DV904" s="27" t="s">
        <v>7</v>
      </c>
      <c r="EO904" s="27" t="s">
        <v>8</v>
      </c>
      <c r="EP904" s="27" t="s">
        <v>7</v>
      </c>
      <c r="EQ904" s="27" t="s">
        <v>8</v>
      </c>
      <c r="ER904" s="27" t="s">
        <v>7</v>
      </c>
      <c r="ES904" s="27" t="s">
        <v>8</v>
      </c>
    </row>
    <row r="905" spans="1:157" x14ac:dyDescent="0.25">
      <c r="A905" s="7">
        <v>1.8413883014855592E-3</v>
      </c>
      <c r="B905"/>
      <c r="C905"/>
      <c r="D905"/>
      <c r="E905"/>
      <c r="H905" s="27" t="s">
        <v>7</v>
      </c>
      <c r="I905" s="27" t="s">
        <v>8</v>
      </c>
      <c r="N905" s="27" t="s">
        <v>7</v>
      </c>
      <c r="O905" s="27" t="s">
        <v>8</v>
      </c>
      <c r="P905" s="27" t="s">
        <v>7</v>
      </c>
      <c r="AQ905" s="27" t="s">
        <v>8</v>
      </c>
      <c r="AR905" s="27" t="s">
        <v>7</v>
      </c>
      <c r="AU905" s="27" t="s">
        <v>8</v>
      </c>
      <c r="AV905" s="27" t="s">
        <v>7</v>
      </c>
      <c r="AW905" s="27" t="s">
        <v>8</v>
      </c>
      <c r="AX905" s="27" t="s">
        <v>7</v>
      </c>
      <c r="AY905" s="27" t="s">
        <v>8</v>
      </c>
      <c r="AZ905" s="27" t="s">
        <v>7</v>
      </c>
      <c r="BA905" s="27" t="s">
        <v>8</v>
      </c>
      <c r="BD905" s="27" t="s">
        <v>7</v>
      </c>
      <c r="BE905" s="27" t="s">
        <v>8</v>
      </c>
      <c r="BF905" s="27" t="s">
        <v>7</v>
      </c>
      <c r="BG905" s="27" t="s">
        <v>8</v>
      </c>
      <c r="BH905" s="27" t="s">
        <v>7</v>
      </c>
      <c r="BR905" s="27" t="s">
        <v>7</v>
      </c>
      <c r="CJ905" s="27" t="s">
        <v>7</v>
      </c>
      <c r="CO905" s="27" t="s">
        <v>8</v>
      </c>
      <c r="CP905" s="27" t="s">
        <v>7</v>
      </c>
      <c r="CS905" s="27" t="s">
        <v>8</v>
      </c>
      <c r="CU905" s="27" t="s">
        <v>8</v>
      </c>
      <c r="CV905" s="27" t="s">
        <v>7</v>
      </c>
      <c r="DO905" s="27" t="s">
        <v>8</v>
      </c>
      <c r="DP905" s="27" t="s">
        <v>7</v>
      </c>
      <c r="DS905" s="27" t="s">
        <v>8</v>
      </c>
      <c r="DV905" s="27" t="s">
        <v>7</v>
      </c>
      <c r="EC905" s="27" t="s">
        <v>8</v>
      </c>
      <c r="EO905" s="27" t="s">
        <v>8</v>
      </c>
      <c r="EP905" s="27" t="s">
        <v>7</v>
      </c>
      <c r="EQ905" s="27" t="s">
        <v>8</v>
      </c>
      <c r="ER905" s="27" t="s">
        <v>7</v>
      </c>
      <c r="ES905" s="27" t="s">
        <v>8</v>
      </c>
    </row>
    <row r="906" spans="1:157" x14ac:dyDescent="0.25">
      <c r="A906" s="7">
        <v>1.8052826485152542E-3</v>
      </c>
      <c r="B906"/>
      <c r="C906"/>
      <c r="D906"/>
      <c r="E906"/>
      <c r="H906" s="27" t="s">
        <v>7</v>
      </c>
      <c r="I906" s="27" t="s">
        <v>8</v>
      </c>
      <c r="N906" s="27" t="s">
        <v>7</v>
      </c>
      <c r="O906" s="27" t="s">
        <v>8</v>
      </c>
      <c r="P906" s="27" t="s">
        <v>7</v>
      </c>
      <c r="AQ906" s="27" t="s">
        <v>8</v>
      </c>
      <c r="AR906" s="27" t="s">
        <v>7</v>
      </c>
      <c r="AS906" s="27" t="s">
        <v>8</v>
      </c>
      <c r="AU906" s="27" t="s">
        <v>8</v>
      </c>
      <c r="AV906" s="27" t="s">
        <v>7</v>
      </c>
      <c r="AX906" s="27" t="s">
        <v>7</v>
      </c>
      <c r="AY906" s="27" t="s">
        <v>8</v>
      </c>
      <c r="AZ906" s="27" t="s">
        <v>7</v>
      </c>
      <c r="BA906" s="27" t="s">
        <v>8</v>
      </c>
      <c r="BD906" s="27" t="s">
        <v>7</v>
      </c>
      <c r="BE906" s="27" t="s">
        <v>8</v>
      </c>
      <c r="BF906" s="27" t="s">
        <v>7</v>
      </c>
      <c r="BG906" s="27" t="s">
        <v>8</v>
      </c>
      <c r="CJ906" s="27" t="s">
        <v>7</v>
      </c>
      <c r="CO906" s="27" t="s">
        <v>8</v>
      </c>
      <c r="CP906" s="27" t="s">
        <v>7</v>
      </c>
      <c r="CS906" s="27" t="s">
        <v>8</v>
      </c>
      <c r="CT906" s="27" t="s">
        <v>7</v>
      </c>
      <c r="CU906" s="27" t="s">
        <v>8</v>
      </c>
      <c r="CV906" s="27" t="s">
        <v>7</v>
      </c>
      <c r="DM906" s="27" t="s">
        <v>8</v>
      </c>
      <c r="DO906" s="27" t="s">
        <v>8</v>
      </c>
      <c r="DP906" s="27" t="s">
        <v>7</v>
      </c>
      <c r="DS906" s="27" t="s">
        <v>8</v>
      </c>
      <c r="DV906" s="27" t="s">
        <v>7</v>
      </c>
      <c r="EC906" s="27" t="s">
        <v>8</v>
      </c>
      <c r="ED906" s="27" t="s">
        <v>7</v>
      </c>
      <c r="EI906" s="27" t="s">
        <v>8</v>
      </c>
      <c r="EO906" s="27" t="s">
        <v>8</v>
      </c>
      <c r="EP906" s="27" t="s">
        <v>7</v>
      </c>
      <c r="EQ906" s="27" t="s">
        <v>8</v>
      </c>
      <c r="ER906" s="27" t="s">
        <v>7</v>
      </c>
      <c r="ES906" s="27" t="s">
        <v>8</v>
      </c>
    </row>
    <row r="907" spans="1:157" x14ac:dyDescent="0.25">
      <c r="A907" s="7">
        <v>1.7698849495247592E-3</v>
      </c>
      <c r="B907"/>
      <c r="C907"/>
      <c r="D907"/>
      <c r="E907"/>
      <c r="H907" s="27" t="s">
        <v>7</v>
      </c>
      <c r="I907" s="27" t="s">
        <v>8</v>
      </c>
      <c r="N907" s="27" t="s">
        <v>7</v>
      </c>
      <c r="O907" s="27" t="s">
        <v>8</v>
      </c>
      <c r="P907" s="27" t="s">
        <v>7</v>
      </c>
      <c r="AO907" s="27" t="s">
        <v>8</v>
      </c>
      <c r="AQ907" s="27" t="s">
        <v>8</v>
      </c>
      <c r="AR907" s="27" t="s">
        <v>7</v>
      </c>
      <c r="AS907" s="27" t="s">
        <v>8</v>
      </c>
      <c r="AT907" s="27" t="s">
        <v>7</v>
      </c>
      <c r="AU907" s="27" t="s">
        <v>8</v>
      </c>
      <c r="AX907" s="27" t="s">
        <v>7</v>
      </c>
      <c r="AY907" s="27" t="s">
        <v>8</v>
      </c>
      <c r="AZ907" s="27" t="s">
        <v>7</v>
      </c>
      <c r="BA907" s="27" t="s">
        <v>8</v>
      </c>
      <c r="BD907" s="27" t="s">
        <v>7</v>
      </c>
      <c r="BE907" s="27" t="s">
        <v>8</v>
      </c>
      <c r="BF907" s="27" t="s">
        <v>7</v>
      </c>
      <c r="BG907" s="27" t="s">
        <v>8</v>
      </c>
      <c r="CJ907" s="27" t="s">
        <v>7</v>
      </c>
      <c r="CO907" s="27" t="s">
        <v>8</v>
      </c>
      <c r="CP907" s="27" t="s">
        <v>7</v>
      </c>
      <c r="CQ907" s="27" t="s">
        <v>8</v>
      </c>
      <c r="CS907" s="27" t="s">
        <v>8</v>
      </c>
      <c r="CT907" s="27" t="s">
        <v>7</v>
      </c>
      <c r="CU907" s="27" t="s">
        <v>8</v>
      </c>
      <c r="CV907" s="27" t="s">
        <v>7</v>
      </c>
      <c r="CW907" s="27" t="s">
        <v>8</v>
      </c>
      <c r="CY907" s="27" t="s">
        <v>8</v>
      </c>
      <c r="DM907" s="27" t="s">
        <v>8</v>
      </c>
      <c r="DN907" s="27" t="s">
        <v>7</v>
      </c>
      <c r="DO907" s="27" t="s">
        <v>8</v>
      </c>
      <c r="DP907" s="27" t="s">
        <v>7</v>
      </c>
      <c r="DS907" s="27" t="s">
        <v>8</v>
      </c>
      <c r="DV907" s="27" t="s">
        <v>7</v>
      </c>
      <c r="EC907" s="27" t="s">
        <v>8</v>
      </c>
      <c r="ED907" s="27" t="s">
        <v>7</v>
      </c>
      <c r="EI907" s="27" t="s">
        <v>8</v>
      </c>
      <c r="EJ907" s="27" t="s">
        <v>7</v>
      </c>
      <c r="EO907" s="27" t="s">
        <v>8</v>
      </c>
      <c r="EP907" s="27" t="s">
        <v>7</v>
      </c>
      <c r="EQ907" s="27" t="s">
        <v>8</v>
      </c>
      <c r="ER907" s="27" t="s">
        <v>7</v>
      </c>
      <c r="ES907" s="27" t="s">
        <v>8</v>
      </c>
    </row>
    <row r="908" spans="1:157" x14ac:dyDescent="0.25">
      <c r="A908" s="7">
        <v>1.7351813230634893E-3</v>
      </c>
      <c r="B908"/>
      <c r="C908"/>
      <c r="D908"/>
      <c r="E908"/>
      <c r="H908" s="27" t="s">
        <v>7</v>
      </c>
      <c r="N908" s="27" t="s">
        <v>7</v>
      </c>
      <c r="P908" s="27" t="s">
        <v>7</v>
      </c>
      <c r="AO908" s="27" t="s">
        <v>8</v>
      </c>
      <c r="AP908" s="27" t="s">
        <v>7</v>
      </c>
      <c r="AQ908" s="27" t="s">
        <v>8</v>
      </c>
      <c r="AR908" s="27" t="s">
        <v>7</v>
      </c>
      <c r="AS908" s="27" t="s">
        <v>8</v>
      </c>
      <c r="AT908" s="27" t="s">
        <v>7</v>
      </c>
      <c r="AU908" s="27" t="s">
        <v>8</v>
      </c>
      <c r="AX908" s="27" t="s">
        <v>7</v>
      </c>
      <c r="AY908" s="27" t="s">
        <v>8</v>
      </c>
      <c r="AZ908" s="27" t="s">
        <v>7</v>
      </c>
      <c r="BA908" s="27" t="s">
        <v>8</v>
      </c>
      <c r="BD908" s="27" t="s">
        <v>7</v>
      </c>
      <c r="BE908" s="27" t="s">
        <v>8</v>
      </c>
      <c r="BF908" s="27" t="s">
        <v>7</v>
      </c>
      <c r="CJ908" s="27" t="s">
        <v>7</v>
      </c>
      <c r="CO908" s="27" t="s">
        <v>8</v>
      </c>
      <c r="CP908" s="27" t="s">
        <v>7</v>
      </c>
      <c r="CQ908" s="27" t="s">
        <v>8</v>
      </c>
      <c r="CR908" s="27" t="s">
        <v>7</v>
      </c>
      <c r="CS908" s="27" t="s">
        <v>8</v>
      </c>
      <c r="CT908" s="27" t="s">
        <v>7</v>
      </c>
      <c r="CU908" s="27" t="s">
        <v>8</v>
      </c>
      <c r="CV908" s="27" t="s">
        <v>7</v>
      </c>
      <c r="CW908" s="27" t="s">
        <v>8</v>
      </c>
      <c r="CX908" s="27" t="s">
        <v>7</v>
      </c>
      <c r="CY908" s="27" t="s">
        <v>8</v>
      </c>
      <c r="CZ908" s="27" t="s">
        <v>7</v>
      </c>
      <c r="DA908" s="27" t="s">
        <v>8</v>
      </c>
      <c r="DI908" s="27" t="s">
        <v>8</v>
      </c>
      <c r="DK908" s="27" t="s">
        <v>8</v>
      </c>
      <c r="DM908" s="27" t="s">
        <v>8</v>
      </c>
      <c r="DN908" s="27" t="s">
        <v>7</v>
      </c>
      <c r="DO908" s="27" t="s">
        <v>8</v>
      </c>
      <c r="DP908" s="27" t="s">
        <v>7</v>
      </c>
      <c r="DS908" s="27" t="s">
        <v>8</v>
      </c>
      <c r="DV908" s="27" t="s">
        <v>7</v>
      </c>
      <c r="EC908" s="27" t="s">
        <v>8</v>
      </c>
      <c r="ED908" s="27" t="s">
        <v>7</v>
      </c>
      <c r="EI908" s="27" t="s">
        <v>8</v>
      </c>
      <c r="EJ908" s="27" t="s">
        <v>7</v>
      </c>
      <c r="EO908" s="27" t="s">
        <v>8</v>
      </c>
      <c r="EP908" s="27" t="s">
        <v>7</v>
      </c>
      <c r="ER908" s="27" t="s">
        <v>7</v>
      </c>
      <c r="ES908" s="27" t="s">
        <v>8</v>
      </c>
    </row>
    <row r="909" spans="1:157" x14ac:dyDescent="0.25">
      <c r="A909" s="7">
        <v>1.701158159866166E-3</v>
      </c>
      <c r="B909"/>
      <c r="C909"/>
      <c r="D909"/>
      <c r="E909"/>
      <c r="P909" s="27" t="s">
        <v>7</v>
      </c>
      <c r="AO909" s="27" t="s">
        <v>8</v>
      </c>
      <c r="AP909" s="27" t="s">
        <v>7</v>
      </c>
      <c r="AQ909" s="27" t="s">
        <v>8</v>
      </c>
      <c r="AR909" s="27" t="s">
        <v>7</v>
      </c>
      <c r="AT909" s="27" t="s">
        <v>7</v>
      </c>
      <c r="AU909" s="27" t="s">
        <v>8</v>
      </c>
      <c r="AX909" s="27" t="s">
        <v>7</v>
      </c>
      <c r="AY909" s="27" t="s">
        <v>8</v>
      </c>
      <c r="AZ909" s="27" t="s">
        <v>7</v>
      </c>
      <c r="BA909" s="27" t="s">
        <v>8</v>
      </c>
      <c r="BD909" s="27" t="s">
        <v>7</v>
      </c>
      <c r="BE909" s="27" t="s">
        <v>8</v>
      </c>
      <c r="CJ909" s="27" t="s">
        <v>7</v>
      </c>
      <c r="CO909" s="27" t="s">
        <v>8</v>
      </c>
      <c r="CP909" s="27" t="s">
        <v>7</v>
      </c>
      <c r="CQ909" s="27" t="s">
        <v>8</v>
      </c>
      <c r="CR909" s="27" t="s">
        <v>7</v>
      </c>
      <c r="CS909" s="27" t="s">
        <v>8</v>
      </c>
      <c r="CT909" s="27" t="s">
        <v>7</v>
      </c>
      <c r="CV909" s="27" t="s">
        <v>7</v>
      </c>
      <c r="CW909" s="27" t="s">
        <v>8</v>
      </c>
      <c r="CX909" s="27" t="s">
        <v>7</v>
      </c>
      <c r="CY909" s="27" t="s">
        <v>8</v>
      </c>
      <c r="CZ909" s="27" t="s">
        <v>7</v>
      </c>
      <c r="DA909" s="27" t="s">
        <v>8</v>
      </c>
      <c r="DB909" s="27" t="s">
        <v>7</v>
      </c>
      <c r="DI909" s="27" t="s">
        <v>8</v>
      </c>
      <c r="DJ909" s="27" t="s">
        <v>7</v>
      </c>
      <c r="DK909" s="27" t="s">
        <v>8</v>
      </c>
      <c r="DL909" s="27" t="s">
        <v>7</v>
      </c>
      <c r="DM909" s="27" t="s">
        <v>8</v>
      </c>
      <c r="DN909" s="27" t="s">
        <v>7</v>
      </c>
      <c r="DO909" s="27" t="s">
        <v>8</v>
      </c>
      <c r="DP909" s="27" t="s">
        <v>7</v>
      </c>
      <c r="DS909" s="27" t="s">
        <v>8</v>
      </c>
      <c r="DV909" s="27" t="s">
        <v>7</v>
      </c>
      <c r="EC909" s="27" t="s">
        <v>8</v>
      </c>
      <c r="ED909" s="27" t="s">
        <v>7</v>
      </c>
      <c r="EI909" s="27" t="s">
        <v>8</v>
      </c>
      <c r="EJ909" s="27" t="s">
        <v>7</v>
      </c>
      <c r="EO909" s="27" t="s">
        <v>8</v>
      </c>
      <c r="ER909" s="27" t="s">
        <v>7</v>
      </c>
    </row>
    <row r="910" spans="1:157" x14ac:dyDescent="0.25">
      <c r="A910" s="7">
        <v>1.6678021175158492E-3</v>
      </c>
      <c r="B910"/>
      <c r="C910"/>
      <c r="D910"/>
      <c r="E910"/>
      <c r="P910" s="27" t="s">
        <v>7</v>
      </c>
      <c r="AO910" s="27" t="s">
        <v>8</v>
      </c>
      <c r="AP910" s="27" t="s">
        <v>7</v>
      </c>
      <c r="AQ910" s="27" t="s">
        <v>8</v>
      </c>
      <c r="AT910" s="27" t="s">
        <v>7</v>
      </c>
      <c r="AU910" s="27" t="s">
        <v>8</v>
      </c>
      <c r="AX910" s="27" t="s">
        <v>7</v>
      </c>
      <c r="AY910" s="27" t="s">
        <v>8</v>
      </c>
      <c r="AZ910" s="27" t="s">
        <v>7</v>
      </c>
      <c r="BA910" s="27" t="s">
        <v>8</v>
      </c>
      <c r="BD910" s="27" t="s">
        <v>7</v>
      </c>
      <c r="CJ910" s="27" t="s">
        <v>7</v>
      </c>
      <c r="CO910" s="27" t="s">
        <v>8</v>
      </c>
      <c r="CP910" s="27" t="s">
        <v>7</v>
      </c>
      <c r="CR910" s="27" t="s">
        <v>7</v>
      </c>
      <c r="CV910" s="27" t="s">
        <v>7</v>
      </c>
      <c r="CW910" s="27" t="s">
        <v>8</v>
      </c>
      <c r="CX910" s="27" t="s">
        <v>7</v>
      </c>
      <c r="CY910" s="27" t="s">
        <v>8</v>
      </c>
      <c r="CZ910" s="27" t="s">
        <v>7</v>
      </c>
      <c r="DA910" s="27" t="s">
        <v>8</v>
      </c>
      <c r="DB910" s="27" t="s">
        <v>7</v>
      </c>
      <c r="DI910" s="27" t="s">
        <v>8</v>
      </c>
      <c r="DJ910" s="27" t="s">
        <v>7</v>
      </c>
      <c r="DK910" s="27" t="s">
        <v>8</v>
      </c>
      <c r="DL910" s="27" t="s">
        <v>7</v>
      </c>
      <c r="DM910" s="27" t="s">
        <v>8</v>
      </c>
      <c r="DN910" s="27" t="s">
        <v>7</v>
      </c>
      <c r="DO910" s="27" t="s">
        <v>8</v>
      </c>
      <c r="DP910" s="27" t="s">
        <v>7</v>
      </c>
      <c r="DS910" s="27" t="s">
        <v>8</v>
      </c>
      <c r="DV910" s="27" t="s">
        <v>7</v>
      </c>
      <c r="DY910" s="27" t="s">
        <v>8</v>
      </c>
      <c r="EC910" s="27" t="s">
        <v>8</v>
      </c>
      <c r="ED910" s="27" t="s">
        <v>7</v>
      </c>
      <c r="EG910" s="27" t="s">
        <v>8</v>
      </c>
      <c r="EI910" s="27" t="s">
        <v>8</v>
      </c>
      <c r="EJ910" s="27" t="s">
        <v>7</v>
      </c>
      <c r="EO910" s="27" t="s">
        <v>8</v>
      </c>
    </row>
    <row r="911" spans="1:157" x14ac:dyDescent="0.25">
      <c r="A911" s="7">
        <v>1.6351001152116167E-3</v>
      </c>
      <c r="B911"/>
      <c r="C911"/>
      <c r="D911"/>
      <c r="E911"/>
      <c r="P911" s="27" t="s">
        <v>7</v>
      </c>
      <c r="W911" s="27" t="s">
        <v>8</v>
      </c>
      <c r="AO911" s="27" t="s">
        <v>8</v>
      </c>
      <c r="AP911" s="27" t="s">
        <v>7</v>
      </c>
      <c r="AQ911" s="27" t="s">
        <v>8</v>
      </c>
      <c r="AT911" s="27" t="s">
        <v>7</v>
      </c>
      <c r="AU911" s="27" t="s">
        <v>8</v>
      </c>
      <c r="AX911" s="27" t="s">
        <v>7</v>
      </c>
      <c r="AY911" s="27" t="s">
        <v>8</v>
      </c>
      <c r="AZ911" s="27" t="s">
        <v>7</v>
      </c>
      <c r="BA911" s="27" t="s">
        <v>8</v>
      </c>
      <c r="CJ911" s="27" t="s">
        <v>7</v>
      </c>
      <c r="CK911" s="27" t="s">
        <v>8</v>
      </c>
      <c r="CO911" s="27" t="s">
        <v>8</v>
      </c>
      <c r="CV911" s="27" t="s">
        <v>7</v>
      </c>
      <c r="CW911" s="27" t="s">
        <v>8</v>
      </c>
      <c r="CX911" s="27" t="s">
        <v>7</v>
      </c>
      <c r="CY911" s="27" t="s">
        <v>8</v>
      </c>
      <c r="CZ911" s="27" t="s">
        <v>7</v>
      </c>
      <c r="DA911" s="27" t="s">
        <v>8</v>
      </c>
      <c r="DB911" s="27" t="s">
        <v>7</v>
      </c>
      <c r="DI911" s="27" t="s">
        <v>8</v>
      </c>
      <c r="DJ911" s="27" t="s">
        <v>7</v>
      </c>
      <c r="DK911" s="27" t="s">
        <v>8</v>
      </c>
      <c r="DL911" s="27" t="s">
        <v>7</v>
      </c>
      <c r="DM911" s="27" t="s">
        <v>8</v>
      </c>
      <c r="DN911" s="27" t="s">
        <v>7</v>
      </c>
      <c r="DO911" s="27" t="s">
        <v>8</v>
      </c>
      <c r="DP911" s="27" t="s">
        <v>7</v>
      </c>
      <c r="DS911" s="27" t="s">
        <v>8</v>
      </c>
      <c r="DV911" s="27" t="s">
        <v>7</v>
      </c>
      <c r="DW911" s="27" t="s">
        <v>8</v>
      </c>
      <c r="DY911" s="27" t="s">
        <v>8</v>
      </c>
      <c r="DZ911" s="27" t="s">
        <v>7</v>
      </c>
      <c r="EC911" s="27" t="s">
        <v>8</v>
      </c>
      <c r="ED911" s="27" t="s">
        <v>7</v>
      </c>
      <c r="EE911" s="27" t="s">
        <v>8</v>
      </c>
      <c r="EG911" s="27" t="s">
        <v>8</v>
      </c>
      <c r="EH911" s="27" t="s">
        <v>7</v>
      </c>
      <c r="EI911" s="27" t="s">
        <v>8</v>
      </c>
      <c r="EJ911" s="27" t="s">
        <v>7</v>
      </c>
      <c r="EK911" s="27" t="s">
        <v>8</v>
      </c>
      <c r="EM911" s="27" t="s">
        <v>8</v>
      </c>
      <c r="EO911" s="27" t="s">
        <v>8</v>
      </c>
    </row>
    <row r="912" spans="1:157" x14ac:dyDescent="0.25">
      <c r="A912" s="7">
        <v>1.60303932863884E-3</v>
      </c>
      <c r="B912"/>
      <c r="C912"/>
      <c r="D912"/>
      <c r="E912"/>
      <c r="P912" s="27" t="s">
        <v>7</v>
      </c>
      <c r="W912" s="27" t="s">
        <v>8</v>
      </c>
      <c r="X912" s="27" t="s">
        <v>7</v>
      </c>
      <c r="AO912" s="27" t="s">
        <v>8</v>
      </c>
      <c r="AP912" s="27" t="s">
        <v>7</v>
      </c>
      <c r="AQ912" s="27" t="s">
        <v>8</v>
      </c>
      <c r="AT912" s="27" t="s">
        <v>7</v>
      </c>
      <c r="AX912" s="27" t="s">
        <v>7</v>
      </c>
      <c r="AY912" s="27" t="s">
        <v>8</v>
      </c>
      <c r="AZ912" s="27" t="s">
        <v>7</v>
      </c>
      <c r="CJ912" s="27" t="s">
        <v>7</v>
      </c>
      <c r="CK912" s="27" t="s">
        <v>8</v>
      </c>
      <c r="CL912" s="27" t="s">
        <v>7</v>
      </c>
      <c r="CO912" s="27" t="s">
        <v>8</v>
      </c>
      <c r="CV912" s="27" t="s">
        <v>7</v>
      </c>
      <c r="CX912" s="27" t="s">
        <v>7</v>
      </c>
      <c r="CY912" s="27" t="s">
        <v>8</v>
      </c>
      <c r="CZ912" s="27" t="s">
        <v>7</v>
      </c>
      <c r="DA912" s="27" t="s">
        <v>8</v>
      </c>
      <c r="DB912" s="27" t="s">
        <v>7</v>
      </c>
      <c r="DI912" s="27" t="s">
        <v>8</v>
      </c>
      <c r="DJ912" s="27" t="s">
        <v>7</v>
      </c>
      <c r="DK912" s="27" t="s">
        <v>8</v>
      </c>
      <c r="DL912" s="27" t="s">
        <v>7</v>
      </c>
      <c r="DM912" s="27" t="s">
        <v>8</v>
      </c>
      <c r="DN912" s="27" t="s">
        <v>7</v>
      </c>
      <c r="DO912" s="27" t="s">
        <v>8</v>
      </c>
      <c r="DP912" s="27" t="s">
        <v>7</v>
      </c>
      <c r="DQ912" s="27" t="s">
        <v>8</v>
      </c>
      <c r="DS912" s="27" t="s">
        <v>8</v>
      </c>
      <c r="DV912" s="27" t="s">
        <v>7</v>
      </c>
      <c r="DW912" s="27" t="s">
        <v>8</v>
      </c>
      <c r="DX912" s="27" t="s">
        <v>7</v>
      </c>
      <c r="DY912" s="27" t="s">
        <v>8</v>
      </c>
      <c r="DZ912" s="27" t="s">
        <v>7</v>
      </c>
      <c r="EC912" s="27" t="s">
        <v>8</v>
      </c>
      <c r="ED912" s="27" t="s">
        <v>7</v>
      </c>
      <c r="EE912" s="27" t="s">
        <v>8</v>
      </c>
      <c r="EF912" s="27" t="s">
        <v>7</v>
      </c>
      <c r="EG912" s="27" t="s">
        <v>8</v>
      </c>
      <c r="EH912" s="27" t="s">
        <v>7</v>
      </c>
      <c r="EI912" s="27" t="s">
        <v>8</v>
      </c>
      <c r="EJ912" s="27" t="s">
        <v>7</v>
      </c>
      <c r="EK912" s="27" t="s">
        <v>8</v>
      </c>
      <c r="EL912" s="27" t="s">
        <v>7</v>
      </c>
      <c r="EM912" s="27" t="s">
        <v>8</v>
      </c>
      <c r="EN912" s="27" t="s">
        <v>7</v>
      </c>
      <c r="EO912" s="27" t="s">
        <v>8</v>
      </c>
    </row>
    <row r="913" spans="1:145" x14ac:dyDescent="0.25">
      <c r="A913" s="7">
        <v>1.5716071849400392E-3</v>
      </c>
      <c r="B913"/>
      <c r="C913"/>
      <c r="D913"/>
      <c r="E913"/>
      <c r="P913" s="27" t="s">
        <v>7</v>
      </c>
      <c r="W913" s="27" t="s">
        <v>8</v>
      </c>
      <c r="X913" s="27" t="s">
        <v>7</v>
      </c>
      <c r="AM913" s="27" t="s">
        <v>8</v>
      </c>
      <c r="AO913" s="27" t="s">
        <v>8</v>
      </c>
      <c r="AP913" s="27" t="s">
        <v>7</v>
      </c>
      <c r="AQ913" s="27" t="s">
        <v>8</v>
      </c>
      <c r="AX913" s="27" t="s">
        <v>7</v>
      </c>
      <c r="AY913" s="27" t="s">
        <v>8</v>
      </c>
      <c r="CJ913" s="27" t="s">
        <v>7</v>
      </c>
      <c r="CK913" s="27" t="s">
        <v>8</v>
      </c>
      <c r="CL913" s="27" t="s">
        <v>7</v>
      </c>
      <c r="CO913" s="27" t="s">
        <v>8</v>
      </c>
      <c r="CX913" s="27" t="s">
        <v>7</v>
      </c>
      <c r="CZ913" s="27" t="s">
        <v>7</v>
      </c>
      <c r="DA913" s="27" t="s">
        <v>8</v>
      </c>
      <c r="DB913" s="27" t="s">
        <v>7</v>
      </c>
      <c r="DG913" s="27" t="s">
        <v>8</v>
      </c>
      <c r="DI913" s="27" t="s">
        <v>8</v>
      </c>
      <c r="DJ913" s="27" t="s">
        <v>7</v>
      </c>
      <c r="DK913" s="27" t="s">
        <v>8</v>
      </c>
      <c r="DL913" s="27" t="s">
        <v>7</v>
      </c>
      <c r="DN913" s="27" t="s">
        <v>7</v>
      </c>
      <c r="DP913" s="27" t="s">
        <v>7</v>
      </c>
      <c r="DQ913" s="27" t="s">
        <v>8</v>
      </c>
      <c r="DR913" s="27" t="s">
        <v>7</v>
      </c>
      <c r="DS913" s="27" t="s">
        <v>8</v>
      </c>
      <c r="DV913" s="27" t="s">
        <v>7</v>
      </c>
      <c r="DW913" s="27" t="s">
        <v>8</v>
      </c>
      <c r="DX913" s="27" t="s">
        <v>7</v>
      </c>
      <c r="DY913" s="27" t="s">
        <v>8</v>
      </c>
      <c r="DZ913" s="27" t="s">
        <v>7</v>
      </c>
      <c r="EA913" s="27" t="s">
        <v>8</v>
      </c>
      <c r="EC913" s="27" t="s">
        <v>8</v>
      </c>
      <c r="ED913" s="27" t="s">
        <v>7</v>
      </c>
      <c r="EE913" s="27" t="s">
        <v>8</v>
      </c>
      <c r="EF913" s="27" t="s">
        <v>7</v>
      </c>
      <c r="EG913" s="27" t="s">
        <v>8</v>
      </c>
      <c r="EH913" s="27" t="s">
        <v>7</v>
      </c>
      <c r="EI913" s="27" t="s">
        <v>8</v>
      </c>
      <c r="EJ913" s="27" t="s">
        <v>7</v>
      </c>
      <c r="EK913" s="27" t="s">
        <v>8</v>
      </c>
      <c r="EL913" s="27" t="s">
        <v>7</v>
      </c>
      <c r="EM913" s="27" t="s">
        <v>8</v>
      </c>
      <c r="EN913" s="27" t="s">
        <v>7</v>
      </c>
      <c r="EO913" s="27" t="s">
        <v>8</v>
      </c>
    </row>
    <row r="914" spans="1:145" x14ac:dyDescent="0.25">
      <c r="A914" s="7">
        <v>1.5407913577843522E-3</v>
      </c>
      <c r="B914"/>
      <c r="C914"/>
      <c r="D914"/>
      <c r="E914"/>
      <c r="P914" s="27" t="s">
        <v>7</v>
      </c>
      <c r="W914" s="27" t="s">
        <v>8</v>
      </c>
      <c r="X914" s="27" t="s">
        <v>7</v>
      </c>
      <c r="AI914" s="27" t="s">
        <v>8</v>
      </c>
      <c r="AM914" s="27" t="s">
        <v>8</v>
      </c>
      <c r="AN914" s="27" t="s">
        <v>7</v>
      </c>
      <c r="AO914" s="27" t="s">
        <v>8</v>
      </c>
      <c r="AP914" s="27" t="s">
        <v>7</v>
      </c>
      <c r="AQ914" s="27" t="s">
        <v>8</v>
      </c>
      <c r="AX914" s="27" t="s">
        <v>7</v>
      </c>
      <c r="AY914" s="27" t="s">
        <v>8</v>
      </c>
      <c r="CJ914" s="27" t="s">
        <v>7</v>
      </c>
      <c r="CK914" s="27" t="s">
        <v>8</v>
      </c>
      <c r="CL914" s="27" t="s">
        <v>7</v>
      </c>
      <c r="CM914" s="27" t="s">
        <v>8</v>
      </c>
      <c r="CO914" s="27" t="s">
        <v>8</v>
      </c>
      <c r="CZ914" s="27" t="s">
        <v>7</v>
      </c>
      <c r="DA914" s="27" t="s">
        <v>8</v>
      </c>
      <c r="DB914" s="27" t="s">
        <v>7</v>
      </c>
      <c r="DG914" s="27" t="s">
        <v>8</v>
      </c>
      <c r="DH914" s="27" t="s">
        <v>7</v>
      </c>
      <c r="DI914" s="27" t="s">
        <v>8</v>
      </c>
      <c r="DJ914" s="27" t="s">
        <v>7</v>
      </c>
      <c r="DK914" s="27" t="s">
        <v>8</v>
      </c>
      <c r="DP914" s="27" t="s">
        <v>7</v>
      </c>
      <c r="DQ914" s="27" t="s">
        <v>8</v>
      </c>
      <c r="DR914" s="27" t="s">
        <v>7</v>
      </c>
      <c r="DS914" s="27" t="s">
        <v>8</v>
      </c>
      <c r="DV914" s="27" t="s">
        <v>7</v>
      </c>
      <c r="DW914" s="27" t="s">
        <v>8</v>
      </c>
      <c r="DX914" s="27" t="s">
        <v>7</v>
      </c>
      <c r="DY914" s="27" t="s">
        <v>8</v>
      </c>
      <c r="DZ914" s="27" t="s">
        <v>7</v>
      </c>
      <c r="EA914" s="27" t="s">
        <v>8</v>
      </c>
      <c r="EB914" s="27" t="s">
        <v>7</v>
      </c>
      <c r="EC914" s="27" t="s">
        <v>8</v>
      </c>
      <c r="ED914" s="27" t="s">
        <v>7</v>
      </c>
      <c r="EE914" s="27" t="s">
        <v>8</v>
      </c>
      <c r="EF914" s="27" t="s">
        <v>7</v>
      </c>
      <c r="EG914" s="27" t="s">
        <v>8</v>
      </c>
      <c r="EH914" s="27" t="s">
        <v>7</v>
      </c>
      <c r="EJ914" s="27" t="s">
        <v>7</v>
      </c>
      <c r="EK914" s="27" t="s">
        <v>8</v>
      </c>
      <c r="EL914" s="27" t="s">
        <v>7</v>
      </c>
      <c r="EM914" s="27" t="s">
        <v>8</v>
      </c>
      <c r="EN914" s="27" t="s">
        <v>7</v>
      </c>
    </row>
    <row r="915" spans="1:145" x14ac:dyDescent="0.25">
      <c r="A915" s="7">
        <v>1.5105797625336785E-3</v>
      </c>
      <c r="B915"/>
      <c r="C915"/>
      <c r="D915"/>
      <c r="E915"/>
      <c r="P915" s="27" t="s">
        <v>7</v>
      </c>
      <c r="W915" s="27" t="s">
        <v>8</v>
      </c>
      <c r="X915" s="27" t="s">
        <v>7</v>
      </c>
      <c r="AI915" s="27" t="s">
        <v>8</v>
      </c>
      <c r="AJ915" s="27" t="s">
        <v>7</v>
      </c>
      <c r="AM915" s="27" t="s">
        <v>8</v>
      </c>
      <c r="AN915" s="27" t="s">
        <v>7</v>
      </c>
      <c r="AO915" s="27" t="s">
        <v>8</v>
      </c>
      <c r="AP915" s="27" t="s">
        <v>7</v>
      </c>
      <c r="AQ915" s="27" t="s">
        <v>8</v>
      </c>
      <c r="AX915" s="27" t="s">
        <v>7</v>
      </c>
      <c r="CJ915" s="27" t="s">
        <v>7</v>
      </c>
      <c r="CK915" s="27" t="s">
        <v>8</v>
      </c>
      <c r="CL915" s="27" t="s">
        <v>7</v>
      </c>
      <c r="CM915" s="27" t="s">
        <v>8</v>
      </c>
      <c r="CN915" s="27" t="s">
        <v>7</v>
      </c>
      <c r="CO915" s="27" t="s">
        <v>8</v>
      </c>
      <c r="CZ915" s="27" t="s">
        <v>7</v>
      </c>
      <c r="DA915" s="27" t="s">
        <v>8</v>
      </c>
      <c r="DB915" s="27" t="s">
        <v>7</v>
      </c>
      <c r="DE915" s="27" t="s">
        <v>8</v>
      </c>
      <c r="DG915" s="27" t="s">
        <v>8</v>
      </c>
      <c r="DH915" s="27" t="s">
        <v>7</v>
      </c>
      <c r="DI915" s="27" t="s">
        <v>8</v>
      </c>
      <c r="DJ915" s="27" t="s">
        <v>7</v>
      </c>
      <c r="DK915" s="27" t="s">
        <v>8</v>
      </c>
      <c r="DP915" s="27" t="s">
        <v>7</v>
      </c>
      <c r="DR915" s="27" t="s">
        <v>7</v>
      </c>
      <c r="DV915" s="27" t="s">
        <v>7</v>
      </c>
      <c r="DW915" s="27" t="s">
        <v>8</v>
      </c>
      <c r="DX915" s="27" t="s">
        <v>7</v>
      </c>
      <c r="DY915" s="27" t="s">
        <v>8</v>
      </c>
      <c r="DZ915" s="27" t="s">
        <v>7</v>
      </c>
      <c r="EA915" s="27" t="s">
        <v>8</v>
      </c>
      <c r="EB915" s="27" t="s">
        <v>7</v>
      </c>
      <c r="EC915" s="27" t="s">
        <v>8</v>
      </c>
      <c r="ED915" s="27" t="s">
        <v>7</v>
      </c>
      <c r="EE915" s="27" t="s">
        <v>8</v>
      </c>
      <c r="EF915" s="27" t="s">
        <v>7</v>
      </c>
      <c r="EJ915" s="27" t="s">
        <v>7</v>
      </c>
      <c r="EK915" s="27" t="s">
        <v>8</v>
      </c>
      <c r="EL915" s="27" t="s">
        <v>7</v>
      </c>
      <c r="EM915" s="27" t="s">
        <v>8</v>
      </c>
    </row>
    <row r="916" spans="1:145" x14ac:dyDescent="0.25">
      <c r="A916" s="7">
        <v>1.4809605515036064E-3</v>
      </c>
      <c r="B916"/>
      <c r="C916"/>
      <c r="D916"/>
      <c r="E916"/>
      <c r="P916" s="27" t="s">
        <v>7</v>
      </c>
      <c r="W916" s="27" t="s">
        <v>8</v>
      </c>
      <c r="X916" s="27" t="s">
        <v>7</v>
      </c>
      <c r="Y916" s="27" t="s">
        <v>8</v>
      </c>
      <c r="AI916" s="27" t="s">
        <v>8</v>
      </c>
      <c r="AJ916" s="27" t="s">
        <v>7</v>
      </c>
      <c r="AM916" s="27" t="s">
        <v>8</v>
      </c>
      <c r="AN916" s="27" t="s">
        <v>7</v>
      </c>
      <c r="AO916" s="27" t="s">
        <v>8</v>
      </c>
      <c r="AP916" s="27" t="s">
        <v>7</v>
      </c>
      <c r="CJ916" s="27" t="s">
        <v>7</v>
      </c>
      <c r="CK916" s="27" t="s">
        <v>8</v>
      </c>
      <c r="CL916" s="27" t="s">
        <v>7</v>
      </c>
      <c r="CM916" s="27" t="s">
        <v>8</v>
      </c>
      <c r="CN916" s="27" t="s">
        <v>7</v>
      </c>
      <c r="CO916" s="27" t="s">
        <v>8</v>
      </c>
      <c r="CZ916" s="27" t="s">
        <v>7</v>
      </c>
      <c r="DA916" s="27" t="s">
        <v>8</v>
      </c>
      <c r="DB916" s="27" t="s">
        <v>7</v>
      </c>
      <c r="DE916" s="27" t="s">
        <v>8</v>
      </c>
      <c r="DF916" s="27" t="s">
        <v>7</v>
      </c>
      <c r="DG916" s="27" t="s">
        <v>8</v>
      </c>
      <c r="DH916" s="27" t="s">
        <v>7</v>
      </c>
      <c r="DJ916" s="27" t="s">
        <v>7</v>
      </c>
      <c r="DK916" s="27" t="s">
        <v>8</v>
      </c>
      <c r="DV916" s="27" t="s">
        <v>7</v>
      </c>
      <c r="DW916" s="27" t="s">
        <v>8</v>
      </c>
      <c r="DX916" s="27" t="s">
        <v>7</v>
      </c>
      <c r="DY916" s="27" t="s">
        <v>8</v>
      </c>
      <c r="DZ916" s="27" t="s">
        <v>7</v>
      </c>
      <c r="EA916" s="27" t="s">
        <v>8</v>
      </c>
      <c r="EB916" s="27" t="s">
        <v>7</v>
      </c>
      <c r="EC916" s="27" t="s">
        <v>8</v>
      </c>
      <c r="ED916" s="27" t="s">
        <v>7</v>
      </c>
      <c r="EE916" s="27" t="s">
        <v>8</v>
      </c>
      <c r="EJ916" s="27" t="s">
        <v>7</v>
      </c>
      <c r="EL916" s="27" t="s">
        <v>7</v>
      </c>
      <c r="EM916" s="27" t="s">
        <v>8</v>
      </c>
    </row>
    <row r="917" spans="1:145" x14ac:dyDescent="0.25">
      <c r="A917" s="7">
        <v>1.4519221093172612E-3</v>
      </c>
      <c r="B917"/>
      <c r="C917"/>
      <c r="D917"/>
      <c r="E917"/>
      <c r="P917" s="27" t="s">
        <v>7</v>
      </c>
      <c r="U917" s="27" t="s">
        <v>8</v>
      </c>
      <c r="W917" s="27" t="s">
        <v>8</v>
      </c>
      <c r="X917" s="27" t="s">
        <v>7</v>
      </c>
      <c r="Y917" s="27" t="s">
        <v>8</v>
      </c>
      <c r="Z917" s="27" t="s">
        <v>7</v>
      </c>
      <c r="AA917" s="27" t="s">
        <v>8</v>
      </c>
      <c r="AI917" s="27" t="s">
        <v>8</v>
      </c>
      <c r="AJ917" s="27" t="s">
        <v>7</v>
      </c>
      <c r="AM917" s="27" t="s">
        <v>8</v>
      </c>
      <c r="AN917" s="27" t="s">
        <v>7</v>
      </c>
      <c r="AO917" s="27" t="s">
        <v>8</v>
      </c>
      <c r="CJ917" s="27" t="s">
        <v>7</v>
      </c>
      <c r="CK917" s="27" t="s">
        <v>8</v>
      </c>
      <c r="CL917" s="27" t="s">
        <v>7</v>
      </c>
      <c r="CM917" s="27" t="s">
        <v>8</v>
      </c>
      <c r="CN917" s="27" t="s">
        <v>7</v>
      </c>
      <c r="CZ917" s="27" t="s">
        <v>7</v>
      </c>
      <c r="DA917" s="27" t="s">
        <v>8</v>
      </c>
      <c r="DB917" s="27" t="s">
        <v>7</v>
      </c>
      <c r="DC917" s="27" t="s">
        <v>8</v>
      </c>
      <c r="DE917" s="27" t="s">
        <v>8</v>
      </c>
      <c r="DF917" s="27" t="s">
        <v>7</v>
      </c>
      <c r="DG917" s="27" t="s">
        <v>8</v>
      </c>
      <c r="DJ917" s="27" t="s">
        <v>7</v>
      </c>
      <c r="DK917" s="27" t="s">
        <v>8</v>
      </c>
      <c r="DV917" s="27" t="s">
        <v>7</v>
      </c>
      <c r="DW917" s="27" t="s">
        <v>8</v>
      </c>
      <c r="DX917" s="27" t="s">
        <v>7</v>
      </c>
      <c r="DY917" s="27" t="s">
        <v>8</v>
      </c>
      <c r="DZ917" s="27" t="s">
        <v>7</v>
      </c>
      <c r="EA917" s="27" t="s">
        <v>8</v>
      </c>
      <c r="EB917" s="27" t="s">
        <v>7</v>
      </c>
      <c r="ED917" s="27" t="s">
        <v>7</v>
      </c>
      <c r="EE917" s="27" t="s">
        <v>8</v>
      </c>
      <c r="EL917" s="27" t="s">
        <v>7</v>
      </c>
    </row>
    <row r="918" spans="1:145" x14ac:dyDescent="0.25">
      <c r="A918" s="7">
        <v>1.423453048350256E-3</v>
      </c>
      <c r="B918"/>
      <c r="C918"/>
      <c r="D918"/>
      <c r="E918"/>
      <c r="P918" s="27" t="s">
        <v>7</v>
      </c>
      <c r="U918" s="27" t="s">
        <v>8</v>
      </c>
      <c r="V918" s="27" t="s">
        <v>7</v>
      </c>
      <c r="W918" s="27" t="s">
        <v>8</v>
      </c>
      <c r="X918" s="27" t="s">
        <v>7</v>
      </c>
      <c r="Y918" s="27" t="s">
        <v>8</v>
      </c>
      <c r="Z918" s="27" t="s">
        <v>7</v>
      </c>
      <c r="AA918" s="27" t="s">
        <v>8</v>
      </c>
      <c r="AB918" s="27" t="s">
        <v>7</v>
      </c>
      <c r="AC918" s="27" t="s">
        <v>8</v>
      </c>
      <c r="AI918" s="27" t="s">
        <v>8</v>
      </c>
      <c r="AJ918" s="27" t="s">
        <v>7</v>
      </c>
      <c r="AM918" s="27" t="s">
        <v>8</v>
      </c>
      <c r="AN918" s="27" t="s">
        <v>7</v>
      </c>
      <c r="AO918" s="27" t="s">
        <v>8</v>
      </c>
      <c r="CJ918" s="27" t="s">
        <v>7</v>
      </c>
      <c r="CK918" s="27" t="s">
        <v>8</v>
      </c>
      <c r="CL918" s="27" t="s">
        <v>7</v>
      </c>
      <c r="CM918" s="27" t="s">
        <v>8</v>
      </c>
      <c r="CZ918" s="27" t="s">
        <v>7</v>
      </c>
      <c r="DB918" s="27" t="s">
        <v>7</v>
      </c>
      <c r="DC918" s="27" t="s">
        <v>8</v>
      </c>
      <c r="DD918" s="27" t="s">
        <v>7</v>
      </c>
      <c r="DE918" s="27" t="s">
        <v>8</v>
      </c>
      <c r="DF918" s="27" t="s">
        <v>7</v>
      </c>
      <c r="DG918" s="27" t="s">
        <v>8</v>
      </c>
      <c r="DJ918" s="27" t="s">
        <v>7</v>
      </c>
      <c r="DK918" s="27" t="s">
        <v>8</v>
      </c>
      <c r="DV918" s="27" t="s">
        <v>7</v>
      </c>
      <c r="DX918" s="27" t="s">
        <v>7</v>
      </c>
      <c r="DY918" s="27" t="s">
        <v>8</v>
      </c>
      <c r="DZ918" s="27" t="s">
        <v>7</v>
      </c>
      <c r="EA918" s="27" t="s">
        <v>8</v>
      </c>
      <c r="ED918" s="27" t="s">
        <v>7</v>
      </c>
      <c r="EE918" s="27" t="s">
        <v>8</v>
      </c>
    </row>
    <row r="919" spans="1:145" x14ac:dyDescent="0.25">
      <c r="A919" s="7">
        <v>1.3955422042649568E-3</v>
      </c>
      <c r="B919"/>
      <c r="C919"/>
      <c r="D919"/>
      <c r="E919"/>
      <c r="P919" s="27" t="s">
        <v>7</v>
      </c>
      <c r="U919" s="27" t="s">
        <v>8</v>
      </c>
      <c r="V919" s="27" t="s">
        <v>7</v>
      </c>
      <c r="W919" s="27" t="s">
        <v>8</v>
      </c>
      <c r="X919" s="27" t="s">
        <v>7</v>
      </c>
      <c r="Y919" s="27" t="s">
        <v>8</v>
      </c>
      <c r="Z919" s="27" t="s">
        <v>7</v>
      </c>
      <c r="AA919" s="27" t="s">
        <v>8</v>
      </c>
      <c r="AB919" s="27" t="s">
        <v>7</v>
      </c>
      <c r="AC919" s="27" t="s">
        <v>8</v>
      </c>
      <c r="AD919" s="27" t="s">
        <v>7</v>
      </c>
      <c r="AG919" s="27" t="s">
        <v>8</v>
      </c>
      <c r="AI919" s="27" t="s">
        <v>8</v>
      </c>
      <c r="AJ919" s="27" t="s">
        <v>7</v>
      </c>
      <c r="AK919" s="27" t="s">
        <v>8</v>
      </c>
      <c r="AM919" s="27" t="s">
        <v>8</v>
      </c>
      <c r="AN919" s="27" t="s">
        <v>7</v>
      </c>
      <c r="AO919" s="27" t="s">
        <v>8</v>
      </c>
      <c r="CJ919" s="27" t="s">
        <v>7</v>
      </c>
      <c r="CK919" s="27" t="s">
        <v>8</v>
      </c>
      <c r="CL919" s="27" t="s">
        <v>7</v>
      </c>
      <c r="CM919" s="27" t="s">
        <v>8</v>
      </c>
      <c r="DB919" s="27" t="s">
        <v>7</v>
      </c>
      <c r="DC919" s="27" t="s">
        <v>8</v>
      </c>
      <c r="DD919" s="27" t="s">
        <v>7</v>
      </c>
      <c r="DE919" s="27" t="s">
        <v>8</v>
      </c>
      <c r="DF919" s="27" t="s">
        <v>7</v>
      </c>
      <c r="DG919" s="27" t="s">
        <v>8</v>
      </c>
      <c r="DJ919" s="27" t="s">
        <v>7</v>
      </c>
      <c r="DX919" s="27" t="s">
        <v>7</v>
      </c>
      <c r="DZ919" s="27" t="s">
        <v>7</v>
      </c>
      <c r="EA919" s="27" t="s">
        <v>8</v>
      </c>
      <c r="ED919" s="27" t="s">
        <v>7</v>
      </c>
    </row>
    <row r="920" spans="1:145" x14ac:dyDescent="0.25">
      <c r="A920" s="7">
        <v>1.3681786316323105E-3</v>
      </c>
      <c r="B920"/>
      <c r="C920"/>
      <c r="D920"/>
      <c r="E920"/>
      <c r="P920" s="27" t="s">
        <v>7</v>
      </c>
      <c r="Q920" s="27" t="s">
        <v>8</v>
      </c>
      <c r="U920" s="27" t="s">
        <v>8</v>
      </c>
      <c r="V920" s="27" t="s">
        <v>7</v>
      </c>
      <c r="W920" s="27" t="s">
        <v>8</v>
      </c>
      <c r="X920" s="27" t="s">
        <v>7</v>
      </c>
      <c r="Y920" s="27" t="s">
        <v>8</v>
      </c>
      <c r="Z920" s="27" t="s">
        <v>7</v>
      </c>
      <c r="AA920" s="27" t="s">
        <v>8</v>
      </c>
      <c r="AB920" s="27" t="s">
        <v>7</v>
      </c>
      <c r="AC920" s="27" t="s">
        <v>8</v>
      </c>
      <c r="AD920" s="27" t="s">
        <v>7</v>
      </c>
      <c r="AG920" s="27" t="s">
        <v>8</v>
      </c>
      <c r="AH920" s="27" t="s">
        <v>7</v>
      </c>
      <c r="AI920" s="27" t="s">
        <v>8</v>
      </c>
      <c r="AJ920" s="27" t="s">
        <v>7</v>
      </c>
      <c r="AK920" s="27" t="s">
        <v>8</v>
      </c>
      <c r="AL920" s="27" t="s">
        <v>7</v>
      </c>
      <c r="AM920" s="27" t="s">
        <v>8</v>
      </c>
      <c r="AN920" s="27" t="s">
        <v>7</v>
      </c>
      <c r="AO920" s="27" t="s">
        <v>8</v>
      </c>
      <c r="CJ920" s="27" t="s">
        <v>7</v>
      </c>
      <c r="CK920" s="27" t="s">
        <v>8</v>
      </c>
      <c r="CL920" s="27" t="s">
        <v>7</v>
      </c>
      <c r="CM920" s="27" t="s">
        <v>8</v>
      </c>
      <c r="DB920" s="27" t="s">
        <v>7</v>
      </c>
      <c r="DC920" s="27" t="s">
        <v>8</v>
      </c>
      <c r="DD920" s="27" t="s">
        <v>7</v>
      </c>
      <c r="DE920" s="27" t="s">
        <v>8</v>
      </c>
      <c r="DF920" s="27" t="s">
        <v>7</v>
      </c>
      <c r="DG920" s="27" t="s">
        <v>8</v>
      </c>
      <c r="DZ920" s="27" t="s">
        <v>7</v>
      </c>
    </row>
    <row r="921" spans="1:145" x14ac:dyDescent="0.25">
      <c r="A921" s="7">
        <v>1.3413515996395203E-3</v>
      </c>
      <c r="B921"/>
      <c r="C921"/>
      <c r="D921"/>
      <c r="E921"/>
      <c r="P921" s="27" t="s">
        <v>7</v>
      </c>
      <c r="Q921" s="27" t="s">
        <v>8</v>
      </c>
      <c r="R921" s="27" t="s">
        <v>7</v>
      </c>
      <c r="S921" s="27" t="s">
        <v>8</v>
      </c>
      <c r="U921" s="27" t="s">
        <v>8</v>
      </c>
      <c r="V921" s="27" t="s">
        <v>7</v>
      </c>
      <c r="W921" s="27" t="s">
        <v>8</v>
      </c>
      <c r="X921" s="27" t="s">
        <v>7</v>
      </c>
      <c r="Z921" s="27" t="s">
        <v>7</v>
      </c>
      <c r="AB921" s="27" t="s">
        <v>7</v>
      </c>
      <c r="AC921" s="27" t="s">
        <v>8</v>
      </c>
      <c r="AD921" s="27" t="s">
        <v>7</v>
      </c>
      <c r="AG921" s="27" t="s">
        <v>8</v>
      </c>
      <c r="AH921" s="27" t="s">
        <v>7</v>
      </c>
      <c r="AI921" s="27" t="s">
        <v>8</v>
      </c>
      <c r="AJ921" s="27" t="s">
        <v>7</v>
      </c>
      <c r="AK921" s="27" t="s">
        <v>8</v>
      </c>
      <c r="AL921" s="27" t="s">
        <v>7</v>
      </c>
      <c r="AM921" s="27" t="s">
        <v>8</v>
      </c>
      <c r="AN921" s="27" t="s">
        <v>7</v>
      </c>
      <c r="AO921" s="27" t="s">
        <v>8</v>
      </c>
      <c r="CJ921" s="27" t="s">
        <v>7</v>
      </c>
      <c r="CK921" s="27" t="s">
        <v>8</v>
      </c>
      <c r="CL921" s="27" t="s">
        <v>7</v>
      </c>
      <c r="CM921" s="27" t="s">
        <v>8</v>
      </c>
      <c r="DB921" s="27" t="s">
        <v>7</v>
      </c>
      <c r="DC921" s="27" t="s">
        <v>8</v>
      </c>
      <c r="DD921" s="27" t="s">
        <v>7</v>
      </c>
      <c r="DF921" s="27" t="s">
        <v>7</v>
      </c>
    </row>
    <row r="922" spans="1:145" x14ac:dyDescent="0.25">
      <c r="A922" s="7">
        <v>1.3150505878818826E-3</v>
      </c>
      <c r="B922"/>
      <c r="C922"/>
      <c r="D922"/>
      <c r="E922"/>
      <c r="P922" s="27" t="s">
        <v>7</v>
      </c>
      <c r="Q922" s="27" t="s">
        <v>8</v>
      </c>
      <c r="R922" s="27" t="s">
        <v>7</v>
      </c>
      <c r="S922" s="27" t="s">
        <v>8</v>
      </c>
      <c r="T922" s="27" t="s">
        <v>7</v>
      </c>
      <c r="U922" s="27" t="s">
        <v>8</v>
      </c>
      <c r="V922" s="27" t="s">
        <v>7</v>
      </c>
      <c r="W922" s="27" t="s">
        <v>8</v>
      </c>
      <c r="AB922" s="27" t="s">
        <v>7</v>
      </c>
      <c r="AD922" s="27" t="s">
        <v>7</v>
      </c>
      <c r="AG922" s="27" t="s">
        <v>8</v>
      </c>
      <c r="AH922" s="27" t="s">
        <v>7</v>
      </c>
      <c r="AI922" s="27" t="s">
        <v>8</v>
      </c>
      <c r="AJ922" s="27" t="s">
        <v>7</v>
      </c>
      <c r="AK922" s="27" t="s">
        <v>8</v>
      </c>
      <c r="AL922" s="27" t="s">
        <v>7</v>
      </c>
      <c r="AM922" s="27" t="s">
        <v>8</v>
      </c>
      <c r="AN922" s="27" t="s">
        <v>7</v>
      </c>
      <c r="AO922" s="27" t="s">
        <v>8</v>
      </c>
      <c r="CJ922" s="27" t="s">
        <v>7</v>
      </c>
      <c r="CK922" s="27" t="s">
        <v>8</v>
      </c>
      <c r="CL922" s="27" t="s">
        <v>7</v>
      </c>
      <c r="CM922" s="27" t="s">
        <v>8</v>
      </c>
      <c r="DB922" s="27" t="s">
        <v>7</v>
      </c>
      <c r="DC922" s="27" t="s">
        <v>8</v>
      </c>
    </row>
    <row r="923" spans="1:145" x14ac:dyDescent="0.25">
      <c r="A923" s="7">
        <v>1.2892652822371396E-3</v>
      </c>
      <c r="B923"/>
      <c r="C923"/>
      <c r="D923"/>
      <c r="E923"/>
      <c r="P923" s="27" t="s">
        <v>7</v>
      </c>
      <c r="Q923" s="27" t="s">
        <v>8</v>
      </c>
      <c r="R923" s="27" t="s">
        <v>7</v>
      </c>
      <c r="S923" s="27" t="s">
        <v>8</v>
      </c>
      <c r="T923" s="27" t="s">
        <v>7</v>
      </c>
      <c r="U923" s="27" t="s">
        <v>8</v>
      </c>
      <c r="V923" s="27" t="s">
        <v>7</v>
      </c>
      <c r="W923" s="27" t="s">
        <v>8</v>
      </c>
      <c r="AD923" s="27" t="s">
        <v>7</v>
      </c>
      <c r="AG923" s="27" t="s">
        <v>8</v>
      </c>
      <c r="AH923" s="27" t="s">
        <v>7</v>
      </c>
      <c r="AI923" s="27" t="s">
        <v>8</v>
      </c>
      <c r="AJ923" s="27" t="s">
        <v>7</v>
      </c>
      <c r="AK923" s="27" t="s">
        <v>8</v>
      </c>
      <c r="AL923" s="27" t="s">
        <v>7</v>
      </c>
      <c r="AM923" s="27" t="s">
        <v>8</v>
      </c>
      <c r="AN923" s="27" t="s">
        <v>7</v>
      </c>
      <c r="AO923" s="27" t="s">
        <v>8</v>
      </c>
      <c r="CJ923" s="27" t="s">
        <v>7</v>
      </c>
      <c r="CK923" s="27" t="s">
        <v>8</v>
      </c>
      <c r="CL923" s="27" t="s">
        <v>7</v>
      </c>
      <c r="CM923" s="27" t="s">
        <v>8</v>
      </c>
      <c r="DB923" s="27" t="s">
        <v>7</v>
      </c>
      <c r="DC923" s="27" t="s">
        <v>8</v>
      </c>
    </row>
    <row r="924" spans="1:145" x14ac:dyDescent="0.25">
      <c r="A924" s="7">
        <v>1.2639855708207251E-3</v>
      </c>
      <c r="B924"/>
      <c r="C924"/>
      <c r="D924"/>
      <c r="E924"/>
      <c r="P924" s="27" t="s">
        <v>7</v>
      </c>
      <c r="Q924" s="27" t="s">
        <v>8</v>
      </c>
      <c r="R924" s="27" t="s">
        <v>7</v>
      </c>
      <c r="S924" s="27" t="s">
        <v>8</v>
      </c>
      <c r="T924" s="27" t="s">
        <v>7</v>
      </c>
      <c r="U924" s="27" t="s">
        <v>8</v>
      </c>
      <c r="V924" s="27" t="s">
        <v>7</v>
      </c>
      <c r="W924" s="27" t="s">
        <v>8</v>
      </c>
      <c r="AD924" s="27" t="s">
        <v>7</v>
      </c>
      <c r="AG924" s="27" t="s">
        <v>8</v>
      </c>
      <c r="AH924" s="27" t="s">
        <v>7</v>
      </c>
      <c r="AJ924" s="27" t="s">
        <v>7</v>
      </c>
      <c r="AK924" s="27" t="s">
        <v>8</v>
      </c>
      <c r="AL924" s="27" t="s">
        <v>7</v>
      </c>
      <c r="AM924" s="27" t="s">
        <v>8</v>
      </c>
      <c r="AN924" s="27" t="s">
        <v>7</v>
      </c>
      <c r="AO924" s="27" t="s">
        <v>8</v>
      </c>
      <c r="CJ924" s="27" t="s">
        <v>7</v>
      </c>
      <c r="CK924" s="27" t="s">
        <v>8</v>
      </c>
      <c r="CL924" s="27" t="s">
        <v>7</v>
      </c>
      <c r="CM924" s="27" t="s">
        <v>8</v>
      </c>
      <c r="DB924" s="27" t="s">
        <v>7</v>
      </c>
    </row>
    <row r="925" spans="1:145" x14ac:dyDescent="0.25">
      <c r="A925" s="7">
        <v>1.2392015400203187E-3</v>
      </c>
      <c r="B925"/>
      <c r="C925"/>
      <c r="D925"/>
      <c r="E925"/>
      <c r="P925" s="27" t="s">
        <v>7</v>
      </c>
      <c r="Q925" s="27" t="s">
        <v>8</v>
      </c>
      <c r="R925" s="27" t="s">
        <v>7</v>
      </c>
      <c r="S925" s="27" t="s">
        <v>8</v>
      </c>
      <c r="T925" s="27" t="s">
        <v>7</v>
      </c>
      <c r="U925" s="27" t="s">
        <v>8</v>
      </c>
      <c r="V925" s="27" t="s">
        <v>7</v>
      </c>
      <c r="W925" s="27" t="s">
        <v>8</v>
      </c>
      <c r="AD925" s="27" t="s">
        <v>7</v>
      </c>
      <c r="AE925" s="27" t="s">
        <v>8</v>
      </c>
      <c r="AG925" s="27" t="s">
        <v>8</v>
      </c>
      <c r="AJ925" s="27" t="s">
        <v>7</v>
      </c>
      <c r="AL925" s="27" t="s">
        <v>7</v>
      </c>
      <c r="AM925" s="27" t="s">
        <v>8</v>
      </c>
      <c r="AN925" s="27" t="s">
        <v>7</v>
      </c>
      <c r="AO925" s="27" t="s">
        <v>8</v>
      </c>
      <c r="CJ925" s="27" t="s">
        <v>7</v>
      </c>
      <c r="CK925" s="27" t="s">
        <v>8</v>
      </c>
      <c r="CL925" s="27" t="s">
        <v>7</v>
      </c>
      <c r="CM925" s="27" t="s">
        <v>8</v>
      </c>
    </row>
    <row r="926" spans="1:145" x14ac:dyDescent="0.25">
      <c r="A926" s="7">
        <v>1.2149034706081556E-3</v>
      </c>
      <c r="B926"/>
      <c r="C926"/>
      <c r="D926"/>
      <c r="E926"/>
      <c r="P926" s="27" t="s">
        <v>7</v>
      </c>
      <c r="Q926" s="27" t="s">
        <v>8</v>
      </c>
      <c r="R926" s="27" t="s">
        <v>7</v>
      </c>
      <c r="S926" s="27" t="s">
        <v>8</v>
      </c>
      <c r="T926" s="27" t="s">
        <v>7</v>
      </c>
      <c r="U926" s="27" t="s">
        <v>8</v>
      </c>
      <c r="V926" s="27" t="s">
        <v>7</v>
      </c>
      <c r="AD926" s="27" t="s">
        <v>7</v>
      </c>
      <c r="AE926" s="27" t="s">
        <v>8</v>
      </c>
      <c r="AF926" s="27" t="s">
        <v>7</v>
      </c>
      <c r="AG926" s="27" t="s">
        <v>8</v>
      </c>
      <c r="AL926" s="27" t="s">
        <v>7</v>
      </c>
      <c r="AM926" s="27" t="s">
        <v>8</v>
      </c>
      <c r="AN926" s="27" t="s">
        <v>7</v>
      </c>
      <c r="AO926" s="27" t="s">
        <v>8</v>
      </c>
      <c r="CJ926" s="27" t="s">
        <v>7</v>
      </c>
      <c r="CK926" s="27" t="s">
        <v>8</v>
      </c>
      <c r="CL926" s="27" t="s">
        <v>7</v>
      </c>
      <c r="CM926" s="27" t="s">
        <v>8</v>
      </c>
    </row>
    <row r="927" spans="1:145" x14ac:dyDescent="0.25">
      <c r="A927" s="7">
        <v>1.1910818339295644E-3</v>
      </c>
      <c r="B927"/>
      <c r="C927"/>
      <c r="D927"/>
      <c r="E927"/>
      <c r="P927" s="27" t="s">
        <v>7</v>
      </c>
      <c r="Q927" s="27" t="s">
        <v>8</v>
      </c>
      <c r="R927" s="27" t="s">
        <v>7</v>
      </c>
      <c r="S927" s="27" t="s">
        <v>8</v>
      </c>
      <c r="T927" s="27" t="s">
        <v>7</v>
      </c>
      <c r="U927" s="27" t="s">
        <v>8</v>
      </c>
      <c r="AD927" s="27" t="s">
        <v>7</v>
      </c>
      <c r="AE927" s="27" t="s">
        <v>8</v>
      </c>
      <c r="AF927" s="27" t="s">
        <v>7</v>
      </c>
      <c r="AG927" s="27" t="s">
        <v>8</v>
      </c>
      <c r="AL927" s="27" t="s">
        <v>7</v>
      </c>
      <c r="AM927" s="27" t="s">
        <v>8</v>
      </c>
      <c r="AN927" s="27" t="s">
        <v>7</v>
      </c>
      <c r="AO927" s="27" t="s">
        <v>8</v>
      </c>
      <c r="CJ927" s="27" t="s">
        <v>7</v>
      </c>
      <c r="CK927" s="27" t="s">
        <v>8</v>
      </c>
      <c r="CL927" s="27" t="s">
        <v>7</v>
      </c>
      <c r="CM927" s="27" t="s">
        <v>8</v>
      </c>
    </row>
    <row r="928" spans="1:145" x14ac:dyDescent="0.25">
      <c r="A928" s="7">
        <v>1.1677272881662395E-3</v>
      </c>
      <c r="B928"/>
      <c r="C928"/>
      <c r="D928"/>
      <c r="E928"/>
      <c r="P928" s="27" t="s">
        <v>7</v>
      </c>
      <c r="Q928" s="27" t="s">
        <v>8</v>
      </c>
      <c r="R928" s="27" t="s">
        <v>7</v>
      </c>
      <c r="S928" s="27" t="s">
        <v>8</v>
      </c>
      <c r="T928" s="27" t="s">
        <v>7</v>
      </c>
      <c r="AD928" s="27" t="s">
        <v>7</v>
      </c>
      <c r="AE928" s="27" t="s">
        <v>8</v>
      </c>
      <c r="AF928" s="27" t="s">
        <v>7</v>
      </c>
      <c r="AG928" s="27" t="s">
        <v>8</v>
      </c>
      <c r="AL928" s="27" t="s">
        <v>7</v>
      </c>
      <c r="AM928" s="27" t="s">
        <v>8</v>
      </c>
      <c r="AN928" s="27" t="s">
        <v>7</v>
      </c>
      <c r="CJ928" s="27" t="s">
        <v>7</v>
      </c>
      <c r="CK928" s="27" t="s">
        <v>8</v>
      </c>
      <c r="CL928" s="27" t="s">
        <v>7</v>
      </c>
      <c r="CM928" s="27" t="s">
        <v>8</v>
      </c>
    </row>
    <row r="929" spans="1:91" x14ac:dyDescent="0.25">
      <c r="A929" s="7">
        <v>1.1448306746727837E-3</v>
      </c>
      <c r="B929"/>
      <c r="C929"/>
      <c r="D929"/>
      <c r="E929"/>
      <c r="P929" s="27" t="s">
        <v>7</v>
      </c>
      <c r="Q929" s="27" t="s">
        <v>8</v>
      </c>
      <c r="R929" s="27" t="s">
        <v>7</v>
      </c>
      <c r="S929" s="27" t="s">
        <v>8</v>
      </c>
      <c r="AD929" s="27" t="s">
        <v>7</v>
      </c>
      <c r="AF929" s="27" t="s">
        <v>7</v>
      </c>
      <c r="AL929" s="27" t="s">
        <v>7</v>
      </c>
      <c r="CJ929" s="27" t="s">
        <v>7</v>
      </c>
      <c r="CK929" s="27" t="s">
        <v>8</v>
      </c>
      <c r="CL929" s="27" t="s">
        <v>7</v>
      </c>
      <c r="CM929" s="27" t="s">
        <v>8</v>
      </c>
    </row>
    <row r="930" spans="1:91" x14ac:dyDescent="0.25">
      <c r="A930" s="7">
        <v>1.1223830143850821E-3</v>
      </c>
      <c r="B930"/>
      <c r="C930"/>
      <c r="D930"/>
      <c r="E930"/>
      <c r="P930" s="27" t="s">
        <v>7</v>
      </c>
      <c r="Q930" s="27" t="s">
        <v>8</v>
      </c>
      <c r="R930" s="27" t="s">
        <v>7</v>
      </c>
      <c r="S930" s="27" t="s">
        <v>8</v>
      </c>
      <c r="CJ930" s="27" t="s">
        <v>7</v>
      </c>
      <c r="CK930" s="27" t="s">
        <v>8</v>
      </c>
      <c r="CL930" s="27" t="s">
        <v>7</v>
      </c>
      <c r="CM930" s="27" t="s">
        <v>8</v>
      </c>
    </row>
    <row r="931" spans="1:91" x14ac:dyDescent="0.25">
      <c r="A931" s="7">
        <v>1.1003755042991001E-3</v>
      </c>
      <c r="B931"/>
      <c r="C931"/>
      <c r="D931"/>
      <c r="E931"/>
      <c r="P931" s="27" t="s">
        <v>7</v>
      </c>
      <c r="Q931" s="27" t="s">
        <v>8</v>
      </c>
      <c r="R931" s="27" t="s">
        <v>7</v>
      </c>
      <c r="S931" s="27" t="s">
        <v>8</v>
      </c>
      <c r="CJ931" s="27" t="s">
        <v>7</v>
      </c>
      <c r="CK931" s="27" t="s">
        <v>8</v>
      </c>
      <c r="CL931" s="27" t="s">
        <v>7</v>
      </c>
      <c r="CM931" s="27" t="s">
        <v>8</v>
      </c>
    </row>
    <row r="932" spans="1:91" x14ac:dyDescent="0.25">
      <c r="A932" s="7">
        <v>1.0787995140187257E-3</v>
      </c>
      <c r="B932"/>
      <c r="C932"/>
      <c r="D932"/>
      <c r="E932"/>
      <c r="P932" s="27" t="s">
        <v>7</v>
      </c>
      <c r="Q932" s="27" t="s">
        <v>8</v>
      </c>
      <c r="R932" s="27" t="s">
        <v>7</v>
      </c>
      <c r="S932" s="27" t="s">
        <v>8</v>
      </c>
      <c r="CJ932" s="27" t="s">
        <v>7</v>
      </c>
      <c r="CK932" s="27" t="s">
        <v>8</v>
      </c>
      <c r="CL932" s="27" t="s">
        <v>7</v>
      </c>
      <c r="CM932" s="27" t="s">
        <v>8</v>
      </c>
    </row>
    <row r="933" spans="1:91" x14ac:dyDescent="0.25">
      <c r="A933" s="7">
        <v>1.0576465823712996E-3</v>
      </c>
      <c r="B933"/>
      <c r="C933"/>
      <c r="D933"/>
      <c r="E933"/>
      <c r="P933" s="27" t="s">
        <v>7</v>
      </c>
      <c r="Q933" s="27" t="s">
        <v>8</v>
      </c>
      <c r="R933" s="27" t="s">
        <v>7</v>
      </c>
      <c r="S933" s="27" t="s">
        <v>8</v>
      </c>
      <c r="CJ933" s="27" t="s">
        <v>7</v>
      </c>
      <c r="CK933" s="27" t="s">
        <v>8</v>
      </c>
      <c r="CL933" s="27" t="s">
        <v>7</v>
      </c>
      <c r="CM933" s="27" t="s">
        <v>8</v>
      </c>
    </row>
    <row r="934" spans="1:91" x14ac:dyDescent="0.25">
      <c r="A934" s="7">
        <v>1.0369084140895094E-3</v>
      </c>
      <c r="B934"/>
      <c r="C934"/>
      <c r="D934"/>
      <c r="E934"/>
      <c r="P934" s="27" t="s">
        <v>7</v>
      </c>
      <c r="Q934" s="27" t="s">
        <v>8</v>
      </c>
      <c r="R934" s="27" t="s">
        <v>7</v>
      </c>
      <c r="S934" s="27" t="s">
        <v>8</v>
      </c>
      <c r="CJ934" s="27" t="s">
        <v>7</v>
      </c>
      <c r="CK934" s="27" t="s">
        <v>8</v>
      </c>
      <c r="CL934" s="27" t="s">
        <v>7</v>
      </c>
      <c r="CM934" s="27" t="s">
        <v>8</v>
      </c>
    </row>
    <row r="935" spans="1:91" x14ac:dyDescent="0.25">
      <c r="A935" s="7">
        <v>1.0165768765583426E-3</v>
      </c>
      <c r="B935"/>
      <c r="C935"/>
      <c r="D935"/>
      <c r="E935"/>
      <c r="P935" s="27" t="s">
        <v>7</v>
      </c>
      <c r="Q935" s="27" t="s">
        <v>8</v>
      </c>
      <c r="R935" s="27" t="s">
        <v>7</v>
      </c>
      <c r="S935" s="27" t="s">
        <v>8</v>
      </c>
      <c r="CJ935" s="27" t="s">
        <v>7</v>
      </c>
      <c r="CK935" s="27" t="s">
        <v>8</v>
      </c>
      <c r="CL935" s="27" t="s">
        <v>7</v>
      </c>
      <c r="CM935" s="27" t="s">
        <v>8</v>
      </c>
    </row>
    <row r="936" spans="1:91" x14ac:dyDescent="0.25">
      <c r="A936" s="7">
        <v>9.966439966258261E-4</v>
      </c>
      <c r="B936"/>
      <c r="C936"/>
      <c r="D936"/>
      <c r="E936"/>
      <c r="P936" s="27" t="s">
        <v>7</v>
      </c>
      <c r="Q936" s="27" t="s">
        <v>8</v>
      </c>
      <c r="R936" s="27" t="s">
        <v>7</v>
      </c>
      <c r="S936" s="27" t="s">
        <v>8</v>
      </c>
      <c r="CJ936" s="27" t="s">
        <v>7</v>
      </c>
      <c r="CK936" s="27" t="s">
        <v>8</v>
      </c>
      <c r="CL936" s="27" t="s">
        <v>7</v>
      </c>
      <c r="CM936" s="27" t="s">
        <v>8</v>
      </c>
    </row>
    <row r="937" spans="1:91" x14ac:dyDescent="0.25">
      <c r="P937" s="27" t="s">
        <v>7</v>
      </c>
      <c r="R937" s="27" t="s">
        <v>7</v>
      </c>
      <c r="CJ937" s="27" t="s">
        <v>7</v>
      </c>
      <c r="CL937" s="27" t="s">
        <v>7</v>
      </c>
    </row>
  </sheetData>
  <conditionalFormatting sqref="C27">
    <cfRule type="cellIs" dxfId="90" priority="1112" operator="equal">
      <formula>$U$1</formula>
    </cfRule>
    <cfRule type="cellIs" dxfId="89" priority="1113" operator="equal">
      <formula>$S$1</formula>
    </cfRule>
  </conditionalFormatting>
  <conditionalFormatting sqref="D27">
    <cfRule type="cellIs" dxfId="88" priority="1110" operator="equal">
      <formula>$S$1</formula>
    </cfRule>
    <cfRule type="cellIs" dxfId="87" priority="1111" operator="equal">
      <formula>$U$1</formula>
    </cfRule>
  </conditionalFormatting>
  <conditionalFormatting sqref="C164">
    <cfRule type="cellIs" dxfId="86" priority="1108" operator="equal">
      <formula>$U$1</formula>
    </cfRule>
    <cfRule type="cellIs" dxfId="85" priority="1109" operator="equal">
      <formula>$S$1</formula>
    </cfRule>
  </conditionalFormatting>
  <conditionalFormatting sqref="D164">
    <cfRule type="cellIs" dxfId="84" priority="1106" operator="equal">
      <formula>$S$1</formula>
    </cfRule>
    <cfRule type="cellIs" dxfId="83" priority="1107" operator="equal">
      <formula>$U$1</formula>
    </cfRule>
  </conditionalFormatting>
  <conditionalFormatting sqref="C55">
    <cfRule type="cellIs" dxfId="82" priority="1104" operator="equal">
      <formula>$U$1</formula>
    </cfRule>
    <cfRule type="cellIs" dxfId="81" priority="1105" operator="equal">
      <formula>$S$1</formula>
    </cfRule>
  </conditionalFormatting>
  <conditionalFormatting sqref="D55">
    <cfRule type="cellIs" dxfId="80" priority="1102" operator="equal">
      <formula>$S$1</formula>
    </cfRule>
    <cfRule type="cellIs" dxfId="79" priority="1103" operator="equal">
      <formula>$U$1</formula>
    </cfRule>
  </conditionalFormatting>
  <conditionalFormatting sqref="C89">
    <cfRule type="cellIs" dxfId="78" priority="1100" operator="equal">
      <formula>$U$1</formula>
    </cfRule>
    <cfRule type="cellIs" dxfId="77" priority="1101" operator="equal">
      <formula>$S$1</formula>
    </cfRule>
  </conditionalFormatting>
  <conditionalFormatting sqref="D89">
    <cfRule type="cellIs" dxfId="76" priority="1098" operator="equal">
      <formula>$S$1</formula>
    </cfRule>
    <cfRule type="cellIs" dxfId="75" priority="1099" operator="equal">
      <formula>$U$1</formula>
    </cfRule>
  </conditionalFormatting>
  <conditionalFormatting sqref="C136">
    <cfRule type="cellIs" dxfId="74" priority="1096" operator="equal">
      <formula>$U$1</formula>
    </cfRule>
    <cfRule type="cellIs" dxfId="73" priority="1097" operator="equal">
      <formula>$S$1</formula>
    </cfRule>
  </conditionalFormatting>
  <conditionalFormatting sqref="D136">
    <cfRule type="cellIs" dxfId="72" priority="1094" operator="equal">
      <formula>$S$1</formula>
    </cfRule>
    <cfRule type="cellIs" dxfId="71" priority="1095" operator="equal">
      <formula>$U$1</formula>
    </cfRule>
  </conditionalFormatting>
  <conditionalFormatting sqref="C1">
    <cfRule type="cellIs" dxfId="70" priority="109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Y345" sqref="EY34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$A$344</v>
      </c>
      <c r="D111" s="1" t="str">
        <f>ADDRESS(C121-1,D121,1,1)</f>
        <v>$EY$344</v>
      </c>
      <c r="E111"/>
    </row>
    <row r="112" spans="1:5" x14ac:dyDescent="0.25">
      <c r="A112" s="30">
        <v>515.50191262726139</v>
      </c>
      <c r="C112" s="1" t="str">
        <f>ADDRESS(C121,1,1,1)</f>
        <v>$A$345</v>
      </c>
      <c r="D112" s="1" t="str">
        <f>ADDRESS(C121,D121-1,1,1)</f>
        <v>$EX$345</v>
      </c>
      <c r="E112"/>
    </row>
    <row r="113" spans="1:5" x14ac:dyDescent="0.25">
      <c r="A113" s="30">
        <v>490.95420250215363</v>
      </c>
      <c r="C113" s="1" t="str">
        <f>ADDRESS(C121+1,1,1,1)</f>
        <v>$A$346</v>
      </c>
      <c r="D113" s="1" t="str">
        <f>ADDRESS(C121-1,D121+1,1,1)</f>
        <v>$EZ$344</v>
      </c>
    </row>
    <row r="114" spans="1:5" x14ac:dyDescent="0.25">
      <c r="A114" s="30">
        <v>467.57543095443202</v>
      </c>
      <c r="C114" s="1" t="str">
        <f>ADDRESS(C121,D121,1,1)</f>
        <v>$EY$345</v>
      </c>
      <c r="D114" s="1" t="str">
        <f>ADDRESS(C121+1,D121+1,1,1)</f>
        <v>$EZ$346</v>
      </c>
    </row>
    <row r="115" spans="1:5" x14ac:dyDescent="0.25">
      <c r="A115" s="30">
        <v>445.30993424231622</v>
      </c>
      <c r="C115" s="1" t="str">
        <f>ADDRESS(C121+1,D121,1,1)</f>
        <v>$EY$346</v>
      </c>
    </row>
    <row r="116" spans="1:5" x14ac:dyDescent="0.25">
      <c r="A116" s="30">
        <v>424.10469927839637</v>
      </c>
      <c r="C116" s="1">
        <f>C117-1</f>
        <v>344</v>
      </c>
    </row>
    <row r="117" spans="1:5" x14ac:dyDescent="0.25">
      <c r="A117" s="30">
        <v>403.9092374079965</v>
      </c>
      <c r="C117" s="1">
        <f>C121</f>
        <v>345</v>
      </c>
      <c r="D117" s="1">
        <f>D121</f>
        <v>155</v>
      </c>
    </row>
    <row r="118" spans="1:5" x14ac:dyDescent="0.25">
      <c r="A118" s="30">
        <v>384.6754641980919</v>
      </c>
      <c r="C118" s="1">
        <f>C117+1</f>
        <v>346</v>
      </c>
      <c r="D118" s="1">
        <f>D117+1</f>
        <v>156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345</v>
      </c>
      <c r="D121" s="19">
        <v>155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R345</v>
      </c>
      <c r="D123" s="1" t="str">
        <f>"C"&amp;D121</f>
        <v>C155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5.9583168959813212E-3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84" x14ac:dyDescent="0.25">
      <c r="A305" s="30">
        <v>4.1946483690970725E-2</v>
      </c>
      <c r="B305"/>
      <c r="C305"/>
      <c r="D305"/>
      <c r="E305"/>
      <c r="F305" s="27" t="s">
        <v>7</v>
      </c>
      <c r="CA305" s="27" t="s">
        <v>8</v>
      </c>
    </row>
    <row r="306" spans="1:84" x14ac:dyDescent="0.25">
      <c r="A306" s="30">
        <v>3.9949032086638768E-2</v>
      </c>
      <c r="B306"/>
      <c r="C306"/>
      <c r="D306"/>
      <c r="E306"/>
      <c r="F306" s="27" t="s">
        <v>7</v>
      </c>
      <c r="CA306" s="27" t="s">
        <v>8</v>
      </c>
      <c r="CB306" s="27" t="s">
        <v>7</v>
      </c>
    </row>
    <row r="307" spans="1:84" x14ac:dyDescent="0.25">
      <c r="A307" s="30">
        <v>3.8046697225370241E-2</v>
      </c>
      <c r="B307"/>
      <c r="C307"/>
      <c r="D307"/>
      <c r="E307"/>
      <c r="F307" s="27" t="s">
        <v>7</v>
      </c>
      <c r="CA307" s="27" t="s">
        <v>8</v>
      </c>
      <c r="CB307" s="27" t="s">
        <v>7</v>
      </c>
    </row>
    <row r="308" spans="1:84" x14ac:dyDescent="0.25">
      <c r="A308" s="30">
        <v>3.6234949738447833E-2</v>
      </c>
      <c r="B308"/>
      <c r="C308"/>
      <c r="D308"/>
      <c r="E308"/>
      <c r="F308" s="27" t="s">
        <v>7</v>
      </c>
      <c r="CA308" s="27" t="s">
        <v>8</v>
      </c>
      <c r="CB308" s="27" t="s">
        <v>7</v>
      </c>
    </row>
    <row r="309" spans="1:84" x14ac:dyDescent="0.25">
      <c r="A309" s="30">
        <v>3.4509475941378875E-2</v>
      </c>
      <c r="B309"/>
      <c r="C309"/>
      <c r="D309"/>
      <c r="E309"/>
      <c r="F309" s="27" t="s">
        <v>7</v>
      </c>
      <c r="CA309" s="27" t="s">
        <v>8</v>
      </c>
      <c r="CB309" s="27" t="s">
        <v>7</v>
      </c>
    </row>
    <row r="310" spans="1:84" x14ac:dyDescent="0.25">
      <c r="A310" s="30">
        <v>3.286616756321796E-2</v>
      </c>
      <c r="B310"/>
      <c r="C310"/>
      <c r="D310"/>
      <c r="E310"/>
      <c r="F310" s="27" t="s">
        <v>7</v>
      </c>
      <c r="CA310" s="27" t="s">
        <v>8</v>
      </c>
      <c r="CB310" s="27" t="s">
        <v>7</v>
      </c>
    </row>
    <row r="311" spans="1:84" x14ac:dyDescent="0.25">
      <c r="A311" s="30">
        <v>3.1301111964969472E-2</v>
      </c>
      <c r="B311"/>
      <c r="C311"/>
      <c r="D311"/>
      <c r="E311"/>
      <c r="F311" s="27" t="s">
        <v>7</v>
      </c>
      <c r="CA311" s="27" t="s">
        <v>8</v>
      </c>
      <c r="CB311" s="27" t="s">
        <v>7</v>
      </c>
    </row>
    <row r="312" spans="1:84" x14ac:dyDescent="0.25">
      <c r="A312" s="30">
        <v>2.9810582823780438E-2</v>
      </c>
      <c r="B312"/>
      <c r="C312"/>
      <c r="D312"/>
      <c r="E312"/>
      <c r="F312" s="27" t="s">
        <v>7</v>
      </c>
      <c r="CA312" s="27" t="s">
        <v>8</v>
      </c>
      <c r="CB312" s="27" t="s">
        <v>7</v>
      </c>
    </row>
    <row r="313" spans="1:84" x14ac:dyDescent="0.25">
      <c r="A313" s="30">
        <v>2.8391031260743264E-2</v>
      </c>
      <c r="B313"/>
      <c r="C313"/>
      <c r="D313"/>
      <c r="E313"/>
      <c r="F313" s="27" t="s">
        <v>7</v>
      </c>
      <c r="CA313" s="27" t="s">
        <v>8</v>
      </c>
      <c r="CB313" s="27" t="s">
        <v>7</v>
      </c>
    </row>
    <row r="314" spans="1:84" x14ac:dyDescent="0.25">
      <c r="A314" s="30">
        <v>2.7039077391184052E-2</v>
      </c>
      <c r="B314"/>
      <c r="C314"/>
      <c r="D314"/>
      <c r="E314"/>
      <c r="F314" s="27" t="s">
        <v>7</v>
      </c>
      <c r="BW314" s="27" t="s">
        <v>8</v>
      </c>
      <c r="CA314" s="27" t="s">
        <v>8</v>
      </c>
      <c r="CB314" s="27" t="s">
        <v>7</v>
      </c>
    </row>
    <row r="315" spans="1:84" x14ac:dyDescent="0.25">
      <c r="A315" s="30">
        <v>2.5751502277318133E-2</v>
      </c>
      <c r="B315"/>
      <c r="C315"/>
      <c r="D315"/>
      <c r="E315"/>
      <c r="F315" s="27" t="s">
        <v>7</v>
      </c>
      <c r="BW315" s="27" t="s">
        <v>8</v>
      </c>
      <c r="BX315" s="27" t="s">
        <v>7</v>
      </c>
      <c r="CA315" s="27" t="s">
        <v>8</v>
      </c>
      <c r="CB315" s="27" t="s">
        <v>7</v>
      </c>
      <c r="CC315" s="27" t="s">
        <v>8</v>
      </c>
    </row>
    <row r="316" spans="1:84" x14ac:dyDescent="0.25">
      <c r="A316" s="30">
        <v>2.4525240264112496E-2</v>
      </c>
      <c r="B316"/>
      <c r="C316"/>
      <c r="D316"/>
      <c r="E316"/>
      <c r="F316" s="27" t="s">
        <v>7</v>
      </c>
      <c r="BW316" s="27" t="s">
        <v>8</v>
      </c>
      <c r="BX316" s="27" t="s">
        <v>7</v>
      </c>
      <c r="CA316" s="27" t="s">
        <v>8</v>
      </c>
      <c r="CB316" s="27" t="s">
        <v>7</v>
      </c>
      <c r="CC316" s="27" t="s">
        <v>8</v>
      </c>
      <c r="CD316" s="27" t="s">
        <v>7</v>
      </c>
    </row>
    <row r="317" spans="1:84" x14ac:dyDescent="0.25">
      <c r="A317" s="30">
        <v>2.3357371680107129E-2</v>
      </c>
      <c r="B317"/>
      <c r="C317"/>
      <c r="D317"/>
      <c r="E317"/>
      <c r="F317" s="27" t="s">
        <v>7</v>
      </c>
      <c r="BW317" s="27" t="s">
        <v>8</v>
      </c>
      <c r="BX317" s="27" t="s">
        <v>7</v>
      </c>
      <c r="CA317" s="27" t="s">
        <v>8</v>
      </c>
      <c r="CB317" s="27" t="s">
        <v>7</v>
      </c>
      <c r="CC317" s="27" t="s">
        <v>8</v>
      </c>
      <c r="CD317" s="27" t="s">
        <v>7</v>
      </c>
    </row>
    <row r="318" spans="1:84" x14ac:dyDescent="0.25">
      <c r="A318" s="30">
        <v>2.2245115885816305E-2</v>
      </c>
      <c r="B318"/>
      <c r="C318"/>
      <c r="D318"/>
      <c r="E318"/>
      <c r="F318" s="27" t="s">
        <v>7</v>
      </c>
      <c r="BW318" s="27" t="s">
        <v>8</v>
      </c>
      <c r="BX318" s="27" t="s">
        <v>7</v>
      </c>
      <c r="CA318" s="27" t="s">
        <v>8</v>
      </c>
      <c r="CB318" s="27" t="s">
        <v>7</v>
      </c>
      <c r="CC318" s="27" t="s">
        <v>8</v>
      </c>
      <c r="CD318" s="27" t="s">
        <v>7</v>
      </c>
      <c r="CE318" s="27" t="s">
        <v>8</v>
      </c>
    </row>
    <row r="319" spans="1:84" x14ac:dyDescent="0.25">
      <c r="A319" s="30">
        <v>2.1185824653158377E-2</v>
      </c>
      <c r="B319"/>
      <c r="C319"/>
      <c r="D319"/>
      <c r="E319"/>
      <c r="F319" s="27" t="s">
        <v>7</v>
      </c>
      <c r="BW319" s="27" t="s">
        <v>8</v>
      </c>
      <c r="BX319" s="27" t="s">
        <v>7</v>
      </c>
      <c r="BY319" s="27" t="s">
        <v>8</v>
      </c>
      <c r="CA319" s="27" t="s">
        <v>8</v>
      </c>
      <c r="CB319" s="27" t="s">
        <v>7</v>
      </c>
      <c r="CC319" s="27" t="s">
        <v>8</v>
      </c>
      <c r="CD319" s="27" t="s">
        <v>7</v>
      </c>
      <c r="CE319" s="27" t="s">
        <v>8</v>
      </c>
      <c r="CF319" s="27" t="s">
        <v>7</v>
      </c>
    </row>
    <row r="320" spans="1:84" x14ac:dyDescent="0.25">
      <c r="A320" s="30">
        <v>2.0176975860150829E-2</v>
      </c>
      <c r="B320"/>
      <c r="C320"/>
      <c r="D320"/>
      <c r="E320"/>
      <c r="F320" s="27" t="s">
        <v>7</v>
      </c>
      <c r="BW320" s="27" t="s">
        <v>8</v>
      </c>
      <c r="BX320" s="27" t="s">
        <v>7</v>
      </c>
      <c r="BY320" s="27" t="s">
        <v>8</v>
      </c>
      <c r="BZ320" s="27" t="s">
        <v>7</v>
      </c>
      <c r="CA320" s="27" t="s">
        <v>8</v>
      </c>
      <c r="CB320" s="27" t="s">
        <v>7</v>
      </c>
      <c r="CC320" s="27" t="s">
        <v>8</v>
      </c>
      <c r="CD320" s="27" t="s">
        <v>7</v>
      </c>
      <c r="CE320" s="27" t="s">
        <v>8</v>
      </c>
      <c r="CF320" s="27" t="s">
        <v>7</v>
      </c>
    </row>
    <row r="321" spans="1:150" x14ac:dyDescent="0.25">
      <c r="A321" s="30">
        <v>1.9216167485857926E-2</v>
      </c>
      <c r="B321"/>
      <c r="C321"/>
      <c r="D321"/>
      <c r="E321"/>
      <c r="F321" s="27" t="s">
        <v>7</v>
      </c>
      <c r="BW321" s="27" t="s">
        <v>8</v>
      </c>
      <c r="BX321" s="27" t="s">
        <v>7</v>
      </c>
      <c r="BY321" s="27" t="s">
        <v>8</v>
      </c>
      <c r="BZ321" s="27" t="s">
        <v>7</v>
      </c>
      <c r="CA321" s="27" t="s">
        <v>8</v>
      </c>
      <c r="CB321" s="27" t="s">
        <v>7</v>
      </c>
      <c r="CC321" s="27" t="s">
        <v>8</v>
      </c>
      <c r="CD321" s="27" t="s">
        <v>7</v>
      </c>
      <c r="CF321" s="27" t="s">
        <v>7</v>
      </c>
      <c r="CI321" s="27" t="s">
        <v>8</v>
      </c>
      <c r="CK321" s="27" t="s">
        <v>8</v>
      </c>
    </row>
    <row r="322" spans="1:150" x14ac:dyDescent="0.25">
      <c r="A322" s="30">
        <v>1.8301111891293256E-2</v>
      </c>
      <c r="B322"/>
      <c r="C322"/>
      <c r="D322"/>
      <c r="E322"/>
      <c r="F322" s="27" t="s">
        <v>7</v>
      </c>
      <c r="BW322" s="27" t="s">
        <v>8</v>
      </c>
      <c r="BX322" s="27" t="s">
        <v>7</v>
      </c>
      <c r="BY322" s="27" t="s">
        <v>8</v>
      </c>
      <c r="BZ322" s="27" t="s">
        <v>7</v>
      </c>
      <c r="CA322" s="27" t="s">
        <v>8</v>
      </c>
      <c r="CB322" s="27" t="s">
        <v>7</v>
      </c>
      <c r="CC322" s="27" t="s">
        <v>8</v>
      </c>
      <c r="CF322" s="27" t="s">
        <v>7</v>
      </c>
      <c r="CG322" s="27" t="s">
        <v>8</v>
      </c>
      <c r="CI322" s="27" t="s">
        <v>8</v>
      </c>
      <c r="CJ322" s="27" t="s">
        <v>7</v>
      </c>
      <c r="CK322" s="27" t="s">
        <v>8</v>
      </c>
      <c r="CL322" s="27" t="s">
        <v>7</v>
      </c>
    </row>
    <row r="323" spans="1:150" x14ac:dyDescent="0.25">
      <c r="A323" s="30">
        <v>1.7429630372660238E-2</v>
      </c>
      <c r="B323"/>
      <c r="C323"/>
      <c r="D323"/>
      <c r="E323"/>
      <c r="F323" s="27" t="s">
        <v>7</v>
      </c>
      <c r="BS323" s="27" t="s">
        <v>8</v>
      </c>
      <c r="BW323" s="27" t="s">
        <v>8</v>
      </c>
      <c r="BX323" s="27" t="s">
        <v>7</v>
      </c>
      <c r="BY323" s="27" t="s">
        <v>8</v>
      </c>
      <c r="BZ323" s="27" t="s">
        <v>7</v>
      </c>
      <c r="CA323" s="27" t="s">
        <v>8</v>
      </c>
      <c r="CB323" s="27" t="s">
        <v>7</v>
      </c>
      <c r="CF323" s="27" t="s">
        <v>7</v>
      </c>
      <c r="CG323" s="27" t="s">
        <v>8</v>
      </c>
      <c r="CH323" s="27" t="s">
        <v>7</v>
      </c>
      <c r="CI323" s="27" t="s">
        <v>8</v>
      </c>
      <c r="CJ323" s="27" t="s">
        <v>7</v>
      </c>
      <c r="CK323" s="27" t="s">
        <v>8</v>
      </c>
      <c r="CL323" s="27" t="s">
        <v>7</v>
      </c>
    </row>
    <row r="324" spans="1:150" x14ac:dyDescent="0.25">
      <c r="A324" s="30">
        <v>1.6599647973962125E-2</v>
      </c>
      <c r="B324"/>
      <c r="C324"/>
      <c r="D324"/>
      <c r="E324"/>
      <c r="F324" s="27" t="s">
        <v>7</v>
      </c>
      <c r="BS324" s="27" t="s">
        <v>8</v>
      </c>
      <c r="BT324" s="27" t="s">
        <v>7</v>
      </c>
      <c r="BW324" s="27" t="s">
        <v>8</v>
      </c>
      <c r="BX324" s="27" t="s">
        <v>7</v>
      </c>
      <c r="BZ324" s="27" t="s">
        <v>7</v>
      </c>
      <c r="CF324" s="27" t="s">
        <v>7</v>
      </c>
      <c r="CG324" s="27" t="s">
        <v>8</v>
      </c>
      <c r="CH324" s="27" t="s">
        <v>7</v>
      </c>
      <c r="CI324" s="27" t="s">
        <v>8</v>
      </c>
      <c r="CJ324" s="27" t="s">
        <v>7</v>
      </c>
      <c r="CK324" s="27" t="s">
        <v>8</v>
      </c>
      <c r="CL324" s="27" t="s">
        <v>7</v>
      </c>
      <c r="CM324" s="27" t="s">
        <v>8</v>
      </c>
      <c r="EI324" s="27" t="s">
        <v>8</v>
      </c>
    </row>
    <row r="325" spans="1:150" x14ac:dyDescent="0.25">
      <c r="A325" s="30">
        <v>1.580918854663059E-2</v>
      </c>
      <c r="B325"/>
      <c r="C325"/>
      <c r="D325"/>
      <c r="E325"/>
      <c r="F325" s="27" t="s">
        <v>7</v>
      </c>
      <c r="BS325" s="27" t="s">
        <v>8</v>
      </c>
      <c r="BT325" s="27" t="s">
        <v>7</v>
      </c>
      <c r="BW325" s="27" t="s">
        <v>8</v>
      </c>
      <c r="CF325" s="27" t="s">
        <v>7</v>
      </c>
      <c r="CH325" s="27" t="s">
        <v>7</v>
      </c>
      <c r="CI325" s="27" t="s">
        <v>8</v>
      </c>
      <c r="CJ325" s="27" t="s">
        <v>7</v>
      </c>
      <c r="CK325" s="27" t="s">
        <v>8</v>
      </c>
      <c r="CL325" s="27" t="s">
        <v>7</v>
      </c>
      <c r="CM325" s="27" t="s">
        <v>8</v>
      </c>
      <c r="CN325" s="27" t="s">
        <v>7</v>
      </c>
      <c r="CO325" s="27" t="s">
        <v>8</v>
      </c>
      <c r="EC325" s="27" t="s">
        <v>8</v>
      </c>
      <c r="EI325" s="27" t="s">
        <v>8</v>
      </c>
      <c r="EJ325" s="27" t="s">
        <v>7</v>
      </c>
    </row>
    <row r="326" spans="1:150" x14ac:dyDescent="0.25">
      <c r="A326" s="30">
        <v>1.5056370044410079E-2</v>
      </c>
      <c r="B326"/>
      <c r="C326"/>
      <c r="D326"/>
      <c r="E326"/>
      <c r="F326" s="27" t="s">
        <v>7</v>
      </c>
      <c r="BS326" s="27" t="s">
        <v>8</v>
      </c>
      <c r="BT326" s="27" t="s">
        <v>7</v>
      </c>
      <c r="BW326" s="27" t="s">
        <v>8</v>
      </c>
      <c r="CH326" s="27" t="s">
        <v>7</v>
      </c>
      <c r="CJ326" s="27" t="s">
        <v>7</v>
      </c>
      <c r="CK326" s="27" t="s">
        <v>8</v>
      </c>
      <c r="CL326" s="27" t="s">
        <v>7</v>
      </c>
      <c r="CM326" s="27" t="s">
        <v>8</v>
      </c>
      <c r="CN326" s="27" t="s">
        <v>7</v>
      </c>
      <c r="CO326" s="27" t="s">
        <v>8</v>
      </c>
      <c r="CP326" s="27" t="s">
        <v>7</v>
      </c>
      <c r="EC326" s="27" t="s">
        <v>8</v>
      </c>
      <c r="ED326" s="27" t="s">
        <v>7</v>
      </c>
      <c r="EI326" s="27" t="s">
        <v>8</v>
      </c>
      <c r="EJ326" s="27" t="s">
        <v>7</v>
      </c>
    </row>
    <row r="327" spans="1:150" x14ac:dyDescent="0.25">
      <c r="A327" s="30">
        <v>1.4339400042295308E-2</v>
      </c>
      <c r="B327"/>
      <c r="C327"/>
      <c r="D327"/>
      <c r="E327"/>
      <c r="F327" s="27" t="s">
        <v>7</v>
      </c>
      <c r="BS327" s="27" t="s">
        <v>8</v>
      </c>
      <c r="BT327" s="27" t="s">
        <v>7</v>
      </c>
      <c r="BU327" s="27" t="s">
        <v>8</v>
      </c>
      <c r="BW327" s="27" t="s">
        <v>8</v>
      </c>
      <c r="CJ327" s="27" t="s">
        <v>7</v>
      </c>
      <c r="CK327" s="27" t="s">
        <v>8</v>
      </c>
      <c r="CL327" s="27" t="s">
        <v>7</v>
      </c>
      <c r="CN327" s="27" t="s">
        <v>7</v>
      </c>
      <c r="CO327" s="27" t="s">
        <v>8</v>
      </c>
      <c r="CP327" s="27" t="s">
        <v>7</v>
      </c>
      <c r="EC327" s="27" t="s">
        <v>8</v>
      </c>
      <c r="ED327" s="27" t="s">
        <v>7</v>
      </c>
      <c r="EI327" s="27" t="s">
        <v>8</v>
      </c>
      <c r="EJ327" s="27" t="s">
        <v>7</v>
      </c>
      <c r="EK327" s="27" t="s">
        <v>8</v>
      </c>
      <c r="EM327" s="27" t="s">
        <v>8</v>
      </c>
    </row>
    <row r="328" spans="1:150" x14ac:dyDescent="0.25">
      <c r="A328" s="30">
        <v>1.365657146885267E-2</v>
      </c>
      <c r="B328"/>
      <c r="C328"/>
      <c r="D328"/>
      <c r="E328"/>
      <c r="F328" s="27" t="s">
        <v>7</v>
      </c>
      <c r="BS328" s="27" t="s">
        <v>8</v>
      </c>
      <c r="BT328" s="27" t="s">
        <v>7</v>
      </c>
      <c r="BU328" s="27" t="s">
        <v>8</v>
      </c>
      <c r="BV328" s="27" t="s">
        <v>7</v>
      </c>
      <c r="BW328" s="27" t="s">
        <v>8</v>
      </c>
      <c r="CJ328" s="27" t="s">
        <v>7</v>
      </c>
      <c r="CK328" s="27" t="s">
        <v>8</v>
      </c>
      <c r="CN328" s="27" t="s">
        <v>7</v>
      </c>
      <c r="CO328" s="27" t="s">
        <v>8</v>
      </c>
      <c r="CP328" s="27" t="s">
        <v>7</v>
      </c>
      <c r="DU328" s="27" t="s">
        <v>8</v>
      </c>
      <c r="EC328" s="27" t="s">
        <v>8</v>
      </c>
      <c r="ED328" s="27" t="s">
        <v>7</v>
      </c>
      <c r="EI328" s="27" t="s">
        <v>8</v>
      </c>
      <c r="EJ328" s="27" t="s">
        <v>7</v>
      </c>
      <c r="EK328" s="27" t="s">
        <v>8</v>
      </c>
      <c r="EL328" s="27" t="s">
        <v>7</v>
      </c>
      <c r="EM328" s="27" t="s">
        <v>8</v>
      </c>
      <c r="EN328" s="27" t="s">
        <v>7</v>
      </c>
    </row>
    <row r="329" spans="1:150" x14ac:dyDescent="0.25">
      <c r="A329" s="30">
        <v>1.3006258541764442E-2</v>
      </c>
      <c r="B329"/>
      <c r="C329"/>
      <c r="D329"/>
      <c r="E329"/>
      <c r="F329" s="27" t="s">
        <v>7</v>
      </c>
      <c r="BS329" s="27" t="s">
        <v>8</v>
      </c>
      <c r="BT329" s="27" t="s">
        <v>7</v>
      </c>
      <c r="BU329" s="27" t="s">
        <v>8</v>
      </c>
      <c r="BV329" s="27" t="s">
        <v>7</v>
      </c>
      <c r="BW329" s="27" t="s">
        <v>8</v>
      </c>
      <c r="CJ329" s="27" t="s">
        <v>7</v>
      </c>
      <c r="CK329" s="27" t="s">
        <v>8</v>
      </c>
      <c r="CN329" s="27" t="s">
        <v>7</v>
      </c>
      <c r="CP329" s="27" t="s">
        <v>7</v>
      </c>
      <c r="DU329" s="27" t="s">
        <v>8</v>
      </c>
      <c r="DV329" s="27" t="s">
        <v>7</v>
      </c>
      <c r="EC329" s="27" t="s">
        <v>8</v>
      </c>
      <c r="ED329" s="27" t="s">
        <v>7</v>
      </c>
      <c r="EI329" s="27" t="s">
        <v>8</v>
      </c>
      <c r="EJ329" s="27" t="s">
        <v>7</v>
      </c>
      <c r="EK329" s="27" t="s">
        <v>8</v>
      </c>
      <c r="EL329" s="27" t="s">
        <v>7</v>
      </c>
      <c r="EM329" s="27" t="s">
        <v>8</v>
      </c>
      <c r="EN329" s="27" t="s">
        <v>7</v>
      </c>
    </row>
    <row r="330" spans="1:150" x14ac:dyDescent="0.25">
      <c r="A330" s="30">
        <v>1.2386912896918512E-2</v>
      </c>
      <c r="B330"/>
      <c r="C330"/>
      <c r="D330"/>
      <c r="E330"/>
      <c r="F330" s="27" t="s">
        <v>7</v>
      </c>
      <c r="BS330" s="27" t="s">
        <v>8</v>
      </c>
      <c r="BT330" s="27" t="s">
        <v>7</v>
      </c>
      <c r="BU330" s="27" t="s">
        <v>8</v>
      </c>
      <c r="BV330" s="27" t="s">
        <v>7</v>
      </c>
      <c r="BW330" s="27" t="s">
        <v>8</v>
      </c>
      <c r="CJ330" s="27" t="s">
        <v>7</v>
      </c>
      <c r="CK330" s="27" t="s">
        <v>8</v>
      </c>
      <c r="CP330" s="27" t="s">
        <v>7</v>
      </c>
      <c r="CS330" s="27" t="s">
        <v>8</v>
      </c>
      <c r="DU330" s="27" t="s">
        <v>8</v>
      </c>
      <c r="DV330" s="27" t="s">
        <v>7</v>
      </c>
      <c r="EC330" s="27" t="s">
        <v>8</v>
      </c>
      <c r="ED330" s="27" t="s">
        <v>7</v>
      </c>
      <c r="EI330" s="27" t="s">
        <v>8</v>
      </c>
      <c r="EJ330" s="27" t="s">
        <v>7</v>
      </c>
      <c r="EK330" s="27" t="s">
        <v>8</v>
      </c>
      <c r="EL330" s="27" t="s">
        <v>7</v>
      </c>
      <c r="EM330" s="27" t="s">
        <v>8</v>
      </c>
      <c r="EN330" s="27" t="s">
        <v>7</v>
      </c>
    </row>
    <row r="331" spans="1:150" x14ac:dyDescent="0.25">
      <c r="A331" s="30">
        <v>1.179705990182715E-2</v>
      </c>
      <c r="B331"/>
      <c r="C331"/>
      <c r="D331"/>
      <c r="E331"/>
      <c r="F331" s="27" t="s">
        <v>7</v>
      </c>
      <c r="BS331" s="27" t="s">
        <v>8</v>
      </c>
      <c r="BT331" s="27" t="s">
        <v>7</v>
      </c>
      <c r="BU331" s="27" t="s">
        <v>8</v>
      </c>
      <c r="BV331" s="27" t="s">
        <v>7</v>
      </c>
      <c r="BW331" s="27" t="s">
        <v>8</v>
      </c>
      <c r="CJ331" s="27" t="s">
        <v>7</v>
      </c>
      <c r="CK331" s="27" t="s">
        <v>8</v>
      </c>
      <c r="CP331" s="27" t="s">
        <v>7</v>
      </c>
      <c r="CQ331" s="27" t="s">
        <v>8</v>
      </c>
      <c r="CS331" s="27" t="s">
        <v>8</v>
      </c>
      <c r="CT331" s="27" t="s">
        <v>7</v>
      </c>
      <c r="DU331" s="27" t="s">
        <v>8</v>
      </c>
      <c r="DV331" s="27" t="s">
        <v>7</v>
      </c>
      <c r="EC331" s="27" t="s">
        <v>8</v>
      </c>
      <c r="ED331" s="27" t="s">
        <v>7</v>
      </c>
      <c r="EI331" s="27" t="s">
        <v>8</v>
      </c>
      <c r="EJ331" s="27" t="s">
        <v>7</v>
      </c>
      <c r="EK331" s="27" t="s">
        <v>8</v>
      </c>
      <c r="EL331" s="27" t="s">
        <v>7</v>
      </c>
      <c r="EM331" s="27" t="s">
        <v>8</v>
      </c>
      <c r="EN331" s="27" t="s">
        <v>7</v>
      </c>
    </row>
    <row r="332" spans="1:150" x14ac:dyDescent="0.25">
      <c r="A332" s="30">
        <v>1.1235295144597281E-2</v>
      </c>
      <c r="B332"/>
      <c r="C332"/>
      <c r="D332"/>
      <c r="E332"/>
      <c r="F332" s="27" t="s">
        <v>7</v>
      </c>
      <c r="BS332" s="27" t="s">
        <v>8</v>
      </c>
      <c r="BT332" s="27" t="s">
        <v>7</v>
      </c>
      <c r="BU332" s="27" t="s">
        <v>8</v>
      </c>
      <c r="BV332" s="27" t="s">
        <v>7</v>
      </c>
      <c r="CJ332" s="27" t="s">
        <v>7</v>
      </c>
      <c r="CK332" s="27" t="s">
        <v>8</v>
      </c>
      <c r="CP332" s="27" t="s">
        <v>7</v>
      </c>
      <c r="CQ332" s="27" t="s">
        <v>8</v>
      </c>
      <c r="CR332" s="27" t="s">
        <v>7</v>
      </c>
      <c r="CS332" s="27" t="s">
        <v>8</v>
      </c>
      <c r="CT332" s="27" t="s">
        <v>7</v>
      </c>
      <c r="CW332" s="27" t="s">
        <v>8</v>
      </c>
      <c r="DS332" s="27" t="s">
        <v>8</v>
      </c>
      <c r="DU332" s="27" t="s">
        <v>8</v>
      </c>
      <c r="DV332" s="27" t="s">
        <v>7</v>
      </c>
      <c r="EA332" s="27" t="s">
        <v>8</v>
      </c>
      <c r="EC332" s="27" t="s">
        <v>8</v>
      </c>
      <c r="ED332" s="27" t="s">
        <v>7</v>
      </c>
      <c r="EE332" s="27" t="s">
        <v>8</v>
      </c>
      <c r="EG332" s="27" t="s">
        <v>8</v>
      </c>
      <c r="EI332" s="27" t="s">
        <v>8</v>
      </c>
      <c r="EJ332" s="27" t="s">
        <v>7</v>
      </c>
      <c r="EK332" s="27" t="s">
        <v>8</v>
      </c>
      <c r="EL332" s="27" t="s">
        <v>7</v>
      </c>
      <c r="EN332" s="27" t="s">
        <v>7</v>
      </c>
    </row>
    <row r="333" spans="1:150" x14ac:dyDescent="0.25">
      <c r="A333" s="30">
        <v>1.0700281090092644E-2</v>
      </c>
      <c r="B333"/>
      <c r="C333"/>
      <c r="D333"/>
      <c r="E333"/>
      <c r="F333" s="27" t="s">
        <v>7</v>
      </c>
      <c r="BS333" s="27" t="s">
        <v>8</v>
      </c>
      <c r="BT333" s="27" t="s">
        <v>7</v>
      </c>
      <c r="BU333" s="27" t="s">
        <v>8</v>
      </c>
      <c r="CJ333" s="27" t="s">
        <v>7</v>
      </c>
      <c r="CK333" s="27" t="s">
        <v>8</v>
      </c>
      <c r="CP333" s="27" t="s">
        <v>7</v>
      </c>
      <c r="CQ333" s="27" t="s">
        <v>8</v>
      </c>
      <c r="CR333" s="27" t="s">
        <v>7</v>
      </c>
      <c r="CS333" s="27" t="s">
        <v>8</v>
      </c>
      <c r="CT333" s="27" t="s">
        <v>7</v>
      </c>
      <c r="CW333" s="27" t="s">
        <v>8</v>
      </c>
      <c r="CX333" s="27" t="s">
        <v>7</v>
      </c>
      <c r="DO333" s="27" t="s">
        <v>8</v>
      </c>
      <c r="DQ333" s="27" t="s">
        <v>8</v>
      </c>
      <c r="DS333" s="27" t="s">
        <v>8</v>
      </c>
      <c r="DT333" s="27" t="s">
        <v>7</v>
      </c>
      <c r="DU333" s="27" t="s">
        <v>8</v>
      </c>
      <c r="DV333" s="27" t="s">
        <v>7</v>
      </c>
      <c r="DW333" s="27" t="s">
        <v>8</v>
      </c>
      <c r="EA333" s="27" t="s">
        <v>8</v>
      </c>
      <c r="EB333" s="27" t="s">
        <v>7</v>
      </c>
      <c r="EC333" s="27" t="s">
        <v>8</v>
      </c>
      <c r="ED333" s="27" t="s">
        <v>7</v>
      </c>
      <c r="EE333" s="27" t="s">
        <v>8</v>
      </c>
      <c r="EF333" s="27" t="s">
        <v>7</v>
      </c>
      <c r="EG333" s="27" t="s">
        <v>8</v>
      </c>
      <c r="EH333" s="27" t="s">
        <v>7</v>
      </c>
      <c r="EI333" s="27" t="s">
        <v>8</v>
      </c>
      <c r="EJ333" s="27" t="s">
        <v>7</v>
      </c>
      <c r="EK333" s="27" t="s">
        <v>8</v>
      </c>
      <c r="EN333" s="27" t="s">
        <v>7</v>
      </c>
      <c r="ES333" s="27" t="s">
        <v>8</v>
      </c>
    </row>
    <row r="334" spans="1:150" x14ac:dyDescent="0.25">
      <c r="A334" s="30">
        <v>1.0190743895326324E-2</v>
      </c>
      <c r="B334"/>
      <c r="C334"/>
      <c r="D334"/>
      <c r="E334"/>
      <c r="F334" s="27" t="s">
        <v>7</v>
      </c>
      <c r="BS334" s="27" t="s">
        <v>8</v>
      </c>
      <c r="BT334" s="27" t="s">
        <v>7</v>
      </c>
      <c r="CJ334" s="27" t="s">
        <v>7</v>
      </c>
      <c r="CK334" s="27" t="s">
        <v>8</v>
      </c>
      <c r="CP334" s="27" t="s">
        <v>7</v>
      </c>
      <c r="CR334" s="27" t="s">
        <v>7</v>
      </c>
      <c r="CS334" s="27" t="s">
        <v>8</v>
      </c>
      <c r="CT334" s="27" t="s">
        <v>7</v>
      </c>
      <c r="CU334" s="27" t="s">
        <v>8</v>
      </c>
      <c r="CW334" s="27" t="s">
        <v>8</v>
      </c>
      <c r="CX334" s="27" t="s">
        <v>7</v>
      </c>
      <c r="DO334" s="27" t="s">
        <v>8</v>
      </c>
      <c r="DP334" s="27" t="s">
        <v>7</v>
      </c>
      <c r="DQ334" s="27" t="s">
        <v>8</v>
      </c>
      <c r="DR334" s="27" t="s">
        <v>7</v>
      </c>
      <c r="DS334" s="27" t="s">
        <v>8</v>
      </c>
      <c r="DT334" s="27" t="s">
        <v>7</v>
      </c>
      <c r="DU334" s="27" t="s">
        <v>8</v>
      </c>
      <c r="DV334" s="27" t="s">
        <v>7</v>
      </c>
      <c r="DW334" s="27" t="s">
        <v>8</v>
      </c>
      <c r="DX334" s="27" t="s">
        <v>7</v>
      </c>
      <c r="EA334" s="27" t="s">
        <v>8</v>
      </c>
      <c r="EB334" s="27" t="s">
        <v>7</v>
      </c>
      <c r="EC334" s="27" t="s">
        <v>8</v>
      </c>
      <c r="ED334" s="27" t="s">
        <v>7</v>
      </c>
      <c r="EE334" s="27" t="s">
        <v>8</v>
      </c>
      <c r="EF334" s="27" t="s">
        <v>7</v>
      </c>
      <c r="EG334" s="27" t="s">
        <v>8</v>
      </c>
      <c r="EH334" s="27" t="s">
        <v>7</v>
      </c>
      <c r="EI334" s="27" t="s">
        <v>8</v>
      </c>
      <c r="EJ334" s="27" t="s">
        <v>7</v>
      </c>
      <c r="EK334" s="27" t="s">
        <v>8</v>
      </c>
      <c r="EN334" s="27" t="s">
        <v>7</v>
      </c>
      <c r="EO334" s="27" t="s">
        <v>8</v>
      </c>
      <c r="ES334" s="27" t="s">
        <v>8</v>
      </c>
      <c r="ET334" s="27" t="s">
        <v>7</v>
      </c>
    </row>
    <row r="335" spans="1:150" x14ac:dyDescent="0.25">
      <c r="A335" s="30">
        <v>9.7054703765012563E-3</v>
      </c>
      <c r="B335"/>
      <c r="C335"/>
      <c r="D335"/>
      <c r="E335"/>
      <c r="F335" s="27" t="s">
        <v>7</v>
      </c>
      <c r="BS335" s="27" t="s">
        <v>8</v>
      </c>
      <c r="CJ335" s="27" t="s">
        <v>7</v>
      </c>
      <c r="CR335" s="27" t="s">
        <v>7</v>
      </c>
      <c r="CS335" s="27" t="s">
        <v>8</v>
      </c>
      <c r="CT335" s="27" t="s">
        <v>7</v>
      </c>
      <c r="CU335" s="27" t="s">
        <v>8</v>
      </c>
      <c r="CV335" s="27" t="s">
        <v>7</v>
      </c>
      <c r="CW335" s="27" t="s">
        <v>8</v>
      </c>
      <c r="CX335" s="27" t="s">
        <v>7</v>
      </c>
      <c r="DO335" s="27" t="s">
        <v>8</v>
      </c>
      <c r="DP335" s="27" t="s">
        <v>7</v>
      </c>
      <c r="DQ335" s="27" t="s">
        <v>8</v>
      </c>
      <c r="DR335" s="27" t="s">
        <v>7</v>
      </c>
      <c r="DS335" s="27" t="s">
        <v>8</v>
      </c>
      <c r="DT335" s="27" t="s">
        <v>7</v>
      </c>
      <c r="DU335" s="27" t="s">
        <v>8</v>
      </c>
      <c r="DV335" s="27" t="s">
        <v>7</v>
      </c>
      <c r="DW335" s="27" t="s">
        <v>8</v>
      </c>
      <c r="DX335" s="27" t="s">
        <v>7</v>
      </c>
      <c r="EA335" s="27" t="s">
        <v>8</v>
      </c>
      <c r="EB335" s="27" t="s">
        <v>7</v>
      </c>
      <c r="ED335" s="27" t="s">
        <v>7</v>
      </c>
      <c r="EF335" s="27" t="s">
        <v>7</v>
      </c>
      <c r="EG335" s="27" t="s">
        <v>8</v>
      </c>
      <c r="EH335" s="27" t="s">
        <v>7</v>
      </c>
      <c r="EJ335" s="27" t="s">
        <v>7</v>
      </c>
      <c r="EN335" s="27" t="s">
        <v>7</v>
      </c>
      <c r="EO335" s="27" t="s">
        <v>8</v>
      </c>
      <c r="EP335" s="27" t="s">
        <v>7</v>
      </c>
      <c r="EQ335" s="27" t="s">
        <v>8</v>
      </c>
      <c r="ES335" s="27" t="s">
        <v>8</v>
      </c>
      <c r="ET335" s="27" t="s">
        <v>7</v>
      </c>
    </row>
    <row r="336" spans="1:150" x14ac:dyDescent="0.25">
      <c r="A336" s="30">
        <v>9.2433051204773835E-3</v>
      </c>
      <c r="B336"/>
      <c r="C336"/>
      <c r="D336"/>
      <c r="E336"/>
      <c r="F336" s="27" t="s">
        <v>7</v>
      </c>
      <c r="BS336" s="27" t="s">
        <v>8</v>
      </c>
      <c r="CR336" s="27" t="s">
        <v>7</v>
      </c>
      <c r="CS336" s="27" t="s">
        <v>8</v>
      </c>
      <c r="CT336" s="27" t="s">
        <v>7</v>
      </c>
      <c r="CU336" s="27" t="s">
        <v>8</v>
      </c>
      <c r="CV336" s="27" t="s">
        <v>7</v>
      </c>
      <c r="CW336" s="27" t="s">
        <v>8</v>
      </c>
      <c r="CX336" s="27" t="s">
        <v>7</v>
      </c>
      <c r="CY336" s="27" t="s">
        <v>8</v>
      </c>
      <c r="DO336" s="27" t="s">
        <v>8</v>
      </c>
      <c r="DP336" s="27" t="s">
        <v>7</v>
      </c>
      <c r="DQ336" s="27" t="s">
        <v>8</v>
      </c>
      <c r="DR336" s="27" t="s">
        <v>7</v>
      </c>
      <c r="DT336" s="27" t="s">
        <v>7</v>
      </c>
      <c r="DV336" s="27" t="s">
        <v>7</v>
      </c>
      <c r="DW336" s="27" t="s">
        <v>8</v>
      </c>
      <c r="DX336" s="27" t="s">
        <v>7</v>
      </c>
      <c r="EA336" s="27" t="s">
        <v>8</v>
      </c>
      <c r="EF336" s="27" t="s">
        <v>7</v>
      </c>
      <c r="EG336" s="27" t="s">
        <v>8</v>
      </c>
      <c r="EN336" s="27" t="s">
        <v>7</v>
      </c>
      <c r="EO336" s="27" t="s">
        <v>8</v>
      </c>
      <c r="EP336" s="27" t="s">
        <v>7</v>
      </c>
      <c r="EQ336" s="27" t="s">
        <v>8</v>
      </c>
      <c r="ER336" s="27" t="s">
        <v>7</v>
      </c>
      <c r="ES336" s="27" t="s">
        <v>8</v>
      </c>
      <c r="ET336" s="27" t="s">
        <v>7</v>
      </c>
    </row>
    <row r="337" spans="1:155" x14ac:dyDescent="0.25">
      <c r="A337" s="30">
        <v>8.8031477337879808E-3</v>
      </c>
      <c r="B337"/>
      <c r="C337"/>
      <c r="D337"/>
      <c r="E337"/>
      <c r="F337" s="27" t="s">
        <v>7</v>
      </c>
      <c r="BS337" s="27" t="s">
        <v>8</v>
      </c>
      <c r="CR337" s="27" t="s">
        <v>7</v>
      </c>
      <c r="CS337" s="27" t="s">
        <v>8</v>
      </c>
      <c r="CT337" s="27" t="s">
        <v>7</v>
      </c>
      <c r="CU337" s="27" t="s">
        <v>8</v>
      </c>
      <c r="CV337" s="27" t="s">
        <v>7</v>
      </c>
      <c r="CW337" s="27" t="s">
        <v>8</v>
      </c>
      <c r="CX337" s="27" t="s">
        <v>7</v>
      </c>
      <c r="CY337" s="27" t="s">
        <v>8</v>
      </c>
      <c r="CZ337" s="27" t="s">
        <v>7</v>
      </c>
      <c r="DM337" s="27" t="s">
        <v>8</v>
      </c>
      <c r="DO337" s="27" t="s">
        <v>8</v>
      </c>
      <c r="DP337" s="27" t="s">
        <v>7</v>
      </c>
      <c r="DV337" s="27" t="s">
        <v>7</v>
      </c>
      <c r="DW337" s="27" t="s">
        <v>8</v>
      </c>
      <c r="DX337" s="27" t="s">
        <v>7</v>
      </c>
      <c r="EA337" s="27" t="s">
        <v>8</v>
      </c>
      <c r="EF337" s="27" t="s">
        <v>7</v>
      </c>
      <c r="EN337" s="27" t="s">
        <v>7</v>
      </c>
      <c r="EO337" s="27" t="s">
        <v>8</v>
      </c>
      <c r="EP337" s="27" t="s">
        <v>7</v>
      </c>
      <c r="EQ337" s="27" t="s">
        <v>8</v>
      </c>
      <c r="ER337" s="27" t="s">
        <v>7</v>
      </c>
      <c r="ES337" s="27" t="s">
        <v>8</v>
      </c>
      <c r="ET337" s="27" t="s">
        <v>7</v>
      </c>
    </row>
    <row r="338" spans="1:155" x14ac:dyDescent="0.25">
      <c r="A338" s="30">
        <v>8.3839502226552166E-3</v>
      </c>
      <c r="B338"/>
      <c r="C338"/>
      <c r="D338"/>
      <c r="E338"/>
      <c r="F338" s="27" t="s">
        <v>7</v>
      </c>
      <c r="BS338" s="27" t="s">
        <v>8</v>
      </c>
      <c r="CR338" s="27" t="s">
        <v>7</v>
      </c>
      <c r="CS338" s="27" t="s">
        <v>8</v>
      </c>
      <c r="CT338" s="27" t="s">
        <v>7</v>
      </c>
      <c r="CU338" s="27" t="s">
        <v>8</v>
      </c>
      <c r="CV338" s="27" t="s">
        <v>7</v>
      </c>
      <c r="CX338" s="27" t="s">
        <v>7</v>
      </c>
      <c r="CY338" s="27" t="s">
        <v>8</v>
      </c>
      <c r="CZ338" s="27" t="s">
        <v>7</v>
      </c>
      <c r="DA338" s="27" t="s">
        <v>8</v>
      </c>
      <c r="DI338" s="27" t="s">
        <v>8</v>
      </c>
      <c r="DM338" s="27" t="s">
        <v>8</v>
      </c>
      <c r="DN338" s="27" t="s">
        <v>7</v>
      </c>
      <c r="DO338" s="27" t="s">
        <v>8</v>
      </c>
      <c r="DV338" s="27" t="s">
        <v>7</v>
      </c>
      <c r="DX338" s="27" t="s">
        <v>7</v>
      </c>
      <c r="DY338" s="27" t="s">
        <v>8</v>
      </c>
      <c r="EA338" s="27" t="s">
        <v>8</v>
      </c>
      <c r="EN338" s="27" t="s">
        <v>7</v>
      </c>
      <c r="EP338" s="27" t="s">
        <v>7</v>
      </c>
      <c r="ER338" s="27" t="s">
        <v>7</v>
      </c>
      <c r="ES338" s="27" t="s">
        <v>8</v>
      </c>
      <c r="ET338" s="27" t="s">
        <v>7</v>
      </c>
    </row>
    <row r="339" spans="1:155" x14ac:dyDescent="0.25">
      <c r="A339" s="30">
        <v>7.9847144977668698E-3</v>
      </c>
      <c r="B339"/>
      <c r="C339"/>
      <c r="D339"/>
      <c r="E339"/>
      <c r="F339" s="27" t="s">
        <v>7</v>
      </c>
      <c r="BS339" s="27" t="s">
        <v>8</v>
      </c>
      <c r="CR339" s="27" t="s">
        <v>7</v>
      </c>
      <c r="CS339" s="27" t="s">
        <v>8</v>
      </c>
      <c r="CT339" s="27" t="s">
        <v>7</v>
      </c>
      <c r="CU339" s="27" t="s">
        <v>8</v>
      </c>
      <c r="CX339" s="27" t="s">
        <v>7</v>
      </c>
      <c r="CY339" s="27" t="s">
        <v>8</v>
      </c>
      <c r="CZ339" s="27" t="s">
        <v>7</v>
      </c>
      <c r="DA339" s="27" t="s">
        <v>8</v>
      </c>
      <c r="DB339" s="27" t="s">
        <v>7</v>
      </c>
      <c r="DI339" s="27" t="s">
        <v>8</v>
      </c>
      <c r="DJ339" s="27" t="s">
        <v>7</v>
      </c>
      <c r="DM339" s="27" t="s">
        <v>8</v>
      </c>
      <c r="DN339" s="27" t="s">
        <v>7</v>
      </c>
      <c r="DO339" s="27" t="s">
        <v>8</v>
      </c>
      <c r="DX339" s="27" t="s">
        <v>7</v>
      </c>
      <c r="DY339" s="27" t="s">
        <v>8</v>
      </c>
      <c r="DZ339" s="27" t="s">
        <v>7</v>
      </c>
      <c r="EA339" s="27" t="s">
        <v>8</v>
      </c>
      <c r="ER339" s="27" t="s">
        <v>7</v>
      </c>
      <c r="ET339" s="27" t="s">
        <v>7</v>
      </c>
      <c r="EU339" s="27" t="s">
        <v>8</v>
      </c>
    </row>
    <row r="340" spans="1:155" x14ac:dyDescent="0.25">
      <c r="A340" s="30">
        <v>7.6044899978732058E-3</v>
      </c>
      <c r="B340"/>
      <c r="C340"/>
      <c r="D340"/>
      <c r="E340"/>
      <c r="F340" s="27" t="s">
        <v>7</v>
      </c>
      <c r="BS340" s="27" t="s">
        <v>8</v>
      </c>
      <c r="CR340" s="27" t="s">
        <v>7</v>
      </c>
      <c r="CS340" s="27" t="s">
        <v>8</v>
      </c>
      <c r="CT340" s="27" t="s">
        <v>7</v>
      </c>
      <c r="CX340" s="27" t="s">
        <v>7</v>
      </c>
      <c r="CZ340" s="27" t="s">
        <v>7</v>
      </c>
      <c r="DA340" s="27" t="s">
        <v>8</v>
      </c>
      <c r="DB340" s="27" t="s">
        <v>7</v>
      </c>
      <c r="DG340" s="27" t="s">
        <v>8</v>
      </c>
      <c r="DI340" s="27" t="s">
        <v>8</v>
      </c>
      <c r="DJ340" s="27" t="s">
        <v>7</v>
      </c>
      <c r="DK340" s="27" t="s">
        <v>8</v>
      </c>
      <c r="DM340" s="27" t="s">
        <v>8</v>
      </c>
      <c r="DN340" s="27" t="s">
        <v>7</v>
      </c>
      <c r="DX340" s="27" t="s">
        <v>7</v>
      </c>
      <c r="DY340" s="27" t="s">
        <v>8</v>
      </c>
      <c r="DZ340" s="27" t="s">
        <v>7</v>
      </c>
      <c r="EA340" s="27" t="s">
        <v>8</v>
      </c>
      <c r="ET340" s="27" t="s">
        <v>7</v>
      </c>
      <c r="EU340" s="27" t="s">
        <v>8</v>
      </c>
      <c r="EV340" s="27" t="s">
        <v>7</v>
      </c>
    </row>
    <row r="341" spans="1:155" x14ac:dyDescent="0.25">
      <c r="A341" s="30">
        <v>7.2423714265459072E-3</v>
      </c>
      <c r="B341"/>
      <c r="C341"/>
      <c r="D341"/>
      <c r="E341"/>
      <c r="F341" s="27" t="s">
        <v>7</v>
      </c>
      <c r="BS341" s="27" t="s">
        <v>8</v>
      </c>
      <c r="CR341" s="27" t="s">
        <v>7</v>
      </c>
      <c r="CS341" s="27" t="s">
        <v>8</v>
      </c>
      <c r="CZ341" s="27" t="s">
        <v>7</v>
      </c>
      <c r="DA341" s="27" t="s">
        <v>8</v>
      </c>
      <c r="DB341" s="27" t="s">
        <v>7</v>
      </c>
      <c r="DG341" s="27" t="s">
        <v>8</v>
      </c>
      <c r="DH341" s="27" t="s">
        <v>7</v>
      </c>
      <c r="DI341" s="27" t="s">
        <v>8</v>
      </c>
      <c r="DJ341" s="27" t="s">
        <v>7</v>
      </c>
      <c r="DK341" s="27" t="s">
        <v>8</v>
      </c>
      <c r="DL341" s="27" t="s">
        <v>7</v>
      </c>
      <c r="DM341" s="27" t="s">
        <v>8</v>
      </c>
      <c r="DX341" s="27" t="s">
        <v>7</v>
      </c>
      <c r="DZ341" s="27" t="s">
        <v>7</v>
      </c>
      <c r="EA341" s="27" t="s">
        <v>8</v>
      </c>
      <c r="ET341" s="27" t="s">
        <v>7</v>
      </c>
      <c r="EU341" s="27" t="s">
        <v>8</v>
      </c>
      <c r="EV341" s="27" t="s">
        <v>7</v>
      </c>
    </row>
    <row r="342" spans="1:155" x14ac:dyDescent="0.25">
      <c r="A342" s="30">
        <v>6.8974965967103846E-3</v>
      </c>
      <c r="B342"/>
      <c r="C342"/>
      <c r="D342"/>
      <c r="E342"/>
      <c r="F342" s="27" t="s">
        <v>7</v>
      </c>
      <c r="BS342" s="27" t="s">
        <v>8</v>
      </c>
      <c r="CR342" s="27" t="s">
        <v>7</v>
      </c>
      <c r="CS342" s="27" t="s">
        <v>8</v>
      </c>
      <c r="CZ342" s="27" t="s">
        <v>7</v>
      </c>
      <c r="DA342" s="27" t="s">
        <v>8</v>
      </c>
      <c r="DB342" s="27" t="s">
        <v>7</v>
      </c>
      <c r="DE342" s="27" t="s">
        <v>8</v>
      </c>
      <c r="DG342" s="27" t="s">
        <v>8</v>
      </c>
      <c r="DH342" s="27" t="s">
        <v>7</v>
      </c>
      <c r="DI342" s="27" t="s">
        <v>8</v>
      </c>
      <c r="DJ342" s="27" t="s">
        <v>7</v>
      </c>
      <c r="DK342" s="27" t="s">
        <v>8</v>
      </c>
      <c r="DL342" s="27" t="s">
        <v>7</v>
      </c>
      <c r="DM342" s="27" t="s">
        <v>8</v>
      </c>
      <c r="DZ342" s="27" t="s">
        <v>7</v>
      </c>
      <c r="ET342" s="27" t="s">
        <v>7</v>
      </c>
      <c r="EU342" s="27" t="s">
        <v>8</v>
      </c>
      <c r="EV342" s="27" t="s">
        <v>7</v>
      </c>
    </row>
    <row r="343" spans="1:155" x14ac:dyDescent="0.25">
      <c r="A343" s="30">
        <v>6.5690443778194116E-3</v>
      </c>
      <c r="B343"/>
      <c r="C343"/>
      <c r="D343"/>
      <c r="E343"/>
      <c r="F343" s="27" t="s">
        <v>7</v>
      </c>
      <c r="BS343" s="27" t="s">
        <v>8</v>
      </c>
      <c r="CR343" s="27" t="s">
        <v>7</v>
      </c>
      <c r="CS343" s="27" t="s">
        <v>8</v>
      </c>
      <c r="CZ343" s="27" t="s">
        <v>7</v>
      </c>
      <c r="DA343" s="27" t="s">
        <v>8</v>
      </c>
      <c r="DB343" s="27" t="s">
        <v>7</v>
      </c>
      <c r="DE343" s="27" t="s">
        <v>8</v>
      </c>
      <c r="DF343" s="27" t="s">
        <v>7</v>
      </c>
      <c r="DG343" s="27" t="s">
        <v>8</v>
      </c>
      <c r="DH343" s="27" t="s">
        <v>7</v>
      </c>
      <c r="DI343" s="27" t="s">
        <v>8</v>
      </c>
      <c r="DJ343" s="27" t="s">
        <v>7</v>
      </c>
      <c r="DL343" s="27" t="s">
        <v>7</v>
      </c>
      <c r="DM343" s="27" t="s">
        <v>8</v>
      </c>
      <c r="ET343" s="27" t="s">
        <v>7</v>
      </c>
      <c r="EV343" s="27" t="s">
        <v>7</v>
      </c>
    </row>
    <row r="344" spans="1:155" x14ac:dyDescent="0.25">
      <c r="A344" s="30">
        <v>6.2562327407803897E-3</v>
      </c>
      <c r="B344"/>
      <c r="C344"/>
      <c r="D344"/>
      <c r="E344"/>
      <c r="F344" s="27" t="s">
        <v>7</v>
      </c>
      <c r="BQ344" s="27" t="s">
        <v>8</v>
      </c>
      <c r="BS344" s="27" t="s">
        <v>8</v>
      </c>
      <c r="CR344" s="27" t="s">
        <v>7</v>
      </c>
      <c r="CZ344" s="27" t="s">
        <v>7</v>
      </c>
      <c r="DB344" s="27" t="s">
        <v>7</v>
      </c>
      <c r="DE344" s="27" t="s">
        <v>8</v>
      </c>
      <c r="DF344" s="27" t="s">
        <v>7</v>
      </c>
      <c r="DG344" s="27" t="s">
        <v>8</v>
      </c>
      <c r="DH344" s="27" t="s">
        <v>7</v>
      </c>
      <c r="DL344" s="27" t="s">
        <v>7</v>
      </c>
      <c r="DM344" s="27" t="s">
        <v>8</v>
      </c>
      <c r="EV344" s="27" t="s">
        <v>7</v>
      </c>
    </row>
    <row r="345" spans="1:155" x14ac:dyDescent="0.25">
      <c r="A345" s="30">
        <v>5.9583168959813212E-3</v>
      </c>
      <c r="B345"/>
      <c r="C345"/>
      <c r="D345"/>
      <c r="E345"/>
      <c r="F345" s="27" t="s">
        <v>7</v>
      </c>
      <c r="BQ345" s="27" t="s">
        <v>8</v>
      </c>
      <c r="BR345" s="27" t="s">
        <v>7</v>
      </c>
      <c r="BS345" s="27" t="s">
        <v>8</v>
      </c>
      <c r="DB345" s="27" t="s">
        <v>7</v>
      </c>
      <c r="DE345" s="27" t="s">
        <v>8</v>
      </c>
      <c r="DF345" s="27" t="s">
        <v>7</v>
      </c>
      <c r="DG345" s="27" t="s">
        <v>8</v>
      </c>
      <c r="DL345" s="18" t="s">
        <v>7</v>
      </c>
      <c r="DM345" s="27" t="s">
        <v>8</v>
      </c>
      <c r="EV345" s="27" t="s">
        <v>7</v>
      </c>
      <c r="EY345" s="27" t="s">
        <v>8</v>
      </c>
    </row>
    <row r="346" spans="1:155" x14ac:dyDescent="0.25">
      <c r="A346" s="30">
        <v>5.6745875199822084E-3</v>
      </c>
      <c r="B346"/>
      <c r="C346"/>
      <c r="D346"/>
      <c r="E346"/>
      <c r="F346" s="27" t="s">
        <v>7</v>
      </c>
      <c r="BQ346" s="27" t="s">
        <v>8</v>
      </c>
      <c r="BR346" s="27" t="s">
        <v>7</v>
      </c>
      <c r="BS346" s="27" t="s">
        <v>8</v>
      </c>
      <c r="DB346" s="27" t="s">
        <v>7</v>
      </c>
      <c r="DE346" s="27" t="s">
        <v>8</v>
      </c>
      <c r="DF346" s="27" t="s">
        <v>7</v>
      </c>
      <c r="DG346" s="27" t="s">
        <v>8</v>
      </c>
      <c r="DL346" s="27" t="s">
        <v>7</v>
      </c>
      <c r="DM346" s="27" t="s">
        <v>8</v>
      </c>
      <c r="EV346" s="27" t="s">
        <v>7</v>
      </c>
      <c r="EY346" s="27" t="s">
        <v>8</v>
      </c>
    </row>
    <row r="347" spans="1:155" x14ac:dyDescent="0.25">
      <c r="A347" s="30">
        <v>5.4043690666497205E-3</v>
      </c>
      <c r="B347"/>
      <c r="C347"/>
      <c r="D347"/>
      <c r="E347"/>
      <c r="F347" s="27" t="s">
        <v>7</v>
      </c>
      <c r="BQ347" s="27" t="s">
        <v>8</v>
      </c>
      <c r="BR347" s="27" t="s">
        <v>7</v>
      </c>
      <c r="BS347" s="27" t="s">
        <v>8</v>
      </c>
      <c r="DB347" s="27" t="s">
        <v>7</v>
      </c>
      <c r="DE347" s="27" t="s">
        <v>8</v>
      </c>
      <c r="DF347" s="27" t="s">
        <v>7</v>
      </c>
      <c r="DL347" s="27" t="s">
        <v>7</v>
      </c>
      <c r="EV347" s="27" t="s">
        <v>7</v>
      </c>
      <c r="EW347" s="27" t="s">
        <v>8</v>
      </c>
      <c r="EY347" s="27" t="s">
        <v>8</v>
      </c>
    </row>
    <row r="348" spans="1:155" x14ac:dyDescent="0.25">
      <c r="A348" s="30">
        <v>5.1470181587140174E-3</v>
      </c>
      <c r="B348"/>
      <c r="C348"/>
      <c r="D348"/>
      <c r="E348"/>
      <c r="F348" s="27" t="s">
        <v>7</v>
      </c>
      <c r="BQ348" s="27" t="s">
        <v>8</v>
      </c>
      <c r="BR348" s="27" t="s">
        <v>7</v>
      </c>
      <c r="BS348" s="27" t="s">
        <v>8</v>
      </c>
      <c r="DB348" s="27" t="s">
        <v>7</v>
      </c>
      <c r="DE348" s="27" t="s">
        <v>8</v>
      </c>
      <c r="EV348" s="27" t="s">
        <v>7</v>
      </c>
      <c r="EW348" s="27" t="s">
        <v>8</v>
      </c>
      <c r="EX348" s="27" t="s">
        <v>7</v>
      </c>
      <c r="EY348" s="27" t="s">
        <v>8</v>
      </c>
    </row>
    <row r="349" spans="1:155" x14ac:dyDescent="0.25">
      <c r="A349" s="30">
        <v>4.9019220559181099E-3</v>
      </c>
      <c r="B349"/>
      <c r="C349"/>
      <c r="D349"/>
      <c r="E349"/>
      <c r="F349" s="27" t="s">
        <v>7</v>
      </c>
      <c r="BQ349" s="27" t="s">
        <v>8</v>
      </c>
      <c r="BR349" s="27" t="s">
        <v>7</v>
      </c>
      <c r="BS349" s="27" t="s">
        <v>8</v>
      </c>
      <c r="DB349" s="27" t="s">
        <v>7</v>
      </c>
      <c r="DE349" s="27" t="s">
        <v>8</v>
      </c>
      <c r="EV349" s="27" t="s">
        <v>7</v>
      </c>
      <c r="EW349" s="27" t="s">
        <v>8</v>
      </c>
      <c r="EX349" s="27" t="s">
        <v>7</v>
      </c>
      <c r="EY349" s="27" t="s">
        <v>8</v>
      </c>
    </row>
    <row r="350" spans="1:155" x14ac:dyDescent="0.25">
      <c r="A350" s="30">
        <v>4.6684971961124836E-3</v>
      </c>
      <c r="B350"/>
      <c r="C350"/>
      <c r="D350"/>
      <c r="E350"/>
      <c r="F350" s="27" t="s">
        <v>7</v>
      </c>
      <c r="BK350" s="27" t="s">
        <v>8</v>
      </c>
      <c r="BQ350" s="27" t="s">
        <v>8</v>
      </c>
      <c r="BR350" s="27" t="s">
        <v>7</v>
      </c>
      <c r="DB350" s="27" t="s">
        <v>7</v>
      </c>
      <c r="DC350" s="27" t="s">
        <v>8</v>
      </c>
      <c r="DE350" s="27" t="s">
        <v>8</v>
      </c>
      <c r="EV350" s="27" t="s">
        <v>7</v>
      </c>
      <c r="EX350" s="27" t="s">
        <v>7</v>
      </c>
    </row>
    <row r="351" spans="1:155" x14ac:dyDescent="0.25">
      <c r="A351" s="30">
        <v>4.4461878058214112E-3</v>
      </c>
      <c r="B351"/>
      <c r="C351"/>
      <c r="D351"/>
      <c r="E351"/>
      <c r="F351" s="27" t="s">
        <v>7</v>
      </c>
      <c r="BI351" s="27" t="s">
        <v>8</v>
      </c>
      <c r="BK351" s="27" t="s">
        <v>8</v>
      </c>
      <c r="BL351" s="27" t="s">
        <v>7</v>
      </c>
      <c r="BQ351" s="27" t="s">
        <v>8</v>
      </c>
      <c r="DB351" s="27" t="s">
        <v>7</v>
      </c>
      <c r="DC351" s="27" t="s">
        <v>8</v>
      </c>
      <c r="DD351" s="27" t="s">
        <v>7</v>
      </c>
      <c r="DE351" s="27" t="s">
        <v>8</v>
      </c>
    </row>
    <row r="352" spans="1:155" x14ac:dyDescent="0.25">
      <c r="A352" s="30">
        <v>4.2344645769727711E-3</v>
      </c>
      <c r="B352"/>
      <c r="C352"/>
      <c r="D352"/>
      <c r="E352"/>
      <c r="F352" s="27" t="s">
        <v>7</v>
      </c>
      <c r="BI352" s="27" t="s">
        <v>8</v>
      </c>
      <c r="BJ352" s="27" t="s">
        <v>7</v>
      </c>
      <c r="BK352" s="27" t="s">
        <v>8</v>
      </c>
      <c r="BL352" s="27" t="s">
        <v>7</v>
      </c>
      <c r="BQ352" s="27" t="s">
        <v>8</v>
      </c>
      <c r="DB352" s="27" t="s">
        <v>7</v>
      </c>
      <c r="DC352" s="27" t="s">
        <v>8</v>
      </c>
      <c r="DD352" s="27" t="s">
        <v>7</v>
      </c>
      <c r="DE352" s="27" t="s">
        <v>8</v>
      </c>
    </row>
    <row r="353" spans="1:108" x14ac:dyDescent="0.25">
      <c r="A353" s="30">
        <v>4.0328234066407329E-3</v>
      </c>
      <c r="B353"/>
      <c r="C353"/>
      <c r="D353"/>
      <c r="E353"/>
      <c r="F353" s="27" t="s">
        <v>7</v>
      </c>
      <c r="BI353" s="27" t="s">
        <v>8</v>
      </c>
      <c r="BJ353" s="27" t="s">
        <v>7</v>
      </c>
      <c r="BK353" s="27" t="s">
        <v>8</v>
      </c>
      <c r="BL353" s="27" t="s">
        <v>7</v>
      </c>
      <c r="BQ353" s="27" t="s">
        <v>8</v>
      </c>
      <c r="DB353" s="27" t="s">
        <v>7</v>
      </c>
      <c r="DC353" s="27" t="s">
        <v>8</v>
      </c>
      <c r="DD353" s="27" t="s">
        <v>7</v>
      </c>
    </row>
    <row r="354" spans="1:108" x14ac:dyDescent="0.25">
      <c r="A354" s="30">
        <v>3.8407841968006963E-3</v>
      </c>
      <c r="B354"/>
      <c r="C354"/>
      <c r="D354"/>
      <c r="E354"/>
      <c r="F354" s="27" t="s">
        <v>7</v>
      </c>
      <c r="BI354" s="27" t="s">
        <v>8</v>
      </c>
      <c r="BJ354" s="27" t="s">
        <v>7</v>
      </c>
      <c r="BK354" s="27" t="s">
        <v>8</v>
      </c>
      <c r="BL354" s="27" t="s">
        <v>7</v>
      </c>
      <c r="BQ354" s="27" t="s">
        <v>8</v>
      </c>
      <c r="DB354" s="27" t="s">
        <v>7</v>
      </c>
      <c r="DC354" s="27" t="s">
        <v>8</v>
      </c>
    </row>
    <row r="355" spans="1:108" x14ac:dyDescent="0.25">
      <c r="A355" s="30">
        <v>3.6578897112387568E-3</v>
      </c>
      <c r="B355"/>
      <c r="C355"/>
      <c r="D355"/>
      <c r="E355"/>
      <c r="F355" s="27" t="s">
        <v>7</v>
      </c>
      <c r="BI355" s="27" t="s">
        <v>8</v>
      </c>
      <c r="BJ355" s="27" t="s">
        <v>7</v>
      </c>
      <c r="BK355" s="27" t="s">
        <v>8</v>
      </c>
      <c r="BL355" s="27" t="s">
        <v>7</v>
      </c>
      <c r="BO355" s="27" t="s">
        <v>8</v>
      </c>
      <c r="BQ355" s="27" t="s">
        <v>8</v>
      </c>
      <c r="DB355" s="27" t="s">
        <v>7</v>
      </c>
      <c r="DC355" s="27" t="s">
        <v>8</v>
      </c>
    </row>
    <row r="356" spans="1:108" x14ac:dyDescent="0.25">
      <c r="A356" s="30">
        <v>3.4837044868940526E-3</v>
      </c>
      <c r="B356"/>
      <c r="C356"/>
      <c r="D356"/>
      <c r="E356"/>
      <c r="F356" s="27" t="s">
        <v>7</v>
      </c>
      <c r="BI356" s="27" t="s">
        <v>8</v>
      </c>
      <c r="BJ356" s="27" t="s">
        <v>7</v>
      </c>
      <c r="BL356" s="27" t="s">
        <v>7</v>
      </c>
      <c r="BO356" s="27" t="s">
        <v>8</v>
      </c>
      <c r="BP356" s="27" t="s">
        <v>7</v>
      </c>
      <c r="BQ356" s="27" t="s">
        <v>8</v>
      </c>
      <c r="DB356" s="27" t="s">
        <v>7</v>
      </c>
      <c r="DC356" s="27" t="s">
        <v>8</v>
      </c>
    </row>
    <row r="357" spans="1:108" x14ac:dyDescent="0.25">
      <c r="A357" s="30">
        <v>3.3178137970419535E-3</v>
      </c>
      <c r="B357"/>
      <c r="C357"/>
      <c r="D357"/>
      <c r="E357"/>
      <c r="F357" s="27" t="s">
        <v>7</v>
      </c>
      <c r="BG357" s="27" t="s">
        <v>8</v>
      </c>
      <c r="BI357" s="27" t="s">
        <v>8</v>
      </c>
      <c r="BL357" s="27" t="s">
        <v>7</v>
      </c>
      <c r="BM357" s="27" t="s">
        <v>8</v>
      </c>
      <c r="BO357" s="27" t="s">
        <v>8</v>
      </c>
      <c r="BP357" s="27" t="s">
        <v>7</v>
      </c>
      <c r="BQ357" s="27" t="s">
        <v>8</v>
      </c>
      <c r="DB357" s="27" t="s">
        <v>7</v>
      </c>
      <c r="DC357" s="27" t="s">
        <v>8</v>
      </c>
    </row>
    <row r="358" spans="1:108" x14ac:dyDescent="0.25">
      <c r="A358" s="30">
        <v>3.1598226638494781E-3</v>
      </c>
      <c r="B358"/>
      <c r="C358"/>
      <c r="D358"/>
      <c r="E358"/>
      <c r="F358" s="27" t="s">
        <v>7</v>
      </c>
      <c r="BG358" s="27" t="s">
        <v>8</v>
      </c>
      <c r="BH358" s="27" t="s">
        <v>7</v>
      </c>
      <c r="BI358" s="27" t="s">
        <v>8</v>
      </c>
      <c r="BL358" s="27" t="s">
        <v>7</v>
      </c>
      <c r="BM358" s="27" t="s">
        <v>8</v>
      </c>
      <c r="BN358" s="27" t="s">
        <v>7</v>
      </c>
      <c r="BO358" s="27" t="s">
        <v>8</v>
      </c>
      <c r="BP358" s="27" t="s">
        <v>7</v>
      </c>
      <c r="BQ358" s="27" t="s">
        <v>8</v>
      </c>
      <c r="DB358" s="27" t="s">
        <v>7</v>
      </c>
    </row>
    <row r="359" spans="1:108" x14ac:dyDescent="0.25">
      <c r="A359" s="30">
        <v>3.0093549179518826E-3</v>
      </c>
      <c r="B359"/>
      <c r="C359"/>
      <c r="D359"/>
      <c r="E359"/>
      <c r="F359" s="27" t="s">
        <v>7</v>
      </c>
      <c r="BG359" s="27" t="s">
        <v>8</v>
      </c>
      <c r="BH359" s="27" t="s">
        <v>7</v>
      </c>
      <c r="BI359" s="27" t="s">
        <v>8</v>
      </c>
      <c r="BL359" s="27" t="s">
        <v>7</v>
      </c>
      <c r="BM359" s="27" t="s">
        <v>8</v>
      </c>
      <c r="BN359" s="27" t="s">
        <v>7</v>
      </c>
      <c r="BO359" s="27" t="s">
        <v>8</v>
      </c>
      <c r="BP359" s="27" t="s">
        <v>7</v>
      </c>
      <c r="BQ359" s="27" t="s">
        <v>8</v>
      </c>
    </row>
    <row r="360" spans="1:108" x14ac:dyDescent="0.25">
      <c r="A360" s="30">
        <v>2.8660523028113155E-3</v>
      </c>
      <c r="B360"/>
      <c r="C360"/>
      <c r="D360"/>
      <c r="E360"/>
      <c r="F360" s="27" t="s">
        <v>7</v>
      </c>
      <c r="W360" s="27" t="s">
        <v>8</v>
      </c>
      <c r="BG360" s="27" t="s">
        <v>8</v>
      </c>
      <c r="BH360" s="27" t="s">
        <v>7</v>
      </c>
      <c r="BI360" s="27" t="s">
        <v>8</v>
      </c>
      <c r="BL360" s="27" t="s">
        <v>7</v>
      </c>
      <c r="BM360" s="27" t="s">
        <v>8</v>
      </c>
      <c r="BN360" s="27" t="s">
        <v>7</v>
      </c>
      <c r="BO360" s="27" t="s">
        <v>8</v>
      </c>
      <c r="BP360" s="27" t="s">
        <v>7</v>
      </c>
    </row>
    <row r="361" spans="1:108" x14ac:dyDescent="0.25">
      <c r="A361" s="30">
        <v>2.7295736217250611E-3</v>
      </c>
      <c r="B361"/>
      <c r="C361"/>
      <c r="D361"/>
      <c r="E361"/>
      <c r="F361" s="27" t="s">
        <v>7</v>
      </c>
      <c r="W361" s="27" t="s">
        <v>8</v>
      </c>
      <c r="X361" s="27" t="s">
        <v>7</v>
      </c>
      <c r="BG361" s="27" t="s">
        <v>8</v>
      </c>
      <c r="BH361" s="27" t="s">
        <v>7</v>
      </c>
      <c r="BI361" s="27" t="s">
        <v>8</v>
      </c>
      <c r="BL361" s="27" t="s">
        <v>7</v>
      </c>
      <c r="BM361" s="27" t="s">
        <v>8</v>
      </c>
      <c r="BN361" s="27" t="s">
        <v>7</v>
      </c>
    </row>
    <row r="362" spans="1:108" x14ac:dyDescent="0.25">
      <c r="A362" s="30">
        <v>2.5995939254524381E-3</v>
      </c>
      <c r="B362"/>
      <c r="C362"/>
      <c r="D362"/>
      <c r="E362"/>
      <c r="F362" s="27" t="s">
        <v>7</v>
      </c>
      <c r="W362" s="27" t="s">
        <v>8</v>
      </c>
      <c r="X362" s="27" t="s">
        <v>7</v>
      </c>
      <c r="AG362" s="27" t="s">
        <v>8</v>
      </c>
      <c r="BE362" s="27" t="s">
        <v>8</v>
      </c>
      <c r="BG362" s="27" t="s">
        <v>8</v>
      </c>
      <c r="BH362" s="27" t="s">
        <v>7</v>
      </c>
      <c r="BI362" s="27" t="s">
        <v>8</v>
      </c>
      <c r="BL362" s="27" t="s">
        <v>7</v>
      </c>
      <c r="BM362" s="27" t="s">
        <v>8</v>
      </c>
    </row>
    <row r="363" spans="1:108" x14ac:dyDescent="0.25">
      <c r="A363" s="30">
        <v>2.4758037385261304E-3</v>
      </c>
      <c r="B363"/>
      <c r="C363"/>
      <c r="D363"/>
      <c r="E363"/>
      <c r="F363" s="27" t="s">
        <v>7</v>
      </c>
      <c r="I363" s="27" t="s">
        <v>8</v>
      </c>
      <c r="W363" s="27" t="s">
        <v>8</v>
      </c>
      <c r="X363" s="27" t="s">
        <v>7</v>
      </c>
      <c r="AG363" s="27" t="s">
        <v>8</v>
      </c>
      <c r="AH363" s="27" t="s">
        <v>7</v>
      </c>
      <c r="AU363" s="27" t="s">
        <v>8</v>
      </c>
      <c r="BE363" s="27" t="s">
        <v>8</v>
      </c>
      <c r="BF363" s="27" t="s">
        <v>7</v>
      </c>
      <c r="BG363" s="27" t="s">
        <v>8</v>
      </c>
      <c r="BH363" s="27" t="s">
        <v>7</v>
      </c>
      <c r="BI363" s="27" t="s">
        <v>8</v>
      </c>
      <c r="BL363" s="27" t="s">
        <v>7</v>
      </c>
      <c r="BM363" s="27" t="s">
        <v>8</v>
      </c>
    </row>
    <row r="364" spans="1:108" x14ac:dyDescent="0.25">
      <c r="A364" s="30">
        <v>2.3579083224058374E-3</v>
      </c>
      <c r="B364"/>
      <c r="C364"/>
      <c r="D364"/>
      <c r="E364"/>
      <c r="F364" s="27" t="s">
        <v>7</v>
      </c>
      <c r="I364" s="27" t="s">
        <v>8</v>
      </c>
      <c r="J364" s="27" t="s">
        <v>7</v>
      </c>
      <c r="W364" s="27" t="s">
        <v>8</v>
      </c>
      <c r="X364" s="27" t="s">
        <v>7</v>
      </c>
      <c r="AG364" s="27" t="s">
        <v>8</v>
      </c>
      <c r="AH364" s="27" t="s">
        <v>7</v>
      </c>
      <c r="AI364" s="27" t="s">
        <v>8</v>
      </c>
      <c r="AU364" s="27" t="s">
        <v>8</v>
      </c>
      <c r="AV364" s="27" t="s">
        <v>7</v>
      </c>
      <c r="BE364" s="27" t="s">
        <v>8</v>
      </c>
      <c r="BF364" s="27" t="s">
        <v>7</v>
      </c>
      <c r="BG364" s="27" t="s">
        <v>8</v>
      </c>
      <c r="BH364" s="27" t="s">
        <v>7</v>
      </c>
      <c r="BL364" s="27" t="s">
        <v>7</v>
      </c>
      <c r="BM364" s="27" t="s">
        <v>8</v>
      </c>
    </row>
    <row r="365" spans="1:108" x14ac:dyDescent="0.25">
      <c r="A365" s="30">
        <v>2.245626973719844E-3</v>
      </c>
      <c r="B365"/>
      <c r="C365"/>
      <c r="D365"/>
      <c r="E365"/>
      <c r="F365" s="27" t="s">
        <v>7</v>
      </c>
      <c r="G365" s="27" t="s">
        <v>8</v>
      </c>
      <c r="I365" s="27" t="s">
        <v>8</v>
      </c>
      <c r="J365" s="27" t="s">
        <v>7</v>
      </c>
      <c r="W365" s="27" t="s">
        <v>8</v>
      </c>
      <c r="X365" s="27" t="s">
        <v>7</v>
      </c>
      <c r="AE365" s="27" t="s">
        <v>8</v>
      </c>
      <c r="AG365" s="27" t="s">
        <v>8</v>
      </c>
      <c r="AH365" s="27" t="s">
        <v>7</v>
      </c>
      <c r="AI365" s="27" t="s">
        <v>8</v>
      </c>
      <c r="AJ365" s="27" t="s">
        <v>7</v>
      </c>
      <c r="AU365" s="27" t="s">
        <v>8</v>
      </c>
      <c r="AV365" s="27" t="s">
        <v>7</v>
      </c>
      <c r="BE365" s="27" t="s">
        <v>8</v>
      </c>
      <c r="BF365" s="27" t="s">
        <v>7</v>
      </c>
      <c r="BG365" s="27" t="s">
        <v>8</v>
      </c>
      <c r="BL365" s="27" t="s">
        <v>7</v>
      </c>
      <c r="BM365" s="27" t="s">
        <v>8</v>
      </c>
    </row>
    <row r="366" spans="1:108" x14ac:dyDescent="0.25">
      <c r="A366" s="30">
        <v>2.1386923559236601E-3</v>
      </c>
      <c r="B366"/>
      <c r="C366"/>
      <c r="D366"/>
      <c r="E366"/>
      <c r="F366" s="27" t="s">
        <v>7</v>
      </c>
      <c r="G366" s="27" t="s">
        <v>8</v>
      </c>
      <c r="H366" s="27" t="s">
        <v>7</v>
      </c>
      <c r="I366" s="27" t="s">
        <v>8</v>
      </c>
      <c r="J366" s="27" t="s">
        <v>7</v>
      </c>
      <c r="W366" s="27" t="s">
        <v>8</v>
      </c>
      <c r="X366" s="27" t="s">
        <v>7</v>
      </c>
      <c r="AC366" s="27" t="s">
        <v>8</v>
      </c>
      <c r="AE366" s="27" t="s">
        <v>8</v>
      </c>
      <c r="AF366" s="27" t="s">
        <v>7</v>
      </c>
      <c r="AG366" s="27" t="s">
        <v>8</v>
      </c>
      <c r="AH366" s="27" t="s">
        <v>7</v>
      </c>
      <c r="AI366" s="27" t="s">
        <v>8</v>
      </c>
      <c r="AJ366" s="27" t="s">
        <v>7</v>
      </c>
      <c r="AU366" s="27" t="s">
        <v>8</v>
      </c>
      <c r="AV366" s="27" t="s">
        <v>7</v>
      </c>
      <c r="BC366" s="27" t="s">
        <v>8</v>
      </c>
      <c r="BE366" s="27" t="s">
        <v>8</v>
      </c>
      <c r="BF366" s="27" t="s">
        <v>7</v>
      </c>
      <c r="BG366" s="27" t="s">
        <v>8</v>
      </c>
      <c r="BL366" s="27" t="s">
        <v>7</v>
      </c>
    </row>
    <row r="367" spans="1:108" x14ac:dyDescent="0.25">
      <c r="A367" s="30">
        <v>2.0368498627844375E-3</v>
      </c>
      <c r="B367"/>
      <c r="C367"/>
      <c r="D367"/>
      <c r="E367"/>
      <c r="F367" s="27" t="s">
        <v>7</v>
      </c>
      <c r="G367" s="27" t="s">
        <v>8</v>
      </c>
      <c r="H367" s="27" t="s">
        <v>7</v>
      </c>
      <c r="I367" s="27" t="s">
        <v>8</v>
      </c>
      <c r="J367" s="27" t="s">
        <v>7</v>
      </c>
      <c r="W367" s="27" t="s">
        <v>8</v>
      </c>
      <c r="X367" s="27" t="s">
        <v>7</v>
      </c>
      <c r="AC367" s="27" t="s">
        <v>8</v>
      </c>
      <c r="AD367" s="27" t="s">
        <v>7</v>
      </c>
      <c r="AE367" s="27" t="s">
        <v>8</v>
      </c>
      <c r="AF367" s="27" t="s">
        <v>7</v>
      </c>
      <c r="AG367" s="27" t="s">
        <v>8</v>
      </c>
      <c r="AH367" s="27" t="s">
        <v>7</v>
      </c>
      <c r="AJ367" s="27" t="s">
        <v>7</v>
      </c>
      <c r="AM367" s="27" t="s">
        <v>8</v>
      </c>
      <c r="AU367" s="27" t="s">
        <v>8</v>
      </c>
      <c r="AV367" s="27" t="s">
        <v>7</v>
      </c>
      <c r="BC367" s="27" t="s">
        <v>8</v>
      </c>
      <c r="BD367" s="27" t="s">
        <v>7</v>
      </c>
      <c r="BE367" s="27" t="s">
        <v>8</v>
      </c>
      <c r="BF367" s="27" t="s">
        <v>7</v>
      </c>
    </row>
    <row r="368" spans="1:108" x14ac:dyDescent="0.25">
      <c r="A368" s="30">
        <v>1.9398570121756541E-3</v>
      </c>
      <c r="B368"/>
      <c r="C368"/>
      <c r="D368"/>
      <c r="E368"/>
      <c r="F368" s="27" t="s">
        <v>7</v>
      </c>
      <c r="G368" s="27" t="s">
        <v>8</v>
      </c>
      <c r="H368" s="27" t="s">
        <v>7</v>
      </c>
      <c r="J368" s="27" t="s">
        <v>7</v>
      </c>
      <c r="W368" s="27" t="s">
        <v>8</v>
      </c>
      <c r="X368" s="27" t="s">
        <v>7</v>
      </c>
      <c r="Y368" s="27" t="s">
        <v>8</v>
      </c>
      <c r="AA368" s="27" t="s">
        <v>8</v>
      </c>
      <c r="AC368" s="27" t="s">
        <v>8</v>
      </c>
      <c r="AD368" s="27" t="s">
        <v>7</v>
      </c>
      <c r="AE368" s="27" t="s">
        <v>8</v>
      </c>
      <c r="AF368" s="27" t="s">
        <v>7</v>
      </c>
      <c r="AG368" s="27" t="s">
        <v>8</v>
      </c>
      <c r="AJ368" s="27" t="s">
        <v>7</v>
      </c>
      <c r="AM368" s="27" t="s">
        <v>8</v>
      </c>
      <c r="AN368" s="27" t="s">
        <v>7</v>
      </c>
      <c r="AS368" s="27" t="s">
        <v>8</v>
      </c>
      <c r="AU368" s="27" t="s">
        <v>8</v>
      </c>
      <c r="AV368" s="27" t="s">
        <v>7</v>
      </c>
      <c r="BC368" s="27" t="s">
        <v>8</v>
      </c>
      <c r="BD368" s="27" t="s">
        <v>7</v>
      </c>
      <c r="BE368" s="27" t="s">
        <v>8</v>
      </c>
    </row>
    <row r="369" spans="1:57" x14ac:dyDescent="0.25">
      <c r="A369" s="30">
        <v>1.8474828687387174E-3</v>
      </c>
      <c r="B369"/>
      <c r="C369"/>
      <c r="D369"/>
      <c r="E369"/>
      <c r="F369" s="27" t="s">
        <v>7</v>
      </c>
      <c r="G369" s="27" t="s">
        <v>8</v>
      </c>
      <c r="J369" s="27" t="s">
        <v>7</v>
      </c>
      <c r="W369" s="27" t="s">
        <v>8</v>
      </c>
      <c r="X369" s="27" t="s">
        <v>7</v>
      </c>
      <c r="Y369" s="27" t="s">
        <v>8</v>
      </c>
      <c r="Z369" s="27" t="s">
        <v>7</v>
      </c>
      <c r="AA369" s="27" t="s">
        <v>8</v>
      </c>
      <c r="AB369" s="27" t="s">
        <v>7</v>
      </c>
      <c r="AC369" s="27" t="s">
        <v>8</v>
      </c>
      <c r="AD369" s="27" t="s">
        <v>7</v>
      </c>
      <c r="AE369" s="27" t="s">
        <v>8</v>
      </c>
      <c r="AF369" s="27" t="s">
        <v>7</v>
      </c>
      <c r="AJ369" s="27" t="s">
        <v>7</v>
      </c>
      <c r="AM369" s="27" t="s">
        <v>8</v>
      </c>
      <c r="AN369" s="27" t="s">
        <v>7</v>
      </c>
      <c r="AS369" s="27" t="s">
        <v>8</v>
      </c>
      <c r="AT369" s="27" t="s">
        <v>7</v>
      </c>
      <c r="AU369" s="27" t="s">
        <v>8</v>
      </c>
      <c r="AV369" s="27" t="s">
        <v>7</v>
      </c>
      <c r="AY369" s="27" t="s">
        <v>8</v>
      </c>
      <c r="BC369" s="27" t="s">
        <v>8</v>
      </c>
      <c r="BD369" s="27" t="s">
        <v>7</v>
      </c>
      <c r="BE369" s="27" t="s">
        <v>8</v>
      </c>
    </row>
    <row r="370" spans="1:57" x14ac:dyDescent="0.25">
      <c r="A370" s="30">
        <v>1.759507494036873E-3</v>
      </c>
      <c r="B370"/>
      <c r="C370"/>
      <c r="D370"/>
      <c r="E370"/>
      <c r="F370" s="27" t="s">
        <v>7</v>
      </c>
      <c r="J370" s="27" t="s">
        <v>7</v>
      </c>
      <c r="U370" s="27" t="s">
        <v>8</v>
      </c>
      <c r="W370" s="27" t="s">
        <v>8</v>
      </c>
      <c r="X370" s="27" t="s">
        <v>7</v>
      </c>
      <c r="Y370" s="27" t="s">
        <v>8</v>
      </c>
      <c r="Z370" s="27" t="s">
        <v>7</v>
      </c>
      <c r="AA370" s="27" t="s">
        <v>8</v>
      </c>
      <c r="AB370" s="27" t="s">
        <v>7</v>
      </c>
      <c r="AC370" s="27" t="s">
        <v>8</v>
      </c>
      <c r="AD370" s="27" t="s">
        <v>7</v>
      </c>
      <c r="AE370" s="27" t="s">
        <v>8</v>
      </c>
      <c r="AJ370" s="27" t="s">
        <v>7</v>
      </c>
      <c r="AM370" s="27" t="s">
        <v>8</v>
      </c>
      <c r="AN370" s="27" t="s">
        <v>7</v>
      </c>
      <c r="AS370" s="27" t="s">
        <v>8</v>
      </c>
      <c r="AT370" s="27" t="s">
        <v>7</v>
      </c>
      <c r="AU370" s="27" t="s">
        <v>8</v>
      </c>
      <c r="AV370" s="27" t="s">
        <v>7</v>
      </c>
      <c r="AY370" s="27" t="s">
        <v>8</v>
      </c>
      <c r="AZ370" s="27" t="s">
        <v>7</v>
      </c>
      <c r="BA370" s="27" t="s">
        <v>8</v>
      </c>
      <c r="BC370" s="27" t="s">
        <v>8</v>
      </c>
      <c r="BD370" s="27" t="s">
        <v>7</v>
      </c>
    </row>
    <row r="371" spans="1:57" x14ac:dyDescent="0.25">
      <c r="A371" s="30">
        <v>1.6757214228922594E-3</v>
      </c>
      <c r="B371"/>
      <c r="C371"/>
      <c r="D371"/>
      <c r="E371"/>
      <c r="J371" s="27" t="s">
        <v>7</v>
      </c>
      <c r="U371" s="27" t="s">
        <v>8</v>
      </c>
      <c r="V371" s="27" t="s">
        <v>7</v>
      </c>
      <c r="W371" s="27" t="s">
        <v>8</v>
      </c>
      <c r="X371" s="27" t="s">
        <v>7</v>
      </c>
      <c r="Y371" s="27" t="s">
        <v>8</v>
      </c>
      <c r="Z371" s="27" t="s">
        <v>7</v>
      </c>
      <c r="AA371" s="27" t="s">
        <v>8</v>
      </c>
      <c r="AB371" s="27" t="s">
        <v>7</v>
      </c>
      <c r="AD371" s="27" t="s">
        <v>7</v>
      </c>
      <c r="AJ371" s="27" t="s">
        <v>7</v>
      </c>
      <c r="AM371" s="27" t="s">
        <v>8</v>
      </c>
      <c r="AN371" s="27" t="s">
        <v>7</v>
      </c>
      <c r="AO371" s="27" t="s">
        <v>8</v>
      </c>
      <c r="AQ371" s="27" t="s">
        <v>8</v>
      </c>
      <c r="AS371" s="27" t="s">
        <v>8</v>
      </c>
      <c r="AT371" s="27" t="s">
        <v>7</v>
      </c>
      <c r="AU371" s="27" t="s">
        <v>8</v>
      </c>
      <c r="AV371" s="27" t="s">
        <v>7</v>
      </c>
      <c r="AY371" s="27" t="s">
        <v>8</v>
      </c>
      <c r="AZ371" s="27" t="s">
        <v>7</v>
      </c>
      <c r="BA371" s="27" t="s">
        <v>8</v>
      </c>
      <c r="BB371" s="27" t="s">
        <v>7</v>
      </c>
      <c r="BC371" s="27" t="s">
        <v>8</v>
      </c>
    </row>
    <row r="372" spans="1:57" x14ac:dyDescent="0.25">
      <c r="A372" s="30">
        <v>1.595925164659294E-3</v>
      </c>
      <c r="B372"/>
      <c r="C372"/>
      <c r="D372"/>
      <c r="E372"/>
      <c r="J372" s="27" t="s">
        <v>7</v>
      </c>
      <c r="O372" s="27" t="s">
        <v>8</v>
      </c>
      <c r="U372" s="27" t="s">
        <v>8</v>
      </c>
      <c r="V372" s="27" t="s">
        <v>7</v>
      </c>
      <c r="W372" s="27" t="s">
        <v>8</v>
      </c>
      <c r="X372" s="27" t="s">
        <v>7</v>
      </c>
      <c r="Z372" s="27" t="s">
        <v>7</v>
      </c>
      <c r="AA372" s="27" t="s">
        <v>8</v>
      </c>
      <c r="AJ372" s="27" t="s">
        <v>7</v>
      </c>
      <c r="AK372" s="27" t="s">
        <v>8</v>
      </c>
      <c r="AM372" s="27" t="s">
        <v>8</v>
      </c>
      <c r="AN372" s="27" t="s">
        <v>7</v>
      </c>
      <c r="AO372" s="27" t="s">
        <v>8</v>
      </c>
      <c r="AP372" s="27" t="s">
        <v>7</v>
      </c>
      <c r="AQ372" s="27" t="s">
        <v>8</v>
      </c>
      <c r="AR372" s="27" t="s">
        <v>7</v>
      </c>
      <c r="AS372" s="27" t="s">
        <v>8</v>
      </c>
      <c r="AT372" s="27" t="s">
        <v>7</v>
      </c>
      <c r="AU372" s="27" t="s">
        <v>8</v>
      </c>
      <c r="AV372" s="27" t="s">
        <v>7</v>
      </c>
      <c r="AW372" s="27" t="s">
        <v>8</v>
      </c>
      <c r="AY372" s="27" t="s">
        <v>8</v>
      </c>
      <c r="AZ372" s="27" t="s">
        <v>7</v>
      </c>
      <c r="BA372" s="27" t="s">
        <v>8</v>
      </c>
      <c r="BB372" s="27" t="s">
        <v>7</v>
      </c>
      <c r="BC372" s="27" t="s">
        <v>8</v>
      </c>
    </row>
    <row r="373" spans="1:57" x14ac:dyDescent="0.25">
      <c r="A373" s="30">
        <v>1.5199287282469461E-3</v>
      </c>
      <c r="B373"/>
      <c r="C373"/>
      <c r="D373"/>
      <c r="E373"/>
      <c r="J373" s="27" t="s">
        <v>7</v>
      </c>
      <c r="O373" s="27" t="s">
        <v>8</v>
      </c>
      <c r="P373" s="27" t="s">
        <v>7</v>
      </c>
      <c r="Q373" s="27" t="s">
        <v>8</v>
      </c>
      <c r="S373" s="27" t="s">
        <v>8</v>
      </c>
      <c r="U373" s="27" t="s">
        <v>8</v>
      </c>
      <c r="V373" s="27" t="s">
        <v>7</v>
      </c>
      <c r="Z373" s="27" t="s">
        <v>7</v>
      </c>
      <c r="AJ373" s="27" t="s">
        <v>7</v>
      </c>
      <c r="AK373" s="27" t="s">
        <v>8</v>
      </c>
      <c r="AL373" s="27" t="s">
        <v>7</v>
      </c>
      <c r="AM373" s="27" t="s">
        <v>8</v>
      </c>
      <c r="AN373" s="27" t="s">
        <v>7</v>
      </c>
      <c r="AO373" s="27" t="s">
        <v>8</v>
      </c>
      <c r="AP373" s="27" t="s">
        <v>7</v>
      </c>
      <c r="AQ373" s="27" t="s">
        <v>8</v>
      </c>
      <c r="AR373" s="27" t="s">
        <v>7</v>
      </c>
      <c r="AS373" s="27" t="s">
        <v>8</v>
      </c>
      <c r="AT373" s="27" t="s">
        <v>7</v>
      </c>
      <c r="AV373" s="27" t="s">
        <v>7</v>
      </c>
      <c r="AW373" s="27" t="s">
        <v>8</v>
      </c>
      <c r="AX373" s="27" t="s">
        <v>7</v>
      </c>
      <c r="AY373" s="27" t="s">
        <v>8</v>
      </c>
      <c r="AZ373" s="27" t="s">
        <v>7</v>
      </c>
      <c r="BA373" s="27" t="s">
        <v>8</v>
      </c>
      <c r="BB373" s="27" t="s">
        <v>7</v>
      </c>
      <c r="BC373" s="27" t="s">
        <v>8</v>
      </c>
    </row>
    <row r="374" spans="1:57" x14ac:dyDescent="0.25">
      <c r="A374" s="30">
        <v>1.4475511697589958E-3</v>
      </c>
      <c r="B374"/>
      <c r="C374"/>
      <c r="D374"/>
      <c r="E374"/>
      <c r="J374" s="27" t="s">
        <v>7</v>
      </c>
      <c r="M374" s="27" t="s">
        <v>8</v>
      </c>
      <c r="O374" s="27" t="s">
        <v>8</v>
      </c>
      <c r="P374" s="27" t="s">
        <v>7</v>
      </c>
      <c r="Q374" s="27" t="s">
        <v>8</v>
      </c>
      <c r="R374" s="27" t="s">
        <v>7</v>
      </c>
      <c r="S374" s="27" t="s">
        <v>8</v>
      </c>
      <c r="T374" s="27" t="s">
        <v>7</v>
      </c>
      <c r="U374" s="27" t="s">
        <v>8</v>
      </c>
      <c r="AJ374" s="27" t="s">
        <v>7</v>
      </c>
      <c r="AK374" s="27" t="s">
        <v>8</v>
      </c>
      <c r="AL374" s="27" t="s">
        <v>7</v>
      </c>
      <c r="AM374" s="27" t="s">
        <v>8</v>
      </c>
      <c r="AN374" s="27" t="s">
        <v>7</v>
      </c>
      <c r="AP374" s="27" t="s">
        <v>7</v>
      </c>
      <c r="AQ374" s="27" t="s">
        <v>8</v>
      </c>
      <c r="AR374" s="27" t="s">
        <v>7</v>
      </c>
      <c r="AS374" s="27" t="s">
        <v>8</v>
      </c>
      <c r="AV374" s="27" t="s">
        <v>7</v>
      </c>
      <c r="AW374" s="27" t="s">
        <v>8</v>
      </c>
      <c r="AX374" s="27" t="s">
        <v>7</v>
      </c>
      <c r="AY374" s="27" t="s">
        <v>8</v>
      </c>
      <c r="AZ374" s="27" t="s">
        <v>7</v>
      </c>
      <c r="BA374" s="27" t="s">
        <v>8</v>
      </c>
      <c r="BB374" s="27" t="s">
        <v>7</v>
      </c>
    </row>
    <row r="375" spans="1:57" x14ac:dyDescent="0.25">
      <c r="A375" s="30">
        <v>1.3786201616752334E-3</v>
      </c>
      <c r="B375"/>
      <c r="C375"/>
      <c r="D375"/>
      <c r="E375"/>
      <c r="J375" s="27" t="s">
        <v>7</v>
      </c>
      <c r="M375" s="27" t="s">
        <v>8</v>
      </c>
      <c r="N375" s="27" t="s">
        <v>7</v>
      </c>
      <c r="O375" s="27" t="s">
        <v>8</v>
      </c>
      <c r="P375" s="27" t="s">
        <v>7</v>
      </c>
      <c r="Q375" s="27" t="s">
        <v>8</v>
      </c>
      <c r="R375" s="27" t="s">
        <v>7</v>
      </c>
      <c r="S375" s="27" t="s">
        <v>8</v>
      </c>
      <c r="T375" s="27" t="s">
        <v>7</v>
      </c>
      <c r="U375" s="27" t="s">
        <v>8</v>
      </c>
      <c r="AJ375" s="27" t="s">
        <v>7</v>
      </c>
      <c r="AK375" s="27" t="s">
        <v>8</v>
      </c>
      <c r="AL375" s="27" t="s">
        <v>7</v>
      </c>
      <c r="AM375" s="27" t="s">
        <v>8</v>
      </c>
      <c r="AP375" s="27" t="s">
        <v>7</v>
      </c>
      <c r="AQ375" s="27" t="s">
        <v>8</v>
      </c>
      <c r="AR375" s="27" t="s">
        <v>7</v>
      </c>
      <c r="AV375" s="27" t="s">
        <v>7</v>
      </c>
      <c r="AX375" s="27" t="s">
        <v>7</v>
      </c>
      <c r="AZ375" s="27" t="s">
        <v>7</v>
      </c>
    </row>
    <row r="376" spans="1:57" x14ac:dyDescent="0.25">
      <c r="A376" s="30">
        <v>1.3129715825478407E-3</v>
      </c>
      <c r="B376"/>
      <c r="C376"/>
      <c r="D376"/>
      <c r="E376"/>
      <c r="J376" s="27" t="s">
        <v>7</v>
      </c>
      <c r="K376" s="27" t="s">
        <v>8</v>
      </c>
      <c r="M376" s="27" t="s">
        <v>8</v>
      </c>
      <c r="N376" s="27" t="s">
        <v>7</v>
      </c>
      <c r="O376" s="27" t="s">
        <v>8</v>
      </c>
      <c r="P376" s="27" t="s">
        <v>7</v>
      </c>
      <c r="Q376" s="27" t="s">
        <v>8</v>
      </c>
      <c r="R376" s="27" t="s">
        <v>7</v>
      </c>
      <c r="S376" s="27" t="s">
        <v>8</v>
      </c>
      <c r="T376" s="27" t="s">
        <v>7</v>
      </c>
      <c r="U376" s="27" t="s">
        <v>8</v>
      </c>
      <c r="AJ376" s="27" t="s">
        <v>7</v>
      </c>
      <c r="AK376" s="27" t="s">
        <v>8</v>
      </c>
      <c r="AL376" s="27" t="s">
        <v>7</v>
      </c>
      <c r="AM376" s="27" t="s">
        <v>8</v>
      </c>
      <c r="AP376" s="27" t="s">
        <v>7</v>
      </c>
      <c r="AQ376" s="27" t="s">
        <v>8</v>
      </c>
    </row>
    <row r="377" spans="1:57" x14ac:dyDescent="0.25">
      <c r="A377" s="30">
        <v>1.2504491262360382E-3</v>
      </c>
      <c r="B377"/>
      <c r="C377"/>
      <c r="D377"/>
      <c r="E377"/>
      <c r="J377" s="27" t="s">
        <v>7</v>
      </c>
      <c r="K377" s="27" t="s">
        <v>8</v>
      </c>
      <c r="L377" s="27" t="s">
        <v>7</v>
      </c>
      <c r="M377" s="27" t="s">
        <v>8</v>
      </c>
      <c r="N377" s="27" t="s">
        <v>7</v>
      </c>
      <c r="P377" s="27" t="s">
        <v>7</v>
      </c>
      <c r="Q377" s="27" t="s">
        <v>8</v>
      </c>
      <c r="R377" s="27" t="s">
        <v>7</v>
      </c>
      <c r="S377" s="27" t="s">
        <v>8</v>
      </c>
      <c r="T377" s="27" t="s">
        <v>7</v>
      </c>
      <c r="U377" s="27" t="s">
        <v>8</v>
      </c>
      <c r="AJ377" s="27" t="s">
        <v>7</v>
      </c>
      <c r="AK377" s="27" t="s">
        <v>8</v>
      </c>
      <c r="AL377" s="27" t="s">
        <v>7</v>
      </c>
      <c r="AM377" s="27" t="s">
        <v>8</v>
      </c>
      <c r="AP377" s="27" t="s">
        <v>7</v>
      </c>
    </row>
    <row r="378" spans="1:57" x14ac:dyDescent="0.25">
      <c r="A378" s="30">
        <v>1.1909039297486072E-3</v>
      </c>
      <c r="B378"/>
      <c r="C378"/>
      <c r="D378"/>
      <c r="E378"/>
      <c r="J378" s="27" t="s">
        <v>7</v>
      </c>
      <c r="K378" s="27" t="s">
        <v>8</v>
      </c>
      <c r="L378" s="27" t="s">
        <v>7</v>
      </c>
      <c r="M378" s="27" t="s">
        <v>8</v>
      </c>
      <c r="P378" s="27" t="s">
        <v>7</v>
      </c>
      <c r="R378" s="27" t="s">
        <v>7</v>
      </c>
      <c r="S378" s="27" t="s">
        <v>8</v>
      </c>
      <c r="T378" s="27" t="s">
        <v>7</v>
      </c>
      <c r="AJ378" s="27" t="s">
        <v>7</v>
      </c>
      <c r="AK378" s="27" t="s">
        <v>8</v>
      </c>
      <c r="AL378" s="27" t="s">
        <v>7</v>
      </c>
      <c r="AM378" s="27" t="s">
        <v>8</v>
      </c>
    </row>
    <row r="379" spans="1:57" x14ac:dyDescent="0.25">
      <c r="A379" s="30">
        <v>1.1341942188081969E-3</v>
      </c>
      <c r="B379"/>
      <c r="C379"/>
      <c r="D379"/>
      <c r="E379"/>
      <c r="J379" s="27" t="s">
        <v>7</v>
      </c>
      <c r="K379" s="27" t="s">
        <v>8</v>
      </c>
      <c r="L379" s="27" t="s">
        <v>7</v>
      </c>
      <c r="M379" s="27" t="s">
        <v>8</v>
      </c>
      <c r="R379" s="27" t="s">
        <v>7</v>
      </c>
      <c r="AJ379" s="27" t="s">
        <v>7</v>
      </c>
      <c r="AK379" s="27" t="s">
        <v>8</v>
      </c>
      <c r="AL379" s="27" t="s">
        <v>7</v>
      </c>
      <c r="AM379" s="27" t="s">
        <v>8</v>
      </c>
    </row>
    <row r="380" spans="1:57" x14ac:dyDescent="0.25">
      <c r="A380" s="30">
        <v>1.0801849702935203E-3</v>
      </c>
      <c r="B380"/>
      <c r="C380"/>
      <c r="D380"/>
      <c r="E380"/>
      <c r="J380" s="27" t="s">
        <v>7</v>
      </c>
      <c r="K380" s="27" t="s">
        <v>8</v>
      </c>
      <c r="L380" s="27" t="s">
        <v>7</v>
      </c>
      <c r="M380" s="27" t="s">
        <v>8</v>
      </c>
      <c r="AJ380" s="27" t="s">
        <v>7</v>
      </c>
      <c r="AK380" s="27" t="s">
        <v>8</v>
      </c>
      <c r="AL380" s="27" t="s">
        <v>7</v>
      </c>
      <c r="AM380" s="27" t="s">
        <v>8</v>
      </c>
    </row>
    <row r="381" spans="1:57" x14ac:dyDescent="0.25">
      <c r="A381" s="30">
        <v>1.0287475907557332E-3</v>
      </c>
      <c r="B381"/>
      <c r="C381"/>
      <c r="D381"/>
      <c r="E381"/>
      <c r="J381" s="27" t="s">
        <v>7</v>
      </c>
      <c r="K381" s="27" t="s">
        <v>8</v>
      </c>
      <c r="L381" s="27" t="s">
        <v>7</v>
      </c>
      <c r="M381" s="27" t="s">
        <v>8</v>
      </c>
      <c r="AJ381" s="27" t="s">
        <v>7</v>
      </c>
      <c r="AK381" s="27" t="s">
        <v>8</v>
      </c>
      <c r="AL381" s="27" t="s">
        <v>7</v>
      </c>
      <c r="AM381" s="27" t="s">
        <v>8</v>
      </c>
    </row>
    <row r="382" spans="1:57" x14ac:dyDescent="0.25">
      <c r="A382" s="30">
        <v>9.7731021121794646E-4</v>
      </c>
      <c r="J382" s="27" t="s">
        <v>7</v>
      </c>
      <c r="K382" s="27" t="s">
        <v>8</v>
      </c>
      <c r="L382" s="27" t="s">
        <v>7</v>
      </c>
      <c r="AJ382" s="27" t="s">
        <v>7</v>
      </c>
      <c r="AK382" s="27" t="s">
        <v>8</v>
      </c>
      <c r="AL382" s="27" t="s">
        <v>7</v>
      </c>
    </row>
    <row r="383" spans="1:57" x14ac:dyDescent="0.25">
      <c r="A383" s="30">
        <v>9.2844470065704904E-4</v>
      </c>
      <c r="J383" s="27" t="s">
        <v>7</v>
      </c>
      <c r="K383" s="27" t="s">
        <v>8</v>
      </c>
      <c r="AJ383" s="27" t="s">
        <v>7</v>
      </c>
      <c r="AK383" s="27" t="s">
        <v>8</v>
      </c>
    </row>
    <row r="384" spans="1:57" x14ac:dyDescent="0.25">
      <c r="A384" s="30">
        <v>8.8202246562419653E-4</v>
      </c>
      <c r="J384" s="27" t="s">
        <v>7</v>
      </c>
      <c r="K384" s="27" t="s">
        <v>8</v>
      </c>
      <c r="AJ384" s="27" t="s">
        <v>7</v>
      </c>
      <c r="AK384" s="27" t="s">
        <v>8</v>
      </c>
    </row>
    <row r="385" spans="1:37" x14ac:dyDescent="0.25">
      <c r="A385" s="30">
        <v>8.3792134234298668E-4</v>
      </c>
      <c r="J385" s="27" t="s">
        <v>7</v>
      </c>
      <c r="K385" s="27" t="s">
        <v>8</v>
      </c>
      <c r="AJ385" s="27" t="s">
        <v>7</v>
      </c>
      <c r="AK385" s="27" t="s">
        <v>8</v>
      </c>
    </row>
    <row r="386" spans="1:37" x14ac:dyDescent="0.25">
      <c r="A386" s="30">
        <v>7.9602527522583736E-4</v>
      </c>
      <c r="J386" s="27" t="s">
        <v>7</v>
      </c>
      <c r="K386" s="27" t="s">
        <v>8</v>
      </c>
      <c r="AJ386" s="27" t="s">
        <v>7</v>
      </c>
      <c r="AK386" s="27" t="s">
        <v>8</v>
      </c>
    </row>
    <row r="387" spans="1:37" x14ac:dyDescent="0.25">
      <c r="A387" s="30">
        <v>7.5622401146454546E-4</v>
      </c>
      <c r="J387" s="27" t="s">
        <v>7</v>
      </c>
      <c r="K387" s="27" t="s">
        <v>8</v>
      </c>
      <c r="AJ387" s="27" t="s">
        <v>7</v>
      </c>
      <c r="AK387" s="27" t="s">
        <v>8</v>
      </c>
    </row>
    <row r="388" spans="1:37" x14ac:dyDescent="0.25">
      <c r="A388" s="30">
        <v>7.1841281089131816E-4</v>
      </c>
      <c r="J388" s="27" t="s">
        <v>7</v>
      </c>
      <c r="K388" s="27" t="s">
        <v>8</v>
      </c>
      <c r="AJ388" s="27" t="s">
        <v>7</v>
      </c>
      <c r="AK388" s="27" t="s">
        <v>8</v>
      </c>
    </row>
    <row r="389" spans="1:37" x14ac:dyDescent="0.25">
      <c r="A389" s="30">
        <v>6.8249217034675226E-4</v>
      </c>
      <c r="J389" s="27" t="s">
        <v>7</v>
      </c>
      <c r="K389" s="27" t="s">
        <v>8</v>
      </c>
      <c r="AJ389" s="27" t="s">
        <v>7</v>
      </c>
      <c r="AK389" s="27" t="s">
        <v>8</v>
      </c>
    </row>
    <row r="390" spans="1:37" x14ac:dyDescent="0.25">
      <c r="A390" s="30">
        <v>6.4836756182941465E-4</v>
      </c>
      <c r="J390" s="27" t="s">
        <v>7</v>
      </c>
      <c r="AJ390" s="27" t="s">
        <v>7</v>
      </c>
      <c r="AK390" s="27" t="s">
        <v>8</v>
      </c>
    </row>
    <row r="391" spans="1:37" x14ac:dyDescent="0.25">
      <c r="A391" s="30">
        <v>6.1594918373794388E-4</v>
      </c>
      <c r="AJ391" s="27" t="s">
        <v>7</v>
      </c>
      <c r="AK391" s="27" t="s">
        <v>8</v>
      </c>
    </row>
    <row r="392" spans="1:37" x14ac:dyDescent="0.25">
      <c r="A392" s="30">
        <v>5.8515172455104666E-4</v>
      </c>
      <c r="AJ392" s="27" t="s">
        <v>7</v>
      </c>
      <c r="AK392" s="27" t="s">
        <v>8</v>
      </c>
    </row>
    <row r="393" spans="1:37" x14ac:dyDescent="0.25">
      <c r="A393" s="30">
        <v>5.5589413832349429E-4</v>
      </c>
      <c r="AJ393" s="27" t="s">
        <v>7</v>
      </c>
      <c r="AK393" s="27" t="s">
        <v>8</v>
      </c>
    </row>
    <row r="394" spans="1:37" x14ac:dyDescent="0.25">
      <c r="A394" s="30">
        <v>5.2809943140731956E-4</v>
      </c>
      <c r="AJ394" s="27" t="s">
        <v>7</v>
      </c>
      <c r="AK394" s="27" t="s">
        <v>8</v>
      </c>
    </row>
    <row r="395" spans="1:37" x14ac:dyDescent="0.25">
      <c r="A395" s="30">
        <v>5.0169445983695357E-4</v>
      </c>
      <c r="AJ395" s="27" t="s">
        <v>7</v>
      </c>
      <c r="AK395" s="27" t="s">
        <v>8</v>
      </c>
    </row>
    <row r="396" spans="1:37" x14ac:dyDescent="0.25">
      <c r="A396" s="30">
        <v>4.7660973684510589E-4</v>
      </c>
      <c r="AJ396" s="27" t="s">
        <v>7</v>
      </c>
      <c r="AK396" s="27" t="s">
        <v>8</v>
      </c>
    </row>
    <row r="397" spans="1:37" x14ac:dyDescent="0.25">
      <c r="A397" s="30">
        <v>4.5277925000285056E-4</v>
      </c>
      <c r="AJ397" s="27" t="s">
        <v>7</v>
      </c>
      <c r="AK397" s="27" t="s">
        <v>8</v>
      </c>
    </row>
    <row r="398" spans="1:37" x14ac:dyDescent="0.25">
      <c r="A398" s="30">
        <v>4.3014028750270803E-4</v>
      </c>
      <c r="AJ398" s="27" t="s">
        <v>7</v>
      </c>
      <c r="AK398" s="27" t="s">
        <v>8</v>
      </c>
    </row>
    <row r="399" spans="1:37" x14ac:dyDescent="0.25">
      <c r="A399" s="30">
        <v>4.0863327312757263E-4</v>
      </c>
      <c r="AJ399" s="27" t="s">
        <v>7</v>
      </c>
      <c r="AK399" s="27" t="s">
        <v>8</v>
      </c>
    </row>
    <row r="400" spans="1:37" x14ac:dyDescent="0.25">
      <c r="A400" s="30">
        <v>3.8820160947119396E-4</v>
      </c>
      <c r="AJ400" s="27" t="s">
        <v>7</v>
      </c>
      <c r="AK400" s="27" t="s">
        <v>8</v>
      </c>
    </row>
    <row r="401" spans="1:37" x14ac:dyDescent="0.25">
      <c r="A401" s="30">
        <v>3.6879152899763426E-4</v>
      </c>
      <c r="AJ401" s="27" t="s">
        <v>7</v>
      </c>
      <c r="AK401" s="27" t="s">
        <v>8</v>
      </c>
    </row>
    <row r="402" spans="1:37" x14ac:dyDescent="0.25">
      <c r="A402" s="30">
        <v>3.5035195254775253E-4</v>
      </c>
      <c r="AJ402" s="27" t="s">
        <v>7</v>
      </c>
      <c r="AK402" s="27" t="s">
        <v>8</v>
      </c>
    </row>
    <row r="403" spans="1:37" x14ac:dyDescent="0.25">
      <c r="A403" s="30">
        <v>3.3283435492036491E-4</v>
      </c>
      <c r="AJ403" s="27" t="s">
        <v>7</v>
      </c>
      <c r="AK403" s="27" t="s">
        <v>8</v>
      </c>
    </row>
    <row r="404" spans="1:37" x14ac:dyDescent="0.25">
      <c r="A404" s="30">
        <v>3.1619263717434668E-4</v>
      </c>
      <c r="AJ404" s="27" t="s">
        <v>7</v>
      </c>
      <c r="AK404" s="27" t="s">
        <v>8</v>
      </c>
    </row>
    <row r="405" spans="1:37" x14ac:dyDescent="0.25">
      <c r="A405" s="30">
        <v>3.0038300531562933E-4</v>
      </c>
      <c r="AJ405" s="27" t="s">
        <v>7</v>
      </c>
      <c r="AK405" s="27" t="s">
        <v>8</v>
      </c>
    </row>
    <row r="406" spans="1:37" x14ac:dyDescent="0.25">
      <c r="A406" s="30">
        <v>2.8536385504984783E-4</v>
      </c>
      <c r="AJ406" s="27" t="s">
        <v>7</v>
      </c>
      <c r="AK406" s="27" t="s">
        <v>8</v>
      </c>
    </row>
    <row r="407" spans="1:37" x14ac:dyDescent="0.25">
      <c r="A407" s="30">
        <v>2.7109566229735542E-4</v>
      </c>
      <c r="AJ407" s="27" t="s">
        <v>7</v>
      </c>
      <c r="AK407" s="27" t="s">
        <v>8</v>
      </c>
    </row>
    <row r="408" spans="1:37" x14ac:dyDescent="0.25">
      <c r="A408" s="30">
        <v>2.5754087918248761E-4</v>
      </c>
      <c r="AJ408" s="27" t="s">
        <v>7</v>
      </c>
      <c r="AK408" s="27" t="s">
        <v>8</v>
      </c>
    </row>
    <row r="409" spans="1:37" x14ac:dyDescent="0.25">
      <c r="A409" s="30">
        <v>2.4466383522336323E-4</v>
      </c>
      <c r="AJ409" s="27" t="s">
        <v>7</v>
      </c>
      <c r="AK409" s="27" t="s">
        <v>8</v>
      </c>
    </row>
    <row r="410" spans="1:37" x14ac:dyDescent="0.25">
      <c r="A410" s="30">
        <v>2.3243064346219506E-4</v>
      </c>
      <c r="AJ410" s="27" t="s">
        <v>7</v>
      </c>
      <c r="AK410" s="27" t="s">
        <v>8</v>
      </c>
    </row>
    <row r="411" spans="1:37" x14ac:dyDescent="0.25">
      <c r="A411" s="30">
        <v>2.2080911128908529E-4</v>
      </c>
      <c r="AJ411" s="27" t="s">
        <v>7</v>
      </c>
    </row>
    <row r="412" spans="1:37" x14ac:dyDescent="0.25">
      <c r="A412" s="30">
        <v>2.0976865572463102E-4</v>
      </c>
    </row>
    <row r="413" spans="1:37" x14ac:dyDescent="0.25">
      <c r="A413" s="30">
        <v>1.9928022293839946E-4</v>
      </c>
    </row>
    <row r="414" spans="1:37" x14ac:dyDescent="0.25">
      <c r="A414" s="30">
        <v>1.8931621179147948E-4</v>
      </c>
    </row>
    <row r="415" spans="1:37" x14ac:dyDescent="0.25">
      <c r="A415" s="30">
        <v>1.798504012019055E-4</v>
      </c>
    </row>
    <row r="416" spans="1:37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27" operator="equal">
      <formula>$U$1</formula>
    </cfRule>
    <cfRule type="cellIs" dxfId="67" priority="1128" operator="equal">
      <formula>$S$1</formula>
    </cfRule>
  </conditionalFormatting>
  <conditionalFormatting sqref="D136">
    <cfRule type="cellIs" dxfId="66" priority="1125" operator="equal">
      <formula>$S$1</formula>
    </cfRule>
    <cfRule type="cellIs" dxfId="65" priority="1126" operator="equal">
      <formula>$U$1</formula>
    </cfRule>
  </conditionalFormatting>
  <conditionalFormatting sqref="C162">
    <cfRule type="cellIs" dxfId="64" priority="1123" operator="equal">
      <formula>$U$1</formula>
    </cfRule>
    <cfRule type="cellIs" dxfId="63" priority="1124" operator="equal">
      <formula>$S$1</formula>
    </cfRule>
  </conditionalFormatting>
  <conditionalFormatting sqref="D162">
    <cfRule type="cellIs" dxfId="62" priority="1121" operator="equal">
      <formula>$S$1</formula>
    </cfRule>
    <cfRule type="cellIs" dxfId="61" priority="1122" operator="equal">
      <formula>$U$1</formula>
    </cfRule>
  </conditionalFormatting>
  <conditionalFormatting sqref="C187">
    <cfRule type="cellIs" dxfId="60" priority="1119" operator="equal">
      <formula>$U$1</formula>
    </cfRule>
    <cfRule type="cellIs" dxfId="59" priority="1120" operator="equal">
      <formula>$S$1</formula>
    </cfRule>
  </conditionalFormatting>
  <conditionalFormatting sqref="D187">
    <cfRule type="cellIs" dxfId="58" priority="1117" operator="equal">
      <formula>$S$1</formula>
    </cfRule>
    <cfRule type="cellIs" dxfId="57" priority="1118" operator="equal">
      <formula>$U$1</formula>
    </cfRule>
  </conditionalFormatting>
  <conditionalFormatting sqref="C212">
    <cfRule type="cellIs" dxfId="56" priority="1115" operator="equal">
      <formula>$U$1</formula>
    </cfRule>
    <cfRule type="cellIs" dxfId="55" priority="1116" operator="equal">
      <formula>$S$1</formula>
    </cfRule>
  </conditionalFormatting>
  <conditionalFormatting sqref="D212">
    <cfRule type="cellIs" dxfId="54" priority="1113" operator="equal">
      <formula>$S$1</formula>
    </cfRule>
    <cfRule type="cellIs" dxfId="53" priority="1114" operator="equal">
      <formula>$U$1</formula>
    </cfRule>
  </conditionalFormatting>
  <conditionalFormatting sqref="C237">
    <cfRule type="cellIs" dxfId="52" priority="1111" operator="equal">
      <formula>$U$1</formula>
    </cfRule>
    <cfRule type="cellIs" dxfId="51" priority="1112" operator="equal">
      <formula>$S$1</formula>
    </cfRule>
  </conditionalFormatting>
  <conditionalFormatting sqref="D237">
    <cfRule type="cellIs" dxfId="50" priority="1109" operator="equal">
      <formula>$S$1</formula>
    </cfRule>
    <cfRule type="cellIs" dxfId="49" priority="1110" operator="equal">
      <formula>$U$1</formula>
    </cfRule>
  </conditionalFormatting>
  <conditionalFormatting sqref="C106">
    <cfRule type="cellIs" dxfId="48" priority="1107" operator="equal">
      <formula>$U$1</formula>
    </cfRule>
    <cfRule type="cellIs" dxfId="47" priority="1108" operator="equal">
      <formula>$S$1</formula>
    </cfRule>
  </conditionalFormatting>
  <conditionalFormatting sqref="D106">
    <cfRule type="cellIs" dxfId="46" priority="1105" operator="equal">
      <formula>$S$1</formula>
    </cfRule>
    <cfRule type="cellIs" dxfId="45" priority="1106" operator="equal">
      <formula>$U$1</formula>
    </cfRule>
  </conditionalFormatting>
  <conditionalFormatting sqref="C81">
    <cfRule type="cellIs" dxfId="44" priority="1103" operator="equal">
      <formula>$U$1</formula>
    </cfRule>
    <cfRule type="cellIs" dxfId="43" priority="1104" operator="equal">
      <formula>$S$1</formula>
    </cfRule>
  </conditionalFormatting>
  <conditionalFormatting sqref="D81">
    <cfRule type="cellIs" dxfId="42" priority="1101" operator="equal">
      <formula>$S$1</formula>
    </cfRule>
    <cfRule type="cellIs" dxfId="41" priority="1102" operator="equal">
      <formula>$U$1</formula>
    </cfRule>
  </conditionalFormatting>
  <conditionalFormatting sqref="C56">
    <cfRule type="cellIs" dxfId="40" priority="1099" operator="equal">
      <formula>$U$1</formula>
    </cfRule>
    <cfRule type="cellIs" dxfId="39" priority="1100" operator="equal">
      <formula>$S$1</formula>
    </cfRule>
  </conditionalFormatting>
  <conditionalFormatting sqref="D56">
    <cfRule type="cellIs" dxfId="38" priority="1097" operator="equal">
      <formula>$S$1</formula>
    </cfRule>
    <cfRule type="cellIs" dxfId="37" priority="1098" operator="equal">
      <formula>$U$1</formula>
    </cfRule>
  </conditionalFormatting>
  <conditionalFormatting sqref="C31">
    <cfRule type="cellIs" dxfId="36" priority="1095" operator="equal">
      <formula>$U$1</formula>
    </cfRule>
    <cfRule type="cellIs" dxfId="35" priority="1096" operator="equal">
      <formula>$S$1</formula>
    </cfRule>
  </conditionalFormatting>
  <conditionalFormatting sqref="D31">
    <cfRule type="cellIs" dxfId="34" priority="1093" operator="equal">
      <formula>$S$1</formula>
    </cfRule>
    <cfRule type="cellIs" dxfId="33" priority="109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B177" sqref="BB17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$A$176</v>
      </c>
      <c r="D111" s="1" t="str">
        <f>ADDRESS(C121-1,D121,1,1)</f>
        <v>$BB$176</v>
      </c>
      <c r="E111"/>
    </row>
    <row r="112" spans="1:5" x14ac:dyDescent="0.25">
      <c r="A112" s="30">
        <v>2.3579476910000019</v>
      </c>
      <c r="C112" s="1" t="str">
        <f>ADDRESS(C121,1,1,1)</f>
        <v>$A$177</v>
      </c>
      <c r="D112" s="1" t="str">
        <f>ADDRESS(C121,D121-1,1,1)</f>
        <v>$BA$177</v>
      </c>
      <c r="E112"/>
    </row>
    <row r="113" spans="1:6" x14ac:dyDescent="0.25">
      <c r="A113" s="30">
        <v>2.1435888100000016</v>
      </c>
      <c r="C113" s="1" t="str">
        <f>ADDRESS(C121+1,1,1,1)</f>
        <v>$A$178</v>
      </c>
      <c r="D113" s="1" t="str">
        <f>ADDRESS(C121-1,D121+1,1,1)</f>
        <v>$BC$176</v>
      </c>
    </row>
    <row r="114" spans="1:6" x14ac:dyDescent="0.25">
      <c r="A114" s="30">
        <v>1.9487171000000014</v>
      </c>
      <c r="C114" s="1" t="str">
        <f>ADDRESS(C121,D121,1,1)</f>
        <v>$BB$177</v>
      </c>
      <c r="D114" s="1" t="str">
        <f>ADDRESS(C121+1,D121+1,1,1)</f>
        <v>$BC$178</v>
      </c>
    </row>
    <row r="115" spans="1:6" x14ac:dyDescent="0.25">
      <c r="A115" s="30">
        <v>1.7715610000000011</v>
      </c>
      <c r="C115" s="1" t="str">
        <f>ADDRESS(C121+1,D121,1,1)</f>
        <v>$BB$178</v>
      </c>
    </row>
    <row r="116" spans="1:6" x14ac:dyDescent="0.25">
      <c r="A116" s="30">
        <v>1.6105100000000008</v>
      </c>
      <c r="C116" s="1">
        <f>C117-1</f>
        <v>176</v>
      </c>
    </row>
    <row r="117" spans="1:6" x14ac:dyDescent="0.25">
      <c r="A117" s="30">
        <v>1.4641000000000006</v>
      </c>
      <c r="C117" s="1">
        <f>C121</f>
        <v>177</v>
      </c>
      <c r="D117" s="1">
        <f>D121</f>
        <v>54</v>
      </c>
    </row>
    <row r="118" spans="1:6" x14ac:dyDescent="0.25">
      <c r="A118" s="30">
        <v>1.3310000000000004</v>
      </c>
      <c r="C118" s="1">
        <f>C117+1</f>
        <v>178</v>
      </c>
      <c r="D118" s="1">
        <f>D117+1</f>
        <v>55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177</v>
      </c>
      <c r="D121" s="19">
        <v>54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R177</v>
      </c>
      <c r="D123" s="1" t="str">
        <f>"C"&amp;D121</f>
        <v>C54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4.8085001191043222E-3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36" x14ac:dyDescent="0.25">
      <c r="A145" s="30">
        <v>0.10152559799477026</v>
      </c>
      <c r="B145"/>
      <c r="C145"/>
      <c r="D145"/>
      <c r="E145"/>
      <c r="F145" s="27" t="s">
        <v>7</v>
      </c>
    </row>
    <row r="146" spans="1:36" x14ac:dyDescent="0.25">
      <c r="A146" s="30">
        <v>9.2295998177063854E-2</v>
      </c>
      <c r="B146"/>
      <c r="C146"/>
      <c r="D146"/>
      <c r="E146"/>
      <c r="F146" s="27" t="s">
        <v>7</v>
      </c>
    </row>
    <row r="147" spans="1:36" x14ac:dyDescent="0.25">
      <c r="A147" s="30">
        <v>8.3905452888239848E-2</v>
      </c>
      <c r="B147"/>
      <c r="C147"/>
      <c r="D147"/>
      <c r="E147"/>
      <c r="F147" s="27" t="s">
        <v>7</v>
      </c>
    </row>
    <row r="148" spans="1:36" x14ac:dyDescent="0.25">
      <c r="A148" s="30">
        <v>7.6277684443854396E-2</v>
      </c>
      <c r="B148"/>
      <c r="C148"/>
      <c r="D148"/>
      <c r="E148"/>
      <c r="F148" s="27" t="s">
        <v>7</v>
      </c>
    </row>
    <row r="149" spans="1:36" x14ac:dyDescent="0.25">
      <c r="A149" s="30">
        <v>6.9343349494413078E-2</v>
      </c>
      <c r="B149"/>
      <c r="C149"/>
      <c r="D149"/>
      <c r="E149"/>
      <c r="F149" s="27" t="s">
        <v>7</v>
      </c>
    </row>
    <row r="150" spans="1:36" x14ac:dyDescent="0.25">
      <c r="A150" s="30">
        <v>6.3039408631284613E-2</v>
      </c>
      <c r="B150"/>
      <c r="C150"/>
      <c r="D150"/>
      <c r="E150"/>
      <c r="F150" s="27" t="s">
        <v>7</v>
      </c>
    </row>
    <row r="151" spans="1:36" x14ac:dyDescent="0.25">
      <c r="A151" s="30">
        <v>5.7308553301167818E-2</v>
      </c>
      <c r="B151"/>
      <c r="C151"/>
      <c r="D151"/>
      <c r="E151"/>
      <c r="F151" s="27" t="s">
        <v>7</v>
      </c>
    </row>
    <row r="152" spans="1:36" x14ac:dyDescent="0.25">
      <c r="A152" s="30">
        <v>5.2098684819243464E-2</v>
      </c>
      <c r="B152"/>
      <c r="C152"/>
      <c r="D152"/>
      <c r="E152"/>
      <c r="F152" s="27" t="s">
        <v>7</v>
      </c>
    </row>
    <row r="153" spans="1:36" x14ac:dyDescent="0.25">
      <c r="A153" s="30">
        <v>4.7362440744766775E-2</v>
      </c>
      <c r="B153"/>
      <c r="C153"/>
      <c r="D153"/>
      <c r="E153"/>
      <c r="F153" s="27" t="s">
        <v>7</v>
      </c>
    </row>
    <row r="154" spans="1:36" x14ac:dyDescent="0.25">
      <c r="A154" s="30">
        <v>4.3056764313424332E-2</v>
      </c>
      <c r="B154"/>
      <c r="C154"/>
      <c r="D154"/>
      <c r="E154"/>
      <c r="F154" s="27" t="s">
        <v>7</v>
      </c>
      <c r="AG154" s="27" t="s">
        <v>8</v>
      </c>
    </row>
    <row r="155" spans="1:36" x14ac:dyDescent="0.25">
      <c r="A155" s="30">
        <v>3.9142513012203929E-2</v>
      </c>
      <c r="B155"/>
      <c r="C155"/>
      <c r="D155"/>
      <c r="E155"/>
      <c r="F155" s="27" t="s">
        <v>7</v>
      </c>
      <c r="AG155" s="27" t="s">
        <v>8</v>
      </c>
      <c r="AH155" s="27" t="s">
        <v>7</v>
      </c>
    </row>
    <row r="156" spans="1:36" x14ac:dyDescent="0.25">
      <c r="A156" s="30">
        <v>3.55841027383672E-2</v>
      </c>
      <c r="B156"/>
      <c r="C156"/>
      <c r="D156"/>
      <c r="E156"/>
      <c r="F156" s="27" t="s">
        <v>7</v>
      </c>
      <c r="AG156" s="27" t="s">
        <v>8</v>
      </c>
      <c r="AH156" s="27" t="s">
        <v>7</v>
      </c>
    </row>
    <row r="157" spans="1:36" x14ac:dyDescent="0.25">
      <c r="A157" s="30">
        <v>3.2349184307606541E-2</v>
      </c>
      <c r="B157"/>
      <c r="C157"/>
      <c r="D157"/>
      <c r="E157"/>
      <c r="F157" s="27" t="s">
        <v>7</v>
      </c>
      <c r="AG157" s="27" t="s">
        <v>8</v>
      </c>
      <c r="AH157" s="27" t="s">
        <v>7</v>
      </c>
    </row>
    <row r="158" spans="1:36" x14ac:dyDescent="0.25">
      <c r="A158" s="30">
        <v>2.9408349370551395E-2</v>
      </c>
      <c r="B158"/>
      <c r="C158"/>
      <c r="D158"/>
      <c r="E158"/>
      <c r="F158" s="27" t="s">
        <v>7</v>
      </c>
      <c r="AG158" s="27" t="s">
        <v>8</v>
      </c>
      <c r="AH158" s="27" t="s">
        <v>7</v>
      </c>
    </row>
    <row r="159" spans="1:36" x14ac:dyDescent="0.25">
      <c r="A159" s="30">
        <v>2.6734863064137627E-2</v>
      </c>
      <c r="B159"/>
      <c r="C159"/>
      <c r="D159"/>
      <c r="E159"/>
      <c r="F159" s="27" t="s">
        <v>7</v>
      </c>
      <c r="AE159" s="27" t="s">
        <v>8</v>
      </c>
      <c r="AG159" s="27" t="s">
        <v>8</v>
      </c>
      <c r="AH159" s="27" t="s">
        <v>7</v>
      </c>
      <c r="AI159" s="27" t="s">
        <v>8</v>
      </c>
    </row>
    <row r="160" spans="1:36" x14ac:dyDescent="0.25">
      <c r="A160" s="30">
        <v>2.4304420967397839E-2</v>
      </c>
      <c r="B160"/>
      <c r="C160"/>
      <c r="D160"/>
      <c r="E160"/>
      <c r="F160" s="27" t="s">
        <v>7</v>
      </c>
      <c r="AE160" s="27" t="s">
        <v>8</v>
      </c>
      <c r="AF160" s="27" t="s">
        <v>7</v>
      </c>
      <c r="AG160" s="27" t="s">
        <v>8</v>
      </c>
      <c r="AH160" s="27" t="s">
        <v>7</v>
      </c>
      <c r="AI160" s="27" t="s">
        <v>8</v>
      </c>
      <c r="AJ160" s="27" t="s">
        <v>7</v>
      </c>
    </row>
    <row r="161" spans="1:54" x14ac:dyDescent="0.25">
      <c r="A161" s="30">
        <v>2.2094928152179852E-2</v>
      </c>
      <c r="B161"/>
      <c r="C161"/>
      <c r="D161"/>
      <c r="E161"/>
      <c r="F161" s="27" t="s">
        <v>7</v>
      </c>
      <c r="AE161" s="27" t="s">
        <v>8</v>
      </c>
      <c r="AF161" s="27" t="s">
        <v>7</v>
      </c>
      <c r="AG161" s="27" t="s">
        <v>8</v>
      </c>
      <c r="AH161" s="27" t="s">
        <v>7</v>
      </c>
      <c r="AI161" s="27" t="s">
        <v>8</v>
      </c>
      <c r="AJ161" s="27" t="s">
        <v>7</v>
      </c>
    </row>
    <row r="162" spans="1:54" x14ac:dyDescent="0.25">
      <c r="A162" s="30">
        <v>2.0086298320163499E-2</v>
      </c>
      <c r="B162"/>
      <c r="C162"/>
      <c r="D162"/>
      <c r="E162"/>
      <c r="F162" s="27" t="s">
        <v>7</v>
      </c>
      <c r="AE162" s="27" t="s">
        <v>8</v>
      </c>
      <c r="AF162" s="27" t="s">
        <v>7</v>
      </c>
      <c r="AG162" s="27" t="s">
        <v>8</v>
      </c>
      <c r="AH162" s="27" t="s">
        <v>7</v>
      </c>
      <c r="AI162" s="27" t="s">
        <v>8</v>
      </c>
      <c r="AJ162" s="27" t="s">
        <v>7</v>
      </c>
    </row>
    <row r="163" spans="1:54" x14ac:dyDescent="0.25">
      <c r="A163" s="30">
        <v>1.8260271200148632E-2</v>
      </c>
      <c r="B163"/>
      <c r="C163"/>
      <c r="D163"/>
      <c r="E163"/>
      <c r="F163" s="27" t="s">
        <v>7</v>
      </c>
      <c r="AE163" s="27" t="s">
        <v>8</v>
      </c>
      <c r="AF163" s="27" t="s">
        <v>7</v>
      </c>
      <c r="AG163" s="27" t="s">
        <v>8</v>
      </c>
      <c r="AH163" s="27" t="s">
        <v>7</v>
      </c>
      <c r="AJ163" s="27" t="s">
        <v>7</v>
      </c>
      <c r="AK163" s="27" t="s">
        <v>8</v>
      </c>
    </row>
    <row r="164" spans="1:54" x14ac:dyDescent="0.25">
      <c r="A164" s="30">
        <v>1.6600246545589663E-2</v>
      </c>
      <c r="B164"/>
      <c r="C164"/>
      <c r="D164"/>
      <c r="E164"/>
      <c r="F164" s="27" t="s">
        <v>7</v>
      </c>
      <c r="AC164" s="27" t="s">
        <v>8</v>
      </c>
      <c r="AE164" s="27" t="s">
        <v>8</v>
      </c>
      <c r="AF164" s="27" t="s">
        <v>7</v>
      </c>
      <c r="AJ164" s="27" t="s">
        <v>7</v>
      </c>
      <c r="AK164" s="27" t="s">
        <v>8</v>
      </c>
      <c r="AL164" s="27" t="s">
        <v>7</v>
      </c>
      <c r="AW164" s="27" t="s">
        <v>8</v>
      </c>
    </row>
    <row r="165" spans="1:54" x14ac:dyDescent="0.25">
      <c r="A165" s="30">
        <v>1.5091133223263328E-2</v>
      </c>
      <c r="B165"/>
      <c r="C165"/>
      <c r="D165"/>
      <c r="E165"/>
      <c r="F165" s="27" t="s">
        <v>7</v>
      </c>
      <c r="AC165" s="27" t="s">
        <v>8</v>
      </c>
      <c r="AD165" s="27" t="s">
        <v>7</v>
      </c>
      <c r="AE165" s="27" t="s">
        <v>8</v>
      </c>
      <c r="AJ165" s="27" t="s">
        <v>7</v>
      </c>
      <c r="AK165" s="27" t="s">
        <v>8</v>
      </c>
      <c r="AL165" s="27" t="s">
        <v>7</v>
      </c>
      <c r="AU165" s="27" t="s">
        <v>8</v>
      </c>
      <c r="AW165" s="27" t="s">
        <v>8</v>
      </c>
      <c r="AX165" s="27" t="s">
        <v>7</v>
      </c>
    </row>
    <row r="166" spans="1:54" x14ac:dyDescent="0.25">
      <c r="A166" s="30">
        <v>1.3719212021148477E-2</v>
      </c>
      <c r="B166"/>
      <c r="C166"/>
      <c r="D166"/>
      <c r="E166"/>
      <c r="F166" s="27" t="s">
        <v>7</v>
      </c>
      <c r="AC166" s="27" t="s">
        <v>8</v>
      </c>
      <c r="AD166" s="27" t="s">
        <v>7</v>
      </c>
      <c r="AE166" s="27" t="s">
        <v>8</v>
      </c>
      <c r="AJ166" s="27" t="s">
        <v>7</v>
      </c>
      <c r="AK166" s="27" t="s">
        <v>8</v>
      </c>
      <c r="AL166" s="27" t="s">
        <v>7</v>
      </c>
      <c r="AS166" s="27" t="s">
        <v>8</v>
      </c>
      <c r="AU166" s="27" t="s">
        <v>8</v>
      </c>
      <c r="AV166" s="27" t="s">
        <v>7</v>
      </c>
      <c r="AW166" s="27" t="s">
        <v>8</v>
      </c>
      <c r="AX166" s="27" t="s">
        <v>7</v>
      </c>
      <c r="AY166" s="27" t="s">
        <v>8</v>
      </c>
    </row>
    <row r="167" spans="1:54" x14ac:dyDescent="0.25">
      <c r="A167" s="30">
        <v>1.2472010928316795E-2</v>
      </c>
      <c r="B167"/>
      <c r="C167"/>
      <c r="D167"/>
      <c r="E167"/>
      <c r="F167" s="27" t="s">
        <v>7</v>
      </c>
      <c r="AC167" s="27" t="s">
        <v>8</v>
      </c>
      <c r="AD167" s="27" t="s">
        <v>7</v>
      </c>
      <c r="AE167" s="27" t="s">
        <v>8</v>
      </c>
      <c r="AJ167" s="27" t="s">
        <v>7</v>
      </c>
      <c r="AK167" s="27" t="s">
        <v>8</v>
      </c>
      <c r="AL167" s="27" t="s">
        <v>7</v>
      </c>
      <c r="AM167" s="27" t="s">
        <v>8</v>
      </c>
      <c r="AS167" s="27" t="s">
        <v>8</v>
      </c>
      <c r="AT167" s="27" t="s">
        <v>7</v>
      </c>
      <c r="AU167" s="27" t="s">
        <v>8</v>
      </c>
      <c r="AV167" s="27" t="s">
        <v>7</v>
      </c>
      <c r="AW167" s="27" t="s">
        <v>8</v>
      </c>
      <c r="AX167" s="27" t="s">
        <v>7</v>
      </c>
      <c r="AY167" s="27" t="s">
        <v>8</v>
      </c>
      <c r="AZ167" s="27" t="s">
        <v>7</v>
      </c>
    </row>
    <row r="168" spans="1:54" x14ac:dyDescent="0.25">
      <c r="A168" s="30">
        <v>1.1338191753015267E-2</v>
      </c>
      <c r="B168"/>
      <c r="C168"/>
      <c r="D168"/>
      <c r="E168"/>
      <c r="F168" s="27" t="s">
        <v>7</v>
      </c>
      <c r="AC168" s="27" t="s">
        <v>8</v>
      </c>
      <c r="AD168" s="27" t="s">
        <v>7</v>
      </c>
      <c r="AE168" s="27" t="s">
        <v>8</v>
      </c>
      <c r="AJ168" s="27" t="s">
        <v>7</v>
      </c>
      <c r="AK168" s="27" t="s">
        <v>8</v>
      </c>
      <c r="AL168" s="27" t="s">
        <v>7</v>
      </c>
      <c r="AM168" s="27" t="s">
        <v>8</v>
      </c>
      <c r="AN168" s="27" t="s">
        <v>7</v>
      </c>
      <c r="AS168" s="27" t="s">
        <v>8</v>
      </c>
      <c r="AT168" s="27" t="s">
        <v>7</v>
      </c>
      <c r="AU168" s="27" t="s">
        <v>8</v>
      </c>
      <c r="AV168" s="27" t="s">
        <v>7</v>
      </c>
      <c r="AW168" s="27" t="s">
        <v>8</v>
      </c>
      <c r="AX168" s="27" t="s">
        <v>7</v>
      </c>
      <c r="AY168" s="27" t="s">
        <v>8</v>
      </c>
      <c r="AZ168" s="27" t="s">
        <v>7</v>
      </c>
    </row>
    <row r="169" spans="1:54" x14ac:dyDescent="0.25">
      <c r="A169" s="30">
        <v>1.0307447048195697E-2</v>
      </c>
      <c r="B169"/>
      <c r="C169"/>
      <c r="D169"/>
      <c r="E169"/>
      <c r="F169" s="27" t="s">
        <v>7</v>
      </c>
      <c r="AC169" s="27" t="s">
        <v>8</v>
      </c>
      <c r="AD169" s="27" t="s">
        <v>7</v>
      </c>
      <c r="AJ169" s="27" t="s">
        <v>7</v>
      </c>
      <c r="AL169" s="27" t="s">
        <v>7</v>
      </c>
      <c r="AM169" s="27" t="s">
        <v>8</v>
      </c>
      <c r="AN169" s="27" t="s">
        <v>7</v>
      </c>
      <c r="AO169" s="27" t="s">
        <v>8</v>
      </c>
      <c r="AS169" s="27" t="s">
        <v>8</v>
      </c>
      <c r="AT169" s="27" t="s">
        <v>7</v>
      </c>
      <c r="AU169" s="27" t="s">
        <v>8</v>
      </c>
      <c r="AV169" s="27" t="s">
        <v>7</v>
      </c>
      <c r="AW169" s="27" t="s">
        <v>8</v>
      </c>
      <c r="AX169" s="27" t="s">
        <v>7</v>
      </c>
      <c r="AZ169" s="27" t="s">
        <v>7</v>
      </c>
      <c r="BA169" s="27" t="s">
        <v>8</v>
      </c>
    </row>
    <row r="170" spans="1:54" x14ac:dyDescent="0.25">
      <c r="A170" s="30">
        <v>9.3704064074506318E-3</v>
      </c>
      <c r="B170"/>
      <c r="C170"/>
      <c r="D170"/>
      <c r="E170"/>
      <c r="F170" s="27" t="s">
        <v>7</v>
      </c>
      <c r="AC170" s="27" t="s">
        <v>8</v>
      </c>
      <c r="AL170" s="27" t="s">
        <v>7</v>
      </c>
      <c r="AM170" s="27" t="s">
        <v>8</v>
      </c>
      <c r="AN170" s="27" t="s">
        <v>7</v>
      </c>
      <c r="AO170" s="27" t="s">
        <v>8</v>
      </c>
      <c r="AP170" s="27" t="s">
        <v>7</v>
      </c>
      <c r="AS170" s="27" t="s">
        <v>8</v>
      </c>
      <c r="AT170" s="27" t="s">
        <v>7</v>
      </c>
      <c r="AU170" s="27" t="s">
        <v>8</v>
      </c>
      <c r="AV170" s="27" t="s">
        <v>7</v>
      </c>
      <c r="AZ170" s="27" t="s">
        <v>7</v>
      </c>
      <c r="BA170" s="27" t="s">
        <v>8</v>
      </c>
      <c r="BB170" s="27" t="s">
        <v>7</v>
      </c>
    </row>
    <row r="171" spans="1:54" x14ac:dyDescent="0.25">
      <c r="A171" s="30">
        <v>8.5185512795005747E-3</v>
      </c>
      <c r="F171" s="27" t="s">
        <v>7</v>
      </c>
      <c r="AC171" s="27" t="s">
        <v>8</v>
      </c>
      <c r="AL171" s="27" t="s">
        <v>7</v>
      </c>
      <c r="AM171" s="27" t="s">
        <v>8</v>
      </c>
      <c r="AN171" s="27" t="s">
        <v>7</v>
      </c>
      <c r="AO171" s="27" t="s">
        <v>8</v>
      </c>
      <c r="AP171" s="27" t="s">
        <v>7</v>
      </c>
      <c r="AQ171" s="27" t="s">
        <v>8</v>
      </c>
      <c r="AS171" s="27" t="s">
        <v>8</v>
      </c>
      <c r="AT171" s="27" t="s">
        <v>7</v>
      </c>
      <c r="AU171" s="27" t="s">
        <v>8</v>
      </c>
      <c r="AZ171" s="27" t="s">
        <v>7</v>
      </c>
      <c r="BA171" s="27" t="s">
        <v>8</v>
      </c>
      <c r="BB171" s="27" t="s">
        <v>7</v>
      </c>
    </row>
    <row r="172" spans="1:54" x14ac:dyDescent="0.25">
      <c r="A172" s="30">
        <v>7.744137526818704E-3</v>
      </c>
      <c r="F172" s="27" t="s">
        <v>7</v>
      </c>
      <c r="AC172" s="27" t="s">
        <v>8</v>
      </c>
      <c r="AL172" s="27" t="s">
        <v>7</v>
      </c>
      <c r="AM172" s="27" t="s">
        <v>8</v>
      </c>
      <c r="AN172" s="27" t="s">
        <v>7</v>
      </c>
      <c r="AP172" s="27" t="s">
        <v>7</v>
      </c>
      <c r="AQ172" s="27" t="s">
        <v>8</v>
      </c>
      <c r="AR172" s="27" t="s">
        <v>7</v>
      </c>
      <c r="AS172" s="27" t="s">
        <v>8</v>
      </c>
      <c r="AT172" s="27" t="s">
        <v>7</v>
      </c>
      <c r="AU172" s="27" t="s">
        <v>8</v>
      </c>
      <c r="AZ172" s="27" t="s">
        <v>7</v>
      </c>
      <c r="BB172" s="27" t="s">
        <v>7</v>
      </c>
    </row>
    <row r="173" spans="1:54" x14ac:dyDescent="0.25">
      <c r="A173" s="30">
        <v>7.0401250243806394E-3</v>
      </c>
      <c r="F173" s="27" t="s">
        <v>7</v>
      </c>
      <c r="AC173" s="27" t="s">
        <v>8</v>
      </c>
      <c r="AL173" s="27" t="s">
        <v>7</v>
      </c>
      <c r="AM173" s="27" t="s">
        <v>8</v>
      </c>
      <c r="AP173" s="27" t="s">
        <v>7</v>
      </c>
      <c r="AQ173" s="27" t="s">
        <v>8</v>
      </c>
      <c r="AR173" s="27" t="s">
        <v>7</v>
      </c>
      <c r="AS173" s="27" t="s">
        <v>8</v>
      </c>
      <c r="AT173" s="27" t="s">
        <v>7</v>
      </c>
      <c r="BB173" s="27" t="s">
        <v>7</v>
      </c>
    </row>
    <row r="174" spans="1:54" x14ac:dyDescent="0.25">
      <c r="A174" s="30">
        <v>6.4001136585278536E-3</v>
      </c>
      <c r="F174" s="27" t="s">
        <v>7</v>
      </c>
      <c r="AC174" s="27" t="s">
        <v>8</v>
      </c>
      <c r="AL174" s="27" t="s">
        <v>7</v>
      </c>
      <c r="AP174" s="27" t="s">
        <v>7</v>
      </c>
      <c r="AQ174" s="27" t="s">
        <v>8</v>
      </c>
      <c r="AR174" s="27" t="s">
        <v>7</v>
      </c>
      <c r="AS174" s="27" t="s">
        <v>8</v>
      </c>
      <c r="BB174" s="27" t="s">
        <v>7</v>
      </c>
    </row>
    <row r="175" spans="1:54" x14ac:dyDescent="0.25">
      <c r="A175" s="30">
        <v>5.8182851441162305E-3</v>
      </c>
      <c r="F175" s="27" t="s">
        <v>7</v>
      </c>
      <c r="AC175" s="27" t="s">
        <v>8</v>
      </c>
      <c r="AP175" s="27" t="s">
        <v>7</v>
      </c>
      <c r="AQ175" s="27" t="s">
        <v>8</v>
      </c>
      <c r="AR175" s="18" t="s">
        <v>7</v>
      </c>
      <c r="AS175" s="27" t="s">
        <v>8</v>
      </c>
      <c r="BB175" s="27" t="s">
        <v>7</v>
      </c>
    </row>
    <row r="176" spans="1:54" x14ac:dyDescent="0.25">
      <c r="A176" s="30">
        <v>5.2893501310147546E-3</v>
      </c>
      <c r="F176" s="27" t="s">
        <v>7</v>
      </c>
      <c r="AC176" s="27" t="s">
        <v>8</v>
      </c>
      <c r="AP176" s="27" t="s">
        <v>7</v>
      </c>
      <c r="AQ176" s="27" t="s">
        <v>8</v>
      </c>
      <c r="AR176" s="27" t="s">
        <v>7</v>
      </c>
      <c r="BB176" s="27" t="s">
        <v>7</v>
      </c>
    </row>
    <row r="177" spans="1:54" x14ac:dyDescent="0.25">
      <c r="A177" s="30">
        <v>4.8085001191043222E-3</v>
      </c>
      <c r="F177" s="27" t="s">
        <v>7</v>
      </c>
      <c r="AC177" s="27" t="s">
        <v>8</v>
      </c>
      <c r="AP177" s="27" t="s">
        <v>7</v>
      </c>
      <c r="AQ177" s="27" t="s">
        <v>8</v>
      </c>
      <c r="BB177" s="27" t="s">
        <v>7</v>
      </c>
    </row>
    <row r="178" spans="1:54" x14ac:dyDescent="0.25">
      <c r="A178" s="30">
        <v>4.3713637446402926E-3</v>
      </c>
      <c r="F178" s="27" t="s">
        <v>7</v>
      </c>
      <c r="AA178" s="27" t="s">
        <v>8</v>
      </c>
      <c r="AC178" s="27" t="s">
        <v>8</v>
      </c>
      <c r="AP178" s="27" t="s">
        <v>7</v>
      </c>
      <c r="AQ178" s="27" t="s">
        <v>8</v>
      </c>
    </row>
    <row r="179" spans="1:54" x14ac:dyDescent="0.25">
      <c r="A179" s="30">
        <v>3.9739670405820838E-3</v>
      </c>
      <c r="F179" s="27" t="s">
        <v>7</v>
      </c>
      <c r="AA179" s="27" t="s">
        <v>8</v>
      </c>
      <c r="AB179" s="27" t="s">
        <v>7</v>
      </c>
      <c r="AC179" s="27" t="s">
        <v>8</v>
      </c>
      <c r="AP179" s="27" t="s">
        <v>7</v>
      </c>
      <c r="AQ179" s="27" t="s">
        <v>8</v>
      </c>
    </row>
    <row r="180" spans="1:54" x14ac:dyDescent="0.25">
      <c r="A180" s="30">
        <v>3.6126973096200759E-3</v>
      </c>
      <c r="F180" s="27" t="s">
        <v>7</v>
      </c>
      <c r="AA180" s="27" t="s">
        <v>8</v>
      </c>
      <c r="AB180" s="27" t="s">
        <v>7</v>
      </c>
      <c r="AC180" s="27" t="s">
        <v>8</v>
      </c>
      <c r="AP180" s="27" t="s">
        <v>7</v>
      </c>
      <c r="AQ180" s="27" t="s">
        <v>8</v>
      </c>
    </row>
    <row r="181" spans="1:54" x14ac:dyDescent="0.25">
      <c r="A181" s="30">
        <v>3.2842702814727962E-3</v>
      </c>
      <c r="F181" s="27" t="s">
        <v>7</v>
      </c>
      <c r="Y181" s="27" t="s">
        <v>8</v>
      </c>
      <c r="AA181" s="27" t="s">
        <v>8</v>
      </c>
      <c r="AB181" s="27" t="s">
        <v>7</v>
      </c>
      <c r="AC181" s="27" t="s">
        <v>8</v>
      </c>
      <c r="AP181" s="27" t="s">
        <v>7</v>
      </c>
    </row>
    <row r="182" spans="1:54" x14ac:dyDescent="0.25">
      <c r="A182" s="30">
        <v>2.9857002558843601E-3</v>
      </c>
      <c r="F182" s="27" t="s">
        <v>7</v>
      </c>
      <c r="Y182" s="27" t="s">
        <v>8</v>
      </c>
      <c r="Z182" s="27" t="s">
        <v>7</v>
      </c>
      <c r="AA182" s="27" t="s">
        <v>8</v>
      </c>
      <c r="AB182" s="27" t="s">
        <v>7</v>
      </c>
      <c r="AC182" s="27" t="s">
        <v>8</v>
      </c>
    </row>
    <row r="183" spans="1:54" x14ac:dyDescent="0.25">
      <c r="A183" s="30">
        <v>2.7142729598948726E-3</v>
      </c>
      <c r="F183" s="27" t="s">
        <v>7</v>
      </c>
      <c r="O183" s="27" t="s">
        <v>8</v>
      </c>
      <c r="Y183" s="27" t="s">
        <v>8</v>
      </c>
      <c r="Z183" s="27" t="s">
        <v>7</v>
      </c>
      <c r="AA183" s="27" t="s">
        <v>8</v>
      </c>
      <c r="AB183" s="27" t="s">
        <v>7</v>
      </c>
      <c r="AC183" s="27" t="s">
        <v>8</v>
      </c>
    </row>
    <row r="184" spans="1:54" x14ac:dyDescent="0.25">
      <c r="A184" s="30">
        <v>2.4675208726317021E-3</v>
      </c>
      <c r="F184" s="27" t="s">
        <v>7</v>
      </c>
      <c r="G184" s="27" t="s">
        <v>8</v>
      </c>
      <c r="O184" s="27" t="s">
        <v>8</v>
      </c>
      <c r="P184" s="27" t="s">
        <v>7</v>
      </c>
      <c r="Q184" s="27" t="s">
        <v>8</v>
      </c>
      <c r="W184" s="27" t="s">
        <v>8</v>
      </c>
      <c r="Y184" s="27" t="s">
        <v>8</v>
      </c>
      <c r="Z184" s="27" t="s">
        <v>7</v>
      </c>
      <c r="AB184" s="27" t="s">
        <v>7</v>
      </c>
      <c r="AC184" s="27" t="s">
        <v>8</v>
      </c>
    </row>
    <row r="185" spans="1:54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O185" s="27" t="s">
        <v>8</v>
      </c>
      <c r="P185" s="27" t="s">
        <v>7</v>
      </c>
      <c r="Q185" s="27" t="s">
        <v>8</v>
      </c>
      <c r="R185" s="27" t="s">
        <v>7</v>
      </c>
      <c r="W185" s="27" t="s">
        <v>8</v>
      </c>
      <c r="X185" s="27" t="s">
        <v>7</v>
      </c>
      <c r="Y185" s="27" t="s">
        <v>8</v>
      </c>
      <c r="AB185" s="27" t="s">
        <v>7</v>
      </c>
    </row>
    <row r="186" spans="1:54" x14ac:dyDescent="0.25">
      <c r="A186" s="30">
        <v>2.0392734484559519E-3</v>
      </c>
      <c r="F186" s="27" t="s">
        <v>7</v>
      </c>
      <c r="G186" s="27" t="s">
        <v>8</v>
      </c>
      <c r="H186" s="27" t="s">
        <v>7</v>
      </c>
      <c r="O186" s="27" t="s">
        <v>8</v>
      </c>
      <c r="P186" s="27" t="s">
        <v>7</v>
      </c>
      <c r="Q186" s="27" t="s">
        <v>8</v>
      </c>
      <c r="R186" s="27" t="s">
        <v>7</v>
      </c>
      <c r="U186" s="27" t="s">
        <v>8</v>
      </c>
      <c r="W186" s="27" t="s">
        <v>8</v>
      </c>
      <c r="X186" s="27" t="s">
        <v>7</v>
      </c>
      <c r="Y186" s="27" t="s">
        <v>8</v>
      </c>
    </row>
    <row r="187" spans="1:54" x14ac:dyDescent="0.25">
      <c r="A187" s="30">
        <v>1.8538849531417744E-3</v>
      </c>
      <c r="F187" s="27" t="s">
        <v>7</v>
      </c>
      <c r="H187" s="27" t="s">
        <v>7</v>
      </c>
      <c r="O187" s="27" t="s">
        <v>8</v>
      </c>
      <c r="P187" s="27" t="s">
        <v>7</v>
      </c>
      <c r="Q187" s="27" t="s">
        <v>8</v>
      </c>
      <c r="R187" s="27" t="s">
        <v>7</v>
      </c>
      <c r="U187" s="27" t="s">
        <v>8</v>
      </c>
      <c r="V187" s="27" t="s">
        <v>7</v>
      </c>
      <c r="W187" s="27" t="s">
        <v>8</v>
      </c>
      <c r="X187" s="27" t="s">
        <v>7</v>
      </c>
      <c r="Y187" s="27" t="s">
        <v>8</v>
      </c>
    </row>
    <row r="188" spans="1:54" x14ac:dyDescent="0.25">
      <c r="A188" s="30">
        <v>1.6853499574016129E-3</v>
      </c>
      <c r="H188" s="27" t="s">
        <v>7</v>
      </c>
      <c r="O188" s="27" t="s">
        <v>8</v>
      </c>
      <c r="P188" s="27" t="s">
        <v>7</v>
      </c>
      <c r="Q188" s="27" t="s">
        <v>8</v>
      </c>
      <c r="R188" s="27" t="s">
        <v>7</v>
      </c>
      <c r="U188" s="27" t="s">
        <v>8</v>
      </c>
      <c r="V188" s="27" t="s">
        <v>7</v>
      </c>
      <c r="W188" s="27" t="s">
        <v>8</v>
      </c>
      <c r="X188" s="27" t="s">
        <v>7</v>
      </c>
      <c r="Y188" s="27" t="s">
        <v>8</v>
      </c>
    </row>
    <row r="189" spans="1:54" x14ac:dyDescent="0.25">
      <c r="A189" s="30">
        <v>1.5321363249105571E-3</v>
      </c>
      <c r="H189" s="27" t="s">
        <v>7</v>
      </c>
      <c r="I189" s="27" t="s">
        <v>8</v>
      </c>
      <c r="K189" s="27" t="s">
        <v>8</v>
      </c>
      <c r="M189" s="27" t="s">
        <v>8</v>
      </c>
      <c r="O189" s="27" t="s">
        <v>8</v>
      </c>
      <c r="P189" s="27" t="s">
        <v>7</v>
      </c>
      <c r="R189" s="27" t="s">
        <v>7</v>
      </c>
      <c r="S189" s="27" t="s">
        <v>8</v>
      </c>
      <c r="U189" s="27" t="s">
        <v>8</v>
      </c>
      <c r="V189" s="27" t="s">
        <v>7</v>
      </c>
      <c r="W189" s="27" t="s">
        <v>8</v>
      </c>
      <c r="X189" s="27" t="s">
        <v>7</v>
      </c>
      <c r="Y189" s="27" t="s">
        <v>8</v>
      </c>
    </row>
    <row r="190" spans="1:54" x14ac:dyDescent="0.25">
      <c r="A190" s="30">
        <v>1.3928512044641427E-3</v>
      </c>
      <c r="H190" s="27" t="s">
        <v>7</v>
      </c>
      <c r="I190" s="27" t="s">
        <v>8</v>
      </c>
      <c r="J190" s="27" t="s">
        <v>7</v>
      </c>
      <c r="K190" s="27" t="s">
        <v>8</v>
      </c>
      <c r="L190" s="27" t="s">
        <v>7</v>
      </c>
      <c r="M190" s="27" t="s">
        <v>8</v>
      </c>
      <c r="N190" s="27" t="s">
        <v>7</v>
      </c>
      <c r="O190" s="27" t="s">
        <v>8</v>
      </c>
      <c r="R190" s="27" t="s">
        <v>7</v>
      </c>
      <c r="S190" s="27" t="s">
        <v>8</v>
      </c>
      <c r="T190" s="27" t="s">
        <v>7</v>
      </c>
      <c r="U190" s="27" t="s">
        <v>8</v>
      </c>
      <c r="V190" s="27" t="s">
        <v>7</v>
      </c>
      <c r="W190" s="27" t="s">
        <v>8</v>
      </c>
      <c r="X190" s="27" t="s">
        <v>7</v>
      </c>
    </row>
    <row r="191" spans="1:54" x14ac:dyDescent="0.25">
      <c r="A191" s="30">
        <v>1.2662283676946752E-3</v>
      </c>
      <c r="H191" s="27" t="s">
        <v>7</v>
      </c>
      <c r="I191" s="27" t="s">
        <v>8</v>
      </c>
      <c r="J191" s="27" t="s">
        <v>7</v>
      </c>
      <c r="K191" s="27" t="s">
        <v>8</v>
      </c>
      <c r="L191" s="27" t="s">
        <v>7</v>
      </c>
      <c r="M191" s="27" t="s">
        <v>8</v>
      </c>
      <c r="N191" s="27" t="s">
        <v>7</v>
      </c>
      <c r="O191" s="27" t="s">
        <v>8</v>
      </c>
      <c r="R191" s="27" t="s">
        <v>7</v>
      </c>
      <c r="S191" s="27" t="s">
        <v>8</v>
      </c>
      <c r="T191" s="27" t="s">
        <v>7</v>
      </c>
      <c r="U191" s="27" t="s">
        <v>8</v>
      </c>
      <c r="V191" s="27" t="s">
        <v>7</v>
      </c>
    </row>
    <row r="192" spans="1:54" x14ac:dyDescent="0.25">
      <c r="A192" s="30">
        <v>1.15111669790425E-3</v>
      </c>
      <c r="H192" s="27" t="s">
        <v>7</v>
      </c>
      <c r="I192" s="27" t="s">
        <v>8</v>
      </c>
      <c r="J192" s="27" t="s">
        <v>7</v>
      </c>
      <c r="L192" s="27" t="s">
        <v>7</v>
      </c>
      <c r="N192" s="27" t="s">
        <v>7</v>
      </c>
      <c r="R192" s="27" t="s">
        <v>7</v>
      </c>
      <c r="S192" s="27" t="s">
        <v>8</v>
      </c>
      <c r="T192" s="27" t="s">
        <v>7</v>
      </c>
      <c r="U192" s="27" t="s">
        <v>8</v>
      </c>
    </row>
    <row r="193" spans="1:20" x14ac:dyDescent="0.25">
      <c r="A193" s="30">
        <v>1.0464697253675E-3</v>
      </c>
      <c r="H193" s="27" t="s">
        <v>7</v>
      </c>
      <c r="I193" s="27" t="s">
        <v>8</v>
      </c>
      <c r="R193" s="27" t="s">
        <v>7</v>
      </c>
      <c r="S193" s="27" t="s">
        <v>8</v>
      </c>
      <c r="T193" s="27" t="s">
        <v>7</v>
      </c>
    </row>
    <row r="194" spans="1:20" x14ac:dyDescent="0.25">
      <c r="A194" s="30">
        <v>9.5133611397045449E-4</v>
      </c>
      <c r="H194" s="27" t="s">
        <v>7</v>
      </c>
      <c r="I194" s="27" t="s">
        <v>8</v>
      </c>
      <c r="R194" s="27" t="s">
        <v>7</v>
      </c>
      <c r="S194" s="27" t="s">
        <v>8</v>
      </c>
    </row>
    <row r="195" spans="1:20" x14ac:dyDescent="0.25">
      <c r="A195" s="30">
        <v>8.6485101270041313E-4</v>
      </c>
      <c r="H195" s="27" t="s">
        <v>7</v>
      </c>
      <c r="I195" s="27" t="s">
        <v>8</v>
      </c>
      <c r="R195" s="27" t="s">
        <v>7</v>
      </c>
      <c r="S195" s="27" t="s">
        <v>8</v>
      </c>
    </row>
    <row r="196" spans="1:20" x14ac:dyDescent="0.25">
      <c r="A196" s="30">
        <v>7.862281933640119E-4</v>
      </c>
      <c r="H196" s="27" t="s">
        <v>7</v>
      </c>
      <c r="I196" s="27" t="s">
        <v>8</v>
      </c>
      <c r="R196" s="27" t="s">
        <v>7</v>
      </c>
      <c r="S196" s="27" t="s">
        <v>8</v>
      </c>
    </row>
    <row r="197" spans="1:20" x14ac:dyDescent="0.25">
      <c r="A197" s="30">
        <v>7.0760537402761068E-4</v>
      </c>
      <c r="H197" s="27" t="s">
        <v>7</v>
      </c>
      <c r="I197" s="27" t="s">
        <v>8</v>
      </c>
      <c r="R197" s="27" t="s">
        <v>7</v>
      </c>
      <c r="S197" s="27" t="s">
        <v>8</v>
      </c>
    </row>
    <row r="198" spans="1:20" x14ac:dyDescent="0.25">
      <c r="A198" s="30">
        <v>6.368448366248496E-4</v>
      </c>
      <c r="H198" s="27" t="s">
        <v>7</v>
      </c>
      <c r="R198" s="27" t="s">
        <v>7</v>
      </c>
      <c r="S198" s="27" t="s">
        <v>8</v>
      </c>
    </row>
    <row r="199" spans="1:20" x14ac:dyDescent="0.25">
      <c r="A199" s="30">
        <v>5.7316035296236471E-4</v>
      </c>
      <c r="R199" s="27" t="s">
        <v>7</v>
      </c>
      <c r="S199" s="27" t="s">
        <v>8</v>
      </c>
    </row>
    <row r="200" spans="1:20" x14ac:dyDescent="0.25">
      <c r="A200" s="30">
        <v>5.1584431766612821E-4</v>
      </c>
      <c r="R200" s="27" t="s">
        <v>7</v>
      </c>
      <c r="S200" s="27" t="s">
        <v>8</v>
      </c>
    </row>
    <row r="201" spans="1:20" x14ac:dyDescent="0.25">
      <c r="A201" s="30">
        <v>4.6425988589951538E-4</v>
      </c>
      <c r="R201" s="27" t="s">
        <v>7</v>
      </c>
      <c r="S201" s="27" t="s">
        <v>8</v>
      </c>
    </row>
    <row r="202" spans="1:20" x14ac:dyDescent="0.25">
      <c r="A202" s="30">
        <v>4.1783389730956383E-4</v>
      </c>
      <c r="R202" s="27" t="s">
        <v>7</v>
      </c>
      <c r="S202" s="27" t="s">
        <v>8</v>
      </c>
    </row>
    <row r="203" spans="1:20" x14ac:dyDescent="0.25">
      <c r="A203" s="30">
        <v>3.7605050757860746E-4</v>
      </c>
      <c r="R203" s="27" t="s">
        <v>7</v>
      </c>
      <c r="S203" s="27" t="s">
        <v>8</v>
      </c>
    </row>
    <row r="204" spans="1:20" x14ac:dyDescent="0.25">
      <c r="A204" s="30">
        <v>3.3844545682074675E-4</v>
      </c>
      <c r="R204" s="27" t="s">
        <v>7</v>
      </c>
      <c r="S204" s="27" t="s">
        <v>8</v>
      </c>
    </row>
    <row r="205" spans="1:20" x14ac:dyDescent="0.25">
      <c r="A205" s="30">
        <v>3.0460091113867208E-4</v>
      </c>
      <c r="R205" s="27" t="s">
        <v>7</v>
      </c>
      <c r="S205" s="27" t="s">
        <v>8</v>
      </c>
    </row>
    <row r="206" spans="1:20" x14ac:dyDescent="0.25">
      <c r="A206" s="30">
        <v>2.7414082002480487E-4</v>
      </c>
      <c r="R206" s="27" t="s">
        <v>7</v>
      </c>
      <c r="S206" s="27" t="s">
        <v>8</v>
      </c>
    </row>
    <row r="207" spans="1:20" x14ac:dyDescent="0.25">
      <c r="A207" s="30">
        <v>2.4672673802232442E-4</v>
      </c>
      <c r="R207" s="27" t="s">
        <v>7</v>
      </c>
      <c r="S207" s="27" t="s">
        <v>8</v>
      </c>
    </row>
    <row r="208" spans="1:20" x14ac:dyDescent="0.25">
      <c r="A208" s="30">
        <v>2.2205406422009198E-4</v>
      </c>
      <c r="R208" s="27" t="s">
        <v>7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11" operator="equal">
      <formula>$U$1</formula>
    </cfRule>
    <cfRule type="cellIs" dxfId="30" priority="1112" operator="equal">
      <formula>$S$1</formula>
    </cfRule>
  </conditionalFormatting>
  <conditionalFormatting sqref="D136">
    <cfRule type="cellIs" dxfId="29" priority="1109" operator="equal">
      <formula>$S$1</formula>
    </cfRule>
    <cfRule type="cellIs" dxfId="28" priority="1110" operator="equal">
      <formula>$U$1</formula>
    </cfRule>
  </conditionalFormatting>
  <conditionalFormatting sqref="C102">
    <cfRule type="cellIs" dxfId="27" priority="1107" operator="equal">
      <formula>$U$1</formula>
    </cfRule>
    <cfRule type="cellIs" dxfId="26" priority="1108" operator="equal">
      <formula>$S$1</formula>
    </cfRule>
  </conditionalFormatting>
  <conditionalFormatting sqref="D102">
    <cfRule type="cellIs" dxfId="25" priority="1105" operator="equal">
      <formula>$S$1</formula>
    </cfRule>
    <cfRule type="cellIs" dxfId="24" priority="1106" operator="equal">
      <formula>$U$1</formula>
    </cfRule>
  </conditionalFormatting>
  <conditionalFormatting sqref="C77">
    <cfRule type="cellIs" dxfId="23" priority="1103" operator="equal">
      <formula>$U$1</formula>
    </cfRule>
    <cfRule type="cellIs" dxfId="22" priority="1104" operator="equal">
      <formula>$S$1</formula>
    </cfRule>
  </conditionalFormatting>
  <conditionalFormatting sqref="D77">
    <cfRule type="cellIs" dxfId="21" priority="1101" operator="equal">
      <formula>$S$1</formula>
    </cfRule>
    <cfRule type="cellIs" dxfId="20" priority="1102" operator="equal">
      <formula>$U$1</formula>
    </cfRule>
  </conditionalFormatting>
  <conditionalFormatting sqref="C52">
    <cfRule type="cellIs" dxfId="19" priority="1099" operator="equal">
      <formula>$U$1</formula>
    </cfRule>
    <cfRule type="cellIs" dxfId="18" priority="1100" operator="equal">
      <formula>$S$1</formula>
    </cfRule>
  </conditionalFormatting>
  <conditionalFormatting sqref="D52">
    <cfRule type="cellIs" dxfId="17" priority="1097" operator="equal">
      <formula>$S$1</formula>
    </cfRule>
    <cfRule type="cellIs" dxfId="16" priority="1098" operator="equal">
      <formula>$U$1</formula>
    </cfRule>
  </conditionalFormatting>
  <conditionalFormatting sqref="C26">
    <cfRule type="cellIs" dxfId="15" priority="1095" operator="equal">
      <formula>$U$1</formula>
    </cfRule>
    <cfRule type="cellIs" dxfId="14" priority="1096" operator="equal">
      <formula>$S$1</formula>
    </cfRule>
  </conditionalFormatting>
  <conditionalFormatting sqref="D26">
    <cfRule type="cellIs" dxfId="13" priority="1093" operator="equal">
      <formula>$S$1</formula>
    </cfRule>
    <cfRule type="cellIs" dxfId="12" priority="109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2022-01-28T01:18:52Z</dcterms:modified>
</cp:coreProperties>
</file>