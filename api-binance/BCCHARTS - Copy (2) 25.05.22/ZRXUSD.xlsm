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2D7F68CD-3ABE-424A-9517-3845E84FD30A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9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1069" i="1"/>
  <c r="Q1069" i="1" s="1"/>
  <c r="R1069" i="1" s="1"/>
  <c r="P1068" i="1"/>
  <c r="Q1068" i="1" s="1"/>
  <c r="P1067" i="1"/>
  <c r="Q1067" i="1" s="1"/>
  <c r="P1066" i="1"/>
  <c r="Q1066" i="1" s="1"/>
  <c r="P1065" i="1"/>
  <c r="Q1065" i="1" s="1"/>
  <c r="P1064" i="1"/>
  <c r="Q1064" i="1" s="1"/>
  <c r="P1063" i="1"/>
  <c r="Q1063" i="1" s="1"/>
  <c r="P1062" i="1"/>
  <c r="Q1062" i="1" s="1"/>
  <c r="P1061" i="1"/>
  <c r="Q1061" i="1" s="1"/>
  <c r="P1060" i="1"/>
  <c r="Q1060" i="1" s="1"/>
  <c r="P1059" i="1"/>
  <c r="Q1059" i="1" s="1"/>
  <c r="P1058" i="1"/>
  <c r="Q1058" i="1" s="1"/>
  <c r="P1057" i="1"/>
  <c r="Q1057" i="1" s="1"/>
  <c r="P1056" i="1"/>
  <c r="Q1056" i="1" s="1"/>
  <c r="P1055" i="1"/>
  <c r="Q1055" i="1" s="1"/>
  <c r="P1054" i="1"/>
  <c r="Q1054" i="1" s="1"/>
  <c r="P1053" i="1"/>
  <c r="Q1053" i="1" s="1"/>
  <c r="P1052" i="1"/>
  <c r="Q1052" i="1" s="1"/>
  <c r="P1051" i="1"/>
  <c r="Q1051" i="1" s="1"/>
  <c r="P1050" i="1"/>
  <c r="Q1050" i="1" s="1"/>
  <c r="P1049" i="1"/>
  <c r="Q1049" i="1" s="1"/>
  <c r="P1048" i="1"/>
  <c r="Q1048" i="1" s="1"/>
  <c r="P1047" i="1"/>
  <c r="Q1047" i="1" s="1"/>
  <c r="P1046" i="1"/>
  <c r="Q1046" i="1" s="1"/>
  <c r="P1045" i="1"/>
  <c r="Q1045" i="1" s="1"/>
  <c r="P1044" i="1"/>
  <c r="Q1044" i="1" s="1"/>
  <c r="P1043" i="1"/>
  <c r="Q1043" i="1" s="1"/>
  <c r="P1042" i="1"/>
  <c r="Q1042" i="1" s="1"/>
  <c r="P1041" i="1"/>
  <c r="Q1041" i="1" s="1"/>
  <c r="P1040" i="1"/>
  <c r="Q1040" i="1" s="1"/>
  <c r="P1039" i="1"/>
  <c r="Q1039" i="1" s="1"/>
  <c r="P1038" i="1"/>
  <c r="Q1038" i="1" s="1"/>
  <c r="P1037" i="1"/>
  <c r="Q1037" i="1" s="1"/>
  <c r="P1036" i="1"/>
  <c r="Q1036" i="1" s="1"/>
  <c r="P1035" i="1"/>
  <c r="Q1035" i="1" s="1"/>
  <c r="P1034" i="1"/>
  <c r="Q1034" i="1" s="1"/>
  <c r="P1033" i="1"/>
  <c r="Q1033" i="1" s="1"/>
  <c r="P1032" i="1"/>
  <c r="Q1032" i="1" s="1"/>
  <c r="P1031" i="1"/>
  <c r="Q1031" i="1" s="1"/>
  <c r="P1030" i="1"/>
  <c r="Q1030" i="1" s="1"/>
  <c r="P1029" i="1"/>
  <c r="Q1029" i="1" s="1"/>
  <c r="P1028" i="1"/>
  <c r="Q1028" i="1" s="1"/>
  <c r="P1027" i="1"/>
  <c r="Q1027" i="1" s="1"/>
  <c r="P1026" i="1"/>
  <c r="Q1026" i="1" s="1"/>
  <c r="P1025" i="1"/>
  <c r="Q1025" i="1" s="1"/>
  <c r="P1024" i="1"/>
  <c r="Q1024" i="1" s="1"/>
  <c r="P1023" i="1"/>
  <c r="Q1023" i="1" s="1"/>
  <c r="P1022" i="1"/>
  <c r="Q1022" i="1" s="1"/>
  <c r="P1021" i="1"/>
  <c r="Q1021" i="1" s="1"/>
  <c r="P1020" i="1"/>
  <c r="Q1020" i="1" s="1"/>
  <c r="P1019" i="1"/>
  <c r="Q1019" i="1" s="1"/>
  <c r="P1018" i="1"/>
  <c r="Q1018" i="1" s="1"/>
  <c r="P1017" i="1"/>
  <c r="Q1017" i="1" s="1"/>
  <c r="P1016" i="1"/>
  <c r="Q1016" i="1" s="1"/>
  <c r="P1015" i="1"/>
  <c r="Q1015" i="1" s="1"/>
  <c r="P1014" i="1"/>
  <c r="Q1014" i="1" s="1"/>
  <c r="P1013" i="1"/>
  <c r="Q1013" i="1" s="1"/>
  <c r="P1012" i="1"/>
  <c r="Q1012" i="1" s="1"/>
  <c r="P1011" i="1"/>
  <c r="Q1011" i="1" s="1"/>
  <c r="P1010" i="1"/>
  <c r="Q1010" i="1" s="1"/>
  <c r="P1009" i="1"/>
  <c r="Q1009" i="1" s="1"/>
  <c r="P1008" i="1"/>
  <c r="Q1008" i="1" s="1"/>
  <c r="P1007" i="1"/>
  <c r="Q1007" i="1" s="1"/>
  <c r="P1006" i="1"/>
  <c r="Q1006" i="1" s="1"/>
  <c r="P1005" i="1"/>
  <c r="Q1005" i="1" s="1"/>
  <c r="P1004" i="1"/>
  <c r="Q1004" i="1" s="1"/>
  <c r="P1003" i="1"/>
  <c r="Q1003" i="1" s="1"/>
  <c r="P1002" i="1"/>
  <c r="Q1002" i="1" s="1"/>
  <c r="P1001" i="1"/>
  <c r="Q1001" i="1" s="1"/>
  <c r="P1000" i="1"/>
  <c r="Q1000" i="1" s="1"/>
  <c r="P999" i="1"/>
  <c r="Q999" i="1" s="1"/>
  <c r="P998" i="1"/>
  <c r="Q998" i="1" s="1"/>
  <c r="P997" i="1"/>
  <c r="Q997" i="1" s="1"/>
  <c r="P996" i="1"/>
  <c r="Q996" i="1" s="1"/>
  <c r="P995" i="1"/>
  <c r="Q995" i="1" s="1"/>
  <c r="P994" i="1"/>
  <c r="Q994" i="1" s="1"/>
  <c r="P993" i="1"/>
  <c r="Q993" i="1" s="1"/>
  <c r="P992" i="1"/>
  <c r="Q992" i="1" s="1"/>
  <c r="P991" i="1"/>
  <c r="Q991" i="1" s="1"/>
  <c r="P990" i="1"/>
  <c r="Q990" i="1" s="1"/>
  <c r="P989" i="1"/>
  <c r="Q989" i="1" s="1"/>
  <c r="P988" i="1"/>
  <c r="Q988" i="1" s="1"/>
  <c r="P987" i="1"/>
  <c r="Q987" i="1" s="1"/>
  <c r="P986" i="1"/>
  <c r="Q986" i="1" s="1"/>
  <c r="P985" i="1"/>
  <c r="Q985" i="1" s="1"/>
  <c r="P984" i="1"/>
  <c r="Q984" i="1" s="1"/>
  <c r="P983" i="1"/>
  <c r="Q983" i="1" s="1"/>
  <c r="P982" i="1"/>
  <c r="Q982" i="1" s="1"/>
  <c r="P981" i="1"/>
  <c r="Q981" i="1" s="1"/>
  <c r="P980" i="1"/>
  <c r="Q980" i="1" s="1"/>
  <c r="P979" i="1"/>
  <c r="Q979" i="1" s="1"/>
  <c r="P978" i="1"/>
  <c r="Q978" i="1" s="1"/>
  <c r="P977" i="1"/>
  <c r="Q977" i="1" s="1"/>
  <c r="P976" i="1"/>
  <c r="Q976" i="1" s="1"/>
  <c r="P975" i="1"/>
  <c r="Q975" i="1" s="1"/>
  <c r="P974" i="1"/>
  <c r="Q974" i="1" s="1"/>
  <c r="P973" i="1"/>
  <c r="Q973" i="1" s="1"/>
  <c r="P972" i="1"/>
  <c r="Q972" i="1" s="1"/>
  <c r="P971" i="1"/>
  <c r="Q971" i="1" s="1"/>
  <c r="P970" i="1"/>
  <c r="Q970" i="1" s="1"/>
  <c r="P969" i="1"/>
  <c r="Q969" i="1" s="1"/>
  <c r="P968" i="1"/>
  <c r="Q968" i="1" s="1"/>
  <c r="P967" i="1"/>
  <c r="Q967" i="1" s="1"/>
  <c r="P966" i="1"/>
  <c r="Q966" i="1" s="1"/>
  <c r="P965" i="1"/>
  <c r="Q965" i="1" s="1"/>
  <c r="P964" i="1"/>
  <c r="Q964" i="1" s="1"/>
  <c r="P963" i="1"/>
  <c r="Q963" i="1" s="1"/>
  <c r="P962" i="1"/>
  <c r="Q962" i="1" s="1"/>
  <c r="P961" i="1"/>
  <c r="Q961" i="1" s="1"/>
  <c r="P960" i="1"/>
  <c r="Q960" i="1" s="1"/>
  <c r="P959" i="1"/>
  <c r="Q959" i="1" s="1"/>
  <c r="P958" i="1"/>
  <c r="Q958" i="1" s="1"/>
  <c r="P957" i="1"/>
  <c r="Q957" i="1" s="1"/>
  <c r="P956" i="1"/>
  <c r="Q956" i="1" s="1"/>
  <c r="P955" i="1"/>
  <c r="Q955" i="1" s="1"/>
  <c r="P954" i="1"/>
  <c r="Q954" i="1" s="1"/>
  <c r="P953" i="1"/>
  <c r="Q953" i="1" s="1"/>
  <c r="P952" i="1"/>
  <c r="Q952" i="1" s="1"/>
  <c r="P951" i="1"/>
  <c r="Q951" i="1" s="1"/>
  <c r="P950" i="1"/>
  <c r="Q950" i="1" s="1"/>
  <c r="P949" i="1"/>
  <c r="Q949" i="1" s="1"/>
  <c r="P948" i="1"/>
  <c r="Q948" i="1" s="1"/>
  <c r="P947" i="1"/>
  <c r="Q947" i="1" s="1"/>
  <c r="P946" i="1"/>
  <c r="Q946" i="1" s="1"/>
  <c r="P945" i="1"/>
  <c r="Q945" i="1" s="1"/>
  <c r="P944" i="1"/>
  <c r="Q944" i="1" s="1"/>
  <c r="P943" i="1"/>
  <c r="Q943" i="1" s="1"/>
  <c r="P942" i="1"/>
  <c r="Q942" i="1" s="1"/>
  <c r="P941" i="1"/>
  <c r="Q941" i="1" s="1"/>
  <c r="P940" i="1"/>
  <c r="Q940" i="1" s="1"/>
  <c r="P939" i="1"/>
  <c r="Q939" i="1" s="1"/>
  <c r="P938" i="1"/>
  <c r="Q938" i="1" s="1"/>
  <c r="P937" i="1"/>
  <c r="Q937" i="1" s="1"/>
  <c r="P936" i="1"/>
  <c r="Q936" i="1" s="1"/>
  <c r="P935" i="1"/>
  <c r="Q935" i="1" s="1"/>
  <c r="P934" i="1"/>
  <c r="Q934" i="1" s="1"/>
  <c r="P933" i="1"/>
  <c r="Q933" i="1" s="1"/>
  <c r="P932" i="1"/>
  <c r="Q932" i="1" s="1"/>
  <c r="P931" i="1"/>
  <c r="Q931" i="1" s="1"/>
  <c r="P930" i="1"/>
  <c r="Q930" i="1" s="1"/>
  <c r="P929" i="1"/>
  <c r="Q929" i="1" s="1"/>
  <c r="P928" i="1"/>
  <c r="Q928" i="1" s="1"/>
  <c r="P927" i="1"/>
  <c r="Q927" i="1" s="1"/>
  <c r="P926" i="1"/>
  <c r="Q926" i="1" s="1"/>
  <c r="P925" i="1"/>
  <c r="Q925" i="1" s="1"/>
  <c r="P924" i="1"/>
  <c r="Q924" i="1" s="1"/>
  <c r="P923" i="1"/>
  <c r="Q923" i="1" s="1"/>
  <c r="P922" i="1"/>
  <c r="Q922" i="1" s="1"/>
  <c r="P921" i="1"/>
  <c r="Q921" i="1" s="1"/>
  <c r="P920" i="1"/>
  <c r="Q920" i="1" s="1"/>
  <c r="P919" i="1"/>
  <c r="Q919" i="1" s="1"/>
  <c r="P918" i="1"/>
  <c r="Q918" i="1" s="1"/>
  <c r="P917" i="1"/>
  <c r="Q917" i="1" s="1"/>
  <c r="P916" i="1"/>
  <c r="Q916" i="1" s="1"/>
  <c r="P915" i="1"/>
  <c r="Q915" i="1" s="1"/>
  <c r="P914" i="1"/>
  <c r="Q914" i="1" s="1"/>
  <c r="P913" i="1"/>
  <c r="Q913" i="1" s="1"/>
  <c r="P912" i="1"/>
  <c r="Q912" i="1" s="1"/>
  <c r="P911" i="1"/>
  <c r="Q911" i="1" s="1"/>
  <c r="P910" i="1"/>
  <c r="Q910" i="1" s="1"/>
  <c r="P909" i="1"/>
  <c r="Q909" i="1" s="1"/>
  <c r="P908" i="1"/>
  <c r="Q908" i="1" s="1"/>
  <c r="P907" i="1"/>
  <c r="Q907" i="1" s="1"/>
  <c r="P906" i="1"/>
  <c r="Q906" i="1" s="1"/>
  <c r="P905" i="1"/>
  <c r="Q905" i="1" s="1"/>
  <c r="P904" i="1"/>
  <c r="Q904" i="1" s="1"/>
  <c r="P903" i="1"/>
  <c r="Q903" i="1" s="1"/>
  <c r="P902" i="1"/>
  <c r="Q902" i="1" s="1"/>
  <c r="P901" i="1"/>
  <c r="Q901" i="1" s="1"/>
  <c r="P900" i="1"/>
  <c r="Q900" i="1" s="1"/>
  <c r="P899" i="1"/>
  <c r="Q899" i="1" s="1"/>
  <c r="P898" i="1"/>
  <c r="Q898" i="1" s="1"/>
  <c r="P897" i="1"/>
  <c r="Q897" i="1" s="1"/>
  <c r="P896" i="1"/>
  <c r="Q896" i="1" s="1"/>
  <c r="P895" i="1"/>
  <c r="Q895" i="1" s="1"/>
  <c r="P894" i="1"/>
  <c r="Q894" i="1" s="1"/>
  <c r="P893" i="1"/>
  <c r="Q893" i="1" s="1"/>
  <c r="P892" i="1"/>
  <c r="Q892" i="1" s="1"/>
  <c r="P891" i="1"/>
  <c r="Q891" i="1" s="1"/>
  <c r="P890" i="1"/>
  <c r="Q890" i="1" s="1"/>
  <c r="P889" i="1"/>
  <c r="Q889" i="1" s="1"/>
  <c r="P888" i="1"/>
  <c r="Q888" i="1" s="1"/>
  <c r="P887" i="1"/>
  <c r="Q887" i="1" s="1"/>
  <c r="P886" i="1"/>
  <c r="Q886" i="1" s="1"/>
  <c r="P885" i="1"/>
  <c r="Q885" i="1" s="1"/>
  <c r="P884" i="1"/>
  <c r="Q884" i="1" s="1"/>
  <c r="P883" i="1"/>
  <c r="Q883" i="1" s="1"/>
  <c r="P882" i="1"/>
  <c r="Q882" i="1" s="1"/>
  <c r="P881" i="1"/>
  <c r="Q881" i="1" s="1"/>
  <c r="P880" i="1"/>
  <c r="Q880" i="1" s="1"/>
  <c r="P879" i="1"/>
  <c r="Q879" i="1" s="1"/>
  <c r="P878" i="1"/>
  <c r="Q878" i="1" s="1"/>
  <c r="P877" i="1"/>
  <c r="Q877" i="1" s="1"/>
  <c r="P876" i="1"/>
  <c r="Q876" i="1" s="1"/>
  <c r="P875" i="1"/>
  <c r="Q875" i="1" s="1"/>
  <c r="P874" i="1"/>
  <c r="Q874" i="1" s="1"/>
  <c r="P873" i="1"/>
  <c r="Q873" i="1" s="1"/>
  <c r="P872" i="1"/>
  <c r="Q872" i="1" s="1"/>
  <c r="P871" i="1"/>
  <c r="Q871" i="1" s="1"/>
  <c r="P870" i="1"/>
  <c r="Q870" i="1" s="1"/>
  <c r="P869" i="1"/>
  <c r="Q869" i="1" s="1"/>
  <c r="P868" i="1"/>
  <c r="Q868" i="1" s="1"/>
  <c r="P867" i="1"/>
  <c r="Q867" i="1" s="1"/>
  <c r="P866" i="1"/>
  <c r="Q866" i="1" s="1"/>
  <c r="P865" i="1"/>
  <c r="Q865" i="1" s="1"/>
  <c r="P864" i="1"/>
  <c r="Q864" i="1" s="1"/>
  <c r="P863" i="1"/>
  <c r="Q863" i="1" s="1"/>
  <c r="P862" i="1"/>
  <c r="Q862" i="1" s="1"/>
  <c r="P861" i="1"/>
  <c r="Q861" i="1" s="1"/>
  <c r="P860" i="1"/>
  <c r="Q860" i="1" s="1"/>
  <c r="P859" i="1"/>
  <c r="Q859" i="1" s="1"/>
  <c r="P858" i="1"/>
  <c r="Q858" i="1" s="1"/>
  <c r="P857" i="1"/>
  <c r="Q857" i="1" s="1"/>
  <c r="P856" i="1"/>
  <c r="Q856" i="1" s="1"/>
  <c r="P855" i="1"/>
  <c r="Q855" i="1" s="1"/>
  <c r="P854" i="1"/>
  <c r="Q854" i="1" s="1"/>
  <c r="P853" i="1"/>
  <c r="Q853" i="1" s="1"/>
  <c r="P852" i="1"/>
  <c r="Q852" i="1" s="1"/>
  <c r="P851" i="1"/>
  <c r="Q851" i="1" s="1"/>
  <c r="P850" i="1"/>
  <c r="Q850" i="1" s="1"/>
  <c r="P849" i="1"/>
  <c r="Q849" i="1" s="1"/>
  <c r="P848" i="1"/>
  <c r="Q848" i="1" s="1"/>
  <c r="P847" i="1"/>
  <c r="Q847" i="1" s="1"/>
  <c r="P846" i="1"/>
  <c r="Q846" i="1" s="1"/>
  <c r="P845" i="1"/>
  <c r="Q845" i="1" s="1"/>
  <c r="P844" i="1"/>
  <c r="Q844" i="1" s="1"/>
  <c r="P843" i="1"/>
  <c r="Q843" i="1" s="1"/>
  <c r="P842" i="1"/>
  <c r="Q842" i="1" s="1"/>
  <c r="P841" i="1"/>
  <c r="Q841" i="1" s="1"/>
  <c r="P840" i="1"/>
  <c r="Q840" i="1" s="1"/>
  <c r="P839" i="1"/>
  <c r="Q839" i="1" s="1"/>
  <c r="P838" i="1"/>
  <c r="Q838" i="1" s="1"/>
  <c r="P837" i="1"/>
  <c r="Q837" i="1" s="1"/>
  <c r="P836" i="1"/>
  <c r="Q836" i="1" s="1"/>
  <c r="P835" i="1"/>
  <c r="Q835" i="1" s="1"/>
  <c r="P834" i="1"/>
  <c r="Q834" i="1" s="1"/>
  <c r="P833" i="1"/>
  <c r="Q833" i="1" s="1"/>
  <c r="P832" i="1"/>
  <c r="Q832" i="1" s="1"/>
  <c r="P831" i="1"/>
  <c r="Q831" i="1" s="1"/>
  <c r="P830" i="1"/>
  <c r="Q830" i="1" s="1"/>
  <c r="P829" i="1"/>
  <c r="Q829" i="1" s="1"/>
  <c r="P828" i="1"/>
  <c r="Q828" i="1" s="1"/>
  <c r="P827" i="1"/>
  <c r="Q827" i="1" s="1"/>
  <c r="P826" i="1"/>
  <c r="Q826" i="1" s="1"/>
  <c r="P825" i="1"/>
  <c r="Q825" i="1" s="1"/>
  <c r="P824" i="1"/>
  <c r="Q824" i="1" s="1"/>
  <c r="P823" i="1"/>
  <c r="Q823" i="1" s="1"/>
  <c r="P822" i="1"/>
  <c r="Q822" i="1" s="1"/>
  <c r="P821" i="1"/>
  <c r="Q821" i="1" s="1"/>
  <c r="P820" i="1"/>
  <c r="Q820" i="1" s="1"/>
  <c r="P819" i="1"/>
  <c r="Q819" i="1" s="1"/>
  <c r="P818" i="1"/>
  <c r="Q818" i="1" s="1"/>
  <c r="P817" i="1"/>
  <c r="Q817" i="1" s="1"/>
  <c r="P816" i="1"/>
  <c r="Q816" i="1" s="1"/>
  <c r="P815" i="1"/>
  <c r="Q815" i="1" s="1"/>
  <c r="P814" i="1"/>
  <c r="Q814" i="1" s="1"/>
  <c r="P813" i="1"/>
  <c r="Q813" i="1" s="1"/>
  <c r="P812" i="1"/>
  <c r="Q812" i="1" s="1"/>
  <c r="P811" i="1"/>
  <c r="Q811" i="1" s="1"/>
  <c r="P810" i="1"/>
  <c r="Q810" i="1" s="1"/>
  <c r="P809" i="1"/>
  <c r="Q809" i="1" s="1"/>
  <c r="P808" i="1"/>
  <c r="Q808" i="1" s="1"/>
  <c r="P807" i="1"/>
  <c r="Q807" i="1" s="1"/>
  <c r="P806" i="1"/>
  <c r="Q806" i="1" s="1"/>
  <c r="P805" i="1"/>
  <c r="Q805" i="1" s="1"/>
  <c r="P804" i="1"/>
  <c r="Q804" i="1" s="1"/>
  <c r="P803" i="1"/>
  <c r="Q803" i="1" s="1"/>
  <c r="P802" i="1"/>
  <c r="Q802" i="1" s="1"/>
  <c r="P801" i="1"/>
  <c r="Q801" i="1" s="1"/>
  <c r="P800" i="1"/>
  <c r="Q800" i="1" s="1"/>
  <c r="P799" i="1"/>
  <c r="Q799" i="1" s="1"/>
  <c r="P798" i="1"/>
  <c r="Q798" i="1" s="1"/>
  <c r="P797" i="1"/>
  <c r="Q797" i="1" s="1"/>
  <c r="P796" i="1"/>
  <c r="Q796" i="1" s="1"/>
  <c r="P795" i="1"/>
  <c r="Q795" i="1" s="1"/>
  <c r="P794" i="1"/>
  <c r="Q794" i="1" s="1"/>
  <c r="P793" i="1"/>
  <c r="Q793" i="1" s="1"/>
  <c r="P792" i="1"/>
  <c r="Q792" i="1" s="1"/>
  <c r="P791" i="1"/>
  <c r="Q791" i="1" s="1"/>
  <c r="P790" i="1"/>
  <c r="Q790" i="1" s="1"/>
  <c r="P789" i="1"/>
  <c r="Q789" i="1" s="1"/>
  <c r="P788" i="1"/>
  <c r="Q788" i="1" s="1"/>
  <c r="P787" i="1"/>
  <c r="Q787" i="1" s="1"/>
  <c r="P786" i="1"/>
  <c r="Q786" i="1" s="1"/>
  <c r="P785" i="1"/>
  <c r="Q785" i="1" s="1"/>
  <c r="P784" i="1"/>
  <c r="Q784" i="1" s="1"/>
  <c r="P783" i="1"/>
  <c r="Q783" i="1" s="1"/>
  <c r="P782" i="1"/>
  <c r="Q782" i="1" s="1"/>
  <c r="P781" i="1"/>
  <c r="Q781" i="1" s="1"/>
  <c r="P780" i="1"/>
  <c r="Q780" i="1" s="1"/>
  <c r="P779" i="1"/>
  <c r="Q779" i="1" s="1"/>
  <c r="P778" i="1"/>
  <c r="Q778" i="1" s="1"/>
  <c r="P777" i="1"/>
  <c r="Q777" i="1" s="1"/>
  <c r="P776" i="1"/>
  <c r="Q776" i="1" s="1"/>
  <c r="P775" i="1"/>
  <c r="Q775" i="1" s="1"/>
  <c r="P774" i="1"/>
  <c r="Q774" i="1" s="1"/>
  <c r="P773" i="1"/>
  <c r="Q773" i="1" s="1"/>
  <c r="P772" i="1"/>
  <c r="Q772" i="1" s="1"/>
  <c r="P771" i="1"/>
  <c r="Q771" i="1" s="1"/>
  <c r="P770" i="1"/>
  <c r="Q770" i="1" s="1"/>
  <c r="P769" i="1"/>
  <c r="Q769" i="1" s="1"/>
  <c r="P768" i="1"/>
  <c r="Q768" i="1" s="1"/>
  <c r="P767" i="1"/>
  <c r="Q767" i="1" s="1"/>
  <c r="P766" i="1"/>
  <c r="Q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1069" i="1"/>
  <c r="T1069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6" i="5" s="1"/>
  <c r="C115" i="5"/>
  <c r="D114" i="5"/>
  <c r="C114" i="5"/>
  <c r="D113" i="5"/>
  <c r="C113" i="5"/>
  <c r="D112" i="5"/>
  <c r="C112" i="5"/>
  <c r="D111" i="5"/>
  <c r="C111" i="5"/>
  <c r="C99" i="5"/>
  <c r="D102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6" i="4" s="1"/>
  <c r="C115" i="4"/>
  <c r="D114" i="4"/>
  <c r="C114" i="4"/>
  <c r="D113" i="4"/>
  <c r="C113" i="4"/>
  <c r="D112" i="4"/>
  <c r="C112" i="4"/>
  <c r="D111" i="4"/>
  <c r="C111" i="4"/>
  <c r="C103" i="4"/>
  <c r="D106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6" i="4"/>
  <c r="D77" i="5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18" i="5"/>
  <c r="C122" i="5"/>
  <c r="C133" i="5" s="1"/>
  <c r="D136" i="5" s="1"/>
  <c r="C122" i="4"/>
  <c r="C133" i="4" s="1"/>
  <c r="C136" i="4" s="1"/>
  <c r="C122" i="3"/>
  <c r="C133" i="3" s="1"/>
  <c r="D136" i="3" s="1"/>
  <c r="C118" i="4"/>
  <c r="C116" i="3"/>
  <c r="C118" i="3"/>
  <c r="R1068" i="1"/>
  <c r="C136" i="5" l="1"/>
  <c r="C138" i="5" s="1"/>
  <c r="D136" i="4"/>
  <c r="C138" i="4" s="1"/>
  <c r="C136" i="3"/>
  <c r="C138" i="3" s="1"/>
  <c r="R1067" i="1"/>
  <c r="S1068" i="1"/>
  <c r="T1068" i="1" s="1"/>
  <c r="R1066" i="1" l="1"/>
  <c r="S1067" i="1"/>
  <c r="T1067" i="1" s="1"/>
  <c r="R1065" i="1" l="1"/>
  <c r="S1066" i="1"/>
  <c r="T1066" i="1" s="1"/>
  <c r="R1064" i="1" l="1"/>
  <c r="S1065" i="1"/>
  <c r="T1065" i="1" s="1"/>
  <c r="R1063" i="1" l="1"/>
  <c r="S1064" i="1"/>
  <c r="T1064" i="1" s="1"/>
  <c r="R1062" i="1" l="1"/>
  <c r="S1063" i="1"/>
  <c r="T1063" i="1" s="1"/>
  <c r="R1061" i="1" l="1"/>
  <c r="S1062" i="1"/>
  <c r="T1062" i="1" s="1"/>
  <c r="R1060" i="1" l="1"/>
  <c r="S1061" i="1"/>
  <c r="T1061" i="1" s="1"/>
  <c r="R1059" i="1" l="1"/>
  <c r="S1060" i="1"/>
  <c r="T1060" i="1" s="1"/>
  <c r="R1058" i="1" l="1"/>
  <c r="S1059" i="1"/>
  <c r="T1059" i="1" s="1"/>
  <c r="R1057" i="1" l="1"/>
  <c r="S1058" i="1"/>
  <c r="T1058" i="1" s="1"/>
  <c r="R1056" i="1" l="1"/>
  <c r="S1057" i="1"/>
  <c r="T1057" i="1" s="1"/>
  <c r="R1055" i="1" l="1"/>
  <c r="S1056" i="1"/>
  <c r="T1056" i="1" s="1"/>
  <c r="R1054" i="1" l="1"/>
  <c r="S1055" i="1"/>
  <c r="T1055" i="1" s="1"/>
  <c r="R1053" i="1" l="1"/>
  <c r="S1054" i="1"/>
  <c r="T1054" i="1" s="1"/>
  <c r="R1052" i="1" l="1"/>
  <c r="S1053" i="1"/>
  <c r="T1053" i="1" s="1"/>
  <c r="R1051" i="1" l="1"/>
  <c r="S1052" i="1"/>
  <c r="T1052" i="1" s="1"/>
  <c r="R1050" i="1" l="1"/>
  <c r="S1051" i="1"/>
  <c r="T1051" i="1" s="1"/>
  <c r="R1049" i="1" l="1"/>
  <c r="S1050" i="1"/>
  <c r="T1050" i="1" s="1"/>
  <c r="R1048" i="1" l="1"/>
  <c r="S1049" i="1"/>
  <c r="T1049" i="1" s="1"/>
  <c r="R1047" i="1" l="1"/>
  <c r="S1048" i="1"/>
  <c r="T1048" i="1" s="1"/>
  <c r="R1046" i="1" l="1"/>
  <c r="S1047" i="1"/>
  <c r="T1047" i="1" s="1"/>
  <c r="R1045" i="1" l="1"/>
  <c r="S1046" i="1"/>
  <c r="T1046" i="1" s="1"/>
  <c r="R1044" i="1" l="1"/>
  <c r="S1045" i="1"/>
  <c r="T1045" i="1" s="1"/>
  <c r="R1043" i="1" l="1"/>
  <c r="S1044" i="1"/>
  <c r="T1044" i="1" s="1"/>
  <c r="R1042" i="1" l="1"/>
  <c r="S1043" i="1"/>
  <c r="T1043" i="1" s="1"/>
  <c r="R1041" i="1" l="1"/>
  <c r="S1042" i="1"/>
  <c r="T1042" i="1" s="1"/>
  <c r="R1040" i="1" l="1"/>
  <c r="S1041" i="1"/>
  <c r="T1041" i="1" s="1"/>
  <c r="R1039" i="1" l="1"/>
  <c r="S1040" i="1"/>
  <c r="T1040" i="1" s="1"/>
  <c r="R1038" i="1" l="1"/>
  <c r="S1039" i="1"/>
  <c r="T1039" i="1" s="1"/>
  <c r="R1037" i="1" l="1"/>
  <c r="S1038" i="1"/>
  <c r="T1038" i="1" s="1"/>
  <c r="R1036" i="1" l="1"/>
  <c r="S1037" i="1"/>
  <c r="T1037" i="1" s="1"/>
  <c r="R1035" i="1" l="1"/>
  <c r="S1036" i="1"/>
  <c r="T1036" i="1" s="1"/>
  <c r="R1034" i="1" l="1"/>
  <c r="S1035" i="1"/>
  <c r="T1035" i="1" s="1"/>
  <c r="R1033" i="1" l="1"/>
  <c r="S1034" i="1"/>
  <c r="T1034" i="1" s="1"/>
  <c r="R1032" i="1" l="1"/>
  <c r="S1033" i="1"/>
  <c r="T1033" i="1" s="1"/>
  <c r="R1031" i="1" l="1"/>
  <c r="S1032" i="1"/>
  <c r="T1032" i="1" s="1"/>
  <c r="R1030" i="1" l="1"/>
  <c r="S1031" i="1"/>
  <c r="T1031" i="1" s="1"/>
  <c r="R1029" i="1" l="1"/>
  <c r="S1030" i="1"/>
  <c r="T1030" i="1" s="1"/>
  <c r="R1028" i="1" l="1"/>
  <c r="S1029" i="1"/>
  <c r="T1029" i="1" s="1"/>
  <c r="R1027" i="1" l="1"/>
  <c r="S1028" i="1"/>
  <c r="T1028" i="1" s="1"/>
  <c r="R1026" i="1" l="1"/>
  <c r="S1027" i="1"/>
  <c r="T1027" i="1" s="1"/>
  <c r="R1025" i="1" l="1"/>
  <c r="S1026" i="1"/>
  <c r="T1026" i="1" s="1"/>
  <c r="R1024" i="1" l="1"/>
  <c r="S1025" i="1"/>
  <c r="T1025" i="1" s="1"/>
  <c r="R1023" i="1" l="1"/>
  <c r="S1024" i="1"/>
  <c r="T1024" i="1" s="1"/>
  <c r="R1022" i="1" l="1"/>
  <c r="S1023" i="1"/>
  <c r="T1023" i="1" s="1"/>
  <c r="R1021" i="1" l="1"/>
  <c r="S1022" i="1"/>
  <c r="T1022" i="1" s="1"/>
  <c r="R1020" i="1" l="1"/>
  <c r="S1021" i="1"/>
  <c r="T1021" i="1" s="1"/>
  <c r="R1019" i="1" l="1"/>
  <c r="S1020" i="1"/>
  <c r="T1020" i="1" s="1"/>
  <c r="R1018" i="1" l="1"/>
  <c r="S1019" i="1"/>
  <c r="T1019" i="1" s="1"/>
  <c r="R1017" i="1" l="1"/>
  <c r="S1018" i="1"/>
  <c r="T1018" i="1" s="1"/>
  <c r="R1016" i="1" l="1"/>
  <c r="S1017" i="1"/>
  <c r="T1017" i="1" s="1"/>
  <c r="R1015" i="1" l="1"/>
  <c r="S1016" i="1"/>
  <c r="T1016" i="1" s="1"/>
  <c r="R1014" i="1" l="1"/>
  <c r="S1015" i="1"/>
  <c r="T1015" i="1" s="1"/>
  <c r="R1013" i="1" l="1"/>
  <c r="S1014" i="1"/>
  <c r="T1014" i="1" s="1"/>
  <c r="R1012" i="1" l="1"/>
  <c r="S1013" i="1"/>
  <c r="T1013" i="1" s="1"/>
  <c r="R1011" i="1" l="1"/>
  <c r="S1012" i="1"/>
  <c r="T1012" i="1" s="1"/>
  <c r="R1010" i="1" l="1"/>
  <c r="S1011" i="1"/>
  <c r="T1011" i="1" s="1"/>
  <c r="R1009" i="1" l="1"/>
  <c r="S1010" i="1"/>
  <c r="T1010" i="1" s="1"/>
  <c r="R1008" i="1" l="1"/>
  <c r="S1009" i="1"/>
  <c r="T1009" i="1" s="1"/>
  <c r="R1007" i="1" l="1"/>
  <c r="S1008" i="1"/>
  <c r="T1008" i="1" s="1"/>
  <c r="R1006" i="1" l="1"/>
  <c r="S1007" i="1"/>
  <c r="T1007" i="1" s="1"/>
  <c r="R1005" i="1" l="1"/>
  <c r="S1006" i="1"/>
  <c r="T1006" i="1" s="1"/>
  <c r="R1004" i="1" l="1"/>
  <c r="S1005" i="1"/>
  <c r="T1005" i="1" s="1"/>
  <c r="R1003" i="1" l="1"/>
  <c r="S1004" i="1"/>
  <c r="T1004" i="1" s="1"/>
  <c r="R1002" i="1" l="1"/>
  <c r="S1003" i="1"/>
  <c r="T1003" i="1" s="1"/>
  <c r="R1001" i="1" l="1"/>
  <c r="S1002" i="1"/>
  <c r="T1002" i="1" s="1"/>
  <c r="R1000" i="1" l="1"/>
  <c r="S1001" i="1"/>
  <c r="T1001" i="1" s="1"/>
  <c r="R999" i="1" l="1"/>
  <c r="S1000" i="1"/>
  <c r="T1000" i="1" s="1"/>
  <c r="R998" i="1" l="1"/>
  <c r="S999" i="1"/>
  <c r="T999" i="1" s="1"/>
  <c r="R997" i="1" l="1"/>
  <c r="S998" i="1"/>
  <c r="T998" i="1" s="1"/>
  <c r="R996" i="1" l="1"/>
  <c r="S997" i="1"/>
  <c r="T997" i="1" s="1"/>
  <c r="R995" i="1" l="1"/>
  <c r="S996" i="1"/>
  <c r="T996" i="1" s="1"/>
  <c r="R994" i="1" l="1"/>
  <c r="S995" i="1"/>
  <c r="T995" i="1" s="1"/>
  <c r="R993" i="1" l="1"/>
  <c r="S994" i="1"/>
  <c r="T994" i="1" s="1"/>
  <c r="R992" i="1" l="1"/>
  <c r="S993" i="1"/>
  <c r="T993" i="1" s="1"/>
  <c r="R991" i="1" l="1"/>
  <c r="S992" i="1"/>
  <c r="T992" i="1" s="1"/>
  <c r="R990" i="1" l="1"/>
  <c r="S991" i="1"/>
  <c r="T991" i="1" s="1"/>
  <c r="R989" i="1" l="1"/>
  <c r="S990" i="1"/>
  <c r="T990" i="1" s="1"/>
  <c r="R988" i="1" l="1"/>
  <c r="S989" i="1"/>
  <c r="T989" i="1" s="1"/>
  <c r="R987" i="1" l="1"/>
  <c r="S988" i="1"/>
  <c r="T988" i="1" s="1"/>
  <c r="R986" i="1" l="1"/>
  <c r="S987" i="1"/>
  <c r="T987" i="1" s="1"/>
  <c r="R985" i="1" l="1"/>
  <c r="S986" i="1"/>
  <c r="T986" i="1" s="1"/>
  <c r="R984" i="1" l="1"/>
  <c r="S985" i="1"/>
  <c r="T985" i="1" s="1"/>
  <c r="R983" i="1" l="1"/>
  <c r="S984" i="1"/>
  <c r="T984" i="1" s="1"/>
  <c r="R982" i="1" l="1"/>
  <c r="S983" i="1"/>
  <c r="T983" i="1" s="1"/>
  <c r="R981" i="1" l="1"/>
  <c r="S982" i="1"/>
  <c r="T982" i="1" s="1"/>
  <c r="R980" i="1" l="1"/>
  <c r="S981" i="1"/>
  <c r="T981" i="1" s="1"/>
  <c r="R979" i="1" l="1"/>
  <c r="S980" i="1"/>
  <c r="T980" i="1" s="1"/>
  <c r="R978" i="1" l="1"/>
  <c r="S979" i="1"/>
  <c r="T979" i="1" s="1"/>
  <c r="R977" i="1" l="1"/>
  <c r="S978" i="1"/>
  <c r="T978" i="1" s="1"/>
  <c r="R976" i="1" l="1"/>
  <c r="S977" i="1"/>
  <c r="T977" i="1" s="1"/>
  <c r="R975" i="1" l="1"/>
  <c r="S976" i="1"/>
  <c r="T976" i="1" s="1"/>
  <c r="R974" i="1" l="1"/>
  <c r="S975" i="1"/>
  <c r="T975" i="1" s="1"/>
  <c r="R973" i="1" l="1"/>
  <c r="S974" i="1"/>
  <c r="T974" i="1" s="1"/>
  <c r="R972" i="1" l="1"/>
  <c r="S973" i="1"/>
  <c r="T973" i="1" s="1"/>
  <c r="R971" i="1" l="1"/>
  <c r="S972" i="1"/>
  <c r="T972" i="1" s="1"/>
  <c r="R970" i="1" l="1"/>
  <c r="S971" i="1"/>
  <c r="T971" i="1" s="1"/>
  <c r="R969" i="1" l="1"/>
  <c r="S970" i="1"/>
  <c r="T970" i="1" s="1"/>
  <c r="R968" i="1" l="1"/>
  <c r="S969" i="1"/>
  <c r="T969" i="1" s="1"/>
  <c r="R967" i="1" l="1"/>
  <c r="S968" i="1"/>
  <c r="T968" i="1" s="1"/>
  <c r="R966" i="1" l="1"/>
  <c r="S967" i="1"/>
  <c r="T967" i="1" s="1"/>
  <c r="R965" i="1" l="1"/>
  <c r="S966" i="1"/>
  <c r="T966" i="1" s="1"/>
  <c r="R964" i="1" l="1"/>
  <c r="S965" i="1"/>
  <c r="T965" i="1" s="1"/>
  <c r="R963" i="1" l="1"/>
  <c r="S964" i="1"/>
  <c r="T964" i="1" s="1"/>
  <c r="R962" i="1" l="1"/>
  <c r="S963" i="1"/>
  <c r="T963" i="1" s="1"/>
  <c r="R961" i="1" l="1"/>
  <c r="S962" i="1"/>
  <c r="T962" i="1" s="1"/>
  <c r="R960" i="1" l="1"/>
  <c r="S961" i="1"/>
  <c r="T961" i="1" s="1"/>
  <c r="R959" i="1" l="1"/>
  <c r="S960" i="1"/>
  <c r="T960" i="1" s="1"/>
  <c r="R958" i="1" l="1"/>
  <c r="S959" i="1"/>
  <c r="T959" i="1" s="1"/>
  <c r="R957" i="1" l="1"/>
  <c r="S958" i="1"/>
  <c r="T958" i="1" s="1"/>
  <c r="R956" i="1" l="1"/>
  <c r="S957" i="1"/>
  <c r="T957" i="1" s="1"/>
  <c r="R955" i="1" l="1"/>
  <c r="S956" i="1"/>
  <c r="T956" i="1" s="1"/>
  <c r="R954" i="1" l="1"/>
  <c r="S955" i="1"/>
  <c r="T955" i="1" s="1"/>
  <c r="R953" i="1" l="1"/>
  <c r="S954" i="1"/>
  <c r="T954" i="1" s="1"/>
  <c r="R952" i="1" l="1"/>
  <c r="S953" i="1"/>
  <c r="T953" i="1" s="1"/>
  <c r="R951" i="1" l="1"/>
  <c r="S952" i="1"/>
  <c r="T952" i="1" s="1"/>
  <c r="R950" i="1" l="1"/>
  <c r="S951" i="1"/>
  <c r="T951" i="1" s="1"/>
  <c r="R949" i="1" l="1"/>
  <c r="S950" i="1"/>
  <c r="T950" i="1" s="1"/>
  <c r="R948" i="1" l="1"/>
  <c r="S949" i="1"/>
  <c r="T949" i="1" s="1"/>
  <c r="R947" i="1" l="1"/>
  <c r="S948" i="1"/>
  <c r="T948" i="1" s="1"/>
  <c r="R946" i="1" l="1"/>
  <c r="S947" i="1"/>
  <c r="T947" i="1" s="1"/>
  <c r="R945" i="1" l="1"/>
  <c r="S946" i="1"/>
  <c r="T946" i="1" s="1"/>
  <c r="R944" i="1" l="1"/>
  <c r="S945" i="1"/>
  <c r="T945" i="1" s="1"/>
  <c r="R943" i="1" l="1"/>
  <c r="S944" i="1"/>
  <c r="T944" i="1" s="1"/>
  <c r="R942" i="1" l="1"/>
  <c r="S943" i="1"/>
  <c r="T943" i="1" s="1"/>
  <c r="R941" i="1" l="1"/>
  <c r="S942" i="1"/>
  <c r="T942" i="1" s="1"/>
  <c r="R940" i="1" l="1"/>
  <c r="S941" i="1"/>
  <c r="T941" i="1" s="1"/>
  <c r="R939" i="1" l="1"/>
  <c r="S940" i="1"/>
  <c r="T940" i="1" s="1"/>
  <c r="R938" i="1" l="1"/>
  <c r="S939" i="1"/>
  <c r="T939" i="1" s="1"/>
  <c r="R937" i="1" l="1"/>
  <c r="S938" i="1"/>
  <c r="T938" i="1" s="1"/>
  <c r="R936" i="1" l="1"/>
  <c r="S937" i="1"/>
  <c r="T937" i="1" s="1"/>
  <c r="R935" i="1" l="1"/>
  <c r="S936" i="1"/>
  <c r="T936" i="1" s="1"/>
  <c r="R934" i="1" l="1"/>
  <c r="S935" i="1"/>
  <c r="T935" i="1" s="1"/>
  <c r="R933" i="1" l="1"/>
  <c r="S934" i="1"/>
  <c r="T934" i="1" s="1"/>
  <c r="R932" i="1" l="1"/>
  <c r="S933" i="1"/>
  <c r="T933" i="1" s="1"/>
  <c r="R931" i="1" l="1"/>
  <c r="S932" i="1"/>
  <c r="T932" i="1" s="1"/>
  <c r="R930" i="1" l="1"/>
  <c r="S931" i="1"/>
  <c r="T931" i="1" s="1"/>
  <c r="R929" i="1" l="1"/>
  <c r="S930" i="1"/>
  <c r="T930" i="1" s="1"/>
  <c r="R928" i="1" l="1"/>
  <c r="S929" i="1"/>
  <c r="T929" i="1" s="1"/>
  <c r="R927" i="1" l="1"/>
  <c r="S928" i="1"/>
  <c r="T928" i="1" s="1"/>
  <c r="R926" i="1" l="1"/>
  <c r="S927" i="1"/>
  <c r="T927" i="1" s="1"/>
  <c r="R925" i="1" l="1"/>
  <c r="S926" i="1"/>
  <c r="T926" i="1" s="1"/>
  <c r="R924" i="1" l="1"/>
  <c r="S925" i="1"/>
  <c r="T925" i="1" s="1"/>
  <c r="R923" i="1" l="1"/>
  <c r="S924" i="1"/>
  <c r="T924" i="1" s="1"/>
  <c r="R922" i="1" l="1"/>
  <c r="S923" i="1"/>
  <c r="T923" i="1" s="1"/>
  <c r="R921" i="1" l="1"/>
  <c r="S922" i="1"/>
  <c r="T922" i="1" s="1"/>
  <c r="R920" i="1" l="1"/>
  <c r="S921" i="1"/>
  <c r="T921" i="1" s="1"/>
  <c r="R919" i="1" l="1"/>
  <c r="S920" i="1"/>
  <c r="T920" i="1" s="1"/>
  <c r="R918" i="1" l="1"/>
  <c r="S919" i="1"/>
  <c r="T919" i="1" s="1"/>
  <c r="R917" i="1" l="1"/>
  <c r="S918" i="1"/>
  <c r="T918" i="1" s="1"/>
  <c r="R916" i="1" l="1"/>
  <c r="S917" i="1"/>
  <c r="T917" i="1" s="1"/>
  <c r="R915" i="1" l="1"/>
  <c r="S916" i="1"/>
  <c r="T916" i="1" s="1"/>
  <c r="R914" i="1" l="1"/>
  <c r="S915" i="1"/>
  <c r="T915" i="1" s="1"/>
  <c r="R913" i="1" l="1"/>
  <c r="S914" i="1"/>
  <c r="T914" i="1" s="1"/>
  <c r="R912" i="1" l="1"/>
  <c r="S913" i="1"/>
  <c r="T913" i="1" s="1"/>
  <c r="R911" i="1" l="1"/>
  <c r="S912" i="1"/>
  <c r="T912" i="1" s="1"/>
  <c r="R910" i="1" l="1"/>
  <c r="S911" i="1"/>
  <c r="T911" i="1" s="1"/>
  <c r="R909" i="1" l="1"/>
  <c r="S910" i="1"/>
  <c r="T910" i="1" s="1"/>
  <c r="R908" i="1" l="1"/>
  <c r="S909" i="1"/>
  <c r="T909" i="1" s="1"/>
  <c r="R907" i="1" l="1"/>
  <c r="S908" i="1"/>
  <c r="T908" i="1" s="1"/>
  <c r="R906" i="1" l="1"/>
  <c r="S907" i="1"/>
  <c r="T907" i="1" s="1"/>
  <c r="R905" i="1" l="1"/>
  <c r="S906" i="1"/>
  <c r="T906" i="1" s="1"/>
  <c r="R904" i="1" l="1"/>
  <c r="S905" i="1"/>
  <c r="T905" i="1" s="1"/>
  <c r="R903" i="1" l="1"/>
  <c r="S904" i="1"/>
  <c r="T904" i="1" s="1"/>
  <c r="R902" i="1" l="1"/>
  <c r="S903" i="1"/>
  <c r="T903" i="1" s="1"/>
  <c r="R901" i="1" l="1"/>
  <c r="S902" i="1"/>
  <c r="T902" i="1" s="1"/>
  <c r="R900" i="1" l="1"/>
  <c r="S901" i="1"/>
  <c r="T901" i="1" s="1"/>
  <c r="R899" i="1" l="1"/>
  <c r="S900" i="1"/>
  <c r="T900" i="1" s="1"/>
  <c r="R898" i="1" l="1"/>
  <c r="S899" i="1"/>
  <c r="T899" i="1" s="1"/>
  <c r="R897" i="1" l="1"/>
  <c r="S898" i="1"/>
  <c r="T898" i="1" s="1"/>
  <c r="R896" i="1" l="1"/>
  <c r="S897" i="1"/>
  <c r="T897" i="1" s="1"/>
  <c r="R895" i="1" l="1"/>
  <c r="S896" i="1"/>
  <c r="T896" i="1" s="1"/>
  <c r="R894" i="1" l="1"/>
  <c r="S895" i="1"/>
  <c r="T895" i="1" s="1"/>
  <c r="R893" i="1" l="1"/>
  <c r="S894" i="1"/>
  <c r="T894" i="1" s="1"/>
  <c r="R892" i="1" l="1"/>
  <c r="S893" i="1"/>
  <c r="T893" i="1" s="1"/>
  <c r="R891" i="1" l="1"/>
  <c r="S892" i="1"/>
  <c r="T892" i="1" s="1"/>
  <c r="R890" i="1" l="1"/>
  <c r="S891" i="1"/>
  <c r="T891" i="1" s="1"/>
  <c r="R889" i="1" l="1"/>
  <c r="S890" i="1"/>
  <c r="T890" i="1" s="1"/>
  <c r="R888" i="1" l="1"/>
  <c r="S889" i="1"/>
  <c r="T889" i="1" s="1"/>
  <c r="R887" i="1" l="1"/>
  <c r="S888" i="1"/>
  <c r="T888" i="1" s="1"/>
  <c r="R886" i="1" l="1"/>
  <c r="S887" i="1"/>
  <c r="T887" i="1" s="1"/>
  <c r="R885" i="1" l="1"/>
  <c r="S886" i="1"/>
  <c r="T886" i="1" s="1"/>
  <c r="R884" i="1" l="1"/>
  <c r="S885" i="1"/>
  <c r="T885" i="1" s="1"/>
  <c r="R883" i="1" l="1"/>
  <c r="S884" i="1"/>
  <c r="T884" i="1" s="1"/>
  <c r="R882" i="1" l="1"/>
  <c r="S883" i="1"/>
  <c r="T883" i="1" s="1"/>
  <c r="R881" i="1" l="1"/>
  <c r="S882" i="1"/>
  <c r="T882" i="1" s="1"/>
  <c r="R880" i="1" l="1"/>
  <c r="S881" i="1"/>
  <c r="T881" i="1" s="1"/>
  <c r="R879" i="1" l="1"/>
  <c r="S880" i="1"/>
  <c r="T880" i="1" s="1"/>
  <c r="R878" i="1" l="1"/>
  <c r="S879" i="1"/>
  <c r="T879" i="1" s="1"/>
  <c r="R877" i="1" l="1"/>
  <c r="S878" i="1"/>
  <c r="T878" i="1" s="1"/>
  <c r="R876" i="1" l="1"/>
  <c r="S877" i="1"/>
  <c r="T877" i="1" s="1"/>
  <c r="R875" i="1" l="1"/>
  <c r="S876" i="1"/>
  <c r="T876" i="1" s="1"/>
  <c r="R874" i="1" l="1"/>
  <c r="S875" i="1"/>
  <c r="T875" i="1" s="1"/>
  <c r="R873" i="1" l="1"/>
  <c r="S874" i="1"/>
  <c r="T874" i="1" s="1"/>
  <c r="R872" i="1" l="1"/>
  <c r="S873" i="1"/>
  <c r="T873" i="1" s="1"/>
  <c r="R871" i="1" l="1"/>
  <c r="S872" i="1"/>
  <c r="T872" i="1" s="1"/>
  <c r="R870" i="1" l="1"/>
  <c r="S871" i="1"/>
  <c r="T871" i="1" s="1"/>
  <c r="R869" i="1" l="1"/>
  <c r="S870" i="1"/>
  <c r="T870" i="1" s="1"/>
  <c r="R868" i="1" l="1"/>
  <c r="S869" i="1"/>
  <c r="T869" i="1" s="1"/>
  <c r="R867" i="1" l="1"/>
  <c r="S868" i="1"/>
  <c r="T868" i="1" s="1"/>
  <c r="R866" i="1" l="1"/>
  <c r="S867" i="1"/>
  <c r="T867" i="1" s="1"/>
  <c r="R865" i="1" l="1"/>
  <c r="S866" i="1"/>
  <c r="T866" i="1" s="1"/>
  <c r="R864" i="1" l="1"/>
  <c r="S865" i="1"/>
  <c r="T865" i="1" s="1"/>
  <c r="R863" i="1" l="1"/>
  <c r="S864" i="1"/>
  <c r="T864" i="1" s="1"/>
  <c r="R862" i="1" l="1"/>
  <c r="S863" i="1"/>
  <c r="T863" i="1" s="1"/>
  <c r="R861" i="1" l="1"/>
  <c r="S862" i="1"/>
  <c r="T862" i="1" s="1"/>
  <c r="R860" i="1" l="1"/>
  <c r="S861" i="1"/>
  <c r="T861" i="1" s="1"/>
  <c r="R859" i="1" l="1"/>
  <c r="S860" i="1"/>
  <c r="T860" i="1" s="1"/>
  <c r="R858" i="1" l="1"/>
  <c r="S859" i="1"/>
  <c r="T859" i="1" s="1"/>
  <c r="R857" i="1" l="1"/>
  <c r="S858" i="1"/>
  <c r="T858" i="1" s="1"/>
  <c r="R856" i="1" l="1"/>
  <c r="S857" i="1"/>
  <c r="T857" i="1" s="1"/>
  <c r="R855" i="1" l="1"/>
  <c r="S856" i="1"/>
  <c r="T856" i="1" s="1"/>
  <c r="R854" i="1" l="1"/>
  <c r="S855" i="1"/>
  <c r="T855" i="1" s="1"/>
  <c r="R853" i="1" l="1"/>
  <c r="S854" i="1"/>
  <c r="T854" i="1" s="1"/>
  <c r="R852" i="1" l="1"/>
  <c r="S853" i="1"/>
  <c r="T853" i="1" s="1"/>
  <c r="R851" i="1" l="1"/>
  <c r="S852" i="1"/>
  <c r="T852" i="1" s="1"/>
  <c r="R850" i="1" l="1"/>
  <c r="S851" i="1"/>
  <c r="T851" i="1" s="1"/>
  <c r="R849" i="1" l="1"/>
  <c r="S850" i="1"/>
  <c r="T850" i="1" s="1"/>
  <c r="R848" i="1" l="1"/>
  <c r="S849" i="1"/>
  <c r="T849" i="1" s="1"/>
  <c r="R847" i="1" l="1"/>
  <c r="S848" i="1"/>
  <c r="T848" i="1" s="1"/>
  <c r="R846" i="1" l="1"/>
  <c r="S847" i="1"/>
  <c r="T847" i="1" s="1"/>
  <c r="R845" i="1" l="1"/>
  <c r="S846" i="1"/>
  <c r="T846" i="1" s="1"/>
  <c r="R844" i="1" l="1"/>
  <c r="S845" i="1"/>
  <c r="T845" i="1" s="1"/>
  <c r="R843" i="1" l="1"/>
  <c r="S844" i="1"/>
  <c r="T844" i="1" s="1"/>
  <c r="R842" i="1" l="1"/>
  <c r="S843" i="1"/>
  <c r="T843" i="1" s="1"/>
  <c r="R841" i="1" l="1"/>
  <c r="S842" i="1"/>
  <c r="T842" i="1" s="1"/>
  <c r="R840" i="1" l="1"/>
  <c r="S841" i="1"/>
  <c r="T841" i="1" s="1"/>
  <c r="R839" i="1" l="1"/>
  <c r="S840" i="1"/>
  <c r="T840" i="1" s="1"/>
  <c r="R838" i="1" l="1"/>
  <c r="S839" i="1"/>
  <c r="T839" i="1" s="1"/>
  <c r="R837" i="1" l="1"/>
  <c r="S838" i="1"/>
  <c r="T838" i="1" s="1"/>
  <c r="R836" i="1" l="1"/>
  <c r="S837" i="1"/>
  <c r="T837" i="1" s="1"/>
  <c r="R835" i="1" l="1"/>
  <c r="S836" i="1"/>
  <c r="T836" i="1" s="1"/>
  <c r="R834" i="1" l="1"/>
  <c r="S835" i="1"/>
  <c r="T835" i="1" s="1"/>
  <c r="R833" i="1" l="1"/>
  <c r="S834" i="1"/>
  <c r="T834" i="1" s="1"/>
  <c r="R832" i="1" l="1"/>
  <c r="S833" i="1"/>
  <c r="T833" i="1" s="1"/>
  <c r="R831" i="1" l="1"/>
  <c r="S832" i="1"/>
  <c r="T832" i="1" s="1"/>
  <c r="R830" i="1" l="1"/>
  <c r="S831" i="1"/>
  <c r="T831" i="1" s="1"/>
  <c r="R829" i="1" l="1"/>
  <c r="S830" i="1"/>
  <c r="T830" i="1" s="1"/>
  <c r="R828" i="1" l="1"/>
  <c r="S829" i="1"/>
  <c r="T829" i="1" s="1"/>
  <c r="R827" i="1" l="1"/>
  <c r="S828" i="1"/>
  <c r="T828" i="1" s="1"/>
  <c r="R826" i="1" l="1"/>
  <c r="S827" i="1"/>
  <c r="T827" i="1" s="1"/>
  <c r="R825" i="1" l="1"/>
  <c r="S826" i="1"/>
  <c r="T826" i="1" s="1"/>
  <c r="R824" i="1" l="1"/>
  <c r="S825" i="1"/>
  <c r="T825" i="1" s="1"/>
  <c r="R823" i="1" l="1"/>
  <c r="S824" i="1"/>
  <c r="T824" i="1" s="1"/>
  <c r="R822" i="1" l="1"/>
  <c r="S823" i="1"/>
  <c r="T823" i="1" s="1"/>
  <c r="R821" i="1" l="1"/>
  <c r="S822" i="1"/>
  <c r="T822" i="1" s="1"/>
  <c r="R820" i="1" l="1"/>
  <c r="S821" i="1"/>
  <c r="T821" i="1" s="1"/>
  <c r="R819" i="1" l="1"/>
  <c r="S820" i="1"/>
  <c r="T820" i="1" s="1"/>
  <c r="R818" i="1" l="1"/>
  <c r="S819" i="1"/>
  <c r="T819" i="1" s="1"/>
  <c r="R817" i="1" l="1"/>
  <c r="S818" i="1"/>
  <c r="T818" i="1" s="1"/>
  <c r="R816" i="1" l="1"/>
  <c r="S817" i="1"/>
  <c r="T817" i="1" s="1"/>
  <c r="R815" i="1" l="1"/>
  <c r="S816" i="1"/>
  <c r="T816" i="1" s="1"/>
  <c r="R814" i="1" l="1"/>
  <c r="S815" i="1"/>
  <c r="T815" i="1" s="1"/>
  <c r="R813" i="1" l="1"/>
  <c r="S814" i="1"/>
  <c r="T814" i="1" s="1"/>
  <c r="R812" i="1" l="1"/>
  <c r="S813" i="1"/>
  <c r="T813" i="1" s="1"/>
  <c r="R811" i="1" l="1"/>
  <c r="S812" i="1"/>
  <c r="T812" i="1" s="1"/>
  <c r="R810" i="1" l="1"/>
  <c r="S811" i="1"/>
  <c r="T811" i="1" s="1"/>
  <c r="R809" i="1" l="1"/>
  <c r="S810" i="1"/>
  <c r="T810" i="1" s="1"/>
  <c r="R808" i="1" l="1"/>
  <c r="S809" i="1"/>
  <c r="T809" i="1" s="1"/>
  <c r="R807" i="1" l="1"/>
  <c r="S808" i="1"/>
  <c r="T808" i="1" s="1"/>
  <c r="R806" i="1" l="1"/>
  <c r="S807" i="1"/>
  <c r="T807" i="1" s="1"/>
  <c r="R805" i="1" l="1"/>
  <c r="S806" i="1"/>
  <c r="T806" i="1" s="1"/>
  <c r="R804" i="1" l="1"/>
  <c r="S805" i="1"/>
  <c r="T805" i="1" s="1"/>
  <c r="R803" i="1" l="1"/>
  <c r="S804" i="1"/>
  <c r="T804" i="1" s="1"/>
  <c r="R802" i="1" l="1"/>
  <c r="S803" i="1"/>
  <c r="T803" i="1" s="1"/>
  <c r="R801" i="1" l="1"/>
  <c r="S802" i="1"/>
  <c r="T802" i="1" s="1"/>
  <c r="R800" i="1" l="1"/>
  <c r="S801" i="1"/>
  <c r="T801" i="1" s="1"/>
  <c r="R799" i="1" l="1"/>
  <c r="S800" i="1"/>
  <c r="T800" i="1" s="1"/>
  <c r="R798" i="1" l="1"/>
  <c r="S799" i="1"/>
  <c r="T799" i="1" s="1"/>
  <c r="R797" i="1" l="1"/>
  <c r="S798" i="1"/>
  <c r="T798" i="1" s="1"/>
  <c r="R796" i="1" l="1"/>
  <c r="S797" i="1"/>
  <c r="T797" i="1" s="1"/>
  <c r="R795" i="1" l="1"/>
  <c r="S796" i="1"/>
  <c r="T796" i="1" s="1"/>
  <c r="R794" i="1" l="1"/>
  <c r="S795" i="1"/>
  <c r="T795" i="1" s="1"/>
  <c r="R793" i="1" l="1"/>
  <c r="S794" i="1"/>
  <c r="T794" i="1" s="1"/>
  <c r="R792" i="1" l="1"/>
  <c r="S793" i="1"/>
  <c r="T793" i="1" s="1"/>
  <c r="R791" i="1" l="1"/>
  <c r="S792" i="1"/>
  <c r="T792" i="1" s="1"/>
  <c r="R790" i="1" l="1"/>
  <c r="S791" i="1"/>
  <c r="T791" i="1" s="1"/>
  <c r="R789" i="1" l="1"/>
  <c r="S790" i="1"/>
  <c r="T790" i="1" s="1"/>
  <c r="R788" i="1" l="1"/>
  <c r="S789" i="1"/>
  <c r="T789" i="1" s="1"/>
  <c r="R787" i="1" l="1"/>
  <c r="S788" i="1"/>
  <c r="T788" i="1" s="1"/>
  <c r="R786" i="1" l="1"/>
  <c r="S787" i="1"/>
  <c r="T787" i="1" s="1"/>
  <c r="R785" i="1" l="1"/>
  <c r="S786" i="1"/>
  <c r="T786" i="1" s="1"/>
  <c r="R784" i="1" l="1"/>
  <c r="S785" i="1"/>
  <c r="T785" i="1" s="1"/>
  <c r="R783" i="1" l="1"/>
  <c r="S784" i="1"/>
  <c r="T784" i="1" s="1"/>
  <c r="R782" i="1" l="1"/>
  <c r="S783" i="1"/>
  <c r="T783" i="1" s="1"/>
  <c r="R781" i="1" l="1"/>
  <c r="S782" i="1"/>
  <c r="T782" i="1" s="1"/>
  <c r="R780" i="1" l="1"/>
  <c r="S781" i="1"/>
  <c r="T781" i="1" s="1"/>
  <c r="R779" i="1" l="1"/>
  <c r="S780" i="1"/>
  <c r="T780" i="1" s="1"/>
  <c r="R778" i="1" l="1"/>
  <c r="S779" i="1"/>
  <c r="T779" i="1" s="1"/>
  <c r="R777" i="1" l="1"/>
  <c r="S778" i="1"/>
  <c r="T778" i="1" s="1"/>
  <c r="R776" i="1" l="1"/>
  <c r="S777" i="1"/>
  <c r="T777" i="1" s="1"/>
  <c r="R775" i="1" l="1"/>
  <c r="S776" i="1"/>
  <c r="T776" i="1" s="1"/>
  <c r="R774" i="1" l="1"/>
  <c r="S775" i="1"/>
  <c r="T775" i="1" s="1"/>
  <c r="R773" i="1" l="1"/>
  <c r="S774" i="1"/>
  <c r="T774" i="1" s="1"/>
  <c r="R772" i="1" l="1"/>
  <c r="S773" i="1"/>
  <c r="T773" i="1" s="1"/>
  <c r="R771" i="1" l="1"/>
  <c r="S772" i="1"/>
  <c r="T772" i="1" s="1"/>
  <c r="R770" i="1" l="1"/>
  <c r="S771" i="1"/>
  <c r="T771" i="1" s="1"/>
  <c r="R769" i="1" l="1"/>
  <c r="S770" i="1"/>
  <c r="T770" i="1" s="1"/>
  <c r="R768" i="1" l="1"/>
  <c r="S769" i="1"/>
  <c r="T769" i="1" s="1"/>
  <c r="R767" i="1" l="1"/>
  <c r="S768" i="1"/>
  <c r="T768" i="1" s="1"/>
  <c r="R766" i="1" l="1"/>
  <c r="S767" i="1"/>
  <c r="T767" i="1" s="1"/>
  <c r="R765" i="1" l="1"/>
  <c r="S766" i="1"/>
  <c r="T766" i="1" s="1"/>
  <c r="R764" i="1" l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R131" i="1" l="1"/>
  <c r="S132" i="1"/>
  <c r="T132" i="1" s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R108" i="1" l="1"/>
  <c r="S109" i="1"/>
  <c r="T109" i="1" s="1"/>
  <c r="R107" i="1" l="1"/>
  <c r="S108" i="1"/>
  <c r="T108" i="1" s="1"/>
  <c r="R106" i="1" l="1"/>
  <c r="S107" i="1"/>
  <c r="T107" i="1" s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R101" i="1" l="1"/>
  <c r="S102" i="1"/>
  <c r="T102" i="1" s="1"/>
  <c r="R100" i="1" l="1"/>
  <c r="S101" i="1"/>
  <c r="T101" i="1" s="1"/>
  <c r="R99" i="1" l="1"/>
  <c r="S100" i="1"/>
  <c r="T100" i="1" s="1"/>
  <c r="R98" i="1" l="1"/>
  <c r="S99" i="1"/>
  <c r="T99" i="1" s="1"/>
  <c r="R97" i="1" l="1"/>
  <c r="S98" i="1"/>
  <c r="T98" i="1" s="1"/>
  <c r="R96" i="1" l="1"/>
  <c r="S97" i="1"/>
  <c r="T97" i="1" s="1"/>
  <c r="R95" i="1" l="1"/>
  <c r="S96" i="1"/>
  <c r="T96" i="1" s="1"/>
  <c r="R94" i="1" l="1"/>
  <c r="S95" i="1"/>
  <c r="T95" i="1" s="1"/>
  <c r="R93" i="1" l="1"/>
  <c r="S94" i="1"/>
  <c r="T94" i="1" s="1"/>
  <c r="R92" i="1" l="1"/>
  <c r="S93" i="1"/>
  <c r="T93" i="1" s="1"/>
  <c r="R91" i="1" l="1"/>
  <c r="S92" i="1"/>
  <c r="T92" i="1" s="1"/>
  <c r="R90" i="1" l="1"/>
  <c r="S91" i="1"/>
  <c r="T91" i="1" s="1"/>
  <c r="R89" i="1" l="1"/>
  <c r="S90" i="1"/>
  <c r="T90" i="1" s="1"/>
  <c r="R88" i="1" l="1"/>
  <c r="S89" i="1"/>
  <c r="T89" i="1" s="1"/>
  <c r="R87" i="1" l="1"/>
  <c r="S88" i="1"/>
  <c r="T88" i="1" s="1"/>
  <c r="R86" i="1" l="1"/>
  <c r="S87" i="1"/>
  <c r="T87" i="1" s="1"/>
  <c r="R85" i="1" l="1"/>
  <c r="S86" i="1"/>
  <c r="T86" i="1" s="1"/>
  <c r="R84" i="1" l="1"/>
  <c r="S85" i="1"/>
  <c r="T85" i="1" s="1"/>
  <c r="R83" i="1" l="1"/>
  <c r="S84" i="1"/>
  <c r="T84" i="1" s="1"/>
  <c r="R82" i="1" l="1"/>
  <c r="S83" i="1"/>
  <c r="T83" i="1" s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R71" i="1" l="1"/>
  <c r="S72" i="1"/>
  <c r="T72" i="1" s="1"/>
  <c r="R70" i="1" l="1"/>
  <c r="S71" i="1"/>
  <c r="T71" i="1" s="1"/>
  <c r="R69" i="1" l="1"/>
  <c r="S70" i="1"/>
  <c r="T70" i="1" s="1"/>
  <c r="R68" i="1" l="1"/>
  <c r="S69" i="1"/>
  <c r="T69" i="1" s="1"/>
  <c r="R67" i="1" l="1"/>
  <c r="S68" i="1"/>
  <c r="T68" i="1" s="1"/>
  <c r="R66" i="1" l="1"/>
  <c r="S67" i="1"/>
  <c r="T67" i="1" s="1"/>
  <c r="R65" i="1" l="1"/>
  <c r="S66" i="1"/>
  <c r="T66" i="1" s="1"/>
  <c r="R64" i="1" l="1"/>
  <c r="S65" i="1"/>
  <c r="T65" i="1" s="1"/>
  <c r="R63" i="1" l="1"/>
  <c r="S64" i="1"/>
  <c r="T64" i="1" s="1"/>
  <c r="R62" i="1" l="1"/>
  <c r="S63" i="1"/>
  <c r="T63" i="1" s="1"/>
  <c r="R61" i="1" l="1"/>
  <c r="S62" i="1"/>
  <c r="T62" i="1" s="1"/>
  <c r="R60" i="1" l="1"/>
  <c r="S61" i="1"/>
  <c r="T61" i="1" s="1"/>
  <c r="R59" i="1" l="1"/>
  <c r="S60" i="1"/>
  <c r="T60" i="1" s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R47" i="1" l="1"/>
  <c r="S48" i="1"/>
  <c r="T48" i="1" s="1"/>
  <c r="R46" i="1" l="1"/>
  <c r="S47" i="1"/>
  <c r="T47" i="1" s="1"/>
  <c r="R45" i="1" l="1"/>
  <c r="S46" i="1"/>
  <c r="T46" i="1" s="1"/>
  <c r="R44" i="1" l="1"/>
  <c r="S45" i="1"/>
  <c r="T45" i="1" s="1"/>
  <c r="R43" i="1" l="1"/>
  <c r="S44" i="1"/>
  <c r="T44" i="1" s="1"/>
  <c r="R42" i="1" l="1"/>
  <c r="S43" i="1"/>
  <c r="T43" i="1" s="1"/>
  <c r="R41" i="1" l="1"/>
  <c r="S42" i="1"/>
  <c r="T42" i="1" s="1"/>
  <c r="R40" i="1" l="1"/>
  <c r="S41" i="1"/>
  <c r="T41" i="1" s="1"/>
  <c r="S40" i="1" l="1"/>
  <c r="T40" i="1" s="1"/>
  <c r="R39" i="1"/>
  <c r="S39" i="1" l="1"/>
  <c r="T39" i="1" s="1"/>
  <c r="R38" i="1"/>
  <c r="S38" i="1" l="1"/>
  <c r="T38" i="1" s="1"/>
  <c r="R37" i="1"/>
  <c r="R36" i="1" l="1"/>
  <c r="S37" i="1"/>
  <c r="T37" i="1" s="1"/>
  <c r="S36" i="1" l="1"/>
  <c r="T36" i="1" s="1"/>
  <c r="R35" i="1"/>
  <c r="S35" i="1" l="1"/>
  <c r="T35" i="1" s="1"/>
  <c r="R34" i="1"/>
  <c r="R33" i="1" l="1"/>
  <c r="S34" i="1"/>
  <c r="T34" i="1" s="1"/>
  <c r="R32" i="1" l="1"/>
  <c r="S33" i="1"/>
  <c r="T33" i="1" s="1"/>
  <c r="R31" i="1" l="1"/>
  <c r="S32" i="1"/>
  <c r="T32" i="1" s="1"/>
  <c r="S31" i="1" l="1"/>
  <c r="T31" i="1" s="1"/>
  <c r="R30" i="1"/>
  <c r="R29" i="1" l="1"/>
  <c r="S30" i="1"/>
  <c r="T30" i="1" s="1"/>
  <c r="R28" i="1" l="1"/>
  <c r="S29" i="1"/>
  <c r="T29" i="1" s="1"/>
  <c r="S28" i="1" l="1"/>
  <c r="T28" i="1" s="1"/>
  <c r="R27" i="1"/>
  <c r="S27" i="1" l="1"/>
  <c r="T27" i="1" s="1"/>
  <c r="R26" i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<sst xmlns="http://schemas.openxmlformats.org/spreadsheetml/2006/main" count="8991" uniqueCount="34">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</sst>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7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  <c:pt idx="840">
                  <c:v>43748</c:v>
                </c:pt>
                <c:pt idx="841">
                  <c:v>43747</c:v>
                </c:pt>
                <c:pt idx="842">
                  <c:v>43746</c:v>
                </c:pt>
                <c:pt idx="843">
                  <c:v>43745</c:v>
                </c:pt>
                <c:pt idx="844">
                  <c:v>43744</c:v>
                </c:pt>
                <c:pt idx="845">
                  <c:v>43743</c:v>
                </c:pt>
                <c:pt idx="846">
                  <c:v>43742</c:v>
                </c:pt>
                <c:pt idx="847">
                  <c:v>43741</c:v>
                </c:pt>
                <c:pt idx="848">
                  <c:v>43740</c:v>
                </c:pt>
                <c:pt idx="849">
                  <c:v>43739</c:v>
                </c:pt>
                <c:pt idx="850">
                  <c:v>43738</c:v>
                </c:pt>
                <c:pt idx="851">
                  <c:v>43737</c:v>
                </c:pt>
                <c:pt idx="852">
                  <c:v>43736</c:v>
                </c:pt>
                <c:pt idx="853">
                  <c:v>43735</c:v>
                </c:pt>
                <c:pt idx="854">
                  <c:v>43734</c:v>
                </c:pt>
                <c:pt idx="855">
                  <c:v>43733</c:v>
                </c:pt>
                <c:pt idx="856">
                  <c:v>43732</c:v>
                </c:pt>
                <c:pt idx="857">
                  <c:v>43731</c:v>
                </c:pt>
                <c:pt idx="858">
                  <c:v>43730</c:v>
                </c:pt>
                <c:pt idx="859">
                  <c:v>43729</c:v>
                </c:pt>
                <c:pt idx="860">
                  <c:v>43728</c:v>
                </c:pt>
                <c:pt idx="861">
                  <c:v>43727</c:v>
                </c:pt>
                <c:pt idx="862">
                  <c:v>43726</c:v>
                </c:pt>
                <c:pt idx="863">
                  <c:v>43725</c:v>
                </c:pt>
                <c:pt idx="864">
                  <c:v>43724</c:v>
                </c:pt>
                <c:pt idx="865">
                  <c:v>43723</c:v>
                </c:pt>
                <c:pt idx="866">
                  <c:v>43722</c:v>
                </c:pt>
                <c:pt idx="867">
                  <c:v>43721</c:v>
                </c:pt>
                <c:pt idx="868">
                  <c:v>43720</c:v>
                </c:pt>
                <c:pt idx="869">
                  <c:v>43719</c:v>
                </c:pt>
                <c:pt idx="870">
                  <c:v>43718</c:v>
                </c:pt>
                <c:pt idx="871">
                  <c:v>43717</c:v>
                </c:pt>
                <c:pt idx="872">
                  <c:v>43716</c:v>
                </c:pt>
                <c:pt idx="873">
                  <c:v>43715</c:v>
                </c:pt>
                <c:pt idx="874">
                  <c:v>43714</c:v>
                </c:pt>
                <c:pt idx="875">
                  <c:v>43713</c:v>
                </c:pt>
                <c:pt idx="876">
                  <c:v>43712</c:v>
                </c:pt>
                <c:pt idx="877">
                  <c:v>43711</c:v>
                </c:pt>
                <c:pt idx="878">
                  <c:v>43710</c:v>
                </c:pt>
                <c:pt idx="879">
                  <c:v>43709</c:v>
                </c:pt>
                <c:pt idx="880">
                  <c:v>43708</c:v>
                </c:pt>
                <c:pt idx="881">
                  <c:v>43707</c:v>
                </c:pt>
                <c:pt idx="882">
                  <c:v>43706</c:v>
                </c:pt>
                <c:pt idx="883">
                  <c:v>43705</c:v>
                </c:pt>
                <c:pt idx="884">
                  <c:v>43704</c:v>
                </c:pt>
                <c:pt idx="885">
                  <c:v>43703</c:v>
                </c:pt>
                <c:pt idx="886">
                  <c:v>43702</c:v>
                </c:pt>
                <c:pt idx="887">
                  <c:v>43701</c:v>
                </c:pt>
                <c:pt idx="888">
                  <c:v>43700</c:v>
                </c:pt>
                <c:pt idx="889">
                  <c:v>43699</c:v>
                </c:pt>
                <c:pt idx="890">
                  <c:v>43698</c:v>
                </c:pt>
                <c:pt idx="891">
                  <c:v>43697</c:v>
                </c:pt>
                <c:pt idx="892">
                  <c:v>43696</c:v>
                </c:pt>
                <c:pt idx="893">
                  <c:v>43695</c:v>
                </c:pt>
                <c:pt idx="894">
                  <c:v>43694</c:v>
                </c:pt>
                <c:pt idx="895">
                  <c:v>43693</c:v>
                </c:pt>
                <c:pt idx="896">
                  <c:v>43692</c:v>
                </c:pt>
                <c:pt idx="897">
                  <c:v>43691</c:v>
                </c:pt>
                <c:pt idx="898">
                  <c:v>43690</c:v>
                </c:pt>
                <c:pt idx="899">
                  <c:v>43689</c:v>
                </c:pt>
                <c:pt idx="900">
                  <c:v>43688</c:v>
                </c:pt>
                <c:pt idx="901">
                  <c:v>43687</c:v>
                </c:pt>
                <c:pt idx="902">
                  <c:v>43686</c:v>
                </c:pt>
                <c:pt idx="903">
                  <c:v>43685</c:v>
                </c:pt>
                <c:pt idx="904">
                  <c:v>43684</c:v>
                </c:pt>
                <c:pt idx="905">
                  <c:v>43683</c:v>
                </c:pt>
                <c:pt idx="906">
                  <c:v>43682</c:v>
                </c:pt>
                <c:pt idx="907">
                  <c:v>43681</c:v>
                </c:pt>
                <c:pt idx="908">
                  <c:v>43680</c:v>
                </c:pt>
                <c:pt idx="909">
                  <c:v>43679</c:v>
                </c:pt>
                <c:pt idx="910">
                  <c:v>43678</c:v>
                </c:pt>
                <c:pt idx="911">
                  <c:v>43677</c:v>
                </c:pt>
                <c:pt idx="912">
                  <c:v>43676</c:v>
                </c:pt>
                <c:pt idx="913">
                  <c:v>43675</c:v>
                </c:pt>
                <c:pt idx="914">
                  <c:v>43674</c:v>
                </c:pt>
                <c:pt idx="915">
                  <c:v>43673</c:v>
                </c:pt>
                <c:pt idx="916">
                  <c:v>43672</c:v>
                </c:pt>
                <c:pt idx="917">
                  <c:v>43671</c:v>
                </c:pt>
                <c:pt idx="918">
                  <c:v>43670</c:v>
                </c:pt>
                <c:pt idx="919">
                  <c:v>43669</c:v>
                </c:pt>
                <c:pt idx="920">
                  <c:v>43668</c:v>
                </c:pt>
                <c:pt idx="921">
                  <c:v>43667</c:v>
                </c:pt>
                <c:pt idx="922">
                  <c:v>43666</c:v>
                </c:pt>
                <c:pt idx="923">
                  <c:v>43665</c:v>
                </c:pt>
                <c:pt idx="924">
                  <c:v>43664</c:v>
                </c:pt>
                <c:pt idx="925">
                  <c:v>43663</c:v>
                </c:pt>
                <c:pt idx="926">
                  <c:v>43662</c:v>
                </c:pt>
                <c:pt idx="927">
                  <c:v>43661</c:v>
                </c:pt>
                <c:pt idx="928">
                  <c:v>43660</c:v>
                </c:pt>
                <c:pt idx="929">
                  <c:v>43659</c:v>
                </c:pt>
                <c:pt idx="930">
                  <c:v>43658</c:v>
                </c:pt>
                <c:pt idx="931">
                  <c:v>43657</c:v>
                </c:pt>
                <c:pt idx="932">
                  <c:v>43656</c:v>
                </c:pt>
                <c:pt idx="933">
                  <c:v>43655</c:v>
                </c:pt>
                <c:pt idx="934">
                  <c:v>43654</c:v>
                </c:pt>
                <c:pt idx="935">
                  <c:v>43653</c:v>
                </c:pt>
                <c:pt idx="936">
                  <c:v>43652</c:v>
                </c:pt>
                <c:pt idx="937">
                  <c:v>43651</c:v>
                </c:pt>
                <c:pt idx="938">
                  <c:v>43650</c:v>
                </c:pt>
                <c:pt idx="939">
                  <c:v>43649</c:v>
                </c:pt>
                <c:pt idx="940">
                  <c:v>43648</c:v>
                </c:pt>
                <c:pt idx="941">
                  <c:v>43647</c:v>
                </c:pt>
                <c:pt idx="942">
                  <c:v>43646</c:v>
                </c:pt>
                <c:pt idx="943">
                  <c:v>43645</c:v>
                </c:pt>
                <c:pt idx="944">
                  <c:v>43644</c:v>
                </c:pt>
                <c:pt idx="945">
                  <c:v>43643</c:v>
                </c:pt>
                <c:pt idx="946">
                  <c:v>43642</c:v>
                </c:pt>
                <c:pt idx="947">
                  <c:v>43641</c:v>
                </c:pt>
                <c:pt idx="948">
                  <c:v>43640</c:v>
                </c:pt>
                <c:pt idx="949">
                  <c:v>43639</c:v>
                </c:pt>
                <c:pt idx="950">
                  <c:v>43638</c:v>
                </c:pt>
                <c:pt idx="951">
                  <c:v>43637</c:v>
                </c:pt>
                <c:pt idx="952">
                  <c:v>43636</c:v>
                </c:pt>
                <c:pt idx="953">
                  <c:v>43635</c:v>
                </c:pt>
                <c:pt idx="954">
                  <c:v>43634</c:v>
                </c:pt>
                <c:pt idx="955">
                  <c:v>43633</c:v>
                </c:pt>
                <c:pt idx="956">
                  <c:v>43632</c:v>
                </c:pt>
                <c:pt idx="957">
                  <c:v>43631</c:v>
                </c:pt>
                <c:pt idx="958">
                  <c:v>43630</c:v>
                </c:pt>
                <c:pt idx="959">
                  <c:v>43629</c:v>
                </c:pt>
                <c:pt idx="960">
                  <c:v>43628</c:v>
                </c:pt>
                <c:pt idx="961">
                  <c:v>43627</c:v>
                </c:pt>
                <c:pt idx="962">
                  <c:v>43626</c:v>
                </c:pt>
                <c:pt idx="963">
                  <c:v>43625</c:v>
                </c:pt>
                <c:pt idx="964">
                  <c:v>43624</c:v>
                </c:pt>
                <c:pt idx="965">
                  <c:v>43623</c:v>
                </c:pt>
                <c:pt idx="966">
                  <c:v>43622</c:v>
                </c:pt>
                <c:pt idx="967">
                  <c:v>43621</c:v>
                </c:pt>
                <c:pt idx="968">
                  <c:v>43620</c:v>
                </c:pt>
                <c:pt idx="969">
                  <c:v>43619</c:v>
                </c:pt>
                <c:pt idx="970">
                  <c:v>43618</c:v>
                </c:pt>
                <c:pt idx="971">
                  <c:v>43617</c:v>
                </c:pt>
                <c:pt idx="972">
                  <c:v>43616</c:v>
                </c:pt>
                <c:pt idx="973">
                  <c:v>43615</c:v>
                </c:pt>
                <c:pt idx="974">
                  <c:v>43614</c:v>
                </c:pt>
                <c:pt idx="975">
                  <c:v>43613</c:v>
                </c:pt>
                <c:pt idx="976">
                  <c:v>43612</c:v>
                </c:pt>
                <c:pt idx="977">
                  <c:v>43611</c:v>
                </c:pt>
                <c:pt idx="978">
                  <c:v>43610</c:v>
                </c:pt>
                <c:pt idx="979">
                  <c:v>43609</c:v>
                </c:pt>
                <c:pt idx="980">
                  <c:v>43608</c:v>
                </c:pt>
                <c:pt idx="981">
                  <c:v>43607</c:v>
                </c:pt>
                <c:pt idx="982">
                  <c:v>43606</c:v>
                </c:pt>
                <c:pt idx="983">
                  <c:v>43605</c:v>
                </c:pt>
                <c:pt idx="984">
                  <c:v>43604</c:v>
                </c:pt>
                <c:pt idx="985">
                  <c:v>43603</c:v>
                </c:pt>
                <c:pt idx="986">
                  <c:v>43602</c:v>
                </c:pt>
                <c:pt idx="987">
                  <c:v>43601</c:v>
                </c:pt>
                <c:pt idx="988">
                  <c:v>43600</c:v>
                </c:pt>
                <c:pt idx="989">
                  <c:v>43599</c:v>
                </c:pt>
                <c:pt idx="990">
                  <c:v>43598</c:v>
                </c:pt>
                <c:pt idx="991">
                  <c:v>43597</c:v>
                </c:pt>
                <c:pt idx="992">
                  <c:v>43596</c:v>
                </c:pt>
                <c:pt idx="993">
                  <c:v>43595</c:v>
                </c:pt>
                <c:pt idx="994">
                  <c:v>43594</c:v>
                </c:pt>
                <c:pt idx="995">
                  <c:v>43593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0.51870000000000005</c:v>
                </c:pt>
                <c:pt idx="1">
                  <c:v>0.5302</c:v>
                </c:pt>
                <c:pt idx="2">
                  <c:v>0.51959999999999995</c:v>
                </c:pt>
                <c:pt idx="3">
                  <c:v>0.50360000000000005</c:v>
                </c:pt>
                <c:pt idx="4">
                  <c:v>0.54400000000000004</c:v>
                </c:pt>
                <c:pt idx="5">
                  <c:v>0.51919999999999999</c:v>
                </c:pt>
                <c:pt idx="6">
                  <c:v>0.55889999999999995</c:v>
                </c:pt>
                <c:pt idx="7">
                  <c:v>0.6552</c:v>
                </c:pt>
                <c:pt idx="8">
                  <c:v>0.68520000000000003</c:v>
                </c:pt>
                <c:pt idx="9">
                  <c:v>0.72</c:v>
                </c:pt>
                <c:pt idx="10">
                  <c:v>0.72660000000000002</c:v>
                </c:pt>
                <c:pt idx="11">
                  <c:v>0.7651</c:v>
                </c:pt>
                <c:pt idx="12">
                  <c:v>0.75870000000000004</c:v>
                </c:pt>
                <c:pt idx="13">
                  <c:v>0.74870000000000003</c:v>
                </c:pt>
                <c:pt idx="14">
                  <c:v>0.73750000000000004</c:v>
                </c:pt>
                <c:pt idx="15">
                  <c:v>0.753</c:v>
                </c:pt>
                <c:pt idx="16">
                  <c:v>0.71840000000000004</c:v>
                </c:pt>
                <c:pt idx="17">
                  <c:v>0.68840000000000001</c:v>
                </c:pt>
                <c:pt idx="18">
                  <c:v>0.72419999999999995</c:v>
                </c:pt>
                <c:pt idx="19">
                  <c:v>0.70940000000000003</c:v>
                </c:pt>
                <c:pt idx="20">
                  <c:v>0.75260000000000005</c:v>
                </c:pt>
                <c:pt idx="21">
                  <c:v>0.79879999999999995</c:v>
                </c:pt>
                <c:pt idx="22">
                  <c:v>0.82589999999999997</c:v>
                </c:pt>
                <c:pt idx="23">
                  <c:v>0.88880000000000003</c:v>
                </c:pt>
                <c:pt idx="24">
                  <c:v>0.94010000000000005</c:v>
                </c:pt>
                <c:pt idx="25">
                  <c:v>0.88759999999999994</c:v>
                </c:pt>
                <c:pt idx="26">
                  <c:v>0.87480000000000002</c:v>
                </c:pt>
                <c:pt idx="27">
                  <c:v>0.80420000000000003</c:v>
                </c:pt>
                <c:pt idx="28">
                  <c:v>0.7964</c:v>
                </c:pt>
                <c:pt idx="29">
                  <c:v>0.7601</c:v>
                </c:pt>
                <c:pt idx="30">
                  <c:v>0.79920000000000002</c:v>
                </c:pt>
                <c:pt idx="31">
                  <c:v>0.876</c:v>
                </c:pt>
                <c:pt idx="32">
                  <c:v>0.87870000000000004</c:v>
                </c:pt>
                <c:pt idx="33">
                  <c:v>0.86250000000000004</c:v>
                </c:pt>
                <c:pt idx="34">
                  <c:v>0.84970000000000001</c:v>
                </c:pt>
                <c:pt idx="35">
                  <c:v>0.88590000000000002</c:v>
                </c:pt>
                <c:pt idx="36">
                  <c:v>0.82350000000000001</c:v>
                </c:pt>
                <c:pt idx="37">
                  <c:v>0.78320000000000001</c:v>
                </c:pt>
                <c:pt idx="38">
                  <c:v>0.75460000000000005</c:v>
                </c:pt>
                <c:pt idx="39">
                  <c:v>0.77139999999999997</c:v>
                </c:pt>
                <c:pt idx="40">
                  <c:v>0.78590000000000004</c:v>
                </c:pt>
                <c:pt idx="41">
                  <c:v>0.77210000000000001</c:v>
                </c:pt>
                <c:pt idx="42">
                  <c:v>0.77949999999999997</c:v>
                </c:pt>
                <c:pt idx="43">
                  <c:v>0.79010000000000002</c:v>
                </c:pt>
                <c:pt idx="44">
                  <c:v>0.76719999999999999</c:v>
                </c:pt>
                <c:pt idx="45">
                  <c:v>0.75129999999999997</c:v>
                </c:pt>
                <c:pt idx="46">
                  <c:v>0.83940000000000003</c:v>
                </c:pt>
                <c:pt idx="47">
                  <c:v>0.8044</c:v>
                </c:pt>
                <c:pt idx="48">
                  <c:v>0.79990000000000006</c:v>
                </c:pt>
                <c:pt idx="49">
                  <c:v>0.86380000000000001</c:v>
                </c:pt>
                <c:pt idx="50">
                  <c:v>0.91520000000000001</c:v>
                </c:pt>
                <c:pt idx="51">
                  <c:v>0.9</c:v>
                </c:pt>
                <c:pt idx="52">
                  <c:v>0.86260000000000003</c:v>
                </c:pt>
                <c:pt idx="53">
                  <c:v>0.83379999999999999</c:v>
                </c:pt>
                <c:pt idx="54">
                  <c:v>0.89490000000000003</c:v>
                </c:pt>
                <c:pt idx="55">
                  <c:v>1.0428999999999999</c:v>
                </c:pt>
                <c:pt idx="56">
                  <c:v>1.1154999999999999</c:v>
                </c:pt>
                <c:pt idx="57">
                  <c:v>1.1535</c:v>
                </c:pt>
                <c:pt idx="58">
                  <c:v>1.1795</c:v>
                </c:pt>
                <c:pt idx="59">
                  <c:v>1.1999</c:v>
                </c:pt>
                <c:pt idx="60">
                  <c:v>1.1736</c:v>
                </c:pt>
                <c:pt idx="61">
                  <c:v>1.2379</c:v>
                </c:pt>
                <c:pt idx="62">
                  <c:v>1.091</c:v>
                </c:pt>
                <c:pt idx="63">
                  <c:v>1.1678999999999999</c:v>
                </c:pt>
                <c:pt idx="64">
                  <c:v>1.0974999999999999</c:v>
                </c:pt>
                <c:pt idx="65">
                  <c:v>1.1243000000000001</c:v>
                </c:pt>
                <c:pt idx="66">
                  <c:v>1.0772999999999999</c:v>
                </c:pt>
                <c:pt idx="67">
                  <c:v>1.1175999999999999</c:v>
                </c:pt>
                <c:pt idx="68">
                  <c:v>1.1540999999999999</c:v>
                </c:pt>
                <c:pt idx="69">
                  <c:v>1.1419999999999999</c:v>
                </c:pt>
                <c:pt idx="70">
                  <c:v>1.0583</c:v>
                </c:pt>
                <c:pt idx="71">
                  <c:v>1.1527000000000001</c:v>
                </c:pt>
                <c:pt idx="72">
                  <c:v>1.1175999999999999</c:v>
                </c:pt>
                <c:pt idx="73">
                  <c:v>1.2261</c:v>
                </c:pt>
                <c:pt idx="74">
                  <c:v>1.2753000000000001</c:v>
                </c:pt>
                <c:pt idx="75">
                  <c:v>1.2961</c:v>
                </c:pt>
                <c:pt idx="76">
                  <c:v>1.3216000000000001</c:v>
                </c:pt>
                <c:pt idx="77">
                  <c:v>1.3129999999999999</c:v>
                </c:pt>
                <c:pt idx="78">
                  <c:v>1.2058</c:v>
                </c:pt>
                <c:pt idx="79">
                  <c:v>1.3099000000000001</c:v>
                </c:pt>
                <c:pt idx="80">
                  <c:v>1.2622</c:v>
                </c:pt>
                <c:pt idx="81">
                  <c:v>1.2174</c:v>
                </c:pt>
                <c:pt idx="82">
                  <c:v>1.2398</c:v>
                </c:pt>
                <c:pt idx="83">
                  <c:v>1.1914</c:v>
                </c:pt>
                <c:pt idx="84">
                  <c:v>1.1941999999999999</c:v>
                </c:pt>
                <c:pt idx="85">
                  <c:v>1.2375</c:v>
                </c:pt>
                <c:pt idx="86">
                  <c:v>1.3122</c:v>
                </c:pt>
                <c:pt idx="87">
                  <c:v>1.2410000000000001</c:v>
                </c:pt>
                <c:pt idx="88">
                  <c:v>1.1875</c:v>
                </c:pt>
                <c:pt idx="89">
                  <c:v>1.1519999999999999</c:v>
                </c:pt>
                <c:pt idx="90">
                  <c:v>1.0523</c:v>
                </c:pt>
                <c:pt idx="91">
                  <c:v>0.97719999999999996</c:v>
                </c:pt>
                <c:pt idx="92">
                  <c:v>0.93130000000000002</c:v>
                </c:pt>
                <c:pt idx="93">
                  <c:v>1.0670999999999999</c:v>
                </c:pt>
                <c:pt idx="94">
                  <c:v>1.0111000000000001</c:v>
                </c:pt>
                <c:pt idx="95">
                  <c:v>0.99580000000000002</c:v>
                </c:pt>
                <c:pt idx="96">
                  <c:v>1.0144</c:v>
                </c:pt>
                <c:pt idx="97">
                  <c:v>1.0033000000000001</c:v>
                </c:pt>
                <c:pt idx="98">
                  <c:v>1.0055000000000001</c:v>
                </c:pt>
                <c:pt idx="99">
                  <c:v>1.0039</c:v>
                </c:pt>
                <c:pt idx="100">
                  <c:v>0.96650000000000003</c:v>
                </c:pt>
                <c:pt idx="101">
                  <c:v>0.96970000000000001</c:v>
                </c:pt>
                <c:pt idx="102">
                  <c:v>0.99080000000000001</c:v>
                </c:pt>
                <c:pt idx="103">
                  <c:v>1.0054000000000001</c:v>
                </c:pt>
                <c:pt idx="104">
                  <c:v>1.0250999999999999</c:v>
                </c:pt>
                <c:pt idx="105">
                  <c:v>1.0351999999999999</c:v>
                </c:pt>
                <c:pt idx="106">
                  <c:v>1.0284</c:v>
                </c:pt>
                <c:pt idx="107">
                  <c:v>0.99939999999999996</c:v>
                </c:pt>
                <c:pt idx="108">
                  <c:v>1.0179</c:v>
                </c:pt>
                <c:pt idx="109">
                  <c:v>1.0448999999999999</c:v>
                </c:pt>
                <c:pt idx="110">
                  <c:v>1.1173999999999999</c:v>
                </c:pt>
                <c:pt idx="111">
                  <c:v>1.0831999999999999</c:v>
                </c:pt>
                <c:pt idx="112">
                  <c:v>1.0270999999999999</c:v>
                </c:pt>
                <c:pt idx="113">
                  <c:v>1.0371999999999999</c:v>
                </c:pt>
                <c:pt idx="114">
                  <c:v>1.0263</c:v>
                </c:pt>
                <c:pt idx="115">
                  <c:v>0.97270000000000001</c:v>
                </c:pt>
                <c:pt idx="116">
                  <c:v>1.0014000000000001</c:v>
                </c:pt>
                <c:pt idx="117">
                  <c:v>0.97340000000000004</c:v>
                </c:pt>
                <c:pt idx="118">
                  <c:v>0.98</c:v>
                </c:pt>
                <c:pt idx="119">
                  <c:v>0.91579999999999995</c:v>
                </c:pt>
                <c:pt idx="120">
                  <c:v>0.83299999999999996</c:v>
                </c:pt>
                <c:pt idx="121">
                  <c:v>0.81520000000000004</c:v>
                </c:pt>
                <c:pt idx="122">
                  <c:v>0.85089999999999999</c:v>
                </c:pt>
                <c:pt idx="123">
                  <c:v>0.89480000000000004</c:v>
                </c:pt>
                <c:pt idx="124">
                  <c:v>0.90669999999999995</c:v>
                </c:pt>
                <c:pt idx="125">
                  <c:v>0.91810000000000003</c:v>
                </c:pt>
                <c:pt idx="126">
                  <c:v>0.99460000000000004</c:v>
                </c:pt>
                <c:pt idx="127">
                  <c:v>0.97270000000000001</c:v>
                </c:pt>
                <c:pt idx="128">
                  <c:v>0.8448</c:v>
                </c:pt>
                <c:pt idx="129">
                  <c:v>0.9627</c:v>
                </c:pt>
                <c:pt idx="130">
                  <c:v>1.0668</c:v>
                </c:pt>
                <c:pt idx="131">
                  <c:v>1.1154999999999999</c:v>
                </c:pt>
                <c:pt idx="132">
                  <c:v>1.0809</c:v>
                </c:pt>
                <c:pt idx="133">
                  <c:v>1.1429</c:v>
                </c:pt>
                <c:pt idx="134">
                  <c:v>1.0853999999999999</c:v>
                </c:pt>
                <c:pt idx="135">
                  <c:v>1.0646</c:v>
                </c:pt>
                <c:pt idx="136">
                  <c:v>1.0102</c:v>
                </c:pt>
                <c:pt idx="137">
                  <c:v>1.0638000000000001</c:v>
                </c:pt>
                <c:pt idx="138">
                  <c:v>1.0318000000000001</c:v>
                </c:pt>
                <c:pt idx="139">
                  <c:v>1.0085</c:v>
                </c:pt>
                <c:pt idx="140">
                  <c:v>1.0708</c:v>
                </c:pt>
                <c:pt idx="141">
                  <c:v>1.0082</c:v>
                </c:pt>
                <c:pt idx="142">
                  <c:v>1.0121</c:v>
                </c:pt>
                <c:pt idx="143">
                  <c:v>1.2915000000000001</c:v>
                </c:pt>
                <c:pt idx="144">
                  <c:v>1.3138000000000001</c:v>
                </c:pt>
                <c:pt idx="145">
                  <c:v>1.2448999999999999</c:v>
                </c:pt>
                <c:pt idx="146">
                  <c:v>1.1788000000000001</c:v>
                </c:pt>
                <c:pt idx="147">
                  <c:v>1.1188</c:v>
                </c:pt>
                <c:pt idx="148">
                  <c:v>1.1220000000000001</c:v>
                </c:pt>
                <c:pt idx="149">
                  <c:v>1.0636000000000001</c:v>
                </c:pt>
                <c:pt idx="150">
                  <c:v>1.0472999999999999</c:v>
                </c:pt>
                <c:pt idx="151">
                  <c:v>1.0961000000000001</c:v>
                </c:pt>
                <c:pt idx="152">
                  <c:v>1.0798000000000001</c:v>
                </c:pt>
                <c:pt idx="153">
                  <c:v>1.1120000000000001</c:v>
                </c:pt>
                <c:pt idx="154">
                  <c:v>1.048</c:v>
                </c:pt>
                <c:pt idx="155">
                  <c:v>1.1501999999999999</c:v>
                </c:pt>
                <c:pt idx="156">
                  <c:v>1.0606</c:v>
                </c:pt>
                <c:pt idx="157">
                  <c:v>1.1594</c:v>
                </c:pt>
                <c:pt idx="158">
                  <c:v>1.1126</c:v>
                </c:pt>
                <c:pt idx="159">
                  <c:v>1.0706</c:v>
                </c:pt>
                <c:pt idx="160">
                  <c:v>1.0589</c:v>
                </c:pt>
                <c:pt idx="161">
                  <c:v>1.0278</c:v>
                </c:pt>
                <c:pt idx="162">
                  <c:v>0.96530000000000005</c:v>
                </c:pt>
                <c:pt idx="163">
                  <c:v>0.9899</c:v>
                </c:pt>
                <c:pt idx="164">
                  <c:v>1.0273000000000001</c:v>
                </c:pt>
                <c:pt idx="165">
                  <c:v>1.0620000000000001</c:v>
                </c:pt>
                <c:pt idx="166">
                  <c:v>1.0687</c:v>
                </c:pt>
                <c:pt idx="167">
                  <c:v>1.0596000000000001</c:v>
                </c:pt>
                <c:pt idx="168">
                  <c:v>0.95309999999999995</c:v>
                </c:pt>
                <c:pt idx="169">
                  <c:v>0.99429999999999996</c:v>
                </c:pt>
                <c:pt idx="170">
                  <c:v>0.97399999999999998</c:v>
                </c:pt>
                <c:pt idx="171">
                  <c:v>0.95599999999999996</c:v>
                </c:pt>
                <c:pt idx="172">
                  <c:v>0.93120000000000003</c:v>
                </c:pt>
                <c:pt idx="173">
                  <c:v>0.93340000000000001</c:v>
                </c:pt>
                <c:pt idx="174">
                  <c:v>0.89639999999999997</c:v>
                </c:pt>
                <c:pt idx="175">
                  <c:v>0.88839999999999997</c:v>
                </c:pt>
                <c:pt idx="176">
                  <c:v>0.87</c:v>
                </c:pt>
                <c:pt idx="177">
                  <c:v>0.85760000000000003</c:v>
                </c:pt>
                <c:pt idx="178">
                  <c:v>0.81710000000000005</c:v>
                </c:pt>
                <c:pt idx="179">
                  <c:v>0.77939999999999998</c:v>
                </c:pt>
                <c:pt idx="180">
                  <c:v>0.81920000000000004</c:v>
                </c:pt>
                <c:pt idx="181">
                  <c:v>0.77969999999999995</c:v>
                </c:pt>
                <c:pt idx="182">
                  <c:v>0.75749999999999995</c:v>
                </c:pt>
                <c:pt idx="183">
                  <c:v>0.70709999999999995</c:v>
                </c:pt>
                <c:pt idx="184">
                  <c:v>0.71050000000000002</c:v>
                </c:pt>
                <c:pt idx="185">
                  <c:v>0.67549999999999999</c:v>
                </c:pt>
                <c:pt idx="186">
                  <c:v>0.65869999999999995</c:v>
                </c:pt>
                <c:pt idx="187">
                  <c:v>0.65739999999999998</c:v>
                </c:pt>
                <c:pt idx="188">
                  <c:v>0.65069999999999995</c:v>
                </c:pt>
                <c:pt idx="189">
                  <c:v>0.64180000000000004</c:v>
                </c:pt>
                <c:pt idx="190">
                  <c:v>0.63580000000000003</c:v>
                </c:pt>
                <c:pt idx="191">
                  <c:v>0.54759999999999998</c:v>
                </c:pt>
                <c:pt idx="192">
                  <c:v>0.58420000000000005</c:v>
                </c:pt>
                <c:pt idx="193">
                  <c:v>0.62280000000000002</c:v>
                </c:pt>
                <c:pt idx="194">
                  <c:v>0.62729999999999997</c:v>
                </c:pt>
                <c:pt idx="195">
                  <c:v>0.62009999999999998</c:v>
                </c:pt>
                <c:pt idx="196">
                  <c:v>0.67100000000000004</c:v>
                </c:pt>
                <c:pt idx="197">
                  <c:v>0.71699999999999997</c:v>
                </c:pt>
                <c:pt idx="198">
                  <c:v>0.71579999999999999</c:v>
                </c:pt>
                <c:pt idx="199">
                  <c:v>0.75249999999999995</c:v>
                </c:pt>
                <c:pt idx="200">
                  <c:v>0.79669999999999996</c:v>
                </c:pt>
                <c:pt idx="201">
                  <c:v>0.79010000000000002</c:v>
                </c:pt>
                <c:pt idx="202">
                  <c:v>0.83840000000000003</c:v>
                </c:pt>
                <c:pt idx="203">
                  <c:v>0.84550000000000003</c:v>
                </c:pt>
                <c:pt idx="204">
                  <c:v>0.78969999999999996</c:v>
                </c:pt>
                <c:pt idx="205">
                  <c:v>0.71309999999999996</c:v>
                </c:pt>
                <c:pt idx="206">
                  <c:v>0.69330000000000003</c:v>
                </c:pt>
                <c:pt idx="207">
                  <c:v>0.72460000000000002</c:v>
                </c:pt>
                <c:pt idx="208">
                  <c:v>0.70240000000000002</c:v>
                </c:pt>
                <c:pt idx="209">
                  <c:v>0.69099999999999995</c:v>
                </c:pt>
                <c:pt idx="210">
                  <c:v>0.68920000000000003</c:v>
                </c:pt>
                <c:pt idx="211">
                  <c:v>0.74250000000000005</c:v>
                </c:pt>
                <c:pt idx="212">
                  <c:v>0.72709999999999997</c:v>
                </c:pt>
                <c:pt idx="213">
                  <c:v>0.70130000000000003</c:v>
                </c:pt>
                <c:pt idx="214">
                  <c:v>0.6381</c:v>
                </c:pt>
                <c:pt idx="215">
                  <c:v>0.60070000000000001</c:v>
                </c:pt>
                <c:pt idx="216">
                  <c:v>0.60109999999999997</c:v>
                </c:pt>
                <c:pt idx="217">
                  <c:v>0.6623</c:v>
                </c:pt>
                <c:pt idx="218">
                  <c:v>0.64319999999999999</c:v>
                </c:pt>
                <c:pt idx="219">
                  <c:v>0.57989999999999997</c:v>
                </c:pt>
                <c:pt idx="220">
                  <c:v>0.6018</c:v>
                </c:pt>
                <c:pt idx="221">
                  <c:v>0.78979999999999995</c:v>
                </c:pt>
                <c:pt idx="222">
                  <c:v>0.78849999999999998</c:v>
                </c:pt>
                <c:pt idx="223">
                  <c:v>0.81689999999999996</c:v>
                </c:pt>
                <c:pt idx="224">
                  <c:v>0.87509999999999999</c:v>
                </c:pt>
                <c:pt idx="225">
                  <c:v>0.86770000000000003</c:v>
                </c:pt>
                <c:pt idx="226">
                  <c:v>0.89359999999999995</c:v>
                </c:pt>
                <c:pt idx="227">
                  <c:v>0.91049999999999998</c:v>
                </c:pt>
                <c:pt idx="228">
                  <c:v>0.89510000000000001</c:v>
                </c:pt>
                <c:pt idx="229">
                  <c:v>0.85229999999999995</c:v>
                </c:pt>
                <c:pt idx="230">
                  <c:v>0.86350000000000005</c:v>
                </c:pt>
                <c:pt idx="231">
                  <c:v>0.93430000000000002</c:v>
                </c:pt>
                <c:pt idx="232">
                  <c:v>0.96630000000000005</c:v>
                </c:pt>
                <c:pt idx="233">
                  <c:v>0.95469999999999999</c:v>
                </c:pt>
                <c:pt idx="234">
                  <c:v>0.95299999999999996</c:v>
                </c:pt>
                <c:pt idx="235">
                  <c:v>1.0611999999999999</c:v>
                </c:pt>
                <c:pt idx="236">
                  <c:v>1.04</c:v>
                </c:pt>
                <c:pt idx="237">
                  <c:v>1.0668</c:v>
                </c:pt>
                <c:pt idx="238">
                  <c:v>1.1887000000000001</c:v>
                </c:pt>
                <c:pt idx="239">
                  <c:v>1.1463000000000001</c:v>
                </c:pt>
                <c:pt idx="240">
                  <c:v>1.0262</c:v>
                </c:pt>
                <c:pt idx="241">
                  <c:v>1.0201</c:v>
                </c:pt>
                <c:pt idx="242">
                  <c:v>0.93630000000000002</c:v>
                </c:pt>
                <c:pt idx="243">
                  <c:v>0.90049999999999997</c:v>
                </c:pt>
                <c:pt idx="244">
                  <c:v>0.96450000000000002</c:v>
                </c:pt>
                <c:pt idx="245">
                  <c:v>1.103</c:v>
                </c:pt>
                <c:pt idx="246">
                  <c:v>1.1494</c:v>
                </c:pt>
                <c:pt idx="247">
                  <c:v>0.97670000000000001</c:v>
                </c:pt>
                <c:pt idx="248">
                  <c:v>0.98640000000000005</c:v>
                </c:pt>
                <c:pt idx="249">
                  <c:v>0.79510000000000003</c:v>
                </c:pt>
                <c:pt idx="250">
                  <c:v>0.95850000000000002</c:v>
                </c:pt>
                <c:pt idx="251">
                  <c:v>1.0341</c:v>
                </c:pt>
                <c:pt idx="252">
                  <c:v>1.1564000000000001</c:v>
                </c:pt>
                <c:pt idx="253">
                  <c:v>0.99229999999999996</c:v>
                </c:pt>
                <c:pt idx="254">
                  <c:v>1.5998000000000001</c:v>
                </c:pt>
                <c:pt idx="255">
                  <c:v>1.4666999999999999</c:v>
                </c:pt>
                <c:pt idx="256">
                  <c:v>1.5691999999999999</c:v>
                </c:pt>
                <c:pt idx="257">
                  <c:v>1.5585</c:v>
                </c:pt>
                <c:pt idx="258">
                  <c:v>1.7027000000000001</c:v>
                </c:pt>
                <c:pt idx="259">
                  <c:v>1.6112</c:v>
                </c:pt>
                <c:pt idx="260">
                  <c:v>1.6462000000000001</c:v>
                </c:pt>
                <c:pt idx="261">
                  <c:v>1.8645</c:v>
                </c:pt>
                <c:pt idx="262">
                  <c:v>1.7364999999999999</c:v>
                </c:pt>
                <c:pt idx="263">
                  <c:v>1.9562999999999999</c:v>
                </c:pt>
                <c:pt idx="264">
                  <c:v>1.9525999999999999</c:v>
                </c:pt>
                <c:pt idx="265">
                  <c:v>2.0106999999999999</c:v>
                </c:pt>
                <c:pt idx="266">
                  <c:v>2.0518999999999998</c:v>
                </c:pt>
                <c:pt idx="267">
                  <c:v>1.8811</c:v>
                </c:pt>
                <c:pt idx="268">
                  <c:v>1.6773</c:v>
                </c:pt>
                <c:pt idx="269">
                  <c:v>1.9000999999999999</c:v>
                </c:pt>
                <c:pt idx="270">
                  <c:v>1.8660000000000001</c:v>
                </c:pt>
                <c:pt idx="271">
                  <c:v>1.9426000000000001</c:v>
                </c:pt>
                <c:pt idx="272">
                  <c:v>1.8027</c:v>
                </c:pt>
                <c:pt idx="273">
                  <c:v>1.6732</c:v>
                </c:pt>
                <c:pt idx="274">
                  <c:v>1.7082999999999999</c:v>
                </c:pt>
                <c:pt idx="275">
                  <c:v>1.8259000000000001</c:v>
                </c:pt>
                <c:pt idx="276">
                  <c:v>1.5226</c:v>
                </c:pt>
                <c:pt idx="277">
                  <c:v>1.3408</c:v>
                </c:pt>
                <c:pt idx="278">
                  <c:v>1.3280000000000001</c:v>
                </c:pt>
                <c:pt idx="279">
                  <c:v>1.4752000000000001</c:v>
                </c:pt>
                <c:pt idx="280">
                  <c:v>1.4908999999999999</c:v>
                </c:pt>
                <c:pt idx="281">
                  <c:v>1.6359999999999999</c:v>
                </c:pt>
                <c:pt idx="282">
                  <c:v>1.7029000000000001</c:v>
                </c:pt>
                <c:pt idx="283">
                  <c:v>1.5827</c:v>
                </c:pt>
                <c:pt idx="284">
                  <c:v>1.762</c:v>
                </c:pt>
                <c:pt idx="285">
                  <c:v>2.0354999999999999</c:v>
                </c:pt>
                <c:pt idx="286">
                  <c:v>2.0743999999999998</c:v>
                </c:pt>
                <c:pt idx="287">
                  <c:v>2.1978</c:v>
                </c:pt>
                <c:pt idx="288">
                  <c:v>2.1585000000000001</c:v>
                </c:pt>
                <c:pt idx="289">
                  <c:v>2.2968000000000002</c:v>
                </c:pt>
                <c:pt idx="290">
                  <c:v>2.1328</c:v>
                </c:pt>
                <c:pt idx="291">
                  <c:v>2.1305999999999998</c:v>
                </c:pt>
                <c:pt idx="292">
                  <c:v>2.1747000000000001</c:v>
                </c:pt>
                <c:pt idx="293">
                  <c:v>2.1551999999999998</c:v>
                </c:pt>
                <c:pt idx="294">
                  <c:v>1.8545</c:v>
                </c:pt>
                <c:pt idx="295">
                  <c:v>1.712</c:v>
                </c:pt>
                <c:pt idx="296">
                  <c:v>1.9260999999999999</c:v>
                </c:pt>
                <c:pt idx="297">
                  <c:v>1.8058000000000001</c:v>
                </c:pt>
                <c:pt idx="298">
                  <c:v>1.835</c:v>
                </c:pt>
                <c:pt idx="299">
                  <c:v>1.7262</c:v>
                </c:pt>
                <c:pt idx="300">
                  <c:v>1.9601</c:v>
                </c:pt>
                <c:pt idx="301">
                  <c:v>1.964</c:v>
                </c:pt>
                <c:pt idx="302">
                  <c:v>1.8817999999999999</c:v>
                </c:pt>
                <c:pt idx="303">
                  <c:v>1.8486</c:v>
                </c:pt>
                <c:pt idx="304">
                  <c:v>1.5948</c:v>
                </c:pt>
                <c:pt idx="305">
                  <c:v>1.4541999999999999</c:v>
                </c:pt>
                <c:pt idx="306">
                  <c:v>1.4157999999999999</c:v>
                </c:pt>
                <c:pt idx="307">
                  <c:v>1.3873</c:v>
                </c:pt>
                <c:pt idx="308">
                  <c:v>1.3095000000000001</c:v>
                </c:pt>
                <c:pt idx="309">
                  <c:v>1.3704000000000001</c:v>
                </c:pt>
                <c:pt idx="310">
                  <c:v>1.498</c:v>
                </c:pt>
                <c:pt idx="311">
                  <c:v>1.417</c:v>
                </c:pt>
                <c:pt idx="312">
                  <c:v>1.458</c:v>
                </c:pt>
                <c:pt idx="313">
                  <c:v>1.5</c:v>
                </c:pt>
                <c:pt idx="314">
                  <c:v>1.5586</c:v>
                </c:pt>
                <c:pt idx="315">
                  <c:v>1.5162</c:v>
                </c:pt>
                <c:pt idx="316">
                  <c:v>1.4469000000000001</c:v>
                </c:pt>
                <c:pt idx="317">
                  <c:v>1.43</c:v>
                </c:pt>
                <c:pt idx="318">
                  <c:v>1.3282</c:v>
                </c:pt>
                <c:pt idx="319">
                  <c:v>1.3247</c:v>
                </c:pt>
                <c:pt idx="320">
                  <c:v>1.393</c:v>
                </c:pt>
                <c:pt idx="321">
                  <c:v>1.3395999999999999</c:v>
                </c:pt>
                <c:pt idx="322">
                  <c:v>1.3743000000000001</c:v>
                </c:pt>
                <c:pt idx="323">
                  <c:v>1.3933</c:v>
                </c:pt>
                <c:pt idx="324">
                  <c:v>1.4757</c:v>
                </c:pt>
                <c:pt idx="325">
                  <c:v>1.4198</c:v>
                </c:pt>
                <c:pt idx="326">
                  <c:v>1.4204000000000001</c:v>
                </c:pt>
                <c:pt idx="327">
                  <c:v>1.3703000000000001</c:v>
                </c:pt>
                <c:pt idx="328">
                  <c:v>1.3389</c:v>
                </c:pt>
                <c:pt idx="329">
                  <c:v>1.3724000000000001</c:v>
                </c:pt>
                <c:pt idx="330">
                  <c:v>1.4635</c:v>
                </c:pt>
                <c:pt idx="331">
                  <c:v>1.3616999999999999</c:v>
                </c:pt>
                <c:pt idx="332">
                  <c:v>1.3565</c:v>
                </c:pt>
                <c:pt idx="333">
                  <c:v>1.2115</c:v>
                </c:pt>
                <c:pt idx="334">
                  <c:v>1.3328</c:v>
                </c:pt>
                <c:pt idx="335">
                  <c:v>1.3191999999999999</c:v>
                </c:pt>
                <c:pt idx="336">
                  <c:v>1.3958999999999999</c:v>
                </c:pt>
                <c:pt idx="337">
                  <c:v>1.5266999999999999</c:v>
                </c:pt>
                <c:pt idx="338">
                  <c:v>1.5769</c:v>
                </c:pt>
                <c:pt idx="339">
                  <c:v>1.5629999999999999</c:v>
                </c:pt>
                <c:pt idx="340">
                  <c:v>1.7232000000000001</c:v>
                </c:pt>
                <c:pt idx="341">
                  <c:v>1.5306</c:v>
                </c:pt>
                <c:pt idx="342">
                  <c:v>1.5593999999999999</c:v>
                </c:pt>
                <c:pt idx="343">
                  <c:v>1.6107</c:v>
                </c:pt>
                <c:pt idx="344">
                  <c:v>1.5649</c:v>
                </c:pt>
                <c:pt idx="345">
                  <c:v>1.5848</c:v>
                </c:pt>
                <c:pt idx="346">
                  <c:v>1.6186</c:v>
                </c:pt>
                <c:pt idx="347">
                  <c:v>1.7951999999999999</c:v>
                </c:pt>
                <c:pt idx="348">
                  <c:v>1.8912</c:v>
                </c:pt>
                <c:pt idx="349">
                  <c:v>1.8037000000000001</c:v>
                </c:pt>
                <c:pt idx="350">
                  <c:v>1.7619</c:v>
                </c:pt>
                <c:pt idx="351">
                  <c:v>1.4998</c:v>
                </c:pt>
                <c:pt idx="352">
                  <c:v>1.5111000000000001</c:v>
                </c:pt>
                <c:pt idx="353">
                  <c:v>1.4689000000000001</c:v>
                </c:pt>
                <c:pt idx="354">
                  <c:v>1.4098999999999999</c:v>
                </c:pt>
                <c:pt idx="355">
                  <c:v>1.4509000000000001</c:v>
                </c:pt>
                <c:pt idx="356">
                  <c:v>1.5939000000000001</c:v>
                </c:pt>
                <c:pt idx="357">
                  <c:v>1.0350999999999999</c:v>
                </c:pt>
                <c:pt idx="358">
                  <c:v>0.76580000000000004</c:v>
                </c:pt>
                <c:pt idx="359">
                  <c:v>0.68369999999999997</c:v>
                </c:pt>
                <c:pt idx="360">
                  <c:v>0.6865</c:v>
                </c:pt>
                <c:pt idx="361">
                  <c:v>0.70640000000000003</c:v>
                </c:pt>
                <c:pt idx="362">
                  <c:v>0.6542</c:v>
                </c:pt>
                <c:pt idx="363">
                  <c:v>0.60089999999999999</c:v>
                </c:pt>
                <c:pt idx="364">
                  <c:v>0.60860000000000003</c:v>
                </c:pt>
                <c:pt idx="365">
                  <c:v>0.58320000000000005</c:v>
                </c:pt>
                <c:pt idx="366">
                  <c:v>0.54349999999999998</c:v>
                </c:pt>
                <c:pt idx="367">
                  <c:v>0.52070000000000005</c:v>
                </c:pt>
                <c:pt idx="368">
                  <c:v>0.54830000000000001</c:v>
                </c:pt>
                <c:pt idx="369">
                  <c:v>0.56200000000000006</c:v>
                </c:pt>
                <c:pt idx="370">
                  <c:v>0.51060000000000005</c:v>
                </c:pt>
                <c:pt idx="371">
                  <c:v>0.46500000000000002</c:v>
                </c:pt>
                <c:pt idx="372">
                  <c:v>0.55820000000000003</c:v>
                </c:pt>
                <c:pt idx="373">
                  <c:v>0.54220000000000002</c:v>
                </c:pt>
                <c:pt idx="374">
                  <c:v>0.5847</c:v>
                </c:pt>
                <c:pt idx="375">
                  <c:v>0.59419999999999995</c:v>
                </c:pt>
                <c:pt idx="376">
                  <c:v>0.5272</c:v>
                </c:pt>
                <c:pt idx="377">
                  <c:v>0.51539999999999997</c:v>
                </c:pt>
                <c:pt idx="378">
                  <c:v>0.504</c:v>
                </c:pt>
                <c:pt idx="379">
                  <c:v>0.50600000000000001</c:v>
                </c:pt>
                <c:pt idx="380">
                  <c:v>0.42720000000000002</c:v>
                </c:pt>
                <c:pt idx="381">
                  <c:v>0.4365</c:v>
                </c:pt>
                <c:pt idx="382">
                  <c:v>0.52759999999999996</c:v>
                </c:pt>
                <c:pt idx="383">
                  <c:v>0.54049999999999998</c:v>
                </c:pt>
                <c:pt idx="384">
                  <c:v>0.44</c:v>
                </c:pt>
                <c:pt idx="385">
                  <c:v>0.43859999999999999</c:v>
                </c:pt>
                <c:pt idx="386">
                  <c:v>0.46179999999999999</c:v>
                </c:pt>
                <c:pt idx="387">
                  <c:v>0.44469999999999998</c:v>
                </c:pt>
                <c:pt idx="388">
                  <c:v>0.39479999999999998</c:v>
                </c:pt>
                <c:pt idx="389">
                  <c:v>0.39229999999999998</c:v>
                </c:pt>
                <c:pt idx="390">
                  <c:v>0.3604</c:v>
                </c:pt>
                <c:pt idx="391">
                  <c:v>0.37440000000000001</c:v>
                </c:pt>
                <c:pt idx="392">
                  <c:v>0.3548</c:v>
                </c:pt>
                <c:pt idx="393">
                  <c:v>0.35949999999999999</c:v>
                </c:pt>
                <c:pt idx="394">
                  <c:v>0.36520000000000002</c:v>
                </c:pt>
                <c:pt idx="395">
                  <c:v>0.37709999999999999</c:v>
                </c:pt>
                <c:pt idx="396">
                  <c:v>0.37380000000000002</c:v>
                </c:pt>
                <c:pt idx="397">
                  <c:v>0.35389999999999999</c:v>
                </c:pt>
                <c:pt idx="398">
                  <c:v>0.35880000000000001</c:v>
                </c:pt>
                <c:pt idx="399">
                  <c:v>0.36409999999999998</c:v>
                </c:pt>
                <c:pt idx="400">
                  <c:v>0.33110000000000001</c:v>
                </c:pt>
                <c:pt idx="401">
                  <c:v>0.37509999999999999</c:v>
                </c:pt>
                <c:pt idx="402">
                  <c:v>0.37790000000000001</c:v>
                </c:pt>
                <c:pt idx="403">
                  <c:v>0.39529999999999998</c:v>
                </c:pt>
                <c:pt idx="404">
                  <c:v>0.42359999999999998</c:v>
                </c:pt>
                <c:pt idx="405">
                  <c:v>0.4128</c:v>
                </c:pt>
                <c:pt idx="406">
                  <c:v>0.40720000000000001</c:v>
                </c:pt>
                <c:pt idx="407">
                  <c:v>0.4143</c:v>
                </c:pt>
                <c:pt idx="408">
                  <c:v>0.39150000000000001</c:v>
                </c:pt>
                <c:pt idx="409">
                  <c:v>0.38679999999999998</c:v>
                </c:pt>
                <c:pt idx="410">
                  <c:v>0.39610000000000001</c:v>
                </c:pt>
                <c:pt idx="411">
                  <c:v>0.3921</c:v>
                </c:pt>
                <c:pt idx="412">
                  <c:v>0.35580000000000001</c:v>
                </c:pt>
                <c:pt idx="413">
                  <c:v>0.36980000000000002</c:v>
                </c:pt>
                <c:pt idx="414">
                  <c:v>0.38109999999999999</c:v>
                </c:pt>
                <c:pt idx="415">
                  <c:v>0.37969999999999998</c:v>
                </c:pt>
                <c:pt idx="416">
                  <c:v>0.4047</c:v>
                </c:pt>
                <c:pt idx="417">
                  <c:v>0.39989999999999998</c:v>
                </c:pt>
                <c:pt idx="418">
                  <c:v>0.40810000000000002</c:v>
                </c:pt>
                <c:pt idx="419">
                  <c:v>0.39279999999999998</c:v>
                </c:pt>
                <c:pt idx="420">
                  <c:v>0.43059999999999998</c:v>
                </c:pt>
                <c:pt idx="421">
                  <c:v>0.42699999999999999</c:v>
                </c:pt>
                <c:pt idx="422">
                  <c:v>0.39939999999999998</c:v>
                </c:pt>
                <c:pt idx="423">
                  <c:v>0.42920000000000003</c:v>
                </c:pt>
                <c:pt idx="424">
                  <c:v>0.41510000000000002</c:v>
                </c:pt>
                <c:pt idx="425">
                  <c:v>0.4158</c:v>
                </c:pt>
                <c:pt idx="426">
                  <c:v>0.40339999999999998</c:v>
                </c:pt>
                <c:pt idx="427">
                  <c:v>0.40739999999999998</c:v>
                </c:pt>
                <c:pt idx="428">
                  <c:v>0.44230000000000003</c:v>
                </c:pt>
                <c:pt idx="429">
                  <c:v>0.46439999999999998</c:v>
                </c:pt>
                <c:pt idx="430">
                  <c:v>0.43809999999999999</c:v>
                </c:pt>
                <c:pt idx="431">
                  <c:v>0.39729999999999999</c:v>
                </c:pt>
                <c:pt idx="432">
                  <c:v>0.41739999999999999</c:v>
                </c:pt>
                <c:pt idx="433">
                  <c:v>0.375</c:v>
                </c:pt>
                <c:pt idx="434">
                  <c:v>0.3649</c:v>
                </c:pt>
                <c:pt idx="435">
                  <c:v>0.36470000000000002</c:v>
                </c:pt>
                <c:pt idx="436">
                  <c:v>0.38269999999999998</c:v>
                </c:pt>
                <c:pt idx="437">
                  <c:v>0.37169999999999997</c:v>
                </c:pt>
                <c:pt idx="438">
                  <c:v>0.35920000000000002</c:v>
                </c:pt>
                <c:pt idx="439">
                  <c:v>0.37409999999999999</c:v>
                </c:pt>
                <c:pt idx="440">
                  <c:v>0.38640000000000002</c:v>
                </c:pt>
                <c:pt idx="441">
                  <c:v>0.36049999999999999</c:v>
                </c:pt>
                <c:pt idx="442">
                  <c:v>0.36509999999999998</c:v>
                </c:pt>
                <c:pt idx="443">
                  <c:v>0.38790000000000002</c:v>
                </c:pt>
                <c:pt idx="444">
                  <c:v>0.3543</c:v>
                </c:pt>
                <c:pt idx="445">
                  <c:v>0.36680000000000001</c:v>
                </c:pt>
                <c:pt idx="446">
                  <c:v>0.34889999999999999</c:v>
                </c:pt>
                <c:pt idx="447">
                  <c:v>0.37690000000000001</c:v>
                </c:pt>
                <c:pt idx="448">
                  <c:v>0.34739999999999999</c:v>
                </c:pt>
                <c:pt idx="449">
                  <c:v>0.31740000000000002</c:v>
                </c:pt>
                <c:pt idx="450">
                  <c:v>0.3256</c:v>
                </c:pt>
                <c:pt idx="451">
                  <c:v>0.32869999999999999</c:v>
                </c:pt>
                <c:pt idx="452">
                  <c:v>0.33800000000000002</c:v>
                </c:pt>
                <c:pt idx="453">
                  <c:v>0.32190000000000002</c:v>
                </c:pt>
                <c:pt idx="454">
                  <c:v>0.32600000000000001</c:v>
                </c:pt>
                <c:pt idx="455">
                  <c:v>0.33689999999999998</c:v>
                </c:pt>
                <c:pt idx="456">
                  <c:v>0.33660000000000001</c:v>
                </c:pt>
                <c:pt idx="457">
                  <c:v>0.3609</c:v>
                </c:pt>
                <c:pt idx="458">
                  <c:v>0.35720000000000002</c:v>
                </c:pt>
                <c:pt idx="459">
                  <c:v>0.36870000000000003</c:v>
                </c:pt>
                <c:pt idx="460">
                  <c:v>0.37890000000000001</c:v>
                </c:pt>
                <c:pt idx="461">
                  <c:v>0.37569999999999998</c:v>
                </c:pt>
                <c:pt idx="462">
                  <c:v>0.38100000000000001</c:v>
                </c:pt>
                <c:pt idx="463">
                  <c:v>0.37519999999999998</c:v>
                </c:pt>
                <c:pt idx="464">
                  <c:v>0.36399999999999999</c:v>
                </c:pt>
                <c:pt idx="465">
                  <c:v>0.38950000000000001</c:v>
                </c:pt>
                <c:pt idx="466">
                  <c:v>0.38869999999999999</c:v>
                </c:pt>
                <c:pt idx="467">
                  <c:v>0.3841</c:v>
                </c:pt>
                <c:pt idx="468">
                  <c:v>0.38979999999999998</c:v>
                </c:pt>
                <c:pt idx="469">
                  <c:v>0.39739999999999998</c:v>
                </c:pt>
                <c:pt idx="470">
                  <c:v>0.38669999999999999</c:v>
                </c:pt>
                <c:pt idx="471">
                  <c:v>0.41820000000000002</c:v>
                </c:pt>
                <c:pt idx="472">
                  <c:v>0.39539999999999997</c:v>
                </c:pt>
                <c:pt idx="473">
                  <c:v>0.39050000000000001</c:v>
                </c:pt>
                <c:pt idx="474">
                  <c:v>0.39510000000000001</c:v>
                </c:pt>
                <c:pt idx="475">
                  <c:v>0.3896</c:v>
                </c:pt>
                <c:pt idx="476">
                  <c:v>0.3674</c:v>
                </c:pt>
                <c:pt idx="477">
                  <c:v>0.35680000000000001</c:v>
                </c:pt>
                <c:pt idx="478">
                  <c:v>0.3518</c:v>
                </c:pt>
                <c:pt idx="479">
                  <c:v>0.37659999999999999</c:v>
                </c:pt>
                <c:pt idx="480">
                  <c:v>0.37640000000000001</c:v>
                </c:pt>
                <c:pt idx="481">
                  <c:v>0.37619999999999998</c:v>
                </c:pt>
                <c:pt idx="482">
                  <c:v>0.38969999999999999</c:v>
                </c:pt>
                <c:pt idx="483">
                  <c:v>0.39889999999999998</c:v>
                </c:pt>
                <c:pt idx="484">
                  <c:v>0.40910000000000002</c:v>
                </c:pt>
                <c:pt idx="485">
                  <c:v>0.40799999999999997</c:v>
                </c:pt>
                <c:pt idx="486">
                  <c:v>0.41320000000000001</c:v>
                </c:pt>
                <c:pt idx="487">
                  <c:v>0.39529999999999998</c:v>
                </c:pt>
                <c:pt idx="488">
                  <c:v>0.39140000000000003</c:v>
                </c:pt>
                <c:pt idx="489">
                  <c:v>0.40600000000000003</c:v>
                </c:pt>
                <c:pt idx="490">
                  <c:v>0.38250000000000001</c:v>
                </c:pt>
                <c:pt idx="491">
                  <c:v>0.3407</c:v>
                </c:pt>
                <c:pt idx="492">
                  <c:v>0.38040000000000002</c:v>
                </c:pt>
                <c:pt idx="493">
                  <c:v>0.3674</c:v>
                </c:pt>
                <c:pt idx="494">
                  <c:v>0.39529999999999998</c:v>
                </c:pt>
                <c:pt idx="495">
                  <c:v>0.42899999999999999</c:v>
                </c:pt>
                <c:pt idx="496">
                  <c:v>0.41670000000000001</c:v>
                </c:pt>
                <c:pt idx="497">
                  <c:v>0.44069999999999998</c:v>
                </c:pt>
                <c:pt idx="498">
                  <c:v>0.42830000000000001</c:v>
                </c:pt>
                <c:pt idx="499">
                  <c:v>0.4486</c:v>
                </c:pt>
                <c:pt idx="500">
                  <c:v>0.47289999999999999</c:v>
                </c:pt>
                <c:pt idx="501">
                  <c:v>0.49049999999999999</c:v>
                </c:pt>
                <c:pt idx="502">
                  <c:v>0.51619999999999999</c:v>
                </c:pt>
                <c:pt idx="503">
                  <c:v>0.52769999999999995</c:v>
                </c:pt>
                <c:pt idx="504">
                  <c:v>0.47070000000000001</c:v>
                </c:pt>
                <c:pt idx="505">
                  <c:v>0.4597</c:v>
                </c:pt>
                <c:pt idx="506">
                  <c:v>0.433</c:v>
                </c:pt>
                <c:pt idx="507">
                  <c:v>0.45979999999999999</c:v>
                </c:pt>
                <c:pt idx="508">
                  <c:v>0.46050000000000002</c:v>
                </c:pt>
                <c:pt idx="509">
                  <c:v>0.4299</c:v>
                </c:pt>
                <c:pt idx="510">
                  <c:v>0.5141</c:v>
                </c:pt>
                <c:pt idx="511">
                  <c:v>0.44429999999999997</c:v>
                </c:pt>
                <c:pt idx="512">
                  <c:v>0.55820000000000003</c:v>
                </c:pt>
                <c:pt idx="513">
                  <c:v>0.60099999999999998</c:v>
                </c:pt>
                <c:pt idx="514">
                  <c:v>0.61209999999999998</c:v>
                </c:pt>
                <c:pt idx="515">
                  <c:v>0.63639999999999997</c:v>
                </c:pt>
                <c:pt idx="516">
                  <c:v>0.64429999999999998</c:v>
                </c:pt>
                <c:pt idx="517">
                  <c:v>0.63870000000000005</c:v>
                </c:pt>
                <c:pt idx="518">
                  <c:v>0.60550000000000004</c:v>
                </c:pt>
                <c:pt idx="519">
                  <c:v>0.65910000000000002</c:v>
                </c:pt>
                <c:pt idx="520">
                  <c:v>0.64839999999999998</c:v>
                </c:pt>
                <c:pt idx="521">
                  <c:v>0.73050000000000004</c:v>
                </c:pt>
                <c:pt idx="522">
                  <c:v>0.72230000000000005</c:v>
                </c:pt>
                <c:pt idx="523">
                  <c:v>0.72809999999999997</c:v>
                </c:pt>
                <c:pt idx="524">
                  <c:v>0.69399999999999995</c:v>
                </c:pt>
                <c:pt idx="525">
                  <c:v>0.61109999999999998</c:v>
                </c:pt>
                <c:pt idx="526">
                  <c:v>0.51329999999999998</c:v>
                </c:pt>
                <c:pt idx="527">
                  <c:v>0.56469999999999998</c:v>
                </c:pt>
                <c:pt idx="528">
                  <c:v>0.56189999999999996</c:v>
                </c:pt>
                <c:pt idx="529">
                  <c:v>0.60919999999999996</c:v>
                </c:pt>
                <c:pt idx="530">
                  <c:v>0.49690000000000001</c:v>
                </c:pt>
                <c:pt idx="531">
                  <c:v>0.53910000000000002</c:v>
                </c:pt>
                <c:pt idx="532">
                  <c:v>0.44979999999999998</c:v>
                </c:pt>
                <c:pt idx="533">
                  <c:v>0.4617</c:v>
                </c:pt>
                <c:pt idx="534">
                  <c:v>0.44280000000000003</c:v>
                </c:pt>
                <c:pt idx="535">
                  <c:v>0.48039999999999999</c:v>
                </c:pt>
                <c:pt idx="536">
                  <c:v>0.43819999999999998</c:v>
                </c:pt>
                <c:pt idx="537">
                  <c:v>0.4209</c:v>
                </c:pt>
                <c:pt idx="538">
                  <c:v>0.39279999999999998</c:v>
                </c:pt>
                <c:pt idx="539">
                  <c:v>0.41310000000000002</c:v>
                </c:pt>
                <c:pt idx="540">
                  <c:v>0.39739999999999998</c:v>
                </c:pt>
                <c:pt idx="541">
                  <c:v>0.39760000000000001</c:v>
                </c:pt>
                <c:pt idx="542">
                  <c:v>0.38129999999999997</c:v>
                </c:pt>
                <c:pt idx="543">
                  <c:v>0.3795</c:v>
                </c:pt>
                <c:pt idx="544">
                  <c:v>0.3992</c:v>
                </c:pt>
                <c:pt idx="545">
                  <c:v>0.38080000000000003</c:v>
                </c:pt>
                <c:pt idx="546">
                  <c:v>0.38790000000000002</c:v>
                </c:pt>
                <c:pt idx="547">
                  <c:v>0.3836</c:v>
                </c:pt>
                <c:pt idx="548">
                  <c:v>0.3821</c:v>
                </c:pt>
                <c:pt idx="549">
                  <c:v>0.36670000000000003</c:v>
                </c:pt>
                <c:pt idx="550">
                  <c:v>0.38500000000000001</c:v>
                </c:pt>
                <c:pt idx="551">
                  <c:v>0.39439999999999997</c:v>
                </c:pt>
                <c:pt idx="552">
                  <c:v>0.38640000000000002</c:v>
                </c:pt>
                <c:pt idx="553">
                  <c:v>0.39190000000000003</c:v>
                </c:pt>
                <c:pt idx="554">
                  <c:v>0.39939999999999998</c:v>
                </c:pt>
                <c:pt idx="555">
                  <c:v>0.40050000000000002</c:v>
                </c:pt>
                <c:pt idx="556">
                  <c:v>0.39500000000000002</c:v>
                </c:pt>
                <c:pt idx="557">
                  <c:v>0.4199</c:v>
                </c:pt>
                <c:pt idx="558">
                  <c:v>0.41799999999999998</c:v>
                </c:pt>
                <c:pt idx="559">
                  <c:v>0.39710000000000001</c:v>
                </c:pt>
                <c:pt idx="560">
                  <c:v>0.40079999999999999</c:v>
                </c:pt>
                <c:pt idx="561">
                  <c:v>0.3896</c:v>
                </c:pt>
                <c:pt idx="562">
                  <c:v>0.39489999999999997</c:v>
                </c:pt>
                <c:pt idx="563">
                  <c:v>0.40110000000000001</c:v>
                </c:pt>
                <c:pt idx="564">
                  <c:v>0.42699999999999999</c:v>
                </c:pt>
                <c:pt idx="565">
                  <c:v>0.43619999999999998</c:v>
                </c:pt>
                <c:pt idx="566">
                  <c:v>0.41149999999999998</c:v>
                </c:pt>
                <c:pt idx="567">
                  <c:v>0.42530000000000001</c:v>
                </c:pt>
                <c:pt idx="568">
                  <c:v>0.44750000000000001</c:v>
                </c:pt>
                <c:pt idx="569">
                  <c:v>0.40849999999999997</c:v>
                </c:pt>
                <c:pt idx="570">
                  <c:v>0.39989999999999998</c:v>
                </c:pt>
                <c:pt idx="571">
                  <c:v>0.41639999999999999</c:v>
                </c:pt>
                <c:pt idx="572">
                  <c:v>0.38750000000000001</c:v>
                </c:pt>
                <c:pt idx="573">
                  <c:v>0.38080000000000003</c:v>
                </c:pt>
                <c:pt idx="574">
                  <c:v>0.34439999999999998</c:v>
                </c:pt>
                <c:pt idx="575">
                  <c:v>0.33600000000000002</c:v>
                </c:pt>
                <c:pt idx="576">
                  <c:v>0.3352</c:v>
                </c:pt>
                <c:pt idx="577">
                  <c:v>0.34589999999999999</c:v>
                </c:pt>
                <c:pt idx="578">
                  <c:v>0.33119999999999999</c:v>
                </c:pt>
                <c:pt idx="579">
                  <c:v>0.33250000000000002</c:v>
                </c:pt>
                <c:pt idx="580">
                  <c:v>0.35260000000000002</c:v>
                </c:pt>
                <c:pt idx="581">
                  <c:v>0.33529999999999999</c:v>
                </c:pt>
                <c:pt idx="582">
                  <c:v>0.34470000000000001</c:v>
                </c:pt>
                <c:pt idx="583">
                  <c:v>0.36530000000000001</c:v>
                </c:pt>
                <c:pt idx="584">
                  <c:v>0.3543</c:v>
                </c:pt>
                <c:pt idx="585">
                  <c:v>0.34670000000000001</c:v>
                </c:pt>
                <c:pt idx="586">
                  <c:v>0.34989999999999999</c:v>
                </c:pt>
                <c:pt idx="587">
                  <c:v>0.3306</c:v>
                </c:pt>
                <c:pt idx="588">
                  <c:v>0.33110000000000001</c:v>
                </c:pt>
                <c:pt idx="589">
                  <c:v>0.34260000000000002</c:v>
                </c:pt>
                <c:pt idx="590">
                  <c:v>0.34399999999999997</c:v>
                </c:pt>
                <c:pt idx="591">
                  <c:v>0.34410000000000002</c:v>
                </c:pt>
                <c:pt idx="592">
                  <c:v>0.35659999999999997</c:v>
                </c:pt>
                <c:pt idx="593">
                  <c:v>0.36270000000000002</c:v>
                </c:pt>
                <c:pt idx="594">
                  <c:v>0.35570000000000002</c:v>
                </c:pt>
                <c:pt idx="595">
                  <c:v>0.33389999999999997</c:v>
                </c:pt>
                <c:pt idx="596">
                  <c:v>0.38769999999999999</c:v>
                </c:pt>
                <c:pt idx="597">
                  <c:v>0.34899999999999998</c:v>
                </c:pt>
                <c:pt idx="598">
                  <c:v>0.31929999999999997</c:v>
                </c:pt>
                <c:pt idx="599">
                  <c:v>0.32200000000000001</c:v>
                </c:pt>
                <c:pt idx="600">
                  <c:v>0.3246</c:v>
                </c:pt>
                <c:pt idx="601">
                  <c:v>0.3206</c:v>
                </c:pt>
                <c:pt idx="602">
                  <c:v>0.32629999999999998</c:v>
                </c:pt>
                <c:pt idx="603">
                  <c:v>0.32979999999999998</c:v>
                </c:pt>
                <c:pt idx="604">
                  <c:v>0.32569999999999999</c:v>
                </c:pt>
                <c:pt idx="605">
                  <c:v>0.3337</c:v>
                </c:pt>
                <c:pt idx="606">
                  <c:v>0.31640000000000001</c:v>
                </c:pt>
                <c:pt idx="607">
                  <c:v>0.33729999999999999</c:v>
                </c:pt>
                <c:pt idx="608">
                  <c:v>0.3327</c:v>
                </c:pt>
                <c:pt idx="609">
                  <c:v>0.33279999999999998</c:v>
                </c:pt>
                <c:pt idx="610">
                  <c:v>0.33639999999999998</c:v>
                </c:pt>
                <c:pt idx="611">
                  <c:v>0.34739999999999999</c:v>
                </c:pt>
                <c:pt idx="612">
                  <c:v>0.31969999999999998</c:v>
                </c:pt>
                <c:pt idx="613">
                  <c:v>0.30049999999999999</c:v>
                </c:pt>
                <c:pt idx="614">
                  <c:v>0.32619999999999999</c:v>
                </c:pt>
                <c:pt idx="615">
                  <c:v>0.3337</c:v>
                </c:pt>
                <c:pt idx="616">
                  <c:v>0.32319999999999999</c:v>
                </c:pt>
                <c:pt idx="617">
                  <c:v>0.36080000000000001</c:v>
                </c:pt>
                <c:pt idx="618">
                  <c:v>0.35880000000000001</c:v>
                </c:pt>
                <c:pt idx="619">
                  <c:v>0.37109999999999999</c:v>
                </c:pt>
                <c:pt idx="620">
                  <c:v>0.37290000000000001</c:v>
                </c:pt>
                <c:pt idx="621">
                  <c:v>0.38340000000000002</c:v>
                </c:pt>
                <c:pt idx="622">
                  <c:v>0.38250000000000001</c:v>
                </c:pt>
                <c:pt idx="623">
                  <c:v>0.34289999999999998</c:v>
                </c:pt>
                <c:pt idx="624">
                  <c:v>0.34749999999999998</c:v>
                </c:pt>
                <c:pt idx="625">
                  <c:v>0.35560000000000003</c:v>
                </c:pt>
                <c:pt idx="626">
                  <c:v>0.34389999999999998</c:v>
                </c:pt>
                <c:pt idx="627">
                  <c:v>0.39579999999999999</c:v>
                </c:pt>
                <c:pt idx="628">
                  <c:v>0.42259999999999998</c:v>
                </c:pt>
                <c:pt idx="629">
                  <c:v>0.39429999999999998</c:v>
                </c:pt>
                <c:pt idx="630">
                  <c:v>0.3014</c:v>
                </c:pt>
                <c:pt idx="631">
                  <c:v>0.2102</c:v>
                </c:pt>
                <c:pt idx="632">
                  <c:v>0.20649999999999999</c:v>
                </c:pt>
                <c:pt idx="633">
                  <c:v>0.20399999999999999</c:v>
                </c:pt>
                <c:pt idx="634">
                  <c:v>0.20630000000000001</c:v>
                </c:pt>
                <c:pt idx="635">
                  <c:v>0.2142</c:v>
                </c:pt>
                <c:pt idx="636">
                  <c:v>0.21360000000000001</c:v>
                </c:pt>
                <c:pt idx="637">
                  <c:v>0.19819999999999999</c:v>
                </c:pt>
                <c:pt idx="638">
                  <c:v>0.2132</c:v>
                </c:pt>
                <c:pt idx="639">
                  <c:v>0.2041</c:v>
                </c:pt>
                <c:pt idx="640">
                  <c:v>0.20660000000000001</c:v>
                </c:pt>
                <c:pt idx="641">
                  <c:v>0.1986</c:v>
                </c:pt>
                <c:pt idx="642">
                  <c:v>0.18459999999999999</c:v>
                </c:pt>
                <c:pt idx="643">
                  <c:v>0.1855</c:v>
                </c:pt>
                <c:pt idx="644">
                  <c:v>0.17530000000000001</c:v>
                </c:pt>
                <c:pt idx="645">
                  <c:v>0.1711</c:v>
                </c:pt>
                <c:pt idx="646">
                  <c:v>0.16830000000000001</c:v>
                </c:pt>
                <c:pt idx="647">
                  <c:v>0.16769999999999999</c:v>
                </c:pt>
                <c:pt idx="648">
                  <c:v>0.17119999999999999</c:v>
                </c:pt>
                <c:pt idx="649">
                  <c:v>0.17910000000000001</c:v>
                </c:pt>
                <c:pt idx="650">
                  <c:v>0.17219999999999999</c:v>
                </c:pt>
                <c:pt idx="651">
                  <c:v>0.17319999999999999</c:v>
                </c:pt>
                <c:pt idx="652">
                  <c:v>0.16370000000000001</c:v>
                </c:pt>
                <c:pt idx="653">
                  <c:v>0.17069999999999999</c:v>
                </c:pt>
                <c:pt idx="654">
                  <c:v>0.1673</c:v>
                </c:pt>
                <c:pt idx="655">
                  <c:v>0.16819999999999999</c:v>
                </c:pt>
                <c:pt idx="656">
                  <c:v>0.17150000000000001</c:v>
                </c:pt>
                <c:pt idx="657">
                  <c:v>0.16900000000000001</c:v>
                </c:pt>
                <c:pt idx="658">
                  <c:v>0.19</c:v>
                </c:pt>
                <c:pt idx="659">
                  <c:v>0.17730000000000001</c:v>
                </c:pt>
                <c:pt idx="660">
                  <c:v>0.16950000000000001</c:v>
                </c:pt>
                <c:pt idx="661">
                  <c:v>0.16919999999999999</c:v>
                </c:pt>
                <c:pt idx="662">
                  <c:v>0.15359999999999999</c:v>
                </c:pt>
                <c:pt idx="663">
                  <c:v>0.15629999999999999</c:v>
                </c:pt>
                <c:pt idx="664">
                  <c:v>0.15540000000000001</c:v>
                </c:pt>
                <c:pt idx="665">
                  <c:v>0.15429999999999999</c:v>
                </c:pt>
                <c:pt idx="666">
                  <c:v>0.15179999999999999</c:v>
                </c:pt>
                <c:pt idx="667">
                  <c:v>0.15290000000000001</c:v>
                </c:pt>
                <c:pt idx="668">
                  <c:v>0.15040000000000001</c:v>
                </c:pt>
                <c:pt idx="669">
                  <c:v>0.14410000000000001</c:v>
                </c:pt>
                <c:pt idx="670">
                  <c:v>0.14960000000000001</c:v>
                </c:pt>
                <c:pt idx="671">
                  <c:v>0.14960000000000001</c:v>
                </c:pt>
                <c:pt idx="672">
                  <c:v>0.15939999999999999</c:v>
                </c:pt>
                <c:pt idx="673">
                  <c:v>0.15720000000000001</c:v>
                </c:pt>
                <c:pt idx="674">
                  <c:v>0.15160000000000001</c:v>
                </c:pt>
                <c:pt idx="675">
                  <c:v>0.1515</c:v>
                </c:pt>
                <c:pt idx="676">
                  <c:v>0.14050000000000001</c:v>
                </c:pt>
                <c:pt idx="677">
                  <c:v>0.1552</c:v>
                </c:pt>
                <c:pt idx="678">
                  <c:v>0.15210000000000001</c:v>
                </c:pt>
                <c:pt idx="679">
                  <c:v>0.16259999999999999</c:v>
                </c:pt>
                <c:pt idx="680">
                  <c:v>0.14560000000000001</c:v>
                </c:pt>
                <c:pt idx="681">
                  <c:v>0.1426</c:v>
                </c:pt>
                <c:pt idx="682">
                  <c:v>0.1381</c:v>
                </c:pt>
                <c:pt idx="683">
                  <c:v>0.15840000000000001</c:v>
                </c:pt>
                <c:pt idx="684">
                  <c:v>0.15690000000000001</c:v>
                </c:pt>
                <c:pt idx="685">
                  <c:v>0.16769999999999999</c:v>
                </c:pt>
                <c:pt idx="686">
                  <c:v>0.14660000000000001</c:v>
                </c:pt>
                <c:pt idx="687">
                  <c:v>0.2266</c:v>
                </c:pt>
                <c:pt idx="688">
                  <c:v>0.2382</c:v>
                </c:pt>
                <c:pt idx="689">
                  <c:v>0.22159999999999999</c:v>
                </c:pt>
                <c:pt idx="690">
                  <c:v>0.22489999999999999</c:v>
                </c:pt>
                <c:pt idx="691">
                  <c:v>0.26279999999999998</c:v>
                </c:pt>
                <c:pt idx="692">
                  <c:v>0.2838</c:v>
                </c:pt>
                <c:pt idx="693">
                  <c:v>0.27579999999999999</c:v>
                </c:pt>
                <c:pt idx="694">
                  <c:v>0.26329999999999998</c:v>
                </c:pt>
                <c:pt idx="695">
                  <c:v>0.25430000000000003</c:v>
                </c:pt>
                <c:pt idx="696">
                  <c:v>0.2505</c:v>
                </c:pt>
                <c:pt idx="697">
                  <c:v>0.23</c:v>
                </c:pt>
                <c:pt idx="698">
                  <c:v>0.2288</c:v>
                </c:pt>
                <c:pt idx="699">
                  <c:v>0.23799999999999999</c:v>
                </c:pt>
                <c:pt idx="700">
                  <c:v>0.24410000000000001</c:v>
                </c:pt>
                <c:pt idx="701">
                  <c:v>0.2351</c:v>
                </c:pt>
                <c:pt idx="702">
                  <c:v>0.2525</c:v>
                </c:pt>
                <c:pt idx="703">
                  <c:v>0.26750000000000002</c:v>
                </c:pt>
                <c:pt idx="704">
                  <c:v>0.2878</c:v>
                </c:pt>
                <c:pt idx="705">
                  <c:v>0.28110000000000002</c:v>
                </c:pt>
                <c:pt idx="706">
                  <c:v>0.28820000000000001</c:v>
                </c:pt>
                <c:pt idx="707">
                  <c:v>0.27800000000000002</c:v>
                </c:pt>
                <c:pt idx="708">
                  <c:v>0.27979999999999999</c:v>
                </c:pt>
                <c:pt idx="709">
                  <c:v>0.30730000000000002</c:v>
                </c:pt>
                <c:pt idx="710">
                  <c:v>0.2918</c:v>
                </c:pt>
                <c:pt idx="711">
                  <c:v>0.2984</c:v>
                </c:pt>
                <c:pt idx="712">
                  <c:v>0.3201</c:v>
                </c:pt>
                <c:pt idx="713">
                  <c:v>0.34610000000000002</c:v>
                </c:pt>
                <c:pt idx="714">
                  <c:v>0.31979999999999997</c:v>
                </c:pt>
                <c:pt idx="715">
                  <c:v>0.31090000000000001</c:v>
                </c:pt>
                <c:pt idx="716">
                  <c:v>0.30249999999999999</c:v>
                </c:pt>
                <c:pt idx="717">
                  <c:v>0.28349999999999997</c:v>
                </c:pt>
                <c:pt idx="718">
                  <c:v>0.2959</c:v>
                </c:pt>
                <c:pt idx="719">
                  <c:v>0.27300000000000002</c:v>
                </c:pt>
                <c:pt idx="720">
                  <c:v>0.27760000000000001</c:v>
                </c:pt>
                <c:pt idx="721">
                  <c:v>0.27829999999999999</c:v>
                </c:pt>
                <c:pt idx="722">
                  <c:v>0.25790000000000002</c:v>
                </c:pt>
                <c:pt idx="723">
                  <c:v>0.25380000000000003</c:v>
                </c:pt>
                <c:pt idx="724">
                  <c:v>0.23599999999999999</c:v>
                </c:pt>
                <c:pt idx="725">
                  <c:v>0.23949999999999999</c:v>
                </c:pt>
                <c:pt idx="726">
                  <c:v>0.2321</c:v>
                </c:pt>
                <c:pt idx="727">
                  <c:v>0.22839999999999999</c:v>
                </c:pt>
                <c:pt idx="728">
                  <c:v>0.2331</c:v>
                </c:pt>
                <c:pt idx="729">
                  <c:v>0.22550000000000001</c:v>
                </c:pt>
                <c:pt idx="730">
                  <c:v>0.2316</c:v>
                </c:pt>
                <c:pt idx="731">
                  <c:v>0.2316</c:v>
                </c:pt>
                <c:pt idx="732">
                  <c:v>0.23050000000000001</c:v>
                </c:pt>
                <c:pt idx="733">
                  <c:v>0.22420000000000001</c:v>
                </c:pt>
                <c:pt idx="734">
                  <c:v>0.22750000000000001</c:v>
                </c:pt>
                <c:pt idx="735">
                  <c:v>0.2283</c:v>
                </c:pt>
                <c:pt idx="736">
                  <c:v>0.24249999999999999</c:v>
                </c:pt>
                <c:pt idx="737">
                  <c:v>0.24149999999999999</c:v>
                </c:pt>
                <c:pt idx="738">
                  <c:v>0.2316</c:v>
                </c:pt>
                <c:pt idx="739">
                  <c:v>0.23119999999999999</c:v>
                </c:pt>
                <c:pt idx="740">
                  <c:v>0.2455</c:v>
                </c:pt>
                <c:pt idx="741">
                  <c:v>0.25469999999999998</c:v>
                </c:pt>
                <c:pt idx="742">
                  <c:v>0.24740000000000001</c:v>
                </c:pt>
                <c:pt idx="743">
                  <c:v>0.24590000000000001</c:v>
                </c:pt>
                <c:pt idx="744">
                  <c:v>0.23799999999999999</c:v>
                </c:pt>
                <c:pt idx="745">
                  <c:v>0.2102</c:v>
                </c:pt>
                <c:pt idx="746">
                  <c:v>0.21820000000000001</c:v>
                </c:pt>
                <c:pt idx="747">
                  <c:v>0.2064</c:v>
                </c:pt>
                <c:pt idx="748">
                  <c:v>0.2026</c:v>
                </c:pt>
                <c:pt idx="749">
                  <c:v>0.20580000000000001</c:v>
                </c:pt>
                <c:pt idx="750">
                  <c:v>0.21329999999999999</c:v>
                </c:pt>
                <c:pt idx="751">
                  <c:v>0.18779999999999999</c:v>
                </c:pt>
                <c:pt idx="752">
                  <c:v>0.1958</c:v>
                </c:pt>
                <c:pt idx="753">
                  <c:v>0.18609999999999999</c:v>
                </c:pt>
                <c:pt idx="754">
                  <c:v>0.18640000000000001</c:v>
                </c:pt>
                <c:pt idx="755">
                  <c:v>0.18210000000000001</c:v>
                </c:pt>
                <c:pt idx="756">
                  <c:v>0.17519999999999999</c:v>
                </c:pt>
                <c:pt idx="757">
                  <c:v>0.1825</c:v>
                </c:pt>
                <c:pt idx="758">
                  <c:v>0.18149999999999999</c:v>
                </c:pt>
                <c:pt idx="759">
                  <c:v>0.1883</c:v>
                </c:pt>
                <c:pt idx="760">
                  <c:v>0.19700000000000001</c:v>
                </c:pt>
                <c:pt idx="761">
                  <c:v>0.185</c:v>
                </c:pt>
                <c:pt idx="762">
                  <c:v>0.18540000000000001</c:v>
                </c:pt>
                <c:pt idx="763">
                  <c:v>0.18110000000000001</c:v>
                </c:pt>
                <c:pt idx="764">
                  <c:v>0.18149999999999999</c:v>
                </c:pt>
                <c:pt idx="765">
                  <c:v>0.18340000000000001</c:v>
                </c:pt>
                <c:pt idx="766">
                  <c:v>0.18329999999999999</c:v>
                </c:pt>
                <c:pt idx="767">
                  <c:v>0.1915</c:v>
                </c:pt>
                <c:pt idx="768">
                  <c:v>0.19170000000000001</c:v>
                </c:pt>
                <c:pt idx="769">
                  <c:v>0.192</c:v>
                </c:pt>
                <c:pt idx="770">
                  <c:v>0.18729999999999999</c:v>
                </c:pt>
                <c:pt idx="771">
                  <c:v>0.2011</c:v>
                </c:pt>
                <c:pt idx="772">
                  <c:v>0.1782</c:v>
                </c:pt>
                <c:pt idx="773">
                  <c:v>0.1928</c:v>
                </c:pt>
                <c:pt idx="774">
                  <c:v>0.2072</c:v>
                </c:pt>
                <c:pt idx="775">
                  <c:v>0.2112</c:v>
                </c:pt>
                <c:pt idx="776">
                  <c:v>0.22059999999999999</c:v>
                </c:pt>
                <c:pt idx="777">
                  <c:v>0.21659999999999999</c:v>
                </c:pt>
                <c:pt idx="778">
                  <c:v>0.22239999999999999</c:v>
                </c:pt>
                <c:pt idx="779">
                  <c:v>0.2263</c:v>
                </c:pt>
                <c:pt idx="780">
                  <c:v>0.2306</c:v>
                </c:pt>
                <c:pt idx="781">
                  <c:v>0.23669999999999999</c:v>
                </c:pt>
                <c:pt idx="782">
                  <c:v>0.23630000000000001</c:v>
                </c:pt>
                <c:pt idx="783">
                  <c:v>0.2429</c:v>
                </c:pt>
                <c:pt idx="784">
                  <c:v>0.2311</c:v>
                </c:pt>
                <c:pt idx="785">
                  <c:v>0.22950000000000001</c:v>
                </c:pt>
                <c:pt idx="786">
                  <c:v>0.24310000000000001</c:v>
                </c:pt>
                <c:pt idx="787">
                  <c:v>0.24709999999999999</c:v>
                </c:pt>
                <c:pt idx="788">
                  <c:v>0.25940000000000002</c:v>
                </c:pt>
                <c:pt idx="789">
                  <c:v>0.2576</c:v>
                </c:pt>
                <c:pt idx="790">
                  <c:v>0.2712</c:v>
                </c:pt>
                <c:pt idx="791">
                  <c:v>0.26519999999999999</c:v>
                </c:pt>
                <c:pt idx="792">
                  <c:v>0.26040000000000002</c:v>
                </c:pt>
                <c:pt idx="793">
                  <c:v>0.2467</c:v>
                </c:pt>
                <c:pt idx="794">
                  <c:v>0.23699999999999999</c:v>
                </c:pt>
                <c:pt idx="795">
                  <c:v>0.2351</c:v>
                </c:pt>
                <c:pt idx="796">
                  <c:v>0.24759999999999999</c:v>
                </c:pt>
                <c:pt idx="797">
                  <c:v>0.24279999999999999</c:v>
                </c:pt>
                <c:pt idx="798">
                  <c:v>0.26190000000000002</c:v>
                </c:pt>
                <c:pt idx="799">
                  <c:v>0.26229999999999998</c:v>
                </c:pt>
                <c:pt idx="800">
                  <c:v>0.26</c:v>
                </c:pt>
                <c:pt idx="801">
                  <c:v>0.26179999999999998</c:v>
                </c:pt>
                <c:pt idx="802">
                  <c:v>0.27610000000000001</c:v>
                </c:pt>
                <c:pt idx="803">
                  <c:v>0.28199999999999997</c:v>
                </c:pt>
                <c:pt idx="804">
                  <c:v>0.27739999999999998</c:v>
                </c:pt>
                <c:pt idx="805">
                  <c:v>0.29060000000000002</c:v>
                </c:pt>
                <c:pt idx="806">
                  <c:v>0.30059999999999998</c:v>
                </c:pt>
                <c:pt idx="807">
                  <c:v>0.30080000000000001</c:v>
                </c:pt>
                <c:pt idx="808">
                  <c:v>0.30220000000000002</c:v>
                </c:pt>
                <c:pt idx="809">
                  <c:v>0.30740000000000001</c:v>
                </c:pt>
                <c:pt idx="810">
                  <c:v>0.30470000000000003</c:v>
                </c:pt>
                <c:pt idx="811">
                  <c:v>0.29289999999999999</c:v>
                </c:pt>
                <c:pt idx="812">
                  <c:v>0.30459999999999998</c:v>
                </c:pt>
                <c:pt idx="813">
                  <c:v>0.3095</c:v>
                </c:pt>
                <c:pt idx="814">
                  <c:v>0.2913</c:v>
                </c:pt>
                <c:pt idx="815">
                  <c:v>0.29559999999999997</c:v>
                </c:pt>
                <c:pt idx="816">
                  <c:v>0.29399999999999998</c:v>
                </c:pt>
                <c:pt idx="817">
                  <c:v>0.29330000000000001</c:v>
                </c:pt>
                <c:pt idx="818">
                  <c:v>0.29799999999999999</c:v>
                </c:pt>
                <c:pt idx="819">
                  <c:v>0.27160000000000001</c:v>
                </c:pt>
                <c:pt idx="820">
                  <c:v>0.27100000000000002</c:v>
                </c:pt>
                <c:pt idx="821">
                  <c:v>0.27929999999999999</c:v>
                </c:pt>
                <c:pt idx="822">
                  <c:v>0.28570000000000001</c:v>
                </c:pt>
                <c:pt idx="823">
                  <c:v>0.28789999999999999</c:v>
                </c:pt>
                <c:pt idx="824">
                  <c:v>0.29249999999999998</c:v>
                </c:pt>
                <c:pt idx="825">
                  <c:v>0.30570000000000003</c:v>
                </c:pt>
                <c:pt idx="826">
                  <c:v>0.29730000000000001</c:v>
                </c:pt>
                <c:pt idx="827">
                  <c:v>0.29270000000000002</c:v>
                </c:pt>
                <c:pt idx="828">
                  <c:v>0.31109999999999999</c:v>
                </c:pt>
                <c:pt idx="829">
                  <c:v>0.32250000000000001</c:v>
                </c:pt>
                <c:pt idx="830">
                  <c:v>0.33100000000000002</c:v>
                </c:pt>
                <c:pt idx="831">
                  <c:v>0.31809999999999999</c:v>
                </c:pt>
                <c:pt idx="832">
                  <c:v>0.30009999999999998</c:v>
                </c:pt>
                <c:pt idx="833">
                  <c:v>0.31319999999999998</c:v>
                </c:pt>
                <c:pt idx="834">
                  <c:v>0.30830000000000002</c:v>
                </c:pt>
                <c:pt idx="835">
                  <c:v>0.31509999999999999</c:v>
                </c:pt>
                <c:pt idx="836">
                  <c:v>0.33229999999999998</c:v>
                </c:pt>
                <c:pt idx="837">
                  <c:v>0.29680000000000001</c:v>
                </c:pt>
                <c:pt idx="838">
                  <c:v>0.25700000000000001</c:v>
                </c:pt>
                <c:pt idx="839">
                  <c:v>0.25669999999999998</c:v>
                </c:pt>
                <c:pt idx="840">
                  <c:v>0.2717</c:v>
                </c:pt>
                <c:pt idx="841">
                  <c:v>0.25590000000000002</c:v>
                </c:pt>
                <c:pt idx="842">
                  <c:v>0.2581</c:v>
                </c:pt>
                <c:pt idx="843">
                  <c:v>0.22020000000000001</c:v>
                </c:pt>
                <c:pt idx="844">
                  <c:v>0.2114</c:v>
                </c:pt>
                <c:pt idx="845">
                  <c:v>0.221</c:v>
                </c:pt>
                <c:pt idx="846">
                  <c:v>0.2203</c:v>
                </c:pt>
                <c:pt idx="847">
                  <c:v>0.21129999999999999</c:v>
                </c:pt>
                <c:pt idx="848">
                  <c:v>0.20799999999999999</c:v>
                </c:pt>
                <c:pt idx="849">
                  <c:v>0.21160000000000001</c:v>
                </c:pt>
                <c:pt idx="850">
                  <c:v>0.20399999999999999</c:v>
                </c:pt>
                <c:pt idx="851">
                  <c:v>0.20119999999999999</c:v>
                </c:pt>
                <c:pt idx="852">
                  <c:v>0.2107</c:v>
                </c:pt>
                <c:pt idx="853">
                  <c:v>0.21340000000000001</c:v>
                </c:pt>
                <c:pt idx="854">
                  <c:v>0.21859999999999999</c:v>
                </c:pt>
                <c:pt idx="855">
                  <c:v>0.21260000000000001</c:v>
                </c:pt>
                <c:pt idx="856">
                  <c:v>0.18909999999999999</c:v>
                </c:pt>
                <c:pt idx="857">
                  <c:v>0.20880000000000001</c:v>
                </c:pt>
                <c:pt idx="858">
                  <c:v>0.2361</c:v>
                </c:pt>
                <c:pt idx="859">
                  <c:v>0.2467</c:v>
                </c:pt>
                <c:pt idx="860">
                  <c:v>0.23300000000000001</c:v>
                </c:pt>
                <c:pt idx="861">
                  <c:v>0.2273</c:v>
                </c:pt>
                <c:pt idx="862">
                  <c:v>0.19220000000000001</c:v>
                </c:pt>
                <c:pt idx="863">
                  <c:v>0.17519999999999999</c:v>
                </c:pt>
                <c:pt idx="864">
                  <c:v>0.1641</c:v>
                </c:pt>
                <c:pt idx="865">
                  <c:v>0.16489999999999999</c:v>
                </c:pt>
                <c:pt idx="866">
                  <c:v>0.1653</c:v>
                </c:pt>
                <c:pt idx="867">
                  <c:v>0.16120000000000001</c:v>
                </c:pt>
                <c:pt idx="868">
                  <c:v>0.1605</c:v>
                </c:pt>
                <c:pt idx="869">
                  <c:v>0.15659999999999999</c:v>
                </c:pt>
                <c:pt idx="870">
                  <c:v>0.161</c:v>
                </c:pt>
                <c:pt idx="871">
                  <c:v>0.16439999999999999</c:v>
                </c:pt>
                <c:pt idx="872">
                  <c:v>0.16170000000000001</c:v>
                </c:pt>
                <c:pt idx="873">
                  <c:v>0.16370000000000001</c:v>
                </c:pt>
                <c:pt idx="874">
                  <c:v>0.15679999999999999</c:v>
                </c:pt>
                <c:pt idx="875">
                  <c:v>0.15909999999999999</c:v>
                </c:pt>
                <c:pt idx="876">
                  <c:v>0.1646</c:v>
                </c:pt>
                <c:pt idx="877">
                  <c:v>0.1714</c:v>
                </c:pt>
                <c:pt idx="878">
                  <c:v>0.1729</c:v>
                </c:pt>
                <c:pt idx="879">
                  <c:v>0.1608</c:v>
                </c:pt>
                <c:pt idx="880">
                  <c:v>0.16220000000000001</c:v>
                </c:pt>
                <c:pt idx="881">
                  <c:v>0.1641</c:v>
                </c:pt>
                <c:pt idx="882">
                  <c:v>0.1545</c:v>
                </c:pt>
                <c:pt idx="883">
                  <c:v>0.15859999999999999</c:v>
                </c:pt>
                <c:pt idx="884">
                  <c:v>0.17230000000000001</c:v>
                </c:pt>
                <c:pt idx="885">
                  <c:v>0.17760000000000001</c:v>
                </c:pt>
                <c:pt idx="886">
                  <c:v>0.17929999999999999</c:v>
                </c:pt>
                <c:pt idx="887">
                  <c:v>0.185</c:v>
                </c:pt>
                <c:pt idx="888">
                  <c:v>0.18490000000000001</c:v>
                </c:pt>
                <c:pt idx="889">
                  <c:v>0.17580000000000001</c:v>
                </c:pt>
                <c:pt idx="890">
                  <c:v>0.1724</c:v>
                </c:pt>
                <c:pt idx="891">
                  <c:v>0.1681</c:v>
                </c:pt>
                <c:pt idx="892">
                  <c:v>0.17449999999999999</c:v>
                </c:pt>
                <c:pt idx="893">
                  <c:v>0.17519999999999999</c:v>
                </c:pt>
                <c:pt idx="894">
                  <c:v>0.1711</c:v>
                </c:pt>
                <c:pt idx="895">
                  <c:v>0.17399999999999999</c:v>
                </c:pt>
                <c:pt idx="896">
                  <c:v>0.1736</c:v>
                </c:pt>
                <c:pt idx="897">
                  <c:v>0.16239999999999999</c:v>
                </c:pt>
                <c:pt idx="898">
                  <c:v>0.18149999999999999</c:v>
                </c:pt>
                <c:pt idx="899">
                  <c:v>0.18790000000000001</c:v>
                </c:pt>
                <c:pt idx="900">
                  <c:v>0.19370000000000001</c:v>
                </c:pt>
                <c:pt idx="901">
                  <c:v>0.192</c:v>
                </c:pt>
                <c:pt idx="902">
                  <c:v>0.1885</c:v>
                </c:pt>
                <c:pt idx="903">
                  <c:v>0.188</c:v>
                </c:pt>
                <c:pt idx="904">
                  <c:v>0.1973</c:v>
                </c:pt>
                <c:pt idx="905">
                  <c:v>0.19869999999999999</c:v>
                </c:pt>
                <c:pt idx="906">
                  <c:v>0.2117</c:v>
                </c:pt>
                <c:pt idx="907">
                  <c:v>0.21149999999999999</c:v>
                </c:pt>
                <c:pt idx="908">
                  <c:v>0.2152</c:v>
                </c:pt>
                <c:pt idx="909">
                  <c:v>0.2157</c:v>
                </c:pt>
                <c:pt idx="910">
                  <c:v>0.2195</c:v>
                </c:pt>
                <c:pt idx="911">
                  <c:v>0.2243</c:v>
                </c:pt>
                <c:pt idx="912">
                  <c:v>0.22389999999999999</c:v>
                </c:pt>
                <c:pt idx="913">
                  <c:v>0.22309999999999999</c:v>
                </c:pt>
                <c:pt idx="914">
                  <c:v>0.22770000000000001</c:v>
                </c:pt>
                <c:pt idx="915">
                  <c:v>0.2235</c:v>
                </c:pt>
                <c:pt idx="916">
                  <c:v>0.2344</c:v>
                </c:pt>
                <c:pt idx="917">
                  <c:v>0.2339</c:v>
                </c:pt>
                <c:pt idx="918">
                  <c:v>0.22639999999999999</c:v>
                </c:pt>
                <c:pt idx="919">
                  <c:v>0.22320000000000001</c:v>
                </c:pt>
                <c:pt idx="920">
                  <c:v>0.23580000000000001</c:v>
                </c:pt>
                <c:pt idx="921">
                  <c:v>0.24360000000000001</c:v>
                </c:pt>
                <c:pt idx="922">
                  <c:v>0.24729999999999999</c:v>
                </c:pt>
                <c:pt idx="923">
                  <c:v>0.23530000000000001</c:v>
                </c:pt>
                <c:pt idx="924">
                  <c:v>0.23699999999999999</c:v>
                </c:pt>
                <c:pt idx="925">
                  <c:v>0.22700000000000001</c:v>
                </c:pt>
                <c:pt idx="926">
                  <c:v>0.21629999999999999</c:v>
                </c:pt>
                <c:pt idx="927">
                  <c:v>0.24360000000000001</c:v>
                </c:pt>
                <c:pt idx="928">
                  <c:v>0.22</c:v>
                </c:pt>
                <c:pt idx="929">
                  <c:v>0.25600000000000001</c:v>
                </c:pt>
                <c:pt idx="930">
                  <c:v>0.26579999999999998</c:v>
                </c:pt>
                <c:pt idx="931">
                  <c:v>0.25700000000000001</c:v>
                </c:pt>
                <c:pt idx="932">
                  <c:v>0.27029999999999998</c:v>
                </c:pt>
                <c:pt idx="933">
                  <c:v>0.29210000000000003</c:v>
                </c:pt>
                <c:pt idx="934">
                  <c:v>0.29060000000000002</c:v>
                </c:pt>
                <c:pt idx="935">
                  <c:v>0.29859999999999998</c:v>
                </c:pt>
                <c:pt idx="936">
                  <c:v>0.29459999999999997</c:v>
                </c:pt>
                <c:pt idx="937">
                  <c:v>0.28820000000000001</c:v>
                </c:pt>
                <c:pt idx="938">
                  <c:v>0.28799999999999998</c:v>
                </c:pt>
                <c:pt idx="939">
                  <c:v>0.3019</c:v>
                </c:pt>
                <c:pt idx="940">
                  <c:v>0.29520000000000002</c:v>
                </c:pt>
                <c:pt idx="941">
                  <c:v>0.30930000000000002</c:v>
                </c:pt>
                <c:pt idx="942">
                  <c:v>0.2989</c:v>
                </c:pt>
                <c:pt idx="943">
                  <c:v>0.31840000000000002</c:v>
                </c:pt>
                <c:pt idx="944">
                  <c:v>0.31640000000000001</c:v>
                </c:pt>
                <c:pt idx="945">
                  <c:v>0.31879999999999997</c:v>
                </c:pt>
                <c:pt idx="946">
                  <c:v>0.32600000000000001</c:v>
                </c:pt>
                <c:pt idx="947">
                  <c:v>0.33789999999999998</c:v>
                </c:pt>
                <c:pt idx="948">
                  <c:v>0.33889999999999998</c:v>
                </c:pt>
                <c:pt idx="949">
                  <c:v>0.34410000000000002</c:v>
                </c:pt>
                <c:pt idx="950">
                  <c:v>0.35020000000000001</c:v>
                </c:pt>
                <c:pt idx="951">
                  <c:v>0.33329999999999999</c:v>
                </c:pt>
                <c:pt idx="952">
                  <c:v>0.32840000000000003</c:v>
                </c:pt>
                <c:pt idx="953">
                  <c:v>0.33979999999999999</c:v>
                </c:pt>
                <c:pt idx="954">
                  <c:v>0.33660000000000001</c:v>
                </c:pt>
                <c:pt idx="955">
                  <c:v>0.34470000000000001</c:v>
                </c:pt>
                <c:pt idx="956">
                  <c:v>0.3473</c:v>
                </c:pt>
                <c:pt idx="957">
                  <c:v>0.35709999999999997</c:v>
                </c:pt>
                <c:pt idx="958">
                  <c:v>0.33439999999999998</c:v>
                </c:pt>
                <c:pt idx="959">
                  <c:v>0.32369999999999999</c:v>
                </c:pt>
                <c:pt idx="960">
                  <c:v>0.33160000000000001</c:v>
                </c:pt>
                <c:pt idx="961">
                  <c:v>0.32440000000000002</c:v>
                </c:pt>
                <c:pt idx="962">
                  <c:v>0.32790000000000002</c:v>
                </c:pt>
                <c:pt idx="963">
                  <c:v>0.31319999999999998</c:v>
                </c:pt>
                <c:pt idx="964">
                  <c:v>0.33550000000000002</c:v>
                </c:pt>
                <c:pt idx="965">
                  <c:v>0.33260000000000001</c:v>
                </c:pt>
                <c:pt idx="966">
                  <c:v>0.32050000000000001</c:v>
                </c:pt>
                <c:pt idx="967">
                  <c:v>0.31430000000000002</c:v>
                </c:pt>
                <c:pt idx="968">
                  <c:v>0.30380000000000001</c:v>
                </c:pt>
                <c:pt idx="969">
                  <c:v>0.31690000000000002</c:v>
                </c:pt>
                <c:pt idx="970">
                  <c:v>0.34050000000000002</c:v>
                </c:pt>
                <c:pt idx="971">
                  <c:v>0.33310000000000001</c:v>
                </c:pt>
                <c:pt idx="972">
                  <c:v>0.34250000000000003</c:v>
                </c:pt>
                <c:pt idx="973">
                  <c:v>0.32390000000000002</c:v>
                </c:pt>
                <c:pt idx="974">
                  <c:v>0.34260000000000002</c:v>
                </c:pt>
                <c:pt idx="975">
                  <c:v>0.33560000000000001</c:v>
                </c:pt>
                <c:pt idx="976">
                  <c:v>0.33539999999999998</c:v>
                </c:pt>
                <c:pt idx="977">
                  <c:v>0.32469999999999999</c:v>
                </c:pt>
                <c:pt idx="978">
                  <c:v>0.3216</c:v>
                </c:pt>
                <c:pt idx="979">
                  <c:v>0.31440000000000001</c:v>
                </c:pt>
                <c:pt idx="980">
                  <c:v>0.313</c:v>
                </c:pt>
                <c:pt idx="981">
                  <c:v>0.30259999999999998</c:v>
                </c:pt>
                <c:pt idx="982">
                  <c:v>0.33079999999999998</c:v>
                </c:pt>
                <c:pt idx="983">
                  <c:v>0.31740000000000002</c:v>
                </c:pt>
                <c:pt idx="984">
                  <c:v>0.33660000000000001</c:v>
                </c:pt>
                <c:pt idx="985">
                  <c:v>0.32419999999999999</c:v>
                </c:pt>
                <c:pt idx="986">
                  <c:v>0.31259999999999999</c:v>
                </c:pt>
                <c:pt idx="987">
                  <c:v>0.33410000000000001</c:v>
                </c:pt>
                <c:pt idx="988">
                  <c:v>0.36199999999999999</c:v>
                </c:pt>
                <c:pt idx="989">
                  <c:v>0.30020000000000002</c:v>
                </c:pt>
                <c:pt idx="990">
                  <c:v>0.27760000000000001</c:v>
                </c:pt>
                <c:pt idx="991">
                  <c:v>0.2737</c:v>
                </c:pt>
                <c:pt idx="992">
                  <c:v>0.28839999999999999</c:v>
                </c:pt>
                <c:pt idx="993">
                  <c:v>0.26379999999999998</c:v>
                </c:pt>
                <c:pt idx="994">
                  <c:v>0.25319999999999998</c:v>
                </c:pt>
                <c:pt idx="995">
                  <c:v>0.26879999999999998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87-4247-B456-BCC2EFA16DA9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  <c:pt idx="840">
                  <c:v>43748</c:v>
                </c:pt>
                <c:pt idx="841">
                  <c:v>43747</c:v>
                </c:pt>
                <c:pt idx="842">
                  <c:v>43746</c:v>
                </c:pt>
                <c:pt idx="843">
                  <c:v>43745</c:v>
                </c:pt>
                <c:pt idx="844">
                  <c:v>43744</c:v>
                </c:pt>
                <c:pt idx="845">
                  <c:v>43743</c:v>
                </c:pt>
                <c:pt idx="846">
                  <c:v>43742</c:v>
                </c:pt>
                <c:pt idx="847">
                  <c:v>43741</c:v>
                </c:pt>
                <c:pt idx="848">
                  <c:v>43740</c:v>
                </c:pt>
                <c:pt idx="849">
                  <c:v>43739</c:v>
                </c:pt>
                <c:pt idx="850">
                  <c:v>43738</c:v>
                </c:pt>
                <c:pt idx="851">
                  <c:v>43737</c:v>
                </c:pt>
                <c:pt idx="852">
                  <c:v>43736</c:v>
                </c:pt>
                <c:pt idx="853">
                  <c:v>43735</c:v>
                </c:pt>
                <c:pt idx="854">
                  <c:v>43734</c:v>
                </c:pt>
                <c:pt idx="855">
                  <c:v>43733</c:v>
                </c:pt>
                <c:pt idx="856">
                  <c:v>43732</c:v>
                </c:pt>
                <c:pt idx="857">
                  <c:v>43731</c:v>
                </c:pt>
                <c:pt idx="858">
                  <c:v>43730</c:v>
                </c:pt>
                <c:pt idx="859">
                  <c:v>43729</c:v>
                </c:pt>
                <c:pt idx="860">
                  <c:v>43728</c:v>
                </c:pt>
                <c:pt idx="861">
                  <c:v>43727</c:v>
                </c:pt>
                <c:pt idx="862">
                  <c:v>43726</c:v>
                </c:pt>
                <c:pt idx="863">
                  <c:v>43725</c:v>
                </c:pt>
                <c:pt idx="864">
                  <c:v>43724</c:v>
                </c:pt>
                <c:pt idx="865">
                  <c:v>43723</c:v>
                </c:pt>
                <c:pt idx="866">
                  <c:v>43722</c:v>
                </c:pt>
                <c:pt idx="867">
                  <c:v>43721</c:v>
                </c:pt>
                <c:pt idx="868">
                  <c:v>43720</c:v>
                </c:pt>
                <c:pt idx="869">
                  <c:v>43719</c:v>
                </c:pt>
                <c:pt idx="870">
                  <c:v>43718</c:v>
                </c:pt>
                <c:pt idx="871">
                  <c:v>43717</c:v>
                </c:pt>
                <c:pt idx="872">
                  <c:v>43716</c:v>
                </c:pt>
                <c:pt idx="873">
                  <c:v>43715</c:v>
                </c:pt>
                <c:pt idx="874">
                  <c:v>43714</c:v>
                </c:pt>
                <c:pt idx="875">
                  <c:v>43713</c:v>
                </c:pt>
                <c:pt idx="876">
                  <c:v>43712</c:v>
                </c:pt>
                <c:pt idx="877">
                  <c:v>43711</c:v>
                </c:pt>
                <c:pt idx="878">
                  <c:v>43710</c:v>
                </c:pt>
                <c:pt idx="879">
                  <c:v>43709</c:v>
                </c:pt>
                <c:pt idx="880">
                  <c:v>43708</c:v>
                </c:pt>
                <c:pt idx="881">
                  <c:v>43707</c:v>
                </c:pt>
                <c:pt idx="882">
                  <c:v>43706</c:v>
                </c:pt>
                <c:pt idx="883">
                  <c:v>43705</c:v>
                </c:pt>
                <c:pt idx="884">
                  <c:v>43704</c:v>
                </c:pt>
                <c:pt idx="885">
                  <c:v>43703</c:v>
                </c:pt>
                <c:pt idx="886">
                  <c:v>43702</c:v>
                </c:pt>
                <c:pt idx="887">
                  <c:v>43701</c:v>
                </c:pt>
                <c:pt idx="888">
                  <c:v>43700</c:v>
                </c:pt>
                <c:pt idx="889">
                  <c:v>43699</c:v>
                </c:pt>
                <c:pt idx="890">
                  <c:v>43698</c:v>
                </c:pt>
                <c:pt idx="891">
                  <c:v>43697</c:v>
                </c:pt>
                <c:pt idx="892">
                  <c:v>43696</c:v>
                </c:pt>
                <c:pt idx="893">
                  <c:v>43695</c:v>
                </c:pt>
                <c:pt idx="894">
                  <c:v>43694</c:v>
                </c:pt>
                <c:pt idx="895">
                  <c:v>43693</c:v>
                </c:pt>
                <c:pt idx="896">
                  <c:v>43692</c:v>
                </c:pt>
                <c:pt idx="897">
                  <c:v>43691</c:v>
                </c:pt>
                <c:pt idx="898">
                  <c:v>43690</c:v>
                </c:pt>
                <c:pt idx="899">
                  <c:v>43689</c:v>
                </c:pt>
                <c:pt idx="900">
                  <c:v>43688</c:v>
                </c:pt>
                <c:pt idx="901">
                  <c:v>43687</c:v>
                </c:pt>
                <c:pt idx="902">
                  <c:v>43686</c:v>
                </c:pt>
                <c:pt idx="903">
                  <c:v>43685</c:v>
                </c:pt>
                <c:pt idx="904">
                  <c:v>43684</c:v>
                </c:pt>
                <c:pt idx="905">
                  <c:v>43683</c:v>
                </c:pt>
                <c:pt idx="906">
                  <c:v>43682</c:v>
                </c:pt>
                <c:pt idx="907">
                  <c:v>43681</c:v>
                </c:pt>
                <c:pt idx="908">
                  <c:v>43680</c:v>
                </c:pt>
                <c:pt idx="909">
                  <c:v>43679</c:v>
                </c:pt>
                <c:pt idx="910">
                  <c:v>43678</c:v>
                </c:pt>
                <c:pt idx="911">
                  <c:v>43677</c:v>
                </c:pt>
                <c:pt idx="912">
                  <c:v>43676</c:v>
                </c:pt>
                <c:pt idx="913">
                  <c:v>43675</c:v>
                </c:pt>
                <c:pt idx="914">
                  <c:v>43674</c:v>
                </c:pt>
                <c:pt idx="915">
                  <c:v>43673</c:v>
                </c:pt>
                <c:pt idx="916">
                  <c:v>43672</c:v>
                </c:pt>
                <c:pt idx="917">
                  <c:v>43671</c:v>
                </c:pt>
                <c:pt idx="918">
                  <c:v>43670</c:v>
                </c:pt>
                <c:pt idx="919">
                  <c:v>43669</c:v>
                </c:pt>
                <c:pt idx="920">
                  <c:v>43668</c:v>
                </c:pt>
                <c:pt idx="921">
                  <c:v>43667</c:v>
                </c:pt>
                <c:pt idx="922">
                  <c:v>43666</c:v>
                </c:pt>
                <c:pt idx="923">
                  <c:v>43665</c:v>
                </c:pt>
                <c:pt idx="924">
                  <c:v>43664</c:v>
                </c:pt>
                <c:pt idx="925">
                  <c:v>43663</c:v>
                </c:pt>
                <c:pt idx="926">
                  <c:v>43662</c:v>
                </c:pt>
                <c:pt idx="927">
                  <c:v>43661</c:v>
                </c:pt>
                <c:pt idx="928">
                  <c:v>43660</c:v>
                </c:pt>
                <c:pt idx="929">
                  <c:v>43659</c:v>
                </c:pt>
                <c:pt idx="930">
                  <c:v>43658</c:v>
                </c:pt>
                <c:pt idx="931">
                  <c:v>43657</c:v>
                </c:pt>
                <c:pt idx="932">
                  <c:v>43656</c:v>
                </c:pt>
                <c:pt idx="933">
                  <c:v>43655</c:v>
                </c:pt>
                <c:pt idx="934">
                  <c:v>43654</c:v>
                </c:pt>
                <c:pt idx="935">
                  <c:v>43653</c:v>
                </c:pt>
                <c:pt idx="936">
                  <c:v>43652</c:v>
                </c:pt>
                <c:pt idx="937">
                  <c:v>43651</c:v>
                </c:pt>
                <c:pt idx="938">
                  <c:v>43650</c:v>
                </c:pt>
                <c:pt idx="939">
                  <c:v>43649</c:v>
                </c:pt>
                <c:pt idx="940">
                  <c:v>43648</c:v>
                </c:pt>
                <c:pt idx="941">
                  <c:v>43647</c:v>
                </c:pt>
                <c:pt idx="942">
                  <c:v>43646</c:v>
                </c:pt>
                <c:pt idx="943">
                  <c:v>43645</c:v>
                </c:pt>
                <c:pt idx="944">
                  <c:v>43644</c:v>
                </c:pt>
                <c:pt idx="945">
                  <c:v>43643</c:v>
                </c:pt>
                <c:pt idx="946">
                  <c:v>43642</c:v>
                </c:pt>
                <c:pt idx="947">
                  <c:v>43641</c:v>
                </c:pt>
                <c:pt idx="948">
                  <c:v>43640</c:v>
                </c:pt>
                <c:pt idx="949">
                  <c:v>43639</c:v>
                </c:pt>
                <c:pt idx="950">
                  <c:v>43638</c:v>
                </c:pt>
                <c:pt idx="951">
                  <c:v>43637</c:v>
                </c:pt>
                <c:pt idx="952">
                  <c:v>43636</c:v>
                </c:pt>
                <c:pt idx="953">
                  <c:v>43635</c:v>
                </c:pt>
                <c:pt idx="954">
                  <c:v>43634</c:v>
                </c:pt>
                <c:pt idx="955">
                  <c:v>43633</c:v>
                </c:pt>
                <c:pt idx="956">
                  <c:v>43632</c:v>
                </c:pt>
                <c:pt idx="957">
                  <c:v>43631</c:v>
                </c:pt>
                <c:pt idx="958">
                  <c:v>43630</c:v>
                </c:pt>
                <c:pt idx="959">
                  <c:v>43629</c:v>
                </c:pt>
                <c:pt idx="960">
                  <c:v>43628</c:v>
                </c:pt>
                <c:pt idx="961">
                  <c:v>43627</c:v>
                </c:pt>
                <c:pt idx="962">
                  <c:v>43626</c:v>
                </c:pt>
                <c:pt idx="963">
                  <c:v>43625</c:v>
                </c:pt>
                <c:pt idx="964">
                  <c:v>43624</c:v>
                </c:pt>
                <c:pt idx="965">
                  <c:v>43623</c:v>
                </c:pt>
                <c:pt idx="966">
                  <c:v>43622</c:v>
                </c:pt>
                <c:pt idx="967">
                  <c:v>43621</c:v>
                </c:pt>
                <c:pt idx="968">
                  <c:v>43620</c:v>
                </c:pt>
                <c:pt idx="969">
                  <c:v>43619</c:v>
                </c:pt>
                <c:pt idx="970">
                  <c:v>43618</c:v>
                </c:pt>
                <c:pt idx="971">
                  <c:v>43617</c:v>
                </c:pt>
                <c:pt idx="972">
                  <c:v>43616</c:v>
                </c:pt>
                <c:pt idx="973">
                  <c:v>43615</c:v>
                </c:pt>
                <c:pt idx="974">
                  <c:v>43614</c:v>
                </c:pt>
                <c:pt idx="975">
                  <c:v>43613</c:v>
                </c:pt>
                <c:pt idx="976">
                  <c:v>43612</c:v>
                </c:pt>
                <c:pt idx="977">
                  <c:v>43611</c:v>
                </c:pt>
                <c:pt idx="978">
                  <c:v>43610</c:v>
                </c:pt>
                <c:pt idx="979">
                  <c:v>43609</c:v>
                </c:pt>
                <c:pt idx="980">
                  <c:v>43608</c:v>
                </c:pt>
                <c:pt idx="981">
                  <c:v>43607</c:v>
                </c:pt>
                <c:pt idx="982">
                  <c:v>43606</c:v>
                </c:pt>
                <c:pt idx="983">
                  <c:v>43605</c:v>
                </c:pt>
                <c:pt idx="984">
                  <c:v>43604</c:v>
                </c:pt>
                <c:pt idx="985">
                  <c:v>43603</c:v>
                </c:pt>
                <c:pt idx="986">
                  <c:v>43602</c:v>
                </c:pt>
                <c:pt idx="987">
                  <c:v>43601</c:v>
                </c:pt>
                <c:pt idx="988">
                  <c:v>43600</c:v>
                </c:pt>
                <c:pt idx="989">
                  <c:v>43599</c:v>
                </c:pt>
                <c:pt idx="990">
                  <c:v>43598</c:v>
                </c:pt>
                <c:pt idx="991">
                  <c:v>43597</c:v>
                </c:pt>
                <c:pt idx="992">
                  <c:v>43596</c:v>
                </c:pt>
                <c:pt idx="993">
                  <c:v>43595</c:v>
                </c:pt>
                <c:pt idx="994">
                  <c:v>43594</c:v>
                </c:pt>
                <c:pt idx="995">
                  <c:v>43593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9.7077678379814444E-2</c:v>
                </c:pt>
                <c:pt idx="1">
                  <c:v>0.10129706853366055</c:v>
                </c:pt>
                <c:pt idx="2">
                  <c:v>0.13029988341131143</c:v>
                </c:pt>
                <c:pt idx="3">
                  <c:v>0.10760258841131147</c:v>
                </c:pt>
                <c:pt idx="4">
                  <c:v>9.2749828204057472E-2</c:v>
                </c:pt>
                <c:pt idx="5">
                  <c:v>7.5692253042767013E-2</c:v>
                </c:pt>
                <c:pt idx="6">
                  <c:v>8.4508901178899337E-2</c:v>
                </c:pt>
                <c:pt idx="7">
                  <c:v>0.16378405568344129</c:v>
                </c:pt>
                <c:pt idx="8">
                  <c:v>0.19391460490240925</c:v>
                </c:pt>
                <c:pt idx="9">
                  <c:v>0.20693973660308948</c:v>
                </c:pt>
                <c:pt idx="10">
                  <c:v>0.19606215432401972</c:v>
                </c:pt>
                <c:pt idx="11">
                  <c:v>0.20594345476031989</c:v>
                </c:pt>
                <c:pt idx="12">
                  <c:v>0.19778128367121101</c:v>
                </c:pt>
                <c:pt idx="13">
                  <c:v>0.19029912193208046</c:v>
                </c:pt>
                <c:pt idx="14">
                  <c:v>0.1695248223257812</c:v>
                </c:pt>
                <c:pt idx="15">
                  <c:v>0.22973467285279042</c:v>
                </c:pt>
                <c:pt idx="16">
                  <c:v>0.21210141096983881</c:v>
                </c:pt>
                <c:pt idx="17">
                  <c:v>0.19332352924256604</c:v>
                </c:pt>
                <c:pt idx="18">
                  <c:v>0.19975476453458035</c:v>
                </c:pt>
                <c:pt idx="19">
                  <c:v>0.20337074274886613</c:v>
                </c:pt>
                <c:pt idx="20">
                  <c:v>0.21754949427428977</c:v>
                </c:pt>
                <c:pt idx="21">
                  <c:v>0.2198618077666975</c:v>
                </c:pt>
                <c:pt idx="22">
                  <c:v>0.21852506490102602</c:v>
                </c:pt>
                <c:pt idx="23">
                  <c:v>0.25566093092076292</c:v>
                </c:pt>
                <c:pt idx="24">
                  <c:v>0.28687879001441841</c:v>
                </c:pt>
                <c:pt idx="25">
                  <c:v>0.28252825578623042</c:v>
                </c:pt>
                <c:pt idx="26">
                  <c:v>0.28119138897357848</c:v>
                </c:pt>
                <c:pt idx="27">
                  <c:v>0.24494687519054645</c:v>
                </c:pt>
                <c:pt idx="28">
                  <c:v>0.24507506615517663</c:v>
                </c:pt>
                <c:pt idx="29">
                  <c:v>0.22156785823438455</c:v>
                </c:pt>
                <c:pt idx="30">
                  <c:v>0.25512635339227929</c:v>
                </c:pt>
                <c:pt idx="31">
                  <c:v>0.2878942146438131</c:v>
                </c:pt>
                <c:pt idx="32">
                  <c:v>0.31424699198485362</c:v>
                </c:pt>
                <c:pt idx="33">
                  <c:v>0.29878299465726738</c:v>
                </c:pt>
                <c:pt idx="34">
                  <c:v>0.28592072074922142</c:v>
                </c:pt>
                <c:pt idx="35">
                  <c:v>0.31247407509477115</c:v>
                </c:pt>
                <c:pt idx="36">
                  <c:v>0.2902188177034668</c:v>
                </c:pt>
                <c:pt idx="37">
                  <c:v>0.2839713909592807</c:v>
                </c:pt>
                <c:pt idx="38">
                  <c:v>0.25817888934203004</c:v>
                </c:pt>
                <c:pt idx="39">
                  <c:v>0.25940045615452995</c:v>
                </c:pt>
                <c:pt idx="40">
                  <c:v>0.27331347192376076</c:v>
                </c:pt>
                <c:pt idx="41">
                  <c:v>0.26636590893674778</c:v>
                </c:pt>
                <c:pt idx="42">
                  <c:v>0.25584521772053154</c:v>
                </c:pt>
                <c:pt idx="43">
                  <c:v>0.27453394199237624</c:v>
                </c:pt>
                <c:pt idx="44">
                  <c:v>0.24302348701034029</c:v>
                </c:pt>
                <c:pt idx="45">
                  <c:v>0.2281288496949041</c:v>
                </c:pt>
                <c:pt idx="46">
                  <c:v>0.25747611334219872</c:v>
                </c:pt>
                <c:pt idx="47">
                  <c:v>0.24881941769002477</c:v>
                </c:pt>
                <c:pt idx="48">
                  <c:v>0.24721741461886373</c:v>
                </c:pt>
                <c:pt idx="49">
                  <c:v>0.28758180336886369</c:v>
                </c:pt>
                <c:pt idx="50">
                  <c:v>0.35067675866123227</c:v>
                </c:pt>
                <c:pt idx="51">
                  <c:v>0.3243329054036565</c:v>
                </c:pt>
                <c:pt idx="52">
                  <c:v>0.33494114642333456</c:v>
                </c:pt>
                <c:pt idx="53">
                  <c:v>0.29544062169638735</c:v>
                </c:pt>
                <c:pt idx="54">
                  <c:v>0.31545303021123877</c:v>
                </c:pt>
                <c:pt idx="55">
                  <c:v>0.30230122670523174</c:v>
                </c:pt>
                <c:pt idx="56">
                  <c:v>0.31837865969057971</c:v>
                </c:pt>
                <c:pt idx="57">
                  <c:v>0.32820852341829448</c:v>
                </c:pt>
                <c:pt idx="58">
                  <c:v>0.3481794217153244</c:v>
                </c:pt>
                <c:pt idx="59">
                  <c:v>0.35634471191896866</c:v>
                </c:pt>
                <c:pt idx="60">
                  <c:v>0.33172964893046286</c:v>
                </c:pt>
                <c:pt idx="61">
                  <c:v>0.32478872610252413</c:v>
                </c:pt>
                <c:pt idx="62">
                  <c:v>0.23455212164190217</c:v>
                </c:pt>
                <c:pt idx="63">
                  <c:v>0.32858833134464266</c:v>
                </c:pt>
                <c:pt idx="64">
                  <c:v>0.34243781971929843</c:v>
                </c:pt>
                <c:pt idx="65">
                  <c:v>0.38999892849122852</c:v>
                </c:pt>
                <c:pt idx="66">
                  <c:v>0.33642781125381804</c:v>
                </c:pt>
                <c:pt idx="67">
                  <c:v>0.35428987840146914</c:v>
                </c:pt>
                <c:pt idx="68">
                  <c:v>0.37555017877793995</c:v>
                </c:pt>
                <c:pt idx="69">
                  <c:v>0.35573765927298961</c:v>
                </c:pt>
                <c:pt idx="70">
                  <c:v>0.31261285079930551</c:v>
                </c:pt>
                <c:pt idx="71">
                  <c:v>0.37131809144577016</c:v>
                </c:pt>
                <c:pt idx="72">
                  <c:v>0.33087655006365629</c:v>
                </c:pt>
                <c:pt idx="73">
                  <c:v>0.34977061575887325</c:v>
                </c:pt>
                <c:pt idx="74">
                  <c:v>0.38889535100060346</c:v>
                </c:pt>
                <c:pt idx="75">
                  <c:v>0.38556535782987161</c:v>
                </c:pt>
                <c:pt idx="76">
                  <c:v>0.40189376529230891</c:v>
                </c:pt>
                <c:pt idx="77">
                  <c:v>0.42256732687564202</c:v>
                </c:pt>
                <c:pt idx="78">
                  <c:v>0.32819089966190157</c:v>
                </c:pt>
                <c:pt idx="79">
                  <c:v>0.49114325457687474</c:v>
                </c:pt>
                <c:pt idx="80">
                  <c:v>0.59603731181253128</c:v>
                </c:pt>
                <c:pt idx="81">
                  <c:v>0.54016385807493461</c:v>
                </c:pt>
                <c:pt idx="82">
                  <c:v>0.55242189355157023</c:v>
                </c:pt>
                <c:pt idx="83">
                  <c:v>0.49573956608336206</c:v>
                </c:pt>
                <c:pt idx="84">
                  <c:v>0.50808722983006394</c:v>
                </c:pt>
                <c:pt idx="85">
                  <c:v>0.52924405042222411</c:v>
                </c:pt>
                <c:pt idx="86">
                  <c:v>0.54976813533569269</c:v>
                </c:pt>
                <c:pt idx="87">
                  <c:v>0.67266699099295946</c:v>
                </c:pt>
                <c:pt idx="88">
                  <c:v>0.53301713732064271</c:v>
                </c:pt>
                <c:pt idx="89">
                  <c:v>1.598692222682575</c:v>
                </c:pt>
                <c:pt idx="90">
                  <c:v>1.7004129262281447</c:v>
                </c:pt>
                <c:pt idx="91">
                  <c:v>1.6527728731466338</c:v>
                </c:pt>
                <c:pt idx="92">
                  <c:v>1.6178844421710241</c:v>
                </c:pt>
                <c:pt idx="93">
                  <c:v>1.6787295377317177</c:v>
                </c:pt>
                <c:pt idx="94">
                  <c:v>1.6450740450373624</c:v>
                </c:pt>
                <c:pt idx="95">
                  <c:v>1.6322999606952568</c:v>
                </c:pt>
                <c:pt idx="96">
                  <c:v>1.6332302538798411</c:v>
                </c:pt>
                <c:pt idx="97">
                  <c:v>1.6242181276131744</c:v>
                </c:pt>
                <c:pt idx="98">
                  <c:v>1.6318283759325019</c:v>
                </c:pt>
                <c:pt idx="99">
                  <c:v>1.7083218777920057</c:v>
                </c:pt>
                <c:pt idx="100">
                  <c:v>1.6862748156491489</c:v>
                </c:pt>
                <c:pt idx="101">
                  <c:v>1.6842696188047044</c:v>
                </c:pt>
                <c:pt idx="102">
                  <c:v>1.6892597926380375</c:v>
                </c:pt>
                <c:pt idx="103">
                  <c:v>1.6881400111039466</c:v>
                </c:pt>
                <c:pt idx="104">
                  <c:v>1.6989115485447046</c:v>
                </c:pt>
                <c:pt idx="105">
                  <c:v>1.6726984530263103</c:v>
                </c:pt>
                <c:pt idx="106">
                  <c:v>1.6607450765209342</c:v>
                </c:pt>
                <c:pt idx="107">
                  <c:v>1.6240407035859605</c:v>
                </c:pt>
                <c:pt idx="108">
                  <c:v>1.5993542901104274</c:v>
                </c:pt>
                <c:pt idx="109">
                  <c:v>1.611182343681856</c:v>
                </c:pt>
                <c:pt idx="110">
                  <c:v>1.6550857730808197</c:v>
                </c:pt>
                <c:pt idx="111">
                  <c:v>1.5944772497235744</c:v>
                </c:pt>
                <c:pt idx="112">
                  <c:v>1.5529196349788299</c:v>
                </c:pt>
                <c:pt idx="113">
                  <c:v>1.53944388897883</c:v>
                </c:pt>
                <c:pt idx="114">
                  <c:v>1.5003841752983995</c:v>
                </c:pt>
                <c:pt idx="115">
                  <c:v>1.442941546489535</c:v>
                </c:pt>
                <c:pt idx="116">
                  <c:v>1.4392123330149589</c:v>
                </c:pt>
                <c:pt idx="117">
                  <c:v>1.444812244066461</c:v>
                </c:pt>
                <c:pt idx="118">
                  <c:v>1.4674482094692114</c:v>
                </c:pt>
                <c:pt idx="119">
                  <c:v>1.4159228128532417</c:v>
                </c:pt>
                <c:pt idx="120">
                  <c:v>1.3716643928532419</c:v>
                </c:pt>
                <c:pt idx="121">
                  <c:v>1.3752429966815065</c:v>
                </c:pt>
                <c:pt idx="122">
                  <c:v>1.4089490737179018</c:v>
                </c:pt>
                <c:pt idx="123">
                  <c:v>1.4459802819384531</c:v>
                </c:pt>
                <c:pt idx="124">
                  <c:v>1.4372182630448429</c:v>
                </c:pt>
                <c:pt idx="125">
                  <c:v>1.4244232539639603</c:v>
                </c:pt>
                <c:pt idx="126">
                  <c:v>1.4240309978635264</c:v>
                </c:pt>
                <c:pt idx="127">
                  <c:v>1.3943674692077885</c:v>
                </c:pt>
                <c:pt idx="128">
                  <c:v>1.3389636852117912</c:v>
                </c:pt>
                <c:pt idx="129">
                  <c:v>1.3784918752018658</c:v>
                </c:pt>
                <c:pt idx="130">
                  <c:v>1.4216930577415481</c:v>
                </c:pt>
                <c:pt idx="131">
                  <c:v>1.4382027791701193</c:v>
                </c:pt>
                <c:pt idx="132">
                  <c:v>1.4026585411966093</c:v>
                </c:pt>
                <c:pt idx="133">
                  <c:v>1.438269532175237</c:v>
                </c:pt>
                <c:pt idx="134">
                  <c:v>1.464772929778543</c:v>
                </c:pt>
                <c:pt idx="135">
                  <c:v>1.4107533997785429</c:v>
                </c:pt>
                <c:pt idx="136">
                  <c:v>1.3562812149832213</c:v>
                </c:pt>
                <c:pt idx="137">
                  <c:v>1.3522271302057036</c:v>
                </c:pt>
                <c:pt idx="138">
                  <c:v>1.3130277540347826</c:v>
                </c:pt>
                <c:pt idx="139">
                  <c:v>1.2902730489229062</c:v>
                </c:pt>
                <c:pt idx="140">
                  <c:v>1.3539197412194179</c:v>
                </c:pt>
                <c:pt idx="141">
                  <c:v>1.262331007641244</c:v>
                </c:pt>
                <c:pt idx="142">
                  <c:v>1.1600211676114058</c:v>
                </c:pt>
                <c:pt idx="143">
                  <c:v>1.2328572276944916</c:v>
                </c:pt>
                <c:pt idx="144">
                  <c:v>1.205920598035124</c:v>
                </c:pt>
                <c:pt idx="145">
                  <c:v>1.1061603735636525</c:v>
                </c:pt>
                <c:pt idx="146">
                  <c:v>1.0235665600975163</c:v>
                </c:pt>
                <c:pt idx="147">
                  <c:v>0.95063246979751637</c:v>
                </c:pt>
                <c:pt idx="148">
                  <c:v>0.94724424392950068</c:v>
                </c:pt>
                <c:pt idx="149">
                  <c:v>0.88001841018575666</c:v>
                </c:pt>
                <c:pt idx="150">
                  <c:v>0.84613936824817526</c:v>
                </c:pt>
                <c:pt idx="151">
                  <c:v>0.89712898358075721</c:v>
                </c:pt>
                <c:pt idx="152">
                  <c:v>0.89601164476640427</c:v>
                </c:pt>
                <c:pt idx="153">
                  <c:v>0.90653667879625477</c:v>
                </c:pt>
                <c:pt idx="154">
                  <c:v>0.85464779874255614</c:v>
                </c:pt>
                <c:pt idx="155">
                  <c:v>0.89812341998125278</c:v>
                </c:pt>
                <c:pt idx="156">
                  <c:v>0.8314839831767159</c:v>
                </c:pt>
                <c:pt idx="157">
                  <c:v>0.89783838981431907</c:v>
                </c:pt>
                <c:pt idx="158">
                  <c:v>0.84072981767659971</c:v>
                </c:pt>
                <c:pt idx="159">
                  <c:v>0.81484385725169561</c:v>
                </c:pt>
                <c:pt idx="160">
                  <c:v>0.75064260045281916</c:v>
                </c:pt>
                <c:pt idx="161">
                  <c:v>0.68358849431016977</c:v>
                </c:pt>
                <c:pt idx="162">
                  <c:v>0.62520404682057595</c:v>
                </c:pt>
                <c:pt idx="163">
                  <c:v>0.64473590384901458</c:v>
                </c:pt>
                <c:pt idx="164">
                  <c:v>0.74389592966779916</c:v>
                </c:pt>
                <c:pt idx="165">
                  <c:v>0.82010027071144598</c:v>
                </c:pt>
                <c:pt idx="166">
                  <c:v>0.78527608790914694</c:v>
                </c:pt>
                <c:pt idx="167">
                  <c:v>0.76205251896123227</c:v>
                </c:pt>
                <c:pt idx="168">
                  <c:v>0.54840555741133912</c:v>
                </c:pt>
                <c:pt idx="169">
                  <c:v>0.56412977318066215</c:v>
                </c:pt>
                <c:pt idx="170">
                  <c:v>0.57094046067304738</c:v>
                </c:pt>
                <c:pt idx="171">
                  <c:v>0.53957625120638075</c:v>
                </c:pt>
                <c:pt idx="172">
                  <c:v>0.48552421216009667</c:v>
                </c:pt>
                <c:pt idx="173">
                  <c:v>0.62076664234275547</c:v>
                </c:pt>
                <c:pt idx="174">
                  <c:v>0.56241399820942206</c:v>
                </c:pt>
                <c:pt idx="175">
                  <c:v>0.52387214005152738</c:v>
                </c:pt>
                <c:pt idx="176">
                  <c:v>0.50091020963530453</c:v>
                </c:pt>
                <c:pt idx="177">
                  <c:v>0.4483092815648545</c:v>
                </c:pt>
                <c:pt idx="178">
                  <c:v>0.3881577161771913</c:v>
                </c:pt>
                <c:pt idx="179">
                  <c:v>0.34195419362564189</c:v>
                </c:pt>
                <c:pt idx="180">
                  <c:v>0.40496760670736243</c:v>
                </c:pt>
                <c:pt idx="181">
                  <c:v>0.39801441821659317</c:v>
                </c:pt>
                <c:pt idx="182">
                  <c:v>0.33996312766247944</c:v>
                </c:pt>
                <c:pt idx="183">
                  <c:v>0.29338309903703447</c:v>
                </c:pt>
                <c:pt idx="184">
                  <c:v>0.29224574351184374</c:v>
                </c:pt>
                <c:pt idx="185">
                  <c:v>0.28376034025366731</c:v>
                </c:pt>
                <c:pt idx="186">
                  <c:v>0.32612915448585117</c:v>
                </c:pt>
                <c:pt idx="187">
                  <c:v>0.29882464074624737</c:v>
                </c:pt>
                <c:pt idx="188">
                  <c:v>0.30683117068886095</c:v>
                </c:pt>
                <c:pt idx="189">
                  <c:v>0.26628388323097768</c:v>
                </c:pt>
                <c:pt idx="190">
                  <c:v>0.18731278379764421</c:v>
                </c:pt>
                <c:pt idx="191">
                  <c:v>9.0793072133358563E-2</c:v>
                </c:pt>
                <c:pt idx="192">
                  <c:v>0.11252261464129291</c:v>
                </c:pt>
                <c:pt idx="193">
                  <c:v>0.15105941796145092</c:v>
                </c:pt>
                <c:pt idx="194">
                  <c:v>0.16095669392281955</c:v>
                </c:pt>
                <c:pt idx="195">
                  <c:v>0.13761193714759565</c:v>
                </c:pt>
                <c:pt idx="196">
                  <c:v>0.18045763246054425</c:v>
                </c:pt>
                <c:pt idx="197">
                  <c:v>0.20633409282849841</c:v>
                </c:pt>
                <c:pt idx="198">
                  <c:v>0.17475756629737954</c:v>
                </c:pt>
                <c:pt idx="199">
                  <c:v>0.19304165541276413</c:v>
                </c:pt>
                <c:pt idx="200">
                  <c:v>0.21717645718984402</c:v>
                </c:pt>
                <c:pt idx="201">
                  <c:v>0.16379777710288776</c:v>
                </c:pt>
                <c:pt idx="202">
                  <c:v>0.23897027680312741</c:v>
                </c:pt>
                <c:pt idx="203">
                  <c:v>0.22512375354816333</c:v>
                </c:pt>
                <c:pt idx="204">
                  <c:v>0.13877105544816332</c:v>
                </c:pt>
                <c:pt idx="205">
                  <c:v>9.0433275686161788E-2</c:v>
                </c:pt>
                <c:pt idx="206">
                  <c:v>0.10691486560378791</c:v>
                </c:pt>
                <c:pt idx="207">
                  <c:v>0.11755541475223957</c:v>
                </c:pt>
                <c:pt idx="208">
                  <c:v>0.10280960867801442</c:v>
                </c:pt>
                <c:pt idx="209">
                  <c:v>8.6617057733997277E-2</c:v>
                </c:pt>
                <c:pt idx="210">
                  <c:v>5.0465468356117184E-2</c:v>
                </c:pt>
                <c:pt idx="211">
                  <c:v>0.11209193191607333</c:v>
                </c:pt>
                <c:pt idx="212">
                  <c:v>4.6422798195581365E-2</c:v>
                </c:pt>
                <c:pt idx="213">
                  <c:v>3.0925348996472674E-2</c:v>
                </c:pt>
                <c:pt idx="214">
                  <c:v>-2.6165091813266931E-2</c:v>
                </c:pt>
                <c:pt idx="215">
                  <c:v>-7.3671595738530118E-2</c:v>
                </c:pt>
                <c:pt idx="216">
                  <c:v>-8.6350444846657395E-2</c:v>
                </c:pt>
                <c:pt idx="217">
                  <c:v>-3.0995630519666185E-2</c:v>
                </c:pt>
                <c:pt idx="218">
                  <c:v>-5.1404210989936486E-2</c:v>
                </c:pt>
                <c:pt idx="219">
                  <c:v>-0.10671622551112847</c:v>
                </c:pt>
                <c:pt idx="220">
                  <c:v>-0.12533223085242534</c:v>
                </c:pt>
                <c:pt idx="221">
                  <c:v>2.6087133702425891E-3</c:v>
                </c:pt>
                <c:pt idx="222">
                  <c:v>-3.4556464945951652E-2</c:v>
                </c:pt>
                <c:pt idx="223">
                  <c:v>-1.4866233274431307E-2</c:v>
                </c:pt>
                <c:pt idx="224">
                  <c:v>-3.2958061936919528E-3</c:v>
                </c:pt>
                <c:pt idx="225">
                  <c:v>-2.7884553379575396E-3</c:v>
                </c:pt>
                <c:pt idx="226">
                  <c:v>3.5700946928483822E-2</c:v>
                </c:pt>
                <c:pt idx="227">
                  <c:v>7.6018590703553185E-2</c:v>
                </c:pt>
                <c:pt idx="228">
                  <c:v>5.9272202483139073E-2</c:v>
                </c:pt>
                <c:pt idx="229">
                  <c:v>-7.4193428557799389E-3</c:v>
                </c:pt>
                <c:pt idx="230">
                  <c:v>-1.2508347058863617E-2</c:v>
                </c:pt>
                <c:pt idx="231">
                  <c:v>1.5741958135054593E-2</c:v>
                </c:pt>
                <c:pt idx="232">
                  <c:v>3.6207729407564539E-2</c:v>
                </c:pt>
                <c:pt idx="233">
                  <c:v>4.3000930202266759E-3</c:v>
                </c:pt>
                <c:pt idx="234">
                  <c:v>-5.802842587617621E-2</c:v>
                </c:pt>
                <c:pt idx="235">
                  <c:v>-2.1549444093151925E-2</c:v>
                </c:pt>
                <c:pt idx="236">
                  <c:v>-2.8468964203454881E-2</c:v>
                </c:pt>
                <c:pt idx="237">
                  <c:v>-5.4327706066319157E-3</c:v>
                </c:pt>
                <c:pt idx="238">
                  <c:v>2.553585525958986E-2</c:v>
                </c:pt>
                <c:pt idx="239">
                  <c:v>-1.375206059908439E-2</c:v>
                </c:pt>
                <c:pt idx="240">
                  <c:v>-3.6890023197896388E-2</c:v>
                </c:pt>
                <c:pt idx="241">
                  <c:v>-4.8105391096497724E-2</c:v>
                </c:pt>
                <c:pt idx="242">
                  <c:v>-9.6899812708362204E-2</c:v>
                </c:pt>
                <c:pt idx="243">
                  <c:v>-0.11141802394868482</c:v>
                </c:pt>
                <c:pt idx="244">
                  <c:v>-8.7984506723639597E-2</c:v>
                </c:pt>
                <c:pt idx="245">
                  <c:v>-1.3353263987503489E-2</c:v>
                </c:pt>
                <c:pt idx="246">
                  <c:v>-1.0331940967960451E-2</c:v>
                </c:pt>
                <c:pt idx="247">
                  <c:v>-0.11487839483794969</c:v>
                </c:pt>
                <c:pt idx="248">
                  <c:v>-0.1451649925264562</c:v>
                </c:pt>
                <c:pt idx="249">
                  <c:v>-0.29382927714786838</c:v>
                </c:pt>
                <c:pt idx="250">
                  <c:v>-0.28276182446272696</c:v>
                </c:pt>
                <c:pt idx="251">
                  <c:v>-0.26733525996417634</c:v>
                </c:pt>
                <c:pt idx="252">
                  <c:v>-0.23752337327346884</c:v>
                </c:pt>
                <c:pt idx="253">
                  <c:v>-0.44467530384170656</c:v>
                </c:pt>
                <c:pt idx="254">
                  <c:v>-0.28478729476917458</c:v>
                </c:pt>
                <c:pt idx="255">
                  <c:v>-0.31427716018375251</c:v>
                </c:pt>
                <c:pt idx="256">
                  <c:v>-0.29655366636868391</c:v>
                </c:pt>
                <c:pt idx="257">
                  <c:v>-0.28065499082964873</c:v>
                </c:pt>
                <c:pt idx="258">
                  <c:v>-0.21321803311714876</c:v>
                </c:pt>
                <c:pt idx="259">
                  <c:v>-0.23702022659763947</c:v>
                </c:pt>
                <c:pt idx="260">
                  <c:v>-0.19472580889350338</c:v>
                </c:pt>
                <c:pt idx="261">
                  <c:v>5.8374233511198313E-4</c:v>
                </c:pt>
                <c:pt idx="262">
                  <c:v>-7.7876934035026352E-2</c:v>
                </c:pt>
                <c:pt idx="263">
                  <c:v>-1.3567237296502097E-2</c:v>
                </c:pt>
                <c:pt idx="264">
                  <c:v>-5.2712897286174322E-2</c:v>
                </c:pt>
                <c:pt idx="265">
                  <c:v>-5.5270060376193184E-3</c:v>
                </c:pt>
                <c:pt idx="266">
                  <c:v>0.1357057588703218</c:v>
                </c:pt>
                <c:pt idx="267">
                  <c:v>-5.3110978964164106E-3</c:v>
                </c:pt>
                <c:pt idx="268">
                  <c:v>-0.10234337599083476</c:v>
                </c:pt>
                <c:pt idx="269">
                  <c:v>-1.6327811401479719E-2</c:v>
                </c:pt>
                <c:pt idx="270">
                  <c:v>-3.8820704624196014E-3</c:v>
                </c:pt>
                <c:pt idx="271">
                  <c:v>-1.4274601713628043E-3</c:v>
                </c:pt>
                <c:pt idx="272">
                  <c:v>-6.9351169660626905E-2</c:v>
                </c:pt>
                <c:pt idx="273">
                  <c:v>-0.15432598393030778</c:v>
                </c:pt>
                <c:pt idx="274">
                  <c:v>-0.14820193611302385</c:v>
                </c:pt>
                <c:pt idx="275">
                  <c:v>-0.11725584020034521</c:v>
                </c:pt>
                <c:pt idx="276">
                  <c:v>-0.24695553376724047</c:v>
                </c:pt>
                <c:pt idx="277">
                  <c:v>-0.31084435516959652</c:v>
                </c:pt>
                <c:pt idx="278">
                  <c:v>-0.29959023537737745</c:v>
                </c:pt>
                <c:pt idx="279">
                  <c:v>-0.24136478232070877</c:v>
                </c:pt>
                <c:pt idx="280">
                  <c:v>-0.35583333360041147</c:v>
                </c:pt>
                <c:pt idx="281">
                  <c:v>-0.2101228189191614</c:v>
                </c:pt>
                <c:pt idx="282">
                  <c:v>-0.10575256805553486</c:v>
                </c:pt>
                <c:pt idx="283">
                  <c:v>-0.19849054328362165</c:v>
                </c:pt>
                <c:pt idx="284">
                  <c:v>-9.0496205071029553E-2</c:v>
                </c:pt>
                <c:pt idx="285">
                  <c:v>-0.10225847254964859</c:v>
                </c:pt>
                <c:pt idx="286">
                  <c:v>-1.6548052557063996E-2</c:v>
                </c:pt>
                <c:pt idx="287">
                  <c:v>3.5755061168708841E-3</c:v>
                </c:pt>
                <c:pt idx="288">
                  <c:v>-3.3452783546994679E-2</c:v>
                </c:pt>
                <c:pt idx="289">
                  <c:v>5.2550423540429578E-3</c:v>
                </c:pt>
                <c:pt idx="290">
                  <c:v>-6.0158861944545242E-2</c:v>
                </c:pt>
                <c:pt idx="291">
                  <c:v>-8.9682318800680755E-2</c:v>
                </c:pt>
                <c:pt idx="292">
                  <c:v>-7.1556070040714848E-2</c:v>
                </c:pt>
                <c:pt idx="293">
                  <c:v>4.3764423875768378E-2</c:v>
                </c:pt>
                <c:pt idx="294">
                  <c:v>-4.4694254914472445E-2</c:v>
                </c:pt>
                <c:pt idx="295">
                  <c:v>-0.11975230237262946</c:v>
                </c:pt>
                <c:pt idx="296">
                  <c:v>-6.4852408990834012E-2</c:v>
                </c:pt>
                <c:pt idx="297">
                  <c:v>-0.19270248709662818</c:v>
                </c:pt>
                <c:pt idx="298">
                  <c:v>-0.20453443778990313</c:v>
                </c:pt>
                <c:pt idx="299">
                  <c:v>-0.27352031205584848</c:v>
                </c:pt>
                <c:pt idx="300">
                  <c:v>-0.1544731705519945</c:v>
                </c:pt>
                <c:pt idx="301">
                  <c:v>-0.1558592927386612</c:v>
                </c:pt>
                <c:pt idx="302">
                  <c:v>-0.1480507390415356</c:v>
                </c:pt>
                <c:pt idx="303">
                  <c:v>-0.15584271040919739</c:v>
                </c:pt>
                <c:pt idx="304">
                  <c:v>-0.35386223588620785</c:v>
                </c:pt>
                <c:pt idx="305">
                  <c:v>-0.46514555088703213</c:v>
                </c:pt>
                <c:pt idx="306">
                  <c:v>-0.50238890926930135</c:v>
                </c:pt>
                <c:pt idx="307">
                  <c:v>-0.54353403208103301</c:v>
                </c:pt>
                <c:pt idx="308">
                  <c:v>-0.58438908597119332</c:v>
                </c:pt>
                <c:pt idx="309">
                  <c:v>-0.54002521250853264</c:v>
                </c:pt>
                <c:pt idx="310">
                  <c:v>-0.43160901913061495</c:v>
                </c:pt>
                <c:pt idx="311">
                  <c:v>-0.5021136159454338</c:v>
                </c:pt>
                <c:pt idx="312">
                  <c:v>-0.4129990893970894</c:v>
                </c:pt>
                <c:pt idx="313">
                  <c:v>-0.39441924267330519</c:v>
                </c:pt>
                <c:pt idx="314">
                  <c:v>-0.29423369140754579</c:v>
                </c:pt>
                <c:pt idx="315">
                  <c:v>-0.30695703419447679</c:v>
                </c:pt>
                <c:pt idx="316">
                  <c:v>-0.14499410396102275</c:v>
                </c:pt>
                <c:pt idx="317">
                  <c:v>-0.26471209937370022</c:v>
                </c:pt>
                <c:pt idx="318">
                  <c:v>-0.36251220299884895</c:v>
                </c:pt>
                <c:pt idx="319">
                  <c:v>-0.38444182503366087</c:v>
                </c:pt>
                <c:pt idx="320">
                  <c:v>-0.34543680063663712</c:v>
                </c:pt>
                <c:pt idx="321">
                  <c:v>-0.38815860852296707</c:v>
                </c:pt>
                <c:pt idx="322">
                  <c:v>-0.38448741991636798</c:v>
                </c:pt>
                <c:pt idx="323">
                  <c:v>-0.39787795489430372</c:v>
                </c:pt>
                <c:pt idx="324">
                  <c:v>-0.34844393168021481</c:v>
                </c:pt>
                <c:pt idx="325">
                  <c:v>-0.45196781878021475</c:v>
                </c:pt>
                <c:pt idx="326">
                  <c:v>-0.45586554031696402</c:v>
                </c:pt>
                <c:pt idx="327">
                  <c:v>-0.54261623838363082</c:v>
                </c:pt>
                <c:pt idx="328">
                  <c:v>-0.55410394659429085</c:v>
                </c:pt>
                <c:pt idx="329">
                  <c:v>-0.54943404228996351</c:v>
                </c:pt>
                <c:pt idx="330">
                  <c:v>-0.46917292902440344</c:v>
                </c:pt>
                <c:pt idx="331">
                  <c:v>-0.51224451030910112</c:v>
                </c:pt>
                <c:pt idx="332">
                  <c:v>-0.52449284967833154</c:v>
                </c:pt>
                <c:pt idx="333">
                  <c:v>-0.62130437788504911</c:v>
                </c:pt>
                <c:pt idx="334">
                  <c:v>-0.59227360332346723</c:v>
                </c:pt>
                <c:pt idx="335">
                  <c:v>-0.5687306210583295</c:v>
                </c:pt>
                <c:pt idx="336">
                  <c:v>-0.54344134402663336</c:v>
                </c:pt>
                <c:pt idx="337">
                  <c:v>-0.41612851306623899</c:v>
                </c:pt>
                <c:pt idx="338">
                  <c:v>-0.37698994443102751</c:v>
                </c:pt>
                <c:pt idx="339">
                  <c:v>-0.41558228715670426</c:v>
                </c:pt>
                <c:pt idx="340">
                  <c:v>-0.35149634231242943</c:v>
                </c:pt>
                <c:pt idx="341">
                  <c:v>-0.47966997832033997</c:v>
                </c:pt>
                <c:pt idx="342">
                  <c:v>-0.41020149963158736</c:v>
                </c:pt>
                <c:pt idx="343">
                  <c:v>-0.39035558206708831</c:v>
                </c:pt>
                <c:pt idx="344">
                  <c:v>-0.45464422062963017</c:v>
                </c:pt>
                <c:pt idx="345">
                  <c:v>-0.55333003171364525</c:v>
                </c:pt>
                <c:pt idx="346">
                  <c:v>-0.52243506970004983</c:v>
                </c:pt>
                <c:pt idx="347">
                  <c:v>-0.52640878456970897</c:v>
                </c:pt>
                <c:pt idx="348">
                  <c:v>-0.45386455864275266</c:v>
                </c:pt>
                <c:pt idx="349">
                  <c:v>-0.61215457615584656</c:v>
                </c:pt>
                <c:pt idx="350">
                  <c:v>-0.42894823865542103</c:v>
                </c:pt>
                <c:pt idx="351">
                  <c:v>-0.68083114785227761</c:v>
                </c:pt>
                <c:pt idx="352">
                  <c:v>-0.6715858799990877</c:v>
                </c:pt>
                <c:pt idx="353">
                  <c:v>-0.69574159767977806</c:v>
                </c:pt>
                <c:pt idx="354">
                  <c:v>-0.43315177294309171</c:v>
                </c:pt>
                <c:pt idx="355">
                  <c:v>-0.53879597404570612</c:v>
                </c:pt>
                <c:pt idx="356">
                  <c:v>-0.24104869024831491</c:v>
                </c:pt>
                <c:pt idx="357">
                  <c:v>-0.7467277674094841</c:v>
                </c:pt>
                <c:pt idx="358">
                  <c:v>-1.1541812131142033</c:v>
                </c:pt>
                <c:pt idx="359">
                  <c:v>-1.2827998177039521</c:v>
                </c:pt>
                <c:pt idx="360">
                  <c:v>-1.324818038102809</c:v>
                </c:pt>
                <c:pt idx="361">
                  <c:v>-1.370453067283689</c:v>
                </c:pt>
                <c:pt idx="362">
                  <c:v>-1.307416299711067</c:v>
                </c:pt>
                <c:pt idx="363">
                  <c:v>-1.4435907219537514</c:v>
                </c:pt>
                <c:pt idx="364">
                  <c:v>-1.4728166779202814</c:v>
                </c:pt>
                <c:pt idx="365">
                  <c:v>-1.3297017619750078</c:v>
                </c:pt>
                <c:pt idx="366">
                  <c:v>-1.5152111432771729</c:v>
                </c:pt>
                <c:pt idx="367">
                  <c:v>-1.5931539512831692</c:v>
                </c:pt>
                <c:pt idx="368">
                  <c:v>-1.5203153717796332</c:v>
                </c:pt>
                <c:pt idx="369">
                  <c:v>-1.5160422735050572</c:v>
                </c:pt>
                <c:pt idx="370">
                  <c:v>-1.5861829439099</c:v>
                </c:pt>
                <c:pt idx="371">
                  <c:v>-1.6484826673691522</c:v>
                </c:pt>
                <c:pt idx="372">
                  <c:v>-1.5387307011464599</c:v>
                </c:pt>
                <c:pt idx="373">
                  <c:v>-1.6628244568329464</c:v>
                </c:pt>
                <c:pt idx="374">
                  <c:v>-1.5453591900479304</c:v>
                </c:pt>
                <c:pt idx="375">
                  <c:v>-1.4856607839629308</c:v>
                </c:pt>
                <c:pt idx="376">
                  <c:v>-1.6053451211044585</c:v>
                </c:pt>
                <c:pt idx="377">
                  <c:v>-1.5655473938240239</c:v>
                </c:pt>
                <c:pt idx="378">
                  <c:v>-1.5971300174552296</c:v>
                </c:pt>
                <c:pt idx="379">
                  <c:v>-1.612672181457347</c:v>
                </c:pt>
                <c:pt idx="380">
                  <c:v>-1.7519185847295347</c:v>
                </c:pt>
                <c:pt idx="381">
                  <c:v>-1.709242687807444</c:v>
                </c:pt>
                <c:pt idx="382">
                  <c:v>-1.6487736031345441</c:v>
                </c:pt>
                <c:pt idx="383">
                  <c:v>-1.6831103633737534</c:v>
                </c:pt>
                <c:pt idx="384">
                  <c:v>-1.791724178494833</c:v>
                </c:pt>
                <c:pt idx="385">
                  <c:v>-1.8432850794200821</c:v>
                </c:pt>
                <c:pt idx="386">
                  <c:v>-1.7229397623542595</c:v>
                </c:pt>
                <c:pt idx="387">
                  <c:v>-1.7106603305941683</c:v>
                </c:pt>
                <c:pt idx="388">
                  <c:v>-1.8873230875194795</c:v>
                </c:pt>
                <c:pt idx="389">
                  <c:v>-1.910088622798465</c:v>
                </c:pt>
                <c:pt idx="390">
                  <c:v>-2.0463880109057944</c:v>
                </c:pt>
                <c:pt idx="391">
                  <c:v>-1.9488081356330671</c:v>
                </c:pt>
                <c:pt idx="392">
                  <c:v>-2.0184609598705676</c:v>
                </c:pt>
                <c:pt idx="393">
                  <c:v>-1.9911303079216984</c:v>
                </c:pt>
                <c:pt idx="394">
                  <c:v>-1.9862140873302698</c:v>
                </c:pt>
                <c:pt idx="395">
                  <c:v>-1.9823468356533898</c:v>
                </c:pt>
                <c:pt idx="396">
                  <c:v>-1.9548452612484599</c:v>
                </c:pt>
                <c:pt idx="397">
                  <c:v>-1.8038105485836251</c:v>
                </c:pt>
                <c:pt idx="398">
                  <c:v>-1.777533285285898</c:v>
                </c:pt>
                <c:pt idx="399">
                  <c:v>-1.750061181085117</c:v>
                </c:pt>
                <c:pt idx="400">
                  <c:v>-1.8020338657875168</c:v>
                </c:pt>
                <c:pt idx="401">
                  <c:v>-1.7636624943086125</c:v>
                </c:pt>
                <c:pt idx="402">
                  <c:v>-1.7741470729412367</c:v>
                </c:pt>
                <c:pt idx="403">
                  <c:v>-1.7476907214219533</c:v>
                </c:pt>
                <c:pt idx="404">
                  <c:v>-1.7205350991268444</c:v>
                </c:pt>
                <c:pt idx="405">
                  <c:v>-1.724735043478862</c:v>
                </c:pt>
                <c:pt idx="406">
                  <c:v>-1.7186478373444569</c:v>
                </c:pt>
                <c:pt idx="407">
                  <c:v>-1.6869119898252398</c:v>
                </c:pt>
                <c:pt idx="408">
                  <c:v>-1.736331206877157</c:v>
                </c:pt>
                <c:pt idx="409">
                  <c:v>-1.7282493547771569</c:v>
                </c:pt>
                <c:pt idx="410">
                  <c:v>-1.7164415150089753</c:v>
                </c:pt>
                <c:pt idx="411">
                  <c:v>-1.7200149093673085</c:v>
                </c:pt>
                <c:pt idx="412">
                  <c:v>-1.7583902770012871</c:v>
                </c:pt>
                <c:pt idx="413">
                  <c:v>-1.7471020451859343</c:v>
                </c:pt>
                <c:pt idx="414">
                  <c:v>-1.7393814692034602</c:v>
                </c:pt>
                <c:pt idx="415">
                  <c:v>-1.7688335822171786</c:v>
                </c:pt>
                <c:pt idx="416">
                  <c:v>-1.7486382678163568</c:v>
                </c:pt>
                <c:pt idx="417">
                  <c:v>-1.7461429084956022</c:v>
                </c:pt>
                <c:pt idx="418">
                  <c:v>-1.7372755538613165</c:v>
                </c:pt>
                <c:pt idx="419">
                  <c:v>-1.753341321478123</c:v>
                </c:pt>
                <c:pt idx="420">
                  <c:v>-1.6949378322000794</c:v>
                </c:pt>
                <c:pt idx="421">
                  <c:v>-1.7105784155201975</c:v>
                </c:pt>
                <c:pt idx="422">
                  <c:v>-1.7488973674489574</c:v>
                </c:pt>
                <c:pt idx="423">
                  <c:v>-1.6898019546437453</c:v>
                </c:pt>
                <c:pt idx="424">
                  <c:v>-1.7421454686329927</c:v>
                </c:pt>
                <c:pt idx="425">
                  <c:v>-1.7604153853246096</c:v>
                </c:pt>
                <c:pt idx="426">
                  <c:v>-1.7822644614090781</c:v>
                </c:pt>
                <c:pt idx="427">
                  <c:v>-1.7833999859886895</c:v>
                </c:pt>
                <c:pt idx="428">
                  <c:v>-1.7630198452592649</c:v>
                </c:pt>
                <c:pt idx="429">
                  <c:v>-1.610596107923099</c:v>
                </c:pt>
                <c:pt idx="430">
                  <c:v>-1.7359075388954359</c:v>
                </c:pt>
                <c:pt idx="431">
                  <c:v>-1.8434316545653104</c:v>
                </c:pt>
                <c:pt idx="432">
                  <c:v>-1.8045809712292928</c:v>
                </c:pt>
                <c:pt idx="433">
                  <c:v>-1.9110225458553092</c:v>
                </c:pt>
                <c:pt idx="434">
                  <c:v>-1.9199067987235443</c:v>
                </c:pt>
                <c:pt idx="435">
                  <c:v>-1.9187963929119867</c:v>
                </c:pt>
                <c:pt idx="436">
                  <c:v>-1.8980711284438478</c:v>
                </c:pt>
                <c:pt idx="437">
                  <c:v>-1.9118829628661884</c:v>
                </c:pt>
                <c:pt idx="438">
                  <c:v>-1.9218534173311688</c:v>
                </c:pt>
                <c:pt idx="439">
                  <c:v>-1.9042694926143304</c:v>
                </c:pt>
                <c:pt idx="440">
                  <c:v>-1.9077269554466831</c:v>
                </c:pt>
                <c:pt idx="441">
                  <c:v>-1.9478249288747533</c:v>
                </c:pt>
                <c:pt idx="442">
                  <c:v>-1.9266818458604675</c:v>
                </c:pt>
                <c:pt idx="443">
                  <c:v>-1.8723127995775022</c:v>
                </c:pt>
                <c:pt idx="444">
                  <c:v>-1.9324325559164055</c:v>
                </c:pt>
                <c:pt idx="445">
                  <c:v>-1.9260720964965583</c:v>
                </c:pt>
                <c:pt idx="446">
                  <c:v>-1.9382644991138422</c:v>
                </c:pt>
                <c:pt idx="447">
                  <c:v>-1.8743644863621973</c:v>
                </c:pt>
                <c:pt idx="448">
                  <c:v>-1.9454002451651129</c:v>
                </c:pt>
                <c:pt idx="449">
                  <c:v>-1.9973007450642279</c:v>
                </c:pt>
                <c:pt idx="450">
                  <c:v>-2.0037779481122278</c:v>
                </c:pt>
                <c:pt idx="451">
                  <c:v>-2.0104296654651694</c:v>
                </c:pt>
                <c:pt idx="452">
                  <c:v>-1.9731115010872164</c:v>
                </c:pt>
                <c:pt idx="453">
                  <c:v>-1.9911937913372164</c:v>
                </c:pt>
                <c:pt idx="454">
                  <c:v>-1.9694091874898481</c:v>
                </c:pt>
                <c:pt idx="455">
                  <c:v>-1.9620426001997076</c:v>
                </c:pt>
                <c:pt idx="456">
                  <c:v>-1.9630918452932558</c:v>
                </c:pt>
                <c:pt idx="457">
                  <c:v>-1.9206536352238681</c:v>
                </c:pt>
                <c:pt idx="458">
                  <c:v>-1.907655984923206</c:v>
                </c:pt>
                <c:pt idx="459">
                  <c:v>-1.8797909016762606</c:v>
                </c:pt>
                <c:pt idx="460">
                  <c:v>-1.8662152579535336</c:v>
                </c:pt>
                <c:pt idx="461">
                  <c:v>-1.8676293832281099</c:v>
                </c:pt>
                <c:pt idx="462">
                  <c:v>-1.8522830595205422</c:v>
                </c:pt>
                <c:pt idx="463">
                  <c:v>-1.8409577844556206</c:v>
                </c:pt>
                <c:pt idx="464">
                  <c:v>-1.8429053912271722</c:v>
                </c:pt>
                <c:pt idx="465">
                  <c:v>-1.8174384032589004</c:v>
                </c:pt>
                <c:pt idx="466">
                  <c:v>-1.8110247545416591</c:v>
                </c:pt>
                <c:pt idx="467">
                  <c:v>-1.8075486965792429</c:v>
                </c:pt>
                <c:pt idx="468">
                  <c:v>-1.8062551179328143</c:v>
                </c:pt>
                <c:pt idx="469">
                  <c:v>-1.7872533690517416</c:v>
                </c:pt>
                <c:pt idx="470">
                  <c:v>-1.8301448744065187</c:v>
                </c:pt>
                <c:pt idx="471">
                  <c:v>-1.7780733189918541</c:v>
                </c:pt>
                <c:pt idx="472">
                  <c:v>-1.8116483263069734</c:v>
                </c:pt>
                <c:pt idx="473">
                  <c:v>-1.813709252543215</c:v>
                </c:pt>
                <c:pt idx="474">
                  <c:v>-1.809000360443215</c:v>
                </c:pt>
                <c:pt idx="475">
                  <c:v>-1.7994368363481874</c:v>
                </c:pt>
                <c:pt idx="476">
                  <c:v>-1.8242509226321637</c:v>
                </c:pt>
                <c:pt idx="477">
                  <c:v>-1.8479792049828641</c:v>
                </c:pt>
                <c:pt idx="478">
                  <c:v>-1.88751852213069</c:v>
                </c:pt>
                <c:pt idx="479">
                  <c:v>-1.8566025443818768</c:v>
                </c:pt>
                <c:pt idx="480">
                  <c:v>-1.8603711415091493</c:v>
                </c:pt>
                <c:pt idx="481">
                  <c:v>-1.8725881635553483</c:v>
                </c:pt>
                <c:pt idx="482">
                  <c:v>-1.852811384585078</c:v>
                </c:pt>
                <c:pt idx="483">
                  <c:v>-1.8878118048413279</c:v>
                </c:pt>
                <c:pt idx="484">
                  <c:v>-1.8568700600269072</c:v>
                </c:pt>
                <c:pt idx="485">
                  <c:v>-1.8809552635079196</c:v>
                </c:pt>
                <c:pt idx="486">
                  <c:v>-1.9055526824785427</c:v>
                </c:pt>
                <c:pt idx="487">
                  <c:v>-1.8863932233666703</c:v>
                </c:pt>
                <c:pt idx="488">
                  <c:v>-1.9116434931251209</c:v>
                </c:pt>
                <c:pt idx="489">
                  <c:v>-1.8907437612583438</c:v>
                </c:pt>
                <c:pt idx="490">
                  <c:v>-1.9251294449291572</c:v>
                </c:pt>
                <c:pt idx="491">
                  <c:v>-1.9604064813409219</c:v>
                </c:pt>
                <c:pt idx="492">
                  <c:v>-1.921302190932082</c:v>
                </c:pt>
                <c:pt idx="493">
                  <c:v>-1.9430493867745693</c:v>
                </c:pt>
                <c:pt idx="494">
                  <c:v>-1.9225630026200238</c:v>
                </c:pt>
                <c:pt idx="495">
                  <c:v>-1.8990245565539905</c:v>
                </c:pt>
                <c:pt idx="496">
                  <c:v>-1.924358682957044</c:v>
                </c:pt>
                <c:pt idx="497">
                  <c:v>-1.8965284832020441</c:v>
                </c:pt>
                <c:pt idx="498">
                  <c:v>-1.8997139806520438</c:v>
                </c:pt>
                <c:pt idx="499">
                  <c:v>-1.8732082450132606</c:v>
                </c:pt>
                <c:pt idx="500">
                  <c:v>-1.8412991920132604</c:v>
                </c:pt>
                <c:pt idx="501">
                  <c:v>-1.8111752914739749</c:v>
                </c:pt>
                <c:pt idx="502">
                  <c:v>-1.8068685740764645</c:v>
                </c:pt>
                <c:pt idx="503">
                  <c:v>-1.7868584876879885</c:v>
                </c:pt>
                <c:pt idx="504">
                  <c:v>-1.8887866673288609</c:v>
                </c:pt>
                <c:pt idx="505">
                  <c:v>-1.8734924693128781</c:v>
                </c:pt>
                <c:pt idx="506">
                  <c:v>-1.8948545494354831</c:v>
                </c:pt>
                <c:pt idx="507">
                  <c:v>-1.8800362702836466</c:v>
                </c:pt>
                <c:pt idx="508">
                  <c:v>-1.9042159354988475</c:v>
                </c:pt>
                <c:pt idx="509">
                  <c:v>-1.9519903715008411</c:v>
                </c:pt>
                <c:pt idx="510">
                  <c:v>-1.8913207910638845</c:v>
                </c:pt>
                <c:pt idx="511">
                  <c:v>-2.0136071392603823</c:v>
                </c:pt>
                <c:pt idx="512">
                  <c:v>-1.8745764917274106</c:v>
                </c:pt>
                <c:pt idx="513">
                  <c:v>-1.881744478770224</c:v>
                </c:pt>
                <c:pt idx="514">
                  <c:v>-1.8079696182871732</c:v>
                </c:pt>
                <c:pt idx="515">
                  <c:v>-1.7433353500582074</c:v>
                </c:pt>
                <c:pt idx="516">
                  <c:v>-1.7185406596396029</c:v>
                </c:pt>
                <c:pt idx="517">
                  <c:v>-1.7153794491833114</c:v>
                </c:pt>
                <c:pt idx="518">
                  <c:v>-1.7820985181213529</c:v>
                </c:pt>
                <c:pt idx="519">
                  <c:v>-1.7160042383197089</c:v>
                </c:pt>
                <c:pt idx="520">
                  <c:v>-1.7338152435902674</c:v>
                </c:pt>
                <c:pt idx="521">
                  <c:v>-1.6791580705507836</c:v>
                </c:pt>
                <c:pt idx="522">
                  <c:v>-1.6849381909728787</c:v>
                </c:pt>
                <c:pt idx="523">
                  <c:v>-1.6082222003801432</c:v>
                </c:pt>
                <c:pt idx="524">
                  <c:v>-1.5468664621794854</c:v>
                </c:pt>
                <c:pt idx="525">
                  <c:v>-0.53520887410554063</c:v>
                </c:pt>
                <c:pt idx="526">
                  <c:v>-0.58394674074947495</c:v>
                </c:pt>
                <c:pt idx="527">
                  <c:v>-0.45777186838820083</c:v>
                </c:pt>
                <c:pt idx="528">
                  <c:v>-0.4238370287550845</c:v>
                </c:pt>
                <c:pt idx="529">
                  <c:v>-0.32066774321298891</c:v>
                </c:pt>
                <c:pt idx="530">
                  <c:v>-0.5944820097041279</c:v>
                </c:pt>
                <c:pt idx="531">
                  <c:v>-0.34159375959140076</c:v>
                </c:pt>
                <c:pt idx="532">
                  <c:v>-0.5693257624512138</c:v>
                </c:pt>
                <c:pt idx="533">
                  <c:v>-0.57053890655876827</c:v>
                </c:pt>
                <c:pt idx="534">
                  <c:v>-0.73935246335876836</c:v>
                </c:pt>
                <c:pt idx="535">
                  <c:v>-0.68482012479027987</c:v>
                </c:pt>
                <c:pt idx="536">
                  <c:v>-0.82600806285775941</c:v>
                </c:pt>
                <c:pt idx="537">
                  <c:v>-0.88563834342926773</c:v>
                </c:pt>
                <c:pt idx="538">
                  <c:v>-0.9630692046992676</c:v>
                </c:pt>
                <c:pt idx="539">
                  <c:v>-0.89515536319613598</c:v>
                </c:pt>
                <c:pt idx="540">
                  <c:v>-0.9822311143731226</c:v>
                </c:pt>
                <c:pt idx="541">
                  <c:v>-0.95640341258212702</c:v>
                </c:pt>
                <c:pt idx="542">
                  <c:v>-0.97606631817223699</c:v>
                </c:pt>
                <c:pt idx="543">
                  <c:v>-0.96403882356074244</c:v>
                </c:pt>
                <c:pt idx="544">
                  <c:v>-0.96202183341907599</c:v>
                </c:pt>
                <c:pt idx="545">
                  <c:v>-0.99068055642303621</c:v>
                </c:pt>
                <c:pt idx="546">
                  <c:v>-0.96482509187979326</c:v>
                </c:pt>
                <c:pt idx="547">
                  <c:v>-0.97551725168578152</c:v>
                </c:pt>
                <c:pt idx="548">
                  <c:v>-0.82552622719403257</c:v>
                </c:pt>
                <c:pt idx="549">
                  <c:v>-0.92153236870222943</c:v>
                </c:pt>
                <c:pt idx="550">
                  <c:v>-0.958547690385531</c:v>
                </c:pt>
                <c:pt idx="551">
                  <c:v>-0.94672175073714404</c:v>
                </c:pt>
                <c:pt idx="552">
                  <c:v>-0.97681799768464372</c:v>
                </c:pt>
                <c:pt idx="553">
                  <c:v>-0.94065199391797749</c:v>
                </c:pt>
                <c:pt idx="554">
                  <c:v>-0.89147459142458574</c:v>
                </c:pt>
                <c:pt idx="555">
                  <c:v>-0.8714725401050365</c:v>
                </c:pt>
                <c:pt idx="556">
                  <c:v>-0.86643912905387388</c:v>
                </c:pt>
                <c:pt idx="557">
                  <c:v>-0.78980394759542527</c:v>
                </c:pt>
                <c:pt idx="558">
                  <c:v>-0.81358128030347887</c:v>
                </c:pt>
                <c:pt idx="559">
                  <c:v>-0.87553972816717895</c:v>
                </c:pt>
                <c:pt idx="560">
                  <c:v>-0.87408271371560664</c:v>
                </c:pt>
                <c:pt idx="561">
                  <c:v>-0.97618884875024348</c:v>
                </c:pt>
                <c:pt idx="562">
                  <c:v>-0.91404475203198277</c:v>
                </c:pt>
                <c:pt idx="563">
                  <c:v>-0.9429140484891253</c:v>
                </c:pt>
                <c:pt idx="564">
                  <c:v>-0.84867800655374059</c:v>
                </c:pt>
                <c:pt idx="565">
                  <c:v>-0.8389766850981849</c:v>
                </c:pt>
                <c:pt idx="566">
                  <c:v>-0.9069420252904038</c:v>
                </c:pt>
                <c:pt idx="567">
                  <c:v>-0.90231651761609177</c:v>
                </c:pt>
                <c:pt idx="568">
                  <c:v>-0.87118708227300801</c:v>
                </c:pt>
                <c:pt idx="569">
                  <c:v>-0.92325828917005115</c:v>
                </c:pt>
                <c:pt idx="570">
                  <c:v>-0.9200457327386462</c:v>
                </c:pt>
                <c:pt idx="571">
                  <c:v>-0.8350535731487585</c:v>
                </c:pt>
                <c:pt idx="572">
                  <c:v>-1.0381332093772351</c:v>
                </c:pt>
                <c:pt idx="573">
                  <c:v>-0.89912247469525308</c:v>
                </c:pt>
                <c:pt idx="574">
                  <c:v>-0.976509938272766</c:v>
                </c:pt>
                <c:pt idx="575">
                  <c:v>-0.96768381542423654</c:v>
                </c:pt>
                <c:pt idx="576">
                  <c:v>-0.95938703807538162</c:v>
                </c:pt>
                <c:pt idx="577">
                  <c:v>-0.93773504469856994</c:v>
                </c:pt>
                <c:pt idx="578">
                  <c:v>-0.97372188299240869</c:v>
                </c:pt>
                <c:pt idx="579">
                  <c:v>-0.97624226001291081</c:v>
                </c:pt>
                <c:pt idx="580">
                  <c:v>-0.92834108988206965</c:v>
                </c:pt>
                <c:pt idx="581">
                  <c:v>-0.97528424051736418</c:v>
                </c:pt>
                <c:pt idx="582">
                  <c:v>-0.95269120647916183</c:v>
                </c:pt>
                <c:pt idx="583">
                  <c:v>-0.90511832300090089</c:v>
                </c:pt>
                <c:pt idx="584">
                  <c:v>-0.96186000880529676</c:v>
                </c:pt>
                <c:pt idx="585">
                  <c:v>-0.95130617791307448</c:v>
                </c:pt>
                <c:pt idx="586">
                  <c:v>-0.9282660727660158</c:v>
                </c:pt>
                <c:pt idx="587">
                  <c:v>-0.94477836761791456</c:v>
                </c:pt>
                <c:pt idx="588">
                  <c:v>-0.92589038739876572</c:v>
                </c:pt>
                <c:pt idx="589">
                  <c:v>-0.90810907044379874</c:v>
                </c:pt>
                <c:pt idx="590">
                  <c:v>-0.91984230368989817</c:v>
                </c:pt>
                <c:pt idx="591">
                  <c:v>-0.90646836967371303</c:v>
                </c:pt>
                <c:pt idx="592">
                  <c:v>-0.93630770843734945</c:v>
                </c:pt>
                <c:pt idx="593">
                  <c:v>-0.87147795972315178</c:v>
                </c:pt>
                <c:pt idx="594">
                  <c:v>-0.81380822035290989</c:v>
                </c:pt>
                <c:pt idx="595">
                  <c:v>-0.82485630924280684</c:v>
                </c:pt>
                <c:pt idx="596">
                  <c:v>-0.63760570428389185</c:v>
                </c:pt>
                <c:pt idx="597">
                  <c:v>-0.63367567802995894</c:v>
                </c:pt>
                <c:pt idx="598">
                  <c:v>-0.7355429187550897</c:v>
                </c:pt>
                <c:pt idx="599">
                  <c:v>-0.73125970994175615</c:v>
                </c:pt>
                <c:pt idx="600">
                  <c:v>-0.74002409998238117</c:v>
                </c:pt>
                <c:pt idx="601">
                  <c:v>-0.7434268643305294</c:v>
                </c:pt>
                <c:pt idx="602">
                  <c:v>-0.72423966891657598</c:v>
                </c:pt>
                <c:pt idx="603">
                  <c:v>-0.72032330855205984</c:v>
                </c:pt>
                <c:pt idx="604">
                  <c:v>-0.71846930641187279</c:v>
                </c:pt>
                <c:pt idx="605">
                  <c:v>-0.67905060982077958</c:v>
                </c:pt>
                <c:pt idx="606">
                  <c:v>-0.71563633685771666</c:v>
                </c:pt>
                <c:pt idx="607">
                  <c:v>-0.68723711250026986</c:v>
                </c:pt>
                <c:pt idx="608">
                  <c:v>-0.69861111450879698</c:v>
                </c:pt>
                <c:pt idx="609">
                  <c:v>-0.68189806482648407</c:v>
                </c:pt>
                <c:pt idx="610">
                  <c:v>-0.64735936230883706</c:v>
                </c:pt>
                <c:pt idx="611">
                  <c:v>-0.62408528554191678</c:v>
                </c:pt>
                <c:pt idx="612">
                  <c:v>-0.68849177430630026</c:v>
                </c:pt>
                <c:pt idx="613">
                  <c:v>-0.71237488320841291</c:v>
                </c:pt>
                <c:pt idx="614">
                  <c:v>-0.64366294160841298</c:v>
                </c:pt>
                <c:pt idx="615">
                  <c:v>-0.60845371926310898</c:v>
                </c:pt>
                <c:pt idx="616">
                  <c:v>-0.61380730250973659</c:v>
                </c:pt>
                <c:pt idx="617">
                  <c:v>-0.5588112475001803</c:v>
                </c:pt>
                <c:pt idx="618">
                  <c:v>-0.51198553081242548</c:v>
                </c:pt>
                <c:pt idx="619">
                  <c:v>-0.47779865335528243</c:v>
                </c:pt>
                <c:pt idx="620">
                  <c:v>-0.43281037149640383</c:v>
                </c:pt>
                <c:pt idx="621">
                  <c:v>-0.34893430211107063</c:v>
                </c:pt>
                <c:pt idx="622">
                  <c:v>-0.21894145284707078</c:v>
                </c:pt>
                <c:pt idx="623">
                  <c:v>-0.22141095201373748</c:v>
                </c:pt>
                <c:pt idx="624">
                  <c:v>-0.16032427918205419</c:v>
                </c:pt>
                <c:pt idx="625">
                  <c:v>-5.5396290391302672E-2</c:v>
                </c:pt>
                <c:pt idx="626">
                  <c:v>-4.3085318885420575E-2</c:v>
                </c:pt>
                <c:pt idx="627">
                  <c:v>0.12394370636670424</c:v>
                </c:pt>
                <c:pt idx="628">
                  <c:v>0.22458421338692919</c:v>
                </c:pt>
                <c:pt idx="629">
                  <c:v>0.29265881502500046</c:v>
                </c:pt>
                <c:pt idx="630">
                  <c:v>0.32545559328865548</c:v>
                </c:pt>
                <c:pt idx="631">
                  <c:v>0.21440956869068142</c:v>
                </c:pt>
                <c:pt idx="632">
                  <c:v>0.21562717740487497</c:v>
                </c:pt>
                <c:pt idx="633">
                  <c:v>0.20966900450487497</c:v>
                </c:pt>
                <c:pt idx="634">
                  <c:v>0.20267525709461856</c:v>
                </c:pt>
                <c:pt idx="635">
                  <c:v>0.20340405940365811</c:v>
                </c:pt>
                <c:pt idx="636">
                  <c:v>0.20077404534651522</c:v>
                </c:pt>
                <c:pt idx="637">
                  <c:v>0.18700914589498149</c:v>
                </c:pt>
                <c:pt idx="638">
                  <c:v>0.21664228282831491</c:v>
                </c:pt>
                <c:pt idx="639">
                  <c:v>0.19123094429649679</c:v>
                </c:pt>
                <c:pt idx="640">
                  <c:v>0.18514461217695657</c:v>
                </c:pt>
                <c:pt idx="641">
                  <c:v>0.19088283076617218</c:v>
                </c:pt>
                <c:pt idx="642">
                  <c:v>0.15733432624002844</c:v>
                </c:pt>
                <c:pt idx="643">
                  <c:v>0.15772444888802853</c:v>
                </c:pt>
                <c:pt idx="644">
                  <c:v>0.14451599729883935</c:v>
                </c:pt>
                <c:pt idx="645">
                  <c:v>0.14352342684925948</c:v>
                </c:pt>
                <c:pt idx="646">
                  <c:v>0.14233192974925943</c:v>
                </c:pt>
                <c:pt idx="647">
                  <c:v>0.1398935747183952</c:v>
                </c:pt>
                <c:pt idx="648">
                  <c:v>0.1462853316825462</c:v>
                </c:pt>
                <c:pt idx="649">
                  <c:v>0.15647976779390985</c:v>
                </c:pt>
                <c:pt idx="650">
                  <c:v>0.14273373961613198</c:v>
                </c:pt>
                <c:pt idx="651">
                  <c:v>0.14252796222593592</c:v>
                </c:pt>
                <c:pt idx="652">
                  <c:v>0.11683000100831936</c:v>
                </c:pt>
                <c:pt idx="653">
                  <c:v>0.12371818708426871</c:v>
                </c:pt>
                <c:pt idx="654">
                  <c:v>0.12319109719426873</c:v>
                </c:pt>
                <c:pt idx="655">
                  <c:v>0.11765627817309228</c:v>
                </c:pt>
                <c:pt idx="656">
                  <c:v>0.13343201733309226</c:v>
                </c:pt>
                <c:pt idx="657">
                  <c:v>0.1225874779630922</c:v>
                </c:pt>
                <c:pt idx="658">
                  <c:v>0.14845918883882031</c:v>
                </c:pt>
                <c:pt idx="659">
                  <c:v>0.11661314314761158</c:v>
                </c:pt>
                <c:pt idx="660">
                  <c:v>8.5307668080944879E-2</c:v>
                </c:pt>
                <c:pt idx="661">
                  <c:v>0.11135593420010656</c:v>
                </c:pt>
                <c:pt idx="662">
                  <c:v>8.6335059080829515E-2</c:v>
                </c:pt>
                <c:pt idx="663">
                  <c:v>9.2196458330829553E-2</c:v>
                </c:pt>
                <c:pt idx="664">
                  <c:v>8.9097010968924792E-2</c:v>
                </c:pt>
                <c:pt idx="665">
                  <c:v>8.7107316557160031E-2</c:v>
                </c:pt>
                <c:pt idx="666">
                  <c:v>8.9664292222297631E-2</c:v>
                </c:pt>
                <c:pt idx="667">
                  <c:v>8.583017659053295E-2</c:v>
                </c:pt>
                <c:pt idx="668">
                  <c:v>8.253354001910429E-2</c:v>
                </c:pt>
                <c:pt idx="669">
                  <c:v>8.0381903457700743E-2</c:v>
                </c:pt>
                <c:pt idx="670">
                  <c:v>8.8050614391034066E-2</c:v>
                </c:pt>
                <c:pt idx="671">
                  <c:v>7.4347669645088071E-2</c:v>
                </c:pt>
                <c:pt idx="672">
                  <c:v>9.6345374758226729E-2</c:v>
                </c:pt>
                <c:pt idx="673">
                  <c:v>7.3416425045183253E-2</c:v>
                </c:pt>
                <c:pt idx="674">
                  <c:v>5.4576099745183265E-2</c:v>
                </c:pt>
                <c:pt idx="675">
                  <c:v>5.6872060731362042E-2</c:v>
                </c:pt>
                <c:pt idx="676">
                  <c:v>4.6334661994835082E-2</c:v>
                </c:pt>
                <c:pt idx="677">
                  <c:v>6.1205272728503402E-2</c:v>
                </c:pt>
                <c:pt idx="678">
                  <c:v>5.3265593728503383E-2</c:v>
                </c:pt>
                <c:pt idx="679">
                  <c:v>6.6663151669679843E-2</c:v>
                </c:pt>
                <c:pt idx="680">
                  <c:v>4.3996341818638172E-2</c:v>
                </c:pt>
                <c:pt idx="681">
                  <c:v>3.2462253571468369E-2</c:v>
                </c:pt>
                <c:pt idx="682">
                  <c:v>3.3675577557799277E-2</c:v>
                </c:pt>
                <c:pt idx="683">
                  <c:v>4.0679101874212663E-2</c:v>
                </c:pt>
                <c:pt idx="684">
                  <c:v>4.7777986903624399E-2</c:v>
                </c:pt>
                <c:pt idx="685">
                  <c:v>6.6280303638388327E-2</c:v>
                </c:pt>
                <c:pt idx="686">
                  <c:v>2.403455254935611E-2</c:v>
                </c:pt>
                <c:pt idx="687">
                  <c:v>0.10735396509195901</c:v>
                </c:pt>
                <c:pt idx="688">
                  <c:v>0.11559050245442549</c:v>
                </c:pt>
                <c:pt idx="689">
                  <c:v>0.10403650725968863</c:v>
                </c:pt>
                <c:pt idx="690">
                  <c:v>0.11163579666287707</c:v>
                </c:pt>
                <c:pt idx="691">
                  <c:v>0.14108467967624469</c:v>
                </c:pt>
                <c:pt idx="692">
                  <c:v>0.14928477578575292</c:v>
                </c:pt>
                <c:pt idx="693">
                  <c:v>0.13359659090904058</c:v>
                </c:pt>
                <c:pt idx="694">
                  <c:v>0.13257023777194385</c:v>
                </c:pt>
                <c:pt idx="695">
                  <c:v>0.12295744422543226</c:v>
                </c:pt>
                <c:pt idx="696">
                  <c:v>0.11295262137543222</c:v>
                </c:pt>
                <c:pt idx="697">
                  <c:v>0.10367842112791448</c:v>
                </c:pt>
                <c:pt idx="698">
                  <c:v>0.10660424134199897</c:v>
                </c:pt>
                <c:pt idx="699">
                  <c:v>0.11359691715866563</c:v>
                </c:pt>
                <c:pt idx="700">
                  <c:v>0.11496680521621962</c:v>
                </c:pt>
                <c:pt idx="701">
                  <c:v>0.10747922299865864</c:v>
                </c:pt>
                <c:pt idx="702">
                  <c:v>0.10818922391342185</c:v>
                </c:pt>
                <c:pt idx="703">
                  <c:v>0.11680516577253117</c:v>
                </c:pt>
                <c:pt idx="704">
                  <c:v>0.12861070480865155</c:v>
                </c:pt>
                <c:pt idx="705">
                  <c:v>0.12448418423167312</c:v>
                </c:pt>
                <c:pt idx="706">
                  <c:v>0.12481202546670958</c:v>
                </c:pt>
                <c:pt idx="707">
                  <c:v>0.12273579304429579</c:v>
                </c:pt>
                <c:pt idx="708">
                  <c:v>0.11775306794505913</c:v>
                </c:pt>
                <c:pt idx="709">
                  <c:v>0.12719351164579626</c:v>
                </c:pt>
                <c:pt idx="710">
                  <c:v>0.10942434524032511</c:v>
                </c:pt>
                <c:pt idx="711">
                  <c:v>6.7667991128984875E-2</c:v>
                </c:pt>
                <c:pt idx="712">
                  <c:v>7.8679271577698384E-2</c:v>
                </c:pt>
                <c:pt idx="713">
                  <c:v>9.2190799196799483E-2</c:v>
                </c:pt>
                <c:pt idx="714">
                  <c:v>2.9964159290832782E-2</c:v>
                </c:pt>
                <c:pt idx="715">
                  <c:v>-7.0331438532611229E-4</c:v>
                </c:pt>
                <c:pt idx="716">
                  <c:v>-1.0892117530523975E-2</c:v>
                </c:pt>
                <c:pt idx="717">
                  <c:v>-5.3752328560083752E-2</c:v>
                </c:pt>
                <c:pt idx="718">
                  <c:v>-4.4619435426265501E-2</c:v>
                </c:pt>
                <c:pt idx="719">
                  <c:v>-7.4891073025124835E-2</c:v>
                </c:pt>
                <c:pt idx="720">
                  <c:v>-7.0954205137405621E-2</c:v>
                </c:pt>
                <c:pt idx="721">
                  <c:v>-2.8186595866519556E-2</c:v>
                </c:pt>
                <c:pt idx="722">
                  <c:v>-9.1507414161832099E-2</c:v>
                </c:pt>
                <c:pt idx="723">
                  <c:v>-0.1248499111118323</c:v>
                </c:pt>
                <c:pt idx="724">
                  <c:v>-0.1465248137500347</c:v>
                </c:pt>
                <c:pt idx="725">
                  <c:v>-0.14154747345591703</c:v>
                </c:pt>
                <c:pt idx="726">
                  <c:v>-0.14705672407886786</c:v>
                </c:pt>
                <c:pt idx="727">
                  <c:v>-0.15318549928656017</c:v>
                </c:pt>
                <c:pt idx="728">
                  <c:v>-0.13483992382406013</c:v>
                </c:pt>
                <c:pt idx="729">
                  <c:v>-0.14085930726552354</c:v>
                </c:pt>
                <c:pt idx="730">
                  <c:v>-0.12770496842341825</c:v>
                </c:pt>
                <c:pt idx="731">
                  <c:v>-0.12928948751887281</c:v>
                </c:pt>
                <c:pt idx="732">
                  <c:v>-0.12842254783425741</c:v>
                </c:pt>
                <c:pt idx="733">
                  <c:v>-0.13323960171701607</c:v>
                </c:pt>
                <c:pt idx="734">
                  <c:v>-0.13345228148685731</c:v>
                </c:pt>
                <c:pt idx="735">
                  <c:v>-0.13523275113431496</c:v>
                </c:pt>
                <c:pt idx="736">
                  <c:v>-0.1316586574047231</c:v>
                </c:pt>
                <c:pt idx="737">
                  <c:v>-0.13244351874265414</c:v>
                </c:pt>
                <c:pt idx="738">
                  <c:v>-0.14132512280769474</c:v>
                </c:pt>
                <c:pt idx="739">
                  <c:v>-0.14081924188240741</c:v>
                </c:pt>
                <c:pt idx="740">
                  <c:v>-0.1347730473122967</c:v>
                </c:pt>
                <c:pt idx="741">
                  <c:v>-0.13021537330921976</c:v>
                </c:pt>
                <c:pt idx="742">
                  <c:v>-0.14014620363907049</c:v>
                </c:pt>
                <c:pt idx="743">
                  <c:v>-0.15019988662318601</c:v>
                </c:pt>
                <c:pt idx="744">
                  <c:v>-0.17423949628032892</c:v>
                </c:pt>
                <c:pt idx="745">
                  <c:v>-0.19903836711687714</c:v>
                </c:pt>
                <c:pt idx="746">
                  <c:v>-0.18246765215184979</c:v>
                </c:pt>
                <c:pt idx="747">
                  <c:v>-0.18630589242847317</c:v>
                </c:pt>
                <c:pt idx="748">
                  <c:v>-0.1836441894680772</c:v>
                </c:pt>
                <c:pt idx="749">
                  <c:v>-0.15881084131807718</c:v>
                </c:pt>
                <c:pt idx="750">
                  <c:v>-0.15962065956323854</c:v>
                </c:pt>
                <c:pt idx="751">
                  <c:v>-0.19221453776323846</c:v>
                </c:pt>
                <c:pt idx="752">
                  <c:v>-0.18337984269657179</c:v>
                </c:pt>
                <c:pt idx="753">
                  <c:v>-0.19170877754170457</c:v>
                </c:pt>
                <c:pt idx="754">
                  <c:v>-0.18369206994170453</c:v>
                </c:pt>
                <c:pt idx="755">
                  <c:v>-0.184805081483565</c:v>
                </c:pt>
                <c:pt idx="756">
                  <c:v>-0.19084107633254466</c:v>
                </c:pt>
                <c:pt idx="757">
                  <c:v>-0.18368701408800683</c:v>
                </c:pt>
                <c:pt idx="758">
                  <c:v>-0.18280182235849865</c:v>
                </c:pt>
                <c:pt idx="759">
                  <c:v>-0.17653208311663815</c:v>
                </c:pt>
                <c:pt idx="760">
                  <c:v>-0.16608731745935656</c:v>
                </c:pt>
                <c:pt idx="761">
                  <c:v>-0.17601463266069889</c:v>
                </c:pt>
                <c:pt idx="762">
                  <c:v>-0.17696420317498462</c:v>
                </c:pt>
                <c:pt idx="763">
                  <c:v>-0.18216131492982329</c:v>
                </c:pt>
                <c:pt idx="764">
                  <c:v>-0.17764294459402089</c:v>
                </c:pt>
                <c:pt idx="765">
                  <c:v>-0.17460326867611042</c:v>
                </c:pt>
                <c:pt idx="766">
                  <c:v>-0.17487886593211044</c:v>
                </c:pt>
                <c:pt idx="767">
                  <c:v>-0.17087783727637273</c:v>
                </c:pt>
                <c:pt idx="768">
                  <c:v>-0.17071340778239683</c:v>
                </c:pt>
                <c:pt idx="769">
                  <c:v>-0.17291152824633124</c:v>
                </c:pt>
                <c:pt idx="770">
                  <c:v>-0.17291152824633124</c:v>
                </c:pt>
                <c:pt idx="771">
                  <c:v>-0.16733852773425395</c:v>
                </c:pt>
                <c:pt idx="772">
                  <c:v>-0.18518293697954807</c:v>
                </c:pt>
                <c:pt idx="773">
                  <c:v>-0.17247398347954807</c:v>
                </c:pt>
                <c:pt idx="774">
                  <c:v>-0.16274263446136628</c:v>
                </c:pt>
                <c:pt idx="775">
                  <c:v>-0.16492254918271457</c:v>
                </c:pt>
                <c:pt idx="776">
                  <c:v>-0.16044513270579147</c:v>
                </c:pt>
                <c:pt idx="777">
                  <c:v>-0.16299175374579147</c:v>
                </c:pt>
                <c:pt idx="778">
                  <c:v>-0.1599568935639733</c:v>
                </c:pt>
                <c:pt idx="779">
                  <c:v>-0.15995689356397327</c:v>
                </c:pt>
                <c:pt idx="780">
                  <c:v>-0.16114439300683042</c:v>
                </c:pt>
                <c:pt idx="781">
                  <c:v>-0.15884829205683043</c:v>
                </c:pt>
                <c:pt idx="782">
                  <c:v>-0.15996041996973365</c:v>
                </c:pt>
                <c:pt idx="783">
                  <c:v>-0.15643108000306696</c:v>
                </c:pt>
                <c:pt idx="784">
                  <c:v>-0.16134945597371372</c:v>
                </c:pt>
                <c:pt idx="785">
                  <c:v>-0.16198575866163317</c:v>
                </c:pt>
                <c:pt idx="786">
                  <c:v>-0.1530208228679395</c:v>
                </c:pt>
                <c:pt idx="787">
                  <c:v>-0.14405974078002745</c:v>
                </c:pt>
                <c:pt idx="788">
                  <c:v>-0.13609530644995749</c:v>
                </c:pt>
                <c:pt idx="789">
                  <c:v>-0.13964278596617374</c:v>
                </c:pt>
                <c:pt idx="790">
                  <c:v>-0.13129897010159039</c:v>
                </c:pt>
                <c:pt idx="791">
                  <c:v>-0.12953218765249946</c:v>
                </c:pt>
                <c:pt idx="792">
                  <c:v>-0.11748847013573968</c:v>
                </c:pt>
                <c:pt idx="793">
                  <c:v>-0.13138706190422844</c:v>
                </c:pt>
                <c:pt idx="794">
                  <c:v>-0.13622611313916821</c:v>
                </c:pt>
                <c:pt idx="795">
                  <c:v>-0.14018865235681524</c:v>
                </c:pt>
                <c:pt idx="796">
                  <c:v>-0.11710187903591973</c:v>
                </c:pt>
                <c:pt idx="797">
                  <c:v>-0.12372788378393731</c:v>
                </c:pt>
                <c:pt idx="798">
                  <c:v>-0.12488580678009116</c:v>
                </c:pt>
                <c:pt idx="799">
                  <c:v>-0.13082684237721348</c:v>
                </c:pt>
                <c:pt idx="800">
                  <c:v>-0.12841525813635321</c:v>
                </c:pt>
                <c:pt idx="801">
                  <c:v>-0.14760307387669661</c:v>
                </c:pt>
                <c:pt idx="802">
                  <c:v>-0.14066332022129752</c:v>
                </c:pt>
                <c:pt idx="803">
                  <c:v>-0.13588854032129755</c:v>
                </c:pt>
                <c:pt idx="804">
                  <c:v>-0.14322232435267004</c:v>
                </c:pt>
                <c:pt idx="805">
                  <c:v>-0.13236871846486514</c:v>
                </c:pt>
                <c:pt idx="806">
                  <c:v>-0.13154818491531559</c:v>
                </c:pt>
                <c:pt idx="807">
                  <c:v>-0.13706952752461782</c:v>
                </c:pt>
                <c:pt idx="808">
                  <c:v>-0.13301180398957516</c:v>
                </c:pt>
                <c:pt idx="809">
                  <c:v>-0.12869660605539796</c:v>
                </c:pt>
                <c:pt idx="810">
                  <c:v>-0.12259036400078803</c:v>
                </c:pt>
                <c:pt idx="811">
                  <c:v>-0.13040795651322598</c:v>
                </c:pt>
                <c:pt idx="812">
                  <c:v>-0.11635414304812901</c:v>
                </c:pt>
                <c:pt idx="813">
                  <c:v>-0.12183134391334642</c:v>
                </c:pt>
                <c:pt idx="814">
                  <c:v>-0.13802953862687298</c:v>
                </c:pt>
                <c:pt idx="815">
                  <c:v>-0.13726528482900066</c:v>
                </c:pt>
                <c:pt idx="816">
                  <c:v>-0.1492844327240623</c:v>
                </c:pt>
                <c:pt idx="817">
                  <c:v>-0.13839159537446868</c:v>
                </c:pt>
                <c:pt idx="818">
                  <c:v>-0.12441692637976677</c:v>
                </c:pt>
                <c:pt idx="819">
                  <c:v>-0.14178249282107658</c:v>
                </c:pt>
                <c:pt idx="820">
                  <c:v>-0.14065238501584784</c:v>
                </c:pt>
                <c:pt idx="821">
                  <c:v>-0.13818076282545486</c:v>
                </c:pt>
                <c:pt idx="822">
                  <c:v>-0.13033613567627456</c:v>
                </c:pt>
                <c:pt idx="823">
                  <c:v>-0.10869249578336126</c:v>
                </c:pt>
                <c:pt idx="824">
                  <c:v>-0.10019712225083117</c:v>
                </c:pt>
                <c:pt idx="825">
                  <c:v>-7.9228404753843198E-2</c:v>
                </c:pt>
                <c:pt idx="826">
                  <c:v>-8.3857524494659608E-2</c:v>
                </c:pt>
                <c:pt idx="827">
                  <c:v>-8.4541707319275045E-2</c:v>
                </c:pt>
                <c:pt idx="828">
                  <c:v>-5.154406024029675E-2</c:v>
                </c:pt>
                <c:pt idx="829">
                  <c:v>-3.3086339092104018E-2</c:v>
                </c:pt>
                <c:pt idx="830">
                  <c:v>-2.0552430700799606E-2</c:v>
                </c:pt>
                <c:pt idx="831">
                  <c:v>-3.6835455217015964E-2</c:v>
                </c:pt>
                <c:pt idx="832">
                  <c:v>-5.8815149090470469E-2</c:v>
                </c:pt>
                <c:pt idx="833">
                  <c:v>-4.6683520416093208E-2</c:v>
                </c:pt>
                <c:pt idx="834">
                  <c:v>-3.5594278991629535E-2</c:v>
                </c:pt>
                <c:pt idx="835">
                  <c:v>-7.3436213378132636E-2</c:v>
                </c:pt>
                <c:pt idx="836">
                  <c:v>-4.7038660906909585E-2</c:v>
                </c:pt>
                <c:pt idx="837">
                  <c:v>-0.12558473785135396</c:v>
                </c:pt>
                <c:pt idx="838">
                  <c:v>-0.15927122164265828</c:v>
                </c:pt>
                <c:pt idx="839">
                  <c:v>-0.1585214911276977</c:v>
                </c:pt>
                <c:pt idx="840">
                  <c:v>-0.1368004128632348</c:v>
                </c:pt>
                <c:pt idx="841">
                  <c:v>-0.16268136147323486</c:v>
                </c:pt>
                <c:pt idx="842">
                  <c:v>-0.12958382443429678</c:v>
                </c:pt>
                <c:pt idx="843">
                  <c:v>-0.16812236585283333</c:v>
                </c:pt>
                <c:pt idx="844">
                  <c:v>-0.17381792449026023</c:v>
                </c:pt>
                <c:pt idx="845">
                  <c:v>-0.16308663964303804</c:v>
                </c:pt>
                <c:pt idx="846">
                  <c:v>-0.1706447417097047</c:v>
                </c:pt>
                <c:pt idx="847">
                  <c:v>-0.17939395644452608</c:v>
                </c:pt>
                <c:pt idx="848">
                  <c:v>-0.18756590812873658</c:v>
                </c:pt>
                <c:pt idx="849">
                  <c:v>-0.17569005167984764</c:v>
                </c:pt>
                <c:pt idx="850">
                  <c:v>-0.1752867057342781</c:v>
                </c:pt>
                <c:pt idx="851">
                  <c:v>-0.19010439245166932</c:v>
                </c:pt>
                <c:pt idx="852">
                  <c:v>-0.17672405216102602</c:v>
                </c:pt>
                <c:pt idx="853">
                  <c:v>-0.16018833234210708</c:v>
                </c:pt>
                <c:pt idx="854">
                  <c:v>-0.14542429490345682</c:v>
                </c:pt>
                <c:pt idx="855">
                  <c:v>-0.13127030029352776</c:v>
                </c:pt>
                <c:pt idx="856">
                  <c:v>-0.15943412022631465</c:v>
                </c:pt>
                <c:pt idx="857">
                  <c:v>-0.13170438762598075</c:v>
                </c:pt>
                <c:pt idx="858">
                  <c:v>-9.9254175102829634E-2</c:v>
                </c:pt>
                <c:pt idx="859">
                  <c:v>-7.7157241307209232E-2</c:v>
                </c:pt>
                <c:pt idx="860">
                  <c:v>-9.4049843431076321E-2</c:v>
                </c:pt>
                <c:pt idx="861">
                  <c:v>-6.3530578168597862E-2</c:v>
                </c:pt>
                <c:pt idx="862">
                  <c:v>-8.907403255596627E-2</c:v>
                </c:pt>
                <c:pt idx="863">
                  <c:v>-9.6842499915135813E-2</c:v>
                </c:pt>
                <c:pt idx="864">
                  <c:v>-0.10704093303854008</c:v>
                </c:pt>
                <c:pt idx="865">
                  <c:v>-0.10704093303854008</c:v>
                </c:pt>
                <c:pt idx="866">
                  <c:v>-0.107221879906282</c:v>
                </c:pt>
                <c:pt idx="867">
                  <c:v>-0.108895798203843</c:v>
                </c:pt>
                <c:pt idx="868">
                  <c:v>-0.10945742847884302</c:v>
                </c:pt>
                <c:pt idx="869">
                  <c:v>-0.10961039603766654</c:v>
                </c:pt>
                <c:pt idx="870">
                  <c:v>-0.10566193386796957</c:v>
                </c:pt>
                <c:pt idx="871">
                  <c:v>-0.10172191909399698</c:v>
                </c:pt>
                <c:pt idx="872">
                  <c:v>-0.10715139926641076</c:v>
                </c:pt>
                <c:pt idx="873">
                  <c:v>-0.10432110510948774</c:v>
                </c:pt>
                <c:pt idx="874">
                  <c:v>-0.10681242709163061</c:v>
                </c:pt>
                <c:pt idx="875">
                  <c:v>-0.10576863041829727</c:v>
                </c:pt>
                <c:pt idx="876">
                  <c:v>-0.10166261652640536</c:v>
                </c:pt>
                <c:pt idx="877">
                  <c:v>-9.8613430502875951E-2</c:v>
                </c:pt>
                <c:pt idx="878">
                  <c:v>-0.1018495709473204</c:v>
                </c:pt>
                <c:pt idx="879">
                  <c:v>-0.1101612927030456</c:v>
                </c:pt>
                <c:pt idx="880">
                  <c:v>-0.11193772517996869</c:v>
                </c:pt>
                <c:pt idx="881">
                  <c:v>-0.1113218580237187</c:v>
                </c:pt>
                <c:pt idx="882">
                  <c:v>-0.11523734953038538</c:v>
                </c:pt>
                <c:pt idx="883">
                  <c:v>-0.11603544622931007</c:v>
                </c:pt>
                <c:pt idx="884">
                  <c:v>-0.10708578207117053</c:v>
                </c:pt>
                <c:pt idx="885">
                  <c:v>-0.10723944178595315</c:v>
                </c:pt>
                <c:pt idx="886">
                  <c:v>-0.10228093540546537</c:v>
                </c:pt>
                <c:pt idx="887">
                  <c:v>-9.808431311823132E-2</c:v>
                </c:pt>
                <c:pt idx="888">
                  <c:v>-5.0727596998965188E-2</c:v>
                </c:pt>
                <c:pt idx="889">
                  <c:v>-5.0727596998965223E-2</c:v>
                </c:pt>
                <c:pt idx="890">
                  <c:v>-5.5259534332298577E-2</c:v>
                </c:pt>
                <c:pt idx="891">
                  <c:v>-6.1578692959571323E-2</c:v>
                </c:pt>
                <c:pt idx="892">
                  <c:v>-5.7192588917904644E-2</c:v>
                </c:pt>
                <c:pt idx="893">
                  <c:v>-5.7408174427428446E-2</c:v>
                </c:pt>
                <c:pt idx="894">
                  <c:v>-6.0104581982984004E-2</c:v>
                </c:pt>
                <c:pt idx="895">
                  <c:v>-6.0916723134596916E-2</c:v>
                </c:pt>
                <c:pt idx="896">
                  <c:v>-5.0498744237627194E-2</c:v>
                </c:pt>
                <c:pt idx="897">
                  <c:v>-5.459431512625279E-2</c:v>
                </c:pt>
                <c:pt idx="898">
                  <c:v>-4.2689733851742989E-2</c:v>
                </c:pt>
                <c:pt idx="899">
                  <c:v>-4.0362410811202447E-2</c:v>
                </c:pt>
                <c:pt idx="900">
                  <c:v>-3.6034683151782175E-2</c:v>
                </c:pt>
                <c:pt idx="901">
                  <c:v>-3.7618844191782193E-2</c:v>
                </c:pt>
                <c:pt idx="902">
                  <c:v>-2.9284885046327657E-2</c:v>
                </c:pt>
                <c:pt idx="903">
                  <c:v>-2.4571607407380295E-2</c:v>
                </c:pt>
                <c:pt idx="904">
                  <c:v>-1.8002726666203842E-2</c:v>
                </c:pt>
                <c:pt idx="905">
                  <c:v>-1.3204492232870541E-2</c:v>
                </c:pt>
                <c:pt idx="906">
                  <c:v>-4.2940215653380709E-3</c:v>
                </c:pt>
                <c:pt idx="907">
                  <c:v>7.6210642502869486E-3</c:v>
                </c:pt>
                <c:pt idx="908">
                  <c:v>1.0087806920286957E-2</c:v>
                </c:pt>
                <c:pt idx="909">
                  <c:v>1.2790829803045594E-2</c:v>
                </c:pt>
                <c:pt idx="910">
                  <c:v>1.48675628450303E-2</c:v>
                </c:pt>
                <c:pt idx="911">
                  <c:v>1.6182326461884253E-2</c:v>
                </c:pt>
                <c:pt idx="912">
                  <c:v>1.352190288950331E-2</c:v>
                </c:pt>
                <c:pt idx="913">
                  <c:v>1.1725368858334494E-2</c:v>
                </c:pt>
                <c:pt idx="914">
                  <c:v>1.3819159426011272E-2</c:v>
                </c:pt>
                <c:pt idx="915">
                  <c:v>1.0982472913272409E-2</c:v>
                </c:pt>
                <c:pt idx="916">
                  <c:v>1.5781384330094843E-2</c:v>
                </c:pt>
                <c:pt idx="917">
                  <c:v>1.9570927242411558E-2</c:v>
                </c:pt>
                <c:pt idx="918">
                  <c:v>1.7042378301235096E-2</c:v>
                </c:pt>
                <c:pt idx="919">
                  <c:v>1.247296491456844E-2</c:v>
                </c:pt>
                <c:pt idx="920">
                  <c:v>1.9338045379084557E-2</c:v>
                </c:pt>
                <c:pt idx="921">
                  <c:v>2.0419953924539089E-2</c:v>
                </c:pt>
                <c:pt idx="922">
                  <c:v>1.754087533596764E-2</c:v>
                </c:pt>
                <c:pt idx="923">
                  <c:v>1.6657531961850009E-2</c:v>
                </c:pt>
                <c:pt idx="924">
                  <c:v>1.766942628290263E-2</c:v>
                </c:pt>
                <c:pt idx="925">
                  <c:v>1.1202011980540438E-2</c:v>
                </c:pt>
                <c:pt idx="926">
                  <c:v>6.512527537297196E-3</c:v>
                </c:pt>
                <c:pt idx="927">
                  <c:v>3.8528465960248025E-2</c:v>
                </c:pt>
                <c:pt idx="928">
                  <c:v>3.5000328074533738E-2</c:v>
                </c:pt>
                <c:pt idx="929">
                  <c:v>4.6714490774533733E-2</c:v>
                </c:pt>
                <c:pt idx="930">
                  <c:v>3.778242317880473E-2</c:v>
                </c:pt>
                <c:pt idx="931">
                  <c:v>3.3436966678804733E-2</c:v>
                </c:pt>
                <c:pt idx="932">
                  <c:v>3.8792178698905222E-2</c:v>
                </c:pt>
                <c:pt idx="933">
                  <c:v>4.7947347341212948E-2</c:v>
                </c:pt>
                <c:pt idx="934">
                  <c:v>3.5660249465286953E-2</c:v>
                </c:pt>
                <c:pt idx="935">
                  <c:v>4.791125609038055E-2</c:v>
                </c:pt>
                <c:pt idx="936">
                  <c:v>4.4279797245936128E-2</c:v>
                </c:pt>
                <c:pt idx="937">
                  <c:v>4.7313967511616629E-2</c:v>
                </c:pt>
                <c:pt idx="938">
                  <c:v>4.6556944321873017E-2</c:v>
                </c:pt>
                <c:pt idx="939">
                  <c:v>5.3995444004412738E-2</c:v>
                </c:pt>
                <c:pt idx="940">
                  <c:v>3.8948642975841344E-2</c:v>
                </c:pt>
                <c:pt idx="941">
                  <c:v>4.0520111520103611E-2</c:v>
                </c:pt>
                <c:pt idx="942">
                  <c:v>3.144128564111201E-2</c:v>
                </c:pt>
                <c:pt idx="943">
                  <c:v>5.257470076383932E-2</c:v>
                </c:pt>
                <c:pt idx="944">
                  <c:v>3.3578538040309788E-2</c:v>
                </c:pt>
                <c:pt idx="945">
                  <c:v>6.5058463037279454E-2</c:v>
                </c:pt>
                <c:pt idx="946">
                  <c:v>5.1234885290153048E-2</c:v>
                </c:pt>
                <c:pt idx="947">
                  <c:v>6.8273972611232706E-2</c:v>
                </c:pt>
                <c:pt idx="948">
                  <c:v>7.1885743126340662E-2</c:v>
                </c:pt>
                <c:pt idx="949">
                  <c:v>6.8038107563220165E-2</c:v>
                </c:pt>
                <c:pt idx="950">
                  <c:v>8.5924233695403987E-2</c:v>
                </c:pt>
                <c:pt idx="951">
                  <c:v>7.1236159378045491E-2</c:v>
                </c:pt>
                <c:pt idx="952">
                  <c:v>7.1476031589409156E-2</c:v>
                </c:pt>
                <c:pt idx="953">
                  <c:v>9.0489235828882755E-2</c:v>
                </c:pt>
                <c:pt idx="954">
                  <c:v>9.3725788764267334E-2</c:v>
                </c:pt>
                <c:pt idx="955">
                  <c:v>0.1074577570642673</c:v>
                </c:pt>
                <c:pt idx="956">
                  <c:v>0.11844023307158433</c:v>
                </c:pt>
                <c:pt idx="957">
                  <c:v>0.10642827627004584</c:v>
                </c:pt>
                <c:pt idx="958">
                  <c:v>9.1789671411064699E-2</c:v>
                </c:pt>
                <c:pt idx="959">
                  <c:v>8.5788019280345781E-2</c:v>
                </c:pt>
                <c:pt idx="960">
                  <c:v>9.4429524874285187E-2</c:v>
                </c:pt>
                <c:pt idx="961">
                  <c:v>8.7204581443515949E-2</c:v>
                </c:pt>
                <c:pt idx="962">
                  <c:v>8.3909589801410667E-2</c:v>
                </c:pt>
                <c:pt idx="963">
                  <c:v>7.4800264309518749E-2</c:v>
                </c:pt>
                <c:pt idx="964">
                  <c:v>8.8842726107456943E-2</c:v>
                </c:pt>
                <c:pt idx="965">
                  <c:v>0.13209330519441342</c:v>
                </c:pt>
                <c:pt idx="966">
                  <c:v>0.12694417057540894</c:v>
                </c:pt>
                <c:pt idx="967">
                  <c:v>0.12318632282972994</c:v>
                </c:pt>
                <c:pt idx="968">
                  <c:v>0.11874516164416291</c:v>
                </c:pt>
                <c:pt idx="969">
                  <c:v>0.12273569970688689</c:v>
                </c:pt>
                <c:pt idx="970">
                  <c:v>0.13659740787866606</c:v>
                </c:pt>
                <c:pt idx="971">
                  <c:v>0.12626592352097363</c:v>
                </c:pt>
                <c:pt idx="972">
                  <c:v>0.13384586363985471</c:v>
                </c:pt>
                <c:pt idx="973">
                  <c:v>0.12197016828643449</c:v>
                </c:pt>
                <c:pt idx="974">
                  <c:v>0.15291047189290688</c:v>
                </c:pt>
                <c:pt idx="975">
                  <c:v>0.14837864557335378</c:v>
                </c:pt>
                <c:pt idx="976">
                  <c:v>0.14359831799688325</c:v>
                </c:pt>
                <c:pt idx="977">
                  <c:v>0.13348968884688328</c:v>
                </c:pt>
                <c:pt idx="978">
                  <c:v>0.12543535954787341</c:v>
                </c:pt>
                <c:pt idx="979">
                  <c:v>0.11811783513517501</c:v>
                </c:pt>
                <c:pt idx="980">
                  <c:v>0.128218141078728</c:v>
                </c:pt>
                <c:pt idx="981">
                  <c:v>0.10942828015683956</c:v>
                </c:pt>
                <c:pt idx="982">
                  <c:v>0.12539293953183961</c:v>
                </c:pt>
                <c:pt idx="983">
                  <c:v>0.10191727754722427</c:v>
                </c:pt>
                <c:pt idx="984">
                  <c:v>0.10448499816327363</c:v>
                </c:pt>
                <c:pt idx="985">
                  <c:v>9.024363164603226E-2</c:v>
                </c:pt>
                <c:pt idx="986">
                  <c:v>8.860855247438118E-2</c:v>
                </c:pt>
                <c:pt idx="987">
                  <c:v>9.266432809991311E-2</c:v>
                </c:pt>
                <c:pt idx="988">
                  <c:v>0.11615875699991313</c:v>
                </c:pt>
                <c:pt idx="989">
                  <c:v>8.4820190049386776E-2</c:v>
                </c:pt>
                <c:pt idx="990">
                  <c:v>6.7473834362535554E-2</c:v>
                </c:pt>
                <c:pt idx="991">
                  <c:v>7.0932845478325027E-2</c:v>
                </c:pt>
                <c:pt idx="992">
                  <c:v>7.6479639152446419E-2</c:v>
                </c:pt>
                <c:pt idx="993">
                  <c:v>7.2908049122309415E-2</c:v>
                </c:pt>
                <c:pt idx="994">
                  <c:v>6.8081832155367311E-2</c:v>
                </c:pt>
                <c:pt idx="995">
                  <c:v>7.6620332840646482E-2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87-4247-B456-BCC2EFA16D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00835887"/>
        <c:axId val="336358847"/>
      </c:lineChart>
      <c:dateAx>
        <c:axId val="1900835887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358847"/>
        <c:crosses val="autoZero"/>
        <c:auto val="1"/>
        <c:lblOffset val="100"/>
        <c:baseTimeUnit val="days"/>
      </c:dateAx>
      <c:valAx>
        <c:axId val="336358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08358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C15AF5E-422C-47D3-8749-7B7CB6CA4B69}">
  <sheetPr codeName="Chart9"/>
  <sheetViews>
    <sheetView zoomScale="7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0E20A43-8D7F-40A6-9987-A9831DB63C4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2.4</v>
      </c>
      <c r="D2" s="4">
        <f>MIN(D3:D1912)</f>
        <v>0.1105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0.5302</v>
      </c>
      <c r="C5">
        <v>0.53710000000000002</v>
      </c>
      <c r="D5">
        <v>0.51759999999999995</v>
      </c>
      <c r="E5">
        <v>0.51870000000000005</v>
      </c>
      <c r="F5">
        <v>475596</v>
      </c>
      <c r="G5">
        <v>0.51870000000000005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-0.88717948717947726</v>
      </c>
      <c r="Q5">
        <f t="shared" ref="Q5" si="1">F5*P5</f>
        <v>-421939.01538461068</v>
      </c>
      <c r="R5">
        <f t="shared" ref="R5" si="2">R6+Q5</f>
        <v>9707767.8379814439</v>
      </c>
      <c r="S5">
        <f t="shared" ref="S5" si="3">R5/100000</f>
        <v>97.077678379814444</v>
      </c>
      <c r="T5">
        <f t="shared" ref="T5" si="4">S5/1000</f>
        <v>9.7077678379814444E-2</v>
      </c>
    </row>
    <row r="6" spans="1:20" x14ac:dyDescent="0.25">
      <c r="A6" s="5">
        <v>44587</v>
      </c>
      <c r="B6">
        <v>0.52010000000000001</v>
      </c>
      <c r="C6">
        <v>0.57650000000000001</v>
      </c>
      <c r="D6">
        <v>0.51519999999999999</v>
      </c>
      <c r="E6">
        <v>0.5302</v>
      </c>
      <c r="F6">
        <v>5680104</v>
      </c>
      <c r="G6">
        <v>0.5302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-0.51060358890701441</v>
      </c>
      <c r="Q6">
        <f t="shared" ref="Q6" si="6">F6*P6</f>
        <v>-2900281.4877650882</v>
      </c>
      <c r="R6">
        <f t="shared" ref="R6" si="7">R7+Q6</f>
        <v>10129706.853366055</v>
      </c>
      <c r="S6">
        <f t="shared" ref="S6" si="8">R6/100000</f>
        <v>101.29706853366055</v>
      </c>
      <c r="T6">
        <f t="shared" ref="T6" si="9">S6/1000</f>
        <v>0.10129706853366055</v>
      </c>
    </row>
    <row r="7" spans="1:20" x14ac:dyDescent="0.25">
      <c r="A7" s="5">
        <v>44586</v>
      </c>
      <c r="B7">
        <v>0.50480000000000003</v>
      </c>
      <c r="C7">
        <v>0.52969999999999995</v>
      </c>
      <c r="D7">
        <v>0.48930000000000001</v>
      </c>
      <c r="E7">
        <v>0.51959999999999995</v>
      </c>
      <c r="F7">
        <v>4539459</v>
      </c>
      <c r="G7">
        <v>0.51959999999999995</v>
      </c>
      <c r="L7" t="s">
        <v>8</v>
      </c>
      <c r="M7" t="s">
        <v>7</v>
      </c>
      <c r="N7" t="s">
        <v>7</v>
      </c>
      <c r="P7">
        <f t="shared" ref="P7" si="10">IF(C7=D7,0,((E7-D7)-(C7-E7))/(C7-D7))</f>
        <v>0.49999999999999933</v>
      </c>
      <c r="Q7">
        <f t="shared" ref="Q7" si="11">F7*P7</f>
        <v>2269729.4999999972</v>
      </c>
      <c r="R7">
        <f t="shared" ref="R7" si="12">R8+Q7</f>
        <v>13029988.341131143</v>
      </c>
      <c r="S7">
        <f t="shared" ref="S7" si="13">R7/100000</f>
        <v>130.29988341131144</v>
      </c>
      <c r="T7">
        <f t="shared" ref="T7" si="14">S7/1000</f>
        <v>0.13029988341131143</v>
      </c>
    </row>
    <row r="8" spans="1:20" x14ac:dyDescent="0.25">
      <c r="A8" s="5">
        <v>44585</v>
      </c>
      <c r="B8">
        <v>0.54359999999999997</v>
      </c>
      <c r="C8">
        <v>0.54459999999999997</v>
      </c>
      <c r="D8">
        <v>0.4481</v>
      </c>
      <c r="E8">
        <v>0.50360000000000005</v>
      </c>
      <c r="F8">
        <v>9884768</v>
      </c>
      <c r="G8">
        <v>0.50360000000000005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0.15025906735751426</v>
      </c>
      <c r="Q8">
        <f t="shared" ref="Q8" si="16">F8*P8</f>
        <v>1485276.0207254016</v>
      </c>
      <c r="R8">
        <f t="shared" ref="R8" si="17">R9+Q8</f>
        <v>10760258.841131147</v>
      </c>
      <c r="S8">
        <f t="shared" ref="S8" si="18">R8/100000</f>
        <v>107.60258841131147</v>
      </c>
      <c r="T8">
        <f t="shared" ref="T8" si="19">S8/1000</f>
        <v>0.10760258841131147</v>
      </c>
    </row>
    <row r="9" spans="1:20" x14ac:dyDescent="0.25">
      <c r="A9" s="5">
        <v>44584</v>
      </c>
      <c r="B9">
        <v>0.51949999999999996</v>
      </c>
      <c r="C9">
        <v>0.55779999999999996</v>
      </c>
      <c r="D9">
        <v>0.51129999999999998</v>
      </c>
      <c r="E9">
        <v>0.54400000000000004</v>
      </c>
      <c r="F9">
        <v>4196705</v>
      </c>
      <c r="G9">
        <v>0.54400000000000004</v>
      </c>
      <c r="L9" t="s">
        <v>8</v>
      </c>
      <c r="M9" t="s">
        <v>8</v>
      </c>
      <c r="N9" t="s">
        <v>7</v>
      </c>
      <c r="P9">
        <f t="shared" ref="P9" si="20">IF(C9=D9,0,((E9-D9)-(C9-E9))/(C9-D9))</f>
        <v>0.4064516129032289</v>
      </c>
      <c r="Q9">
        <f t="shared" ref="Q9" si="21">F9*P9</f>
        <v>1705757.5161290453</v>
      </c>
      <c r="R9">
        <f t="shared" ref="R9" si="22">R10+Q9</f>
        <v>9274982.8204057459</v>
      </c>
      <c r="S9">
        <f t="shared" ref="S9" si="23">R9/100000</f>
        <v>92.749828204057465</v>
      </c>
      <c r="T9">
        <f t="shared" ref="T9" si="24">S9/1000</f>
        <v>9.2749828204057472E-2</v>
      </c>
    </row>
    <row r="10" spans="1:20" x14ac:dyDescent="0.25">
      <c r="A10" s="5">
        <v>44583</v>
      </c>
      <c r="B10">
        <v>0.55800000000000005</v>
      </c>
      <c r="C10">
        <v>0.58189999999999997</v>
      </c>
      <c r="D10">
        <v>0.46400000000000002</v>
      </c>
      <c r="E10">
        <v>0.51919999999999999</v>
      </c>
      <c r="F10">
        <v>13859770.869999999</v>
      </c>
      <c r="G10">
        <v>0.51919999999999999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-6.3613231552162933E-2</v>
      </c>
      <c r="Q10">
        <f t="shared" ref="Q10" si="26">F10*P10</f>
        <v>-881664.81361323269</v>
      </c>
      <c r="R10">
        <f t="shared" ref="R10" si="27">R11+Q10</f>
        <v>7569225.3042767011</v>
      </c>
      <c r="S10">
        <f t="shared" ref="S10" si="28">R10/100000</f>
        <v>75.692253042767007</v>
      </c>
      <c r="T10">
        <f t="shared" ref="T10" si="29">S10/1000</f>
        <v>7.5692253042767013E-2</v>
      </c>
    </row>
    <row r="11" spans="1:20" x14ac:dyDescent="0.25">
      <c r="A11" s="5">
        <v>44582</v>
      </c>
      <c r="B11">
        <v>0.65500000000000003</v>
      </c>
      <c r="C11">
        <v>0.66559999999999997</v>
      </c>
      <c r="D11">
        <v>0.54010000000000002</v>
      </c>
      <c r="E11">
        <v>0.55889999999999995</v>
      </c>
      <c r="F11">
        <v>11318580.08</v>
      </c>
      <c r="G11">
        <v>0.55889999999999995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-0.70039840637450301</v>
      </c>
      <c r="Q11">
        <f t="shared" ref="Q11" si="31">F11*P11</f>
        <v>-7927515.450454195</v>
      </c>
      <c r="R11">
        <f t="shared" ref="R11" si="32">R12+Q11</f>
        <v>8450890.1178899333</v>
      </c>
      <c r="S11">
        <f t="shared" ref="S11" si="33">R11/100000</f>
        <v>84.508901178899336</v>
      </c>
      <c r="T11">
        <f t="shared" ref="T11" si="34">S11/1000</f>
        <v>8.4508901178899337E-2</v>
      </c>
    </row>
    <row r="12" spans="1:20" x14ac:dyDescent="0.25">
      <c r="A12" s="5">
        <v>44581</v>
      </c>
      <c r="B12">
        <v>0.68500000000000005</v>
      </c>
      <c r="C12">
        <v>0.72260000000000002</v>
      </c>
      <c r="D12">
        <v>0.65090000000000003</v>
      </c>
      <c r="E12">
        <v>0.6552</v>
      </c>
      <c r="F12">
        <v>3423709</v>
      </c>
      <c r="G12">
        <v>0.6552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-0.8800557880055796</v>
      </c>
      <c r="Q12">
        <f t="shared" ref="Q12" si="36">F12*P12</f>
        <v>-3013054.9218967948</v>
      </c>
      <c r="R12">
        <f t="shared" ref="R12" si="37">R13+Q12</f>
        <v>16378405.568344129</v>
      </c>
      <c r="S12">
        <f t="shared" ref="S12" si="38">R12/100000</f>
        <v>163.7840556834413</v>
      </c>
      <c r="T12">
        <f t="shared" ref="T12" si="39">S12/1000</f>
        <v>0.16378405568344129</v>
      </c>
    </row>
    <row r="13" spans="1:20" x14ac:dyDescent="0.25">
      <c r="A13" s="5">
        <v>44580</v>
      </c>
      <c r="B13">
        <v>0.71909999999999996</v>
      </c>
      <c r="C13">
        <v>0.72170000000000001</v>
      </c>
      <c r="D13">
        <v>0.67759999999999998</v>
      </c>
      <c r="E13">
        <v>0.68520000000000003</v>
      </c>
      <c r="F13">
        <v>1987572</v>
      </c>
      <c r="G13">
        <v>0.68520000000000003</v>
      </c>
      <c r="L13" t="s">
        <v>7</v>
      </c>
      <c r="M13" t="s">
        <v>8</v>
      </c>
      <c r="N13" t="s">
        <v>7</v>
      </c>
      <c r="P13">
        <f t="shared" ref="P13" si="40">IF(C13=D13,0,((E13-D13)-(C13-E13))/(C13-D13))</f>
        <v>-0.65532879818593892</v>
      </c>
      <c r="Q13">
        <f t="shared" ref="Q13" si="41">F13*P13</f>
        <v>-1302513.170068023</v>
      </c>
      <c r="R13">
        <f t="shared" ref="R13" si="42">R14+Q13</f>
        <v>19391460.490240924</v>
      </c>
      <c r="S13">
        <f t="shared" ref="S13" si="43">R13/100000</f>
        <v>193.91460490240925</v>
      </c>
      <c r="T13">
        <f t="shared" ref="T13" si="44">S13/1000</f>
        <v>0.19391460490240925</v>
      </c>
    </row>
    <row r="14" spans="1:20" x14ac:dyDescent="0.25">
      <c r="A14" s="5">
        <v>44579</v>
      </c>
      <c r="B14">
        <v>0.72650000000000003</v>
      </c>
      <c r="C14">
        <v>0.73380000000000001</v>
      </c>
      <c r="D14">
        <v>0.69079999999999997</v>
      </c>
      <c r="E14">
        <v>0.72</v>
      </c>
      <c r="F14">
        <v>3037247</v>
      </c>
      <c r="G14">
        <v>0.72</v>
      </c>
      <c r="L14" t="s">
        <v>7</v>
      </c>
      <c r="M14" t="s">
        <v>8</v>
      </c>
      <c r="N14" t="s">
        <v>7</v>
      </c>
      <c r="P14">
        <f t="shared" ref="P14" si="45">IF(C14=D14,0,((E14-D14)-(C14-E14))/(C14-D14))</f>
        <v>0.35813953488371991</v>
      </c>
      <c r="Q14">
        <f t="shared" ref="Q14" si="46">F14*P14</f>
        <v>1087758.2279069736</v>
      </c>
      <c r="R14">
        <f t="shared" ref="R14" si="47">R15+Q14</f>
        <v>20693973.660308946</v>
      </c>
      <c r="S14">
        <f t="shared" ref="S14" si="48">R14/100000</f>
        <v>206.93973660308947</v>
      </c>
      <c r="T14">
        <f t="shared" ref="T14" si="49">S14/1000</f>
        <v>0.20693973660308948</v>
      </c>
    </row>
    <row r="15" spans="1:20" x14ac:dyDescent="0.25">
      <c r="A15" s="5">
        <v>44578</v>
      </c>
      <c r="B15">
        <v>0.76619999999999999</v>
      </c>
      <c r="C15">
        <v>0.77</v>
      </c>
      <c r="D15">
        <v>0.7127</v>
      </c>
      <c r="E15">
        <v>0.72660000000000002</v>
      </c>
      <c r="F15">
        <v>1919317</v>
      </c>
      <c r="G15">
        <v>0.72660000000000002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-0.51483420593368168</v>
      </c>
      <c r="Q15">
        <f t="shared" ref="Q15" si="51">F15*P15</f>
        <v>-988130.04363001615</v>
      </c>
      <c r="R15">
        <f t="shared" ref="R15" si="52">R16+Q15</f>
        <v>19606215.432401974</v>
      </c>
      <c r="S15">
        <f t="shared" ref="S15" si="53">R15/100000</f>
        <v>196.06215432401973</v>
      </c>
      <c r="T15">
        <f t="shared" ref="T15" si="54">S15/1000</f>
        <v>0.19606215432401972</v>
      </c>
    </row>
    <row r="16" spans="1:20" x14ac:dyDescent="0.25">
      <c r="A16" s="5">
        <v>44577</v>
      </c>
      <c r="B16">
        <v>0.75770000000000004</v>
      </c>
      <c r="C16">
        <v>0.77910000000000001</v>
      </c>
      <c r="D16">
        <v>0.73870000000000002</v>
      </c>
      <c r="E16">
        <v>0.7651</v>
      </c>
      <c r="F16">
        <v>2659288</v>
      </c>
      <c r="G16">
        <v>0.7651</v>
      </c>
      <c r="L16" t="s">
        <v>8</v>
      </c>
      <c r="M16" t="s">
        <v>8</v>
      </c>
      <c r="N16" t="s">
        <v>7</v>
      </c>
      <c r="P16">
        <f t="shared" ref="P16" si="55">IF(C16=D16,0,((E16-D16)-(C16-E16))/(C16-D16))</f>
        <v>0.30693069306930615</v>
      </c>
      <c r="Q16">
        <f t="shared" ref="Q16" si="56">F16*P16</f>
        <v>816217.10891088902</v>
      </c>
      <c r="R16">
        <f t="shared" ref="R16" si="57">R17+Q16</f>
        <v>20594345.476031989</v>
      </c>
      <c r="S16">
        <f t="shared" ref="S16" si="58">R16/100000</f>
        <v>205.9434547603199</v>
      </c>
      <c r="T16">
        <f t="shared" ref="T16" si="59">S16/1000</f>
        <v>0.20594345476031989</v>
      </c>
    </row>
    <row r="17" spans="1:20" x14ac:dyDescent="0.25">
      <c r="A17" s="5">
        <v>44576</v>
      </c>
      <c r="B17">
        <v>0.74809999999999999</v>
      </c>
      <c r="C17">
        <v>0.76849999999999996</v>
      </c>
      <c r="D17">
        <v>0.73629999999999995</v>
      </c>
      <c r="E17">
        <v>0.75870000000000004</v>
      </c>
      <c r="F17">
        <v>1912108</v>
      </c>
      <c r="G17">
        <v>0.75870000000000004</v>
      </c>
      <c r="L17" t="s">
        <v>8</v>
      </c>
      <c r="M17" t="s">
        <v>8</v>
      </c>
      <c r="N17" t="s">
        <v>7</v>
      </c>
      <c r="P17">
        <f t="shared" ref="P17" si="60">IF(C17=D17,0,((E17-D17)-(C17-E17))/(C17-D17))</f>
        <v>0.39130434782609208</v>
      </c>
      <c r="Q17">
        <f t="shared" ref="Q17" si="61">F17*P17</f>
        <v>748216.17391305324</v>
      </c>
      <c r="R17">
        <f t="shared" ref="R17" si="62">R18+Q17</f>
        <v>19778128.3671211</v>
      </c>
      <c r="S17">
        <f t="shared" ref="S17" si="63">R17/100000</f>
        <v>197.78128367121101</v>
      </c>
      <c r="T17">
        <f t="shared" ref="T17" si="64">S17/1000</f>
        <v>0.19778128367121101</v>
      </c>
    </row>
    <row r="18" spans="1:20" x14ac:dyDescent="0.25">
      <c r="A18" s="5">
        <v>44575</v>
      </c>
      <c r="B18">
        <v>0.73660000000000003</v>
      </c>
      <c r="C18">
        <v>0.751</v>
      </c>
      <c r="D18">
        <v>0.71289999999999998</v>
      </c>
      <c r="E18">
        <v>0.74870000000000003</v>
      </c>
      <c r="F18">
        <v>2362689</v>
      </c>
      <c r="G18">
        <v>0.74870000000000003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0.87926509186351876</v>
      </c>
      <c r="Q18">
        <f t="shared" ref="Q18" si="66">F18*P18</f>
        <v>2077429.9606299254</v>
      </c>
      <c r="R18">
        <f t="shared" ref="R18" si="67">R19+Q18</f>
        <v>19029912.193208046</v>
      </c>
      <c r="S18">
        <f t="shared" ref="S18" si="68">R18/100000</f>
        <v>190.29912193208045</v>
      </c>
      <c r="T18">
        <f t="shared" ref="T18" si="69">S18/1000</f>
        <v>0.19029912193208046</v>
      </c>
    </row>
    <row r="19" spans="1:20" x14ac:dyDescent="0.25">
      <c r="A19" s="5">
        <v>44574</v>
      </c>
      <c r="B19">
        <v>0.75290000000000001</v>
      </c>
      <c r="C19">
        <v>0.8105</v>
      </c>
      <c r="D19">
        <v>0.73460000000000003</v>
      </c>
      <c r="E19">
        <v>0.73750000000000004</v>
      </c>
      <c r="F19">
        <v>6519155</v>
      </c>
      <c r="G19">
        <v>0.73750000000000004</v>
      </c>
      <c r="L19" t="s">
        <v>8</v>
      </c>
      <c r="M19" t="s">
        <v>8</v>
      </c>
      <c r="N19" t="s">
        <v>7</v>
      </c>
      <c r="P19">
        <f t="shared" ref="P19" si="70">IF(C19=D19,0,((E19-D19)-(C19-E19))/(C19-D19))</f>
        <v>-0.92358366271409709</v>
      </c>
      <c r="Q19">
        <f t="shared" ref="Q19" si="71">F19*P19</f>
        <v>-6020985.05270092</v>
      </c>
      <c r="R19">
        <f t="shared" ref="R19" si="72">R20+Q19</f>
        <v>16952482.232578121</v>
      </c>
      <c r="S19">
        <f t="shared" ref="S19" si="73">R19/100000</f>
        <v>169.5248223257812</v>
      </c>
      <c r="T19">
        <f t="shared" ref="T19" si="74">S19/1000</f>
        <v>0.1695248223257812</v>
      </c>
    </row>
    <row r="20" spans="1:20" x14ac:dyDescent="0.25">
      <c r="A20" s="5">
        <v>44573</v>
      </c>
      <c r="B20">
        <v>0.71870000000000001</v>
      </c>
      <c r="C20">
        <v>0.75800000000000001</v>
      </c>
      <c r="D20">
        <v>0.71870000000000001</v>
      </c>
      <c r="E20">
        <v>0.753</v>
      </c>
      <c r="F20">
        <v>2365144</v>
      </c>
      <c r="G20">
        <v>0.753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0.74554707379134844</v>
      </c>
      <c r="Q20">
        <f t="shared" ref="Q20" si="76">F20*P20</f>
        <v>1763326.1882951651</v>
      </c>
      <c r="R20">
        <f t="shared" ref="R20" si="77">R21+Q20</f>
        <v>22973467.285279043</v>
      </c>
      <c r="S20">
        <f t="shared" ref="S20" si="78">R20/100000</f>
        <v>229.73467285279042</v>
      </c>
      <c r="T20">
        <f t="shared" ref="T20" si="79">S20/1000</f>
        <v>0.22973467285279042</v>
      </c>
    </row>
    <row r="21" spans="1:20" x14ac:dyDescent="0.25">
      <c r="A21" s="5">
        <v>44572</v>
      </c>
      <c r="B21">
        <v>0.68840000000000001</v>
      </c>
      <c r="C21">
        <v>0.72270000000000001</v>
      </c>
      <c r="D21">
        <v>0.67869999999999997</v>
      </c>
      <c r="E21">
        <v>0.71840000000000004</v>
      </c>
      <c r="F21">
        <v>2333974</v>
      </c>
      <c r="G21">
        <v>0.71840000000000004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0.80454545454545601</v>
      </c>
      <c r="Q21">
        <f t="shared" ref="Q21" si="81">F21*P21</f>
        <v>1877788.1727272761</v>
      </c>
      <c r="R21">
        <f t="shared" ref="R21" si="82">R22+Q21</f>
        <v>21210141.09698388</v>
      </c>
      <c r="S21">
        <f t="shared" ref="S21" si="83">R21/100000</f>
        <v>212.10141096983881</v>
      </c>
      <c r="T21">
        <f t="shared" ref="T21" si="84">S21/1000</f>
        <v>0.21210141096983881</v>
      </c>
    </row>
    <row r="22" spans="1:20" x14ac:dyDescent="0.25">
      <c r="A22" s="5">
        <v>44571</v>
      </c>
      <c r="B22">
        <v>0.72370000000000001</v>
      </c>
      <c r="C22">
        <v>0.73550000000000004</v>
      </c>
      <c r="D22">
        <v>0.65159999999999996</v>
      </c>
      <c r="E22">
        <v>0.68840000000000001</v>
      </c>
      <c r="F22">
        <v>5238647</v>
      </c>
      <c r="G22">
        <v>0.68840000000000001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-0.12276519666269327</v>
      </c>
      <c r="Q22">
        <f t="shared" ref="Q22" si="86">F22*P22</f>
        <v>-643123.52920142806</v>
      </c>
      <c r="R22">
        <f t="shared" ref="R22" si="87">R23+Q22</f>
        <v>19332352.924256604</v>
      </c>
      <c r="S22">
        <f t="shared" ref="S22" si="88">R22/100000</f>
        <v>193.32352924256605</v>
      </c>
      <c r="T22">
        <f t="shared" ref="T22" si="89">S22/1000</f>
        <v>0.19332352924256604</v>
      </c>
    </row>
    <row r="23" spans="1:20" x14ac:dyDescent="0.25">
      <c r="A23" s="5">
        <v>44570</v>
      </c>
      <c r="B23">
        <v>0.70930000000000004</v>
      </c>
      <c r="C23">
        <v>0.75019999999999998</v>
      </c>
      <c r="D23">
        <v>0.70540000000000003</v>
      </c>
      <c r="E23">
        <v>0.72419999999999995</v>
      </c>
      <c r="F23">
        <v>2249942</v>
      </c>
      <c r="G23">
        <v>0.72419999999999995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-0.160714285714288</v>
      </c>
      <c r="Q23">
        <f t="shared" ref="Q23" si="91">F23*P23</f>
        <v>-361597.8214285766</v>
      </c>
      <c r="R23">
        <f t="shared" ref="R23" si="92">R24+Q23</f>
        <v>19975476.453458034</v>
      </c>
      <c r="S23">
        <f t="shared" ref="S23" si="93">R23/100000</f>
        <v>199.75476453458035</v>
      </c>
      <c r="T23">
        <f t="shared" ref="T23" si="94">S23/1000</f>
        <v>0.19975476453458035</v>
      </c>
    </row>
    <row r="24" spans="1:20" x14ac:dyDescent="0.25">
      <c r="A24" s="5">
        <v>44569</v>
      </c>
      <c r="B24">
        <v>0.75339999999999996</v>
      </c>
      <c r="C24">
        <v>0.76449999999999996</v>
      </c>
      <c r="D24">
        <v>0.68189999999999995</v>
      </c>
      <c r="E24">
        <v>0.70940000000000003</v>
      </c>
      <c r="F24">
        <v>4243351</v>
      </c>
      <c r="G24">
        <v>0.70940000000000003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-0.33414043583534919</v>
      </c>
      <c r="Q24">
        <f t="shared" ref="Q24" si="96">F24*P24</f>
        <v>-1417875.1525423648</v>
      </c>
      <c r="R24">
        <f t="shared" ref="R24" si="97">R25+Q24</f>
        <v>20337074.274886612</v>
      </c>
      <c r="S24">
        <f t="shared" ref="S24" si="98">R24/100000</f>
        <v>203.37074274886612</v>
      </c>
      <c r="T24">
        <f t="shared" ref="T24" si="99">S24/1000</f>
        <v>0.20337074274886613</v>
      </c>
    </row>
    <row r="25" spans="1:20" x14ac:dyDescent="0.25">
      <c r="A25" s="5">
        <v>44568</v>
      </c>
      <c r="B25">
        <v>0.7984</v>
      </c>
      <c r="C25">
        <v>0.80010000000000003</v>
      </c>
      <c r="D25">
        <v>0.70789999999999997</v>
      </c>
      <c r="E25">
        <v>0.75260000000000005</v>
      </c>
      <c r="F25">
        <v>7614118</v>
      </c>
      <c r="G25">
        <v>0.75260000000000005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-3.0368763557482775E-2</v>
      </c>
      <c r="Q25">
        <f t="shared" ref="Q25" si="101">F25*P25</f>
        <v>-231231.34924077362</v>
      </c>
      <c r="R25">
        <f t="shared" ref="R25" si="102">R26+Q25</f>
        <v>21754949.427428976</v>
      </c>
      <c r="S25">
        <f t="shared" ref="S25" si="103">R25/100000</f>
        <v>217.54949427428977</v>
      </c>
      <c r="T25">
        <f t="shared" ref="T25" si="104">S25/1000</f>
        <v>0.21754949427428977</v>
      </c>
    </row>
    <row r="26" spans="1:20" x14ac:dyDescent="0.25">
      <c r="A26" s="5">
        <v>44567</v>
      </c>
      <c r="B26">
        <v>0.82669999999999999</v>
      </c>
      <c r="C26">
        <v>0.83169999999999999</v>
      </c>
      <c r="D26">
        <v>0.76470000000000005</v>
      </c>
      <c r="E26">
        <v>0.79879999999999995</v>
      </c>
      <c r="F26">
        <v>7463481</v>
      </c>
      <c r="G26">
        <v>0.79879999999999995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1.7910447761192071E-2</v>
      </c>
      <c r="Q26">
        <f t="shared" ref="Q26" si="106">F26*P26</f>
        <v>133674.28656714957</v>
      </c>
      <c r="R26">
        <f t="shared" ref="R26" si="107">R27+Q26</f>
        <v>21986180.776669748</v>
      </c>
      <c r="S26">
        <f t="shared" ref="S26" si="108">R26/100000</f>
        <v>219.8618077666975</v>
      </c>
      <c r="T26">
        <f t="shared" ref="T26" si="109">S26/1000</f>
        <v>0.2198618077666975</v>
      </c>
    </row>
    <row r="27" spans="1:20" x14ac:dyDescent="0.25">
      <c r="A27" s="5">
        <v>44566</v>
      </c>
      <c r="B27">
        <v>0.88919999999999999</v>
      </c>
      <c r="C27">
        <v>0.96819999999999995</v>
      </c>
      <c r="D27">
        <v>0.78580000000000005</v>
      </c>
      <c r="E27">
        <v>0.82589999999999997</v>
      </c>
      <c r="F27">
        <v>6627771</v>
      </c>
      <c r="G27">
        <v>0.82589999999999997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-0.56030701754386036</v>
      </c>
      <c r="Q27">
        <f t="shared" ref="Q27" si="111">F27*P27</f>
        <v>-3713586.6019736892</v>
      </c>
      <c r="R27">
        <f t="shared" ref="R27" si="112">R28+Q27</f>
        <v>21852506.4901026</v>
      </c>
      <c r="S27">
        <f t="shared" ref="S27" si="113">R27/100000</f>
        <v>218.52506490102601</v>
      </c>
      <c r="T27">
        <f t="shared" ref="T27" si="114">S27/1000</f>
        <v>0.21852506490102602</v>
      </c>
    </row>
    <row r="28" spans="1:20" x14ac:dyDescent="0.25">
      <c r="A28" s="5">
        <v>44565</v>
      </c>
      <c r="B28">
        <v>0.94130000000000003</v>
      </c>
      <c r="C28">
        <v>0.95150000000000001</v>
      </c>
      <c r="D28">
        <v>0.88529999999999998</v>
      </c>
      <c r="E28">
        <v>0.88880000000000003</v>
      </c>
      <c r="F28">
        <v>3490916</v>
      </c>
      <c r="G28">
        <v>0.88880000000000003</v>
      </c>
      <c r="L28" t="s">
        <v>7</v>
      </c>
      <c r="M28" t="s">
        <v>8</v>
      </c>
      <c r="N28" t="s">
        <v>7</v>
      </c>
      <c r="P28">
        <f t="shared" ref="P28" si="115">IF(C28=D28,0,((E28-D28)-(C28-E28))/(C28-D28))</f>
        <v>-0.89425981873111615</v>
      </c>
      <c r="Q28">
        <f t="shared" ref="Q28" si="116">F28*P28</f>
        <v>-3121785.9093655529</v>
      </c>
      <c r="R28">
        <f t="shared" ref="R28" si="117">R29+Q28</f>
        <v>25566093.09207629</v>
      </c>
      <c r="S28">
        <f t="shared" ref="S28" si="118">R28/100000</f>
        <v>255.66093092076289</v>
      </c>
      <c r="T28">
        <f t="shared" ref="T28" si="119">S28/1000</f>
        <v>0.25566093092076292</v>
      </c>
    </row>
    <row r="29" spans="1:20" x14ac:dyDescent="0.25">
      <c r="A29" s="5">
        <v>44564</v>
      </c>
      <c r="B29">
        <v>0.88839999999999997</v>
      </c>
      <c r="C29">
        <v>0.99050000000000005</v>
      </c>
      <c r="D29">
        <v>0.88619999999999999</v>
      </c>
      <c r="E29">
        <v>0.94010000000000005</v>
      </c>
      <c r="F29">
        <v>12964592</v>
      </c>
      <c r="G29">
        <v>0.94010000000000005</v>
      </c>
      <c r="L29" t="s">
        <v>8</v>
      </c>
      <c r="M29" t="s">
        <v>8</v>
      </c>
      <c r="N29" t="s">
        <v>7</v>
      </c>
      <c r="P29">
        <f t="shared" ref="P29" si="120">IF(C29=D29,0,((E29-D29)-(C29-E29))/(C29-D29))</f>
        <v>3.3557046979866313E-2</v>
      </c>
      <c r="Q29">
        <f t="shared" ref="Q29" si="121">F29*P29</f>
        <v>435053.42281879898</v>
      </c>
      <c r="R29">
        <f t="shared" ref="R29" si="122">R30+Q29</f>
        <v>28687879.001441844</v>
      </c>
      <c r="S29">
        <f t="shared" ref="S29" si="123">R29/100000</f>
        <v>286.87879001441843</v>
      </c>
      <c r="T29">
        <f t="shared" ref="T29" si="124">S29/1000</f>
        <v>0.28687879001441841</v>
      </c>
    </row>
    <row r="30" spans="1:20" x14ac:dyDescent="0.25">
      <c r="A30" s="5">
        <v>44563</v>
      </c>
      <c r="B30">
        <v>0.87370000000000003</v>
      </c>
      <c r="C30">
        <v>0.92730000000000001</v>
      </c>
      <c r="D30">
        <v>0.84509999999999996</v>
      </c>
      <c r="E30">
        <v>0.88759999999999994</v>
      </c>
      <c r="F30">
        <v>3924659</v>
      </c>
      <c r="G30">
        <v>0.88759999999999994</v>
      </c>
      <c r="L30" t="s">
        <v>8</v>
      </c>
      <c r="M30" t="s">
        <v>8</v>
      </c>
      <c r="N30" t="s">
        <v>7</v>
      </c>
      <c r="P30">
        <f t="shared" ref="P30" si="125">IF(C30=D30,0,((E30-D30)-(C30-E30))/(C30-D30))</f>
        <v>3.4063260340631535E-2</v>
      </c>
      <c r="Q30">
        <f t="shared" ref="Q30" si="126">F30*P30</f>
        <v>133686.68126520261</v>
      </c>
      <c r="R30">
        <f t="shared" ref="R30" si="127">R31+Q30</f>
        <v>28252825.578623045</v>
      </c>
      <c r="S30">
        <f t="shared" ref="S30" si="128">R30/100000</f>
        <v>282.52825578623043</v>
      </c>
      <c r="T30">
        <f t="shared" ref="T30" si="129">S30/1000</f>
        <v>0.28252825578623042</v>
      </c>
    </row>
    <row r="31" spans="1:20" x14ac:dyDescent="0.25">
      <c r="A31" s="5">
        <v>44562</v>
      </c>
      <c r="B31">
        <v>0.80400000000000005</v>
      </c>
      <c r="C31">
        <v>0.87590000000000001</v>
      </c>
      <c r="D31">
        <v>0.80400000000000005</v>
      </c>
      <c r="E31">
        <v>0.87480000000000002</v>
      </c>
      <c r="F31">
        <v>3738853</v>
      </c>
      <c r="G31">
        <v>0.87480000000000002</v>
      </c>
      <c r="L31" t="s">
        <v>8</v>
      </c>
      <c r="M31" t="s">
        <v>8</v>
      </c>
      <c r="N31" t="s">
        <v>7</v>
      </c>
      <c r="P31">
        <f t="shared" ref="P31" si="130">IF(C31=D31,0,((E31-D31)-(C31-E31))/(C31-D31))</f>
        <v>0.96940194714881811</v>
      </c>
      <c r="Q31">
        <f t="shared" ref="Q31" si="131">F31*P31</f>
        <v>3624451.3783032</v>
      </c>
      <c r="R31">
        <f t="shared" ref="R31" si="132">R32+Q31</f>
        <v>28119138.897357844</v>
      </c>
      <c r="S31">
        <f t="shared" ref="S31" si="133">R31/100000</f>
        <v>281.19138897357846</v>
      </c>
      <c r="T31">
        <f t="shared" ref="T31" si="134">S31/1000</f>
        <v>0.28119138897357848</v>
      </c>
    </row>
    <row r="32" spans="1:20" x14ac:dyDescent="0.25">
      <c r="A32" s="5">
        <v>44561</v>
      </c>
      <c r="B32">
        <v>0.79500000000000004</v>
      </c>
      <c r="C32">
        <v>0.83540000000000003</v>
      </c>
      <c r="D32">
        <v>0.7732</v>
      </c>
      <c r="E32">
        <v>0.80420000000000003</v>
      </c>
      <c r="F32">
        <v>3986739</v>
      </c>
      <c r="G32">
        <v>0.80420000000000003</v>
      </c>
      <c r="L32" t="s">
        <v>8</v>
      </c>
      <c r="M32" t="s">
        <v>7</v>
      </c>
      <c r="N32" t="s">
        <v>7</v>
      </c>
      <c r="P32">
        <f t="shared" ref="P32" si="135">IF(C32=D32,0,((E32-D32)-(C32-E32))/(C32-D32))</f>
        <v>-3.2154340836009305E-3</v>
      </c>
      <c r="Q32">
        <f t="shared" ref="Q32" si="136">F32*P32</f>
        <v>-12819.096463021091</v>
      </c>
      <c r="R32">
        <f t="shared" ref="R32" si="137">R33+Q32</f>
        <v>24494687.519054644</v>
      </c>
      <c r="S32">
        <f t="shared" ref="S32" si="138">R32/100000</f>
        <v>244.94687519054645</v>
      </c>
      <c r="T32">
        <f t="shared" ref="T32" si="139">S32/1000</f>
        <v>0.24494687519054645</v>
      </c>
    </row>
    <row r="33" spans="1:20" x14ac:dyDescent="0.25">
      <c r="A33" s="5">
        <v>44560</v>
      </c>
      <c r="B33">
        <v>0.75929999999999997</v>
      </c>
      <c r="C33">
        <v>0.80669999999999997</v>
      </c>
      <c r="D33">
        <v>0.74609999999999999</v>
      </c>
      <c r="E33">
        <v>0.7964</v>
      </c>
      <c r="F33">
        <v>3561342</v>
      </c>
      <c r="G33">
        <v>0.7964</v>
      </c>
      <c r="L33" t="s">
        <v>8</v>
      </c>
      <c r="M33" t="s">
        <v>7</v>
      </c>
      <c r="N33" t="s">
        <v>7</v>
      </c>
      <c r="P33">
        <f t="shared" ref="P33" si="140">IF(C33=D33,0,((E33-D33)-(C33-E33))/(C33-D33))</f>
        <v>0.66006600660066084</v>
      </c>
      <c r="Q33">
        <f t="shared" ref="Q33" si="141">F33*P33</f>
        <v>2350720.7920792107</v>
      </c>
      <c r="R33">
        <f t="shared" ref="R33" si="142">R34+Q33</f>
        <v>24507506.615517665</v>
      </c>
      <c r="S33">
        <f t="shared" ref="S33" si="143">R33/100000</f>
        <v>245.07506615517664</v>
      </c>
      <c r="T33">
        <f t="shared" ref="T33" si="144">S33/1000</f>
        <v>0.24507506615517663</v>
      </c>
    </row>
    <row r="34" spans="1:20" x14ac:dyDescent="0.25">
      <c r="A34" s="5">
        <v>44559</v>
      </c>
      <c r="B34">
        <v>0.79879999999999995</v>
      </c>
      <c r="C34">
        <v>0.82689999999999997</v>
      </c>
      <c r="D34">
        <v>0.75090000000000001</v>
      </c>
      <c r="E34">
        <v>0.7601</v>
      </c>
      <c r="F34">
        <v>4427857</v>
      </c>
      <c r="G34">
        <v>0.7601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-0.75789473684210551</v>
      </c>
      <c r="Q34">
        <f t="shared" ref="Q34" si="146">F34*P34</f>
        <v>-3355849.5157894748</v>
      </c>
      <c r="R34">
        <f t="shared" ref="R34" si="147">R35+Q34</f>
        <v>22156785.823438454</v>
      </c>
      <c r="S34">
        <f t="shared" ref="S34" si="148">R34/100000</f>
        <v>221.56785823438454</v>
      </c>
      <c r="T34">
        <f t="shared" ref="T34" si="149">S34/1000</f>
        <v>0.22156785823438455</v>
      </c>
    </row>
    <row r="35" spans="1:20" x14ac:dyDescent="0.25">
      <c r="A35" s="5">
        <v>44558</v>
      </c>
      <c r="B35">
        <v>0.87509999999999999</v>
      </c>
      <c r="C35">
        <v>0.87639999999999996</v>
      </c>
      <c r="D35">
        <v>0.79490000000000005</v>
      </c>
      <c r="E35">
        <v>0.79920000000000002</v>
      </c>
      <c r="F35">
        <v>3663348</v>
      </c>
      <c r="G35">
        <v>0.79920000000000002</v>
      </c>
      <c r="L35" t="s">
        <v>7</v>
      </c>
      <c r="M35" t="s">
        <v>8</v>
      </c>
      <c r="N35" t="s">
        <v>7</v>
      </c>
      <c r="P35">
        <f t="shared" ref="P35" si="150">IF(C35=D35,0,((E35-D35)-(C35-E35))/(C35-D35))</f>
        <v>-0.89447852760736257</v>
      </c>
      <c r="Q35">
        <f t="shared" ref="Q35" si="151">F35*P35</f>
        <v>-3276786.1251533763</v>
      </c>
      <c r="R35">
        <f t="shared" ref="R35" si="152">R36+Q35</f>
        <v>25512635.33922793</v>
      </c>
      <c r="S35">
        <f t="shared" ref="S35" si="153">R35/100000</f>
        <v>255.1263533922793</v>
      </c>
      <c r="T35">
        <f t="shared" ref="T35" si="154">S35/1000</f>
        <v>0.25512635339227929</v>
      </c>
    </row>
    <row r="36" spans="1:20" x14ac:dyDescent="0.25">
      <c r="A36" s="5">
        <v>44557</v>
      </c>
      <c r="B36">
        <v>0.87860000000000005</v>
      </c>
      <c r="C36">
        <v>0.90820000000000001</v>
      </c>
      <c r="D36">
        <v>0.87360000000000004</v>
      </c>
      <c r="E36">
        <v>0.876</v>
      </c>
      <c r="F36">
        <v>3059752</v>
      </c>
      <c r="G36">
        <v>0.876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-0.86127167630058032</v>
      </c>
      <c r="Q36">
        <f t="shared" ref="Q36" si="156">F36*P36</f>
        <v>-2635277.7341040531</v>
      </c>
      <c r="R36">
        <f t="shared" ref="R36" si="157">R37+Q36</f>
        <v>28789421.464381307</v>
      </c>
      <c r="S36">
        <f t="shared" ref="S36" si="158">R36/100000</f>
        <v>287.89421464381309</v>
      </c>
      <c r="T36">
        <f t="shared" ref="T36" si="159">S36/1000</f>
        <v>0.2878942146438131</v>
      </c>
    </row>
    <row r="37" spans="1:20" x14ac:dyDescent="0.25">
      <c r="A37" s="5">
        <v>44556</v>
      </c>
      <c r="B37">
        <v>0.86260000000000003</v>
      </c>
      <c r="C37">
        <v>0.88900000000000001</v>
      </c>
      <c r="D37">
        <v>0.84260000000000002</v>
      </c>
      <c r="E37">
        <v>0.87870000000000004</v>
      </c>
      <c r="F37">
        <v>2781122</v>
      </c>
      <c r="G37">
        <v>0.87870000000000004</v>
      </c>
      <c r="L37" t="s">
        <v>7</v>
      </c>
      <c r="M37" t="s">
        <v>8</v>
      </c>
      <c r="N37" t="s">
        <v>7</v>
      </c>
      <c r="P37">
        <f t="shared" ref="P37" si="160">IF(C37=D37,0,((E37-D37)-(C37-E37))/(C37-D37))</f>
        <v>0.55603448275862166</v>
      </c>
      <c r="Q37">
        <f t="shared" ref="Q37" si="161">F37*P37</f>
        <v>1546399.7327586233</v>
      </c>
      <c r="R37">
        <f t="shared" ref="R37" si="162">R38+Q37</f>
        <v>31424699.19848536</v>
      </c>
      <c r="S37">
        <f t="shared" ref="S37" si="163">R37/100000</f>
        <v>314.24699198485359</v>
      </c>
      <c r="T37">
        <f t="shared" ref="T37" si="164">S37/1000</f>
        <v>0.31424699198485362</v>
      </c>
    </row>
    <row r="38" spans="1:20" x14ac:dyDescent="0.25">
      <c r="A38" s="5">
        <v>44555</v>
      </c>
      <c r="B38">
        <v>0.84989999999999999</v>
      </c>
      <c r="C38">
        <v>0.86850000000000005</v>
      </c>
      <c r="D38">
        <v>0.84240000000000004</v>
      </c>
      <c r="E38">
        <v>0.86250000000000004</v>
      </c>
      <c r="F38">
        <v>2380889</v>
      </c>
      <c r="G38">
        <v>0.86250000000000004</v>
      </c>
      <c r="L38" t="s">
        <v>7</v>
      </c>
      <c r="M38" t="s">
        <v>8</v>
      </c>
      <c r="N38" t="s">
        <v>7</v>
      </c>
      <c r="P38">
        <f t="shared" ref="P38" si="165">IF(C38=D38,0,((E38-D38)-(C38-E38))/(C38-D38))</f>
        <v>0.54022988505747105</v>
      </c>
      <c r="Q38">
        <f t="shared" ref="Q38" si="166">F38*P38</f>
        <v>1286227.3908045972</v>
      </c>
      <c r="R38">
        <f t="shared" ref="R38" si="167">R39+Q38</f>
        <v>29878299.465726737</v>
      </c>
      <c r="S38">
        <f t="shared" ref="S38" si="168">R38/100000</f>
        <v>298.78299465726735</v>
      </c>
      <c r="T38">
        <f t="shared" ref="T38" si="169">S38/1000</f>
        <v>0.29878299465726738</v>
      </c>
    </row>
    <row r="39" spans="1:20" x14ac:dyDescent="0.25">
      <c r="A39" s="5">
        <v>44554</v>
      </c>
      <c r="B39">
        <v>0.88560000000000005</v>
      </c>
      <c r="C39">
        <v>0.89890000000000003</v>
      </c>
      <c r="D39">
        <v>0.84160000000000001</v>
      </c>
      <c r="E39">
        <v>0.84970000000000001</v>
      </c>
      <c r="F39">
        <v>3701964</v>
      </c>
      <c r="G39">
        <v>0.84970000000000001</v>
      </c>
      <c r="L39" t="s">
        <v>7</v>
      </c>
      <c r="M39" t="s">
        <v>8</v>
      </c>
      <c r="N39" t="s">
        <v>7</v>
      </c>
      <c r="P39">
        <f t="shared" ref="P39" si="170">IF(C39=D39,0,((E39-D39)-(C39-E39))/(C39-D39))</f>
        <v>-0.71727748691099502</v>
      </c>
      <c r="Q39">
        <f t="shared" ref="Q39" si="171">F39*P39</f>
        <v>-2655335.4345549745</v>
      </c>
      <c r="R39">
        <f t="shared" ref="R39" si="172">R40+Q39</f>
        <v>28592072.074922141</v>
      </c>
      <c r="S39">
        <f t="shared" ref="S39" si="173">R39/100000</f>
        <v>285.9207207492214</v>
      </c>
      <c r="T39">
        <f t="shared" ref="T39" si="174">S39/1000</f>
        <v>0.28592072074922142</v>
      </c>
    </row>
    <row r="40" spans="1:20" x14ac:dyDescent="0.25">
      <c r="A40" s="5">
        <v>44553</v>
      </c>
      <c r="B40">
        <v>0.82420000000000004</v>
      </c>
      <c r="C40">
        <v>0.91290000000000004</v>
      </c>
      <c r="D40">
        <v>0.80940000000000001</v>
      </c>
      <c r="E40">
        <v>0.88590000000000002</v>
      </c>
      <c r="F40">
        <v>4653372</v>
      </c>
      <c r="G40">
        <v>0.88590000000000002</v>
      </c>
      <c r="L40" t="s">
        <v>8</v>
      </c>
      <c r="M40" t="s">
        <v>8</v>
      </c>
      <c r="N40" t="s">
        <v>7</v>
      </c>
      <c r="P40">
        <f t="shared" ref="P40" si="175">IF(C40=D40,0,((E40-D40)-(C40-E40))/(C40-D40))</f>
        <v>0.47826086956521713</v>
      </c>
      <c r="Q40">
        <f t="shared" ref="Q40" si="176">F40*P40</f>
        <v>2225525.7391304336</v>
      </c>
      <c r="R40">
        <f t="shared" ref="R40" si="177">R41+Q40</f>
        <v>31247407.509477116</v>
      </c>
      <c r="S40">
        <f t="shared" ref="S40" si="178">R40/100000</f>
        <v>312.47407509477114</v>
      </c>
      <c r="T40">
        <f t="shared" ref="T40" si="179">S40/1000</f>
        <v>0.31247407509477115</v>
      </c>
    </row>
    <row r="41" spans="1:20" x14ac:dyDescent="0.25">
      <c r="A41" s="5">
        <v>44552</v>
      </c>
      <c r="B41">
        <v>0.78359999999999996</v>
      </c>
      <c r="C41">
        <v>0.8548</v>
      </c>
      <c r="D41">
        <v>0.78169999999999995</v>
      </c>
      <c r="E41">
        <v>0.82350000000000001</v>
      </c>
      <c r="F41">
        <v>4349399</v>
      </c>
      <c r="G41">
        <v>0.82350000000000001</v>
      </c>
      <c r="L41" t="s">
        <v>8</v>
      </c>
      <c r="M41" t="s">
        <v>7</v>
      </c>
      <c r="N41" t="s">
        <v>7</v>
      </c>
      <c r="P41">
        <f t="shared" ref="P41" si="180">IF(C41=D41,0,((E41-D41)-(C41-E41))/(C41-D41))</f>
        <v>0.14363885088919368</v>
      </c>
      <c r="Q41">
        <f t="shared" ref="Q41" si="181">F41*P41</f>
        <v>624742.67441860808</v>
      </c>
      <c r="R41">
        <f t="shared" ref="R41" si="182">R42+Q41</f>
        <v>29021881.770346683</v>
      </c>
      <c r="S41">
        <f t="shared" ref="S41" si="183">R41/100000</f>
        <v>290.21881770346681</v>
      </c>
      <c r="T41">
        <f t="shared" ref="T41" si="184">S41/1000</f>
        <v>0.2902188177034668</v>
      </c>
    </row>
    <row r="42" spans="1:20" x14ac:dyDescent="0.25">
      <c r="A42" s="5">
        <v>44551</v>
      </c>
      <c r="B42">
        <v>0.75539999999999996</v>
      </c>
      <c r="C42">
        <v>0.78410000000000002</v>
      </c>
      <c r="D42">
        <v>0.747</v>
      </c>
      <c r="E42">
        <v>0.78320000000000001</v>
      </c>
      <c r="F42">
        <v>2710770</v>
      </c>
      <c r="G42">
        <v>0.78320000000000001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0.95148247978436595</v>
      </c>
      <c r="Q42">
        <f t="shared" ref="Q42" si="186">F42*P42</f>
        <v>2579250.1617250657</v>
      </c>
      <c r="R42">
        <f t="shared" ref="R42" si="187">R43+Q42</f>
        <v>28397139.095928073</v>
      </c>
      <c r="S42">
        <f t="shared" ref="S42" si="188">R42/100000</f>
        <v>283.97139095928071</v>
      </c>
      <c r="T42">
        <f t="shared" ref="T42" si="189">S42/1000</f>
        <v>0.2839713909592807</v>
      </c>
    </row>
    <row r="43" spans="1:20" x14ac:dyDescent="0.25">
      <c r="A43" s="5">
        <v>44550</v>
      </c>
      <c r="B43">
        <v>0.77070000000000005</v>
      </c>
      <c r="C43">
        <v>0.78720000000000001</v>
      </c>
      <c r="D43">
        <v>0.72319999999999995</v>
      </c>
      <c r="E43">
        <v>0.75460000000000005</v>
      </c>
      <c r="F43">
        <v>6515023</v>
      </c>
      <c r="G43">
        <v>0.75460000000000005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-1.8749999999997918E-2</v>
      </c>
      <c r="Q43">
        <f t="shared" ref="Q43" si="191">F43*P43</f>
        <v>-122156.68124998643</v>
      </c>
      <c r="R43">
        <f t="shared" ref="R43" si="192">R44+Q43</f>
        <v>25817888.934203006</v>
      </c>
      <c r="S43">
        <f t="shared" ref="S43" si="193">R43/100000</f>
        <v>258.17888934203006</v>
      </c>
      <c r="T43">
        <f t="shared" ref="T43" si="194">S43/1000</f>
        <v>0.25817888934203004</v>
      </c>
    </row>
    <row r="44" spans="1:20" x14ac:dyDescent="0.25">
      <c r="A44" s="5">
        <v>44549</v>
      </c>
      <c r="B44">
        <v>0.78580000000000005</v>
      </c>
      <c r="C44">
        <v>0.79720000000000002</v>
      </c>
      <c r="D44">
        <v>0.76600000000000001</v>
      </c>
      <c r="E44">
        <v>0.77139999999999997</v>
      </c>
      <c r="F44">
        <v>2127873</v>
      </c>
      <c r="G44">
        <v>0.77139999999999997</v>
      </c>
      <c r="L44" t="s">
        <v>8</v>
      </c>
      <c r="M44" t="s">
        <v>7</v>
      </c>
      <c r="N44" t="s">
        <v>7</v>
      </c>
      <c r="P44">
        <f t="shared" ref="P44" si="195">IF(C44=D44,0,((E44-D44)-(C44-E44))/(C44-D44))</f>
        <v>-0.65384615384615641</v>
      </c>
      <c r="Q44">
        <f t="shared" ref="Q44" si="196">F44*P44</f>
        <v>-1391301.5769230823</v>
      </c>
      <c r="R44">
        <f t="shared" ref="R44" si="197">R45+Q44</f>
        <v>25940045.615452994</v>
      </c>
      <c r="S44">
        <f t="shared" ref="S44" si="198">R44/100000</f>
        <v>259.40045615452993</v>
      </c>
      <c r="T44">
        <f t="shared" ref="T44" si="199">S44/1000</f>
        <v>0.25940045615452995</v>
      </c>
    </row>
    <row r="45" spans="1:20" x14ac:dyDescent="0.25">
      <c r="A45" s="5">
        <v>44548</v>
      </c>
      <c r="B45">
        <v>0.7722</v>
      </c>
      <c r="C45">
        <v>0.80330000000000001</v>
      </c>
      <c r="D45">
        <v>0.74939999999999996</v>
      </c>
      <c r="E45">
        <v>0.78590000000000004</v>
      </c>
      <c r="F45">
        <v>1960595</v>
      </c>
      <c r="G45">
        <v>0.78590000000000004</v>
      </c>
      <c r="L45" t="s">
        <v>8</v>
      </c>
      <c r="M45" t="s">
        <v>7</v>
      </c>
      <c r="N45" t="s">
        <v>7</v>
      </c>
      <c r="P45">
        <f t="shared" ref="P45" si="200">IF(C45=D45,0,((E45-D45)-(C45-E45))/(C45-D45))</f>
        <v>0.35435992578849901</v>
      </c>
      <c r="Q45">
        <f t="shared" ref="Q45" si="201">F45*P45</f>
        <v>694756.29870130226</v>
      </c>
      <c r="R45">
        <f t="shared" ref="R45" si="202">R46+Q45</f>
        <v>27331347.192376077</v>
      </c>
      <c r="S45">
        <f t="shared" ref="S45" si="203">R45/100000</f>
        <v>273.31347192376074</v>
      </c>
      <c r="T45">
        <f t="shared" ref="T45" si="204">S45/1000</f>
        <v>0.27331347192376076</v>
      </c>
    </row>
    <row r="46" spans="1:20" x14ac:dyDescent="0.25">
      <c r="A46" s="5">
        <v>44547</v>
      </c>
      <c r="B46">
        <v>0.77980000000000005</v>
      </c>
      <c r="C46">
        <v>0.79320000000000002</v>
      </c>
      <c r="D46">
        <v>0.73399999999999999</v>
      </c>
      <c r="E46">
        <v>0.77210000000000001</v>
      </c>
      <c r="F46">
        <v>3663676</v>
      </c>
      <c r="G46">
        <v>0.77210000000000001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0.28716216216216228</v>
      </c>
      <c r="Q46">
        <f t="shared" ref="Q46" si="206">F46*P46</f>
        <v>1052069.121621622</v>
      </c>
      <c r="R46">
        <f t="shared" ref="R46" si="207">R47+Q46</f>
        <v>26636590.893674776</v>
      </c>
      <c r="S46">
        <f t="shared" ref="S46" si="208">R46/100000</f>
        <v>266.36590893674776</v>
      </c>
      <c r="T46">
        <f t="shared" ref="T46" si="209">S46/1000</f>
        <v>0.26636590893674778</v>
      </c>
    </row>
    <row r="47" spans="1:20" x14ac:dyDescent="0.25">
      <c r="A47" s="5">
        <v>44546</v>
      </c>
      <c r="B47">
        <v>0.79</v>
      </c>
      <c r="C47">
        <v>0.82150000000000001</v>
      </c>
      <c r="D47">
        <v>0.77</v>
      </c>
      <c r="E47">
        <v>0.77949999999999997</v>
      </c>
      <c r="F47">
        <v>2961444</v>
      </c>
      <c r="G47">
        <v>0.77949999999999997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-0.63106796116505026</v>
      </c>
      <c r="Q47">
        <f t="shared" ref="Q47" si="211">F47*P47</f>
        <v>-1868872.4271844712</v>
      </c>
      <c r="R47">
        <f t="shared" ref="R47" si="212">R48+Q47</f>
        <v>25584521.772053152</v>
      </c>
      <c r="S47">
        <f t="shared" ref="S47" si="213">R47/100000</f>
        <v>255.84521772053154</v>
      </c>
      <c r="T47">
        <f t="shared" ref="T47" si="214">S47/1000</f>
        <v>0.25584521772053154</v>
      </c>
    </row>
    <row r="48" spans="1:20" x14ac:dyDescent="0.25">
      <c r="A48" s="5">
        <v>44545</v>
      </c>
      <c r="B48">
        <v>0.7671</v>
      </c>
      <c r="C48">
        <v>0.8014</v>
      </c>
      <c r="D48">
        <v>0.71789999999999998</v>
      </c>
      <c r="E48">
        <v>0.79010000000000002</v>
      </c>
      <c r="F48">
        <v>4320399</v>
      </c>
      <c r="G48">
        <v>0.79010000000000002</v>
      </c>
      <c r="L48" t="s">
        <v>7</v>
      </c>
      <c r="M48" t="s">
        <v>7</v>
      </c>
      <c r="N48" t="s">
        <v>7</v>
      </c>
      <c r="P48">
        <f t="shared" ref="P48" si="215">IF(C48=D48,0,((E48-D48)-(C48-E48))/(C48-D48))</f>
        <v>0.72934131736527008</v>
      </c>
      <c r="Q48">
        <f t="shared" ref="Q48" si="216">F48*P48</f>
        <v>3151045.4982035956</v>
      </c>
      <c r="R48">
        <f t="shared" ref="R48" si="217">R49+Q48</f>
        <v>27453394.199237622</v>
      </c>
      <c r="S48">
        <f t="shared" ref="S48" si="218">R48/100000</f>
        <v>274.53394199237624</v>
      </c>
      <c r="T48">
        <f t="shared" ref="T48" si="219">S48/1000</f>
        <v>0.27453394199237624</v>
      </c>
    </row>
    <row r="49" spans="1:20" x14ac:dyDescent="0.25">
      <c r="A49" s="5">
        <v>44544</v>
      </c>
      <c r="B49">
        <v>0.75180000000000002</v>
      </c>
      <c r="C49">
        <v>0.77890000000000004</v>
      </c>
      <c r="D49">
        <v>0.73419999999999996</v>
      </c>
      <c r="E49">
        <v>0.76719999999999999</v>
      </c>
      <c r="F49">
        <v>3125776</v>
      </c>
      <c r="G49">
        <v>0.76719999999999999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0.47651006711409288</v>
      </c>
      <c r="Q49">
        <f t="shared" ref="Q49" si="221">F49*P49</f>
        <v>1489463.7315436208</v>
      </c>
      <c r="R49">
        <f t="shared" ref="R49" si="222">R50+Q49</f>
        <v>24302348.701034028</v>
      </c>
      <c r="S49">
        <f t="shared" ref="S49" si="223">R49/100000</f>
        <v>243.02348701034029</v>
      </c>
      <c r="T49">
        <f t="shared" ref="T49" si="224">S49/1000</f>
        <v>0.24302348701034029</v>
      </c>
    </row>
    <row r="50" spans="1:20" x14ac:dyDescent="0.25">
      <c r="A50" s="5">
        <v>44543</v>
      </c>
      <c r="B50">
        <v>0.83840000000000003</v>
      </c>
      <c r="C50">
        <v>0.84240000000000004</v>
      </c>
      <c r="D50">
        <v>0.74260000000000004</v>
      </c>
      <c r="E50">
        <v>0.75129999999999997</v>
      </c>
      <c r="F50">
        <v>3554438</v>
      </c>
      <c r="G50">
        <v>0.75129999999999997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-0.8256513026052118</v>
      </c>
      <c r="Q50">
        <f t="shared" ref="Q50" si="226">F50*P50</f>
        <v>-2934726.3647294641</v>
      </c>
      <c r="R50">
        <f t="shared" ref="R50" si="227">R51+Q50</f>
        <v>22812884.969490409</v>
      </c>
      <c r="S50">
        <f t="shared" ref="S50" si="228">R50/100000</f>
        <v>228.12884969490409</v>
      </c>
      <c r="T50">
        <f t="shared" ref="T50" si="229">S50/1000</f>
        <v>0.2281288496949041</v>
      </c>
    </row>
    <row r="51" spans="1:20" x14ac:dyDescent="0.25">
      <c r="A51" s="5">
        <v>44542</v>
      </c>
      <c r="B51">
        <v>0.84899999999999998</v>
      </c>
      <c r="C51">
        <v>0.8498</v>
      </c>
      <c r="D51">
        <v>0.81069999999999998</v>
      </c>
      <c r="E51">
        <v>0.83940000000000003</v>
      </c>
      <c r="F51">
        <v>1849600</v>
      </c>
      <c r="G51">
        <v>0.83940000000000003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0.46803069053708651</v>
      </c>
      <c r="Q51">
        <f t="shared" ref="Q51" si="231">F51*P51</f>
        <v>865669.5652173952</v>
      </c>
      <c r="R51">
        <f t="shared" ref="R51" si="232">R52+Q51</f>
        <v>25747611.334219873</v>
      </c>
      <c r="S51">
        <f t="shared" ref="S51" si="233">R51/100000</f>
        <v>257.47611334219874</v>
      </c>
      <c r="T51">
        <f t="shared" ref="T51" si="234">S51/1000</f>
        <v>0.25747611334219872</v>
      </c>
    </row>
    <row r="52" spans="1:20" x14ac:dyDescent="0.25">
      <c r="A52" s="5">
        <v>44541</v>
      </c>
      <c r="B52">
        <v>0.7984</v>
      </c>
      <c r="C52">
        <v>0.80959999999999999</v>
      </c>
      <c r="D52">
        <v>0.78290000000000004</v>
      </c>
      <c r="E52">
        <v>0.8044</v>
      </c>
      <c r="F52">
        <v>262414</v>
      </c>
      <c r="G52">
        <v>0.8044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0.61048689138576828</v>
      </c>
      <c r="Q52">
        <f t="shared" ref="Q52" si="236">F52*P52</f>
        <v>160200.30711610499</v>
      </c>
      <c r="R52">
        <f t="shared" ref="R52" si="237">R53+Q52</f>
        <v>24881941.769002479</v>
      </c>
      <c r="S52">
        <f t="shared" ref="S52" si="238">R52/100000</f>
        <v>248.81941769002478</v>
      </c>
      <c r="T52">
        <f t="shared" ref="T52" si="239">S52/1000</f>
        <v>0.24881941769002477</v>
      </c>
    </row>
    <row r="53" spans="1:20" x14ac:dyDescent="0.25">
      <c r="A53" s="5">
        <v>44540</v>
      </c>
      <c r="B53">
        <v>0.8639</v>
      </c>
      <c r="C53">
        <v>0.88539999999999996</v>
      </c>
      <c r="D53">
        <v>0.79420000000000002</v>
      </c>
      <c r="E53">
        <v>0.79990000000000006</v>
      </c>
      <c r="F53">
        <v>4613073</v>
      </c>
      <c r="G53">
        <v>0.79990000000000006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-0.87499999999999911</v>
      </c>
      <c r="Q53">
        <f t="shared" ref="Q53" si="241">F53*P53</f>
        <v>-4036438.8749999958</v>
      </c>
      <c r="R53">
        <f t="shared" ref="R53" si="242">R54+Q53</f>
        <v>24721741.461886372</v>
      </c>
      <c r="S53">
        <f t="shared" ref="S53" si="243">R53/100000</f>
        <v>247.21741461886373</v>
      </c>
      <c r="T53">
        <f t="shared" ref="T53" si="244">S53/1000</f>
        <v>0.24721741461886373</v>
      </c>
    </row>
    <row r="54" spans="1:20" x14ac:dyDescent="0.25">
      <c r="A54" s="5">
        <v>44539</v>
      </c>
      <c r="B54">
        <v>0.91490000000000005</v>
      </c>
      <c r="C54">
        <v>0.95420000000000005</v>
      </c>
      <c r="D54">
        <v>0.85329999999999995</v>
      </c>
      <c r="E54">
        <v>0.86380000000000001</v>
      </c>
      <c r="F54">
        <v>7967811</v>
      </c>
      <c r="G54">
        <v>0.86380000000000001</v>
      </c>
      <c r="L54" t="s">
        <v>8</v>
      </c>
      <c r="M54" t="s">
        <v>8</v>
      </c>
      <c r="N54" t="s">
        <v>7</v>
      </c>
      <c r="P54">
        <f t="shared" ref="P54" si="245">IF(C54=D54,0,((E54-D54)-(C54-E54))/(C54-D54))</f>
        <v>-0.79187314172447865</v>
      </c>
      <c r="Q54">
        <f t="shared" ref="Q54" si="246">F54*P54</f>
        <v>-6309495.5292368596</v>
      </c>
      <c r="R54">
        <f t="shared" ref="R54" si="247">R55+Q54</f>
        <v>28758180.336886369</v>
      </c>
      <c r="S54">
        <f t="shared" ref="S54" si="248">R54/100000</f>
        <v>287.58180336886369</v>
      </c>
      <c r="T54">
        <f t="shared" ref="T54" si="249">S54/1000</f>
        <v>0.28758180336886369</v>
      </c>
    </row>
    <row r="55" spans="1:20" x14ac:dyDescent="0.25">
      <c r="A55" s="5">
        <v>44538</v>
      </c>
      <c r="B55">
        <v>0.89959999999999996</v>
      </c>
      <c r="C55">
        <v>0.92849999999999999</v>
      </c>
      <c r="D55">
        <v>0.84930000000000005</v>
      </c>
      <c r="E55">
        <v>0.91520000000000001</v>
      </c>
      <c r="F55">
        <v>3966603</v>
      </c>
      <c r="G55">
        <v>0.91520000000000001</v>
      </c>
      <c r="L55" t="s">
        <v>7</v>
      </c>
      <c r="M55" t="s">
        <v>8</v>
      </c>
      <c r="N55" t="s">
        <v>7</v>
      </c>
      <c r="P55">
        <f t="shared" ref="P55" si="250">IF(C55=D55,0,((E55-D55)-(C55-E55))/(C55-D55))</f>
        <v>0.66414141414141437</v>
      </c>
      <c r="Q55">
        <f t="shared" ref="Q55" si="251">F55*P55</f>
        <v>2634385.3257575766</v>
      </c>
      <c r="R55">
        <f t="shared" ref="R55" si="252">R56+Q55</f>
        <v>35067675.866123229</v>
      </c>
      <c r="S55">
        <f t="shared" ref="S55" si="253">R55/100000</f>
        <v>350.67675866123227</v>
      </c>
      <c r="T55">
        <f t="shared" ref="T55" si="254">S55/1000</f>
        <v>0.35067675866123227</v>
      </c>
    </row>
    <row r="56" spans="1:20" x14ac:dyDescent="0.25">
      <c r="A56" s="5">
        <v>44537</v>
      </c>
      <c r="B56">
        <v>0.85960000000000003</v>
      </c>
      <c r="C56">
        <v>0.96560000000000001</v>
      </c>
      <c r="D56">
        <v>0.8538</v>
      </c>
      <c r="E56">
        <v>0.9</v>
      </c>
      <c r="F56">
        <v>6113409</v>
      </c>
      <c r="G56">
        <v>0.9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-0.17352415026833606</v>
      </c>
      <c r="Q56">
        <f t="shared" ref="Q56" si="256">F56*P56</f>
        <v>-1060824.1019677981</v>
      </c>
      <c r="R56">
        <f t="shared" ref="R56" si="257">R57+Q56</f>
        <v>32433290.540365655</v>
      </c>
      <c r="S56">
        <f t="shared" ref="S56" si="258">R56/100000</f>
        <v>324.33290540365653</v>
      </c>
      <c r="T56">
        <f t="shared" ref="T56" si="259">S56/1000</f>
        <v>0.3243329054036565</v>
      </c>
    </row>
    <row r="57" spans="1:20" x14ac:dyDescent="0.25">
      <c r="A57" s="5">
        <v>44536</v>
      </c>
      <c r="B57">
        <v>0.83450000000000002</v>
      </c>
      <c r="C57">
        <v>0.86980000000000002</v>
      </c>
      <c r="D57">
        <v>0.7581</v>
      </c>
      <c r="E57">
        <v>0.86260000000000003</v>
      </c>
      <c r="F57">
        <v>4534644</v>
      </c>
      <c r="G57">
        <v>0.86260000000000003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0.87108325872873804</v>
      </c>
      <c r="Q57">
        <f t="shared" ref="Q57" si="261">F57*P57</f>
        <v>3950052.4726947197</v>
      </c>
      <c r="R57">
        <f t="shared" ref="R57" si="262">R58+Q57</f>
        <v>33494114.642333452</v>
      </c>
      <c r="S57">
        <f t="shared" ref="S57" si="263">R57/100000</f>
        <v>334.94114642333454</v>
      </c>
      <c r="T57">
        <f t="shared" ref="T57" si="264">S57/1000</f>
        <v>0.33494114642333456</v>
      </c>
    </row>
    <row r="58" spans="1:20" x14ac:dyDescent="0.25">
      <c r="A58" s="5">
        <v>44535</v>
      </c>
      <c r="B58">
        <v>0.89280000000000004</v>
      </c>
      <c r="C58">
        <v>0.91190000000000004</v>
      </c>
      <c r="D58">
        <v>0.80079999999999996</v>
      </c>
      <c r="E58">
        <v>0.83379999999999999</v>
      </c>
      <c r="F58">
        <v>4929886</v>
      </c>
      <c r="G58">
        <v>0.83379999999999999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-0.40594059405940586</v>
      </c>
      <c r="Q58">
        <f t="shared" ref="Q58" si="266">F58*P58</f>
        <v>-2001240.8514851481</v>
      </c>
      <c r="R58">
        <f t="shared" ref="R58" si="267">R59+Q58</f>
        <v>29544062.169638731</v>
      </c>
      <c r="S58">
        <f t="shared" ref="S58" si="268">R58/100000</f>
        <v>295.44062169638732</v>
      </c>
      <c r="T58">
        <f t="shared" ref="T58" si="269">S58/1000</f>
        <v>0.29544062169638735</v>
      </c>
    </row>
    <row r="59" spans="1:20" x14ac:dyDescent="0.25">
      <c r="A59" s="5">
        <v>44534</v>
      </c>
      <c r="B59">
        <v>1.0443</v>
      </c>
      <c r="C59">
        <v>1.0443</v>
      </c>
      <c r="D59">
        <v>0.70469999999999999</v>
      </c>
      <c r="E59">
        <v>0.89490000000000003</v>
      </c>
      <c r="F59">
        <v>10946942.33</v>
      </c>
      <c r="G59">
        <v>0.89490000000000003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0.12014134275618392</v>
      </c>
      <c r="Q59">
        <f t="shared" ref="Q59" si="271">F59*P59</f>
        <v>1315180.3506007085</v>
      </c>
      <c r="R59">
        <f t="shared" ref="R59" si="272">R60+Q59</f>
        <v>31545303.021123879</v>
      </c>
      <c r="S59">
        <f t="shared" ref="S59" si="273">R59/100000</f>
        <v>315.4530302112388</v>
      </c>
      <c r="T59">
        <f t="shared" ref="T59" si="274">S59/1000</f>
        <v>0.31545303021123877</v>
      </c>
    </row>
    <row r="60" spans="1:20" x14ac:dyDescent="0.25">
      <c r="A60" s="5">
        <v>44533</v>
      </c>
      <c r="B60">
        <v>1.1153</v>
      </c>
      <c r="C60">
        <v>1.1202000000000001</v>
      </c>
      <c r="D60">
        <v>1.0109999999999999</v>
      </c>
      <c r="E60">
        <v>1.0428999999999999</v>
      </c>
      <c r="F60">
        <v>3867083</v>
      </c>
      <c r="G60">
        <v>1.0428999999999999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-0.41575091575091605</v>
      </c>
      <c r="Q60">
        <f t="shared" ref="Q60" si="276">F60*P60</f>
        <v>-1607743.2985347996</v>
      </c>
      <c r="R60">
        <f t="shared" ref="R60" si="277">R61+Q60</f>
        <v>30230122.67052317</v>
      </c>
      <c r="S60">
        <f t="shared" ref="S60" si="278">R60/100000</f>
        <v>302.30122670523173</v>
      </c>
      <c r="T60">
        <f t="shared" ref="T60" si="279">S60/1000</f>
        <v>0.30230122670523174</v>
      </c>
    </row>
    <row r="61" spans="1:20" x14ac:dyDescent="0.25">
      <c r="A61" s="5">
        <v>44532</v>
      </c>
      <c r="B61">
        <v>1.1533</v>
      </c>
      <c r="C61">
        <v>1.1533</v>
      </c>
      <c r="D61">
        <v>1.0915999999999999</v>
      </c>
      <c r="E61">
        <v>1.1154999999999999</v>
      </c>
      <c r="F61">
        <v>4363328</v>
      </c>
      <c r="G61">
        <v>1.1154999999999999</v>
      </c>
      <c r="L61" t="s">
        <v>7</v>
      </c>
      <c r="M61" t="s">
        <v>8</v>
      </c>
      <c r="N61" t="s">
        <v>7</v>
      </c>
      <c r="P61">
        <f t="shared" ref="P61" si="280">IF(C61=D61,0,((E61-D61)-(C61-E61))/(C61-D61))</f>
        <v>-0.22528363047001626</v>
      </c>
      <c r="Q61">
        <f t="shared" ref="Q61" si="281">F61*P61</f>
        <v>-982986.37277147511</v>
      </c>
      <c r="R61">
        <f t="shared" ref="R61" si="282">R62+Q61</f>
        <v>31837865.96905797</v>
      </c>
      <c r="S61">
        <f t="shared" ref="S61" si="283">R61/100000</f>
        <v>318.3786596905797</v>
      </c>
      <c r="T61">
        <f t="shared" ref="T61" si="284">S61/1000</f>
        <v>0.31837865969057971</v>
      </c>
    </row>
    <row r="62" spans="1:20" x14ac:dyDescent="0.25">
      <c r="A62" s="5">
        <v>44531</v>
      </c>
      <c r="B62">
        <v>1.1813</v>
      </c>
      <c r="C62">
        <v>1.1888000000000001</v>
      </c>
      <c r="D62">
        <v>1.1383000000000001</v>
      </c>
      <c r="E62">
        <v>1.1535</v>
      </c>
      <c r="F62">
        <v>5017564</v>
      </c>
      <c r="G62">
        <v>1.1535</v>
      </c>
      <c r="L62" t="s">
        <v>7</v>
      </c>
      <c r="M62" t="s">
        <v>8</v>
      </c>
      <c r="N62" t="s">
        <v>7</v>
      </c>
      <c r="P62">
        <f t="shared" ref="P62" si="285">IF(C62=D62,0,((E62-D62)-(C62-E62))/(C62-D62))</f>
        <v>-0.39801980198020265</v>
      </c>
      <c r="Q62">
        <f t="shared" ref="Q62" si="286">F62*P62</f>
        <v>-1997089.8297029936</v>
      </c>
      <c r="R62">
        <f t="shared" ref="R62" si="287">R63+Q62</f>
        <v>32820852.341829445</v>
      </c>
      <c r="S62">
        <f t="shared" ref="S62" si="288">R62/100000</f>
        <v>328.20852341829448</v>
      </c>
      <c r="T62">
        <f t="shared" ref="T62" si="289">S62/1000</f>
        <v>0.32820852341829448</v>
      </c>
    </row>
    <row r="63" spans="1:20" x14ac:dyDescent="0.25">
      <c r="A63" s="5">
        <v>44530</v>
      </c>
      <c r="B63">
        <v>1.1997</v>
      </c>
      <c r="C63">
        <v>1.2337</v>
      </c>
      <c r="D63">
        <v>1.1404000000000001</v>
      </c>
      <c r="E63">
        <v>1.1795</v>
      </c>
      <c r="F63">
        <v>5045176</v>
      </c>
      <c r="G63">
        <v>1.1795</v>
      </c>
      <c r="L63" t="s">
        <v>8</v>
      </c>
      <c r="M63" t="s">
        <v>8</v>
      </c>
      <c r="N63" t="s">
        <v>7</v>
      </c>
      <c r="P63">
        <f t="shared" ref="P63" si="290">IF(C63=D63,0,((E63-D63)-(C63-E63))/(C63-D63))</f>
        <v>-0.16184351554126605</v>
      </c>
      <c r="Q63">
        <f t="shared" ref="Q63" si="291">F63*P63</f>
        <v>-816529.02036442247</v>
      </c>
      <c r="R63">
        <f t="shared" ref="R63" si="292">R64+Q63</f>
        <v>34817942.171532437</v>
      </c>
      <c r="S63">
        <f t="shared" ref="S63" si="293">R63/100000</f>
        <v>348.17942171532439</v>
      </c>
      <c r="T63">
        <f t="shared" ref="T63" si="294">S63/1000</f>
        <v>0.3481794217153244</v>
      </c>
    </row>
    <row r="64" spans="1:20" x14ac:dyDescent="0.25">
      <c r="A64" s="5">
        <v>44529</v>
      </c>
      <c r="B64">
        <v>1.1744000000000001</v>
      </c>
      <c r="C64">
        <v>1.2141999999999999</v>
      </c>
      <c r="D64">
        <v>1.1272</v>
      </c>
      <c r="E64">
        <v>1.1999</v>
      </c>
      <c r="F64">
        <v>3666970</v>
      </c>
      <c r="G64">
        <v>1.1999</v>
      </c>
      <c r="L64" t="s">
        <v>8</v>
      </c>
      <c r="M64" t="s">
        <v>8</v>
      </c>
      <c r="N64" t="s">
        <v>7</v>
      </c>
      <c r="P64">
        <f t="shared" ref="P64" si="295">IF(C64=D64,0,((E64-D64)-(C64-E64))/(C64-D64))</f>
        <v>0.67126436781609233</v>
      </c>
      <c r="Q64">
        <f t="shared" ref="Q64" si="296">F64*P64</f>
        <v>2461506.2988505759</v>
      </c>
      <c r="R64">
        <f t="shared" ref="R64" si="297">R65+Q64</f>
        <v>35634471.191896863</v>
      </c>
      <c r="S64">
        <f t="shared" ref="S64" si="298">R64/100000</f>
        <v>356.34471191896864</v>
      </c>
      <c r="T64">
        <f t="shared" ref="T64" si="299">S64/1000</f>
        <v>0.35634471191896866</v>
      </c>
    </row>
    <row r="65" spans="1:20" x14ac:dyDescent="0.25">
      <c r="A65" s="5">
        <v>44528</v>
      </c>
      <c r="B65">
        <v>1.2379</v>
      </c>
      <c r="C65">
        <v>1.2527999999999999</v>
      </c>
      <c r="D65">
        <v>1.0767</v>
      </c>
      <c r="E65">
        <v>1.1736</v>
      </c>
      <c r="F65">
        <v>6905630</v>
      </c>
      <c r="G65">
        <v>1.1736</v>
      </c>
      <c r="L65" t="s">
        <v>7</v>
      </c>
      <c r="M65" t="s">
        <v>8</v>
      </c>
      <c r="N65" t="s">
        <v>7</v>
      </c>
      <c r="P65">
        <f t="shared" ref="P65" si="300">IF(C65=D65,0,((E65-D65)-(C65-E65))/(C65-D65))</f>
        <v>0.10051107325383338</v>
      </c>
      <c r="Q65">
        <f t="shared" ref="Q65" si="301">F65*P65</f>
        <v>694092.28279386938</v>
      </c>
      <c r="R65">
        <f t="shared" ref="R65" si="302">R66+Q65</f>
        <v>33172964.893046286</v>
      </c>
      <c r="S65">
        <f t="shared" ref="S65" si="303">R65/100000</f>
        <v>331.72964893046287</v>
      </c>
      <c r="T65">
        <f t="shared" ref="T65" si="304">S65/1000</f>
        <v>0.33172964893046286</v>
      </c>
    </row>
    <row r="66" spans="1:20" x14ac:dyDescent="0.25">
      <c r="A66" s="5">
        <v>44527</v>
      </c>
      <c r="B66">
        <v>1.0914999999999999</v>
      </c>
      <c r="C66">
        <v>1.2410000000000001</v>
      </c>
      <c r="D66">
        <v>1.0899000000000001</v>
      </c>
      <c r="E66">
        <v>1.2379</v>
      </c>
      <c r="F66">
        <v>9409766</v>
      </c>
      <c r="G66">
        <v>1.2379</v>
      </c>
      <c r="L66" t="s">
        <v>7</v>
      </c>
      <c r="M66" t="s">
        <v>8</v>
      </c>
      <c r="N66" t="s">
        <v>7</v>
      </c>
      <c r="P66">
        <f t="shared" ref="P66" si="305">IF(C66=D66,0,((E66-D66)-(C66-E66))/(C66-D66))</f>
        <v>0.9589675711449358</v>
      </c>
      <c r="Q66">
        <f t="shared" ref="Q66" si="306">F66*P66</f>
        <v>9023660.4460621979</v>
      </c>
      <c r="R66">
        <f t="shared" ref="R66" si="307">R67+Q66</f>
        <v>32478872.610252418</v>
      </c>
      <c r="S66">
        <f t="shared" ref="S66" si="308">R66/100000</f>
        <v>324.78872610252415</v>
      </c>
      <c r="T66">
        <f t="shared" ref="T66" si="309">S66/1000</f>
        <v>0.32478872610252413</v>
      </c>
    </row>
    <row r="67" spans="1:20" x14ac:dyDescent="0.25">
      <c r="A67" s="5">
        <v>44526</v>
      </c>
      <c r="B67">
        <v>1.1684000000000001</v>
      </c>
      <c r="C67">
        <v>1.2567999999999999</v>
      </c>
      <c r="D67">
        <v>1.0415000000000001</v>
      </c>
      <c r="E67">
        <v>1.091</v>
      </c>
      <c r="F67">
        <v>17408423</v>
      </c>
      <c r="G67">
        <v>1.091</v>
      </c>
      <c r="L67" t="s">
        <v>8</v>
      </c>
      <c r="M67" t="s">
        <v>8</v>
      </c>
      <c r="N67" t="s">
        <v>7</v>
      </c>
      <c r="P67">
        <f t="shared" ref="P67" si="310">IF(C67=D67,0,((E67-D67)-(C67-E67))/(C67-D67))</f>
        <v>-0.54017649790989397</v>
      </c>
      <c r="Q67">
        <f t="shared" ref="Q67" si="311">F67*P67</f>
        <v>-9403620.9702740498</v>
      </c>
      <c r="R67">
        <f t="shared" ref="R67" si="312">R68+Q67</f>
        <v>23455212.164190218</v>
      </c>
      <c r="S67">
        <f t="shared" ref="S67" si="313">R67/100000</f>
        <v>234.55212164190218</v>
      </c>
      <c r="T67">
        <f t="shared" ref="T67" si="314">S67/1000</f>
        <v>0.23455212164190217</v>
      </c>
    </row>
    <row r="68" spans="1:20" x14ac:dyDescent="0.25">
      <c r="A68" s="5">
        <v>44525</v>
      </c>
      <c r="B68">
        <v>1.1637</v>
      </c>
      <c r="C68">
        <v>1.208</v>
      </c>
      <c r="D68">
        <v>1.1354</v>
      </c>
      <c r="E68">
        <v>1.1678999999999999</v>
      </c>
      <c r="F68">
        <v>13229906</v>
      </c>
      <c r="G68">
        <v>1.1678999999999999</v>
      </c>
      <c r="L68" t="s">
        <v>8</v>
      </c>
      <c r="M68" t="s">
        <v>7</v>
      </c>
      <c r="N68" t="s">
        <v>7</v>
      </c>
      <c r="P68">
        <f t="shared" ref="P68" si="315">IF(C68=D68,0,((E68-D68)-(C68-E68))/(C68-D68))</f>
        <v>-0.10468319559228721</v>
      </c>
      <c r="Q68">
        <f t="shared" ref="Q68" si="316">F68*P68</f>
        <v>-1384948.837465574</v>
      </c>
      <c r="R68">
        <f t="shared" ref="R68" si="317">R69+Q68</f>
        <v>32858833.134464268</v>
      </c>
      <c r="S68">
        <f t="shared" ref="S68" si="318">R68/100000</f>
        <v>328.58833134464265</v>
      </c>
      <c r="T68">
        <f t="shared" ref="T68" si="319">S68/1000</f>
        <v>0.32858833134464266</v>
      </c>
    </row>
    <row r="69" spans="1:20" x14ac:dyDescent="0.25">
      <c r="A69" s="5">
        <v>44524</v>
      </c>
      <c r="B69">
        <v>1.1242000000000001</v>
      </c>
      <c r="C69">
        <v>1.1363000000000001</v>
      </c>
      <c r="D69">
        <v>1.0907</v>
      </c>
      <c r="E69">
        <v>1.0974999999999999</v>
      </c>
      <c r="F69">
        <v>6777458</v>
      </c>
      <c r="G69">
        <v>1.0974999999999999</v>
      </c>
      <c r="L69" t="s">
        <v>7</v>
      </c>
      <c r="M69" t="s">
        <v>7</v>
      </c>
      <c r="N69" t="s">
        <v>7</v>
      </c>
      <c r="P69">
        <f t="shared" ref="P69" si="320">IF(C69=D69,0,((E69-D69)-(C69-E69))/(C69-D69))</f>
        <v>-0.70175438596491646</v>
      </c>
      <c r="Q69">
        <f t="shared" ref="Q69" si="321">F69*P69</f>
        <v>-4756110.8771930104</v>
      </c>
      <c r="R69">
        <f t="shared" ref="R69" si="322">R70+Q69</f>
        <v>34243781.971929841</v>
      </c>
      <c r="S69">
        <f t="shared" ref="S69" si="323">R69/100000</f>
        <v>342.43781971929843</v>
      </c>
      <c r="T69">
        <f t="shared" ref="T69" si="324">S69/1000</f>
        <v>0.34243781971929843</v>
      </c>
    </row>
    <row r="70" spans="1:20" x14ac:dyDescent="0.25">
      <c r="A70" s="5">
        <v>44523</v>
      </c>
      <c r="B70">
        <v>1.0778000000000001</v>
      </c>
      <c r="C70">
        <v>1.1379999999999999</v>
      </c>
      <c r="D70">
        <v>1.0685</v>
      </c>
      <c r="E70">
        <v>1.1243000000000001</v>
      </c>
      <c r="F70">
        <v>8843688</v>
      </c>
      <c r="G70">
        <v>1.1243000000000001</v>
      </c>
      <c r="L70" t="s">
        <v>7</v>
      </c>
      <c r="M70" t="s">
        <v>7</v>
      </c>
      <c r="N70" t="s">
        <v>7</v>
      </c>
      <c r="P70">
        <f t="shared" ref="P70" si="325">IF(C70=D70,0,((E70-D70)-(C70-E70))/(C70-D70))</f>
        <v>0.60575539568345771</v>
      </c>
      <c r="Q70">
        <f t="shared" ref="Q70" si="326">F70*P70</f>
        <v>5357111.7237410471</v>
      </c>
      <c r="R70">
        <f t="shared" ref="R70" si="327">R71+Q70</f>
        <v>38999892.849122852</v>
      </c>
      <c r="S70">
        <f t="shared" ref="S70" si="328">R70/100000</f>
        <v>389.99892849122853</v>
      </c>
      <c r="T70">
        <f t="shared" ref="T70" si="329">S70/1000</f>
        <v>0.38999892849122852</v>
      </c>
    </row>
    <row r="71" spans="1:20" x14ac:dyDescent="0.25">
      <c r="A71" s="5">
        <v>44522</v>
      </c>
      <c r="B71">
        <v>1.1194</v>
      </c>
      <c r="C71">
        <v>1.1224000000000001</v>
      </c>
      <c r="D71">
        <v>1.0628</v>
      </c>
      <c r="E71">
        <v>1.0772999999999999</v>
      </c>
      <c r="F71">
        <v>3479017</v>
      </c>
      <c r="G71">
        <v>1.0772999999999999</v>
      </c>
      <c r="L71" t="s">
        <v>7</v>
      </c>
      <c r="M71" t="s">
        <v>7</v>
      </c>
      <c r="N71" t="s">
        <v>7</v>
      </c>
      <c r="P71">
        <f t="shared" ref="P71" si="330">IF(C71=D71,0,((E71-D71)-(C71-E71))/(C71-D71))</f>
        <v>-0.51342281879194851</v>
      </c>
      <c r="Q71">
        <f t="shared" ref="Q71" si="331">F71*P71</f>
        <v>-1786206.7147651084</v>
      </c>
      <c r="R71">
        <f t="shared" ref="R71" si="332">R72+Q71</f>
        <v>33642781.125381805</v>
      </c>
      <c r="S71">
        <f t="shared" ref="S71" si="333">R71/100000</f>
        <v>336.42781125381805</v>
      </c>
      <c r="T71">
        <f t="shared" ref="T71" si="334">S71/1000</f>
        <v>0.33642781125381804</v>
      </c>
    </row>
    <row r="72" spans="1:20" x14ac:dyDescent="0.25">
      <c r="A72" s="5">
        <v>44521</v>
      </c>
      <c r="B72">
        <v>1.1534</v>
      </c>
      <c r="C72">
        <v>1.1545000000000001</v>
      </c>
      <c r="D72">
        <v>1.1120000000000001</v>
      </c>
      <c r="E72">
        <v>1.1175999999999999</v>
      </c>
      <c r="F72">
        <v>2886782</v>
      </c>
      <c r="G72">
        <v>1.1175999999999999</v>
      </c>
      <c r="L72" t="s">
        <v>8</v>
      </c>
      <c r="M72" t="s">
        <v>7</v>
      </c>
      <c r="N72" t="s">
        <v>7</v>
      </c>
      <c r="P72">
        <f t="shared" ref="P72" si="335">IF(C72=D72,0,((E72-D72)-(C72-E72))/(C72-D72))</f>
        <v>-0.73647058823530209</v>
      </c>
      <c r="Q72">
        <f t="shared" ref="Q72" si="336">F72*P72</f>
        <v>-2126030.037647082</v>
      </c>
      <c r="R72">
        <f t="shared" ref="R72" si="337">R73+Q72</f>
        <v>35428987.840146914</v>
      </c>
      <c r="S72">
        <f t="shared" ref="S72" si="338">R72/100000</f>
        <v>354.28987840146914</v>
      </c>
      <c r="T72">
        <f t="shared" ref="T72" si="339">S72/1000</f>
        <v>0.35428987840146914</v>
      </c>
    </row>
    <row r="73" spans="1:20" x14ac:dyDescent="0.25">
      <c r="A73" s="5">
        <v>44520</v>
      </c>
      <c r="B73">
        <v>1.1415</v>
      </c>
      <c r="C73">
        <v>1.1689000000000001</v>
      </c>
      <c r="D73">
        <v>1.0982000000000001</v>
      </c>
      <c r="E73">
        <v>1.1540999999999999</v>
      </c>
      <c r="F73">
        <v>3408139</v>
      </c>
      <c r="G73">
        <v>1.1540999999999999</v>
      </c>
      <c r="L73" t="s">
        <v>8</v>
      </c>
      <c r="M73" t="s">
        <v>7</v>
      </c>
      <c r="N73" t="s">
        <v>7</v>
      </c>
      <c r="P73">
        <f t="shared" ref="P73" si="340">IF(C73=D73,0,((E73-D73)-(C73-E73))/(C73-D73))</f>
        <v>0.58132956152757709</v>
      </c>
      <c r="Q73">
        <f t="shared" ref="Q73" si="341">F73*P73</f>
        <v>1981251.9504950352</v>
      </c>
      <c r="R73">
        <f t="shared" ref="R73" si="342">R74+Q73</f>
        <v>37555017.877793998</v>
      </c>
      <c r="S73">
        <f t="shared" ref="S73" si="343">R73/100000</f>
        <v>375.55017877793995</v>
      </c>
      <c r="T73">
        <f t="shared" ref="T73" si="344">S73/1000</f>
        <v>0.37555017877793995</v>
      </c>
    </row>
    <row r="74" spans="1:20" x14ac:dyDescent="0.25">
      <c r="A74" s="5">
        <v>44519</v>
      </c>
      <c r="B74">
        <v>1.0573999999999999</v>
      </c>
      <c r="C74">
        <v>1.1513</v>
      </c>
      <c r="D74">
        <v>1.0373000000000001</v>
      </c>
      <c r="E74">
        <v>1.1419999999999999</v>
      </c>
      <c r="F74">
        <v>5153279</v>
      </c>
      <c r="G74">
        <v>1.1419999999999999</v>
      </c>
      <c r="L74" t="s">
        <v>7</v>
      </c>
      <c r="M74" t="s">
        <v>7</v>
      </c>
      <c r="N74" t="s">
        <v>7</v>
      </c>
      <c r="P74">
        <f t="shared" ref="P74" si="345">IF(C74=D74,0,((E74-D74)-(C74-E74))/(C74-D74))</f>
        <v>0.83684210526315617</v>
      </c>
      <c r="Q74">
        <f t="shared" ref="Q74" si="346">F74*P74</f>
        <v>4312480.8473684117</v>
      </c>
      <c r="R74">
        <f t="shared" ref="R74" si="347">R75+Q74</f>
        <v>35573765.927298963</v>
      </c>
      <c r="S74">
        <f t="shared" ref="S74" si="348">R74/100000</f>
        <v>355.73765927298962</v>
      </c>
      <c r="T74">
        <f t="shared" ref="T74" si="349">S74/1000</f>
        <v>0.35573765927298961</v>
      </c>
    </row>
    <row r="75" spans="1:20" x14ac:dyDescent="0.25">
      <c r="A75" s="5">
        <v>44518</v>
      </c>
      <c r="B75">
        <v>1.1537999999999999</v>
      </c>
      <c r="C75">
        <v>1.1849000000000001</v>
      </c>
      <c r="D75">
        <v>1.0364</v>
      </c>
      <c r="E75">
        <v>1.0583</v>
      </c>
      <c r="F75">
        <v>8326388</v>
      </c>
      <c r="G75">
        <v>1.0583</v>
      </c>
      <c r="L75" t="s">
        <v>8</v>
      </c>
      <c r="M75" t="s">
        <v>7</v>
      </c>
      <c r="N75" t="s">
        <v>7</v>
      </c>
      <c r="P75">
        <f t="shared" ref="P75" si="350">IF(C75=D75,0,((E75-D75)-(C75-E75))/(C75-D75))</f>
        <v>-0.70505050505050482</v>
      </c>
      <c r="Q75">
        <f t="shared" ref="Q75" si="351">F75*P75</f>
        <v>-5870524.0646464629</v>
      </c>
      <c r="R75">
        <f t="shared" ref="R75" si="352">R76+Q75</f>
        <v>31261285.079930555</v>
      </c>
      <c r="S75">
        <f t="shared" ref="S75" si="353">R75/100000</f>
        <v>312.61285079930553</v>
      </c>
      <c r="T75">
        <f t="shared" ref="T75" si="354">S75/1000</f>
        <v>0.31261285079930551</v>
      </c>
    </row>
    <row r="76" spans="1:20" x14ac:dyDescent="0.25">
      <c r="A76" s="5">
        <v>44517</v>
      </c>
      <c r="B76">
        <v>1.1187</v>
      </c>
      <c r="C76">
        <v>1.1593</v>
      </c>
      <c r="D76">
        <v>1.0854999999999999</v>
      </c>
      <c r="E76">
        <v>1.1527000000000001</v>
      </c>
      <c r="F76">
        <v>4925059</v>
      </c>
      <c r="G76">
        <v>1.1527000000000001</v>
      </c>
      <c r="L76" t="s">
        <v>8</v>
      </c>
      <c r="M76" t="s">
        <v>7</v>
      </c>
      <c r="N76" t="s">
        <v>7</v>
      </c>
      <c r="P76">
        <f t="shared" ref="P76" si="355">IF(C76=D76,0,((E76-D76)-(C76-E76))/(C76-D76))</f>
        <v>0.82113821138211573</v>
      </c>
      <c r="Q76">
        <f t="shared" ref="Q76" si="356">F76*P76</f>
        <v>4044154.1382113914</v>
      </c>
      <c r="R76">
        <f t="shared" ref="R76" si="357">R77+Q76</f>
        <v>37131809.144577019</v>
      </c>
      <c r="S76">
        <f t="shared" ref="S76" si="358">R76/100000</f>
        <v>371.31809144577016</v>
      </c>
      <c r="T76">
        <f t="shared" ref="T76" si="359">S76/1000</f>
        <v>0.37131809144577016</v>
      </c>
    </row>
    <row r="77" spans="1:20" x14ac:dyDescent="0.25">
      <c r="A77" s="5">
        <v>44516</v>
      </c>
      <c r="B77">
        <v>1.2262</v>
      </c>
      <c r="C77">
        <v>1.2269000000000001</v>
      </c>
      <c r="D77">
        <v>1.0470999999999999</v>
      </c>
      <c r="E77">
        <v>1.1175999999999999</v>
      </c>
      <c r="F77">
        <v>8755549</v>
      </c>
      <c r="G77">
        <v>1.1175999999999999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-0.21579532814238114</v>
      </c>
      <c r="Q77">
        <f t="shared" ref="Q77" si="361">F77*P77</f>
        <v>-1889406.569521697</v>
      </c>
      <c r="R77">
        <f t="shared" ref="R77" si="362">R78+Q77</f>
        <v>33087655.006365627</v>
      </c>
      <c r="S77">
        <f t="shared" ref="S77" si="363">R77/100000</f>
        <v>330.87655006365628</v>
      </c>
      <c r="T77">
        <f t="shared" ref="T77" si="364">S77/1000</f>
        <v>0.33087655006365629</v>
      </c>
    </row>
    <row r="78" spans="1:20" x14ac:dyDescent="0.25">
      <c r="A78" s="5">
        <v>44515</v>
      </c>
      <c r="B78">
        <v>1.2762</v>
      </c>
      <c r="C78">
        <v>1.2988999999999999</v>
      </c>
      <c r="D78">
        <v>1.2202999999999999</v>
      </c>
      <c r="E78">
        <v>1.2261</v>
      </c>
      <c r="F78">
        <v>4589857</v>
      </c>
      <c r="G78">
        <v>1.2261</v>
      </c>
      <c r="L78" t="s">
        <v>7</v>
      </c>
      <c r="M78" t="s">
        <v>8</v>
      </c>
      <c r="N78" t="s">
        <v>7</v>
      </c>
      <c r="P78">
        <f t="shared" ref="P78" si="365">IF(C78=D78,0,((E78-D78)-(C78-E78))/(C78-D78))</f>
        <v>-0.85241730279898154</v>
      </c>
      <c r="Q78">
        <f t="shared" ref="Q78" si="366">F78*P78</f>
        <v>-3912473.524173025</v>
      </c>
      <c r="R78">
        <f t="shared" ref="R78" si="367">R79+Q78</f>
        <v>34977061.575887322</v>
      </c>
      <c r="S78">
        <f t="shared" ref="S78" si="368">R78/100000</f>
        <v>349.77061575887325</v>
      </c>
      <c r="T78">
        <f t="shared" ref="T78" si="369">S78/1000</f>
        <v>0.34977061575887325</v>
      </c>
    </row>
    <row r="79" spans="1:20" x14ac:dyDescent="0.25">
      <c r="A79" s="5">
        <v>44514</v>
      </c>
      <c r="B79">
        <v>1.2966</v>
      </c>
      <c r="C79">
        <v>1.3048999999999999</v>
      </c>
      <c r="D79">
        <v>1.2393000000000001</v>
      </c>
      <c r="E79">
        <v>1.2753000000000001</v>
      </c>
      <c r="F79">
        <v>3413243</v>
      </c>
      <c r="G79">
        <v>1.2753000000000001</v>
      </c>
      <c r="L79" t="s">
        <v>7</v>
      </c>
      <c r="M79" t="s">
        <v>8</v>
      </c>
      <c r="N79" t="s">
        <v>7</v>
      </c>
      <c r="P79">
        <f t="shared" ref="P79" si="370">IF(C79=D79,0,((E79-D79)-(C79-E79))/(C79-D79))</f>
        <v>9.7560975609759071E-2</v>
      </c>
      <c r="Q79">
        <f t="shared" ref="Q79" si="371">F79*P79</f>
        <v>332999.31707318086</v>
      </c>
      <c r="R79">
        <f t="shared" ref="R79" si="372">R80+Q79</f>
        <v>38889535.100060344</v>
      </c>
      <c r="S79">
        <f t="shared" ref="S79" si="373">R79/100000</f>
        <v>388.89535100060345</v>
      </c>
      <c r="T79">
        <f t="shared" ref="T79" si="374">S79/1000</f>
        <v>0.38889535100060346</v>
      </c>
    </row>
    <row r="80" spans="1:20" x14ac:dyDescent="0.25">
      <c r="A80" s="5">
        <v>44513</v>
      </c>
      <c r="B80">
        <v>1.3216000000000001</v>
      </c>
      <c r="C80">
        <v>1.3346</v>
      </c>
      <c r="D80">
        <v>1.2746999999999999</v>
      </c>
      <c r="E80">
        <v>1.2961</v>
      </c>
      <c r="F80">
        <v>5719717</v>
      </c>
      <c r="G80">
        <v>1.2961</v>
      </c>
      <c r="L80" t="s">
        <v>7</v>
      </c>
      <c r="M80" t="s">
        <v>8</v>
      </c>
      <c r="N80" t="s">
        <v>7</v>
      </c>
      <c r="P80">
        <f t="shared" ref="P80" si="375">IF(C80=D80,0,((E80-D80)-(C80-E80))/(C80-D80))</f>
        <v>-0.28547579298831177</v>
      </c>
      <c r="Q80">
        <f t="shared" ref="Q80" si="376">F80*P80</f>
        <v>-1632840.7462437276</v>
      </c>
      <c r="R80">
        <f t="shared" ref="R80" si="377">R81+Q80</f>
        <v>38556535.782987162</v>
      </c>
      <c r="S80">
        <f t="shared" ref="S80" si="378">R80/100000</f>
        <v>385.56535782987163</v>
      </c>
      <c r="T80">
        <f t="shared" ref="T80" si="379">S80/1000</f>
        <v>0.38556535782987161</v>
      </c>
    </row>
    <row r="81" spans="1:20" x14ac:dyDescent="0.25">
      <c r="A81" s="5">
        <v>44512</v>
      </c>
      <c r="B81">
        <v>1.3129999999999999</v>
      </c>
      <c r="C81">
        <v>1.43</v>
      </c>
      <c r="D81">
        <v>1.238</v>
      </c>
      <c r="E81">
        <v>1.3216000000000001</v>
      </c>
      <c r="F81">
        <v>16005338</v>
      </c>
      <c r="G81">
        <v>1.3216000000000001</v>
      </c>
      <c r="L81" t="s">
        <v>8</v>
      </c>
      <c r="M81" t="s">
        <v>8</v>
      </c>
      <c r="N81" t="s">
        <v>7</v>
      </c>
      <c r="P81">
        <f t="shared" ref="P81" si="380">IF(C81=D81,0,((E81-D81)-(C81-E81))/(C81-D81))</f>
        <v>-0.12916666666666521</v>
      </c>
      <c r="Q81">
        <f t="shared" ref="Q81" si="381">F81*P81</f>
        <v>-2067356.1583333099</v>
      </c>
      <c r="R81">
        <f t="shared" ref="R81" si="382">R82+Q81</f>
        <v>40189376.529230893</v>
      </c>
      <c r="S81">
        <f t="shared" ref="S81" si="383">R81/100000</f>
        <v>401.8937652923089</v>
      </c>
      <c r="T81">
        <f t="shared" ref="T81" si="384">S81/1000</f>
        <v>0.40189376529230891</v>
      </c>
    </row>
    <row r="82" spans="1:20" x14ac:dyDescent="0.25">
      <c r="A82" s="5">
        <v>44511</v>
      </c>
      <c r="B82">
        <v>1.2064999999999999</v>
      </c>
      <c r="C82">
        <v>1.3389</v>
      </c>
      <c r="D82">
        <v>1.1817</v>
      </c>
      <c r="E82">
        <v>1.3129999999999999</v>
      </c>
      <c r="F82">
        <v>14075877</v>
      </c>
      <c r="G82">
        <v>1.3129999999999999</v>
      </c>
      <c r="L82" t="s">
        <v>8</v>
      </c>
      <c r="M82" t="s">
        <v>7</v>
      </c>
      <c r="N82" t="s">
        <v>7</v>
      </c>
      <c r="P82">
        <f t="shared" ref="P82" si="385">IF(C82=D82,0,((E82-D82)-(C82-E82))/(C82-D82))</f>
        <v>0.67048346055979602</v>
      </c>
      <c r="Q82">
        <f t="shared" ref="Q82" si="386">F82*P82</f>
        <v>9437642.7213740405</v>
      </c>
      <c r="R82">
        <f t="shared" ref="R82" si="387">R83+Q82</f>
        <v>42256732.687564202</v>
      </c>
      <c r="S82">
        <f t="shared" ref="S82" si="388">R82/100000</f>
        <v>422.56732687564204</v>
      </c>
      <c r="T82">
        <f t="shared" ref="T82" si="389">S82/1000</f>
        <v>0.42256732687564202</v>
      </c>
    </row>
    <row r="83" spans="1:20" x14ac:dyDescent="0.25">
      <c r="A83" s="5">
        <v>44510</v>
      </c>
      <c r="B83">
        <v>1.3083</v>
      </c>
      <c r="C83">
        <v>1.4320999999999999</v>
      </c>
      <c r="D83">
        <v>1.1910000000000001</v>
      </c>
      <c r="E83">
        <v>1.2058</v>
      </c>
      <c r="F83">
        <v>18575798</v>
      </c>
      <c r="G83">
        <v>1.2058</v>
      </c>
      <c r="L83" t="s">
        <v>7</v>
      </c>
      <c r="M83" t="s">
        <v>7</v>
      </c>
      <c r="N83" t="s">
        <v>7</v>
      </c>
      <c r="P83">
        <f t="shared" ref="P83" si="390">IF(C83=D83,0,((E83-D83)-(C83-E83))/(C83-D83))</f>
        <v>-0.87722936540854468</v>
      </c>
      <c r="Q83">
        <f t="shared" ref="Q83" si="391">F83*P83</f>
        <v>-16295235.491497314</v>
      </c>
      <c r="R83">
        <f t="shared" ref="R83" si="392">R84+Q83</f>
        <v>32819089.966190159</v>
      </c>
      <c r="S83">
        <f t="shared" ref="S83" si="393">R83/100000</f>
        <v>328.1908996619016</v>
      </c>
      <c r="T83">
        <f t="shared" ref="T83" si="394">S83/1000</f>
        <v>0.32819089966190157</v>
      </c>
    </row>
    <row r="84" spans="1:20" x14ac:dyDescent="0.25">
      <c r="A84" s="5">
        <v>44509</v>
      </c>
      <c r="B84">
        <v>1.2636000000000001</v>
      </c>
      <c r="C84">
        <v>1.4584999999999999</v>
      </c>
      <c r="D84">
        <v>1.2476</v>
      </c>
      <c r="E84">
        <v>1.3099000000000001</v>
      </c>
      <c r="F84">
        <v>25634017</v>
      </c>
      <c r="G84">
        <v>1.3099000000000001</v>
      </c>
      <c r="L84" t="s">
        <v>8</v>
      </c>
      <c r="M84" t="s">
        <v>8</v>
      </c>
      <c r="N84" t="s">
        <v>7</v>
      </c>
      <c r="P84">
        <f t="shared" ref="P84" si="395">IF(C84=D84,0,((E84-D84)-(C84-E84))/(C84-D84))</f>
        <v>-0.40919867235656648</v>
      </c>
      <c r="Q84">
        <f t="shared" ref="Q84" si="396">F84*P84</f>
        <v>-10489405.723565655</v>
      </c>
      <c r="R84">
        <f t="shared" ref="R84" si="397">R85+Q84</f>
        <v>49114325.457687475</v>
      </c>
      <c r="S84">
        <f t="shared" ref="S84" si="398">R84/100000</f>
        <v>491.14325457687477</v>
      </c>
      <c r="T84">
        <f t="shared" ref="T84" si="399">S84/1000</f>
        <v>0.49114325457687474</v>
      </c>
    </row>
    <row r="85" spans="1:20" x14ac:dyDescent="0.25">
      <c r="A85" s="5">
        <v>44508</v>
      </c>
      <c r="B85">
        <v>1.2174</v>
      </c>
      <c r="C85">
        <v>1.2790999999999999</v>
      </c>
      <c r="D85">
        <v>1.1883999999999999</v>
      </c>
      <c r="E85">
        <v>1.2622</v>
      </c>
      <c r="F85">
        <v>8906366</v>
      </c>
      <c r="G85">
        <v>1.2622</v>
      </c>
      <c r="L85" t="s">
        <v>8</v>
      </c>
      <c r="M85" t="s">
        <v>7</v>
      </c>
      <c r="N85" t="s">
        <v>7</v>
      </c>
      <c r="P85">
        <f t="shared" ref="P85" si="400">IF(C85=D85,0,((E85-D85)-(C85-E85))/(C85-D85))</f>
        <v>0.62734288864388277</v>
      </c>
      <c r="Q85">
        <f t="shared" ref="Q85" si="401">F85*P85</f>
        <v>5587345.3737596637</v>
      </c>
      <c r="R85">
        <f t="shared" ref="R85" si="402">R86+Q85</f>
        <v>59603731.181253128</v>
      </c>
      <c r="S85">
        <f t="shared" ref="S85" si="403">R85/100000</f>
        <v>596.03731181253124</v>
      </c>
      <c r="T85">
        <f t="shared" ref="T85" si="404">S85/1000</f>
        <v>0.59603731181253128</v>
      </c>
    </row>
    <row r="86" spans="1:20" x14ac:dyDescent="0.25">
      <c r="A86" s="5">
        <v>44507</v>
      </c>
      <c r="B86">
        <v>1.2381</v>
      </c>
      <c r="C86">
        <v>1.2543</v>
      </c>
      <c r="D86">
        <v>1.2008000000000001</v>
      </c>
      <c r="E86">
        <v>1.2174</v>
      </c>
      <c r="F86">
        <v>3230566</v>
      </c>
      <c r="G86">
        <v>1.2174</v>
      </c>
      <c r="L86" t="s">
        <v>8</v>
      </c>
      <c r="M86" t="s">
        <v>7</v>
      </c>
      <c r="N86" t="s">
        <v>7</v>
      </c>
      <c r="P86">
        <f t="shared" ref="P86" si="405">IF(C86=D86,0,((E86-D86)-(C86-E86))/(C86-D86))</f>
        <v>-0.37943925233644915</v>
      </c>
      <c r="Q86">
        <f t="shared" ref="Q86" si="406">F86*P86</f>
        <v>-1225803.5476635532</v>
      </c>
      <c r="R86">
        <f t="shared" ref="R86" si="407">R87+Q86</f>
        <v>54016385.807493463</v>
      </c>
      <c r="S86">
        <f t="shared" ref="S86" si="408">R86/100000</f>
        <v>540.16385807493464</v>
      </c>
      <c r="T86">
        <f t="shared" ref="T86" si="409">S86/1000</f>
        <v>0.54016385807493461</v>
      </c>
    </row>
    <row r="87" spans="1:20" x14ac:dyDescent="0.25">
      <c r="A87" s="5">
        <v>44506</v>
      </c>
      <c r="B87">
        <v>1.1915</v>
      </c>
      <c r="C87">
        <v>1.24</v>
      </c>
      <c r="D87">
        <v>1.1535</v>
      </c>
      <c r="E87">
        <v>1.2398</v>
      </c>
      <c r="F87">
        <v>5694566</v>
      </c>
      <c r="G87">
        <v>1.2398</v>
      </c>
      <c r="L87" t="s">
        <v>7</v>
      </c>
      <c r="M87" t="s">
        <v>7</v>
      </c>
      <c r="N87" t="s">
        <v>7</v>
      </c>
      <c r="P87">
        <f t="shared" ref="P87" si="410">IF(C87=D87,0,((E87-D87)-(C87-E87))/(C87-D87))</f>
        <v>0.99537572254335316</v>
      </c>
      <c r="Q87">
        <f t="shared" ref="Q87" si="411">F87*P87</f>
        <v>5668232.7468208121</v>
      </c>
      <c r="R87">
        <f t="shared" ref="R87" si="412">R88+Q87</f>
        <v>55242189.355157018</v>
      </c>
      <c r="S87">
        <f t="shared" ref="S87" si="413">R87/100000</f>
        <v>552.42189355157018</v>
      </c>
      <c r="T87">
        <f t="shared" ref="T87" si="414">S87/1000</f>
        <v>0.55242189355157023</v>
      </c>
    </row>
    <row r="88" spans="1:20" x14ac:dyDescent="0.25">
      <c r="A88" s="5">
        <v>44505</v>
      </c>
      <c r="B88">
        <v>1.1941999999999999</v>
      </c>
      <c r="C88">
        <v>1.2364999999999999</v>
      </c>
      <c r="D88">
        <v>1.1607000000000001</v>
      </c>
      <c r="E88">
        <v>1.1914</v>
      </c>
      <c r="F88">
        <v>6499673</v>
      </c>
      <c r="G88">
        <v>1.1914</v>
      </c>
      <c r="L88" t="s">
        <v>7</v>
      </c>
      <c r="M88" t="s">
        <v>7</v>
      </c>
      <c r="N88" t="s">
        <v>7</v>
      </c>
      <c r="P88">
        <f t="shared" ref="P88" si="415">IF(C88=D88,0,((E88-D88)-(C88-E88))/(C88-D88))</f>
        <v>-0.1899736147757255</v>
      </c>
      <c r="Q88">
        <f t="shared" ref="Q88" si="416">F88*P88</f>
        <v>-1234766.374670184</v>
      </c>
      <c r="R88">
        <f t="shared" ref="R88" si="417">R89+Q88</f>
        <v>49573956.608336203</v>
      </c>
      <c r="S88">
        <f t="shared" ref="S88" si="418">R88/100000</f>
        <v>495.73956608336204</v>
      </c>
      <c r="T88">
        <f t="shared" ref="T88" si="419">S88/1000</f>
        <v>0.49573956608336206</v>
      </c>
    </row>
    <row r="89" spans="1:20" x14ac:dyDescent="0.25">
      <c r="A89" s="5">
        <v>44504</v>
      </c>
      <c r="B89">
        <v>1.2363999999999999</v>
      </c>
      <c r="C89">
        <v>1.27</v>
      </c>
      <c r="D89">
        <v>1.1500999999999999</v>
      </c>
      <c r="E89">
        <v>1.1941999999999999</v>
      </c>
      <c r="F89">
        <v>8002217</v>
      </c>
      <c r="G89">
        <v>1.1941999999999999</v>
      </c>
      <c r="L89" t="s">
        <v>7</v>
      </c>
      <c r="M89" t="s">
        <v>7</v>
      </c>
      <c r="N89" t="s">
        <v>7</v>
      </c>
      <c r="P89">
        <f t="shared" ref="P89" si="420">IF(C89=D89,0,((E89-D89)-(C89-E89))/(C89-D89))</f>
        <v>-0.26438698915763159</v>
      </c>
      <c r="Q89">
        <f t="shared" ref="Q89" si="421">F89*P89</f>
        <v>-2115682.059216015</v>
      </c>
      <c r="R89">
        <f t="shared" ref="R89" si="422">R90+Q89</f>
        <v>50808722.983006388</v>
      </c>
      <c r="S89">
        <f t="shared" ref="S89" si="423">R89/100000</f>
        <v>508.0872298300639</v>
      </c>
      <c r="T89">
        <f t="shared" ref="T89" si="424">S89/1000</f>
        <v>0.50808722983006394</v>
      </c>
    </row>
    <row r="90" spans="1:20" x14ac:dyDescent="0.25">
      <c r="A90" s="5">
        <v>44503</v>
      </c>
      <c r="B90">
        <v>1.3144</v>
      </c>
      <c r="C90">
        <v>1.3165</v>
      </c>
      <c r="D90">
        <v>1.1836</v>
      </c>
      <c r="E90">
        <v>1.2375</v>
      </c>
      <c r="F90">
        <v>10867135</v>
      </c>
      <c r="G90">
        <v>1.2375</v>
      </c>
      <c r="L90" t="s">
        <v>7</v>
      </c>
      <c r="M90" t="s">
        <v>7</v>
      </c>
      <c r="N90" t="s">
        <v>7</v>
      </c>
      <c r="P90">
        <f t="shared" ref="P90" si="425">IF(C90=D90,0,((E90-D90)-(C90-E90))/(C90-D90))</f>
        <v>-0.1888638073739646</v>
      </c>
      <c r="Q90">
        <f t="shared" ref="Q90" si="426">F90*P90</f>
        <v>-2052408.4913468689</v>
      </c>
      <c r="R90">
        <f t="shared" ref="R90" si="427">R91+Q90</f>
        <v>52924405.042222403</v>
      </c>
      <c r="S90">
        <f t="shared" ref="S90" si="428">R90/100000</f>
        <v>529.24405042222406</v>
      </c>
      <c r="T90">
        <f t="shared" ref="T90" si="429">S90/1000</f>
        <v>0.52924405042222411</v>
      </c>
    </row>
    <row r="91" spans="1:20" x14ac:dyDescent="0.25">
      <c r="A91" s="5">
        <v>44502</v>
      </c>
      <c r="B91">
        <v>1.2395</v>
      </c>
      <c r="C91">
        <v>1.46</v>
      </c>
      <c r="D91">
        <v>1.2295</v>
      </c>
      <c r="E91">
        <v>1.3122</v>
      </c>
      <c r="F91">
        <v>43514879</v>
      </c>
      <c r="G91">
        <v>1.3122</v>
      </c>
      <c r="L91" t="s">
        <v>8</v>
      </c>
      <c r="M91" t="s">
        <v>8</v>
      </c>
      <c r="N91" t="s">
        <v>7</v>
      </c>
      <c r="P91">
        <f t="shared" ref="P91" si="430">IF(C91=D91,0,((E91-D91)-(C91-E91))/(C91-D91))</f>
        <v>-0.28242950108459852</v>
      </c>
      <c r="Q91">
        <f t="shared" ref="Q91" si="431">F91*P91</f>
        <v>-12289885.565726673</v>
      </c>
      <c r="R91">
        <f t="shared" ref="R91" si="432">R92+Q91</f>
        <v>54976813.533569269</v>
      </c>
      <c r="S91">
        <f t="shared" ref="S91" si="433">R91/100000</f>
        <v>549.7681353356927</v>
      </c>
      <c r="T91">
        <f t="shared" ref="T91" si="434">S91/1000</f>
        <v>0.54976813533569269</v>
      </c>
    </row>
    <row r="92" spans="1:20" x14ac:dyDescent="0.25">
      <c r="A92" s="5">
        <v>44501</v>
      </c>
      <c r="B92">
        <v>1.1881999999999999</v>
      </c>
      <c r="C92">
        <v>1.2981</v>
      </c>
      <c r="D92">
        <v>1.1033999999999999</v>
      </c>
      <c r="E92">
        <v>1.2410000000000001</v>
      </c>
      <c r="F92">
        <v>33776182</v>
      </c>
      <c r="G92">
        <v>1.2410000000000001</v>
      </c>
      <c r="L92" t="s">
        <v>7</v>
      </c>
      <c r="M92" t="s">
        <v>7</v>
      </c>
      <c r="N92" t="s">
        <v>7</v>
      </c>
      <c r="P92">
        <f t="shared" ref="P92" si="435">IF(C92=D92,0,((E92-D92)-(C92-E92))/(C92-D92))</f>
        <v>0.4134565998972789</v>
      </c>
      <c r="Q92">
        <f t="shared" ref="Q92" si="436">F92*P92</f>
        <v>13964985.367231673</v>
      </c>
      <c r="R92">
        <f t="shared" ref="R92" si="437">R93+Q92</f>
        <v>67266699.099295944</v>
      </c>
      <c r="S92">
        <f t="shared" ref="S92" si="438">R92/100000</f>
        <v>672.66699099295943</v>
      </c>
      <c r="T92">
        <f t="shared" ref="T92" si="439">S92/1000</f>
        <v>0.67266699099295946</v>
      </c>
    </row>
    <row r="93" spans="1:20" x14ac:dyDescent="0.25">
      <c r="A93" s="5">
        <v>44500</v>
      </c>
      <c r="B93">
        <v>1.1505000000000001</v>
      </c>
      <c r="C93">
        <v>1.69</v>
      </c>
      <c r="D93">
        <v>1.1352</v>
      </c>
      <c r="E93">
        <v>1.1875</v>
      </c>
      <c r="F93">
        <v>131327529.40000001</v>
      </c>
      <c r="G93">
        <v>1.1875</v>
      </c>
      <c r="L93" t="s">
        <v>8</v>
      </c>
      <c r="M93" t="s">
        <v>8</v>
      </c>
      <c r="N93" t="s">
        <v>8</v>
      </c>
      <c r="P93">
        <f t="shared" ref="P93" si="440">IF(C93=D93,0,((E93-D93)-(C93-E93))/(C93-D93))</f>
        <v>-0.81146359048305694</v>
      </c>
      <c r="Q93">
        <f t="shared" ref="Q93" si="441">F93*P93</f>
        <v>-106567508.53619322</v>
      </c>
      <c r="R93">
        <f t="shared" ref="R93" si="442">R94+Q93</f>
        <v>53301713.732064277</v>
      </c>
      <c r="S93">
        <f t="shared" ref="S93" si="443">R93/100000</f>
        <v>533.01713732064275</v>
      </c>
      <c r="T93">
        <f t="shared" ref="T93" si="444">S93/1000</f>
        <v>0.53301713732064271</v>
      </c>
    </row>
    <row r="94" spans="1:20" x14ac:dyDescent="0.25">
      <c r="A94" s="5">
        <v>44499</v>
      </c>
      <c r="B94">
        <v>1.0519000000000001</v>
      </c>
      <c r="C94">
        <v>1.3675999999999999</v>
      </c>
      <c r="D94">
        <v>1.02</v>
      </c>
      <c r="E94">
        <v>1.1519999999999999</v>
      </c>
      <c r="F94">
        <v>42294397.789999999</v>
      </c>
      <c r="G94">
        <v>1.1519999999999999</v>
      </c>
      <c r="L94" t="s">
        <v>8</v>
      </c>
      <c r="M94" t="s">
        <v>8</v>
      </c>
      <c r="N94" t="s">
        <v>8</v>
      </c>
      <c r="P94">
        <f t="shared" ref="P94" si="445">IF(C94=D94,0,((E94-D94)-(C94-E94))/(C94-D94))</f>
        <v>-0.24050632911392444</v>
      </c>
      <c r="Q94">
        <f t="shared" ref="Q94" si="446">F94*P94</f>
        <v>-10172070.354556978</v>
      </c>
      <c r="R94">
        <f t="shared" ref="R94" si="447">R95+Q94</f>
        <v>159869222.2682575</v>
      </c>
      <c r="S94">
        <f t="shared" ref="S94" si="448">R94/100000</f>
        <v>1598.692222682575</v>
      </c>
      <c r="T94">
        <f t="shared" ref="T94" si="449">S94/1000</f>
        <v>1.598692222682575</v>
      </c>
    </row>
    <row r="95" spans="1:20" x14ac:dyDescent="0.25">
      <c r="A95" s="5">
        <v>44498</v>
      </c>
      <c r="B95">
        <v>0.97489999999999999</v>
      </c>
      <c r="C95">
        <v>1.0669</v>
      </c>
      <c r="D95">
        <v>0.96630000000000005</v>
      </c>
      <c r="E95">
        <v>1.0523</v>
      </c>
      <c r="F95">
        <v>6712310</v>
      </c>
      <c r="G95">
        <v>1.0523</v>
      </c>
      <c r="L95" t="s">
        <v>8</v>
      </c>
      <c r="M95" t="s">
        <v>8</v>
      </c>
      <c r="N95" t="s">
        <v>8</v>
      </c>
      <c r="P95">
        <f t="shared" ref="P95" si="450">IF(C95=D95,0,((E95-D95)-(C95-E95))/(C95-D95))</f>
        <v>0.7097415506958259</v>
      </c>
      <c r="Q95">
        <f t="shared" ref="Q95" si="451">F95*P95</f>
        <v>4764005.3081510989</v>
      </c>
      <c r="R95">
        <f t="shared" ref="R95" si="452">R96+Q95</f>
        <v>170041292.62281448</v>
      </c>
      <c r="S95">
        <f t="shared" ref="S95" si="453">R95/100000</f>
        <v>1700.4129262281447</v>
      </c>
      <c r="T95">
        <f t="shared" ref="T95" si="454">S95/1000</f>
        <v>1.7004129262281447</v>
      </c>
    </row>
    <row r="96" spans="1:20" x14ac:dyDescent="0.25">
      <c r="A96" s="5">
        <v>44497</v>
      </c>
      <c r="B96">
        <v>0.93130000000000002</v>
      </c>
      <c r="C96">
        <v>0.98870000000000002</v>
      </c>
      <c r="D96">
        <v>0.91900000000000004</v>
      </c>
      <c r="E96">
        <v>0.97719999999999996</v>
      </c>
      <c r="F96">
        <v>5207117</v>
      </c>
      <c r="G96">
        <v>0.97719999999999996</v>
      </c>
      <c r="L96" t="s">
        <v>8</v>
      </c>
      <c r="M96" t="s">
        <v>7</v>
      </c>
      <c r="N96" t="s">
        <v>8</v>
      </c>
      <c r="P96">
        <f t="shared" ref="P96" si="455">IF(C96=D96,0,((E96-D96)-(C96-E96))/(C96-D96))</f>
        <v>0.67001434720229358</v>
      </c>
      <c r="Q96">
        <f t="shared" ref="Q96" si="456">F96*P96</f>
        <v>3488843.0975609655</v>
      </c>
      <c r="R96">
        <f t="shared" ref="R96" si="457">R97+Q96</f>
        <v>165277287.31466338</v>
      </c>
      <c r="S96">
        <f t="shared" ref="S96" si="458">R96/100000</f>
        <v>1652.7728731466339</v>
      </c>
      <c r="T96">
        <f t="shared" ref="T96" si="459">S96/1000</f>
        <v>1.6527728731466338</v>
      </c>
    </row>
    <row r="97" spans="1:20" x14ac:dyDescent="0.25">
      <c r="A97" s="5">
        <v>44496</v>
      </c>
      <c r="B97">
        <v>1.0679000000000001</v>
      </c>
      <c r="C97">
        <v>1.0771999999999999</v>
      </c>
      <c r="D97">
        <v>0.9042</v>
      </c>
      <c r="E97">
        <v>0.93130000000000002</v>
      </c>
      <c r="F97">
        <v>8860439</v>
      </c>
      <c r="G97">
        <v>0.93130000000000002</v>
      </c>
      <c r="L97" t="s">
        <v>7</v>
      </c>
      <c r="M97" t="s">
        <v>7</v>
      </c>
      <c r="N97" t="s">
        <v>8</v>
      </c>
      <c r="P97">
        <f t="shared" ref="P97" si="460">IF(C97=D97,0,((E97-D97)-(C97-E97))/(C97-D97))</f>
        <v>-0.6867052023121385</v>
      </c>
      <c r="Q97">
        <f t="shared" ref="Q97" si="461">F97*P97</f>
        <v>-6084509.556069362</v>
      </c>
      <c r="R97">
        <f t="shared" ref="R97" si="462">R98+Q97</f>
        <v>161788444.21710241</v>
      </c>
      <c r="S97">
        <f t="shared" ref="S97" si="463">R97/100000</f>
        <v>1617.8844421710241</v>
      </c>
      <c r="T97">
        <f t="shared" ref="T97" si="464">S97/1000</f>
        <v>1.6178844421710241</v>
      </c>
    </row>
    <row r="98" spans="1:20" x14ac:dyDescent="0.25">
      <c r="A98" s="5">
        <v>44495</v>
      </c>
      <c r="B98">
        <v>1.0114000000000001</v>
      </c>
      <c r="C98">
        <v>1.1000000000000001</v>
      </c>
      <c r="D98">
        <v>1.0061</v>
      </c>
      <c r="E98">
        <v>1.0670999999999999</v>
      </c>
      <c r="F98">
        <v>11246444</v>
      </c>
      <c r="G98">
        <v>1.0670999999999999</v>
      </c>
      <c r="L98" t="s">
        <v>8</v>
      </c>
      <c r="M98" t="s">
        <v>7</v>
      </c>
      <c r="N98" t="s">
        <v>8</v>
      </c>
      <c r="P98">
        <f t="shared" ref="P98" si="465">IF(C98=D98,0,((E98-D98)-(C98-E98))/(C98-D98))</f>
        <v>0.29925452609158426</v>
      </c>
      <c r="Q98">
        <f t="shared" ref="Q98" si="466">F98*P98</f>
        <v>3365549.2694355412</v>
      </c>
      <c r="R98">
        <f t="shared" ref="R98" si="467">R99+Q98</f>
        <v>167872953.77317178</v>
      </c>
      <c r="S98">
        <f t="shared" ref="S98" si="468">R98/100000</f>
        <v>1678.7295377317178</v>
      </c>
      <c r="T98">
        <f t="shared" ref="T98" si="469">S98/1000</f>
        <v>1.6787295377317177</v>
      </c>
    </row>
    <row r="99" spans="1:20" x14ac:dyDescent="0.25">
      <c r="A99" s="5">
        <v>44494</v>
      </c>
      <c r="B99">
        <v>0.99470000000000003</v>
      </c>
      <c r="C99">
        <v>1.0201</v>
      </c>
      <c r="D99">
        <v>0.98970000000000002</v>
      </c>
      <c r="E99">
        <v>1.0111000000000001</v>
      </c>
      <c r="F99">
        <v>3131711</v>
      </c>
      <c r="G99">
        <v>1.0111000000000001</v>
      </c>
      <c r="L99" t="s">
        <v>7</v>
      </c>
      <c r="M99" t="s">
        <v>7</v>
      </c>
      <c r="N99" t="s">
        <v>8</v>
      </c>
      <c r="P99">
        <f t="shared" ref="P99" si="470">IF(C99=D99,0,((E99-D99)-(C99-E99))/(C99-D99))</f>
        <v>0.40789473684211169</v>
      </c>
      <c r="Q99">
        <f t="shared" ref="Q99" si="471">F99*P99</f>
        <v>1277408.4342105465</v>
      </c>
      <c r="R99">
        <f t="shared" ref="R99" si="472">R100+Q99</f>
        <v>164507404.50373623</v>
      </c>
      <c r="S99">
        <f t="shared" ref="S99" si="473">R99/100000</f>
        <v>1645.0740450373623</v>
      </c>
      <c r="T99">
        <f t="shared" ref="T99" si="474">S99/1000</f>
        <v>1.6450740450373624</v>
      </c>
    </row>
    <row r="100" spans="1:20" x14ac:dyDescent="0.25">
      <c r="A100" s="5">
        <v>44493</v>
      </c>
      <c r="B100">
        <v>1.0145999999999999</v>
      </c>
      <c r="C100">
        <v>1.0215000000000001</v>
      </c>
      <c r="D100">
        <v>0.97219999999999995</v>
      </c>
      <c r="E100">
        <v>0.99580000000000002</v>
      </c>
      <c r="F100">
        <v>2183974</v>
      </c>
      <c r="G100">
        <v>0.99580000000000002</v>
      </c>
      <c r="L100" t="s">
        <v>7</v>
      </c>
      <c r="M100" t="s">
        <v>7</v>
      </c>
      <c r="N100" t="s">
        <v>8</v>
      </c>
      <c r="P100">
        <f t="shared" ref="P100" si="475">IF(C100=D100,0,((E100-D100)-(C100-E100))/(C100-D100))</f>
        <v>-4.2596348884381047E-2</v>
      </c>
      <c r="Q100">
        <f t="shared" ref="Q100" si="476">F100*P100</f>
        <v>-93029.318458417212</v>
      </c>
      <c r="R100">
        <f t="shared" ref="R100" si="477">R101+Q100</f>
        <v>163229996.06952569</v>
      </c>
      <c r="S100">
        <f t="shared" ref="S100" si="478">R100/100000</f>
        <v>1632.2999606952569</v>
      </c>
      <c r="T100">
        <f t="shared" ref="T100" si="479">S100/1000</f>
        <v>1.6322999606952568</v>
      </c>
    </row>
    <row r="101" spans="1:20" x14ac:dyDescent="0.25">
      <c r="A101" s="5">
        <v>44492</v>
      </c>
      <c r="B101">
        <v>1.0029999999999999</v>
      </c>
      <c r="C101">
        <v>1.0232000000000001</v>
      </c>
      <c r="D101">
        <v>0.98570000000000002</v>
      </c>
      <c r="E101">
        <v>1.0144</v>
      </c>
      <c r="F101">
        <v>1698265</v>
      </c>
      <c r="G101">
        <v>1.0144</v>
      </c>
      <c r="L101" t="s">
        <v>7</v>
      </c>
      <c r="M101" t="s">
        <v>7</v>
      </c>
      <c r="N101" t="s">
        <v>8</v>
      </c>
      <c r="P101">
        <f t="shared" ref="P101" si="480">IF(C101=D101,0,((E101-D101)-(C101-E101))/(C101-D101))</f>
        <v>0.53066666666666029</v>
      </c>
      <c r="Q101">
        <f t="shared" ref="Q101" si="481">F101*P101</f>
        <v>901212.62666665588</v>
      </c>
      <c r="R101">
        <f t="shared" ref="R101" si="482">R102+Q101</f>
        <v>163323025.3879841</v>
      </c>
      <c r="S101">
        <f t="shared" ref="S101" si="483">R101/100000</f>
        <v>1633.230253879841</v>
      </c>
      <c r="T101">
        <f t="shared" ref="T101" si="484">S101/1000</f>
        <v>1.6332302538798411</v>
      </c>
    </row>
    <row r="102" spans="1:20" x14ac:dyDescent="0.25">
      <c r="A102" s="5">
        <v>44491</v>
      </c>
      <c r="B102">
        <v>1.0061</v>
      </c>
      <c r="C102">
        <v>1.0326</v>
      </c>
      <c r="D102">
        <v>0.98499999999999999</v>
      </c>
      <c r="E102">
        <v>1.0033000000000001</v>
      </c>
      <c r="F102">
        <v>3293162</v>
      </c>
      <c r="G102">
        <v>1.0033000000000001</v>
      </c>
      <c r="L102" t="s">
        <v>7</v>
      </c>
      <c r="M102" t="s">
        <v>7</v>
      </c>
      <c r="N102" t="s">
        <v>8</v>
      </c>
      <c r="P102">
        <f t="shared" ref="P102" si="485">IF(C102=D102,0,((E102-D102)-(C102-E102))/(C102-D102))</f>
        <v>-0.23109243697478557</v>
      </c>
      <c r="Q102">
        <f t="shared" ref="Q102" si="486">F102*P102</f>
        <v>-761024.8319327588</v>
      </c>
      <c r="R102">
        <f t="shared" ref="R102" si="487">R103+Q102</f>
        <v>162421812.76131743</v>
      </c>
      <c r="S102">
        <f t="shared" ref="S102" si="488">R102/100000</f>
        <v>1624.2181276131744</v>
      </c>
      <c r="T102">
        <f t="shared" ref="T102" si="489">S102/1000</f>
        <v>1.6242181276131744</v>
      </c>
    </row>
    <row r="103" spans="1:20" x14ac:dyDescent="0.25">
      <c r="A103" s="5">
        <v>44490</v>
      </c>
      <c r="B103">
        <v>1.0044999999999999</v>
      </c>
      <c r="C103">
        <v>1.0909</v>
      </c>
      <c r="D103">
        <v>0.99409999999999998</v>
      </c>
      <c r="E103">
        <v>1.0055000000000001</v>
      </c>
      <c r="F103">
        <v>10006177</v>
      </c>
      <c r="G103">
        <v>1.0055000000000001</v>
      </c>
      <c r="L103" t="s">
        <v>8</v>
      </c>
      <c r="M103" t="s">
        <v>7</v>
      </c>
      <c r="N103" t="s">
        <v>8</v>
      </c>
      <c r="P103">
        <f t="shared" ref="P103" si="490">IF(C103=D103,0,((E103-D103)-(C103-E103))/(C103-D103))</f>
        <v>-0.76446280991735382</v>
      </c>
      <c r="Q103">
        <f t="shared" ref="Q103" si="491">F103*P103</f>
        <v>-7649350.1859503975</v>
      </c>
      <c r="R103">
        <f t="shared" ref="R103" si="492">R104+Q103</f>
        <v>163182837.59325019</v>
      </c>
      <c r="S103">
        <f t="shared" ref="S103" si="493">R103/100000</f>
        <v>1631.8283759325018</v>
      </c>
      <c r="T103">
        <f t="shared" ref="T103" si="494">S103/1000</f>
        <v>1.6318283759325019</v>
      </c>
    </row>
    <row r="104" spans="1:20" x14ac:dyDescent="0.25">
      <c r="A104" s="5">
        <v>44489</v>
      </c>
      <c r="B104">
        <v>0.96589999999999998</v>
      </c>
      <c r="C104">
        <v>1.0057</v>
      </c>
      <c r="D104">
        <v>0.95530000000000004</v>
      </c>
      <c r="E104">
        <v>1.0039</v>
      </c>
      <c r="F104">
        <v>2374299</v>
      </c>
      <c r="G104">
        <v>1.0039</v>
      </c>
      <c r="L104" t="s">
        <v>8</v>
      </c>
      <c r="M104" t="s">
        <v>7</v>
      </c>
      <c r="N104" t="s">
        <v>8</v>
      </c>
      <c r="P104">
        <f t="shared" ref="P104" si="495">IF(C104=D104,0,((E104-D104)-(C104-E104))/(C104-D104))</f>
        <v>0.9285714285714276</v>
      </c>
      <c r="Q104">
        <f t="shared" ref="Q104" si="496">F104*P104</f>
        <v>2204706.2142857118</v>
      </c>
      <c r="R104">
        <f t="shared" ref="R104" si="497">R105+Q104</f>
        <v>170832187.77920058</v>
      </c>
      <c r="S104">
        <f t="shared" ref="S104" si="498">R104/100000</f>
        <v>1708.3218777920058</v>
      </c>
      <c r="T104">
        <f t="shared" ref="T104" si="499">S104/1000</f>
        <v>1.7083218777920057</v>
      </c>
    </row>
    <row r="105" spans="1:20" x14ac:dyDescent="0.25">
      <c r="A105" s="5">
        <v>44488</v>
      </c>
      <c r="B105">
        <v>0.96919999999999995</v>
      </c>
      <c r="C105">
        <v>0.98729999999999996</v>
      </c>
      <c r="D105">
        <v>0.94230000000000003</v>
      </c>
      <c r="E105">
        <v>0.96650000000000003</v>
      </c>
      <c r="F105">
        <v>2653937</v>
      </c>
      <c r="G105">
        <v>0.96650000000000003</v>
      </c>
      <c r="L105" t="s">
        <v>7</v>
      </c>
      <c r="M105" t="s">
        <v>7</v>
      </c>
      <c r="N105" t="s">
        <v>8</v>
      </c>
      <c r="P105">
        <f t="shared" ref="P105" si="500">IF(C105=D105,0,((E105-D105)-(C105-E105))/(C105-D105))</f>
        <v>7.5555555555557222E-2</v>
      </c>
      <c r="Q105">
        <f t="shared" ref="Q105" si="501">F105*P105</f>
        <v>200519.68444444885</v>
      </c>
      <c r="R105">
        <f t="shared" ref="R105" si="502">R106+Q105</f>
        <v>168627481.56491488</v>
      </c>
      <c r="S105">
        <f t="shared" ref="S105" si="503">R105/100000</f>
        <v>1686.2748156491489</v>
      </c>
      <c r="T105">
        <f t="shared" ref="T105" si="504">S105/1000</f>
        <v>1.6862748156491489</v>
      </c>
    </row>
    <row r="106" spans="1:20" x14ac:dyDescent="0.25">
      <c r="A106" s="5">
        <v>44487</v>
      </c>
      <c r="B106">
        <v>0.99029999999999996</v>
      </c>
      <c r="C106">
        <v>0.99809999999999999</v>
      </c>
      <c r="D106">
        <v>0.95009999999999994</v>
      </c>
      <c r="E106">
        <v>0.96970000000000001</v>
      </c>
      <c r="F106">
        <v>2721913</v>
      </c>
      <c r="G106">
        <v>0.96970000000000001</v>
      </c>
      <c r="L106" t="s">
        <v>7</v>
      </c>
      <c r="M106" t="s">
        <v>7</v>
      </c>
      <c r="N106" t="s">
        <v>8</v>
      </c>
      <c r="P106">
        <f t="shared" ref="P106" si="505">IF(C106=D106,0,((E106-D106)-(C106-E106))/(C106-D106))</f>
        <v>-0.18333333333333149</v>
      </c>
      <c r="Q106">
        <f t="shared" ref="Q106" si="506">F106*P106</f>
        <v>-499017.3833333283</v>
      </c>
      <c r="R106">
        <f t="shared" ref="R106" si="507">R107+Q106</f>
        <v>168426961.88047042</v>
      </c>
      <c r="S106">
        <f t="shared" ref="S106" si="508">R106/100000</f>
        <v>1684.2696188047044</v>
      </c>
      <c r="T106">
        <f t="shared" ref="T106" si="509">S106/1000</f>
        <v>1.6842696188047044</v>
      </c>
    </row>
    <row r="107" spans="1:20" x14ac:dyDescent="0.25">
      <c r="A107" s="5">
        <v>44486</v>
      </c>
      <c r="B107">
        <v>1.0034000000000001</v>
      </c>
      <c r="C107">
        <v>1.0245</v>
      </c>
      <c r="D107">
        <v>0.95409999999999995</v>
      </c>
      <c r="E107">
        <v>0.99080000000000001</v>
      </c>
      <c r="F107">
        <v>2627754</v>
      </c>
      <c r="G107">
        <v>0.99080000000000001</v>
      </c>
      <c r="L107" t="s">
        <v>7</v>
      </c>
      <c r="M107" t="s">
        <v>7</v>
      </c>
      <c r="N107" t="s">
        <v>8</v>
      </c>
      <c r="P107">
        <f t="shared" ref="P107" si="510">IF(C107=D107,0,((E107-D107)-(C107-E107))/(C107-D107))</f>
        <v>4.261363636363797E-2</v>
      </c>
      <c r="Q107">
        <f t="shared" ref="Q107" si="511">F107*P107</f>
        <v>111978.15340909513</v>
      </c>
      <c r="R107">
        <f t="shared" ref="R107" si="512">R108+Q107</f>
        <v>168925979.26380375</v>
      </c>
      <c r="S107">
        <f t="shared" ref="S107" si="513">R107/100000</f>
        <v>1689.2597926380374</v>
      </c>
      <c r="T107">
        <f t="shared" ref="T107" si="514">S107/1000</f>
        <v>1.6892597926380375</v>
      </c>
    </row>
    <row r="108" spans="1:20" x14ac:dyDescent="0.25">
      <c r="A108" s="5">
        <v>44485</v>
      </c>
      <c r="B108">
        <v>1.0250999999999999</v>
      </c>
      <c r="C108">
        <v>1.0345</v>
      </c>
      <c r="D108">
        <v>0.99229999999999996</v>
      </c>
      <c r="E108">
        <v>1.0054000000000001</v>
      </c>
      <c r="F108">
        <v>2840993</v>
      </c>
      <c r="G108">
        <v>1.0054000000000001</v>
      </c>
      <c r="L108" t="s">
        <v>7</v>
      </c>
      <c r="M108" t="s">
        <v>7</v>
      </c>
      <c r="N108" t="s">
        <v>8</v>
      </c>
      <c r="P108">
        <f t="shared" ref="P108" si="515">IF(C108=D108,0,((E108-D108)-(C108-E108))/(C108-D108))</f>
        <v>-0.37914691943127454</v>
      </c>
      <c r="Q108">
        <f t="shared" ref="Q108" si="516">F108*P108</f>
        <v>-1077153.744075815</v>
      </c>
      <c r="R108">
        <f t="shared" ref="R108" si="517">R109+Q108</f>
        <v>168814001.11039466</v>
      </c>
      <c r="S108">
        <f t="shared" ref="S108" si="518">R108/100000</f>
        <v>1688.1400111039466</v>
      </c>
      <c r="T108">
        <f t="shared" ref="T108" si="519">S108/1000</f>
        <v>1.6881400111039466</v>
      </c>
    </row>
    <row r="109" spans="1:20" x14ac:dyDescent="0.25">
      <c r="A109" s="5">
        <v>44484</v>
      </c>
      <c r="B109">
        <v>1.0351999999999999</v>
      </c>
      <c r="C109">
        <v>1.0359</v>
      </c>
      <c r="D109">
        <v>0.97609999999999997</v>
      </c>
      <c r="E109">
        <v>1.0250999999999999</v>
      </c>
      <c r="F109">
        <v>4103516</v>
      </c>
      <c r="G109">
        <v>1.0250999999999999</v>
      </c>
      <c r="L109" t="s">
        <v>7</v>
      </c>
      <c r="M109" t="s">
        <v>7</v>
      </c>
      <c r="N109" t="s">
        <v>8</v>
      </c>
      <c r="P109">
        <f t="shared" ref="P109" si="520">IF(C109=D109,0,((E109-D109)-(C109-E109))/(C109-D109))</f>
        <v>0.63879598662206927</v>
      </c>
      <c r="Q109">
        <f t="shared" ref="Q109" si="521">F109*P109</f>
        <v>2621309.5518394471</v>
      </c>
      <c r="R109">
        <f t="shared" ref="R109" si="522">R110+Q109</f>
        <v>169891154.85447046</v>
      </c>
      <c r="S109">
        <f t="shared" ref="S109" si="523">R109/100000</f>
        <v>1698.9115485447046</v>
      </c>
      <c r="T109">
        <f t="shared" ref="T109" si="524">S109/1000</f>
        <v>1.6989115485447046</v>
      </c>
    </row>
    <row r="110" spans="1:20" x14ac:dyDescent="0.25">
      <c r="A110" s="5">
        <v>44483</v>
      </c>
      <c r="B110">
        <v>1.0295000000000001</v>
      </c>
      <c r="C110">
        <v>1.0461</v>
      </c>
      <c r="D110">
        <v>1.0088999999999999</v>
      </c>
      <c r="E110">
        <v>1.0351999999999999</v>
      </c>
      <c r="F110">
        <v>2887439</v>
      </c>
      <c r="G110">
        <v>1.0351999999999999</v>
      </c>
      <c r="L110" t="s">
        <v>8</v>
      </c>
      <c r="M110" t="s">
        <v>7</v>
      </c>
      <c r="N110" t="s">
        <v>8</v>
      </c>
      <c r="P110">
        <f t="shared" ref="P110" si="525">IF(C110=D110,0,((E110-D110)-(C110-E110))/(C110-D110))</f>
        <v>0.41397849462365077</v>
      </c>
      <c r="Q110">
        <f t="shared" ref="Q110" si="526">F110*P110</f>
        <v>1195337.6505376196</v>
      </c>
      <c r="R110">
        <f t="shared" ref="R110" si="527">R111+Q110</f>
        <v>167269845.30263102</v>
      </c>
      <c r="S110">
        <f t="shared" ref="S110" si="528">R110/100000</f>
        <v>1672.6984530263103</v>
      </c>
      <c r="T110">
        <f t="shared" ref="T110" si="529">S110/1000</f>
        <v>1.6726984530263103</v>
      </c>
    </row>
    <row r="111" spans="1:20" x14ac:dyDescent="0.25">
      <c r="A111" s="5">
        <v>44482</v>
      </c>
      <c r="B111">
        <v>0.99980000000000002</v>
      </c>
      <c r="C111">
        <v>1.0295000000000001</v>
      </c>
      <c r="D111">
        <v>0.97260000000000002</v>
      </c>
      <c r="E111">
        <v>1.0284</v>
      </c>
      <c r="F111">
        <v>3818060</v>
      </c>
      <c r="G111">
        <v>1.0284</v>
      </c>
      <c r="L111" t="s">
        <v>8</v>
      </c>
      <c r="M111" t="s">
        <v>7</v>
      </c>
      <c r="N111" t="s">
        <v>8</v>
      </c>
      <c r="P111">
        <f t="shared" ref="P111" si="530">IF(C111=D111,0,((E111-D111)-(C111-E111))/(C111-D111))</f>
        <v>0.96133567662565556</v>
      </c>
      <c r="Q111">
        <f t="shared" ref="Q111" si="531">F111*P111</f>
        <v>3670437.2934973505</v>
      </c>
      <c r="R111">
        <f t="shared" ref="R111" si="532">R112+Q111</f>
        <v>166074507.65209341</v>
      </c>
      <c r="S111">
        <f t="shared" ref="S111" si="533">R111/100000</f>
        <v>1660.7450765209342</v>
      </c>
      <c r="T111">
        <f t="shared" ref="T111" si="534">S111/1000</f>
        <v>1.6607450765209342</v>
      </c>
    </row>
    <row r="112" spans="1:20" x14ac:dyDescent="0.25">
      <c r="A112" s="5">
        <v>44481</v>
      </c>
      <c r="B112">
        <v>1.0166999999999999</v>
      </c>
      <c r="C112">
        <v>1.0168999999999999</v>
      </c>
      <c r="D112">
        <v>0.93720000000000003</v>
      </c>
      <c r="E112">
        <v>0.99939999999999996</v>
      </c>
      <c r="F112">
        <v>4401582</v>
      </c>
      <c r="G112">
        <v>0.99939999999999996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0.56085319949811829</v>
      </c>
      <c r="Q112">
        <f t="shared" ref="Q112" si="536">F112*P112</f>
        <v>2468641.3475533263</v>
      </c>
      <c r="R112">
        <f t="shared" ref="R112" si="537">R113+Q112</f>
        <v>162404070.35859606</v>
      </c>
      <c r="S112">
        <f t="shared" ref="S112" si="538">R112/100000</f>
        <v>1624.0407035859605</v>
      </c>
      <c r="T112">
        <f t="shared" ref="T112" si="539">S112/1000</f>
        <v>1.6240407035859605</v>
      </c>
    </row>
    <row r="113" spans="1:20" x14ac:dyDescent="0.25">
      <c r="A113" s="5">
        <v>44480</v>
      </c>
      <c r="B113">
        <v>1.0450999999999999</v>
      </c>
      <c r="C113">
        <v>1.0768</v>
      </c>
      <c r="D113">
        <v>0.99</v>
      </c>
      <c r="E113">
        <v>1.0179</v>
      </c>
      <c r="F113">
        <v>3311855</v>
      </c>
      <c r="G113">
        <v>1.0179</v>
      </c>
      <c r="L113" t="s">
        <v>7</v>
      </c>
      <c r="M113" t="s">
        <v>8</v>
      </c>
      <c r="N113" t="s">
        <v>8</v>
      </c>
      <c r="P113">
        <f t="shared" ref="P113" si="540">IF(C113=D113,0,((E113-D113)-(C113-E113))/(C113-D113))</f>
        <v>-0.35714285714285621</v>
      </c>
      <c r="Q113">
        <f t="shared" ref="Q113" si="541">F113*P113</f>
        <v>-1182805.357142854</v>
      </c>
      <c r="R113">
        <f t="shared" ref="R113" si="542">R114+Q113</f>
        <v>159935429.01104274</v>
      </c>
      <c r="S113">
        <f t="shared" ref="S113" si="543">R113/100000</f>
        <v>1599.3542901104274</v>
      </c>
      <c r="T113">
        <f t="shared" ref="T113" si="544">S113/1000</f>
        <v>1.5993542901104274</v>
      </c>
    </row>
    <row r="114" spans="1:20" x14ac:dyDescent="0.25">
      <c r="A114" s="5">
        <v>44479</v>
      </c>
      <c r="B114">
        <v>1.1171</v>
      </c>
      <c r="C114">
        <v>1.1288</v>
      </c>
      <c r="D114">
        <v>1.0323</v>
      </c>
      <c r="E114">
        <v>1.0448999999999999</v>
      </c>
      <c r="F114">
        <v>5942049</v>
      </c>
      <c r="G114">
        <v>1.0448999999999999</v>
      </c>
      <c r="L114" t="s">
        <v>8</v>
      </c>
      <c r="M114" t="s">
        <v>8</v>
      </c>
      <c r="N114" t="s">
        <v>8</v>
      </c>
      <c r="P114">
        <f t="shared" ref="P114" si="545">IF(C114=D114,0,((E114-D114)-(C114-E114))/(C114-D114))</f>
        <v>-0.73886010362694421</v>
      </c>
      <c r="Q114">
        <f t="shared" ref="Q114" si="546">F114*P114</f>
        <v>-4390342.9398963805</v>
      </c>
      <c r="R114">
        <f t="shared" ref="R114" si="547">R115+Q114</f>
        <v>161118234.36818561</v>
      </c>
      <c r="S114">
        <f t="shared" ref="S114" si="548">R114/100000</f>
        <v>1611.1823436818561</v>
      </c>
      <c r="T114">
        <f t="shared" ref="T114" si="549">S114/1000</f>
        <v>1.611182343681856</v>
      </c>
    </row>
    <row r="115" spans="1:20" x14ac:dyDescent="0.25">
      <c r="A115" s="5">
        <v>44478</v>
      </c>
      <c r="B115">
        <v>1.0840000000000001</v>
      </c>
      <c r="C115">
        <v>1.1194</v>
      </c>
      <c r="D115">
        <v>1.0497000000000001</v>
      </c>
      <c r="E115">
        <v>1.1173999999999999</v>
      </c>
      <c r="F115">
        <v>6429854</v>
      </c>
      <c r="G115">
        <v>1.1173999999999999</v>
      </c>
      <c r="L115" t="s">
        <v>8</v>
      </c>
      <c r="M115" t="s">
        <v>8</v>
      </c>
      <c r="N115" t="s">
        <v>8</v>
      </c>
      <c r="P115">
        <f t="shared" ref="P115" si="550">IF(C115=D115,0,((E115-D115)-(C115-E115))/(C115-D115))</f>
        <v>0.94261119081779032</v>
      </c>
      <c r="Q115">
        <f t="shared" ref="Q115" si="551">F115*P115</f>
        <v>6060852.3357245326</v>
      </c>
      <c r="R115">
        <f t="shared" ref="R115" si="552">R116+Q115</f>
        <v>165508577.30808198</v>
      </c>
      <c r="S115">
        <f t="shared" ref="S115" si="553">R115/100000</f>
        <v>1655.0857730808198</v>
      </c>
      <c r="T115">
        <f t="shared" ref="T115" si="554">S115/1000</f>
        <v>1.6550857730808197</v>
      </c>
    </row>
    <row r="116" spans="1:20" x14ac:dyDescent="0.25">
      <c r="A116" s="5">
        <v>44477</v>
      </c>
      <c r="B116">
        <v>1.0283</v>
      </c>
      <c r="C116">
        <v>1.1100000000000001</v>
      </c>
      <c r="D116">
        <v>1.0101</v>
      </c>
      <c r="E116">
        <v>1.0831999999999999</v>
      </c>
      <c r="F116">
        <v>8966751</v>
      </c>
      <c r="G116">
        <v>1.0831999999999999</v>
      </c>
      <c r="L116" t="s">
        <v>8</v>
      </c>
      <c r="M116" t="s">
        <v>8</v>
      </c>
      <c r="N116" t="s">
        <v>8</v>
      </c>
      <c r="P116">
        <f t="shared" ref="P116" si="555">IF(C116=D116,0,((E116-D116)-(C116-E116))/(C116-D116))</f>
        <v>0.46346346346346085</v>
      </c>
      <c r="Q116">
        <f t="shared" ref="Q116" si="556">F116*P116</f>
        <v>4155761.474474451</v>
      </c>
      <c r="R116">
        <f t="shared" ref="R116" si="557">R117+Q116</f>
        <v>159447724.97235745</v>
      </c>
      <c r="S116">
        <f t="shared" ref="S116" si="558">R116/100000</f>
        <v>1594.4772497235745</v>
      </c>
      <c r="T116">
        <f t="shared" ref="T116" si="559">S116/1000</f>
        <v>1.5944772497235744</v>
      </c>
    </row>
    <row r="117" spans="1:20" x14ac:dyDescent="0.25">
      <c r="A117" s="5">
        <v>44476</v>
      </c>
      <c r="B117">
        <v>1.0371999999999999</v>
      </c>
      <c r="C117">
        <v>1.0419</v>
      </c>
      <c r="D117">
        <v>0.99390000000000001</v>
      </c>
      <c r="E117">
        <v>1.0270999999999999</v>
      </c>
      <c r="F117">
        <v>3515412</v>
      </c>
      <c r="G117">
        <v>1.0270999999999999</v>
      </c>
      <c r="L117" t="s">
        <v>7</v>
      </c>
      <c r="M117" t="s">
        <v>8</v>
      </c>
      <c r="N117" t="s">
        <v>7</v>
      </c>
      <c r="P117">
        <f t="shared" ref="P117" si="560">IF(C117=D117,0,((E117-D117)-(C117-E117))/(C117-D117))</f>
        <v>0.38333333333332781</v>
      </c>
      <c r="Q117">
        <f t="shared" ref="Q117" si="561">F117*P117</f>
        <v>1347574.5999999805</v>
      </c>
      <c r="R117">
        <f t="shared" ref="R117" si="562">R118+Q117</f>
        <v>155291963.49788299</v>
      </c>
      <c r="S117">
        <f t="shared" ref="S117" si="563">R117/100000</f>
        <v>1552.9196349788299</v>
      </c>
      <c r="T117">
        <f t="shared" ref="T117" si="564">S117/1000</f>
        <v>1.5529196349788299</v>
      </c>
    </row>
    <row r="118" spans="1:20" x14ac:dyDescent="0.25">
      <c r="A118" s="5">
        <v>44475</v>
      </c>
      <c r="B118">
        <v>1.0266999999999999</v>
      </c>
      <c r="C118">
        <v>1.0647</v>
      </c>
      <c r="D118">
        <v>0.95330000000000004</v>
      </c>
      <c r="E118">
        <v>1.0371999999999999</v>
      </c>
      <c r="F118">
        <v>7714986</v>
      </c>
      <c r="G118">
        <v>1.0371999999999999</v>
      </c>
      <c r="L118" t="s">
        <v>8</v>
      </c>
      <c r="M118" t="s">
        <v>8</v>
      </c>
      <c r="N118" t="s">
        <v>7</v>
      </c>
      <c r="P118">
        <f t="shared" ref="P118" si="565">IF(C118=D118,0,((E118-D118)-(C118-E118))/(C118-D118))</f>
        <v>0.50628366247755663</v>
      </c>
      <c r="Q118">
        <f t="shared" ref="Q118" si="566">F118*P118</f>
        <v>3905971.3680430748</v>
      </c>
      <c r="R118">
        <f t="shared" ref="R118" si="567">R119+Q118</f>
        <v>153944388.897883</v>
      </c>
      <c r="S118">
        <f t="shared" ref="S118" si="568">R118/100000</f>
        <v>1539.44388897883</v>
      </c>
      <c r="T118">
        <f t="shared" ref="T118" si="569">S118/1000</f>
        <v>1.53944388897883</v>
      </c>
    </row>
    <row r="119" spans="1:20" x14ac:dyDescent="0.25">
      <c r="A119" s="5">
        <v>44474</v>
      </c>
      <c r="B119">
        <v>0.97270000000000001</v>
      </c>
      <c r="C119">
        <v>1.0307999999999999</v>
      </c>
      <c r="D119">
        <v>0.95860000000000001</v>
      </c>
      <c r="E119">
        <v>1.0263</v>
      </c>
      <c r="F119">
        <v>6562275</v>
      </c>
      <c r="G119">
        <v>1.0263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0.87534626038781294</v>
      </c>
      <c r="Q119">
        <f t="shared" ref="Q119" si="571">F119*P119</f>
        <v>5744262.8808864355</v>
      </c>
      <c r="R119">
        <f t="shared" ref="R119" si="572">R120+Q119</f>
        <v>150038417.52983993</v>
      </c>
      <c r="S119">
        <f t="shared" ref="S119" si="573">R119/100000</f>
        <v>1500.3841752983994</v>
      </c>
      <c r="T119">
        <f t="shared" ref="T119" si="574">S119/1000</f>
        <v>1.5003841752983995</v>
      </c>
    </row>
    <row r="120" spans="1:20" x14ac:dyDescent="0.25">
      <c r="A120" s="5">
        <v>44473</v>
      </c>
      <c r="B120">
        <v>1.0047999999999999</v>
      </c>
      <c r="C120">
        <v>1.0047999999999999</v>
      </c>
      <c r="D120">
        <v>0.93400000000000005</v>
      </c>
      <c r="E120">
        <v>0.97270000000000001</v>
      </c>
      <c r="F120">
        <v>4000429</v>
      </c>
      <c r="G120">
        <v>0.97270000000000001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9.3220338983051737E-2</v>
      </c>
      <c r="Q120">
        <f t="shared" ref="Q120" si="576">F120*P120</f>
        <v>372921.34745763068</v>
      </c>
      <c r="R120">
        <f t="shared" ref="R120" si="577">R121+Q120</f>
        <v>144294154.6489535</v>
      </c>
      <c r="S120">
        <f t="shared" ref="S120" si="578">R120/100000</f>
        <v>1442.9415464895351</v>
      </c>
      <c r="T120">
        <f t="shared" ref="T120" si="579">S120/1000</f>
        <v>1.442941546489535</v>
      </c>
    </row>
    <row r="121" spans="1:20" x14ac:dyDescent="0.25">
      <c r="A121" s="5">
        <v>44472</v>
      </c>
      <c r="B121">
        <v>0.97370000000000001</v>
      </c>
      <c r="C121">
        <v>1.0525</v>
      </c>
      <c r="D121">
        <v>0.95930000000000004</v>
      </c>
      <c r="E121">
        <v>1.0014000000000001</v>
      </c>
      <c r="F121">
        <v>5799019</v>
      </c>
      <c r="G121">
        <v>1.0014000000000001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-9.6566523605149168E-2</v>
      </c>
      <c r="Q121">
        <f t="shared" ref="Q121" si="581">F121*P121</f>
        <v>-559991.10515020858</v>
      </c>
      <c r="R121">
        <f t="shared" ref="R121" si="582">R122+Q121</f>
        <v>143921233.30149588</v>
      </c>
      <c r="S121">
        <f t="shared" ref="S121" si="583">R121/100000</f>
        <v>1439.2123330149589</v>
      </c>
      <c r="T121">
        <f t="shared" ref="T121" si="584">S121/1000</f>
        <v>1.4392123330149589</v>
      </c>
    </row>
    <row r="122" spans="1:20" x14ac:dyDescent="0.25">
      <c r="A122" s="5">
        <v>44471</v>
      </c>
      <c r="B122">
        <v>0.98140000000000005</v>
      </c>
      <c r="C122">
        <v>1.0135000000000001</v>
      </c>
      <c r="D122">
        <v>0.96260000000000001</v>
      </c>
      <c r="E122">
        <v>0.97340000000000004</v>
      </c>
      <c r="F122">
        <v>3932323</v>
      </c>
      <c r="G122">
        <v>0.97340000000000004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-0.57563850687622709</v>
      </c>
      <c r="Q122">
        <f t="shared" ref="Q122" si="586">F122*P122</f>
        <v>-2263596.5402750461</v>
      </c>
      <c r="R122">
        <f t="shared" ref="R122" si="587">R123+Q122</f>
        <v>144481224.4066461</v>
      </c>
      <c r="S122">
        <f t="shared" ref="S122" si="588">R122/100000</f>
        <v>1444.8122440664611</v>
      </c>
      <c r="T122">
        <f t="shared" ref="T122" si="589">S122/1000</f>
        <v>1.444812244066461</v>
      </c>
    </row>
    <row r="123" spans="1:20" x14ac:dyDescent="0.25">
      <c r="A123" s="5">
        <v>44470</v>
      </c>
      <c r="B123">
        <v>0.91579999999999995</v>
      </c>
      <c r="C123">
        <v>0.98870000000000002</v>
      </c>
      <c r="D123">
        <v>0.88349999999999995</v>
      </c>
      <c r="E123">
        <v>0.98</v>
      </c>
      <c r="F123">
        <v>6173658</v>
      </c>
      <c r="G123">
        <v>0.98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0.83460076045627307</v>
      </c>
      <c r="Q123">
        <f t="shared" ref="Q123" si="591">F123*P123</f>
        <v>5152539.6615969539</v>
      </c>
      <c r="R123">
        <f t="shared" ref="R123" si="592">R124+Q123</f>
        <v>146744820.94692114</v>
      </c>
      <c r="S123">
        <f t="shared" ref="S123" si="593">R123/100000</f>
        <v>1467.4482094692114</v>
      </c>
      <c r="T123">
        <f t="shared" ref="T123" si="594">S123/1000</f>
        <v>1.4674482094692114</v>
      </c>
    </row>
    <row r="124" spans="1:20" x14ac:dyDescent="0.25">
      <c r="A124" s="5">
        <v>44469</v>
      </c>
      <c r="B124">
        <v>0.83279999999999998</v>
      </c>
      <c r="C124">
        <v>0.91579999999999995</v>
      </c>
      <c r="D124">
        <v>0.82769999999999999</v>
      </c>
      <c r="E124">
        <v>0.91579999999999995</v>
      </c>
      <c r="F124">
        <v>4425842</v>
      </c>
      <c r="G124">
        <v>0.91579999999999995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1</v>
      </c>
      <c r="Q124">
        <f t="shared" ref="Q124" si="596">F124*P124</f>
        <v>4425842</v>
      </c>
      <c r="R124">
        <f t="shared" ref="R124" si="597">R125+Q124</f>
        <v>141592281.28532419</v>
      </c>
      <c r="S124">
        <f t="shared" ref="S124" si="598">R124/100000</f>
        <v>1415.9228128532418</v>
      </c>
      <c r="T124">
        <f t="shared" ref="T124" si="599">S124/1000</f>
        <v>1.4159228128532417</v>
      </c>
    </row>
    <row r="125" spans="1:20" x14ac:dyDescent="0.25">
      <c r="A125" s="5">
        <v>44468</v>
      </c>
      <c r="B125">
        <v>0.81430000000000002</v>
      </c>
      <c r="C125">
        <v>0.8659</v>
      </c>
      <c r="D125">
        <v>0.81</v>
      </c>
      <c r="E125">
        <v>0.83299999999999996</v>
      </c>
      <c r="F125">
        <v>2020646</v>
      </c>
      <c r="G125">
        <v>0.83299999999999996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-0.17710196779964471</v>
      </c>
      <c r="Q125">
        <f t="shared" ref="Q125" si="601">F125*P125</f>
        <v>-357860.3828264809</v>
      </c>
      <c r="R125">
        <f t="shared" ref="R125" si="602">R126+Q125</f>
        <v>137166439.28532419</v>
      </c>
      <c r="S125">
        <f t="shared" ref="S125" si="603">R125/100000</f>
        <v>1371.6643928532419</v>
      </c>
      <c r="T125">
        <f t="shared" ref="T125" si="604">S125/1000</f>
        <v>1.3716643928532419</v>
      </c>
    </row>
    <row r="126" spans="1:20" x14ac:dyDescent="0.25">
      <c r="A126" s="5">
        <v>44467</v>
      </c>
      <c r="B126">
        <v>0.85109999999999997</v>
      </c>
      <c r="C126">
        <v>0.86880000000000002</v>
      </c>
      <c r="D126">
        <v>0.81110000000000004</v>
      </c>
      <c r="E126">
        <v>0.81520000000000004</v>
      </c>
      <c r="F126">
        <v>3928971</v>
      </c>
      <c r="G126">
        <v>0.81520000000000004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-0.85788561525130003</v>
      </c>
      <c r="Q126">
        <f t="shared" ref="Q126" si="606">F126*P126</f>
        <v>-3370607.7036395157</v>
      </c>
      <c r="R126">
        <f t="shared" ref="R126" si="607">R127+Q126</f>
        <v>137524299.66815066</v>
      </c>
      <c r="S126">
        <f t="shared" ref="S126" si="608">R126/100000</f>
        <v>1375.2429966815066</v>
      </c>
      <c r="T126">
        <f t="shared" ref="T126" si="609">S126/1000</f>
        <v>1.3752429966815065</v>
      </c>
    </row>
    <row r="127" spans="1:20" x14ac:dyDescent="0.25">
      <c r="A127" s="5">
        <v>44466</v>
      </c>
      <c r="B127">
        <v>0.89329999999999998</v>
      </c>
      <c r="C127">
        <v>0.92989999999999995</v>
      </c>
      <c r="D127">
        <v>0.85009999999999997</v>
      </c>
      <c r="E127">
        <v>0.85089999999999999</v>
      </c>
      <c r="F127">
        <v>3778888</v>
      </c>
      <c r="G127">
        <v>0.85089999999999999</v>
      </c>
      <c r="L127" t="s">
        <v>7</v>
      </c>
      <c r="M127" t="s">
        <v>7</v>
      </c>
      <c r="N127" t="s">
        <v>7</v>
      </c>
      <c r="P127">
        <f t="shared" ref="P127" si="610">IF(C127=D127,0,((E127-D127)-(C127-E127))/(C127-D127))</f>
        <v>-0.97994987468671624</v>
      </c>
      <c r="Q127">
        <f t="shared" ref="Q127" si="611">F127*P127</f>
        <v>-3703120.8220551359</v>
      </c>
      <c r="R127">
        <f t="shared" ref="R127" si="612">R128+Q127</f>
        <v>140894907.37179017</v>
      </c>
      <c r="S127">
        <f t="shared" ref="S127" si="613">R127/100000</f>
        <v>1408.9490737179017</v>
      </c>
      <c r="T127">
        <f t="shared" ref="T127" si="614">S127/1000</f>
        <v>1.4089490737179018</v>
      </c>
    </row>
    <row r="128" spans="1:20" x14ac:dyDescent="0.25">
      <c r="A128" s="5">
        <v>44465</v>
      </c>
      <c r="B128">
        <v>0.90649999999999997</v>
      </c>
      <c r="C128">
        <v>0.97</v>
      </c>
      <c r="D128">
        <v>0.8135</v>
      </c>
      <c r="E128">
        <v>0.89480000000000004</v>
      </c>
      <c r="F128">
        <v>22479605.850000001</v>
      </c>
      <c r="G128">
        <v>0.89480000000000004</v>
      </c>
      <c r="L128" t="s">
        <v>8</v>
      </c>
      <c r="M128" t="s">
        <v>7</v>
      </c>
      <c r="N128" t="s">
        <v>7</v>
      </c>
      <c r="P128">
        <f t="shared" ref="P128" si="615">IF(C128=D128,0,((E128-D128)-(C128-E128))/(C128-D128))</f>
        <v>3.8977635782748286E-2</v>
      </c>
      <c r="Q128">
        <f t="shared" ref="Q128" si="616">F128*P128</f>
        <v>876201.88936103776</v>
      </c>
      <c r="R128">
        <f t="shared" ref="R128" si="617">R129+Q128</f>
        <v>144598028.1938453</v>
      </c>
      <c r="S128">
        <f t="shared" ref="S128" si="618">R128/100000</f>
        <v>1445.9802819384531</v>
      </c>
      <c r="T128">
        <f t="shared" ref="T128" si="619">S128/1000</f>
        <v>1.4459802819384531</v>
      </c>
    </row>
    <row r="129" spans="1:20" x14ac:dyDescent="0.25">
      <c r="A129" s="5">
        <v>44464</v>
      </c>
      <c r="B129">
        <v>0.91800000000000004</v>
      </c>
      <c r="C129">
        <v>0.92300000000000004</v>
      </c>
      <c r="D129">
        <v>0.86860000000000004</v>
      </c>
      <c r="E129">
        <v>0.90669999999999995</v>
      </c>
      <c r="F129">
        <v>3192883</v>
      </c>
      <c r="G129">
        <v>0.90669999999999995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0.40073529411764369</v>
      </c>
      <c r="Q129">
        <f t="shared" ref="Q129" si="621">F129*P129</f>
        <v>1279500.9080882245</v>
      </c>
      <c r="R129">
        <f t="shared" ref="R129" si="622">R130+Q129</f>
        <v>143721826.30448428</v>
      </c>
      <c r="S129">
        <f t="shared" ref="S129" si="623">R129/100000</f>
        <v>1437.2182630448428</v>
      </c>
      <c r="T129">
        <f t="shared" ref="T129" si="624">S129/1000</f>
        <v>1.4372182630448429</v>
      </c>
    </row>
    <row r="130" spans="1:20" x14ac:dyDescent="0.25">
      <c r="A130" s="5">
        <v>44463</v>
      </c>
      <c r="B130">
        <v>0.99529999999999996</v>
      </c>
      <c r="C130">
        <v>0.99829999999999997</v>
      </c>
      <c r="D130">
        <v>0.83699999999999997</v>
      </c>
      <c r="E130">
        <v>0.91810000000000003</v>
      </c>
      <c r="F130">
        <v>7030101</v>
      </c>
      <c r="G130">
        <v>0.91810000000000003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5.5796652200875568E-3</v>
      </c>
      <c r="Q130">
        <f t="shared" ref="Q130" si="626">F130*P130</f>
        <v>39225.610043402754</v>
      </c>
      <c r="R130">
        <f t="shared" ref="R130" si="627">R131+Q130</f>
        <v>142442325.39639604</v>
      </c>
      <c r="S130">
        <f t="shared" ref="S130" si="628">R130/100000</f>
        <v>1424.4232539639604</v>
      </c>
      <c r="T130">
        <f t="shared" ref="T130" si="629">S130/1000</f>
        <v>1.4244232539639603</v>
      </c>
    </row>
    <row r="131" spans="1:20" x14ac:dyDescent="0.25">
      <c r="A131" s="5">
        <v>44462</v>
      </c>
      <c r="B131">
        <v>0.97189999999999999</v>
      </c>
      <c r="C131">
        <v>0.996</v>
      </c>
      <c r="D131">
        <v>0.93500000000000005</v>
      </c>
      <c r="E131">
        <v>0.99460000000000004</v>
      </c>
      <c r="F131">
        <v>3109064</v>
      </c>
      <c r="G131">
        <v>0.99460000000000004</v>
      </c>
      <c r="L131" t="s">
        <v>8</v>
      </c>
      <c r="M131" t="s">
        <v>7</v>
      </c>
      <c r="N131" t="s">
        <v>7</v>
      </c>
      <c r="P131">
        <f t="shared" ref="P131" si="630">IF(C131=D131,0,((E131-D131)-(C131-E131))/(C131-D131))</f>
        <v>0.95409836065573905</v>
      </c>
      <c r="Q131">
        <f t="shared" ref="Q131" si="631">F131*P131</f>
        <v>2966352.8655737746</v>
      </c>
      <c r="R131">
        <f t="shared" ref="R131" si="632">R132+Q131</f>
        <v>142403099.78635263</v>
      </c>
      <c r="S131">
        <f t="shared" ref="S131" si="633">R131/100000</f>
        <v>1424.0309978635264</v>
      </c>
      <c r="T131">
        <f t="shared" ref="T131" si="634">S131/1000</f>
        <v>1.4240309978635264</v>
      </c>
    </row>
    <row r="132" spans="1:20" x14ac:dyDescent="0.25">
      <c r="A132" s="5">
        <v>44461</v>
      </c>
      <c r="B132">
        <v>0.84499999999999997</v>
      </c>
      <c r="C132">
        <v>0.97370000000000001</v>
      </c>
      <c r="D132">
        <v>0.82379999999999998</v>
      </c>
      <c r="E132">
        <v>0.97270000000000001</v>
      </c>
      <c r="F132">
        <v>5615299</v>
      </c>
      <c r="G132">
        <v>0.97270000000000001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0.9866577718478986</v>
      </c>
      <c r="Q132">
        <f t="shared" ref="Q132" si="636">F132*P132</f>
        <v>5540378.3995997328</v>
      </c>
      <c r="R132">
        <f t="shared" ref="R132" si="637">R133+Q132</f>
        <v>139436746.92077887</v>
      </c>
      <c r="S132">
        <f t="shared" ref="S132" si="638">R132/100000</f>
        <v>1394.3674692077886</v>
      </c>
      <c r="T132">
        <f t="shared" ref="T132" si="639">S132/1000</f>
        <v>1.3943674692077885</v>
      </c>
    </row>
    <row r="133" spans="1:20" x14ac:dyDescent="0.25">
      <c r="A133" s="5">
        <v>44460</v>
      </c>
      <c r="B133">
        <v>0.91090000000000004</v>
      </c>
      <c r="C133">
        <v>0.94510000000000005</v>
      </c>
      <c r="D133">
        <v>0.82420000000000004</v>
      </c>
      <c r="E133">
        <v>0.8448</v>
      </c>
      <c r="F133">
        <v>5996183.4000000004</v>
      </c>
      <c r="G133">
        <v>0.8448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-0.65922249793217613</v>
      </c>
      <c r="Q133">
        <f t="shared" ref="Q133" si="641">F133*P133</f>
        <v>-3952818.999007449</v>
      </c>
      <c r="R133">
        <f t="shared" ref="R133" si="642">R134+Q133</f>
        <v>133896368.52117912</v>
      </c>
      <c r="S133">
        <f t="shared" ref="S133" si="643">R133/100000</f>
        <v>1338.9636852117912</v>
      </c>
      <c r="T133">
        <f t="shared" ref="T133" si="644">S133/1000</f>
        <v>1.3389636852117912</v>
      </c>
    </row>
    <row r="134" spans="1:20" x14ac:dyDescent="0.25">
      <c r="A134" s="5">
        <v>44459</v>
      </c>
      <c r="B134">
        <v>1.0662</v>
      </c>
      <c r="C134">
        <v>1.1095999999999999</v>
      </c>
      <c r="D134">
        <v>0.94579999999999997</v>
      </c>
      <c r="E134">
        <v>0.9627</v>
      </c>
      <c r="F134">
        <v>5443349</v>
      </c>
      <c r="G134">
        <v>0.9627</v>
      </c>
      <c r="L134" t="s">
        <v>7</v>
      </c>
      <c r="M134" t="s">
        <v>7</v>
      </c>
      <c r="N134" t="s">
        <v>8</v>
      </c>
      <c r="P134">
        <f t="shared" ref="P134" si="645">IF(C134=D134,0,((E134-D134)-(C134-E134))/(C134-D134))</f>
        <v>-0.79365079365079327</v>
      </c>
      <c r="Q134">
        <f t="shared" ref="Q134" si="646">F134*P134</f>
        <v>-4320118.2539682519</v>
      </c>
      <c r="R134">
        <f t="shared" ref="R134" si="647">R135+Q134</f>
        <v>137849187.52018657</v>
      </c>
      <c r="S134">
        <f t="shared" ref="S134" si="648">R134/100000</f>
        <v>1378.4918752018657</v>
      </c>
      <c r="T134">
        <f t="shared" ref="T134" si="649">S134/1000</f>
        <v>1.3784918752018658</v>
      </c>
    </row>
    <row r="135" spans="1:20" x14ac:dyDescent="0.25">
      <c r="A135" s="5">
        <v>44458</v>
      </c>
      <c r="B135">
        <v>1.1154999999999999</v>
      </c>
      <c r="C135">
        <v>1.1233</v>
      </c>
      <c r="D135">
        <v>1.0427999999999999</v>
      </c>
      <c r="E135">
        <v>1.0668</v>
      </c>
      <c r="F135">
        <v>4089331</v>
      </c>
      <c r="G135">
        <v>1.0668</v>
      </c>
      <c r="L135" t="s">
        <v>7</v>
      </c>
      <c r="M135" t="s">
        <v>7</v>
      </c>
      <c r="N135" t="s">
        <v>8</v>
      </c>
      <c r="P135">
        <f t="shared" ref="P135" si="650">IF(C135=D135,0,((E135-D135)-(C135-E135))/(C135-D135))</f>
        <v>-0.40372670807453376</v>
      </c>
      <c r="Q135">
        <f t="shared" ref="Q135" si="651">F135*P135</f>
        <v>-1650972.1428571411</v>
      </c>
      <c r="R135">
        <f t="shared" ref="R135" si="652">R136+Q135</f>
        <v>142169305.77415481</v>
      </c>
      <c r="S135">
        <f t="shared" ref="S135" si="653">R135/100000</f>
        <v>1421.693057741548</v>
      </c>
      <c r="T135">
        <f t="shared" ref="T135" si="654">S135/1000</f>
        <v>1.4216930577415481</v>
      </c>
    </row>
    <row r="136" spans="1:20" x14ac:dyDescent="0.25">
      <c r="A136" s="5">
        <v>44457</v>
      </c>
      <c r="B136">
        <v>1.0831</v>
      </c>
      <c r="C136">
        <v>1.1338999999999999</v>
      </c>
      <c r="D136">
        <v>1.0584</v>
      </c>
      <c r="E136">
        <v>1.1154999999999999</v>
      </c>
      <c r="F136">
        <v>6934341</v>
      </c>
      <c r="G136">
        <v>1.1154999999999999</v>
      </c>
      <c r="L136" t="s">
        <v>8</v>
      </c>
      <c r="M136" t="s">
        <v>8</v>
      </c>
      <c r="N136" t="s">
        <v>8</v>
      </c>
      <c r="P136">
        <f t="shared" ref="P136" si="655">IF(C136=D136,0,((E136-D136)-(C136-E136))/(C136-D136))</f>
        <v>0.5125827814569538</v>
      </c>
      <c r="Q136">
        <f t="shared" ref="Q136" si="656">F136*P136</f>
        <v>3554423.7973509943</v>
      </c>
      <c r="R136">
        <f t="shared" ref="R136" si="657">R137+Q136</f>
        <v>143820277.91701195</v>
      </c>
      <c r="S136">
        <f t="shared" ref="S136" si="658">R136/100000</f>
        <v>1438.2027791701194</v>
      </c>
      <c r="T136">
        <f t="shared" ref="T136" si="659">S136/1000</f>
        <v>1.4382027791701193</v>
      </c>
    </row>
    <row r="137" spans="1:20" x14ac:dyDescent="0.25">
      <c r="A137" s="5">
        <v>44456</v>
      </c>
      <c r="B137">
        <v>1.1420999999999999</v>
      </c>
      <c r="C137">
        <v>1.1458999999999999</v>
      </c>
      <c r="D137">
        <v>1.0569999999999999</v>
      </c>
      <c r="E137">
        <v>1.0809</v>
      </c>
      <c r="F137">
        <v>7702718</v>
      </c>
      <c r="G137">
        <v>1.0809</v>
      </c>
      <c r="L137" t="s">
        <v>7</v>
      </c>
      <c r="M137" t="s">
        <v>8</v>
      </c>
      <c r="N137" t="s">
        <v>8</v>
      </c>
      <c r="P137">
        <f t="shared" ref="P137" si="660">IF(C137=D137,0,((E137-D137)-(C137-E137))/(C137-D137))</f>
        <v>-0.46231721034870554</v>
      </c>
      <c r="Q137">
        <f t="shared" ref="Q137" si="661">F137*P137</f>
        <v>-3561099.0978627605</v>
      </c>
      <c r="R137">
        <f t="shared" ref="R137" si="662">R138+Q137</f>
        <v>140265854.11966094</v>
      </c>
      <c r="S137">
        <f t="shared" ref="S137" si="663">R137/100000</f>
        <v>1402.6585411966093</v>
      </c>
      <c r="T137">
        <f t="shared" ref="T137" si="664">S137/1000</f>
        <v>1.4026585411966093</v>
      </c>
    </row>
    <row r="138" spans="1:20" x14ac:dyDescent="0.25">
      <c r="A138" s="5">
        <v>44455</v>
      </c>
      <c r="B138">
        <v>1.0852999999999999</v>
      </c>
      <c r="C138">
        <v>1.2499</v>
      </c>
      <c r="D138">
        <v>1.0563</v>
      </c>
      <c r="E138">
        <v>1.1429</v>
      </c>
      <c r="F138">
        <v>25152244</v>
      </c>
      <c r="G138">
        <v>1.1429</v>
      </c>
      <c r="L138" t="s">
        <v>8</v>
      </c>
      <c r="M138" t="s">
        <v>8</v>
      </c>
      <c r="N138" t="s">
        <v>8</v>
      </c>
      <c r="P138">
        <f t="shared" ref="P138" si="665">IF(C138=D138,0,((E138-D138)-(C138-E138))/(C138-D138))</f>
        <v>-0.10537190082644615</v>
      </c>
      <c r="Q138">
        <f t="shared" ref="Q138" si="666">F138*P138</f>
        <v>-2650339.7603305751</v>
      </c>
      <c r="R138">
        <f t="shared" ref="R138" si="667">R139+Q138</f>
        <v>143826953.21752369</v>
      </c>
      <c r="S138">
        <f t="shared" ref="S138" si="668">R138/100000</f>
        <v>1438.2695321752369</v>
      </c>
      <c r="T138">
        <f t="shared" ref="T138" si="669">S138/1000</f>
        <v>1.438269532175237</v>
      </c>
    </row>
    <row r="139" spans="1:20" x14ac:dyDescent="0.25">
      <c r="A139" s="5">
        <v>44454</v>
      </c>
      <c r="B139">
        <v>1.0644</v>
      </c>
      <c r="C139">
        <v>1.0853999999999999</v>
      </c>
      <c r="D139">
        <v>1.03</v>
      </c>
      <c r="E139">
        <v>1.0853999999999999</v>
      </c>
      <c r="F139">
        <v>5401953</v>
      </c>
      <c r="G139">
        <v>1.0853999999999999</v>
      </c>
      <c r="L139" t="s">
        <v>8</v>
      </c>
      <c r="M139" t="s">
        <v>7</v>
      </c>
      <c r="N139" t="s">
        <v>7</v>
      </c>
      <c r="P139">
        <f t="shared" ref="P139" si="670">IF(C139=D139,0,((E139-D139)-(C139-E139))/(C139-D139))</f>
        <v>1</v>
      </c>
      <c r="Q139">
        <f t="shared" ref="Q139" si="671">F139*P139</f>
        <v>5401953</v>
      </c>
      <c r="R139">
        <f t="shared" ref="R139" si="672">R140+Q139</f>
        <v>146477292.97785428</v>
      </c>
      <c r="S139">
        <f t="shared" ref="S139" si="673">R139/100000</f>
        <v>1464.7729297785429</v>
      </c>
      <c r="T139">
        <f t="shared" ref="T139" si="674">S139/1000</f>
        <v>1.464772929778543</v>
      </c>
    </row>
    <row r="140" spans="1:20" x14ac:dyDescent="0.25">
      <c r="A140" s="5">
        <v>44453</v>
      </c>
      <c r="B140">
        <v>1.0114000000000001</v>
      </c>
      <c r="C140">
        <v>1.0686</v>
      </c>
      <c r="D140">
        <v>0.98309999999999997</v>
      </c>
      <c r="E140">
        <v>1.0646</v>
      </c>
      <c r="F140">
        <v>6009512</v>
      </c>
      <c r="G140">
        <v>1.0646</v>
      </c>
      <c r="L140" t="s">
        <v>8</v>
      </c>
      <c r="M140" t="s">
        <v>7</v>
      </c>
      <c r="N140" t="s">
        <v>7</v>
      </c>
      <c r="P140">
        <f t="shared" ref="P140" si="675">IF(C140=D140,0,((E140-D140)-(C140-E140))/(C140-D140))</f>
        <v>0.90643274853801159</v>
      </c>
      <c r="Q140">
        <f t="shared" ref="Q140" si="676">F140*P140</f>
        <v>5447218.4795321627</v>
      </c>
      <c r="R140">
        <f t="shared" ref="R140" si="677">R141+Q140</f>
        <v>141075339.97785428</v>
      </c>
      <c r="S140">
        <f t="shared" ref="S140" si="678">R140/100000</f>
        <v>1410.7533997785429</v>
      </c>
      <c r="T140">
        <f t="shared" ref="T140" si="679">S140/1000</f>
        <v>1.4107533997785429</v>
      </c>
    </row>
    <row r="141" spans="1:20" x14ac:dyDescent="0.25">
      <c r="A141" s="5">
        <v>44452</v>
      </c>
      <c r="B141">
        <v>1.0631999999999999</v>
      </c>
      <c r="C141">
        <v>1.0692999999999999</v>
      </c>
      <c r="D141">
        <v>0.94120000000000004</v>
      </c>
      <c r="E141">
        <v>1.0102</v>
      </c>
      <c r="F141">
        <v>5245740</v>
      </c>
      <c r="G141">
        <v>1.0102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7.7283372365339803E-2</v>
      </c>
      <c r="Q141">
        <f t="shared" ref="Q141" si="681">F141*P141</f>
        <v>405408.4777517576</v>
      </c>
      <c r="R141">
        <f t="shared" ref="R141" si="682">R142+Q141</f>
        <v>135628121.49832213</v>
      </c>
      <c r="S141">
        <f t="shared" ref="S141" si="683">R141/100000</f>
        <v>1356.2812149832214</v>
      </c>
      <c r="T141">
        <f t="shared" ref="T141" si="684">S141/1000</f>
        <v>1.3562812149832213</v>
      </c>
    </row>
    <row r="142" spans="1:20" x14ac:dyDescent="0.25">
      <c r="A142" s="5">
        <v>44451</v>
      </c>
      <c r="B142">
        <v>1.0307999999999999</v>
      </c>
      <c r="C142">
        <v>1.0758000000000001</v>
      </c>
      <c r="D142">
        <v>0.98570000000000002</v>
      </c>
      <c r="E142">
        <v>1.0638000000000001</v>
      </c>
      <c r="F142">
        <v>5343213</v>
      </c>
      <c r="G142">
        <v>1.0638000000000001</v>
      </c>
      <c r="L142" t="s">
        <v>8</v>
      </c>
      <c r="M142" t="s">
        <v>8</v>
      </c>
      <c r="N142" t="s">
        <v>7</v>
      </c>
      <c r="P142">
        <f t="shared" ref="P142" si="685">IF(C142=D142,0,((E142-D142)-(C142-E142))/(C142-D142))</f>
        <v>0.73362930077691446</v>
      </c>
      <c r="Q142">
        <f t="shared" ref="Q142" si="686">F142*P142</f>
        <v>3919937.6170921195</v>
      </c>
      <c r="R142">
        <f t="shared" ref="R142" si="687">R143+Q142</f>
        <v>135222713.02057037</v>
      </c>
      <c r="S142">
        <f t="shared" ref="S142" si="688">R142/100000</f>
        <v>1352.2271302057036</v>
      </c>
      <c r="T142">
        <f t="shared" ref="T142" si="689">S142/1000</f>
        <v>1.3522271302057036</v>
      </c>
    </row>
    <row r="143" spans="1:20" x14ac:dyDescent="0.25">
      <c r="A143" s="5">
        <v>44450</v>
      </c>
      <c r="B143">
        <v>1.0075000000000001</v>
      </c>
      <c r="C143">
        <v>1.0467</v>
      </c>
      <c r="D143">
        <v>0.98860000000000003</v>
      </c>
      <c r="E143">
        <v>1.0318000000000001</v>
      </c>
      <c r="F143">
        <v>4671549</v>
      </c>
      <c r="G143">
        <v>1.0318000000000001</v>
      </c>
      <c r="L143" t="s">
        <v>7</v>
      </c>
      <c r="M143" t="s">
        <v>8</v>
      </c>
      <c r="N143" t="s">
        <v>7</v>
      </c>
      <c r="P143">
        <f t="shared" ref="P143" si="690">IF(C143=D143,0,((E143-D143)-(C143-E143))/(C143-D143))</f>
        <v>0.48709122203098343</v>
      </c>
      <c r="Q143">
        <f t="shared" ref="Q143" si="691">F143*P143</f>
        <v>2275470.5111876186</v>
      </c>
      <c r="R143">
        <f t="shared" ref="R143" si="692">R144+Q143</f>
        <v>131302775.40347824</v>
      </c>
      <c r="S143">
        <f t="shared" ref="S143" si="693">R143/100000</f>
        <v>1313.0277540347824</v>
      </c>
      <c r="T143">
        <f t="shared" ref="T143" si="694">S143/1000</f>
        <v>1.3130277540347826</v>
      </c>
    </row>
    <row r="144" spans="1:20" x14ac:dyDescent="0.25">
      <c r="A144" s="5">
        <v>44449</v>
      </c>
      <c r="B144">
        <v>1.0708</v>
      </c>
      <c r="C144">
        <v>1.1103000000000001</v>
      </c>
      <c r="D144">
        <v>0.97270000000000001</v>
      </c>
      <c r="E144">
        <v>1.0085</v>
      </c>
      <c r="F144">
        <v>13269371</v>
      </c>
      <c r="G144">
        <v>1.0085</v>
      </c>
      <c r="L144" t="s">
        <v>8</v>
      </c>
      <c r="M144" t="s">
        <v>8</v>
      </c>
      <c r="N144" t="s">
        <v>7</v>
      </c>
      <c r="P144">
        <f t="shared" ref="P144" si="695">IF(C144=D144,0,((E144-D144)-(C144-E144))/(C144-D144))</f>
        <v>-0.47965116279069869</v>
      </c>
      <c r="Q144">
        <f t="shared" ref="Q144" si="696">F144*P144</f>
        <v>-6364669.2296511764</v>
      </c>
      <c r="R144">
        <f t="shared" ref="R144" si="697">R145+Q144</f>
        <v>129027304.89229062</v>
      </c>
      <c r="S144">
        <f t="shared" ref="S144" si="698">R144/100000</f>
        <v>1290.2730489229061</v>
      </c>
      <c r="T144">
        <f t="shared" ref="T144" si="699">S144/1000</f>
        <v>1.2902730489229062</v>
      </c>
    </row>
    <row r="145" spans="1:20" x14ac:dyDescent="0.25">
      <c r="A145" s="5">
        <v>44448</v>
      </c>
      <c r="B145">
        <v>1.0073000000000001</v>
      </c>
      <c r="C145">
        <v>1.0801000000000001</v>
      </c>
      <c r="D145">
        <v>0.98480000000000001</v>
      </c>
      <c r="E145">
        <v>1.0708</v>
      </c>
      <c r="F145">
        <v>11379930</v>
      </c>
      <c r="G145">
        <v>1.0708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0.80482686253934776</v>
      </c>
      <c r="Q145">
        <f t="shared" ref="Q145" si="701">F145*P145</f>
        <v>9158873.3578174002</v>
      </c>
      <c r="R145">
        <f t="shared" ref="R145" si="702">R146+Q145</f>
        <v>135391974.1219418</v>
      </c>
      <c r="S145">
        <f t="shared" ref="S145" si="703">R145/100000</f>
        <v>1353.919741219418</v>
      </c>
      <c r="T145">
        <f t="shared" ref="T145" si="704">S145/1000</f>
        <v>1.3539197412194179</v>
      </c>
    </row>
    <row r="146" spans="1:20" x14ac:dyDescent="0.25">
      <c r="A146" s="5">
        <v>44447</v>
      </c>
      <c r="B146">
        <v>1.0162</v>
      </c>
      <c r="C146">
        <v>1.0501</v>
      </c>
      <c r="D146">
        <v>0.88319999999999999</v>
      </c>
      <c r="E146">
        <v>1.0082</v>
      </c>
      <c r="F146">
        <v>20548149.579999998</v>
      </c>
      <c r="G146">
        <v>1.0082</v>
      </c>
      <c r="L146" t="s">
        <v>7</v>
      </c>
      <c r="M146" t="s">
        <v>8</v>
      </c>
      <c r="N146" t="s">
        <v>7</v>
      </c>
      <c r="P146">
        <f t="shared" ref="P146" si="705">IF(C146=D146,0,((E146-D146)-(C146-E146))/(C146-D146))</f>
        <v>0.49790293588975393</v>
      </c>
      <c r="Q146">
        <f t="shared" ref="Q146" si="706">F146*P146</f>
        <v>10230984.002983814</v>
      </c>
      <c r="R146">
        <f t="shared" ref="R146" si="707">R147+Q146</f>
        <v>126233100.76412439</v>
      </c>
      <c r="S146">
        <f t="shared" ref="S146" si="708">R146/100000</f>
        <v>1262.331007641244</v>
      </c>
      <c r="T146">
        <f t="shared" ref="T146" si="709">S146/1000</f>
        <v>1.262331007641244</v>
      </c>
    </row>
    <row r="147" spans="1:20" x14ac:dyDescent="0.25">
      <c r="A147" s="5">
        <v>44446</v>
      </c>
      <c r="B147">
        <v>1.2910999999999999</v>
      </c>
      <c r="C147">
        <v>1.2910999999999999</v>
      </c>
      <c r="D147">
        <v>0.90090000000000003</v>
      </c>
      <c r="E147">
        <v>1.0121</v>
      </c>
      <c r="F147">
        <v>16937205.390000001</v>
      </c>
      <c r="G147">
        <v>1.0121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-0.43003587903639162</v>
      </c>
      <c r="Q147">
        <f t="shared" ref="Q147" si="711">F147*P147</f>
        <v>-7283606.0083085606</v>
      </c>
      <c r="R147">
        <f t="shared" ref="R147" si="712">R148+Q147</f>
        <v>116002116.76114058</v>
      </c>
      <c r="S147">
        <f t="shared" ref="S147" si="713">R147/100000</f>
        <v>1160.0211676114059</v>
      </c>
      <c r="T147">
        <f t="shared" ref="T147" si="714">S147/1000</f>
        <v>1.1600211676114058</v>
      </c>
    </row>
    <row r="148" spans="1:20" x14ac:dyDescent="0.25">
      <c r="A148" s="5">
        <v>44445</v>
      </c>
      <c r="B148">
        <v>1.3138000000000001</v>
      </c>
      <c r="C148">
        <v>1.3177000000000001</v>
      </c>
      <c r="D148">
        <v>1.2355</v>
      </c>
      <c r="E148">
        <v>1.2915000000000001</v>
      </c>
      <c r="F148">
        <v>7430171</v>
      </c>
      <c r="G148">
        <v>1.2915000000000001</v>
      </c>
      <c r="L148" t="s">
        <v>8</v>
      </c>
      <c r="M148" t="s">
        <v>8</v>
      </c>
      <c r="N148" t="s">
        <v>8</v>
      </c>
      <c r="P148">
        <f t="shared" ref="P148" si="715">IF(C148=D148,0,((E148-D148)-(C148-E148))/(C148-D148))</f>
        <v>0.36253041362530453</v>
      </c>
      <c r="Q148">
        <f t="shared" ref="Q148" si="716">F148*P148</f>
        <v>2693662.9659367427</v>
      </c>
      <c r="R148">
        <f t="shared" ref="R148" si="717">R149+Q148</f>
        <v>123285722.76944914</v>
      </c>
      <c r="S148">
        <f t="shared" ref="S148" si="718">R148/100000</f>
        <v>1232.8572276944915</v>
      </c>
      <c r="T148">
        <f t="shared" ref="T148" si="719">S148/1000</f>
        <v>1.2328572276944916</v>
      </c>
    </row>
    <row r="149" spans="1:20" x14ac:dyDescent="0.25">
      <c r="A149" s="5">
        <v>44444</v>
      </c>
      <c r="B149">
        <v>1.2448999999999999</v>
      </c>
      <c r="C149">
        <v>1.3140000000000001</v>
      </c>
      <c r="D149">
        <v>1.2141</v>
      </c>
      <c r="E149">
        <v>1.3138000000000001</v>
      </c>
      <c r="F149">
        <v>10016127.060000001</v>
      </c>
      <c r="G149">
        <v>1.3138000000000001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0.99599599599599642</v>
      </c>
      <c r="Q149">
        <f t="shared" ref="Q149" si="721">F149*P149</f>
        <v>9976022.4471471515</v>
      </c>
      <c r="R149">
        <f t="shared" ref="R149" si="722">R150+Q149</f>
        <v>120592059.80351239</v>
      </c>
      <c r="S149">
        <f t="shared" ref="S149" si="723">R149/100000</f>
        <v>1205.9205980351239</v>
      </c>
      <c r="T149">
        <f t="shared" ref="T149" si="724">S149/1000</f>
        <v>1.205920598035124</v>
      </c>
    </row>
    <row r="150" spans="1:20" x14ac:dyDescent="0.25">
      <c r="A150" s="5">
        <v>44443</v>
      </c>
      <c r="B150">
        <v>1.1788000000000001</v>
      </c>
      <c r="C150">
        <v>1.2658</v>
      </c>
      <c r="D150">
        <v>1.1589</v>
      </c>
      <c r="E150">
        <v>1.2448999999999999</v>
      </c>
      <c r="F150">
        <v>13562640.029999999</v>
      </c>
      <c r="G150">
        <v>1.2448999999999999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0.60898035547240148</v>
      </c>
      <c r="Q150">
        <f t="shared" ref="Q150" si="726">F150*P150</f>
        <v>8259381.3466136213</v>
      </c>
      <c r="R150">
        <f t="shared" ref="R150" si="727">R151+Q150</f>
        <v>110616037.35636525</v>
      </c>
      <c r="S150">
        <f t="shared" ref="S150" si="728">R150/100000</f>
        <v>1106.1603735636525</v>
      </c>
      <c r="T150">
        <f t="shared" ref="T150" si="729">S150/1000</f>
        <v>1.1061603735636525</v>
      </c>
    </row>
    <row r="151" spans="1:20" x14ac:dyDescent="0.25">
      <c r="A151" s="5">
        <v>44442</v>
      </c>
      <c r="B151">
        <v>1.1182000000000001</v>
      </c>
      <c r="C151">
        <v>1.1788000000000001</v>
      </c>
      <c r="D151">
        <v>1.0844</v>
      </c>
      <c r="E151">
        <v>1.1788000000000001</v>
      </c>
      <c r="F151">
        <v>7293409.0300000003</v>
      </c>
      <c r="G151">
        <v>1.1788000000000001</v>
      </c>
      <c r="L151" t="s">
        <v>8</v>
      </c>
      <c r="M151" t="s">
        <v>8</v>
      </c>
      <c r="N151" t="s">
        <v>8</v>
      </c>
      <c r="P151">
        <f t="shared" ref="P151" si="730">IF(C151=D151,0,((E151-D151)-(C151-E151))/(C151-D151))</f>
        <v>1</v>
      </c>
      <c r="Q151">
        <f t="shared" ref="Q151" si="731">F151*P151</f>
        <v>7293409.0300000003</v>
      </c>
      <c r="R151">
        <f t="shared" ref="R151" si="732">R152+Q151</f>
        <v>102356656.00975163</v>
      </c>
      <c r="S151">
        <f t="shared" ref="S151" si="733">R151/100000</f>
        <v>1023.5665600975163</v>
      </c>
      <c r="T151">
        <f t="shared" ref="T151" si="734">S151/1000</f>
        <v>1.0235665600975163</v>
      </c>
    </row>
    <row r="152" spans="1:20" x14ac:dyDescent="0.25">
      <c r="A152" s="5">
        <v>44441</v>
      </c>
      <c r="B152">
        <v>1.1220000000000001</v>
      </c>
      <c r="C152">
        <v>1.1433</v>
      </c>
      <c r="D152">
        <v>1.0913999999999999</v>
      </c>
      <c r="E152">
        <v>1.1188</v>
      </c>
      <c r="F152">
        <v>6063755.9500000002</v>
      </c>
      <c r="G152">
        <v>1.1188</v>
      </c>
      <c r="L152" t="s">
        <v>8</v>
      </c>
      <c r="M152" t="s">
        <v>8</v>
      </c>
      <c r="N152" t="s">
        <v>8</v>
      </c>
      <c r="P152">
        <f t="shared" ref="P152" si="735">IF(C152=D152,0,((E152-D152)-(C152-E152))/(C152-D152))</f>
        <v>5.5876685934491743E-2</v>
      </c>
      <c r="Q152">
        <f t="shared" ref="Q152" si="736">F152*P152</f>
        <v>338822.58680155565</v>
      </c>
      <c r="R152">
        <f t="shared" ref="R152" si="737">R153+Q152</f>
        <v>95063246.979751632</v>
      </c>
      <c r="S152">
        <f t="shared" ref="S152" si="738">R152/100000</f>
        <v>950.63246979751636</v>
      </c>
      <c r="T152">
        <f t="shared" ref="T152" si="739">S152/1000</f>
        <v>0.95063246979751637</v>
      </c>
    </row>
    <row r="153" spans="1:20" x14ac:dyDescent="0.25">
      <c r="A153" s="5">
        <v>44440</v>
      </c>
      <c r="B153">
        <v>1.0638000000000001</v>
      </c>
      <c r="C153">
        <v>1.1335</v>
      </c>
      <c r="D153">
        <v>1.0336000000000001</v>
      </c>
      <c r="E153">
        <v>1.1220000000000001</v>
      </c>
      <c r="F153">
        <v>8733239</v>
      </c>
      <c r="G153">
        <v>1.1220000000000001</v>
      </c>
      <c r="L153" t="s">
        <v>8</v>
      </c>
      <c r="M153" t="s">
        <v>8</v>
      </c>
      <c r="N153" t="s">
        <v>8</v>
      </c>
      <c r="P153">
        <f t="shared" ref="P153" si="740">IF(C153=D153,0,((E153-D153)-(C153-E153))/(C153-D153))</f>
        <v>0.76976976976977263</v>
      </c>
      <c r="Q153">
        <f t="shared" ref="Q153" si="741">F153*P153</f>
        <v>6722583.374374399</v>
      </c>
      <c r="R153">
        <f t="shared" ref="R153" si="742">R154+Q153</f>
        <v>94724424.392950073</v>
      </c>
      <c r="S153">
        <f t="shared" ref="S153" si="743">R153/100000</f>
        <v>947.24424392950073</v>
      </c>
      <c r="T153">
        <f t="shared" ref="T153" si="744">S153/1000</f>
        <v>0.94724424392950068</v>
      </c>
    </row>
    <row r="154" spans="1:20" x14ac:dyDescent="0.25">
      <c r="A154" s="5">
        <v>44439</v>
      </c>
      <c r="B154">
        <v>1.0468</v>
      </c>
      <c r="C154">
        <v>1.0826</v>
      </c>
      <c r="D154">
        <v>1.0057</v>
      </c>
      <c r="E154">
        <v>1.0636000000000001</v>
      </c>
      <c r="F154">
        <v>6697425</v>
      </c>
      <c r="G154">
        <v>1.0636000000000001</v>
      </c>
      <c r="L154" t="s">
        <v>7</v>
      </c>
      <c r="M154" t="s">
        <v>8</v>
      </c>
      <c r="N154" t="s">
        <v>8</v>
      </c>
      <c r="P154">
        <f t="shared" ref="P154" si="745">IF(C154=D154,0,((E154-D154)-(C154-E154))/(C154-D154))</f>
        <v>0.50585175552666028</v>
      </c>
      <c r="Q154">
        <f t="shared" ref="Q154" si="746">F154*P154</f>
        <v>3387904.1937581426</v>
      </c>
      <c r="R154">
        <f t="shared" ref="R154" si="747">R155+Q154</f>
        <v>88001841.018575668</v>
      </c>
      <c r="S154">
        <f t="shared" ref="S154" si="748">R154/100000</f>
        <v>880.01841018575669</v>
      </c>
      <c r="T154">
        <f t="shared" ref="T154" si="749">S154/1000</f>
        <v>0.88001841018575666</v>
      </c>
    </row>
    <row r="155" spans="1:20" x14ac:dyDescent="0.25">
      <c r="A155" s="5">
        <v>44438</v>
      </c>
      <c r="B155">
        <v>1.0962000000000001</v>
      </c>
      <c r="C155">
        <v>1.1224000000000001</v>
      </c>
      <c r="D155">
        <v>1.0337000000000001</v>
      </c>
      <c r="E155">
        <v>1.0472999999999999</v>
      </c>
      <c r="F155">
        <v>7354112</v>
      </c>
      <c r="G155">
        <v>1.0472999999999999</v>
      </c>
      <c r="L155" t="s">
        <v>7</v>
      </c>
      <c r="M155" t="s">
        <v>8</v>
      </c>
      <c r="N155" t="s">
        <v>8</v>
      </c>
      <c r="P155">
        <f t="shared" ref="P155" si="750">IF(C155=D155,0,((E155-D155)-(C155-E155))/(C155-D155))</f>
        <v>-0.69334836527621568</v>
      </c>
      <c r="Q155">
        <f t="shared" ref="Q155" si="751">F155*P155</f>
        <v>-5098961.5332582006</v>
      </c>
      <c r="R155">
        <f t="shared" ref="R155" si="752">R156+Q155</f>
        <v>84613936.824817523</v>
      </c>
      <c r="S155">
        <f t="shared" ref="S155" si="753">R155/100000</f>
        <v>846.13936824817529</v>
      </c>
      <c r="T155">
        <f t="shared" ref="T155" si="754">S155/1000</f>
        <v>0.84613936824817526</v>
      </c>
    </row>
    <row r="156" spans="1:20" x14ac:dyDescent="0.25">
      <c r="A156" s="5">
        <v>44437</v>
      </c>
      <c r="B156">
        <v>1.08</v>
      </c>
      <c r="C156">
        <v>1.1275999999999999</v>
      </c>
      <c r="D156">
        <v>1.0634999999999999</v>
      </c>
      <c r="E156">
        <v>1.0961000000000001</v>
      </c>
      <c r="F156">
        <v>6511038</v>
      </c>
      <c r="G156">
        <v>1.0961000000000001</v>
      </c>
      <c r="L156" t="s">
        <v>8</v>
      </c>
      <c r="M156" t="s">
        <v>8</v>
      </c>
      <c r="N156" t="s">
        <v>8</v>
      </c>
      <c r="P156">
        <f t="shared" ref="P156" si="755">IF(C156=D156,0,((E156-D156)-(C156-E156))/(C156-D156))</f>
        <v>1.7160686427462123E-2</v>
      </c>
      <c r="Q156">
        <f t="shared" ref="Q156" si="756">F156*P156</f>
        <v>111733.88143529012</v>
      </c>
      <c r="R156">
        <f t="shared" ref="R156" si="757">R157+Q156</f>
        <v>89712898.358075723</v>
      </c>
      <c r="S156">
        <f t="shared" ref="S156" si="758">R156/100000</f>
        <v>897.12898358075722</v>
      </c>
      <c r="T156">
        <f t="shared" ref="T156" si="759">S156/1000</f>
        <v>0.89712898358075721</v>
      </c>
    </row>
    <row r="157" spans="1:20" x14ac:dyDescent="0.25">
      <c r="A157" s="5">
        <v>44436</v>
      </c>
      <c r="B157">
        <v>1.1113999999999999</v>
      </c>
      <c r="C157">
        <v>1.113</v>
      </c>
      <c r="D157">
        <v>1.0593999999999999</v>
      </c>
      <c r="E157">
        <v>1.0798000000000001</v>
      </c>
      <c r="F157">
        <v>4407358</v>
      </c>
      <c r="G157">
        <v>1.0798000000000001</v>
      </c>
      <c r="L157" t="s">
        <v>8</v>
      </c>
      <c r="M157" t="s">
        <v>8</v>
      </c>
      <c r="N157" t="s">
        <v>8</v>
      </c>
      <c r="P157">
        <f t="shared" ref="P157" si="760">IF(C157=D157,0,((E157-D157)-(C157-E157))/(C157-D157))</f>
        <v>-0.23880597014924773</v>
      </c>
      <c r="Q157">
        <f t="shared" ref="Q157" si="761">F157*P157</f>
        <v>-1052503.4029850482</v>
      </c>
      <c r="R157">
        <f t="shared" ref="R157" si="762">R158+Q157</f>
        <v>89601164.476640433</v>
      </c>
      <c r="S157">
        <f t="shared" ref="S157" si="763">R157/100000</f>
        <v>896.01164476640429</v>
      </c>
      <c r="T157">
        <f t="shared" ref="T157" si="764">S157/1000</f>
        <v>0.89601164476640427</v>
      </c>
    </row>
    <row r="158" spans="1:20" x14ac:dyDescent="0.25">
      <c r="A158" s="5">
        <v>44435</v>
      </c>
      <c r="B158">
        <v>1.0475000000000001</v>
      </c>
      <c r="C158">
        <v>1.1123000000000001</v>
      </c>
      <c r="D158">
        <v>1.0027999999999999</v>
      </c>
      <c r="E158">
        <v>1.1120000000000001</v>
      </c>
      <c r="F158">
        <v>5217476.92</v>
      </c>
      <c r="G158">
        <v>1.1120000000000001</v>
      </c>
      <c r="L158" t="s">
        <v>7</v>
      </c>
      <c r="M158" t="s">
        <v>8</v>
      </c>
      <c r="N158" t="s">
        <v>8</v>
      </c>
      <c r="P158">
        <f t="shared" ref="P158" si="765">IF(C158=D158,0,((E158-D158)-(C158-E158))/(C158-D158))</f>
        <v>0.99452054794520606</v>
      </c>
      <c r="Q158">
        <f t="shared" ref="Q158" si="766">F158*P158</f>
        <v>5188888.0053698663</v>
      </c>
      <c r="R158">
        <f t="shared" ref="R158" si="767">R159+Q158</f>
        <v>90653667.879625484</v>
      </c>
      <c r="S158">
        <f t="shared" ref="S158" si="768">R158/100000</f>
        <v>906.53667879625482</v>
      </c>
      <c r="T158">
        <f t="shared" ref="T158" si="769">S158/1000</f>
        <v>0.90653667879625477</v>
      </c>
    </row>
    <row r="159" spans="1:20" x14ac:dyDescent="0.25">
      <c r="A159" s="5">
        <v>44434</v>
      </c>
      <c r="B159">
        <v>1.1499999999999999</v>
      </c>
      <c r="C159">
        <v>1.1680999999999999</v>
      </c>
      <c r="D159">
        <v>1.0177</v>
      </c>
      <c r="E159">
        <v>1.048</v>
      </c>
      <c r="F159">
        <v>7281440.3499999996</v>
      </c>
      <c r="G159">
        <v>1.048</v>
      </c>
      <c r="L159" t="s">
        <v>8</v>
      </c>
      <c r="M159" t="s">
        <v>8</v>
      </c>
      <c r="N159" t="s">
        <v>8</v>
      </c>
      <c r="P159">
        <f t="shared" ref="P159" si="770">IF(C159=D159,0,((E159-D159)-(C159-E159))/(C159-D159))</f>
        <v>-0.59707446808510611</v>
      </c>
      <c r="Q159">
        <f t="shared" ref="Q159" si="771">F159*P159</f>
        <v>-4347562.1238696789</v>
      </c>
      <c r="R159">
        <f t="shared" ref="R159" si="772">R160+Q159</f>
        <v>85464779.874255612</v>
      </c>
      <c r="S159">
        <f t="shared" ref="S159" si="773">R159/100000</f>
        <v>854.64779874255612</v>
      </c>
      <c r="T159">
        <f t="shared" ref="T159" si="774">S159/1000</f>
        <v>0.85464779874255614</v>
      </c>
    </row>
    <row r="160" spans="1:20" x14ac:dyDescent="0.25">
      <c r="A160" s="5">
        <v>44433</v>
      </c>
      <c r="B160">
        <v>1.0613999999999999</v>
      </c>
      <c r="C160">
        <v>1.1742999999999999</v>
      </c>
      <c r="D160">
        <v>1.0134000000000001</v>
      </c>
      <c r="E160">
        <v>1.1501999999999999</v>
      </c>
      <c r="F160">
        <v>9514006.5500000007</v>
      </c>
      <c r="G160">
        <v>1.1501999999999999</v>
      </c>
      <c r="L160" t="s">
        <v>7</v>
      </c>
      <c r="M160" t="s">
        <v>8</v>
      </c>
      <c r="N160" t="s">
        <v>8</v>
      </c>
      <c r="P160">
        <f t="shared" ref="P160" si="775">IF(C160=D160,0,((E160-D160)-(C160-E160))/(C160-D160))</f>
        <v>0.70043505282784291</v>
      </c>
      <c r="Q160">
        <f t="shared" ref="Q160" si="776">F160*P160</f>
        <v>6663943.6804536944</v>
      </c>
      <c r="R160">
        <f t="shared" ref="R160" si="777">R161+Q160</f>
        <v>89812341.998125285</v>
      </c>
      <c r="S160">
        <f t="shared" ref="S160" si="778">R160/100000</f>
        <v>898.12341998125282</v>
      </c>
      <c r="T160">
        <f t="shared" ref="T160" si="779">S160/1000</f>
        <v>0.89812341998125278</v>
      </c>
    </row>
    <row r="161" spans="1:20" x14ac:dyDescent="0.25">
      <c r="A161" s="5">
        <v>44432</v>
      </c>
      <c r="B161">
        <v>1.1597</v>
      </c>
      <c r="C161">
        <v>1.1887000000000001</v>
      </c>
      <c r="D161">
        <v>1.0309999999999999</v>
      </c>
      <c r="E161">
        <v>1.0606</v>
      </c>
      <c r="F161">
        <v>10623441.550000001</v>
      </c>
      <c r="G161">
        <v>1.0606</v>
      </c>
      <c r="L161" t="s">
        <v>7</v>
      </c>
      <c r="M161" t="s">
        <v>8</v>
      </c>
      <c r="N161" t="s">
        <v>8</v>
      </c>
      <c r="P161">
        <f t="shared" ref="P161" si="780">IF(C161=D161,0,((E161-D161)-(C161-E161))/(C161-D161))</f>
        <v>-0.62460367786937177</v>
      </c>
      <c r="Q161">
        <f t="shared" ref="Q161" si="781">F161*P161</f>
        <v>-6635440.6637602998</v>
      </c>
      <c r="R161">
        <f t="shared" ref="R161" si="782">R162+Q161</f>
        <v>83148398.317671597</v>
      </c>
      <c r="S161">
        <f t="shared" ref="S161" si="783">R161/100000</f>
        <v>831.48398317671592</v>
      </c>
      <c r="T161">
        <f t="shared" ref="T161" si="784">S161/1000</f>
        <v>0.8314839831767159</v>
      </c>
    </row>
    <row r="162" spans="1:20" x14ac:dyDescent="0.25">
      <c r="A162" s="5">
        <v>44431</v>
      </c>
      <c r="B162">
        <v>1.1221000000000001</v>
      </c>
      <c r="C162">
        <v>1.1854</v>
      </c>
      <c r="D162">
        <v>1.0942000000000001</v>
      </c>
      <c r="E162">
        <v>1.1594</v>
      </c>
      <c r="F162">
        <v>13286484.130000001</v>
      </c>
      <c r="G162">
        <v>1.1594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0.42982456140350794</v>
      </c>
      <c r="Q162">
        <f t="shared" ref="Q162" si="786">F162*P162</f>
        <v>5710857.2137719188</v>
      </c>
      <c r="R162">
        <f t="shared" ref="R162" si="787">R163+Q162</f>
        <v>89783838.981431901</v>
      </c>
      <c r="S162">
        <f t="shared" ref="S162" si="788">R162/100000</f>
        <v>897.83838981431904</v>
      </c>
      <c r="T162">
        <f t="shared" ref="T162" si="789">S162/1000</f>
        <v>0.89783838981431907</v>
      </c>
    </row>
    <row r="163" spans="1:20" x14ac:dyDescent="0.25">
      <c r="A163" s="5">
        <v>44430</v>
      </c>
      <c r="B163">
        <v>1.0705</v>
      </c>
      <c r="C163">
        <v>1.1206</v>
      </c>
      <c r="D163">
        <v>1.0684</v>
      </c>
      <c r="E163">
        <v>1.1126</v>
      </c>
      <c r="F163">
        <v>3732726.89</v>
      </c>
      <c r="G163">
        <v>1.1126</v>
      </c>
      <c r="L163" t="s">
        <v>8</v>
      </c>
      <c r="M163" t="s">
        <v>8</v>
      </c>
      <c r="N163" t="s">
        <v>8</v>
      </c>
      <c r="P163">
        <f t="shared" ref="P163" si="790">IF(C163=D163,0,((E163-D163)-(C163-E163))/(C163-D163))</f>
        <v>0.69348659003831403</v>
      </c>
      <c r="Q163">
        <f t="shared" ref="Q163" si="791">F163*P163</f>
        <v>2588596.0424904209</v>
      </c>
      <c r="R163">
        <f t="shared" ref="R163" si="792">R164+Q163</f>
        <v>84072981.767659977</v>
      </c>
      <c r="S163">
        <f t="shared" ref="S163" si="793">R163/100000</f>
        <v>840.72981767659974</v>
      </c>
      <c r="T163">
        <f t="shared" ref="T163" si="794">S163/1000</f>
        <v>0.84072981767659971</v>
      </c>
    </row>
    <row r="164" spans="1:20" x14ac:dyDescent="0.25">
      <c r="A164" s="5">
        <v>44429</v>
      </c>
      <c r="B164">
        <v>1.0577000000000001</v>
      </c>
      <c r="C164">
        <v>1.0863</v>
      </c>
      <c r="D164">
        <v>1.0150999999999999</v>
      </c>
      <c r="E164">
        <v>1.0706</v>
      </c>
      <c r="F164">
        <v>11485249.960000001</v>
      </c>
      <c r="G164">
        <v>1.0706</v>
      </c>
      <c r="L164" t="s">
        <v>8</v>
      </c>
      <c r="M164" t="s">
        <v>7</v>
      </c>
      <c r="N164" t="s">
        <v>8</v>
      </c>
      <c r="P164">
        <f t="shared" ref="P164" si="795">IF(C164=D164,0,((E164-D164)-(C164-E164))/(C164-D164))</f>
        <v>0.55898876404494346</v>
      </c>
      <c r="Q164">
        <f t="shared" ref="Q164" si="796">F164*P164</f>
        <v>6420125.6798876366</v>
      </c>
      <c r="R164">
        <f t="shared" ref="R164" si="797">R165+Q164</f>
        <v>81484385.725169554</v>
      </c>
      <c r="S164">
        <f t="shared" ref="S164" si="798">R164/100000</f>
        <v>814.84385725169557</v>
      </c>
      <c r="T164">
        <f t="shared" ref="T164" si="799">S164/1000</f>
        <v>0.81484385725169561</v>
      </c>
    </row>
    <row r="165" spans="1:20" x14ac:dyDescent="0.25">
      <c r="A165" s="5">
        <v>44428</v>
      </c>
      <c r="B165">
        <v>1.0277000000000001</v>
      </c>
      <c r="C165">
        <v>1.0619000000000001</v>
      </c>
      <c r="D165">
        <v>1.0067999999999999</v>
      </c>
      <c r="E165">
        <v>1.0589</v>
      </c>
      <c r="F165">
        <v>7524809.0599999996</v>
      </c>
      <c r="G165">
        <v>1.0589</v>
      </c>
      <c r="L165" t="s">
        <v>8</v>
      </c>
      <c r="M165" t="s">
        <v>7</v>
      </c>
      <c r="N165" t="s">
        <v>8</v>
      </c>
      <c r="P165">
        <f t="shared" ref="P165" si="800">IF(C165=D165,0,((E165-D165)-(C165-E165))/(C165-D165))</f>
        <v>0.89110707803992362</v>
      </c>
      <c r="Q165">
        <f t="shared" ref="Q165" si="801">F165*P165</f>
        <v>6705410.6142649436</v>
      </c>
      <c r="R165">
        <f t="shared" ref="R165" si="802">R166+Q165</f>
        <v>75064260.045281917</v>
      </c>
      <c r="S165">
        <f t="shared" ref="S165" si="803">R165/100000</f>
        <v>750.64260045281912</v>
      </c>
      <c r="T165">
        <f t="shared" ref="T165" si="804">S165/1000</f>
        <v>0.75064260045281916</v>
      </c>
    </row>
    <row r="166" spans="1:20" x14ac:dyDescent="0.25">
      <c r="A166" s="5">
        <v>44427</v>
      </c>
      <c r="B166">
        <v>0.96730000000000005</v>
      </c>
      <c r="C166">
        <v>1.028</v>
      </c>
      <c r="D166">
        <v>0.92710000000000004</v>
      </c>
      <c r="E166">
        <v>1.0278</v>
      </c>
      <c r="F166">
        <v>5861682.3399999999</v>
      </c>
      <c r="G166">
        <v>1.0278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0.99603567888999056</v>
      </c>
      <c r="Q166">
        <f t="shared" ref="Q166" si="806">F166*P166</f>
        <v>5838444.7489593681</v>
      </c>
      <c r="R166">
        <f t="shared" ref="R166" si="807">R167+Q166</f>
        <v>68358849.431016967</v>
      </c>
      <c r="S166">
        <f t="shared" ref="S166" si="808">R166/100000</f>
        <v>683.58849431016972</v>
      </c>
      <c r="T166">
        <f t="shared" ref="T166" si="809">S166/1000</f>
        <v>0.68358849431016977</v>
      </c>
    </row>
    <row r="167" spans="1:20" x14ac:dyDescent="0.25">
      <c r="A167" s="5">
        <v>44426</v>
      </c>
      <c r="B167">
        <v>0.9919</v>
      </c>
      <c r="C167">
        <v>1.03</v>
      </c>
      <c r="D167">
        <v>0.9224</v>
      </c>
      <c r="E167">
        <v>0.96530000000000005</v>
      </c>
      <c r="F167">
        <v>9640494.5700000003</v>
      </c>
      <c r="G167">
        <v>0.96530000000000005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-0.20260223048327067</v>
      </c>
      <c r="Q167">
        <f t="shared" ref="Q167" si="811">F167*P167</f>
        <v>-1953185.7028438593</v>
      </c>
      <c r="R167">
        <f t="shared" ref="R167" si="812">R168+Q167</f>
        <v>62520404.682057597</v>
      </c>
      <c r="S167">
        <f t="shared" ref="S167" si="813">R167/100000</f>
        <v>625.20404682057597</v>
      </c>
      <c r="T167">
        <f t="shared" ref="T167" si="814">S167/1000</f>
        <v>0.62520404682057595</v>
      </c>
    </row>
    <row r="168" spans="1:20" x14ac:dyDescent="0.25">
      <c r="A168" s="5">
        <v>44425</v>
      </c>
      <c r="B168">
        <v>1.0279</v>
      </c>
      <c r="C168">
        <v>1.1061000000000001</v>
      </c>
      <c r="D168">
        <v>0.97940000000000005</v>
      </c>
      <c r="E168">
        <v>0.9899</v>
      </c>
      <c r="F168">
        <v>11886069.32</v>
      </c>
      <c r="G168">
        <v>0.9899</v>
      </c>
      <c r="L168" t="s">
        <v>7</v>
      </c>
      <c r="M168" t="s">
        <v>8</v>
      </c>
      <c r="N168" t="s">
        <v>8</v>
      </c>
      <c r="P168">
        <f t="shared" ref="P168" si="815">IF(C168=D168,0,((E168-D168)-(C168-E168))/(C168-D168))</f>
        <v>-0.8342541436464096</v>
      </c>
      <c r="Q168">
        <f t="shared" ref="Q168" si="816">F168*P168</f>
        <v>-9916002.5818784628</v>
      </c>
      <c r="R168">
        <f t="shared" ref="R168" si="817">R169+Q168</f>
        <v>64473590.384901457</v>
      </c>
      <c r="S168">
        <f t="shared" ref="S168" si="818">R168/100000</f>
        <v>644.73590384901456</v>
      </c>
      <c r="T168">
        <f t="shared" ref="T168" si="819">S168/1000</f>
        <v>0.64473590384901458</v>
      </c>
    </row>
    <row r="169" spans="1:20" x14ac:dyDescent="0.25">
      <c r="A169" s="5">
        <v>44424</v>
      </c>
      <c r="B169">
        <v>1.0620000000000001</v>
      </c>
      <c r="C169">
        <v>1.1146</v>
      </c>
      <c r="D169">
        <v>1.0115000000000001</v>
      </c>
      <c r="E169">
        <v>1.0273000000000001</v>
      </c>
      <c r="F169">
        <v>10988346.24</v>
      </c>
      <c r="G169">
        <v>1.0273000000000001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-0.69350145489815629</v>
      </c>
      <c r="Q169">
        <f t="shared" ref="Q169" si="821">F169*P169</f>
        <v>-7620434.1043646857</v>
      </c>
      <c r="R169">
        <f t="shared" ref="R169" si="822">R170+Q169</f>
        <v>74389592.966779917</v>
      </c>
      <c r="S169">
        <f t="shared" ref="S169" si="823">R169/100000</f>
        <v>743.89592966779912</v>
      </c>
      <c r="T169">
        <f t="shared" ref="T169" si="824">S169/1000</f>
        <v>0.74389592966779916</v>
      </c>
    </row>
    <row r="170" spans="1:20" x14ac:dyDescent="0.25">
      <c r="A170" s="5">
        <v>44423</v>
      </c>
      <c r="B170">
        <v>1.0690999999999999</v>
      </c>
      <c r="C170">
        <v>1.0755999999999999</v>
      </c>
      <c r="D170">
        <v>1.006</v>
      </c>
      <c r="E170">
        <v>1.0620000000000001</v>
      </c>
      <c r="F170">
        <v>5716422.46</v>
      </c>
      <c r="G170">
        <v>1.0620000000000001</v>
      </c>
      <c r="L170" t="s">
        <v>7</v>
      </c>
      <c r="M170" t="s">
        <v>8</v>
      </c>
      <c r="N170" t="s">
        <v>8</v>
      </c>
      <c r="P170">
        <f t="shared" ref="P170" si="825">IF(C170=D170,0,((E170-D170)-(C170-E170))/(C170-D170))</f>
        <v>0.60919540229885472</v>
      </c>
      <c r="Q170">
        <f t="shared" ref="Q170" si="826">F170*P170</f>
        <v>3482418.2802299089</v>
      </c>
      <c r="R170">
        <f t="shared" ref="R170" si="827">R171+Q170</f>
        <v>82010027.071144596</v>
      </c>
      <c r="S170">
        <f t="shared" ref="S170" si="828">R170/100000</f>
        <v>820.100270711446</v>
      </c>
      <c r="T170">
        <f t="shared" ref="T170" si="829">S170/1000</f>
        <v>0.82010027071144598</v>
      </c>
    </row>
    <row r="171" spans="1:20" x14ac:dyDescent="0.25">
      <c r="A171" s="5">
        <v>44422</v>
      </c>
      <c r="B171">
        <v>1.0596000000000001</v>
      </c>
      <c r="C171">
        <v>1.1055999999999999</v>
      </c>
      <c r="D171">
        <v>1.0121</v>
      </c>
      <c r="E171">
        <v>1.0687</v>
      </c>
      <c r="F171">
        <v>11022353.789999999</v>
      </c>
      <c r="G171">
        <v>1.0687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0.21069518716577612</v>
      </c>
      <c r="Q171">
        <f t="shared" ref="Q171" si="831">F171*P171</f>
        <v>2322356.8947914517</v>
      </c>
      <c r="R171">
        <f t="shared" ref="R171" si="832">R172+Q171</f>
        <v>78527608.790914685</v>
      </c>
      <c r="S171">
        <f t="shared" ref="S171" si="833">R171/100000</f>
        <v>785.2760879091469</v>
      </c>
      <c r="T171">
        <f t="shared" ref="T171" si="834">S171/1000</f>
        <v>0.78527608790914694</v>
      </c>
    </row>
    <row r="172" spans="1:20" x14ac:dyDescent="0.25">
      <c r="A172" s="5">
        <v>44421</v>
      </c>
      <c r="B172">
        <v>0.95269999999999999</v>
      </c>
      <c r="C172">
        <v>1.06</v>
      </c>
      <c r="D172">
        <v>0.91969999999999996</v>
      </c>
      <c r="E172">
        <v>1.0596000000000001</v>
      </c>
      <c r="F172">
        <v>21487217.710000001</v>
      </c>
      <c r="G172">
        <v>1.0596000000000001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0.99429793300071334</v>
      </c>
      <c r="Q172">
        <f t="shared" ref="Q172" si="836">F172*P172</f>
        <v>21364696.154989321</v>
      </c>
      <c r="R172">
        <f t="shared" ref="R172" si="837">R173+Q172</f>
        <v>76205251.89612323</v>
      </c>
      <c r="S172">
        <f t="shared" ref="S172" si="838">R172/100000</f>
        <v>762.05251896123229</v>
      </c>
      <c r="T172">
        <f t="shared" ref="T172" si="839">S172/1000</f>
        <v>0.76205251896123227</v>
      </c>
    </row>
    <row r="173" spans="1:20" x14ac:dyDescent="0.25">
      <c r="A173" s="5">
        <v>44420</v>
      </c>
      <c r="B173">
        <v>0.99399999999999999</v>
      </c>
      <c r="C173">
        <v>1.0249999999999999</v>
      </c>
      <c r="D173">
        <v>0.9083</v>
      </c>
      <c r="E173">
        <v>0.95309999999999995</v>
      </c>
      <c r="F173">
        <v>6771276.6799999997</v>
      </c>
      <c r="G173">
        <v>0.95309999999999995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-0.23221936589545872</v>
      </c>
      <c r="Q173">
        <f t="shared" ref="Q173" si="841">F173*P173</f>
        <v>-1572421.5769323069</v>
      </c>
      <c r="R173">
        <f t="shared" ref="R173" si="842">R174+Q173</f>
        <v>54840555.741133913</v>
      </c>
      <c r="S173">
        <f t="shared" ref="S173" si="843">R173/100000</f>
        <v>548.40555741133915</v>
      </c>
      <c r="T173">
        <f t="shared" ref="T173" si="844">S173/1000</f>
        <v>0.54840555741133912</v>
      </c>
    </row>
    <row r="174" spans="1:20" x14ac:dyDescent="0.25">
      <c r="A174" s="5">
        <v>44419</v>
      </c>
      <c r="B174">
        <v>0.97389999999999999</v>
      </c>
      <c r="C174">
        <v>1.0430999999999999</v>
      </c>
      <c r="D174">
        <v>0.95379999999999998</v>
      </c>
      <c r="E174">
        <v>0.99429999999999996</v>
      </c>
      <c r="F174">
        <v>7327643.29</v>
      </c>
      <c r="G174">
        <v>0.99429999999999996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-9.2945128779395078E-2</v>
      </c>
      <c r="Q174">
        <f t="shared" ref="Q174" si="846">F174*P174</f>
        <v>-681068.74923852028</v>
      </c>
      <c r="R174">
        <f t="shared" ref="R174" si="847">R175+Q174</f>
        <v>56412977.318066217</v>
      </c>
      <c r="S174">
        <f t="shared" ref="S174" si="848">R174/100000</f>
        <v>564.12977318066214</v>
      </c>
      <c r="T174">
        <f t="shared" ref="T174" si="849">S174/1000</f>
        <v>0.56412977318066215</v>
      </c>
    </row>
    <row r="175" spans="1:20" x14ac:dyDescent="0.25">
      <c r="A175" s="5">
        <v>44418</v>
      </c>
      <c r="B175">
        <v>0.95589999999999997</v>
      </c>
      <c r="C175">
        <v>0.99180000000000001</v>
      </c>
      <c r="D175">
        <v>0.92010000000000003</v>
      </c>
      <c r="E175">
        <v>0.97399999999999998</v>
      </c>
      <c r="F175">
        <v>6229401.1600000001</v>
      </c>
      <c r="G175">
        <v>0.97399999999999998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0.50348675034867385</v>
      </c>
      <c r="Q175">
        <f t="shared" ref="Q175" si="851">F175*P175</f>
        <v>3136420.9466666593</v>
      </c>
      <c r="R175">
        <f t="shared" ref="R175" si="852">R176+Q175</f>
        <v>57094046.067304738</v>
      </c>
      <c r="S175">
        <f t="shared" ref="S175" si="853">R175/100000</f>
        <v>570.94046067304737</v>
      </c>
      <c r="T175">
        <f t="shared" ref="T175" si="854">S175/1000</f>
        <v>0.57094046067304738</v>
      </c>
    </row>
    <row r="176" spans="1:20" x14ac:dyDescent="0.25">
      <c r="A176" s="5">
        <v>44417</v>
      </c>
      <c r="B176">
        <v>0.93130000000000002</v>
      </c>
      <c r="C176">
        <v>0.96460000000000001</v>
      </c>
      <c r="D176">
        <v>0.88790000000000002</v>
      </c>
      <c r="E176">
        <v>0.95599999999999996</v>
      </c>
      <c r="F176">
        <v>6967716.6299999999</v>
      </c>
      <c r="G176">
        <v>0.95599999999999996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0.77574967405475737</v>
      </c>
      <c r="Q176">
        <f t="shared" ref="Q176" si="856">F176*P176</f>
        <v>5405203.9046284128</v>
      </c>
      <c r="R176">
        <f t="shared" ref="R176" si="857">R177+Q176</f>
        <v>53957625.12063808</v>
      </c>
      <c r="S176">
        <f t="shared" ref="S176" si="858">R176/100000</f>
        <v>539.57625120638079</v>
      </c>
      <c r="T176">
        <f t="shared" ref="T176" si="859">S176/1000</f>
        <v>0.53957625120638075</v>
      </c>
    </row>
    <row r="177" spans="1:20" x14ac:dyDescent="0.25">
      <c r="A177" s="5">
        <v>44416</v>
      </c>
      <c r="B177">
        <v>0.93340000000000001</v>
      </c>
      <c r="C177">
        <v>1.05</v>
      </c>
      <c r="D177">
        <v>0.91159999999999997</v>
      </c>
      <c r="E177">
        <v>0.93120000000000003</v>
      </c>
      <c r="F177">
        <v>18868500.34</v>
      </c>
      <c r="G177">
        <v>0.93120000000000003</v>
      </c>
      <c r="L177" t="s">
        <v>8</v>
      </c>
      <c r="M177" t="s">
        <v>8</v>
      </c>
      <c r="N177" t="s">
        <v>8</v>
      </c>
      <c r="P177">
        <f t="shared" ref="P177" si="860">IF(C177=D177,0,((E177-D177)-(C177-E177))/(C177-D177))</f>
        <v>-0.71676300578034613</v>
      </c>
      <c r="Q177">
        <f t="shared" ref="Q177" si="861">F177*P177</f>
        <v>-13524243.018265883</v>
      </c>
      <c r="R177">
        <f t="shared" ref="R177" si="862">R178+Q177</f>
        <v>48552421.216009669</v>
      </c>
      <c r="S177">
        <f t="shared" ref="S177" si="863">R177/100000</f>
        <v>485.52421216009668</v>
      </c>
      <c r="T177">
        <f t="shared" ref="T177" si="864">S177/1000</f>
        <v>0.48552421216009667</v>
      </c>
    </row>
    <row r="178" spans="1:20" x14ac:dyDescent="0.25">
      <c r="A178" s="5">
        <v>44415</v>
      </c>
      <c r="B178">
        <v>0.89639999999999997</v>
      </c>
      <c r="C178">
        <v>0.93799999999999994</v>
      </c>
      <c r="D178">
        <v>0.88160000000000005</v>
      </c>
      <c r="E178">
        <v>0.93340000000000001</v>
      </c>
      <c r="F178">
        <v>6972646.46</v>
      </c>
      <c r="G178">
        <v>0.93340000000000001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0.83687943262411535</v>
      </c>
      <c r="Q178">
        <f t="shared" ref="Q178" si="866">F178*P178</f>
        <v>5835264.4133333461</v>
      </c>
      <c r="R178">
        <f t="shared" ref="R178" si="867">R179+Q178</f>
        <v>62076664.23427555</v>
      </c>
      <c r="S178">
        <f t="shared" ref="S178" si="868">R178/100000</f>
        <v>620.76664234275552</v>
      </c>
      <c r="T178">
        <f t="shared" ref="T178" si="869">S178/1000</f>
        <v>0.62076664234275547</v>
      </c>
    </row>
    <row r="179" spans="1:20" x14ac:dyDescent="0.25">
      <c r="A179" s="5">
        <v>44414</v>
      </c>
      <c r="B179">
        <v>0.88880000000000003</v>
      </c>
      <c r="C179">
        <v>0.90239999999999998</v>
      </c>
      <c r="D179">
        <v>0.85680000000000001</v>
      </c>
      <c r="E179">
        <v>0.89639999999999997</v>
      </c>
      <c r="F179">
        <v>5230680.75</v>
      </c>
      <c r="G179">
        <v>0.89639999999999997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0.73684210526315752</v>
      </c>
      <c r="Q179">
        <f t="shared" ref="Q179" si="871">F179*P179</f>
        <v>3854185.8157894718</v>
      </c>
      <c r="R179">
        <f t="shared" ref="R179" si="872">R180+Q179</f>
        <v>56241399.820942201</v>
      </c>
      <c r="S179">
        <f t="shared" ref="S179" si="873">R179/100000</f>
        <v>562.41399820942206</v>
      </c>
      <c r="T179">
        <f t="shared" ref="T179" si="874">S179/1000</f>
        <v>0.56241399820942206</v>
      </c>
    </row>
    <row r="180" spans="1:20" x14ac:dyDescent="0.25">
      <c r="A180" s="5">
        <v>44413</v>
      </c>
      <c r="B180">
        <v>0.87039999999999995</v>
      </c>
      <c r="C180">
        <v>0.92079999999999995</v>
      </c>
      <c r="D180">
        <v>0.83819999999999995</v>
      </c>
      <c r="E180">
        <v>0.88839999999999997</v>
      </c>
      <c r="F180">
        <v>10655367.710000001</v>
      </c>
      <c r="G180">
        <v>0.88839999999999997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0.21549636803874136</v>
      </c>
      <c r="Q180">
        <f t="shared" ref="Q180" si="876">F180*P180</f>
        <v>2296193.0416222811</v>
      </c>
      <c r="R180">
        <f t="shared" ref="R180" si="877">R181+Q180</f>
        <v>52387214.005152732</v>
      </c>
      <c r="S180">
        <f t="shared" ref="S180" si="878">R180/100000</f>
        <v>523.87214005152737</v>
      </c>
      <c r="T180">
        <f t="shared" ref="T180" si="879">S180/1000</f>
        <v>0.52387214005152738</v>
      </c>
    </row>
    <row r="181" spans="1:20" x14ac:dyDescent="0.25">
      <c r="A181" s="5">
        <v>44412</v>
      </c>
      <c r="B181">
        <v>0.8589</v>
      </c>
      <c r="C181">
        <v>0.87480000000000002</v>
      </c>
      <c r="D181">
        <v>0.82369999999999999</v>
      </c>
      <c r="E181">
        <v>0.87</v>
      </c>
      <c r="F181">
        <v>6476885.3600000003</v>
      </c>
      <c r="G181">
        <v>0.87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0.81213307240704413</v>
      </c>
      <c r="Q181">
        <f t="shared" ref="Q181" si="881">F181*P181</f>
        <v>5260092.8070450043</v>
      </c>
      <c r="R181">
        <f t="shared" ref="R181" si="882">R182+Q181</f>
        <v>50091020.963530451</v>
      </c>
      <c r="S181">
        <f t="shared" ref="S181" si="883">R181/100000</f>
        <v>500.91020963530451</v>
      </c>
      <c r="T181">
        <f t="shared" ref="T181" si="884">S181/1000</f>
        <v>0.50091020963530453</v>
      </c>
    </row>
    <row r="182" spans="1:20" x14ac:dyDescent="0.25">
      <c r="A182" s="5">
        <v>44411</v>
      </c>
      <c r="B182">
        <v>0.81620000000000004</v>
      </c>
      <c r="C182">
        <v>0.8599</v>
      </c>
      <c r="D182">
        <v>0.77559999999999996</v>
      </c>
      <c r="E182">
        <v>0.85760000000000003</v>
      </c>
      <c r="F182">
        <v>6362329.9400000004</v>
      </c>
      <c r="G182">
        <v>0.85760000000000003</v>
      </c>
      <c r="L182" t="s">
        <v>8</v>
      </c>
      <c r="M182" t="s">
        <v>8</v>
      </c>
      <c r="N182" t="s">
        <v>8</v>
      </c>
      <c r="P182">
        <f t="shared" ref="P182" si="885">IF(C182=D182,0,((E182-D182)-(C182-E182))/(C182-D182))</f>
        <v>0.94543297746144794</v>
      </c>
      <c r="Q182">
        <f t="shared" ref="Q182" si="886">F182*P182</f>
        <v>6015156.5387663161</v>
      </c>
      <c r="R182">
        <f t="shared" ref="R182" si="887">R183+Q182</f>
        <v>44830928.156485446</v>
      </c>
      <c r="S182">
        <f t="shared" ref="S182" si="888">R182/100000</f>
        <v>448.30928156485447</v>
      </c>
      <c r="T182">
        <f t="shared" ref="T182" si="889">S182/1000</f>
        <v>0.4483092815648545</v>
      </c>
    </row>
    <row r="183" spans="1:20" x14ac:dyDescent="0.25">
      <c r="A183" s="5">
        <v>44410</v>
      </c>
      <c r="B183">
        <v>0.77990000000000004</v>
      </c>
      <c r="C183">
        <v>0.82479999999999998</v>
      </c>
      <c r="D183">
        <v>0.75380000000000003</v>
      </c>
      <c r="E183">
        <v>0.81710000000000005</v>
      </c>
      <c r="F183">
        <v>5900090.1100000003</v>
      </c>
      <c r="G183">
        <v>0.81710000000000005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0.78309859154929762</v>
      </c>
      <c r="Q183">
        <f t="shared" ref="Q183" si="891">F183*P183</f>
        <v>4620352.2551549403</v>
      </c>
      <c r="R183">
        <f t="shared" ref="R183" si="892">R184+Q183</f>
        <v>38815771.617719129</v>
      </c>
      <c r="S183">
        <f t="shared" ref="S183" si="893">R183/100000</f>
        <v>388.15771617719128</v>
      </c>
      <c r="T183">
        <f t="shared" ref="T183" si="894">S183/1000</f>
        <v>0.3881577161771913</v>
      </c>
    </row>
    <row r="184" spans="1:20" x14ac:dyDescent="0.25">
      <c r="A184" s="5">
        <v>44409</v>
      </c>
      <c r="B184">
        <v>0.81930000000000003</v>
      </c>
      <c r="C184">
        <v>0.84730000000000005</v>
      </c>
      <c r="D184">
        <v>0.77290000000000003</v>
      </c>
      <c r="E184">
        <v>0.77939999999999998</v>
      </c>
      <c r="F184">
        <v>7635501.5199999996</v>
      </c>
      <c r="G184">
        <v>0.77939999999999998</v>
      </c>
      <c r="L184" t="s">
        <v>7</v>
      </c>
      <c r="M184" t="s">
        <v>8</v>
      </c>
      <c r="N184" t="s">
        <v>8</v>
      </c>
      <c r="P184">
        <f t="shared" ref="P184" si="895">IF(C184=D184,0,((E184-D184)-(C184-E184))/(C184-D184))</f>
        <v>-0.82526881720430245</v>
      </c>
      <c r="Q184">
        <f t="shared" ref="Q184" si="896">F184*P184</f>
        <v>-6301341.3081720527</v>
      </c>
      <c r="R184">
        <f t="shared" ref="R184" si="897">R185+Q184</f>
        <v>34195419.362564191</v>
      </c>
      <c r="S184">
        <f t="shared" ref="S184" si="898">R184/100000</f>
        <v>341.95419362564189</v>
      </c>
      <c r="T184">
        <f t="shared" ref="T184" si="899">S184/1000</f>
        <v>0.34195419362564189</v>
      </c>
    </row>
    <row r="185" spans="1:20" x14ac:dyDescent="0.25">
      <c r="A185" s="5">
        <v>44408</v>
      </c>
      <c r="B185">
        <v>0.78</v>
      </c>
      <c r="C185">
        <v>0.86880000000000002</v>
      </c>
      <c r="D185">
        <v>0.76480000000000004</v>
      </c>
      <c r="E185">
        <v>0.81920000000000004</v>
      </c>
      <c r="F185">
        <v>15065241.73</v>
      </c>
      <c r="G185">
        <v>0.81920000000000004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4.615384615384642E-2</v>
      </c>
      <c r="Q185">
        <f t="shared" ref="Q185" si="901">F185*P185</f>
        <v>695318.84907692706</v>
      </c>
      <c r="R185">
        <f t="shared" ref="R185" si="902">R186+Q185</f>
        <v>40496760.670736246</v>
      </c>
      <c r="S185">
        <f t="shared" ref="S185" si="903">R185/100000</f>
        <v>404.96760670736245</v>
      </c>
      <c r="T185">
        <f t="shared" ref="T185" si="904">S185/1000</f>
        <v>0.40496760670736243</v>
      </c>
    </row>
    <row r="186" spans="1:20" x14ac:dyDescent="0.25">
      <c r="A186" s="5">
        <v>44407</v>
      </c>
      <c r="B186">
        <v>0.7571</v>
      </c>
      <c r="C186">
        <v>0.78</v>
      </c>
      <c r="D186">
        <v>0.71679999999999999</v>
      </c>
      <c r="E186">
        <v>0.77969999999999995</v>
      </c>
      <c r="F186">
        <v>5860769.2699999996</v>
      </c>
      <c r="G186">
        <v>0.77969999999999995</v>
      </c>
      <c r="L186" t="s">
        <v>7</v>
      </c>
      <c r="M186" t="s">
        <v>8</v>
      </c>
      <c r="N186" t="s">
        <v>8</v>
      </c>
      <c r="P186">
        <f t="shared" ref="P186" si="905">IF(C186=D186,0,((E186-D186)-(C186-E186))/(C186-D186))</f>
        <v>0.99050632911392156</v>
      </c>
      <c r="Q186">
        <f t="shared" ref="Q186" si="906">F186*P186</f>
        <v>5805129.055411377</v>
      </c>
      <c r="R186">
        <f t="shared" ref="R186" si="907">R187+Q186</f>
        <v>39801441.821659319</v>
      </c>
      <c r="S186">
        <f t="shared" ref="S186" si="908">R186/100000</f>
        <v>398.01441821659319</v>
      </c>
      <c r="T186">
        <f t="shared" ref="T186" si="909">S186/1000</f>
        <v>0.39801441821659317</v>
      </c>
    </row>
    <row r="187" spans="1:20" x14ac:dyDescent="0.25">
      <c r="A187" s="5">
        <v>44406</v>
      </c>
      <c r="B187">
        <v>0.70750000000000002</v>
      </c>
      <c r="C187">
        <v>0.78369999999999995</v>
      </c>
      <c r="D187">
        <v>0.68820000000000003</v>
      </c>
      <c r="E187">
        <v>0.75749999999999995</v>
      </c>
      <c r="F187">
        <v>10321096.83</v>
      </c>
      <c r="G187">
        <v>0.75749999999999995</v>
      </c>
      <c r="L187" t="s">
        <v>8</v>
      </c>
      <c r="M187" t="s">
        <v>8</v>
      </c>
      <c r="N187" t="s">
        <v>8</v>
      </c>
      <c r="P187">
        <f t="shared" ref="P187" si="910">IF(C187=D187,0,((E187-D187)-(C187-E187))/(C187-D187))</f>
        <v>0.45130890052355971</v>
      </c>
      <c r="Q187">
        <f t="shared" ref="Q187" si="911">F187*P187</f>
        <v>4658002.8625444975</v>
      </c>
      <c r="R187">
        <f t="shared" ref="R187" si="912">R188+Q187</f>
        <v>33996312.766247943</v>
      </c>
      <c r="S187">
        <f t="shared" ref="S187" si="913">R187/100000</f>
        <v>339.96312766247945</v>
      </c>
      <c r="T187">
        <f t="shared" ref="T187" si="914">S187/1000</f>
        <v>0.33996312766247944</v>
      </c>
    </row>
    <row r="188" spans="1:20" x14ac:dyDescent="0.25">
      <c r="A188" s="5">
        <v>44405</v>
      </c>
      <c r="B188">
        <v>0.71050000000000002</v>
      </c>
      <c r="C188">
        <v>0.72629999999999995</v>
      </c>
      <c r="D188">
        <v>0.68700000000000006</v>
      </c>
      <c r="E188">
        <v>0.70709999999999995</v>
      </c>
      <c r="F188">
        <v>4966452.46</v>
      </c>
      <c r="G188">
        <v>0.70709999999999995</v>
      </c>
      <c r="L188" t="s">
        <v>7</v>
      </c>
      <c r="M188" t="s">
        <v>8</v>
      </c>
      <c r="N188" t="s">
        <v>8</v>
      </c>
      <c r="P188">
        <f t="shared" ref="P188" si="915">IF(C188=D188,0,((E188-D188)-(C188-E188))/(C188-D188))</f>
        <v>2.2900763358776166E-2</v>
      </c>
      <c r="Q188">
        <f t="shared" ref="Q188" si="916">F188*P188</f>
        <v>113735.55251907175</v>
      </c>
      <c r="R188">
        <f t="shared" ref="R188" si="917">R189+Q188</f>
        <v>29338309.903703447</v>
      </c>
      <c r="S188">
        <f t="shared" ref="S188" si="918">R188/100000</f>
        <v>293.38309903703447</v>
      </c>
      <c r="T188">
        <f t="shared" ref="T188" si="919">S188/1000</f>
        <v>0.29338309903703447</v>
      </c>
    </row>
    <row r="189" spans="1:20" x14ac:dyDescent="0.25">
      <c r="A189" s="5">
        <v>44404</v>
      </c>
      <c r="B189">
        <v>0.67520000000000002</v>
      </c>
      <c r="C189">
        <v>0.75690000000000002</v>
      </c>
      <c r="D189">
        <v>0.65600000000000003</v>
      </c>
      <c r="E189">
        <v>0.71050000000000002</v>
      </c>
      <c r="F189">
        <v>10570088.75</v>
      </c>
      <c r="G189">
        <v>0.71050000000000002</v>
      </c>
      <c r="L189" t="s">
        <v>8</v>
      </c>
      <c r="M189" t="s">
        <v>8</v>
      </c>
      <c r="N189" t="s">
        <v>8</v>
      </c>
      <c r="P189">
        <f t="shared" ref="P189" si="920">IF(C189=D189,0,((E189-D189)-(C189-E189))/(C189-D189))</f>
        <v>8.0277502477700657E-2</v>
      </c>
      <c r="Q189">
        <f t="shared" ref="Q189" si="921">F189*P189</f>
        <v>848540.32581764087</v>
      </c>
      <c r="R189">
        <f t="shared" ref="R189" si="922">R190+Q189</f>
        <v>29224574.351184376</v>
      </c>
      <c r="S189">
        <f t="shared" ref="S189" si="923">R189/100000</f>
        <v>292.24574351184373</v>
      </c>
      <c r="T189">
        <f t="shared" ref="T189" si="924">S189/1000</f>
        <v>0.29224574351184374</v>
      </c>
    </row>
    <row r="190" spans="1:20" x14ac:dyDescent="0.25">
      <c r="A190" s="5">
        <v>44403</v>
      </c>
      <c r="B190">
        <v>0.65820000000000001</v>
      </c>
      <c r="C190">
        <v>0.72509999999999997</v>
      </c>
      <c r="D190">
        <v>0.65549999999999997</v>
      </c>
      <c r="E190">
        <v>0.67549999999999999</v>
      </c>
      <c r="F190">
        <v>9962396.8599999994</v>
      </c>
      <c r="G190">
        <v>0.67549999999999999</v>
      </c>
      <c r="L190" t="s">
        <v>8</v>
      </c>
      <c r="M190" t="s">
        <v>8</v>
      </c>
      <c r="N190" t="s">
        <v>7</v>
      </c>
      <c r="P190">
        <f t="shared" ref="P190" si="925">IF(C190=D190,0,((E190-D190)-(C190-E190))/(C190-D190))</f>
        <v>-0.42528735632183851</v>
      </c>
      <c r="Q190">
        <f t="shared" ref="Q190" si="926">F190*P190</f>
        <v>-4236881.4232183844</v>
      </c>
      <c r="R190">
        <f t="shared" ref="R190" si="927">R191+Q190</f>
        <v>28376034.025366735</v>
      </c>
      <c r="S190">
        <f t="shared" ref="S190" si="928">R190/100000</f>
        <v>283.76034025366732</v>
      </c>
      <c r="T190">
        <f t="shared" ref="T190" si="929">S190/1000</f>
        <v>0.28376034025366731</v>
      </c>
    </row>
    <row r="191" spans="1:20" x14ac:dyDescent="0.25">
      <c r="A191" s="5">
        <v>44402</v>
      </c>
      <c r="B191">
        <v>0.65800000000000003</v>
      </c>
      <c r="C191">
        <v>0.66120000000000001</v>
      </c>
      <c r="D191">
        <v>0.63090000000000002</v>
      </c>
      <c r="E191">
        <v>0.65869999999999995</v>
      </c>
      <c r="F191">
        <v>3270066.27</v>
      </c>
      <c r="G191">
        <v>0.65869999999999995</v>
      </c>
      <c r="L191" t="s">
        <v>7</v>
      </c>
      <c r="M191" t="s">
        <v>8</v>
      </c>
      <c r="N191" t="s">
        <v>7</v>
      </c>
      <c r="P191">
        <f t="shared" ref="P191" si="930">IF(C191=D191,0,((E191-D191)-(C191-E191))/(C191-D191))</f>
        <v>0.8349834983498311</v>
      </c>
      <c r="Q191">
        <f t="shared" ref="Q191" si="931">F191*P191</f>
        <v>2730451.3739603832</v>
      </c>
      <c r="R191">
        <f t="shared" ref="R191" si="932">R192+Q191</f>
        <v>32612915.448585119</v>
      </c>
      <c r="S191">
        <f t="shared" ref="S191" si="933">R191/100000</f>
        <v>326.12915448585119</v>
      </c>
      <c r="T191">
        <f t="shared" ref="T191:T197" si="934">S191/1000</f>
        <v>0.32612915448585117</v>
      </c>
    </row>
    <row r="192" spans="1:20" x14ac:dyDescent="0.25">
      <c r="A192" s="5">
        <v>44401</v>
      </c>
      <c r="B192">
        <v>0.65090000000000003</v>
      </c>
      <c r="C192">
        <v>0.67769999999999997</v>
      </c>
      <c r="D192">
        <v>0.64249999999999996</v>
      </c>
      <c r="E192">
        <v>0.65739999999999998</v>
      </c>
      <c r="F192">
        <v>5219071.37</v>
      </c>
      <c r="G192">
        <v>0.65739999999999998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-0.15340909090908975</v>
      </c>
      <c r="Q192">
        <f t="shared" ref="Q192" si="936">F192*P192</f>
        <v>-800652.99426135758</v>
      </c>
      <c r="R192">
        <f t="shared" ref="R192" si="937">R193+Q192</f>
        <v>29882464.074624736</v>
      </c>
      <c r="S192">
        <f t="shared" ref="S192" si="938">R192/100000</f>
        <v>298.82464074624738</v>
      </c>
      <c r="T192">
        <f t="shared" si="934"/>
        <v>0.29882464074624737</v>
      </c>
    </row>
    <row r="193" spans="1:20" x14ac:dyDescent="0.25">
      <c r="A193" s="5">
        <v>44400</v>
      </c>
      <c r="B193">
        <v>0.64190000000000003</v>
      </c>
      <c r="C193">
        <v>0.65210000000000001</v>
      </c>
      <c r="D193">
        <v>0.60580000000000001</v>
      </c>
      <c r="E193">
        <v>0.65069999999999995</v>
      </c>
      <c r="F193">
        <v>4315722.78</v>
      </c>
      <c r="G193">
        <v>0.65069999999999995</v>
      </c>
      <c r="L193" t="s">
        <v>7</v>
      </c>
      <c r="M193" t="s">
        <v>8</v>
      </c>
      <c r="N193" t="s">
        <v>7</v>
      </c>
      <c r="P193">
        <f t="shared" ref="P193" si="939">IF(C193=D193,0,((E193-D193)-(C193-E193))/(C193-D193))</f>
        <v>0.93952483801295605</v>
      </c>
      <c r="Q193">
        <f t="shared" ref="Q193" si="940">F193*P193</f>
        <v>4054728.7457883246</v>
      </c>
      <c r="R193">
        <f t="shared" ref="R193" si="941">R194+Q193</f>
        <v>30683117.068886094</v>
      </c>
      <c r="S193">
        <f t="shared" ref="S193" si="942">R193/100000</f>
        <v>306.83117068886094</v>
      </c>
      <c r="T193">
        <f t="shared" si="934"/>
        <v>0.30683117068886095</v>
      </c>
    </row>
    <row r="194" spans="1:20" x14ac:dyDescent="0.25">
      <c r="A194" s="5">
        <v>44399</v>
      </c>
      <c r="B194">
        <v>0.63649999999999995</v>
      </c>
      <c r="C194">
        <v>0.64200000000000002</v>
      </c>
      <c r="D194">
        <v>0.61019999999999996</v>
      </c>
      <c r="E194">
        <v>0.64180000000000004</v>
      </c>
      <c r="F194">
        <v>7997710.0700000003</v>
      </c>
      <c r="G194">
        <v>0.64180000000000004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0.98742138364780019</v>
      </c>
      <c r="Q194">
        <f t="shared" ref="Q194" si="944">F194*P194</f>
        <v>7897109.9433333455</v>
      </c>
      <c r="R194">
        <f t="shared" ref="R194" si="945">R195+Q194</f>
        <v>26628388.323097769</v>
      </c>
      <c r="S194">
        <f t="shared" ref="S194" si="946">R194/100000</f>
        <v>266.28388323097766</v>
      </c>
      <c r="T194">
        <f t="shared" si="934"/>
        <v>0.26628388323097768</v>
      </c>
    </row>
    <row r="195" spans="1:20" x14ac:dyDescent="0.25">
      <c r="A195" s="5">
        <v>44398</v>
      </c>
      <c r="B195">
        <v>0.54669999999999996</v>
      </c>
      <c r="C195">
        <v>0.65880000000000005</v>
      </c>
      <c r="D195">
        <v>0.53</v>
      </c>
      <c r="E195">
        <v>0.63580000000000003</v>
      </c>
      <c r="F195">
        <v>15014177.369999999</v>
      </c>
      <c r="G195">
        <v>0.63580000000000003</v>
      </c>
      <c r="L195" t="s">
        <v>8</v>
      </c>
      <c r="M195" t="s">
        <v>8</v>
      </c>
      <c r="N195" t="s">
        <v>7</v>
      </c>
      <c r="P195">
        <f t="shared" ref="P195" si="947">IF(C195=D195,0,((E195-D195)-(C195-E195))/(C195-D195))</f>
        <v>0.64285714285714257</v>
      </c>
      <c r="Q195">
        <f t="shared" ref="Q195" si="948">F195*P195</f>
        <v>9651971.166428566</v>
      </c>
      <c r="R195">
        <f t="shared" ref="R195" si="949">R196+Q195</f>
        <v>18731278.379764423</v>
      </c>
      <c r="S195">
        <f t="shared" ref="S195" si="950">R195/100000</f>
        <v>187.31278379764422</v>
      </c>
      <c r="T195">
        <f t="shared" si="934"/>
        <v>0.18731278379764421</v>
      </c>
    </row>
    <row r="196" spans="1:20" x14ac:dyDescent="0.25">
      <c r="A196" s="5">
        <v>44397</v>
      </c>
      <c r="B196">
        <v>0.58430000000000004</v>
      </c>
      <c r="C196">
        <v>0.59660000000000002</v>
      </c>
      <c r="D196">
        <v>0.52349999999999997</v>
      </c>
      <c r="E196">
        <v>0.54759999999999998</v>
      </c>
      <c r="F196">
        <v>6379235.1699999999</v>
      </c>
      <c r="G196">
        <v>0.54759999999999998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-0.34062927496580048</v>
      </c>
      <c r="Q196">
        <f t="shared" ref="Q196" si="952">F196*P196</f>
        <v>-2172954.2507934351</v>
      </c>
      <c r="R196">
        <f t="shared" ref="R196" si="953">R197+Q196</f>
        <v>9079307.2133358568</v>
      </c>
      <c r="S196">
        <f t="shared" ref="S196" si="954">R196/100000</f>
        <v>90.793072133358564</v>
      </c>
      <c r="T196">
        <f t="shared" si="934"/>
        <v>9.0793072133358563E-2</v>
      </c>
    </row>
    <row r="197" spans="1:20" x14ac:dyDescent="0.25">
      <c r="A197" s="5">
        <v>44396</v>
      </c>
      <c r="B197">
        <v>0.62319999999999998</v>
      </c>
      <c r="C197">
        <v>0.62809999999999999</v>
      </c>
      <c r="D197">
        <v>0.57750000000000001</v>
      </c>
      <c r="E197">
        <v>0.58420000000000005</v>
      </c>
      <c r="F197">
        <v>5241834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-0.73517786561264653</v>
      </c>
      <c r="Q197">
        <f t="shared" ref="Q197" si="956">F197*P197</f>
        <v>-3853680.3320158012</v>
      </c>
      <c r="R197">
        <f t="shared" ref="R197" si="957">R198+Q197</f>
        <v>11252261.464129291</v>
      </c>
      <c r="S197">
        <f t="shared" ref="S197" si="958">R197/100000</f>
        <v>112.52261464129292</v>
      </c>
      <c r="T197">
        <f t="shared" si="934"/>
        <v>0.11252261464129291</v>
      </c>
    </row>
    <row r="198" spans="1:20" x14ac:dyDescent="0.25">
      <c r="A198" s="5">
        <v>44395</v>
      </c>
      <c r="B198">
        <v>0.62760000000000005</v>
      </c>
      <c r="C198">
        <v>0.65410000000000001</v>
      </c>
      <c r="D198">
        <v>0.60880000000000001</v>
      </c>
      <c r="E198">
        <v>0.62280000000000002</v>
      </c>
      <c r="F198">
        <v>2591598.85</v>
      </c>
      <c r="G198">
        <v>0</v>
      </c>
      <c r="L198" t="s">
        <v>8</v>
      </c>
      <c r="M198" t="s">
        <v>7</v>
      </c>
      <c r="N198" t="s">
        <v>7</v>
      </c>
      <c r="P198">
        <f t="shared" ref="P198:P261" si="959">IF(C198=D198,0,((E198-D198)-(C198-E198))/(C198-D198))</f>
        <v>-0.38189845474613643</v>
      </c>
      <c r="Q198">
        <f t="shared" ref="Q198:Q261" si="960">F198*P198</f>
        <v>-989727.59613686427</v>
      </c>
      <c r="R198">
        <f t="shared" ref="R198:R261" si="961">R199+Q198</f>
        <v>15105941.796145093</v>
      </c>
      <c r="S198">
        <f t="shared" ref="S198:S261" si="962">R198/100000</f>
        <v>151.05941796145092</v>
      </c>
      <c r="T198">
        <f t="shared" ref="T198:T261" si="963">S198/1000</f>
        <v>0.15105941796145092</v>
      </c>
    </row>
    <row r="199" spans="1:20" x14ac:dyDescent="0.25">
      <c r="A199" s="5">
        <v>44394</v>
      </c>
      <c r="B199">
        <v>0.61970000000000003</v>
      </c>
      <c r="C199">
        <v>0.63149999999999995</v>
      </c>
      <c r="D199">
        <v>0.59799999999999998</v>
      </c>
      <c r="E199">
        <v>0.62729999999999997</v>
      </c>
      <c r="F199">
        <v>3115734.47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0.74925373134328455</v>
      </c>
      <c r="Q199">
        <f t="shared" si="960"/>
        <v>2334475.6775223911</v>
      </c>
      <c r="R199">
        <f t="shared" si="961"/>
        <v>16095669.392281957</v>
      </c>
      <c r="S199">
        <f t="shared" si="962"/>
        <v>160.95669392281957</v>
      </c>
      <c r="T199">
        <f t="shared" si="963"/>
        <v>0.16095669392281955</v>
      </c>
    </row>
    <row r="200" spans="1:20" x14ac:dyDescent="0.25">
      <c r="A200" s="5">
        <v>44393</v>
      </c>
      <c r="B200">
        <v>0.6714</v>
      </c>
      <c r="C200">
        <v>0.67669999999999997</v>
      </c>
      <c r="D200">
        <v>0.61260000000000003</v>
      </c>
      <c r="E200">
        <v>0.62009999999999998</v>
      </c>
      <c r="F200">
        <v>5593501.1600000001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-0.76599063962558633</v>
      </c>
      <c r="Q200">
        <f t="shared" si="960"/>
        <v>-4284569.531294859</v>
      </c>
      <c r="R200">
        <f t="shared" si="961"/>
        <v>13761193.714759566</v>
      </c>
      <c r="S200">
        <f t="shared" si="962"/>
        <v>137.61193714759565</v>
      </c>
      <c r="T200">
        <f t="shared" si="963"/>
        <v>0.13761193714759565</v>
      </c>
    </row>
    <row r="201" spans="1:20" x14ac:dyDescent="0.25">
      <c r="A201" s="5">
        <v>44392</v>
      </c>
      <c r="B201">
        <v>0.71650000000000003</v>
      </c>
      <c r="C201">
        <v>0.72240000000000004</v>
      </c>
      <c r="D201">
        <v>0.65249999999999997</v>
      </c>
      <c r="E201">
        <v>0.67100000000000004</v>
      </c>
      <c r="F201">
        <v>5497764.6799999997</v>
      </c>
      <c r="G201">
        <v>0</v>
      </c>
      <c r="L201" t="s">
        <v>7</v>
      </c>
      <c r="M201" t="s">
        <v>7</v>
      </c>
      <c r="N201" t="s">
        <v>8</v>
      </c>
      <c r="P201">
        <f t="shared" si="959"/>
        <v>-0.47067238912732323</v>
      </c>
      <c r="Q201">
        <f t="shared" si="960"/>
        <v>-2587646.0367954136</v>
      </c>
      <c r="R201">
        <f t="shared" si="961"/>
        <v>18045763.246054426</v>
      </c>
      <c r="S201">
        <f t="shared" si="962"/>
        <v>180.45763246054426</v>
      </c>
      <c r="T201">
        <f t="shared" si="963"/>
        <v>0.18045763246054425</v>
      </c>
    </row>
    <row r="202" spans="1:20" x14ac:dyDescent="0.25">
      <c r="A202" s="5">
        <v>44391</v>
      </c>
      <c r="B202">
        <v>0.71540000000000004</v>
      </c>
      <c r="C202">
        <v>0.72189999999999999</v>
      </c>
      <c r="D202">
        <v>0.66469999999999996</v>
      </c>
      <c r="E202">
        <v>0.71699999999999997</v>
      </c>
      <c r="F202">
        <v>3810500.67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0.8286713286713282</v>
      </c>
      <c r="Q202">
        <f t="shared" si="960"/>
        <v>3157652.6531118862</v>
      </c>
      <c r="R202">
        <f t="shared" si="961"/>
        <v>20633409.282849841</v>
      </c>
      <c r="S202">
        <f t="shared" si="962"/>
        <v>206.3340928284984</v>
      </c>
      <c r="T202">
        <f t="shared" si="963"/>
        <v>0.20633409282849841</v>
      </c>
    </row>
    <row r="203" spans="1:20" x14ac:dyDescent="0.25">
      <c r="A203" s="5">
        <v>44390</v>
      </c>
      <c r="B203">
        <v>0.75219999999999998</v>
      </c>
      <c r="C203">
        <v>0.75480000000000003</v>
      </c>
      <c r="D203">
        <v>0.70409999999999995</v>
      </c>
      <c r="E203">
        <v>0.71579999999999999</v>
      </c>
      <c r="F203">
        <v>3395616.55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-0.53846153846153744</v>
      </c>
      <c r="Q203">
        <f t="shared" si="960"/>
        <v>-1828408.911538458</v>
      </c>
      <c r="R203">
        <f t="shared" si="961"/>
        <v>17475756.629737955</v>
      </c>
      <c r="S203">
        <f t="shared" si="962"/>
        <v>174.75756629737955</v>
      </c>
      <c r="T203">
        <f t="shared" si="963"/>
        <v>0.17475756629737954</v>
      </c>
    </row>
    <row r="204" spans="1:20" x14ac:dyDescent="0.25">
      <c r="A204" s="5">
        <v>44389</v>
      </c>
      <c r="B204">
        <v>0.79630000000000001</v>
      </c>
      <c r="C204">
        <v>0.79700000000000004</v>
      </c>
      <c r="D204">
        <v>0.73809999999999998</v>
      </c>
      <c r="E204">
        <v>0.75249999999999995</v>
      </c>
      <c r="F204">
        <v>4722723.67</v>
      </c>
      <c r="G204">
        <v>0</v>
      </c>
      <c r="L204" t="s">
        <v>7</v>
      </c>
      <c r="M204" t="s">
        <v>7</v>
      </c>
      <c r="N204" t="s">
        <v>8</v>
      </c>
      <c r="P204">
        <f t="shared" si="959"/>
        <v>-0.51103565365025627</v>
      </c>
      <c r="Q204">
        <f t="shared" si="960"/>
        <v>-2413480.1777079874</v>
      </c>
      <c r="R204">
        <f t="shared" si="961"/>
        <v>19304165.541276414</v>
      </c>
      <c r="S204">
        <f t="shared" si="962"/>
        <v>193.04165541276413</v>
      </c>
      <c r="T204">
        <f t="shared" si="963"/>
        <v>0.19304165541276413</v>
      </c>
    </row>
    <row r="205" spans="1:20" x14ac:dyDescent="0.25">
      <c r="A205" s="5">
        <v>44388</v>
      </c>
      <c r="B205">
        <v>0.79039999999999999</v>
      </c>
      <c r="C205">
        <v>0.79910000000000003</v>
      </c>
      <c r="D205">
        <v>0.76229999999999998</v>
      </c>
      <c r="E205">
        <v>0.79669999999999996</v>
      </c>
      <c r="F205">
        <v>6138548.21</v>
      </c>
      <c r="G205">
        <v>0</v>
      </c>
      <c r="L205" t="s">
        <v>7</v>
      </c>
      <c r="M205" t="s">
        <v>8</v>
      </c>
      <c r="N205" t="s">
        <v>8</v>
      </c>
      <c r="P205">
        <f t="shared" si="959"/>
        <v>0.86956521739130077</v>
      </c>
      <c r="Q205">
        <f t="shared" si="960"/>
        <v>5337868.0086956304</v>
      </c>
      <c r="R205">
        <f t="shared" si="961"/>
        <v>21717645.718984403</v>
      </c>
      <c r="S205">
        <f t="shared" si="962"/>
        <v>217.17645718984403</v>
      </c>
      <c r="T205">
        <f t="shared" si="963"/>
        <v>0.21717645718984402</v>
      </c>
    </row>
    <row r="206" spans="1:20" x14ac:dyDescent="0.25">
      <c r="A206" s="5">
        <v>44387</v>
      </c>
      <c r="B206">
        <v>0.83750000000000002</v>
      </c>
      <c r="C206">
        <v>0.85680000000000001</v>
      </c>
      <c r="D206">
        <v>0.77339999999999998</v>
      </c>
      <c r="E206">
        <v>0.79010000000000002</v>
      </c>
      <c r="F206">
        <v>12538772.949999999</v>
      </c>
      <c r="G206">
        <v>0</v>
      </c>
      <c r="L206" t="s">
        <v>7</v>
      </c>
      <c r="M206" t="s">
        <v>8</v>
      </c>
      <c r="N206" t="s">
        <v>8</v>
      </c>
      <c r="P206">
        <f t="shared" si="959"/>
        <v>-0.5995203836930445</v>
      </c>
      <c r="Q206">
        <f t="shared" si="960"/>
        <v>-7517249.9700239673</v>
      </c>
      <c r="R206">
        <f t="shared" si="961"/>
        <v>16379777.710288774</v>
      </c>
      <c r="S206">
        <f t="shared" si="962"/>
        <v>163.79777710288775</v>
      </c>
      <c r="T206">
        <f t="shared" si="963"/>
        <v>0.16379777710288776</v>
      </c>
    </row>
    <row r="207" spans="1:20" x14ac:dyDescent="0.25">
      <c r="A207" s="5">
        <v>44386</v>
      </c>
      <c r="B207">
        <v>0.84370000000000001</v>
      </c>
      <c r="C207">
        <v>0.90500000000000003</v>
      </c>
      <c r="D207">
        <v>0.76600000000000001</v>
      </c>
      <c r="E207">
        <v>0.83840000000000003</v>
      </c>
      <c r="F207">
        <v>33183909.18</v>
      </c>
      <c r="G207">
        <v>0</v>
      </c>
      <c r="L207" t="s">
        <v>8</v>
      </c>
      <c r="M207" t="s">
        <v>8</v>
      </c>
      <c r="N207" t="s">
        <v>8</v>
      </c>
      <c r="P207">
        <f t="shared" si="959"/>
        <v>4.1726618705036161E-2</v>
      </c>
      <c r="Q207">
        <f t="shared" si="960"/>
        <v>1384652.3254964091</v>
      </c>
      <c r="R207">
        <f t="shared" si="961"/>
        <v>23897027.680312742</v>
      </c>
      <c r="S207">
        <f t="shared" si="962"/>
        <v>238.9702768031274</v>
      </c>
      <c r="T207">
        <f t="shared" si="963"/>
        <v>0.23897027680312741</v>
      </c>
    </row>
    <row r="208" spans="1:20" x14ac:dyDescent="0.25">
      <c r="A208" s="5">
        <v>44385</v>
      </c>
      <c r="B208">
        <v>0.79</v>
      </c>
      <c r="C208">
        <v>0.84550000000000003</v>
      </c>
      <c r="D208">
        <v>0.70760000000000001</v>
      </c>
      <c r="E208">
        <v>0.84550000000000003</v>
      </c>
      <c r="F208">
        <v>8635269.8100000005</v>
      </c>
      <c r="G208">
        <v>0</v>
      </c>
      <c r="L208" t="s">
        <v>8</v>
      </c>
      <c r="M208" t="s">
        <v>7</v>
      </c>
      <c r="N208" t="s">
        <v>8</v>
      </c>
      <c r="P208">
        <f t="shared" si="959"/>
        <v>1</v>
      </c>
      <c r="Q208">
        <f t="shared" si="960"/>
        <v>8635269.8100000005</v>
      </c>
      <c r="R208">
        <f t="shared" si="961"/>
        <v>22512375.354816332</v>
      </c>
      <c r="S208">
        <f t="shared" si="962"/>
        <v>225.12375354816334</v>
      </c>
      <c r="T208">
        <f t="shared" si="963"/>
        <v>0.22512375354816333</v>
      </c>
    </row>
    <row r="209" spans="1:20" x14ac:dyDescent="0.25">
      <c r="A209" s="5">
        <v>44384</v>
      </c>
      <c r="B209">
        <v>0.7117</v>
      </c>
      <c r="C209">
        <v>0.82740000000000002</v>
      </c>
      <c r="D209">
        <v>0.70450000000000002</v>
      </c>
      <c r="E209">
        <v>0.78969999999999996</v>
      </c>
      <c r="F209">
        <v>12506764.49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0.38649308380797293</v>
      </c>
      <c r="Q209">
        <f t="shared" si="960"/>
        <v>4833777.9762001494</v>
      </c>
      <c r="R209">
        <f t="shared" si="961"/>
        <v>13877105.54481633</v>
      </c>
      <c r="S209">
        <f t="shared" si="962"/>
        <v>138.77105544816331</v>
      </c>
      <c r="T209">
        <f t="shared" si="963"/>
        <v>0.13877105544816332</v>
      </c>
    </row>
    <row r="210" spans="1:20" x14ac:dyDescent="0.25">
      <c r="A210" s="5">
        <v>44383</v>
      </c>
      <c r="B210">
        <v>0.69350000000000001</v>
      </c>
      <c r="C210">
        <v>0.74680000000000002</v>
      </c>
      <c r="D210">
        <v>0.69120000000000004</v>
      </c>
      <c r="E210">
        <v>0.71309999999999996</v>
      </c>
      <c r="F210">
        <v>7765901.6900000004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-0.21223021582734078</v>
      </c>
      <c r="Q210">
        <f t="shared" si="960"/>
        <v>-1648158.9917626106</v>
      </c>
      <c r="R210">
        <f t="shared" si="961"/>
        <v>9043327.5686161797</v>
      </c>
      <c r="S210">
        <f t="shared" si="962"/>
        <v>90.433275686161792</v>
      </c>
      <c r="T210">
        <f t="shared" si="963"/>
        <v>9.0433275686161788E-2</v>
      </c>
    </row>
    <row r="211" spans="1:20" x14ac:dyDescent="0.25">
      <c r="A211" s="5">
        <v>44382</v>
      </c>
      <c r="B211">
        <v>0.72450000000000003</v>
      </c>
      <c r="C211">
        <v>0.72550000000000003</v>
      </c>
      <c r="D211">
        <v>0.67059999999999997</v>
      </c>
      <c r="E211">
        <v>0.69330000000000003</v>
      </c>
      <c r="F211">
        <v>6149117.3499999996</v>
      </c>
      <c r="G211">
        <v>0</v>
      </c>
      <c r="L211" t="s">
        <v>7</v>
      </c>
      <c r="M211" t="s">
        <v>8</v>
      </c>
      <c r="N211" t="s">
        <v>8</v>
      </c>
      <c r="P211">
        <f t="shared" si="959"/>
        <v>-0.17304189435336872</v>
      </c>
      <c r="Q211">
        <f t="shared" si="960"/>
        <v>-1064054.9148451665</v>
      </c>
      <c r="R211">
        <f t="shared" si="961"/>
        <v>10691486.56037879</v>
      </c>
      <c r="S211">
        <f t="shared" si="962"/>
        <v>106.9148656037879</v>
      </c>
      <c r="T211">
        <f t="shared" si="963"/>
        <v>0.10691486560378791</v>
      </c>
    </row>
    <row r="212" spans="1:20" x14ac:dyDescent="0.25">
      <c r="A212" s="5">
        <v>44381</v>
      </c>
      <c r="B212">
        <v>0.70289999999999997</v>
      </c>
      <c r="C212">
        <v>0.74199999999999999</v>
      </c>
      <c r="D212">
        <v>0.68069999999999997</v>
      </c>
      <c r="E212">
        <v>0.72460000000000002</v>
      </c>
      <c r="F212">
        <v>3411010.99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0.43230016313213815</v>
      </c>
      <c r="Q212">
        <f t="shared" si="960"/>
        <v>1474580.6074225162</v>
      </c>
      <c r="R212">
        <f t="shared" si="961"/>
        <v>11755541.475223957</v>
      </c>
      <c r="S212">
        <f t="shared" si="962"/>
        <v>117.55541475223957</v>
      </c>
      <c r="T212">
        <f t="shared" si="963"/>
        <v>0.11755541475223957</v>
      </c>
    </row>
    <row r="213" spans="1:20" x14ac:dyDescent="0.25">
      <c r="A213" s="5">
        <v>44380</v>
      </c>
      <c r="B213">
        <v>0.69099999999999995</v>
      </c>
      <c r="C213">
        <v>0.71489999999999998</v>
      </c>
      <c r="D213">
        <v>0.66810000000000003</v>
      </c>
      <c r="E213">
        <v>0.70240000000000002</v>
      </c>
      <c r="F213">
        <v>3476199.01</v>
      </c>
      <c r="G213">
        <v>0</v>
      </c>
      <c r="L213" t="s">
        <v>8</v>
      </c>
      <c r="M213" t="s">
        <v>8</v>
      </c>
      <c r="N213" t="s">
        <v>8</v>
      </c>
      <c r="P213">
        <f t="shared" si="959"/>
        <v>0.46581196581196715</v>
      </c>
      <c r="Q213">
        <f t="shared" si="960"/>
        <v>1619255.0944017139</v>
      </c>
      <c r="R213">
        <f t="shared" si="961"/>
        <v>10280960.867801441</v>
      </c>
      <c r="S213">
        <f t="shared" si="962"/>
        <v>102.80960867801441</v>
      </c>
      <c r="T213">
        <f t="shared" si="963"/>
        <v>0.10280960867801442</v>
      </c>
    </row>
    <row r="214" spans="1:20" x14ac:dyDescent="0.25">
      <c r="A214" s="5">
        <v>44379</v>
      </c>
      <c r="B214">
        <v>0.68869999999999998</v>
      </c>
      <c r="C214">
        <v>0.69769999999999999</v>
      </c>
      <c r="D214">
        <v>0.65429999999999999</v>
      </c>
      <c r="E214">
        <v>0.69099999999999995</v>
      </c>
      <c r="F214">
        <v>5229929.93</v>
      </c>
      <c r="G214">
        <v>0</v>
      </c>
      <c r="L214" t="s">
        <v>7</v>
      </c>
      <c r="M214" t="s">
        <v>8</v>
      </c>
      <c r="N214" t="s">
        <v>8</v>
      </c>
      <c r="P214">
        <f t="shared" si="959"/>
        <v>0.69124423963133452</v>
      </c>
      <c r="Q214">
        <f t="shared" si="960"/>
        <v>3615158.9377880082</v>
      </c>
      <c r="R214">
        <f t="shared" si="961"/>
        <v>8661705.7733997274</v>
      </c>
      <c r="S214">
        <f t="shared" si="962"/>
        <v>86.617057733997271</v>
      </c>
      <c r="T214">
        <f t="shared" si="963"/>
        <v>8.6617057733997277E-2</v>
      </c>
    </row>
    <row r="215" spans="1:20" x14ac:dyDescent="0.25">
      <c r="A215" s="5">
        <v>44378</v>
      </c>
      <c r="B215">
        <v>0.74319999999999997</v>
      </c>
      <c r="C215">
        <v>0.76800000000000002</v>
      </c>
      <c r="D215">
        <v>0.67659999999999998</v>
      </c>
      <c r="E215">
        <v>0.68920000000000003</v>
      </c>
      <c r="F215">
        <v>8508547.9900000002</v>
      </c>
      <c r="G215">
        <v>0</v>
      </c>
      <c r="L215" t="s">
        <v>8</v>
      </c>
      <c r="M215" t="s">
        <v>8</v>
      </c>
      <c r="N215" t="s">
        <v>8</v>
      </c>
      <c r="P215">
        <f t="shared" si="959"/>
        <v>-0.724288840262581</v>
      </c>
      <c r="Q215">
        <f t="shared" si="960"/>
        <v>-6162646.355995615</v>
      </c>
      <c r="R215">
        <f t="shared" si="961"/>
        <v>5046546.8356117187</v>
      </c>
      <c r="S215">
        <f t="shared" si="962"/>
        <v>50.465468356117185</v>
      </c>
      <c r="T215">
        <f t="shared" si="963"/>
        <v>5.0465468356117184E-2</v>
      </c>
    </row>
    <row r="216" spans="1:20" x14ac:dyDescent="0.25">
      <c r="A216" s="5">
        <v>44377</v>
      </c>
      <c r="B216">
        <v>0.72670000000000001</v>
      </c>
      <c r="C216">
        <v>0.74339999999999995</v>
      </c>
      <c r="D216">
        <v>0.67020000000000002</v>
      </c>
      <c r="E216">
        <v>0.74250000000000005</v>
      </c>
      <c r="F216">
        <v>6732465.8099999996</v>
      </c>
      <c r="G216">
        <v>0</v>
      </c>
      <c r="L216" t="s">
        <v>7</v>
      </c>
      <c r="M216" t="s">
        <v>8</v>
      </c>
      <c r="N216" t="s">
        <v>8</v>
      </c>
      <c r="P216">
        <f t="shared" si="959"/>
        <v>0.97540983606557641</v>
      </c>
      <c r="Q216">
        <f t="shared" si="960"/>
        <v>6566913.3720491976</v>
      </c>
      <c r="R216">
        <f t="shared" si="961"/>
        <v>11209193.191607334</v>
      </c>
      <c r="S216">
        <f t="shared" si="962"/>
        <v>112.09193191607334</v>
      </c>
      <c r="T216">
        <f t="shared" si="963"/>
        <v>0.11209193191607333</v>
      </c>
    </row>
    <row r="217" spans="1:20" x14ac:dyDescent="0.25">
      <c r="A217" s="5">
        <v>44376</v>
      </c>
      <c r="B217">
        <v>0.70320000000000005</v>
      </c>
      <c r="C217">
        <v>0.75</v>
      </c>
      <c r="D217">
        <v>0.69389999999999996</v>
      </c>
      <c r="E217">
        <v>0.72709999999999997</v>
      </c>
      <c r="F217">
        <v>8440843.6899999995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0.18360071301247716</v>
      </c>
      <c r="Q217">
        <f t="shared" si="960"/>
        <v>1549744.9199108686</v>
      </c>
      <c r="R217">
        <f t="shared" si="961"/>
        <v>4642279.8195581362</v>
      </c>
      <c r="S217">
        <f t="shared" si="962"/>
        <v>46.422798195581365</v>
      </c>
      <c r="T217">
        <f t="shared" si="963"/>
        <v>4.6422798195581365E-2</v>
      </c>
    </row>
    <row r="218" spans="1:20" x14ac:dyDescent="0.25">
      <c r="A218" s="5">
        <v>44375</v>
      </c>
      <c r="B218">
        <v>0.63780000000000003</v>
      </c>
      <c r="C218">
        <v>0.7177</v>
      </c>
      <c r="D218">
        <v>0.62939999999999996</v>
      </c>
      <c r="E218">
        <v>0.70130000000000003</v>
      </c>
      <c r="F218">
        <v>9083037.6999999993</v>
      </c>
      <c r="G218">
        <v>0</v>
      </c>
      <c r="L218" t="s">
        <v>8</v>
      </c>
      <c r="M218" t="s">
        <v>8</v>
      </c>
      <c r="N218" t="s">
        <v>8</v>
      </c>
      <c r="P218">
        <f t="shared" si="959"/>
        <v>0.62853907134767928</v>
      </c>
      <c r="Q218">
        <f t="shared" si="960"/>
        <v>5709044.0809739605</v>
      </c>
      <c r="R218">
        <f t="shared" si="961"/>
        <v>3092534.8996472675</v>
      </c>
      <c r="S218">
        <f t="shared" si="962"/>
        <v>30.925348996472675</v>
      </c>
      <c r="T218">
        <f t="shared" si="963"/>
        <v>3.0925348996472674E-2</v>
      </c>
    </row>
    <row r="219" spans="1:20" x14ac:dyDescent="0.25">
      <c r="A219" s="5">
        <v>44374</v>
      </c>
      <c r="B219">
        <v>0.60089999999999999</v>
      </c>
      <c r="C219">
        <v>0.63929999999999998</v>
      </c>
      <c r="D219">
        <v>0.58230000000000004</v>
      </c>
      <c r="E219">
        <v>0.6381</v>
      </c>
      <c r="F219">
        <v>4959470.1900000004</v>
      </c>
      <c r="G219">
        <v>0</v>
      </c>
      <c r="L219" t="s">
        <v>8</v>
      </c>
      <c r="M219" t="s">
        <v>7</v>
      </c>
      <c r="N219" t="s">
        <v>8</v>
      </c>
      <c r="P219">
        <f t="shared" si="959"/>
        <v>0.95789473684210591</v>
      </c>
      <c r="Q219">
        <f t="shared" si="960"/>
        <v>4750650.3925263193</v>
      </c>
      <c r="R219">
        <f t="shared" si="961"/>
        <v>-2616509.1813266929</v>
      </c>
      <c r="S219">
        <f t="shared" si="962"/>
        <v>-26.16509181326693</v>
      </c>
      <c r="T219">
        <f t="shared" si="963"/>
        <v>-2.6165091813266931E-2</v>
      </c>
    </row>
    <row r="220" spans="1:20" x14ac:dyDescent="0.25">
      <c r="A220" s="5">
        <v>44373</v>
      </c>
      <c r="B220">
        <v>0.6008</v>
      </c>
      <c r="C220">
        <v>0.62419999999999998</v>
      </c>
      <c r="D220">
        <v>0.56759999999999999</v>
      </c>
      <c r="E220">
        <v>0.60070000000000001</v>
      </c>
      <c r="F220">
        <v>7475238.1200000001</v>
      </c>
      <c r="G220">
        <v>0</v>
      </c>
      <c r="L220" t="s">
        <v>7</v>
      </c>
      <c r="M220" t="s">
        <v>7</v>
      </c>
      <c r="N220" t="s">
        <v>8</v>
      </c>
      <c r="P220">
        <f t="shared" si="959"/>
        <v>0.16961130742049568</v>
      </c>
      <c r="Q220">
        <f t="shared" si="960"/>
        <v>1267884.9108127281</v>
      </c>
      <c r="R220">
        <f t="shared" si="961"/>
        <v>-7367159.5738530122</v>
      </c>
      <c r="S220">
        <f t="shared" si="962"/>
        <v>-73.671595738530115</v>
      </c>
      <c r="T220">
        <f t="shared" si="963"/>
        <v>-7.3671595738530118E-2</v>
      </c>
    </row>
    <row r="221" spans="1:20" x14ac:dyDescent="0.25">
      <c r="A221" s="5">
        <v>44372</v>
      </c>
      <c r="B221">
        <v>0.66310000000000002</v>
      </c>
      <c r="C221">
        <v>0.68410000000000004</v>
      </c>
      <c r="D221">
        <v>0.59370000000000001</v>
      </c>
      <c r="E221">
        <v>0.60109999999999997</v>
      </c>
      <c r="F221">
        <v>6619147.1100000003</v>
      </c>
      <c r="G221">
        <v>0</v>
      </c>
      <c r="L221" t="s">
        <v>7</v>
      </c>
      <c r="M221" t="s">
        <v>8</v>
      </c>
      <c r="N221" t="s">
        <v>8</v>
      </c>
      <c r="P221">
        <f t="shared" si="959"/>
        <v>-0.83628318584070882</v>
      </c>
      <c r="Q221">
        <f t="shared" si="960"/>
        <v>-5535481.4326991206</v>
      </c>
      <c r="R221">
        <f t="shared" si="961"/>
        <v>-8635044.4846657403</v>
      </c>
      <c r="S221">
        <f t="shared" si="962"/>
        <v>-86.350444846657396</v>
      </c>
      <c r="T221">
        <f t="shared" si="963"/>
        <v>-8.6350444846657395E-2</v>
      </c>
    </row>
    <row r="222" spans="1:20" x14ac:dyDescent="0.25">
      <c r="A222" s="5">
        <v>44371</v>
      </c>
      <c r="B222">
        <v>0.64290000000000003</v>
      </c>
      <c r="C222">
        <v>0.68279999999999996</v>
      </c>
      <c r="D222">
        <v>0.60880000000000001</v>
      </c>
      <c r="E222">
        <v>0.6623</v>
      </c>
      <c r="F222">
        <v>4576469.5599999996</v>
      </c>
      <c r="G222">
        <v>0</v>
      </c>
      <c r="L222" t="s">
        <v>8</v>
      </c>
      <c r="M222" t="s">
        <v>8</v>
      </c>
      <c r="N222" t="s">
        <v>7</v>
      </c>
      <c r="P222">
        <f t="shared" si="959"/>
        <v>0.44594594594594661</v>
      </c>
      <c r="Q222">
        <f t="shared" si="960"/>
        <v>2040858.0470270298</v>
      </c>
      <c r="R222">
        <f t="shared" si="961"/>
        <v>-3099563.0519666187</v>
      </c>
      <c r="S222">
        <f t="shared" si="962"/>
        <v>-30.995630519666186</v>
      </c>
      <c r="T222">
        <f t="shared" si="963"/>
        <v>-3.0995630519666185E-2</v>
      </c>
    </row>
    <row r="223" spans="1:20" x14ac:dyDescent="0.25">
      <c r="A223" s="5">
        <v>44370</v>
      </c>
      <c r="B223">
        <v>0.57869999999999999</v>
      </c>
      <c r="C223">
        <v>0.65890000000000004</v>
      </c>
      <c r="D223">
        <v>0.55320000000000003</v>
      </c>
      <c r="E223">
        <v>0.64319999999999999</v>
      </c>
      <c r="F223">
        <v>7868748.2300000004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0.70293282876064245</v>
      </c>
      <c r="Q223">
        <f t="shared" si="960"/>
        <v>5531201.4521191986</v>
      </c>
      <c r="R223">
        <f t="shared" si="961"/>
        <v>-5140421.0989936488</v>
      </c>
      <c r="S223">
        <f t="shared" si="962"/>
        <v>-51.404210989936487</v>
      </c>
      <c r="T223">
        <f t="shared" si="963"/>
        <v>-5.1404210989936486E-2</v>
      </c>
    </row>
    <row r="224" spans="1:20" x14ac:dyDescent="0.25">
      <c r="A224" s="5">
        <v>44369</v>
      </c>
      <c r="B224">
        <v>0.60119999999999996</v>
      </c>
      <c r="C224">
        <v>0.64439999999999997</v>
      </c>
      <c r="D224">
        <v>0.49790000000000001</v>
      </c>
      <c r="E224">
        <v>0.57989999999999997</v>
      </c>
      <c r="F224">
        <v>15584255.9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0.11945392491467552</v>
      </c>
      <c r="Q224">
        <f t="shared" si="960"/>
        <v>1861600.534129689</v>
      </c>
      <c r="R224">
        <f t="shared" si="961"/>
        <v>-10671622.551112847</v>
      </c>
      <c r="S224">
        <f t="shared" si="962"/>
        <v>-106.71622551112847</v>
      </c>
      <c r="T224">
        <f t="shared" si="963"/>
        <v>-0.10671622551112847</v>
      </c>
    </row>
    <row r="225" spans="1:20" x14ac:dyDescent="0.25">
      <c r="A225" s="5">
        <v>44368</v>
      </c>
      <c r="B225">
        <v>0.78959999999999997</v>
      </c>
      <c r="C225">
        <v>0.79849999999999999</v>
      </c>
      <c r="D225">
        <v>0.59909999999999997</v>
      </c>
      <c r="E225">
        <v>0.6018</v>
      </c>
      <c r="F225">
        <v>13150218.699999999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-0.97291875626880608</v>
      </c>
      <c r="Q225">
        <f t="shared" si="960"/>
        <v>-12794094.422266794</v>
      </c>
      <c r="R225">
        <f t="shared" si="961"/>
        <v>-12533223.085242536</v>
      </c>
      <c r="S225">
        <f t="shared" si="962"/>
        <v>-125.33223085242535</v>
      </c>
      <c r="T225">
        <f t="shared" si="963"/>
        <v>-0.12533223085242534</v>
      </c>
    </row>
    <row r="226" spans="1:20" x14ac:dyDescent="0.25">
      <c r="A226" s="5">
        <v>44367</v>
      </c>
      <c r="B226">
        <v>0.78769999999999996</v>
      </c>
      <c r="C226">
        <v>0.79820000000000002</v>
      </c>
      <c r="D226">
        <v>0.72409999999999997</v>
      </c>
      <c r="E226">
        <v>0.78979999999999995</v>
      </c>
      <c r="F226">
        <v>4806177.51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0.77327935222671884</v>
      </c>
      <c r="Q226">
        <f t="shared" si="960"/>
        <v>3716517.8316194243</v>
      </c>
      <c r="R226">
        <f t="shared" si="961"/>
        <v>260871.33702425892</v>
      </c>
      <c r="S226">
        <f t="shared" si="962"/>
        <v>2.6087133702425893</v>
      </c>
      <c r="T226">
        <f t="shared" si="963"/>
        <v>2.6087133702425891E-3</v>
      </c>
    </row>
    <row r="227" spans="1:20" x14ac:dyDescent="0.25">
      <c r="A227" s="5">
        <v>44366</v>
      </c>
      <c r="B227">
        <v>0.81759999999999999</v>
      </c>
      <c r="C227">
        <v>0.83120000000000005</v>
      </c>
      <c r="D227">
        <v>0.78449999999999998</v>
      </c>
      <c r="E227">
        <v>0.78849999999999998</v>
      </c>
      <c r="F227">
        <v>2376056.38</v>
      </c>
      <c r="G227">
        <v>0</v>
      </c>
      <c r="L227" t="s">
        <v>7</v>
      </c>
      <c r="M227" t="s">
        <v>7</v>
      </c>
      <c r="N227" t="s">
        <v>7</v>
      </c>
      <c r="P227">
        <f t="shared" si="959"/>
        <v>-0.82869379014989308</v>
      </c>
      <c r="Q227">
        <f t="shared" si="960"/>
        <v>-1969023.1671520346</v>
      </c>
      <c r="R227">
        <f t="shared" si="961"/>
        <v>-3455646.4945951654</v>
      </c>
      <c r="S227">
        <f t="shared" si="962"/>
        <v>-34.556464945951653</v>
      </c>
      <c r="T227">
        <f t="shared" si="963"/>
        <v>-3.4556464945951652E-2</v>
      </c>
    </row>
    <row r="228" spans="1:20" x14ac:dyDescent="0.25">
      <c r="A228" s="5">
        <v>44365</v>
      </c>
      <c r="B228">
        <v>0.87649999999999995</v>
      </c>
      <c r="C228">
        <v>0.88280000000000003</v>
      </c>
      <c r="D228">
        <v>0.78</v>
      </c>
      <c r="E228">
        <v>0.81689999999999996</v>
      </c>
      <c r="F228">
        <v>4101516.91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-0.28210116731517643</v>
      </c>
      <c r="Q228">
        <f t="shared" si="960"/>
        <v>-1157042.7080739355</v>
      </c>
      <c r="R228">
        <f t="shared" si="961"/>
        <v>-1486623.3274431308</v>
      </c>
      <c r="S228">
        <f t="shared" si="962"/>
        <v>-14.866233274431307</v>
      </c>
      <c r="T228">
        <f t="shared" si="963"/>
        <v>-1.4866233274431307E-2</v>
      </c>
    </row>
    <row r="229" spans="1:20" x14ac:dyDescent="0.25">
      <c r="A229" s="5">
        <v>44364</v>
      </c>
      <c r="B229">
        <v>0.86719999999999997</v>
      </c>
      <c r="C229">
        <v>0.90039999999999998</v>
      </c>
      <c r="D229">
        <v>0.85070000000000001</v>
      </c>
      <c r="E229">
        <v>0.87509999999999999</v>
      </c>
      <c r="F229">
        <v>2801704.17</v>
      </c>
      <c r="G229">
        <v>0</v>
      </c>
      <c r="L229" t="s">
        <v>7</v>
      </c>
      <c r="M229" t="s">
        <v>8</v>
      </c>
      <c r="N229" t="s">
        <v>7</v>
      </c>
      <c r="P229">
        <f t="shared" si="959"/>
        <v>-1.8108651911469063E-2</v>
      </c>
      <c r="Q229">
        <f t="shared" si="960"/>
        <v>-50735.085573441342</v>
      </c>
      <c r="R229">
        <f t="shared" si="961"/>
        <v>-329580.61936919531</v>
      </c>
      <c r="S229">
        <f t="shared" si="962"/>
        <v>-3.2958061936919529</v>
      </c>
      <c r="T229">
        <f t="shared" si="963"/>
        <v>-3.2958061936919528E-3</v>
      </c>
    </row>
    <row r="230" spans="1:20" x14ac:dyDescent="0.25">
      <c r="A230" s="5">
        <v>44363</v>
      </c>
      <c r="B230">
        <v>0.89280000000000004</v>
      </c>
      <c r="C230">
        <v>0.94499999999999995</v>
      </c>
      <c r="D230">
        <v>0.85619999999999996</v>
      </c>
      <c r="E230">
        <v>0.86770000000000003</v>
      </c>
      <c r="F230">
        <v>5194314.47</v>
      </c>
      <c r="G230">
        <v>0</v>
      </c>
      <c r="L230" t="s">
        <v>7</v>
      </c>
      <c r="M230" t="s">
        <v>8</v>
      </c>
      <c r="N230" t="s">
        <v>7</v>
      </c>
      <c r="P230">
        <f t="shared" si="959"/>
        <v>-0.74099099099098953</v>
      </c>
      <c r="Q230">
        <f t="shared" si="960"/>
        <v>-3848940.2266441365</v>
      </c>
      <c r="R230">
        <f t="shared" si="961"/>
        <v>-278845.53379575396</v>
      </c>
      <c r="S230">
        <f t="shared" si="962"/>
        <v>-2.7884553379575396</v>
      </c>
      <c r="T230">
        <f t="shared" si="963"/>
        <v>-2.7884553379575396E-3</v>
      </c>
    </row>
    <row r="231" spans="1:20" x14ac:dyDescent="0.25">
      <c r="A231" s="5">
        <v>44362</v>
      </c>
      <c r="B231">
        <v>0.91049999999999998</v>
      </c>
      <c r="C231">
        <v>0.95899999999999996</v>
      </c>
      <c r="D231">
        <v>0.88680000000000003</v>
      </c>
      <c r="E231">
        <v>0.89359999999999995</v>
      </c>
      <c r="F231">
        <v>4967463.96</v>
      </c>
      <c r="G231">
        <v>0</v>
      </c>
      <c r="L231" t="s">
        <v>8</v>
      </c>
      <c r="M231" t="s">
        <v>8</v>
      </c>
      <c r="N231" t="s">
        <v>7</v>
      </c>
      <c r="P231">
        <f t="shared" si="959"/>
        <v>-0.81163434903047305</v>
      </c>
      <c r="Q231">
        <f t="shared" si="960"/>
        <v>-4031764.377506936</v>
      </c>
      <c r="R231">
        <f t="shared" si="961"/>
        <v>3570094.6928483825</v>
      </c>
      <c r="S231">
        <f t="shared" si="962"/>
        <v>35.700946928483823</v>
      </c>
      <c r="T231">
        <f t="shared" si="963"/>
        <v>3.5700946928483822E-2</v>
      </c>
    </row>
    <row r="232" spans="1:20" x14ac:dyDescent="0.25">
      <c r="A232" s="5">
        <v>44361</v>
      </c>
      <c r="B232">
        <v>0.89480000000000004</v>
      </c>
      <c r="C232">
        <v>0.93420000000000003</v>
      </c>
      <c r="D232">
        <v>0.86660000000000004</v>
      </c>
      <c r="E232">
        <v>0.91049999999999998</v>
      </c>
      <c r="F232">
        <v>5604236.8499999996</v>
      </c>
      <c r="G232">
        <v>0</v>
      </c>
      <c r="L232" t="s">
        <v>8</v>
      </c>
      <c r="M232" t="s">
        <v>7</v>
      </c>
      <c r="N232" t="s">
        <v>7</v>
      </c>
      <c r="P232">
        <f t="shared" si="959"/>
        <v>0.29881656804733558</v>
      </c>
      <c r="Q232">
        <f t="shared" si="960"/>
        <v>1674638.8220414105</v>
      </c>
      <c r="R232">
        <f t="shared" si="961"/>
        <v>7601859.0703553185</v>
      </c>
      <c r="S232">
        <f t="shared" si="962"/>
        <v>76.018590703553187</v>
      </c>
      <c r="T232">
        <f t="shared" si="963"/>
        <v>7.6018590703553185E-2</v>
      </c>
    </row>
    <row r="233" spans="1:20" x14ac:dyDescent="0.25">
      <c r="A233" s="5">
        <v>44360</v>
      </c>
      <c r="B233">
        <v>0.85170000000000001</v>
      </c>
      <c r="C233">
        <v>0.90069999999999995</v>
      </c>
      <c r="D233">
        <v>0.80820000000000003</v>
      </c>
      <c r="E233">
        <v>0.89510000000000001</v>
      </c>
      <c r="F233">
        <v>7587906.4500000002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0.87891891891892016</v>
      </c>
      <c r="Q233">
        <f t="shared" si="960"/>
        <v>6669154.5338919014</v>
      </c>
      <c r="R233">
        <f t="shared" si="961"/>
        <v>5927220.2483139075</v>
      </c>
      <c r="S233">
        <f t="shared" si="962"/>
        <v>59.272202483139075</v>
      </c>
      <c r="T233">
        <f t="shared" si="963"/>
        <v>5.9272202483139073E-2</v>
      </c>
    </row>
    <row r="234" spans="1:20" x14ac:dyDescent="0.25">
      <c r="A234" s="5">
        <v>44359</v>
      </c>
      <c r="B234">
        <v>0.86370000000000002</v>
      </c>
      <c r="C234">
        <v>0.89349999999999996</v>
      </c>
      <c r="D234">
        <v>0.80269999999999997</v>
      </c>
      <c r="E234">
        <v>0.85229999999999995</v>
      </c>
      <c r="F234">
        <v>5500971.21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9.2511013215858626E-2</v>
      </c>
      <c r="Q234">
        <f t="shared" si="960"/>
        <v>508900.42030836781</v>
      </c>
      <c r="R234">
        <f t="shared" si="961"/>
        <v>-741934.28557799384</v>
      </c>
      <c r="S234">
        <f t="shared" si="962"/>
        <v>-7.4193428557799388</v>
      </c>
      <c r="T234">
        <f t="shared" si="963"/>
        <v>-7.4193428557799389E-3</v>
      </c>
    </row>
    <row r="235" spans="1:20" x14ac:dyDescent="0.25">
      <c r="A235" s="5">
        <v>44358</v>
      </c>
      <c r="B235">
        <v>0.93500000000000005</v>
      </c>
      <c r="C235">
        <v>0.95109999999999995</v>
      </c>
      <c r="D235">
        <v>0.8508</v>
      </c>
      <c r="E235">
        <v>0.86350000000000005</v>
      </c>
      <c r="F235">
        <v>3783051.55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-0.74675972083748654</v>
      </c>
      <c r="Q235">
        <f t="shared" si="960"/>
        <v>-2825030.5193918208</v>
      </c>
      <c r="R235">
        <f t="shared" si="961"/>
        <v>-1250834.7058863617</v>
      </c>
      <c r="S235">
        <f t="shared" si="962"/>
        <v>-12.508347058863617</v>
      </c>
      <c r="T235">
        <f t="shared" si="963"/>
        <v>-1.2508347058863617E-2</v>
      </c>
    </row>
    <row r="236" spans="1:20" x14ac:dyDescent="0.25">
      <c r="A236" s="5">
        <v>44357</v>
      </c>
      <c r="B236">
        <v>0.96630000000000005</v>
      </c>
      <c r="C236">
        <v>0.98629999999999995</v>
      </c>
      <c r="D236">
        <v>0.91100000000000003</v>
      </c>
      <c r="E236">
        <v>0.93430000000000002</v>
      </c>
      <c r="F236">
        <v>5369590.8600000003</v>
      </c>
      <c r="G236">
        <v>0</v>
      </c>
      <c r="L236" t="s">
        <v>7</v>
      </c>
      <c r="M236" t="s">
        <v>7</v>
      </c>
      <c r="N236" t="s">
        <v>7</v>
      </c>
      <c r="P236">
        <f t="shared" si="959"/>
        <v>-0.38114209827357209</v>
      </c>
      <c r="Q236">
        <f t="shared" si="960"/>
        <v>-2046577.1272509946</v>
      </c>
      <c r="R236">
        <f t="shared" si="961"/>
        <v>1574195.8135054591</v>
      </c>
      <c r="S236">
        <f t="shared" si="962"/>
        <v>15.741958135054592</v>
      </c>
      <c r="T236">
        <f t="shared" si="963"/>
        <v>1.5741958135054593E-2</v>
      </c>
    </row>
    <row r="237" spans="1:20" x14ac:dyDescent="0.25">
      <c r="A237" s="5">
        <v>44356</v>
      </c>
      <c r="B237">
        <v>0.95340000000000003</v>
      </c>
      <c r="C237">
        <v>0.98419999999999996</v>
      </c>
      <c r="D237">
        <v>0.92259999999999998</v>
      </c>
      <c r="E237">
        <v>0.96630000000000005</v>
      </c>
      <c r="F237">
        <v>7618257.3700000001</v>
      </c>
      <c r="G237">
        <v>0</v>
      </c>
      <c r="L237" t="s">
        <v>8</v>
      </c>
      <c r="M237" t="s">
        <v>7</v>
      </c>
      <c r="N237" t="s">
        <v>7</v>
      </c>
      <c r="P237">
        <f t="shared" si="959"/>
        <v>0.41883116883117144</v>
      </c>
      <c r="Q237">
        <f t="shared" si="960"/>
        <v>3190763.6387337861</v>
      </c>
      <c r="R237">
        <f t="shared" si="961"/>
        <v>3620772.9407564537</v>
      </c>
      <c r="S237">
        <f t="shared" si="962"/>
        <v>36.207729407564536</v>
      </c>
      <c r="T237">
        <f t="shared" si="963"/>
        <v>3.6207729407564539E-2</v>
      </c>
    </row>
    <row r="238" spans="1:20" x14ac:dyDescent="0.25">
      <c r="A238" s="5">
        <v>44355</v>
      </c>
      <c r="B238">
        <v>0.95299999999999996</v>
      </c>
      <c r="C238">
        <v>0.96879999999999999</v>
      </c>
      <c r="D238">
        <v>0.82979999999999998</v>
      </c>
      <c r="E238">
        <v>0.95469999999999999</v>
      </c>
      <c r="F238">
        <v>7819191.4500000002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0.7971223021582734</v>
      </c>
      <c r="Q238">
        <f t="shared" si="960"/>
        <v>6232851.8896402884</v>
      </c>
      <c r="R238">
        <f t="shared" si="961"/>
        <v>430009.3020226676</v>
      </c>
      <c r="S238">
        <f t="shared" si="962"/>
        <v>4.3000930202266758</v>
      </c>
      <c r="T238">
        <f t="shared" si="963"/>
        <v>4.3000930202266759E-3</v>
      </c>
    </row>
    <row r="239" spans="1:20" x14ac:dyDescent="0.25">
      <c r="A239" s="5">
        <v>44354</v>
      </c>
      <c r="B239">
        <v>1.0623</v>
      </c>
      <c r="C239">
        <v>1.0838000000000001</v>
      </c>
      <c r="D239">
        <v>0.94359999999999999</v>
      </c>
      <c r="E239">
        <v>0.95299999999999996</v>
      </c>
      <c r="F239">
        <v>4212811.57</v>
      </c>
      <c r="G239">
        <v>0</v>
      </c>
      <c r="L239" t="s">
        <v>7</v>
      </c>
      <c r="M239" t="s">
        <v>7</v>
      </c>
      <c r="N239" t="s">
        <v>8</v>
      </c>
      <c r="P239">
        <f t="shared" si="959"/>
        <v>-0.86590584878744714</v>
      </c>
      <c r="Q239">
        <f t="shared" si="960"/>
        <v>-3647898.1783024282</v>
      </c>
      <c r="R239">
        <f t="shared" si="961"/>
        <v>-5802842.5876176208</v>
      </c>
      <c r="S239">
        <f t="shared" si="962"/>
        <v>-58.028425876176208</v>
      </c>
      <c r="T239">
        <f t="shared" si="963"/>
        <v>-5.802842587617621E-2</v>
      </c>
    </row>
    <row r="240" spans="1:20" x14ac:dyDescent="0.25">
      <c r="A240" s="5">
        <v>44353</v>
      </c>
      <c r="B240">
        <v>1.04</v>
      </c>
      <c r="C240">
        <v>1.0790999999999999</v>
      </c>
      <c r="D240">
        <v>1.0296000000000001</v>
      </c>
      <c r="E240">
        <v>1.0611999999999999</v>
      </c>
      <c r="F240">
        <v>2500118.58</v>
      </c>
      <c r="G240">
        <v>0</v>
      </c>
      <c r="L240" t="s">
        <v>7</v>
      </c>
      <c r="M240" t="s">
        <v>7</v>
      </c>
      <c r="N240" t="s">
        <v>8</v>
      </c>
      <c r="P240">
        <f t="shared" si="959"/>
        <v>0.27676767676767389</v>
      </c>
      <c r="Q240">
        <f t="shared" si="960"/>
        <v>691952.01103029586</v>
      </c>
      <c r="R240">
        <f t="shared" si="961"/>
        <v>-2154944.4093151921</v>
      </c>
      <c r="S240">
        <f t="shared" si="962"/>
        <v>-21.549444093151923</v>
      </c>
      <c r="T240">
        <f t="shared" si="963"/>
        <v>-2.1549444093151925E-2</v>
      </c>
    </row>
    <row r="241" spans="1:20" x14ac:dyDescent="0.25">
      <c r="A241" s="5">
        <v>44352</v>
      </c>
      <c r="B241">
        <v>1.0685</v>
      </c>
      <c r="C241">
        <v>1.1406000000000001</v>
      </c>
      <c r="D241">
        <v>1.0084</v>
      </c>
      <c r="E241">
        <v>1.04</v>
      </c>
      <c r="F241">
        <v>4413601.1500000004</v>
      </c>
      <c r="G241">
        <v>0</v>
      </c>
      <c r="L241" t="s">
        <v>8</v>
      </c>
      <c r="M241" t="s">
        <v>7</v>
      </c>
      <c r="N241" t="s">
        <v>8</v>
      </c>
      <c r="P241">
        <f t="shared" si="959"/>
        <v>-0.52193645990922766</v>
      </c>
      <c r="Q241">
        <f t="shared" si="960"/>
        <v>-2303619.3596822964</v>
      </c>
      <c r="R241">
        <f t="shared" si="961"/>
        <v>-2846896.420345488</v>
      </c>
      <c r="S241">
        <f t="shared" si="962"/>
        <v>-28.468964203454881</v>
      </c>
      <c r="T241">
        <f t="shared" si="963"/>
        <v>-2.8468964203454881E-2</v>
      </c>
    </row>
    <row r="242" spans="1:20" x14ac:dyDescent="0.25">
      <c r="A242" s="5">
        <v>44351</v>
      </c>
      <c r="B242">
        <v>1.1886000000000001</v>
      </c>
      <c r="C242">
        <v>1.1897</v>
      </c>
      <c r="D242">
        <v>1.0174000000000001</v>
      </c>
      <c r="E242">
        <v>1.0668</v>
      </c>
      <c r="F242">
        <v>7259720.0499999998</v>
      </c>
      <c r="G242">
        <v>0</v>
      </c>
      <c r="L242" t="s">
        <v>7</v>
      </c>
      <c r="M242" t="s">
        <v>7</v>
      </c>
      <c r="N242" t="s">
        <v>8</v>
      </c>
      <c r="P242">
        <f t="shared" si="959"/>
        <v>-0.42658154381892144</v>
      </c>
      <c r="Q242">
        <f t="shared" si="960"/>
        <v>-3096862.5866221776</v>
      </c>
      <c r="R242">
        <f t="shared" si="961"/>
        <v>-543277.0606631916</v>
      </c>
      <c r="S242">
        <f t="shared" si="962"/>
        <v>-5.4327706066319159</v>
      </c>
      <c r="T242">
        <f t="shared" si="963"/>
        <v>-5.4327706066319157E-3</v>
      </c>
    </row>
    <row r="243" spans="1:20" x14ac:dyDescent="0.25">
      <c r="A243" s="5">
        <v>44350</v>
      </c>
      <c r="B243">
        <v>1.1471</v>
      </c>
      <c r="C243">
        <v>1.2350000000000001</v>
      </c>
      <c r="D243">
        <v>1.0931999999999999</v>
      </c>
      <c r="E243">
        <v>1.1887000000000001</v>
      </c>
      <c r="F243">
        <v>11323224.529999999</v>
      </c>
      <c r="G243">
        <v>0</v>
      </c>
      <c r="L243" t="s">
        <v>7</v>
      </c>
      <c r="M243" t="s">
        <v>8</v>
      </c>
      <c r="N243" t="s">
        <v>8</v>
      </c>
      <c r="P243">
        <f t="shared" si="959"/>
        <v>0.34696755994358308</v>
      </c>
      <c r="Q243">
        <f t="shared" si="960"/>
        <v>3928791.585867425</v>
      </c>
      <c r="R243">
        <f t="shared" si="961"/>
        <v>2553585.525958986</v>
      </c>
      <c r="S243">
        <f t="shared" si="962"/>
        <v>25.535855259589859</v>
      </c>
      <c r="T243">
        <f t="shared" si="963"/>
        <v>2.553585525958986E-2</v>
      </c>
    </row>
    <row r="244" spans="1:20" x14ac:dyDescent="0.25">
      <c r="A244" s="5">
        <v>44349</v>
      </c>
      <c r="B244">
        <v>1.0273000000000001</v>
      </c>
      <c r="C244">
        <v>1.2546999999999999</v>
      </c>
      <c r="D244">
        <v>1.0190999999999999</v>
      </c>
      <c r="E244">
        <v>1.1463000000000001</v>
      </c>
      <c r="F244">
        <v>28996297.809999999</v>
      </c>
      <c r="G244">
        <v>0</v>
      </c>
      <c r="L244" t="s">
        <v>8</v>
      </c>
      <c r="M244" t="s">
        <v>8</v>
      </c>
      <c r="N244" t="s">
        <v>8</v>
      </c>
      <c r="P244">
        <f t="shared" si="959"/>
        <v>7.9796264855689178E-2</v>
      </c>
      <c r="Q244">
        <f t="shared" si="960"/>
        <v>2313796.2598811998</v>
      </c>
      <c r="R244">
        <f t="shared" si="961"/>
        <v>-1375206.0599084389</v>
      </c>
      <c r="S244">
        <f t="shared" si="962"/>
        <v>-13.752060599084389</v>
      </c>
      <c r="T244">
        <f t="shared" si="963"/>
        <v>-1.375206059908439E-2</v>
      </c>
    </row>
    <row r="245" spans="1:20" x14ac:dyDescent="0.25">
      <c r="A245" s="5">
        <v>44348</v>
      </c>
      <c r="B245">
        <v>1.0199</v>
      </c>
      <c r="C245">
        <v>1.0536000000000001</v>
      </c>
      <c r="D245">
        <v>0.98209999999999997</v>
      </c>
      <c r="E245">
        <v>1.0262</v>
      </c>
      <c r="F245">
        <v>4801789.25</v>
      </c>
      <c r="G245">
        <v>0</v>
      </c>
      <c r="L245" t="s">
        <v>8</v>
      </c>
      <c r="M245" t="s">
        <v>8</v>
      </c>
      <c r="N245" t="s">
        <v>8</v>
      </c>
      <c r="P245">
        <f t="shared" si="959"/>
        <v>0.23356643356643231</v>
      </c>
      <c r="Q245">
        <f t="shared" si="960"/>
        <v>1121536.7898601338</v>
      </c>
      <c r="R245">
        <f t="shared" si="961"/>
        <v>-3689002.3197896387</v>
      </c>
      <c r="S245">
        <f t="shared" si="962"/>
        <v>-36.89002319789639</v>
      </c>
      <c r="T245">
        <f t="shared" si="963"/>
        <v>-3.6890023197896388E-2</v>
      </c>
    </row>
    <row r="246" spans="1:20" x14ac:dyDescent="0.25">
      <c r="A246" s="5">
        <v>44347</v>
      </c>
      <c r="B246">
        <v>0.93679999999999997</v>
      </c>
      <c r="C246">
        <v>1.0230999999999999</v>
      </c>
      <c r="D246">
        <v>0.88739999999999997</v>
      </c>
      <c r="E246">
        <v>1.0201</v>
      </c>
      <c r="F246">
        <v>5105168.09</v>
      </c>
      <c r="G246">
        <v>0</v>
      </c>
      <c r="L246" t="s">
        <v>8</v>
      </c>
      <c r="M246" t="s">
        <v>8</v>
      </c>
      <c r="N246" t="s">
        <v>8</v>
      </c>
      <c r="P246">
        <f t="shared" si="959"/>
        <v>0.95578481945468097</v>
      </c>
      <c r="Q246">
        <f t="shared" si="960"/>
        <v>4879442.1611864483</v>
      </c>
      <c r="R246">
        <f t="shared" si="961"/>
        <v>-4810539.1096497728</v>
      </c>
      <c r="S246">
        <f t="shared" si="962"/>
        <v>-48.105391096497726</v>
      </c>
      <c r="T246">
        <f t="shared" si="963"/>
        <v>-4.8105391096497724E-2</v>
      </c>
    </row>
    <row r="247" spans="1:20" x14ac:dyDescent="0.25">
      <c r="A247" s="5">
        <v>44346</v>
      </c>
      <c r="B247">
        <v>0.90110000000000001</v>
      </c>
      <c r="C247">
        <v>0.9909</v>
      </c>
      <c r="D247">
        <v>0.84209999999999996</v>
      </c>
      <c r="E247">
        <v>0.93630000000000002</v>
      </c>
      <c r="F247">
        <v>5455327.8600000003</v>
      </c>
      <c r="G247">
        <v>0</v>
      </c>
      <c r="L247" t="s">
        <v>8</v>
      </c>
      <c r="M247" t="s">
        <v>7</v>
      </c>
      <c r="N247" t="s">
        <v>8</v>
      </c>
      <c r="P247">
        <f t="shared" si="959"/>
        <v>0.26612903225806495</v>
      </c>
      <c r="Q247">
        <f t="shared" si="960"/>
        <v>1451821.1240322604</v>
      </c>
      <c r="R247">
        <f t="shared" si="961"/>
        <v>-9689981.2708362211</v>
      </c>
      <c r="S247">
        <f t="shared" si="962"/>
        <v>-96.899812708362205</v>
      </c>
      <c r="T247">
        <f t="shared" si="963"/>
        <v>-9.6899812708362204E-2</v>
      </c>
    </row>
    <row r="248" spans="1:20" x14ac:dyDescent="0.25">
      <c r="A248" s="5">
        <v>44345</v>
      </c>
      <c r="B248">
        <v>0.96450000000000002</v>
      </c>
      <c r="C248">
        <v>1.0088999999999999</v>
      </c>
      <c r="D248">
        <v>0.84319999999999995</v>
      </c>
      <c r="E248">
        <v>0.90049999999999997</v>
      </c>
      <c r="F248">
        <v>7598696.29</v>
      </c>
      <c r="G248">
        <v>0</v>
      </c>
      <c r="L248" t="s">
        <v>7</v>
      </c>
      <c r="M248" t="s">
        <v>7</v>
      </c>
      <c r="N248" t="s">
        <v>8</v>
      </c>
      <c r="P248">
        <f t="shared" si="959"/>
        <v>-0.30838865419432671</v>
      </c>
      <c r="Q248">
        <f t="shared" si="960"/>
        <v>-2343351.7225045231</v>
      </c>
      <c r="R248">
        <f t="shared" si="961"/>
        <v>-11141802.394868482</v>
      </c>
      <c r="S248">
        <f t="shared" si="962"/>
        <v>-111.41802394868482</v>
      </c>
      <c r="T248">
        <f t="shared" si="963"/>
        <v>-0.11141802394868482</v>
      </c>
    </row>
    <row r="249" spans="1:20" x14ac:dyDescent="0.25">
      <c r="A249" s="5">
        <v>44344</v>
      </c>
      <c r="B249">
        <v>1.1027</v>
      </c>
      <c r="C249">
        <v>1.1243000000000001</v>
      </c>
      <c r="D249">
        <v>0.92449999999999999</v>
      </c>
      <c r="E249">
        <v>0.96450000000000002</v>
      </c>
      <c r="F249">
        <v>12446846.66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-0.59959959959959941</v>
      </c>
      <c r="Q249">
        <f t="shared" si="960"/>
        <v>-7463124.2736136112</v>
      </c>
      <c r="R249">
        <f t="shared" si="961"/>
        <v>-8798450.6723639593</v>
      </c>
      <c r="S249">
        <f t="shared" si="962"/>
        <v>-87.984506723639598</v>
      </c>
      <c r="T249">
        <f t="shared" si="963"/>
        <v>-8.7984506723639597E-2</v>
      </c>
    </row>
    <row r="250" spans="1:20" x14ac:dyDescent="0.25">
      <c r="A250" s="5">
        <v>44343</v>
      </c>
      <c r="B250">
        <v>1.1489</v>
      </c>
      <c r="C250">
        <v>1.1888000000000001</v>
      </c>
      <c r="D250">
        <v>1.0225</v>
      </c>
      <c r="E250">
        <v>1.103</v>
      </c>
      <c r="F250">
        <v>9480113.5500000007</v>
      </c>
      <c r="G250">
        <v>0</v>
      </c>
      <c r="L250" t="s">
        <v>8</v>
      </c>
      <c r="M250" t="s">
        <v>8</v>
      </c>
      <c r="N250" t="s">
        <v>8</v>
      </c>
      <c r="P250">
        <f t="shared" si="959"/>
        <v>-3.187011425135345E-2</v>
      </c>
      <c r="Q250">
        <f t="shared" si="960"/>
        <v>-302132.30195430398</v>
      </c>
      <c r="R250">
        <f t="shared" si="961"/>
        <v>-1335326.3987503489</v>
      </c>
      <c r="S250">
        <f t="shared" si="962"/>
        <v>-13.353263987503489</v>
      </c>
      <c r="T250">
        <f t="shared" si="963"/>
        <v>-1.3353263987503489E-2</v>
      </c>
    </row>
    <row r="251" spans="1:20" x14ac:dyDescent="0.25">
      <c r="A251" s="5">
        <v>44342</v>
      </c>
      <c r="B251">
        <v>0.97660000000000002</v>
      </c>
      <c r="C251">
        <v>1.1498999999999999</v>
      </c>
      <c r="D251">
        <v>0.96530000000000005</v>
      </c>
      <c r="E251">
        <v>1.1494</v>
      </c>
      <c r="F251">
        <v>10511587.9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0.9945828819068262</v>
      </c>
      <c r="Q251">
        <f t="shared" si="960"/>
        <v>10454645.386998923</v>
      </c>
      <c r="R251">
        <f t="shared" si="961"/>
        <v>-1033194.0967960451</v>
      </c>
      <c r="S251">
        <f t="shared" si="962"/>
        <v>-10.331940967960451</v>
      </c>
      <c r="T251">
        <f t="shared" si="963"/>
        <v>-1.0331940967960451E-2</v>
      </c>
    </row>
    <row r="252" spans="1:20" x14ac:dyDescent="0.25">
      <c r="A252" s="5">
        <v>44341</v>
      </c>
      <c r="B252">
        <v>0.98650000000000004</v>
      </c>
      <c r="C252">
        <v>1.0297000000000001</v>
      </c>
      <c r="D252">
        <v>0.88439999999999996</v>
      </c>
      <c r="E252">
        <v>0.97670000000000001</v>
      </c>
      <c r="F252">
        <v>11197563.98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0.27047487955953181</v>
      </c>
      <c r="Q252">
        <f t="shared" si="960"/>
        <v>3028659.7688506516</v>
      </c>
      <c r="R252">
        <f t="shared" si="961"/>
        <v>-11487839.483794969</v>
      </c>
      <c r="S252">
        <f t="shared" si="962"/>
        <v>-114.87839483794968</v>
      </c>
      <c r="T252">
        <f t="shared" si="963"/>
        <v>-0.11487839483794969</v>
      </c>
    </row>
    <row r="253" spans="1:20" x14ac:dyDescent="0.25">
      <c r="A253" s="5">
        <v>44340</v>
      </c>
      <c r="B253">
        <v>0.79559999999999997</v>
      </c>
      <c r="C253">
        <v>0.99609999999999999</v>
      </c>
      <c r="D253">
        <v>0.77939999999999998</v>
      </c>
      <c r="E253">
        <v>0.98640000000000005</v>
      </c>
      <c r="F253">
        <v>16328206.02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0.91047531149054051</v>
      </c>
      <c r="Q253">
        <f t="shared" si="960"/>
        <v>14866428.462141218</v>
      </c>
      <c r="R253">
        <f t="shared" si="961"/>
        <v>-14516499.252645621</v>
      </c>
      <c r="S253">
        <f t="shared" si="962"/>
        <v>-145.16499252645622</v>
      </c>
      <c r="T253">
        <f t="shared" si="963"/>
        <v>-0.1451649925264562</v>
      </c>
    </row>
    <row r="254" spans="1:20" x14ac:dyDescent="0.25">
      <c r="A254" s="5">
        <v>44339</v>
      </c>
      <c r="B254">
        <v>0.9597</v>
      </c>
      <c r="C254">
        <v>0.98709999999999998</v>
      </c>
      <c r="D254">
        <v>0.623</v>
      </c>
      <c r="E254">
        <v>0.79510000000000003</v>
      </c>
      <c r="F254">
        <v>20249545.34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-5.4655314474045369E-2</v>
      </c>
      <c r="Q254">
        <f t="shared" si="960"/>
        <v>-1106745.26851414</v>
      </c>
      <c r="R254">
        <f t="shared" si="961"/>
        <v>-29382927.714786839</v>
      </c>
      <c r="S254">
        <f t="shared" si="962"/>
        <v>-293.82927714786837</v>
      </c>
      <c r="T254">
        <f t="shared" si="963"/>
        <v>-0.29382927714786838</v>
      </c>
    </row>
    <row r="255" spans="1:20" x14ac:dyDescent="0.25">
      <c r="A255" s="5">
        <v>44338</v>
      </c>
      <c r="B255">
        <v>1.0343</v>
      </c>
      <c r="C255">
        <v>1.0508999999999999</v>
      </c>
      <c r="D255">
        <v>0.88529999999999998</v>
      </c>
      <c r="E255">
        <v>0.95850000000000002</v>
      </c>
      <c r="F255">
        <v>13305411.880000001</v>
      </c>
      <c r="G255">
        <v>0</v>
      </c>
      <c r="L255" t="s">
        <v>7</v>
      </c>
      <c r="M255" t="s">
        <v>7</v>
      </c>
      <c r="N255" t="s">
        <v>7</v>
      </c>
      <c r="P255">
        <f t="shared" si="959"/>
        <v>-0.11594202898550657</v>
      </c>
      <c r="Q255">
        <f t="shared" si="960"/>
        <v>-1542656.4498550636</v>
      </c>
      <c r="R255">
        <f t="shared" si="961"/>
        <v>-28276182.446272697</v>
      </c>
      <c r="S255">
        <f t="shared" si="962"/>
        <v>-282.76182446272696</v>
      </c>
      <c r="T255">
        <f t="shared" si="963"/>
        <v>-0.28276182446272696</v>
      </c>
    </row>
    <row r="256" spans="1:20" x14ac:dyDescent="0.25">
      <c r="A256" s="5">
        <v>44337</v>
      </c>
      <c r="B256">
        <v>1.1573</v>
      </c>
      <c r="C256">
        <v>1.2224999999999999</v>
      </c>
      <c r="D256">
        <v>0.89319999999999999</v>
      </c>
      <c r="E256">
        <v>1.0341</v>
      </c>
      <c r="F256">
        <v>20667482.710000001</v>
      </c>
      <c r="G256">
        <v>0</v>
      </c>
      <c r="L256" t="s">
        <v>8</v>
      </c>
      <c r="M256" t="s">
        <v>8</v>
      </c>
      <c r="N256" t="s">
        <v>8</v>
      </c>
      <c r="P256">
        <f t="shared" si="959"/>
        <v>-0.14424536896446974</v>
      </c>
      <c r="Q256">
        <f t="shared" si="960"/>
        <v>-2981188.6690707491</v>
      </c>
      <c r="R256">
        <f t="shared" si="961"/>
        <v>-26733525.996417634</v>
      </c>
      <c r="S256">
        <f t="shared" si="962"/>
        <v>-267.33525996417632</v>
      </c>
      <c r="T256">
        <f t="shared" si="963"/>
        <v>-0.26733525996417634</v>
      </c>
    </row>
    <row r="257" spans="1:20" x14ac:dyDescent="0.25">
      <c r="A257" s="5">
        <v>44336</v>
      </c>
      <c r="B257">
        <v>0.98899999999999999</v>
      </c>
      <c r="C257">
        <v>1.1956</v>
      </c>
      <c r="D257">
        <v>0.88580000000000003</v>
      </c>
      <c r="E257">
        <v>1.1564000000000001</v>
      </c>
      <c r="F257">
        <v>27733650.859999999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0.74693350548741189</v>
      </c>
      <c r="Q257">
        <f t="shared" si="960"/>
        <v>20715193.056823775</v>
      </c>
      <c r="R257">
        <f t="shared" si="961"/>
        <v>-23752337.327346884</v>
      </c>
      <c r="S257">
        <f t="shared" si="962"/>
        <v>-237.52337327346885</v>
      </c>
      <c r="T257">
        <f t="shared" si="963"/>
        <v>-0.23752337327346884</v>
      </c>
    </row>
    <row r="258" spans="1:20" x14ac:dyDescent="0.25">
      <c r="A258" s="5">
        <v>44335</v>
      </c>
      <c r="B258">
        <v>1.6</v>
      </c>
      <c r="C258">
        <v>1.6395999999999999</v>
      </c>
      <c r="D258">
        <v>0.78769999999999996</v>
      </c>
      <c r="E258">
        <v>0.99229999999999996</v>
      </c>
      <c r="F258">
        <v>30767697.07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-0.51966193215166101</v>
      </c>
      <c r="Q258">
        <f t="shared" si="960"/>
        <v>-15988800.9072532</v>
      </c>
      <c r="R258">
        <f t="shared" si="961"/>
        <v>-44467530.384170659</v>
      </c>
      <c r="S258">
        <f t="shared" si="962"/>
        <v>-444.67530384170658</v>
      </c>
      <c r="T258">
        <f t="shared" si="963"/>
        <v>-0.44467530384170656</v>
      </c>
    </row>
    <row r="259" spans="1:20" x14ac:dyDescent="0.25">
      <c r="A259" s="5">
        <v>44334</v>
      </c>
      <c r="B259">
        <v>1.4683999999999999</v>
      </c>
      <c r="C259">
        <v>1.7057</v>
      </c>
      <c r="D259">
        <v>1.4463999999999999</v>
      </c>
      <c r="E259">
        <v>1.5998000000000001</v>
      </c>
      <c r="F259">
        <v>16098362.32</v>
      </c>
      <c r="G259">
        <v>0</v>
      </c>
      <c r="L259" t="s">
        <v>8</v>
      </c>
      <c r="M259" t="s">
        <v>8</v>
      </c>
      <c r="N259" t="s">
        <v>7</v>
      </c>
      <c r="P259">
        <f t="shared" si="959"/>
        <v>0.18318549942152065</v>
      </c>
      <c r="Q259">
        <f t="shared" si="960"/>
        <v>2948986.54145779</v>
      </c>
      <c r="R259">
        <f t="shared" si="961"/>
        <v>-28478729.476917461</v>
      </c>
      <c r="S259">
        <f t="shared" si="962"/>
        <v>-284.78729476917459</v>
      </c>
      <c r="T259">
        <f t="shared" si="963"/>
        <v>-0.28478729476917458</v>
      </c>
    </row>
    <row r="260" spans="1:20" x14ac:dyDescent="0.25">
      <c r="A260" s="5">
        <v>44333</v>
      </c>
      <c r="B260">
        <v>1.5671999999999999</v>
      </c>
      <c r="C260">
        <v>1.5742</v>
      </c>
      <c r="D260">
        <v>1.3916999999999999</v>
      </c>
      <c r="E260">
        <v>1.4666999999999999</v>
      </c>
      <c r="F260">
        <v>9952423.4499999993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-0.17808219178082288</v>
      </c>
      <c r="Q260">
        <f t="shared" si="960"/>
        <v>-1772349.3815068589</v>
      </c>
      <c r="R260">
        <f t="shared" si="961"/>
        <v>-31427716.018375251</v>
      </c>
      <c r="S260">
        <f t="shared" si="962"/>
        <v>-314.27716018375253</v>
      </c>
      <c r="T260">
        <f t="shared" si="963"/>
        <v>-0.31427716018375251</v>
      </c>
    </row>
    <row r="261" spans="1:20" x14ac:dyDescent="0.25">
      <c r="A261" s="5">
        <v>44332</v>
      </c>
      <c r="B261">
        <v>1.5537000000000001</v>
      </c>
      <c r="C261">
        <v>1.7013</v>
      </c>
      <c r="D261">
        <v>1.4733000000000001</v>
      </c>
      <c r="E261">
        <v>1.5691999999999999</v>
      </c>
      <c r="F261">
        <v>10013530.449999999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-0.15877192982456242</v>
      </c>
      <c r="Q261">
        <f t="shared" si="960"/>
        <v>-1589867.5539035189</v>
      </c>
      <c r="R261">
        <f t="shared" si="961"/>
        <v>-29655366.636868391</v>
      </c>
      <c r="S261">
        <f t="shared" si="962"/>
        <v>-296.55366636868393</v>
      </c>
      <c r="T261">
        <f t="shared" si="963"/>
        <v>-0.29655366636868391</v>
      </c>
    </row>
    <row r="262" spans="1:20" x14ac:dyDescent="0.25">
      <c r="A262" s="5">
        <v>44331</v>
      </c>
      <c r="B262">
        <v>1.7027000000000001</v>
      </c>
      <c r="C262">
        <v>1.7250000000000001</v>
      </c>
      <c r="D262">
        <v>1.5329999999999999</v>
      </c>
      <c r="E262">
        <v>1.5585</v>
      </c>
      <c r="F262">
        <v>9182904.8800000008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4">IF(C262=D262,0,((E262-D262)-(C262-E262))/(C262-D262))</f>
        <v>-0.73437499999999944</v>
      </c>
      <c r="Q262">
        <f t="shared" ref="Q262:Q325" si="965">F262*P262</f>
        <v>-6743695.7712499956</v>
      </c>
      <c r="R262">
        <f t="shared" ref="R262:R325" si="966">R263+Q262</f>
        <v>-28065499.082964871</v>
      </c>
      <c r="S262">
        <f t="shared" ref="S262:S325" si="967">R262/100000</f>
        <v>-280.65499082964874</v>
      </c>
      <c r="T262">
        <f t="shared" ref="T262:T325" si="968">S262/1000</f>
        <v>-0.28065499082964873</v>
      </c>
    </row>
    <row r="263" spans="1:20" x14ac:dyDescent="0.25">
      <c r="A263" s="5">
        <v>44330</v>
      </c>
      <c r="B263">
        <v>1.6112</v>
      </c>
      <c r="C263">
        <v>1.7667999999999999</v>
      </c>
      <c r="D263">
        <v>1.5873999999999999</v>
      </c>
      <c r="E263">
        <v>1.7027000000000001</v>
      </c>
      <c r="F263">
        <v>8340065.4500000002</v>
      </c>
      <c r="G263">
        <v>0</v>
      </c>
      <c r="L263" t="s">
        <v>8</v>
      </c>
      <c r="M263" t="s">
        <v>7</v>
      </c>
      <c r="N263" t="s">
        <v>7</v>
      </c>
      <c r="P263">
        <f t="shared" si="964"/>
        <v>0.28539576365663522</v>
      </c>
      <c r="Q263">
        <f t="shared" si="965"/>
        <v>2380219.3480490693</v>
      </c>
      <c r="R263">
        <f t="shared" si="966"/>
        <v>-21321803.311714876</v>
      </c>
      <c r="S263">
        <f t="shared" si="967"/>
        <v>-213.21803311714876</v>
      </c>
      <c r="T263">
        <f t="shared" si="968"/>
        <v>-0.21321803311714876</v>
      </c>
    </row>
    <row r="264" spans="1:20" x14ac:dyDescent="0.25">
      <c r="A264" s="5">
        <v>44329</v>
      </c>
      <c r="B264">
        <v>1.6429</v>
      </c>
      <c r="C264">
        <v>1.7686999999999999</v>
      </c>
      <c r="D264">
        <v>1.51</v>
      </c>
      <c r="E264">
        <v>1.6112</v>
      </c>
      <c r="F264">
        <v>19434397.620000001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-0.21762659451101674</v>
      </c>
      <c r="Q264">
        <f t="shared" si="965"/>
        <v>-4229441.7704136092</v>
      </c>
      <c r="R264">
        <f t="shared" si="966"/>
        <v>-23702022.659763947</v>
      </c>
      <c r="S264">
        <f t="shared" si="967"/>
        <v>-237.02022659763946</v>
      </c>
      <c r="T264">
        <f t="shared" si="968"/>
        <v>-0.23702022659763947</v>
      </c>
    </row>
    <row r="265" spans="1:20" x14ac:dyDescent="0.25">
      <c r="A265" s="5">
        <v>44328</v>
      </c>
      <c r="B265">
        <v>1.8623000000000001</v>
      </c>
      <c r="C265">
        <v>2.0550000000000002</v>
      </c>
      <c r="D265">
        <v>1.6</v>
      </c>
      <c r="E265">
        <v>1.6462000000000001</v>
      </c>
      <c r="F265">
        <v>24507955.27</v>
      </c>
      <c r="G265">
        <v>0</v>
      </c>
      <c r="L265" t="s">
        <v>8</v>
      </c>
      <c r="M265" t="s">
        <v>7</v>
      </c>
      <c r="N265" t="s">
        <v>7</v>
      </c>
      <c r="P265">
        <f t="shared" si="964"/>
        <v>-0.79692307692307685</v>
      </c>
      <c r="Q265">
        <f t="shared" si="965"/>
        <v>-19530955.122861534</v>
      </c>
      <c r="R265">
        <f t="shared" si="966"/>
        <v>-19472580.889350336</v>
      </c>
      <c r="S265">
        <f t="shared" si="967"/>
        <v>-194.72580889350337</v>
      </c>
      <c r="T265">
        <f t="shared" si="968"/>
        <v>-0.19472580889350338</v>
      </c>
    </row>
    <row r="266" spans="1:20" x14ac:dyDescent="0.25">
      <c r="A266" s="5">
        <v>44327</v>
      </c>
      <c r="B266">
        <v>1.74</v>
      </c>
      <c r="C266">
        <v>1.8795999999999999</v>
      </c>
      <c r="D266">
        <v>1.6626000000000001</v>
      </c>
      <c r="E266">
        <v>1.8645</v>
      </c>
      <c r="F266">
        <v>9114543.2400000002</v>
      </c>
      <c r="G266">
        <v>0</v>
      </c>
      <c r="L266" t="s">
        <v>8</v>
      </c>
      <c r="M266" t="s">
        <v>7</v>
      </c>
      <c r="N266" t="s">
        <v>8</v>
      </c>
      <c r="P266">
        <f t="shared" si="964"/>
        <v>0.86082949308755852</v>
      </c>
      <c r="Q266">
        <f t="shared" si="965"/>
        <v>7846067.637013833</v>
      </c>
      <c r="R266">
        <f t="shared" si="966"/>
        <v>58374.233511198312</v>
      </c>
      <c r="S266">
        <f t="shared" si="967"/>
        <v>0.58374233511198315</v>
      </c>
      <c r="T266">
        <f t="shared" si="968"/>
        <v>5.8374233511198313E-4</v>
      </c>
    </row>
    <row r="267" spans="1:20" x14ac:dyDescent="0.25">
      <c r="A267" s="5">
        <v>44326</v>
      </c>
      <c r="B267">
        <v>1.9562999999999999</v>
      </c>
      <c r="C267">
        <v>2.0238</v>
      </c>
      <c r="D267">
        <v>1.6308</v>
      </c>
      <c r="E267">
        <v>1.7364999999999999</v>
      </c>
      <c r="F267">
        <v>13917241.640000001</v>
      </c>
      <c r="G267">
        <v>0</v>
      </c>
      <c r="L267" t="s">
        <v>7</v>
      </c>
      <c r="M267" t="s">
        <v>7</v>
      </c>
      <c r="N267" t="s">
        <v>8</v>
      </c>
      <c r="P267">
        <f t="shared" si="964"/>
        <v>-0.46208651399491146</v>
      </c>
      <c r="Q267">
        <f t="shared" si="965"/>
        <v>-6430969.6738524251</v>
      </c>
      <c r="R267">
        <f t="shared" si="966"/>
        <v>-7787693.4035026347</v>
      </c>
      <c r="S267">
        <f t="shared" si="967"/>
        <v>-77.876934035026352</v>
      </c>
      <c r="T267">
        <f t="shared" si="968"/>
        <v>-7.7876934035026352E-2</v>
      </c>
    </row>
    <row r="268" spans="1:20" x14ac:dyDescent="0.25">
      <c r="A268" s="5">
        <v>44325</v>
      </c>
      <c r="B268">
        <v>1.9545999999999999</v>
      </c>
      <c r="C268">
        <v>1.9986999999999999</v>
      </c>
      <c r="D268">
        <v>1.837</v>
      </c>
      <c r="E268">
        <v>1.9562999999999999</v>
      </c>
      <c r="F268">
        <v>8231278.5700000003</v>
      </c>
      <c r="G268">
        <v>0</v>
      </c>
      <c r="L268" t="s">
        <v>7</v>
      </c>
      <c r="M268" t="s">
        <v>7</v>
      </c>
      <c r="N268" t="s">
        <v>8</v>
      </c>
      <c r="P268">
        <f t="shared" si="964"/>
        <v>0.47557204700061839</v>
      </c>
      <c r="Q268">
        <f t="shared" si="965"/>
        <v>3914565.9989672229</v>
      </c>
      <c r="R268">
        <f t="shared" si="966"/>
        <v>-1356723.7296502097</v>
      </c>
      <c r="S268">
        <f t="shared" si="967"/>
        <v>-13.567237296502096</v>
      </c>
      <c r="T268">
        <f t="shared" si="968"/>
        <v>-1.3567237296502097E-2</v>
      </c>
    </row>
    <row r="269" spans="1:20" x14ac:dyDescent="0.25">
      <c r="A269" s="5">
        <v>44324</v>
      </c>
      <c r="B269">
        <v>2.0129000000000001</v>
      </c>
      <c r="C269">
        <v>2.0657000000000001</v>
      </c>
      <c r="D269">
        <v>1.91</v>
      </c>
      <c r="E269">
        <v>1.9525999999999999</v>
      </c>
      <c r="F269">
        <v>10421054.279999999</v>
      </c>
      <c r="G269">
        <v>0</v>
      </c>
      <c r="L269" t="s">
        <v>7</v>
      </c>
      <c r="M269" t="s">
        <v>8</v>
      </c>
      <c r="N269" t="s">
        <v>8</v>
      </c>
      <c r="P269">
        <f t="shared" si="964"/>
        <v>-0.45279383429672543</v>
      </c>
      <c r="Q269">
        <f t="shared" si="965"/>
        <v>-4718589.1248555006</v>
      </c>
      <c r="R269">
        <f t="shared" si="966"/>
        <v>-5271289.7286174325</v>
      </c>
      <c r="S269">
        <f t="shared" si="967"/>
        <v>-52.712897286174325</v>
      </c>
      <c r="T269">
        <f t="shared" si="968"/>
        <v>-5.2712897286174322E-2</v>
      </c>
    </row>
    <row r="270" spans="1:20" x14ac:dyDescent="0.25">
      <c r="A270" s="5">
        <v>44323</v>
      </c>
      <c r="B270">
        <v>2.0547</v>
      </c>
      <c r="C270">
        <v>2.226</v>
      </c>
      <c r="D270">
        <v>1.9414</v>
      </c>
      <c r="E270">
        <v>2.0106999999999999</v>
      </c>
      <c r="F270">
        <v>27530715.68</v>
      </c>
      <c r="G270">
        <v>0</v>
      </c>
      <c r="L270" t="s">
        <v>8</v>
      </c>
      <c r="M270" t="s">
        <v>8</v>
      </c>
      <c r="N270" t="s">
        <v>8</v>
      </c>
      <c r="P270">
        <f t="shared" si="964"/>
        <v>-0.51300070274068921</v>
      </c>
      <c r="Q270">
        <f t="shared" si="965"/>
        <v>-14123276.490794111</v>
      </c>
      <c r="R270">
        <f t="shared" si="966"/>
        <v>-552700.60376193188</v>
      </c>
      <c r="S270">
        <f t="shared" si="967"/>
        <v>-5.5270060376193184</v>
      </c>
      <c r="T270">
        <f t="shared" si="968"/>
        <v>-5.5270060376193184E-3</v>
      </c>
    </row>
    <row r="271" spans="1:20" x14ac:dyDescent="0.25">
      <c r="A271" s="5">
        <v>44322</v>
      </c>
      <c r="B271">
        <v>1.8795999999999999</v>
      </c>
      <c r="C271">
        <v>2.1078000000000001</v>
      </c>
      <c r="D271">
        <v>1.83</v>
      </c>
      <c r="E271">
        <v>2.0518999999999998</v>
      </c>
      <c r="F271">
        <v>23599086.030000001</v>
      </c>
      <c r="G271">
        <v>0</v>
      </c>
      <c r="L271" t="s">
        <v>8</v>
      </c>
      <c r="M271" t="s">
        <v>8</v>
      </c>
      <c r="N271" t="s">
        <v>8</v>
      </c>
      <c r="P271">
        <f t="shared" si="964"/>
        <v>0.59755219582433206</v>
      </c>
      <c r="Q271">
        <f t="shared" si="965"/>
        <v>14101685.67667382</v>
      </c>
      <c r="R271">
        <f t="shared" si="966"/>
        <v>13570575.887032179</v>
      </c>
      <c r="S271">
        <f t="shared" si="967"/>
        <v>135.7057588703218</v>
      </c>
      <c r="T271">
        <f t="shared" si="968"/>
        <v>0.1357057588703218</v>
      </c>
    </row>
    <row r="272" spans="1:20" x14ac:dyDescent="0.25">
      <c r="A272" s="5">
        <v>44321</v>
      </c>
      <c r="B272">
        <v>1.6793</v>
      </c>
      <c r="C272">
        <v>1.8926000000000001</v>
      </c>
      <c r="D272">
        <v>1.6578999999999999</v>
      </c>
      <c r="E272">
        <v>1.8811</v>
      </c>
      <c r="F272">
        <v>10757428.279999999</v>
      </c>
      <c r="G272">
        <v>0</v>
      </c>
      <c r="L272" t="s">
        <v>8</v>
      </c>
      <c r="M272" t="s">
        <v>7</v>
      </c>
      <c r="N272" t="s">
        <v>8</v>
      </c>
      <c r="P272">
        <f t="shared" si="964"/>
        <v>0.90200255645504845</v>
      </c>
      <c r="Q272">
        <f t="shared" si="965"/>
        <v>9703227.8094418347</v>
      </c>
      <c r="R272">
        <f t="shared" si="966"/>
        <v>-531109.78964164108</v>
      </c>
      <c r="S272">
        <f t="shared" si="967"/>
        <v>-5.3110978964164106</v>
      </c>
      <c r="T272">
        <f t="shared" si="968"/>
        <v>-5.3110978964164106E-3</v>
      </c>
    </row>
    <row r="273" spans="1:20" x14ac:dyDescent="0.25">
      <c r="A273" s="5">
        <v>44320</v>
      </c>
      <c r="B273">
        <v>1.9011</v>
      </c>
      <c r="C273">
        <v>1.9031</v>
      </c>
      <c r="D273">
        <v>1.6456999999999999</v>
      </c>
      <c r="E273">
        <v>1.6773</v>
      </c>
      <c r="F273">
        <v>11400827.15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-0.75446775446775394</v>
      </c>
      <c r="Q273">
        <f t="shared" si="965"/>
        <v>-8601556.4589355029</v>
      </c>
      <c r="R273">
        <f t="shared" si="966"/>
        <v>-10234337.599083476</v>
      </c>
      <c r="S273">
        <f t="shared" si="967"/>
        <v>-102.34337599083476</v>
      </c>
      <c r="T273">
        <f t="shared" si="968"/>
        <v>-0.10234337599083476</v>
      </c>
    </row>
    <row r="274" spans="1:20" x14ac:dyDescent="0.25">
      <c r="A274" s="5">
        <v>44319</v>
      </c>
      <c r="B274">
        <v>1.8660000000000001</v>
      </c>
      <c r="C274">
        <v>1.97</v>
      </c>
      <c r="D274">
        <v>1.8466</v>
      </c>
      <c r="E274">
        <v>1.9000999999999999</v>
      </c>
      <c r="F274">
        <v>9364661.1699999999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-0.13290113452188168</v>
      </c>
      <c r="Q274">
        <f t="shared" si="965"/>
        <v>-1244574.0939060119</v>
      </c>
      <c r="R274">
        <f t="shared" si="966"/>
        <v>-1632781.1401479719</v>
      </c>
      <c r="S274">
        <f t="shared" si="967"/>
        <v>-16.327811401479718</v>
      </c>
      <c r="T274">
        <f t="shared" si="968"/>
        <v>-1.6327811401479719E-2</v>
      </c>
    </row>
    <row r="275" spans="1:20" x14ac:dyDescent="0.25">
      <c r="A275" s="5">
        <v>44318</v>
      </c>
      <c r="B275">
        <v>1.9419999999999999</v>
      </c>
      <c r="C275">
        <v>1.96</v>
      </c>
      <c r="D275">
        <v>1.7755000000000001</v>
      </c>
      <c r="E275">
        <v>1.8660000000000001</v>
      </c>
      <c r="F275">
        <v>12939302.82</v>
      </c>
      <c r="G275">
        <v>0</v>
      </c>
      <c r="L275" t="s">
        <v>7</v>
      </c>
      <c r="M275" t="s">
        <v>8</v>
      </c>
      <c r="N275" t="s">
        <v>8</v>
      </c>
      <c r="P275">
        <f t="shared" si="964"/>
        <v>-1.8970189701896144E-2</v>
      </c>
      <c r="Q275">
        <f t="shared" si="965"/>
        <v>-245461.02910567974</v>
      </c>
      <c r="R275">
        <f t="shared" si="966"/>
        <v>-388207.04624196014</v>
      </c>
      <c r="S275">
        <f t="shared" si="967"/>
        <v>-3.8820704624196014</v>
      </c>
      <c r="T275">
        <f t="shared" si="968"/>
        <v>-3.8820704624196014E-3</v>
      </c>
    </row>
    <row r="276" spans="1:20" x14ac:dyDescent="0.25">
      <c r="A276" s="5">
        <v>44317</v>
      </c>
      <c r="B276">
        <v>1.8027</v>
      </c>
      <c r="C276">
        <v>2.0259999999999998</v>
      </c>
      <c r="D276">
        <v>1.7652000000000001</v>
      </c>
      <c r="E276">
        <v>1.9426000000000001</v>
      </c>
      <c r="F276">
        <v>18845216.420000002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0.36042944785276232</v>
      </c>
      <c r="Q276">
        <f t="shared" si="965"/>
        <v>6792370.9489264106</v>
      </c>
      <c r="R276">
        <f t="shared" si="966"/>
        <v>-142746.01713628042</v>
      </c>
      <c r="S276">
        <f t="shared" si="967"/>
        <v>-1.4274601713628043</v>
      </c>
      <c r="T276">
        <f t="shared" si="968"/>
        <v>-1.4274601713628043E-3</v>
      </c>
    </row>
    <row r="277" spans="1:20" x14ac:dyDescent="0.25">
      <c r="A277" s="5">
        <v>44316</v>
      </c>
      <c r="B277">
        <v>1.6731</v>
      </c>
      <c r="C277">
        <v>1.8171999999999999</v>
      </c>
      <c r="D277">
        <v>1.6292</v>
      </c>
      <c r="E277">
        <v>1.8027</v>
      </c>
      <c r="F277">
        <v>10047336.529999999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0.84574468085106425</v>
      </c>
      <c r="Q277">
        <f t="shared" si="965"/>
        <v>8497481.4269680884</v>
      </c>
      <c r="R277">
        <f t="shared" si="966"/>
        <v>-6935116.9660626911</v>
      </c>
      <c r="S277">
        <f t="shared" si="967"/>
        <v>-69.351169660626908</v>
      </c>
      <c r="T277">
        <f t="shared" si="968"/>
        <v>-6.9351169660626905E-2</v>
      </c>
    </row>
    <row r="278" spans="1:20" x14ac:dyDescent="0.25">
      <c r="A278" s="5">
        <v>44315</v>
      </c>
      <c r="B278">
        <v>1.7082999999999999</v>
      </c>
      <c r="C278">
        <v>1.7643</v>
      </c>
      <c r="D278">
        <v>1.5942000000000001</v>
      </c>
      <c r="E278">
        <v>1.6732</v>
      </c>
      <c r="F278">
        <v>8609095.3200000003</v>
      </c>
      <c r="G278">
        <v>0</v>
      </c>
      <c r="L278" t="s">
        <v>7</v>
      </c>
      <c r="M278" t="s">
        <v>8</v>
      </c>
      <c r="N278" t="s">
        <v>8</v>
      </c>
      <c r="P278">
        <f t="shared" si="964"/>
        <v>-7.1134626690182279E-2</v>
      </c>
      <c r="Q278">
        <f t="shared" si="965"/>
        <v>-612404.78172839538</v>
      </c>
      <c r="R278">
        <f t="shared" si="966"/>
        <v>-15432598.393030779</v>
      </c>
      <c r="S278">
        <f t="shared" si="967"/>
        <v>-154.32598393030779</v>
      </c>
      <c r="T278">
        <f t="shared" si="968"/>
        <v>-0.15432598393030778</v>
      </c>
    </row>
    <row r="279" spans="1:20" x14ac:dyDescent="0.25">
      <c r="A279" s="5">
        <v>44314</v>
      </c>
      <c r="B279">
        <v>1.8236000000000001</v>
      </c>
      <c r="C279">
        <v>1.8542000000000001</v>
      </c>
      <c r="D279">
        <v>1.6160000000000001</v>
      </c>
      <c r="E279">
        <v>1.7082999999999999</v>
      </c>
      <c r="F279">
        <v>13752537.4</v>
      </c>
      <c r="G279">
        <v>0</v>
      </c>
      <c r="L279" t="s">
        <v>7</v>
      </c>
      <c r="M279" t="s">
        <v>8</v>
      </c>
      <c r="N279" t="s">
        <v>8</v>
      </c>
      <c r="P279">
        <f t="shared" si="964"/>
        <v>-0.22502099076406515</v>
      </c>
      <c r="Q279">
        <f t="shared" si="965"/>
        <v>-3094609.5912678605</v>
      </c>
      <c r="R279">
        <f t="shared" si="966"/>
        <v>-14820193.611302383</v>
      </c>
      <c r="S279">
        <f t="shared" si="967"/>
        <v>-148.20193611302383</v>
      </c>
      <c r="T279">
        <f t="shared" si="968"/>
        <v>-0.14820193611302385</v>
      </c>
    </row>
    <row r="280" spans="1:20" x14ac:dyDescent="0.25">
      <c r="A280" s="5">
        <v>44313</v>
      </c>
      <c r="B280">
        <v>1.5243</v>
      </c>
      <c r="C280">
        <v>1.8836999999999999</v>
      </c>
      <c r="D280">
        <v>1.5043</v>
      </c>
      <c r="E280">
        <v>1.8259000000000001</v>
      </c>
      <c r="F280">
        <v>18653549.559999999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0.69530838165524589</v>
      </c>
      <c r="Q280">
        <f t="shared" si="965"/>
        <v>12969969.356689524</v>
      </c>
      <c r="R280">
        <f t="shared" si="966"/>
        <v>-11725584.020034522</v>
      </c>
      <c r="S280">
        <f t="shared" si="967"/>
        <v>-117.25584020034522</v>
      </c>
      <c r="T280">
        <f t="shared" si="968"/>
        <v>-0.11725584020034521</v>
      </c>
    </row>
    <row r="281" spans="1:20" x14ac:dyDescent="0.25">
      <c r="A281" s="5">
        <v>44312</v>
      </c>
      <c r="B281">
        <v>1.3420000000000001</v>
      </c>
      <c r="C281">
        <v>1.5474000000000001</v>
      </c>
      <c r="D281">
        <v>1.3267</v>
      </c>
      <c r="E281">
        <v>1.5226</v>
      </c>
      <c r="F281">
        <v>8240948.5</v>
      </c>
      <c r="G281">
        <v>0</v>
      </c>
      <c r="L281" t="s">
        <v>8</v>
      </c>
      <c r="M281" t="s">
        <v>8</v>
      </c>
      <c r="N281" t="s">
        <v>7</v>
      </c>
      <c r="P281">
        <f t="shared" si="964"/>
        <v>0.77526053466243638</v>
      </c>
      <c r="Q281">
        <f t="shared" si="965"/>
        <v>6388882.1402356029</v>
      </c>
      <c r="R281">
        <f t="shared" si="966"/>
        <v>-24695553.376724046</v>
      </c>
      <c r="S281">
        <f t="shared" si="967"/>
        <v>-246.95553376724047</v>
      </c>
      <c r="T281">
        <f t="shared" si="968"/>
        <v>-0.24695553376724047</v>
      </c>
    </row>
    <row r="282" spans="1:20" x14ac:dyDescent="0.25">
      <c r="A282" s="5">
        <v>44311</v>
      </c>
      <c r="B282">
        <v>1.3270999999999999</v>
      </c>
      <c r="C282">
        <v>1.4621999999999999</v>
      </c>
      <c r="D282">
        <v>1.254</v>
      </c>
      <c r="E282">
        <v>1.3408</v>
      </c>
      <c r="F282">
        <v>6771987.6900000004</v>
      </c>
      <c r="G282">
        <v>0</v>
      </c>
      <c r="L282" t="s">
        <v>7</v>
      </c>
      <c r="M282" t="s">
        <v>7</v>
      </c>
      <c r="N282" t="s">
        <v>7</v>
      </c>
      <c r="P282">
        <f t="shared" si="964"/>
        <v>-0.16618635926993264</v>
      </c>
      <c r="Q282">
        <f t="shared" si="965"/>
        <v>-1125411.9792219014</v>
      </c>
      <c r="R282">
        <f t="shared" si="966"/>
        <v>-31084435.516959649</v>
      </c>
      <c r="S282">
        <f t="shared" si="967"/>
        <v>-310.8443551695965</v>
      </c>
      <c r="T282">
        <f t="shared" si="968"/>
        <v>-0.31084435516959652</v>
      </c>
    </row>
    <row r="283" spans="1:20" x14ac:dyDescent="0.25">
      <c r="A283" s="5">
        <v>44310</v>
      </c>
      <c r="B283">
        <v>1.4729000000000001</v>
      </c>
      <c r="C283">
        <v>1.4735</v>
      </c>
      <c r="D283">
        <v>1.3078000000000001</v>
      </c>
      <c r="E283">
        <v>1.3280000000000001</v>
      </c>
      <c r="F283">
        <v>7699886.3300000001</v>
      </c>
      <c r="G283">
        <v>0</v>
      </c>
      <c r="L283" t="s">
        <v>8</v>
      </c>
      <c r="M283" t="s">
        <v>7</v>
      </c>
      <c r="N283" t="s">
        <v>7</v>
      </c>
      <c r="P283">
        <f t="shared" si="964"/>
        <v>-0.75618587809293902</v>
      </c>
      <c r="Q283">
        <f t="shared" si="965"/>
        <v>-5822545.3056668676</v>
      </c>
      <c r="R283">
        <f t="shared" si="966"/>
        <v>-29959023.537737746</v>
      </c>
      <c r="S283">
        <f t="shared" si="967"/>
        <v>-299.59023537737744</v>
      </c>
      <c r="T283">
        <f t="shared" si="968"/>
        <v>-0.29959023537737745</v>
      </c>
    </row>
    <row r="284" spans="1:20" x14ac:dyDescent="0.25">
      <c r="A284" s="5">
        <v>44309</v>
      </c>
      <c r="B284">
        <v>1.4905999999999999</v>
      </c>
      <c r="C284">
        <v>1.5452999999999999</v>
      </c>
      <c r="D284">
        <v>1.2427999999999999</v>
      </c>
      <c r="E284">
        <v>1.4752000000000001</v>
      </c>
      <c r="F284">
        <v>21335019.57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0.53652892561983578</v>
      </c>
      <c r="Q284">
        <f t="shared" si="965"/>
        <v>11446855.127970271</v>
      </c>
      <c r="R284">
        <f t="shared" si="966"/>
        <v>-24136478.232070878</v>
      </c>
      <c r="S284">
        <f t="shared" si="967"/>
        <v>-241.36478232070877</v>
      </c>
      <c r="T284">
        <f t="shared" si="968"/>
        <v>-0.24136478232070877</v>
      </c>
    </row>
    <row r="285" spans="1:20" x14ac:dyDescent="0.25">
      <c r="A285" s="5">
        <v>44308</v>
      </c>
      <c r="B285">
        <v>1.6349</v>
      </c>
      <c r="C285">
        <v>1.7898000000000001</v>
      </c>
      <c r="D285">
        <v>1.4762</v>
      </c>
      <c r="E285">
        <v>1.4908999999999999</v>
      </c>
      <c r="F285">
        <v>16078401.619999999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-0.90625000000000044</v>
      </c>
      <c r="Q285">
        <f t="shared" si="965"/>
        <v>-14571051.468125006</v>
      </c>
      <c r="R285">
        <f t="shared" si="966"/>
        <v>-35583333.360041149</v>
      </c>
      <c r="S285">
        <f t="shared" si="967"/>
        <v>-355.83333360041149</v>
      </c>
      <c r="T285">
        <f t="shared" si="968"/>
        <v>-0.35583333360041147</v>
      </c>
    </row>
    <row r="286" spans="1:20" x14ac:dyDescent="0.25">
      <c r="A286" s="5">
        <v>44307</v>
      </c>
      <c r="B286">
        <v>1.7029000000000001</v>
      </c>
      <c r="C286">
        <v>1.8080000000000001</v>
      </c>
      <c r="D286">
        <v>1.6237999999999999</v>
      </c>
      <c r="E286">
        <v>1.6359999999999999</v>
      </c>
      <c r="F286">
        <v>12030663.460000001</v>
      </c>
      <c r="G286">
        <v>0</v>
      </c>
      <c r="L286" t="s">
        <v>8</v>
      </c>
      <c r="M286" t="s">
        <v>8</v>
      </c>
      <c r="N286" t="s">
        <v>7</v>
      </c>
      <c r="P286">
        <f t="shared" si="964"/>
        <v>-0.86753528773072774</v>
      </c>
      <c r="Q286">
        <f t="shared" si="965"/>
        <v>-10437025.086362652</v>
      </c>
      <c r="R286">
        <f t="shared" si="966"/>
        <v>-21012281.891916141</v>
      </c>
      <c r="S286">
        <f t="shared" si="967"/>
        <v>-210.1228189191614</v>
      </c>
      <c r="T286">
        <f t="shared" si="968"/>
        <v>-0.2101228189191614</v>
      </c>
    </row>
    <row r="287" spans="1:20" x14ac:dyDescent="0.25">
      <c r="A287" s="5">
        <v>44306</v>
      </c>
      <c r="B287">
        <v>1.5840000000000001</v>
      </c>
      <c r="C287">
        <v>1.7638</v>
      </c>
      <c r="D287">
        <v>1.4455</v>
      </c>
      <c r="E287">
        <v>1.7029000000000001</v>
      </c>
      <c r="F287">
        <v>15022136.140000001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0.61734213006597582</v>
      </c>
      <c r="Q287">
        <f t="shared" si="965"/>
        <v>9273797.5228086766</v>
      </c>
      <c r="R287">
        <f t="shared" si="966"/>
        <v>-10575256.805553487</v>
      </c>
      <c r="S287">
        <f t="shared" si="967"/>
        <v>-105.75256805553487</v>
      </c>
      <c r="T287">
        <f t="shared" si="968"/>
        <v>-0.10575256805553486</v>
      </c>
    </row>
    <row r="288" spans="1:20" x14ac:dyDescent="0.25">
      <c r="A288" s="5">
        <v>44305</v>
      </c>
      <c r="B288">
        <v>1.762</v>
      </c>
      <c r="C288">
        <v>1.8653999999999999</v>
      </c>
      <c r="D288">
        <v>1.5668</v>
      </c>
      <c r="E288">
        <v>1.5827</v>
      </c>
      <c r="F288">
        <v>12086622.710000001</v>
      </c>
      <c r="G288">
        <v>0</v>
      </c>
      <c r="L288" t="s">
        <v>8</v>
      </c>
      <c r="M288" t="s">
        <v>8</v>
      </c>
      <c r="N288" t="s">
        <v>7</v>
      </c>
      <c r="P288">
        <f t="shared" si="964"/>
        <v>-0.89350301406563948</v>
      </c>
      <c r="Q288">
        <f t="shared" si="965"/>
        <v>-10799433.821259208</v>
      </c>
      <c r="R288">
        <f t="shared" si="966"/>
        <v>-19849054.328362163</v>
      </c>
      <c r="S288">
        <f t="shared" si="967"/>
        <v>-198.49054328362163</v>
      </c>
      <c r="T288">
        <f t="shared" si="968"/>
        <v>-0.19849054328362165</v>
      </c>
    </row>
    <row r="289" spans="1:20" x14ac:dyDescent="0.25">
      <c r="A289" s="5">
        <v>44304</v>
      </c>
      <c r="B289">
        <v>2.0350000000000001</v>
      </c>
      <c r="C289">
        <v>2.0451000000000001</v>
      </c>
      <c r="D289">
        <v>1.4455</v>
      </c>
      <c r="E289">
        <v>1.762</v>
      </c>
      <c r="F289">
        <v>21115735.27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5.5703802535023127E-2</v>
      </c>
      <c r="Q289">
        <f t="shared" si="965"/>
        <v>1176226.7478619032</v>
      </c>
      <c r="R289">
        <f t="shared" si="966"/>
        <v>-9049620.5071029551</v>
      </c>
      <c r="S289">
        <f t="shared" si="967"/>
        <v>-90.49620507102955</v>
      </c>
      <c r="T289">
        <f t="shared" si="968"/>
        <v>-9.0496205071029553E-2</v>
      </c>
    </row>
    <row r="290" spans="1:20" x14ac:dyDescent="0.25">
      <c r="A290" s="5">
        <v>44303</v>
      </c>
      <c r="B290">
        <v>2.0726</v>
      </c>
      <c r="C290">
        <v>2.2067000000000001</v>
      </c>
      <c r="D290">
        <v>2.0287000000000002</v>
      </c>
      <c r="E290">
        <v>2.0354999999999999</v>
      </c>
      <c r="F290">
        <v>9280081.9700000007</v>
      </c>
      <c r="G290">
        <v>0</v>
      </c>
      <c r="L290" t="s">
        <v>8</v>
      </c>
      <c r="M290" t="s">
        <v>7</v>
      </c>
      <c r="N290" t="s">
        <v>8</v>
      </c>
      <c r="P290">
        <f t="shared" si="964"/>
        <v>-0.92359550561798087</v>
      </c>
      <c r="Q290">
        <f t="shared" si="965"/>
        <v>-8571041.9992584586</v>
      </c>
      <c r="R290">
        <f t="shared" si="966"/>
        <v>-10225847.254964858</v>
      </c>
      <c r="S290">
        <f t="shared" si="967"/>
        <v>-102.25847254964859</v>
      </c>
      <c r="T290">
        <f t="shared" si="968"/>
        <v>-0.10225847254964859</v>
      </c>
    </row>
    <row r="291" spans="1:20" x14ac:dyDescent="0.25">
      <c r="A291" s="5">
        <v>44302</v>
      </c>
      <c r="B291">
        <v>2.198</v>
      </c>
      <c r="C291">
        <v>2.2141000000000002</v>
      </c>
      <c r="D291">
        <v>1.9723999999999999</v>
      </c>
      <c r="E291">
        <v>2.0743999999999998</v>
      </c>
      <c r="F291">
        <v>12901496.369999999</v>
      </c>
      <c r="G291">
        <v>0</v>
      </c>
      <c r="L291" t="s">
        <v>7</v>
      </c>
      <c r="M291" t="s">
        <v>7</v>
      </c>
      <c r="N291" t="s">
        <v>8</v>
      </c>
      <c r="P291">
        <f t="shared" si="964"/>
        <v>-0.1559784857261087</v>
      </c>
      <c r="Q291">
        <f t="shared" si="965"/>
        <v>-2012355.8673934881</v>
      </c>
      <c r="R291">
        <f t="shared" si="966"/>
        <v>-1654805.2557063997</v>
      </c>
      <c r="S291">
        <f t="shared" si="967"/>
        <v>-16.548052557063997</v>
      </c>
      <c r="T291">
        <f t="shared" si="968"/>
        <v>-1.6548052557063996E-2</v>
      </c>
    </row>
    <row r="292" spans="1:20" x14ac:dyDescent="0.25">
      <c r="A292" s="5">
        <v>44301</v>
      </c>
      <c r="B292">
        <v>2.1558999999999999</v>
      </c>
      <c r="C292">
        <v>2.2427999999999999</v>
      </c>
      <c r="D292">
        <v>2.1</v>
      </c>
      <c r="E292">
        <v>2.1978</v>
      </c>
      <c r="F292">
        <v>10014469.25</v>
      </c>
      <c r="G292">
        <v>0</v>
      </c>
      <c r="L292" t="s">
        <v>8</v>
      </c>
      <c r="M292" t="s">
        <v>8</v>
      </c>
      <c r="N292" t="s">
        <v>8</v>
      </c>
      <c r="P292">
        <f t="shared" si="964"/>
        <v>0.36974789915966405</v>
      </c>
      <c r="Q292">
        <f t="shared" si="965"/>
        <v>3702828.9663865566</v>
      </c>
      <c r="R292">
        <f t="shared" si="966"/>
        <v>357550.61168708839</v>
      </c>
      <c r="S292">
        <f t="shared" si="967"/>
        <v>3.5755061168708839</v>
      </c>
      <c r="T292">
        <f t="shared" si="968"/>
        <v>3.5755061168708841E-3</v>
      </c>
    </row>
    <row r="293" spans="1:20" x14ac:dyDescent="0.25">
      <c r="A293" s="5">
        <v>44300</v>
      </c>
      <c r="B293">
        <v>2.2968000000000002</v>
      </c>
      <c r="C293">
        <v>2.351</v>
      </c>
      <c r="D293">
        <v>2.0426000000000002</v>
      </c>
      <c r="E293">
        <v>2.1585000000000001</v>
      </c>
      <c r="F293">
        <v>15584195.18</v>
      </c>
      <c r="G293">
        <v>0</v>
      </c>
      <c r="L293" t="s">
        <v>7</v>
      </c>
      <c r="M293" t="s">
        <v>8</v>
      </c>
      <c r="N293" t="s">
        <v>8</v>
      </c>
      <c r="P293">
        <f t="shared" si="964"/>
        <v>-0.24837872892347618</v>
      </c>
      <c r="Q293">
        <f t="shared" si="965"/>
        <v>-3870782.5901037641</v>
      </c>
      <c r="R293">
        <f t="shared" si="966"/>
        <v>-3345278.3546994682</v>
      </c>
      <c r="S293">
        <f t="shared" si="967"/>
        <v>-33.452783546994681</v>
      </c>
      <c r="T293">
        <f t="shared" si="968"/>
        <v>-3.3452783546994679E-2</v>
      </c>
    </row>
    <row r="294" spans="1:20" x14ac:dyDescent="0.25">
      <c r="A294" s="5">
        <v>44299</v>
      </c>
      <c r="B294">
        <v>2.1332</v>
      </c>
      <c r="C294">
        <v>2.4</v>
      </c>
      <c r="D294">
        <v>2.0884</v>
      </c>
      <c r="E294">
        <v>2.2968000000000002</v>
      </c>
      <c r="F294">
        <v>19375449.219999999</v>
      </c>
      <c r="G294">
        <v>0</v>
      </c>
      <c r="L294" t="s">
        <v>8</v>
      </c>
      <c r="M294" t="s">
        <v>8</v>
      </c>
      <c r="N294" t="s">
        <v>8</v>
      </c>
      <c r="P294">
        <f t="shared" si="964"/>
        <v>0.33761232349165737</v>
      </c>
      <c r="Q294">
        <f t="shared" si="965"/>
        <v>6541390.4298588205</v>
      </c>
      <c r="R294">
        <f t="shared" si="966"/>
        <v>525504.23540429585</v>
      </c>
      <c r="S294">
        <f t="shared" si="967"/>
        <v>5.2550423540429581</v>
      </c>
      <c r="T294">
        <f t="shared" si="968"/>
        <v>5.2550423540429578E-3</v>
      </c>
    </row>
    <row r="295" spans="1:20" x14ac:dyDescent="0.25">
      <c r="A295" s="5">
        <v>44298</v>
      </c>
      <c r="B295">
        <v>2.1282999999999999</v>
      </c>
      <c r="C295">
        <v>2.1876000000000002</v>
      </c>
      <c r="D295">
        <v>2.0344000000000002</v>
      </c>
      <c r="E295">
        <v>2.1328</v>
      </c>
      <c r="F295">
        <v>10373838.51</v>
      </c>
      <c r="G295">
        <v>0</v>
      </c>
      <c r="L295" t="s">
        <v>8</v>
      </c>
      <c r="M295" t="s">
        <v>8</v>
      </c>
      <c r="N295" t="s">
        <v>8</v>
      </c>
      <c r="P295">
        <f t="shared" si="964"/>
        <v>0.28459530026109425</v>
      </c>
      <c r="Q295">
        <f t="shared" si="965"/>
        <v>2952345.6856135526</v>
      </c>
      <c r="R295">
        <f t="shared" si="966"/>
        <v>-6015886.1944545247</v>
      </c>
      <c r="S295">
        <f t="shared" si="967"/>
        <v>-60.158861944545244</v>
      </c>
      <c r="T295">
        <f t="shared" si="968"/>
        <v>-6.0158861944545242E-2</v>
      </c>
    </row>
    <row r="296" spans="1:20" x14ac:dyDescent="0.25">
      <c r="A296" s="5">
        <v>44297</v>
      </c>
      <c r="B296">
        <v>2.1747000000000001</v>
      </c>
      <c r="C296">
        <v>2.2608000000000001</v>
      </c>
      <c r="D296">
        <v>2.0274999999999999</v>
      </c>
      <c r="E296">
        <v>2.1305999999999998</v>
      </c>
      <c r="F296">
        <v>15604626.699999999</v>
      </c>
      <c r="G296">
        <v>0</v>
      </c>
      <c r="L296" t="s">
        <v>7</v>
      </c>
      <c r="M296" t="s">
        <v>8</v>
      </c>
      <c r="N296" t="s">
        <v>8</v>
      </c>
      <c r="P296">
        <f t="shared" si="964"/>
        <v>-0.11615945135019423</v>
      </c>
      <c r="Q296">
        <f t="shared" si="965"/>
        <v>-1812624.8759965918</v>
      </c>
      <c r="R296">
        <f t="shared" si="966"/>
        <v>-8968231.8800680768</v>
      </c>
      <c r="S296">
        <f t="shared" si="967"/>
        <v>-89.682318800680761</v>
      </c>
      <c r="T296">
        <f t="shared" si="968"/>
        <v>-8.9682318800680755E-2</v>
      </c>
    </row>
    <row r="297" spans="1:20" x14ac:dyDescent="0.25">
      <c r="A297" s="5">
        <v>44296</v>
      </c>
      <c r="B297">
        <v>2.1556000000000002</v>
      </c>
      <c r="C297">
        <v>2.3740999999999999</v>
      </c>
      <c r="D297">
        <v>2.0829</v>
      </c>
      <c r="E297">
        <v>2.1747000000000001</v>
      </c>
      <c r="F297">
        <v>31209412.48</v>
      </c>
      <c r="G297">
        <v>0</v>
      </c>
      <c r="L297" t="s">
        <v>7</v>
      </c>
      <c r="M297" t="s">
        <v>8</v>
      </c>
      <c r="N297" t="s">
        <v>8</v>
      </c>
      <c r="P297">
        <f t="shared" si="964"/>
        <v>-0.36950549450549358</v>
      </c>
      <c r="Q297">
        <f t="shared" si="965"/>
        <v>-11532049.391648322</v>
      </c>
      <c r="R297">
        <f t="shared" si="966"/>
        <v>-7155607.0040714843</v>
      </c>
      <c r="S297">
        <f t="shared" si="967"/>
        <v>-71.556070040714843</v>
      </c>
      <c r="T297">
        <f t="shared" si="968"/>
        <v>-7.1556070040714848E-2</v>
      </c>
    </row>
    <row r="298" spans="1:20" x14ac:dyDescent="0.25">
      <c r="A298" s="5">
        <v>44295</v>
      </c>
      <c r="B298">
        <v>1.8535999999999999</v>
      </c>
      <c r="C298">
        <v>2.379</v>
      </c>
      <c r="D298">
        <v>1.8236000000000001</v>
      </c>
      <c r="E298">
        <v>2.1551999999999998</v>
      </c>
      <c r="F298">
        <v>45575092.950000003</v>
      </c>
      <c r="G298">
        <v>0</v>
      </c>
      <c r="L298" t="s">
        <v>8</v>
      </c>
      <c r="M298" t="s">
        <v>8</v>
      </c>
      <c r="N298" t="s">
        <v>8</v>
      </c>
      <c r="P298">
        <f t="shared" si="964"/>
        <v>0.1940943464169958</v>
      </c>
      <c r="Q298">
        <f t="shared" si="965"/>
        <v>8845867.8790240828</v>
      </c>
      <c r="R298">
        <f t="shared" si="966"/>
        <v>4376442.387576838</v>
      </c>
      <c r="S298">
        <f t="shared" si="967"/>
        <v>43.764423875768379</v>
      </c>
      <c r="T298">
        <f t="shared" si="968"/>
        <v>4.3764423875768378E-2</v>
      </c>
    </row>
    <row r="299" spans="1:20" x14ac:dyDescent="0.25">
      <c r="A299" s="5">
        <v>44294</v>
      </c>
      <c r="B299">
        <v>1.7129000000000001</v>
      </c>
      <c r="C299">
        <v>1.8634999999999999</v>
      </c>
      <c r="D299">
        <v>1.7029000000000001</v>
      </c>
      <c r="E299">
        <v>1.8545</v>
      </c>
      <c r="F299">
        <v>8453241.5299999993</v>
      </c>
      <c r="G299">
        <v>0</v>
      </c>
      <c r="L299" t="s">
        <v>8</v>
      </c>
      <c r="M299" t="s">
        <v>7</v>
      </c>
      <c r="N299" t="s">
        <v>8</v>
      </c>
      <c r="P299">
        <f t="shared" si="964"/>
        <v>0.88792029887920421</v>
      </c>
      <c r="Q299">
        <f t="shared" si="965"/>
        <v>7505804.7458157009</v>
      </c>
      <c r="R299">
        <f t="shared" si="966"/>
        <v>-4469425.4914472448</v>
      </c>
      <c r="S299">
        <f t="shared" si="967"/>
        <v>-44.694254914472445</v>
      </c>
      <c r="T299">
        <f t="shared" si="968"/>
        <v>-4.4694254914472445E-2</v>
      </c>
    </row>
    <row r="300" spans="1:20" x14ac:dyDescent="0.25">
      <c r="A300" s="5">
        <v>44293</v>
      </c>
      <c r="B300">
        <v>1.9271</v>
      </c>
      <c r="C300">
        <v>1.9471000000000001</v>
      </c>
      <c r="D300">
        <v>1.5884</v>
      </c>
      <c r="E300">
        <v>1.712</v>
      </c>
      <c r="F300">
        <v>17661517.27</v>
      </c>
      <c r="G300">
        <v>0</v>
      </c>
      <c r="L300" t="s">
        <v>7</v>
      </c>
      <c r="M300" t="s">
        <v>7</v>
      </c>
      <c r="N300" t="s">
        <v>8</v>
      </c>
      <c r="P300">
        <f t="shared" si="964"/>
        <v>-0.31084471703373334</v>
      </c>
      <c r="Q300">
        <f t="shared" si="965"/>
        <v>-5489989.3381795445</v>
      </c>
      <c r="R300">
        <f t="shared" si="966"/>
        <v>-11975230.237262946</v>
      </c>
      <c r="S300">
        <f t="shared" si="967"/>
        <v>-119.75230237262946</v>
      </c>
      <c r="T300">
        <f t="shared" si="968"/>
        <v>-0.11975230237262946</v>
      </c>
    </row>
    <row r="301" spans="1:20" x14ac:dyDescent="0.25">
      <c r="A301" s="5">
        <v>44292</v>
      </c>
      <c r="B301">
        <v>1.8028</v>
      </c>
      <c r="C301">
        <v>1.9440999999999999</v>
      </c>
      <c r="D301">
        <v>1.7439</v>
      </c>
      <c r="E301">
        <v>1.9260999999999999</v>
      </c>
      <c r="F301">
        <v>15588054.59</v>
      </c>
      <c r="G301">
        <v>0</v>
      </c>
      <c r="L301" t="s">
        <v>8</v>
      </c>
      <c r="M301" t="s">
        <v>7</v>
      </c>
      <c r="N301" t="s">
        <v>8</v>
      </c>
      <c r="P301">
        <f t="shared" si="964"/>
        <v>0.82017982017981994</v>
      </c>
      <c r="Q301">
        <f t="shared" si="965"/>
        <v>12785007.810579417</v>
      </c>
      <c r="R301">
        <f t="shared" si="966"/>
        <v>-6485240.8990834001</v>
      </c>
      <c r="S301">
        <f t="shared" si="967"/>
        <v>-64.852408990834007</v>
      </c>
      <c r="T301">
        <f t="shared" si="968"/>
        <v>-6.4852408990834012E-2</v>
      </c>
    </row>
    <row r="302" spans="1:20" x14ac:dyDescent="0.25">
      <c r="A302" s="5">
        <v>44291</v>
      </c>
      <c r="B302">
        <v>1.8349</v>
      </c>
      <c r="C302">
        <v>1.8668</v>
      </c>
      <c r="D302">
        <v>1.73</v>
      </c>
      <c r="E302">
        <v>1.8058000000000001</v>
      </c>
      <c r="F302">
        <v>10936559.83</v>
      </c>
      <c r="G302">
        <v>0</v>
      </c>
      <c r="L302" t="s">
        <v>8</v>
      </c>
      <c r="M302" t="s">
        <v>7</v>
      </c>
      <c r="N302" t="s">
        <v>8</v>
      </c>
      <c r="P302">
        <f t="shared" si="964"/>
        <v>0.10818713450292503</v>
      </c>
      <c r="Q302">
        <f t="shared" si="965"/>
        <v>1183195.0693274969</v>
      </c>
      <c r="R302">
        <f t="shared" si="966"/>
        <v>-19270248.709662817</v>
      </c>
      <c r="S302">
        <f t="shared" si="967"/>
        <v>-192.70248709662818</v>
      </c>
      <c r="T302">
        <f t="shared" si="968"/>
        <v>-0.19270248709662818</v>
      </c>
    </row>
    <row r="303" spans="1:20" x14ac:dyDescent="0.25">
      <c r="A303" s="5">
        <v>44290</v>
      </c>
      <c r="B303">
        <v>1.7237</v>
      </c>
      <c r="C303">
        <v>1.8673</v>
      </c>
      <c r="D303">
        <v>1.6917</v>
      </c>
      <c r="E303">
        <v>1.835</v>
      </c>
      <c r="F303">
        <v>10913441.01</v>
      </c>
      <c r="G303">
        <v>0</v>
      </c>
      <c r="L303" t="s">
        <v>7</v>
      </c>
      <c r="M303" t="s">
        <v>7</v>
      </c>
      <c r="N303" t="s">
        <v>8</v>
      </c>
      <c r="P303">
        <f t="shared" si="964"/>
        <v>0.63211845102505693</v>
      </c>
      <c r="Q303">
        <f t="shared" si="965"/>
        <v>6898587.426594533</v>
      </c>
      <c r="R303">
        <f t="shared" si="966"/>
        <v>-20453443.778990313</v>
      </c>
      <c r="S303">
        <f t="shared" si="967"/>
        <v>-204.53443778990314</v>
      </c>
      <c r="T303">
        <f t="shared" si="968"/>
        <v>-0.20453443778990313</v>
      </c>
    </row>
    <row r="304" spans="1:20" x14ac:dyDescent="0.25">
      <c r="A304" s="5">
        <v>44289</v>
      </c>
      <c r="B304">
        <v>1.96</v>
      </c>
      <c r="C304">
        <v>1.9621999999999999</v>
      </c>
      <c r="D304">
        <v>1.7131000000000001</v>
      </c>
      <c r="E304">
        <v>1.7262</v>
      </c>
      <c r="F304">
        <v>13304012.09</v>
      </c>
      <c r="G304">
        <v>0</v>
      </c>
      <c r="L304" t="s">
        <v>7</v>
      </c>
      <c r="M304" t="s">
        <v>7</v>
      </c>
      <c r="N304" t="s">
        <v>8</v>
      </c>
      <c r="P304">
        <f t="shared" si="964"/>
        <v>-0.89482135688478603</v>
      </c>
      <c r="Q304">
        <f t="shared" si="965"/>
        <v>-11904714.150385398</v>
      </c>
      <c r="R304">
        <f t="shared" si="966"/>
        <v>-27352031.205584846</v>
      </c>
      <c r="S304">
        <f t="shared" si="967"/>
        <v>-273.52031205584848</v>
      </c>
      <c r="T304">
        <f t="shared" si="968"/>
        <v>-0.27352031205584848</v>
      </c>
    </row>
    <row r="305" spans="1:20" x14ac:dyDescent="0.25">
      <c r="A305" s="5">
        <v>44288</v>
      </c>
      <c r="B305">
        <v>1.9625999999999999</v>
      </c>
      <c r="C305">
        <v>2.0402999999999998</v>
      </c>
      <c r="D305">
        <v>1.8783000000000001</v>
      </c>
      <c r="E305">
        <v>1.9601</v>
      </c>
      <c r="F305">
        <v>14034487.140000001</v>
      </c>
      <c r="G305">
        <v>0</v>
      </c>
      <c r="L305" t="s">
        <v>7</v>
      </c>
      <c r="M305" t="s">
        <v>8</v>
      </c>
      <c r="N305" t="s">
        <v>8</v>
      </c>
      <c r="P305">
        <f t="shared" si="964"/>
        <v>9.8765432098768449E-3</v>
      </c>
      <c r="Q305">
        <f t="shared" si="965"/>
        <v>138612.2186666709</v>
      </c>
      <c r="R305">
        <f t="shared" si="966"/>
        <v>-15447317.05519945</v>
      </c>
      <c r="S305">
        <f t="shared" si="967"/>
        <v>-154.47317055199449</v>
      </c>
      <c r="T305">
        <f t="shared" si="968"/>
        <v>-0.1544731705519945</v>
      </c>
    </row>
    <row r="306" spans="1:20" x14ac:dyDescent="0.25">
      <c r="A306" s="5">
        <v>44287</v>
      </c>
      <c r="B306">
        <v>1.8822000000000001</v>
      </c>
      <c r="C306">
        <v>2.1000999999999999</v>
      </c>
      <c r="D306">
        <v>1.8357000000000001</v>
      </c>
      <c r="E306">
        <v>1.964</v>
      </c>
      <c r="F306">
        <v>26468994.84</v>
      </c>
      <c r="G306">
        <v>0</v>
      </c>
      <c r="L306" t="s">
        <v>8</v>
      </c>
      <c r="M306" t="s">
        <v>8</v>
      </c>
      <c r="N306" t="s">
        <v>8</v>
      </c>
      <c r="P306">
        <f t="shared" si="964"/>
        <v>-2.9500756429652181E-2</v>
      </c>
      <c r="Q306">
        <f t="shared" si="965"/>
        <v>-780855.36971256044</v>
      </c>
      <c r="R306">
        <f t="shared" si="966"/>
        <v>-15585929.273866121</v>
      </c>
      <c r="S306">
        <f t="shared" si="967"/>
        <v>-155.8592927386612</v>
      </c>
      <c r="T306">
        <f t="shared" si="968"/>
        <v>-0.1558592927386612</v>
      </c>
    </row>
    <row r="307" spans="1:20" x14ac:dyDescent="0.25">
      <c r="A307" s="5">
        <v>44286</v>
      </c>
      <c r="B307">
        <v>1.8487</v>
      </c>
      <c r="C307">
        <v>2.0061</v>
      </c>
      <c r="D307">
        <v>1.7516</v>
      </c>
      <c r="E307">
        <v>1.8817999999999999</v>
      </c>
      <c r="F307">
        <v>33611130.729999997</v>
      </c>
      <c r="G307">
        <v>0</v>
      </c>
      <c r="L307" t="s">
        <v>8</v>
      </c>
      <c r="M307" t="s">
        <v>8</v>
      </c>
      <c r="N307" t="s">
        <v>8</v>
      </c>
      <c r="P307">
        <f t="shared" si="964"/>
        <v>2.3182711198427488E-2</v>
      </c>
      <c r="Q307">
        <f t="shared" si="965"/>
        <v>779197.13676618121</v>
      </c>
      <c r="R307">
        <f t="shared" si="966"/>
        <v>-14805073.904153559</v>
      </c>
      <c r="S307">
        <f t="shared" si="967"/>
        <v>-148.05073904153559</v>
      </c>
      <c r="T307">
        <f t="shared" si="968"/>
        <v>-0.1480507390415356</v>
      </c>
    </row>
    <row r="308" spans="1:20" x14ac:dyDescent="0.25">
      <c r="A308" s="5">
        <v>44285</v>
      </c>
      <c r="B308">
        <v>1.5959000000000001</v>
      </c>
      <c r="C308">
        <v>1.9238</v>
      </c>
      <c r="D308">
        <v>1.5531999999999999</v>
      </c>
      <c r="E308">
        <v>1.8486</v>
      </c>
      <c r="F308">
        <v>33326991.890000001</v>
      </c>
      <c r="G308">
        <v>0</v>
      </c>
      <c r="L308" t="s">
        <v>8</v>
      </c>
      <c r="M308" t="s">
        <v>8</v>
      </c>
      <c r="N308" t="s">
        <v>8</v>
      </c>
      <c r="P308">
        <f t="shared" si="964"/>
        <v>0.59417161359956872</v>
      </c>
      <c r="Q308">
        <f t="shared" si="965"/>
        <v>19801952.547701042</v>
      </c>
      <c r="R308">
        <f t="shared" si="966"/>
        <v>-15584271.04091974</v>
      </c>
      <c r="S308">
        <f t="shared" si="967"/>
        <v>-155.84271040919739</v>
      </c>
      <c r="T308">
        <f t="shared" si="968"/>
        <v>-0.15584271040919739</v>
      </c>
    </row>
    <row r="309" spans="1:20" x14ac:dyDescent="0.25">
      <c r="A309" s="5">
        <v>44284</v>
      </c>
      <c r="B309">
        <v>1.4537</v>
      </c>
      <c r="C309">
        <v>1.6067</v>
      </c>
      <c r="D309">
        <v>1.4490000000000001</v>
      </c>
      <c r="E309">
        <v>1.5948</v>
      </c>
      <c r="F309">
        <v>13106332.17</v>
      </c>
      <c r="G309">
        <v>0</v>
      </c>
      <c r="L309" t="s">
        <v>8</v>
      </c>
      <c r="M309" t="s">
        <v>8</v>
      </c>
      <c r="N309" t="s">
        <v>8</v>
      </c>
      <c r="P309">
        <f t="shared" si="964"/>
        <v>0.84908053265694328</v>
      </c>
      <c r="Q309">
        <f t="shared" si="965"/>
        <v>11128331.500082431</v>
      </c>
      <c r="R309">
        <f t="shared" si="966"/>
        <v>-35386223.588620782</v>
      </c>
      <c r="S309">
        <f t="shared" si="967"/>
        <v>-353.86223588620783</v>
      </c>
      <c r="T309">
        <f t="shared" si="968"/>
        <v>-0.35386223588620785</v>
      </c>
    </row>
    <row r="310" spans="1:20" x14ac:dyDescent="0.25">
      <c r="A310" s="5">
        <v>44283</v>
      </c>
      <c r="B310">
        <v>1.4164000000000001</v>
      </c>
      <c r="C310">
        <v>1.4829000000000001</v>
      </c>
      <c r="D310">
        <v>1.3842000000000001</v>
      </c>
      <c r="E310">
        <v>1.4541999999999999</v>
      </c>
      <c r="F310">
        <v>8900531.4100000001</v>
      </c>
      <c r="G310">
        <v>0</v>
      </c>
      <c r="L310" t="s">
        <v>8</v>
      </c>
      <c r="M310" t="s">
        <v>8</v>
      </c>
      <c r="N310" t="s">
        <v>8</v>
      </c>
      <c r="P310">
        <f t="shared" si="964"/>
        <v>0.41843971631205334</v>
      </c>
      <c r="Q310">
        <f t="shared" si="965"/>
        <v>3724335.83822692</v>
      </c>
      <c r="R310">
        <f t="shared" si="966"/>
        <v>-46514555.088703215</v>
      </c>
      <c r="S310">
        <f t="shared" si="967"/>
        <v>-465.14555088703213</v>
      </c>
      <c r="T310">
        <f t="shared" si="968"/>
        <v>-0.46514555088703213</v>
      </c>
    </row>
    <row r="311" spans="1:20" x14ac:dyDescent="0.25">
      <c r="A311" s="5">
        <v>44282</v>
      </c>
      <c r="B311">
        <v>1.3880999999999999</v>
      </c>
      <c r="C311">
        <v>1.4396</v>
      </c>
      <c r="D311">
        <v>1.3501000000000001</v>
      </c>
      <c r="E311">
        <v>1.4157999999999999</v>
      </c>
      <c r="F311">
        <v>8788755.3499999996</v>
      </c>
      <c r="G311">
        <v>0</v>
      </c>
      <c r="L311" t="s">
        <v>8</v>
      </c>
      <c r="M311" t="s">
        <v>7</v>
      </c>
      <c r="N311" t="s">
        <v>8</v>
      </c>
      <c r="P311">
        <f t="shared" si="964"/>
        <v>0.46815642458100409</v>
      </c>
      <c r="Q311">
        <f t="shared" si="965"/>
        <v>4114512.281173171</v>
      </c>
      <c r="R311">
        <f t="shared" si="966"/>
        <v>-50238890.926930137</v>
      </c>
      <c r="S311">
        <f t="shared" si="967"/>
        <v>-502.38890926930139</v>
      </c>
      <c r="T311">
        <f t="shared" si="968"/>
        <v>-0.50238890926930135</v>
      </c>
    </row>
    <row r="312" spans="1:20" x14ac:dyDescent="0.25">
      <c r="A312" s="5">
        <v>44281</v>
      </c>
      <c r="B312">
        <v>1.3098000000000001</v>
      </c>
      <c r="C312">
        <v>1.3959999999999999</v>
      </c>
      <c r="D312">
        <v>1.3086</v>
      </c>
      <c r="E312">
        <v>1.3873</v>
      </c>
      <c r="F312">
        <v>5101045.3</v>
      </c>
      <c r="G312">
        <v>0</v>
      </c>
      <c r="L312" t="s">
        <v>8</v>
      </c>
      <c r="M312" t="s">
        <v>7</v>
      </c>
      <c r="N312" t="s">
        <v>8</v>
      </c>
      <c r="P312">
        <f t="shared" si="964"/>
        <v>0.80091533180778174</v>
      </c>
      <c r="Q312">
        <f t="shared" si="965"/>
        <v>4085505.3890160252</v>
      </c>
      <c r="R312">
        <f t="shared" si="966"/>
        <v>-54353403.208103307</v>
      </c>
      <c r="S312">
        <f t="shared" si="967"/>
        <v>-543.53403208103305</v>
      </c>
      <c r="T312">
        <f t="shared" si="968"/>
        <v>-0.54353403208103301</v>
      </c>
    </row>
    <row r="313" spans="1:20" x14ac:dyDescent="0.25">
      <c r="A313" s="5">
        <v>44280</v>
      </c>
      <c r="B313">
        <v>1.37</v>
      </c>
      <c r="C313">
        <v>1.3997999999999999</v>
      </c>
      <c r="D313">
        <v>1.26</v>
      </c>
      <c r="E313">
        <v>1.3095000000000001</v>
      </c>
      <c r="F313">
        <v>15201150.76</v>
      </c>
      <c r="G313">
        <v>0</v>
      </c>
      <c r="L313" t="s">
        <v>7</v>
      </c>
      <c r="M313" t="s">
        <v>7</v>
      </c>
      <c r="N313" t="s">
        <v>8</v>
      </c>
      <c r="P313">
        <f t="shared" si="964"/>
        <v>-0.29184549356222994</v>
      </c>
      <c r="Q313">
        <f t="shared" si="965"/>
        <v>-4436387.3462660667</v>
      </c>
      <c r="R313">
        <f t="shared" si="966"/>
        <v>-58438908.597119331</v>
      </c>
      <c r="S313">
        <f t="shared" si="967"/>
        <v>-584.38908597119337</v>
      </c>
      <c r="T313">
        <f t="shared" si="968"/>
        <v>-0.58438908597119332</v>
      </c>
    </row>
    <row r="314" spans="1:20" x14ac:dyDescent="0.25">
      <c r="A314" s="5">
        <v>44279</v>
      </c>
      <c r="B314">
        <v>1.4947999999999999</v>
      </c>
      <c r="C314">
        <v>1.61</v>
      </c>
      <c r="D314">
        <v>1.3161</v>
      </c>
      <c r="E314">
        <v>1.3704000000000001</v>
      </c>
      <c r="F314">
        <v>17195639.09</v>
      </c>
      <c r="G314">
        <v>0</v>
      </c>
      <c r="L314" t="s">
        <v>7</v>
      </c>
      <c r="M314" t="s">
        <v>7</v>
      </c>
      <c r="N314" t="s">
        <v>8</v>
      </c>
      <c r="P314">
        <f t="shared" si="964"/>
        <v>-0.63048656005444026</v>
      </c>
      <c r="Q314">
        <f t="shared" si="965"/>
        <v>-10841619.337791765</v>
      </c>
      <c r="R314">
        <f t="shared" si="966"/>
        <v>-54002521.250853263</v>
      </c>
      <c r="S314">
        <f t="shared" si="967"/>
        <v>-540.0252125085326</v>
      </c>
      <c r="T314">
        <f t="shared" si="968"/>
        <v>-0.54002521250853264</v>
      </c>
    </row>
    <row r="315" spans="1:20" x14ac:dyDescent="0.25">
      <c r="A315" s="5">
        <v>44278</v>
      </c>
      <c r="B315">
        <v>1.417</v>
      </c>
      <c r="C315">
        <v>1.5322</v>
      </c>
      <c r="D315">
        <v>1.35</v>
      </c>
      <c r="E315">
        <v>1.498</v>
      </c>
      <c r="F315">
        <v>11288170.07</v>
      </c>
      <c r="G315">
        <v>0</v>
      </c>
      <c r="L315" t="s">
        <v>7</v>
      </c>
      <c r="M315" t="s">
        <v>7</v>
      </c>
      <c r="N315" t="s">
        <v>8</v>
      </c>
      <c r="P315">
        <f t="shared" si="964"/>
        <v>0.6245883644346869</v>
      </c>
      <c r="Q315">
        <f t="shared" si="965"/>
        <v>7050459.6814818857</v>
      </c>
      <c r="R315">
        <f t="shared" si="966"/>
        <v>-43160901.9130615</v>
      </c>
      <c r="S315">
        <f t="shared" si="967"/>
        <v>-431.60901913061497</v>
      </c>
      <c r="T315">
        <f t="shared" si="968"/>
        <v>-0.43160901913061495</v>
      </c>
    </row>
    <row r="316" spans="1:20" x14ac:dyDescent="0.25">
      <c r="A316" s="5">
        <v>44277</v>
      </c>
      <c r="B316">
        <v>1.4579</v>
      </c>
      <c r="C316">
        <v>1.5719000000000001</v>
      </c>
      <c r="D316">
        <v>1.3907</v>
      </c>
      <c r="E316">
        <v>1.417</v>
      </c>
      <c r="F316">
        <v>12556416.960000001</v>
      </c>
      <c r="G316">
        <v>0</v>
      </c>
      <c r="L316" t="s">
        <v>7</v>
      </c>
      <c r="M316" t="s">
        <v>7</v>
      </c>
      <c r="N316" t="s">
        <v>8</v>
      </c>
      <c r="P316">
        <f t="shared" si="964"/>
        <v>-0.70971302428256089</v>
      </c>
      <c r="Q316">
        <f t="shared" si="965"/>
        <v>-8911452.65483444</v>
      </c>
      <c r="R316">
        <f t="shared" si="966"/>
        <v>-50211361.594543383</v>
      </c>
      <c r="S316">
        <f t="shared" si="967"/>
        <v>-502.11361594543382</v>
      </c>
      <c r="T316">
        <f t="shared" si="968"/>
        <v>-0.5021136159454338</v>
      </c>
    </row>
    <row r="317" spans="1:20" x14ac:dyDescent="0.25">
      <c r="A317" s="5">
        <v>44276</v>
      </c>
      <c r="B317">
        <v>1.5</v>
      </c>
      <c r="C317">
        <v>1.5249999999999999</v>
      </c>
      <c r="D317">
        <v>1.4118999999999999</v>
      </c>
      <c r="E317">
        <v>1.458</v>
      </c>
      <c r="F317">
        <v>10054452.939999999</v>
      </c>
      <c r="G317">
        <v>0</v>
      </c>
      <c r="L317" t="s">
        <v>7</v>
      </c>
      <c r="M317" t="s">
        <v>7</v>
      </c>
      <c r="N317" t="s">
        <v>8</v>
      </c>
      <c r="P317">
        <f t="shared" si="964"/>
        <v>-0.18479221927497722</v>
      </c>
      <c r="Q317">
        <f t="shared" si="965"/>
        <v>-1857984.6723784192</v>
      </c>
      <c r="R317">
        <f t="shared" si="966"/>
        <v>-41299908.939708941</v>
      </c>
      <c r="S317">
        <f t="shared" si="967"/>
        <v>-412.99908939708939</v>
      </c>
      <c r="T317">
        <f t="shared" si="968"/>
        <v>-0.4129990893970894</v>
      </c>
    </row>
    <row r="318" spans="1:20" x14ac:dyDescent="0.25">
      <c r="A318" s="5">
        <v>44275</v>
      </c>
      <c r="B318">
        <v>1.5586</v>
      </c>
      <c r="C318">
        <v>1.6267</v>
      </c>
      <c r="D318">
        <v>1.4871000000000001</v>
      </c>
      <c r="E318">
        <v>1.5</v>
      </c>
      <c r="F318">
        <v>12289897.15</v>
      </c>
      <c r="G318">
        <v>0</v>
      </c>
      <c r="L318" t="s">
        <v>8</v>
      </c>
      <c r="M318" t="s">
        <v>7</v>
      </c>
      <c r="N318" t="s">
        <v>8</v>
      </c>
      <c r="P318">
        <f t="shared" si="964"/>
        <v>-0.81518624641833926</v>
      </c>
      <c r="Q318">
        <f t="shared" si="965"/>
        <v>-10018555.126575945</v>
      </c>
      <c r="R318">
        <f t="shared" si="966"/>
        <v>-39441924.26733052</v>
      </c>
      <c r="S318">
        <f t="shared" si="967"/>
        <v>-394.41924267330518</v>
      </c>
      <c r="T318">
        <f t="shared" si="968"/>
        <v>-0.39441924267330519</v>
      </c>
    </row>
    <row r="319" spans="1:20" x14ac:dyDescent="0.25">
      <c r="A319" s="5">
        <v>44274</v>
      </c>
      <c r="B319">
        <v>1.5146999999999999</v>
      </c>
      <c r="C319">
        <v>1.6536999999999999</v>
      </c>
      <c r="D319">
        <v>1.4494</v>
      </c>
      <c r="E319">
        <v>1.5586</v>
      </c>
      <c r="F319">
        <v>18435311.57</v>
      </c>
      <c r="G319">
        <v>0</v>
      </c>
      <c r="L319" t="s">
        <v>7</v>
      </c>
      <c r="M319" t="s">
        <v>7</v>
      </c>
      <c r="N319" t="s">
        <v>8</v>
      </c>
      <c r="P319">
        <f t="shared" si="964"/>
        <v>6.9016152716593282E-2</v>
      </c>
      <c r="Q319">
        <f t="shared" si="965"/>
        <v>1272334.278693099</v>
      </c>
      <c r="R319">
        <f t="shared" si="966"/>
        <v>-29423369.140754577</v>
      </c>
      <c r="S319">
        <f t="shared" si="967"/>
        <v>-294.23369140754579</v>
      </c>
      <c r="T319">
        <f t="shared" si="968"/>
        <v>-0.29423369140754579</v>
      </c>
    </row>
    <row r="320" spans="1:20" x14ac:dyDescent="0.25">
      <c r="A320" s="5">
        <v>44273</v>
      </c>
      <c r="B320">
        <v>1.4457</v>
      </c>
      <c r="C320">
        <v>1.7468999999999999</v>
      </c>
      <c r="D320">
        <v>1.4159999999999999</v>
      </c>
      <c r="E320">
        <v>1.5162</v>
      </c>
      <c r="F320">
        <v>41067841.850000001</v>
      </c>
      <c r="G320">
        <v>0</v>
      </c>
      <c r="L320" t="s">
        <v>8</v>
      </c>
      <c r="M320" t="s">
        <v>8</v>
      </c>
      <c r="N320" t="s">
        <v>8</v>
      </c>
      <c r="P320">
        <f t="shared" si="964"/>
        <v>-0.39437896645512194</v>
      </c>
      <c r="Q320">
        <f t="shared" si="965"/>
        <v>-16196293.023345403</v>
      </c>
      <c r="R320">
        <f t="shared" si="966"/>
        <v>-30695703.419447675</v>
      </c>
      <c r="S320">
        <f t="shared" si="967"/>
        <v>-306.95703419447676</v>
      </c>
      <c r="T320">
        <f t="shared" si="968"/>
        <v>-0.30695703419447679</v>
      </c>
    </row>
    <row r="321" spans="1:20" x14ac:dyDescent="0.25">
      <c r="A321" s="5">
        <v>44272</v>
      </c>
      <c r="B321">
        <v>1.4301999999999999</v>
      </c>
      <c r="C321">
        <v>1.4478</v>
      </c>
      <c r="D321">
        <v>1.3279000000000001</v>
      </c>
      <c r="E321">
        <v>1.4469000000000001</v>
      </c>
      <c r="F321">
        <v>12154265.58</v>
      </c>
      <c r="G321">
        <v>0</v>
      </c>
      <c r="L321" t="s">
        <v>7</v>
      </c>
      <c r="M321" t="s">
        <v>7</v>
      </c>
      <c r="N321" t="s">
        <v>7</v>
      </c>
      <c r="P321">
        <f t="shared" si="964"/>
        <v>0.98498748957464721</v>
      </c>
      <c r="Q321">
        <f t="shared" si="965"/>
        <v>11971799.541267743</v>
      </c>
      <c r="R321">
        <f t="shared" si="966"/>
        <v>-14499410.396102274</v>
      </c>
      <c r="S321">
        <f t="shared" si="967"/>
        <v>-144.99410396102274</v>
      </c>
      <c r="T321">
        <f t="shared" si="968"/>
        <v>-0.14499410396102275</v>
      </c>
    </row>
    <row r="322" spans="1:20" x14ac:dyDescent="0.25">
      <c r="A322" s="5">
        <v>44271</v>
      </c>
      <c r="B322">
        <v>1.3285</v>
      </c>
      <c r="C322">
        <v>1.4452</v>
      </c>
      <c r="D322">
        <v>1.2774000000000001</v>
      </c>
      <c r="E322">
        <v>1.43</v>
      </c>
      <c r="F322">
        <v>11943855.449999999</v>
      </c>
      <c r="G322">
        <v>0</v>
      </c>
      <c r="L322" t="s">
        <v>8</v>
      </c>
      <c r="M322" t="s">
        <v>7</v>
      </c>
      <c r="N322" t="s">
        <v>7</v>
      </c>
      <c r="P322">
        <f t="shared" si="964"/>
        <v>0.81883194278903326</v>
      </c>
      <c r="Q322">
        <f t="shared" si="965"/>
        <v>9780010.3625148833</v>
      </c>
      <c r="R322">
        <f t="shared" si="966"/>
        <v>-26471209.937370017</v>
      </c>
      <c r="S322">
        <f t="shared" si="967"/>
        <v>-264.7120993737002</v>
      </c>
      <c r="T322">
        <f t="shared" si="968"/>
        <v>-0.26471209937370022</v>
      </c>
    </row>
    <row r="323" spans="1:20" x14ac:dyDescent="0.25">
      <c r="A323" s="5">
        <v>44270</v>
      </c>
      <c r="B323">
        <v>1.3255999999999999</v>
      </c>
      <c r="C323">
        <v>1.3745000000000001</v>
      </c>
      <c r="D323">
        <v>1.2549999999999999</v>
      </c>
      <c r="E323">
        <v>1.3282</v>
      </c>
      <c r="F323">
        <v>9741969.6400000006</v>
      </c>
      <c r="G323">
        <v>0</v>
      </c>
      <c r="L323" t="s">
        <v>7</v>
      </c>
      <c r="M323" t="s">
        <v>7</v>
      </c>
      <c r="N323" t="s">
        <v>7</v>
      </c>
      <c r="P323">
        <f t="shared" si="964"/>
        <v>0.22510460251046116</v>
      </c>
      <c r="Q323">
        <f t="shared" si="965"/>
        <v>2192962.2034811806</v>
      </c>
      <c r="R323">
        <f t="shared" si="966"/>
        <v>-36251220.2998849</v>
      </c>
      <c r="S323">
        <f t="shared" si="967"/>
        <v>-362.51220299884898</v>
      </c>
      <c r="T323">
        <f t="shared" si="968"/>
        <v>-0.36251220299884895</v>
      </c>
    </row>
    <row r="324" spans="1:20" x14ac:dyDescent="0.25">
      <c r="A324" s="5">
        <v>44269</v>
      </c>
      <c r="B324">
        <v>1.3935999999999999</v>
      </c>
      <c r="C324">
        <v>1.4</v>
      </c>
      <c r="D324">
        <v>1.2991999999999999</v>
      </c>
      <c r="E324">
        <v>1.3247</v>
      </c>
      <c r="F324">
        <v>7894992.8899999997</v>
      </c>
      <c r="G324">
        <v>0</v>
      </c>
      <c r="L324" t="s">
        <v>7</v>
      </c>
      <c r="M324" t="s">
        <v>8</v>
      </c>
      <c r="N324" t="s">
        <v>7</v>
      </c>
      <c r="P324">
        <f t="shared" si="964"/>
        <v>-0.49404761904761751</v>
      </c>
      <c r="Q324">
        <f t="shared" si="965"/>
        <v>-3900502.4397023688</v>
      </c>
      <c r="R324">
        <f t="shared" si="966"/>
        <v>-38444182.503366083</v>
      </c>
      <c r="S324">
        <f t="shared" si="967"/>
        <v>-384.44182503366085</v>
      </c>
      <c r="T324">
        <f t="shared" si="968"/>
        <v>-0.38444182503366087</v>
      </c>
    </row>
    <row r="325" spans="1:20" x14ac:dyDescent="0.25">
      <c r="A325" s="5">
        <v>44268</v>
      </c>
      <c r="B325">
        <v>1.3402000000000001</v>
      </c>
      <c r="C325">
        <v>1.4218</v>
      </c>
      <c r="D325">
        <v>1.2871999999999999</v>
      </c>
      <c r="E325">
        <v>1.393</v>
      </c>
      <c r="F325">
        <v>7467993.9500000002</v>
      </c>
      <c r="G325">
        <v>0</v>
      </c>
      <c r="L325" t="s">
        <v>8</v>
      </c>
      <c r="M325" t="s">
        <v>8</v>
      </c>
      <c r="N325" t="s">
        <v>7</v>
      </c>
      <c r="P325">
        <f t="shared" si="964"/>
        <v>0.57206537890044684</v>
      </c>
      <c r="Q325">
        <f t="shared" si="965"/>
        <v>4272180.7886329945</v>
      </c>
      <c r="R325">
        <f t="shared" si="966"/>
        <v>-34543680.063663714</v>
      </c>
      <c r="S325">
        <f t="shared" si="967"/>
        <v>-345.43680063663714</v>
      </c>
      <c r="T325">
        <f t="shared" si="968"/>
        <v>-0.34543680063663712</v>
      </c>
    </row>
    <row r="326" spans="1:20" x14ac:dyDescent="0.25">
      <c r="A326" s="5">
        <v>44267</v>
      </c>
      <c r="B326">
        <v>1.3745000000000001</v>
      </c>
      <c r="C326">
        <v>1.3911</v>
      </c>
      <c r="D326">
        <v>1.2926</v>
      </c>
      <c r="E326">
        <v>1.3395999999999999</v>
      </c>
      <c r="F326">
        <v>8035823.9500000002</v>
      </c>
      <c r="G326">
        <v>0</v>
      </c>
      <c r="L326" t="s">
        <v>7</v>
      </c>
      <c r="M326" t="s">
        <v>8</v>
      </c>
      <c r="N326" t="s">
        <v>7</v>
      </c>
      <c r="P326">
        <f t="shared" ref="P326:P389" si="969">IF(C326=D326,0,((E326-D326)-(C326-E326))/(C326-D326))</f>
        <v>-4.5685279187818978E-2</v>
      </c>
      <c r="Q326">
        <f t="shared" ref="Q326:Q389" si="970">F326*P326</f>
        <v>-367118.86065991229</v>
      </c>
      <c r="R326">
        <f t="shared" ref="R326:R389" si="971">R327+Q326</f>
        <v>-38815860.85229671</v>
      </c>
      <c r="S326">
        <f t="shared" ref="S326:S389" si="972">R326/100000</f>
        <v>-388.15860852296709</v>
      </c>
      <c r="T326">
        <f t="shared" ref="T326:T389" si="973">S326/1000</f>
        <v>-0.38815860852296707</v>
      </c>
    </row>
    <row r="327" spans="1:20" x14ac:dyDescent="0.25">
      <c r="A327" s="5">
        <v>44266</v>
      </c>
      <c r="B327">
        <v>1.3934</v>
      </c>
      <c r="C327">
        <v>1.4061999999999999</v>
      </c>
      <c r="D327">
        <v>1.3287</v>
      </c>
      <c r="E327">
        <v>1.3743000000000001</v>
      </c>
      <c r="F327">
        <v>7574937.6699999999</v>
      </c>
      <c r="G327">
        <v>0</v>
      </c>
      <c r="L327" t="s">
        <v>7</v>
      </c>
      <c r="M327" t="s">
        <v>8</v>
      </c>
      <c r="N327" t="s">
        <v>7</v>
      </c>
      <c r="P327">
        <f t="shared" si="969"/>
        <v>0.17677419354839077</v>
      </c>
      <c r="Q327">
        <f t="shared" si="970"/>
        <v>1339053.4977935762</v>
      </c>
      <c r="R327">
        <f t="shared" si="971"/>
        <v>-38448741.991636798</v>
      </c>
      <c r="S327">
        <f t="shared" si="972"/>
        <v>-384.48741991636797</v>
      </c>
      <c r="T327">
        <f t="shared" si="973"/>
        <v>-0.38448741991636798</v>
      </c>
    </row>
    <row r="328" spans="1:20" x14ac:dyDescent="0.25">
      <c r="A328" s="5">
        <v>44265</v>
      </c>
      <c r="B328">
        <v>1.4756</v>
      </c>
      <c r="C328">
        <v>1.4870000000000001</v>
      </c>
      <c r="D328">
        <v>1.3564000000000001</v>
      </c>
      <c r="E328">
        <v>1.3933</v>
      </c>
      <c r="F328">
        <v>11366344.07</v>
      </c>
      <c r="G328">
        <v>0</v>
      </c>
      <c r="L328" t="s">
        <v>8</v>
      </c>
      <c r="M328" t="s">
        <v>8</v>
      </c>
      <c r="N328" t="s">
        <v>7</v>
      </c>
      <c r="P328">
        <f t="shared" si="969"/>
        <v>-0.43491577335375314</v>
      </c>
      <c r="Q328">
        <f t="shared" si="970"/>
        <v>-4943402.3214088958</v>
      </c>
      <c r="R328">
        <f t="shared" si="971"/>
        <v>-39787795.489430375</v>
      </c>
      <c r="S328">
        <f t="shared" si="972"/>
        <v>-397.87795489430374</v>
      </c>
      <c r="T328">
        <f t="shared" si="973"/>
        <v>-0.39787795489430372</v>
      </c>
    </row>
    <row r="329" spans="1:20" x14ac:dyDescent="0.25">
      <c r="A329" s="5">
        <v>44264</v>
      </c>
      <c r="B329">
        <v>1.4222999999999999</v>
      </c>
      <c r="C329">
        <v>1.4757</v>
      </c>
      <c r="D329">
        <v>1.3911</v>
      </c>
      <c r="E329">
        <v>1.4757</v>
      </c>
      <c r="F329">
        <v>10352388.710000001</v>
      </c>
      <c r="G329">
        <v>0</v>
      </c>
      <c r="L329" t="s">
        <v>8</v>
      </c>
      <c r="M329" t="s">
        <v>8</v>
      </c>
      <c r="N329" t="s">
        <v>7</v>
      </c>
      <c r="P329">
        <f t="shared" si="969"/>
        <v>1</v>
      </c>
      <c r="Q329">
        <f t="shared" si="970"/>
        <v>10352388.710000001</v>
      </c>
      <c r="R329">
        <f t="shared" si="971"/>
        <v>-34844393.168021478</v>
      </c>
      <c r="S329">
        <f t="shared" si="972"/>
        <v>-348.4439316802148</v>
      </c>
      <c r="T329">
        <f t="shared" si="973"/>
        <v>-0.34844393168021481</v>
      </c>
    </row>
    <row r="330" spans="1:20" x14ac:dyDescent="0.25">
      <c r="A330" s="5">
        <v>44263</v>
      </c>
      <c r="B330">
        <v>1.4202999999999999</v>
      </c>
      <c r="C330">
        <v>1.4746999999999999</v>
      </c>
      <c r="D330">
        <v>1.3614999999999999</v>
      </c>
      <c r="E330">
        <v>1.4198</v>
      </c>
      <c r="F330">
        <v>12977119.939999999</v>
      </c>
      <c r="G330">
        <v>0</v>
      </c>
      <c r="L330" t="s">
        <v>8</v>
      </c>
      <c r="M330" t="s">
        <v>8</v>
      </c>
      <c r="N330" t="s">
        <v>7</v>
      </c>
      <c r="P330">
        <f t="shared" si="969"/>
        <v>3.0035335689046559E-2</v>
      </c>
      <c r="Q330">
        <f t="shared" si="970"/>
        <v>389772.15367491974</v>
      </c>
      <c r="R330">
        <f t="shared" si="971"/>
        <v>-45196781.878021479</v>
      </c>
      <c r="S330">
        <f t="shared" si="972"/>
        <v>-451.96781878021477</v>
      </c>
      <c r="T330">
        <f t="shared" si="973"/>
        <v>-0.45196781878021475</v>
      </c>
    </row>
    <row r="331" spans="1:20" x14ac:dyDescent="0.25">
      <c r="A331" s="5">
        <v>44262</v>
      </c>
      <c r="B331">
        <v>1.371</v>
      </c>
      <c r="C331">
        <v>1.4288000000000001</v>
      </c>
      <c r="D331">
        <v>1.3532</v>
      </c>
      <c r="E331">
        <v>1.4204000000000001</v>
      </c>
      <c r="F331">
        <v>11153661.18</v>
      </c>
      <c r="G331">
        <v>0</v>
      </c>
      <c r="L331" t="s">
        <v>8</v>
      </c>
      <c r="M331" t="s">
        <v>8</v>
      </c>
      <c r="N331" t="s">
        <v>7</v>
      </c>
      <c r="P331">
        <f t="shared" si="969"/>
        <v>0.77777777777777912</v>
      </c>
      <c r="Q331">
        <f t="shared" si="970"/>
        <v>8675069.8066666815</v>
      </c>
      <c r="R331">
        <f t="shared" si="971"/>
        <v>-45586554.031696402</v>
      </c>
      <c r="S331">
        <f t="shared" si="972"/>
        <v>-455.86554031696403</v>
      </c>
      <c r="T331">
        <f t="shared" si="973"/>
        <v>-0.45586554031696402</v>
      </c>
    </row>
    <row r="332" spans="1:20" x14ac:dyDescent="0.25">
      <c r="A332" s="5">
        <v>44261</v>
      </c>
      <c r="B332">
        <v>1.3420000000000001</v>
      </c>
      <c r="C332">
        <v>1.4133</v>
      </c>
      <c r="D332">
        <v>1.3148</v>
      </c>
      <c r="E332">
        <v>1.3703000000000001</v>
      </c>
      <c r="F332">
        <v>9052314.0700000003</v>
      </c>
      <c r="G332">
        <v>0</v>
      </c>
      <c r="L332" t="s">
        <v>8</v>
      </c>
      <c r="M332" t="s">
        <v>8</v>
      </c>
      <c r="N332" t="s">
        <v>7</v>
      </c>
      <c r="P332">
        <f t="shared" si="969"/>
        <v>0.12690355329949415</v>
      </c>
      <c r="Q332">
        <f t="shared" si="970"/>
        <v>1148770.8210660059</v>
      </c>
      <c r="R332">
        <f t="shared" si="971"/>
        <v>-54261623.838363081</v>
      </c>
      <c r="S332">
        <f t="shared" si="972"/>
        <v>-542.61623838363084</v>
      </c>
      <c r="T332">
        <f t="shared" si="973"/>
        <v>-0.54261623838363082</v>
      </c>
    </row>
    <row r="333" spans="1:20" x14ac:dyDescent="0.25">
      <c r="A333" s="5">
        <v>44260</v>
      </c>
      <c r="B333">
        <v>1.3728</v>
      </c>
      <c r="C333">
        <v>1.3948</v>
      </c>
      <c r="D333">
        <v>1.2885</v>
      </c>
      <c r="E333">
        <v>1.3389</v>
      </c>
      <c r="F333">
        <v>9025651.4100000001</v>
      </c>
      <c r="G333">
        <v>0</v>
      </c>
      <c r="L333" t="s">
        <v>7</v>
      </c>
      <c r="M333" t="s">
        <v>8</v>
      </c>
      <c r="N333" t="s">
        <v>7</v>
      </c>
      <c r="P333">
        <f t="shared" si="969"/>
        <v>-5.1740357478834029E-2</v>
      </c>
      <c r="Q333">
        <f t="shared" si="970"/>
        <v>-466990.4304327424</v>
      </c>
      <c r="R333">
        <f t="shared" si="971"/>
        <v>-55410394.659429088</v>
      </c>
      <c r="S333">
        <f t="shared" si="972"/>
        <v>-554.10394659429085</v>
      </c>
      <c r="T333">
        <f t="shared" si="973"/>
        <v>-0.55410394659429085</v>
      </c>
    </row>
    <row r="334" spans="1:20" x14ac:dyDescent="0.25">
      <c r="A334" s="5">
        <v>44259</v>
      </c>
      <c r="B334">
        <v>1.4642999999999999</v>
      </c>
      <c r="C334">
        <v>1.4981</v>
      </c>
      <c r="D334">
        <v>1.3534999999999999</v>
      </c>
      <c r="E334">
        <v>1.3724000000000001</v>
      </c>
      <c r="F334">
        <v>10866813.65</v>
      </c>
      <c r="G334">
        <v>0</v>
      </c>
      <c r="L334" t="s">
        <v>7</v>
      </c>
      <c r="M334" t="s">
        <v>8</v>
      </c>
      <c r="N334" t="s">
        <v>7</v>
      </c>
      <c r="P334">
        <f t="shared" si="969"/>
        <v>-0.73858921161825541</v>
      </c>
      <c r="Q334">
        <f t="shared" si="970"/>
        <v>-8026111.3265559971</v>
      </c>
      <c r="R334">
        <f t="shared" si="971"/>
        <v>-54943404.228996344</v>
      </c>
      <c r="S334">
        <f t="shared" si="972"/>
        <v>-549.43404228996349</v>
      </c>
      <c r="T334">
        <f t="shared" si="973"/>
        <v>-0.54943404228996351</v>
      </c>
    </row>
    <row r="335" spans="1:20" x14ac:dyDescent="0.25">
      <c r="A335" s="5">
        <v>44258</v>
      </c>
      <c r="B335">
        <v>1.3613999999999999</v>
      </c>
      <c r="C335">
        <v>1.5328999999999999</v>
      </c>
      <c r="D335">
        <v>1.3362000000000001</v>
      </c>
      <c r="E335">
        <v>1.4635</v>
      </c>
      <c r="F335">
        <v>14632435.300000001</v>
      </c>
      <c r="G335">
        <v>0</v>
      </c>
      <c r="L335" t="s">
        <v>8</v>
      </c>
      <c r="M335" t="s">
        <v>8</v>
      </c>
      <c r="N335" t="s">
        <v>7</v>
      </c>
      <c r="P335">
        <f t="shared" si="969"/>
        <v>0.29435688866293896</v>
      </c>
      <c r="Q335">
        <f t="shared" si="970"/>
        <v>4307158.1284697577</v>
      </c>
      <c r="R335">
        <f t="shared" si="971"/>
        <v>-46917292.902440347</v>
      </c>
      <c r="S335">
        <f t="shared" si="972"/>
        <v>-469.17292902440346</v>
      </c>
      <c r="T335">
        <f t="shared" si="973"/>
        <v>-0.46917292902440344</v>
      </c>
    </row>
    <row r="336" spans="1:20" x14ac:dyDescent="0.25">
      <c r="A336" s="5">
        <v>44257</v>
      </c>
      <c r="B336">
        <v>1.3576999999999999</v>
      </c>
      <c r="C336">
        <v>1.4307000000000001</v>
      </c>
      <c r="D336">
        <v>1.2811999999999999</v>
      </c>
      <c r="E336">
        <v>1.3616999999999999</v>
      </c>
      <c r="F336">
        <v>15922841.18</v>
      </c>
      <c r="G336">
        <v>0</v>
      </c>
      <c r="L336" t="s">
        <v>8</v>
      </c>
      <c r="M336" t="s">
        <v>8</v>
      </c>
      <c r="N336" t="s">
        <v>7</v>
      </c>
      <c r="P336">
        <f t="shared" si="969"/>
        <v>7.6923076923075775E-2</v>
      </c>
      <c r="Q336">
        <f t="shared" si="970"/>
        <v>1224833.9369230587</v>
      </c>
      <c r="R336">
        <f t="shared" si="971"/>
        <v>-51224451.030910105</v>
      </c>
      <c r="S336">
        <f t="shared" si="972"/>
        <v>-512.24451030910109</v>
      </c>
      <c r="T336">
        <f t="shared" si="973"/>
        <v>-0.51224451030910112</v>
      </c>
    </row>
    <row r="337" spans="1:20" x14ac:dyDescent="0.25">
      <c r="A337" s="5">
        <v>44256</v>
      </c>
      <c r="B337">
        <v>1.2097</v>
      </c>
      <c r="C337">
        <v>1.3842000000000001</v>
      </c>
      <c r="D337">
        <v>1.2011000000000001</v>
      </c>
      <c r="E337">
        <v>1.3565</v>
      </c>
      <c r="F337">
        <v>13881120.449999999</v>
      </c>
      <c r="G337">
        <v>0</v>
      </c>
      <c r="L337" t="s">
        <v>8</v>
      </c>
      <c r="M337" t="s">
        <v>8</v>
      </c>
      <c r="N337" t="s">
        <v>7</v>
      </c>
      <c r="P337">
        <f t="shared" si="969"/>
        <v>0.69743309666848663</v>
      </c>
      <c r="Q337">
        <f t="shared" si="970"/>
        <v>9681152.8206717558</v>
      </c>
      <c r="R337">
        <f t="shared" si="971"/>
        <v>-52449284.967833161</v>
      </c>
      <c r="S337">
        <f t="shared" si="972"/>
        <v>-524.49284967833159</v>
      </c>
      <c r="T337">
        <f t="shared" si="973"/>
        <v>-0.52449284967833154</v>
      </c>
    </row>
    <row r="338" spans="1:20" x14ac:dyDescent="0.25">
      <c r="A338" s="5">
        <v>44255</v>
      </c>
      <c r="B338">
        <v>1.3329</v>
      </c>
      <c r="C338">
        <v>1.3448</v>
      </c>
      <c r="D338">
        <v>1.1324000000000001</v>
      </c>
      <c r="E338">
        <v>1.2115</v>
      </c>
      <c r="F338">
        <v>11376635.640000001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-0.25517890772128082</v>
      </c>
      <c r="Q338">
        <f t="shared" si="970"/>
        <v>-2903077.4561581947</v>
      </c>
      <c r="R338">
        <f t="shared" si="971"/>
        <v>-62130437.788504913</v>
      </c>
      <c r="S338">
        <f t="shared" si="972"/>
        <v>-621.30437788504912</v>
      </c>
      <c r="T338">
        <f t="shared" si="973"/>
        <v>-0.62130437788504911</v>
      </c>
    </row>
    <row r="339" spans="1:20" x14ac:dyDescent="0.25">
      <c r="A339" s="5">
        <v>44254</v>
      </c>
      <c r="B339">
        <v>1.3191999999999999</v>
      </c>
      <c r="C339">
        <v>1.399</v>
      </c>
      <c r="D339">
        <v>1.29</v>
      </c>
      <c r="E339">
        <v>1.3328</v>
      </c>
      <c r="F339">
        <v>10966602.85</v>
      </c>
      <c r="G339">
        <v>0</v>
      </c>
      <c r="L339" t="s">
        <v>8</v>
      </c>
      <c r="M339" t="s">
        <v>7</v>
      </c>
      <c r="N339" t="s">
        <v>8</v>
      </c>
      <c r="P339">
        <f t="shared" si="969"/>
        <v>-0.21467889908256962</v>
      </c>
      <c r="Q339">
        <f t="shared" si="970"/>
        <v>-2354298.2265137704</v>
      </c>
      <c r="R339">
        <f t="shared" si="971"/>
        <v>-59227360.332346722</v>
      </c>
      <c r="S339">
        <f t="shared" si="972"/>
        <v>-592.27360332346723</v>
      </c>
      <c r="T339">
        <f t="shared" si="973"/>
        <v>-0.59227360332346723</v>
      </c>
    </row>
    <row r="340" spans="1:20" x14ac:dyDescent="0.25">
      <c r="A340" s="5">
        <v>44253</v>
      </c>
      <c r="B340">
        <v>1.3956999999999999</v>
      </c>
      <c r="C340">
        <v>1.4179999999999999</v>
      </c>
      <c r="D340">
        <v>1.2428999999999999</v>
      </c>
      <c r="E340">
        <v>1.3191999999999999</v>
      </c>
      <c r="F340">
        <v>19680677.370000001</v>
      </c>
      <c r="G340">
        <v>0</v>
      </c>
      <c r="L340" t="s">
        <v>7</v>
      </c>
      <c r="M340" t="s">
        <v>7</v>
      </c>
      <c r="N340" t="s">
        <v>8</v>
      </c>
      <c r="P340">
        <f t="shared" si="969"/>
        <v>-0.12849800114220422</v>
      </c>
      <c r="Q340">
        <f t="shared" si="970"/>
        <v>-2528927.7031696127</v>
      </c>
      <c r="R340">
        <f t="shared" si="971"/>
        <v>-56873062.105832949</v>
      </c>
      <c r="S340">
        <f t="shared" si="972"/>
        <v>-568.73062105832946</v>
      </c>
      <c r="T340">
        <f t="shared" si="973"/>
        <v>-0.5687306210583295</v>
      </c>
    </row>
    <row r="341" spans="1:20" x14ac:dyDescent="0.25">
      <c r="A341" s="5">
        <v>44252</v>
      </c>
      <c r="B341">
        <v>1.5267999999999999</v>
      </c>
      <c r="C341">
        <v>1.5874999999999999</v>
      </c>
      <c r="D341">
        <v>1.3744000000000001</v>
      </c>
      <c r="E341">
        <v>1.3958999999999999</v>
      </c>
      <c r="F341">
        <v>15949655.66</v>
      </c>
      <c r="G341">
        <v>0</v>
      </c>
      <c r="L341" t="s">
        <v>7</v>
      </c>
      <c r="M341" t="s">
        <v>7</v>
      </c>
      <c r="N341" t="s">
        <v>8</v>
      </c>
      <c r="P341">
        <f t="shared" si="969"/>
        <v>-0.79821679962459058</v>
      </c>
      <c r="Q341">
        <f t="shared" si="970"/>
        <v>-12731283.096039437</v>
      </c>
      <c r="R341">
        <f t="shared" si="971"/>
        <v>-54344134.402663335</v>
      </c>
      <c r="S341">
        <f t="shared" si="972"/>
        <v>-543.44134402663337</v>
      </c>
      <c r="T341">
        <f t="shared" si="973"/>
        <v>-0.54344134402663336</v>
      </c>
    </row>
    <row r="342" spans="1:20" x14ac:dyDescent="0.25">
      <c r="A342" s="5">
        <v>44251</v>
      </c>
      <c r="B342">
        <v>1.5780000000000001</v>
      </c>
      <c r="C342">
        <v>1.6695</v>
      </c>
      <c r="D342">
        <v>1.421</v>
      </c>
      <c r="E342">
        <v>1.5266999999999999</v>
      </c>
      <c r="F342">
        <v>26215456.350000001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-0.1492957746478879</v>
      </c>
      <c r="Q342">
        <f t="shared" si="970"/>
        <v>-3913856.8635211419</v>
      </c>
      <c r="R342">
        <f t="shared" si="971"/>
        <v>-41612851.306623898</v>
      </c>
      <c r="S342">
        <f t="shared" si="972"/>
        <v>-416.12851306623901</v>
      </c>
      <c r="T342">
        <f t="shared" si="973"/>
        <v>-0.41612851306623899</v>
      </c>
    </row>
    <row r="343" spans="1:20" x14ac:dyDescent="0.25">
      <c r="A343" s="5">
        <v>44250</v>
      </c>
      <c r="B343">
        <v>1.5633999999999999</v>
      </c>
      <c r="C343">
        <v>1.9198999999999999</v>
      </c>
      <c r="D343">
        <v>1.1919999999999999</v>
      </c>
      <c r="E343">
        <v>1.5769</v>
      </c>
      <c r="F343">
        <v>67043833.579999998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5.7562852040115464E-2</v>
      </c>
      <c r="Q343">
        <f t="shared" si="970"/>
        <v>3859234.2725676647</v>
      </c>
      <c r="R343">
        <f t="shared" si="971"/>
        <v>-37698994.443102755</v>
      </c>
      <c r="S343">
        <f t="shared" si="972"/>
        <v>-376.98994443102754</v>
      </c>
      <c r="T343">
        <f t="shared" si="973"/>
        <v>-0.37698994443102751</v>
      </c>
    </row>
    <row r="344" spans="1:20" x14ac:dyDescent="0.25">
      <c r="A344" s="5">
        <v>44249</v>
      </c>
      <c r="B344">
        <v>1.7249000000000001</v>
      </c>
      <c r="C344">
        <v>1.9218</v>
      </c>
      <c r="D344">
        <v>1.2929999999999999</v>
      </c>
      <c r="E344">
        <v>1.5629999999999999</v>
      </c>
      <c r="F344">
        <v>45379777.159999996</v>
      </c>
      <c r="G344">
        <v>0</v>
      </c>
      <c r="L344" t="s">
        <v>8</v>
      </c>
      <c r="M344" t="s">
        <v>8</v>
      </c>
      <c r="N344" t="s">
        <v>7</v>
      </c>
      <c r="P344">
        <f t="shared" si="969"/>
        <v>-0.14122137404580151</v>
      </c>
      <c r="Q344">
        <f t="shared" si="970"/>
        <v>-6408594.48442748</v>
      </c>
      <c r="R344">
        <f t="shared" si="971"/>
        <v>-41558228.715670422</v>
      </c>
      <c r="S344">
        <f t="shared" si="972"/>
        <v>-415.58228715670424</v>
      </c>
      <c r="T344">
        <f t="shared" si="973"/>
        <v>-0.41558228715670426</v>
      </c>
    </row>
    <row r="345" spans="1:20" x14ac:dyDescent="0.25">
      <c r="A345" s="5">
        <v>44248</v>
      </c>
      <c r="B345">
        <v>1.5286</v>
      </c>
      <c r="C345">
        <v>1.7549999999999999</v>
      </c>
      <c r="D345">
        <v>1.4870000000000001</v>
      </c>
      <c r="E345">
        <v>1.7232000000000001</v>
      </c>
      <c r="F345">
        <v>16805545.23</v>
      </c>
      <c r="G345">
        <v>0</v>
      </c>
      <c r="L345" t="s">
        <v>8</v>
      </c>
      <c r="M345" t="s">
        <v>8</v>
      </c>
      <c r="N345" t="s">
        <v>7</v>
      </c>
      <c r="P345">
        <f t="shared" si="969"/>
        <v>0.76268656716418015</v>
      </c>
      <c r="Q345">
        <f t="shared" si="970"/>
        <v>12817363.600791063</v>
      </c>
      <c r="R345">
        <f t="shared" si="971"/>
        <v>-35149634.23124294</v>
      </c>
      <c r="S345">
        <f t="shared" si="972"/>
        <v>-351.49634231242942</v>
      </c>
      <c r="T345">
        <f t="shared" si="973"/>
        <v>-0.35149634231242943</v>
      </c>
    </row>
    <row r="346" spans="1:20" x14ac:dyDescent="0.25">
      <c r="A346" s="5">
        <v>44247</v>
      </c>
      <c r="B346">
        <v>1.56</v>
      </c>
      <c r="C346">
        <v>1.6976</v>
      </c>
      <c r="D346">
        <v>1.4531000000000001</v>
      </c>
      <c r="E346">
        <v>1.5306</v>
      </c>
      <c r="F346">
        <v>18977701.719999999</v>
      </c>
      <c r="G346">
        <v>0</v>
      </c>
      <c r="L346" t="s">
        <v>7</v>
      </c>
      <c r="M346" t="s">
        <v>7</v>
      </c>
      <c r="N346" t="s">
        <v>7</v>
      </c>
      <c r="P346">
        <f t="shared" si="969"/>
        <v>-0.36605316973415197</v>
      </c>
      <c r="Q346">
        <f t="shared" si="970"/>
        <v>-6946847.868875267</v>
      </c>
      <c r="R346">
        <f t="shared" si="971"/>
        <v>-47966997.832033999</v>
      </c>
      <c r="S346">
        <f t="shared" si="972"/>
        <v>-479.66997832033996</v>
      </c>
      <c r="T346">
        <f t="shared" si="973"/>
        <v>-0.47966997832033997</v>
      </c>
    </row>
    <row r="347" spans="1:20" x14ac:dyDescent="0.25">
      <c r="A347" s="5">
        <v>44246</v>
      </c>
      <c r="B347">
        <v>1.611</v>
      </c>
      <c r="C347">
        <v>1.6368</v>
      </c>
      <c r="D347">
        <v>1.5061</v>
      </c>
      <c r="E347">
        <v>1.5593999999999999</v>
      </c>
      <c r="F347">
        <v>10762910.48</v>
      </c>
      <c r="G347">
        <v>0</v>
      </c>
      <c r="L347" t="s">
        <v>7</v>
      </c>
      <c r="M347" t="s">
        <v>7</v>
      </c>
      <c r="N347" t="s">
        <v>7</v>
      </c>
      <c r="P347">
        <f t="shared" si="969"/>
        <v>-0.18439173680183799</v>
      </c>
      <c r="Q347">
        <f t="shared" si="970"/>
        <v>-1984591.7564499038</v>
      </c>
      <c r="R347">
        <f t="shared" si="971"/>
        <v>-41020149.963158734</v>
      </c>
      <c r="S347">
        <f t="shared" si="972"/>
        <v>-410.20149963158735</v>
      </c>
      <c r="T347">
        <f t="shared" si="973"/>
        <v>-0.41020149963158736</v>
      </c>
    </row>
    <row r="348" spans="1:20" x14ac:dyDescent="0.25">
      <c r="A348" s="5">
        <v>44245</v>
      </c>
      <c r="B348">
        <v>1.5658000000000001</v>
      </c>
      <c r="C348">
        <v>1.6349</v>
      </c>
      <c r="D348">
        <v>1.5153000000000001</v>
      </c>
      <c r="E348">
        <v>1.6107</v>
      </c>
      <c r="F348">
        <v>10799046.59</v>
      </c>
      <c r="G348">
        <v>0</v>
      </c>
      <c r="L348" t="s">
        <v>8</v>
      </c>
      <c r="M348" t="s">
        <v>7</v>
      </c>
      <c r="N348" t="s">
        <v>7</v>
      </c>
      <c r="P348">
        <f t="shared" si="969"/>
        <v>0.59531772575250819</v>
      </c>
      <c r="Q348">
        <f t="shared" si="970"/>
        <v>6428863.856254179</v>
      </c>
      <c r="R348">
        <f t="shared" si="971"/>
        <v>-39035558.206708834</v>
      </c>
      <c r="S348">
        <f t="shared" si="972"/>
        <v>-390.35558206708833</v>
      </c>
      <c r="T348">
        <f t="shared" si="973"/>
        <v>-0.39035558206708831</v>
      </c>
    </row>
    <row r="349" spans="1:20" x14ac:dyDescent="0.25">
      <c r="A349" s="5">
        <v>44244</v>
      </c>
      <c r="B349">
        <v>1.587</v>
      </c>
      <c r="C349">
        <v>1.6023000000000001</v>
      </c>
      <c r="D349">
        <v>1.419</v>
      </c>
      <c r="E349">
        <v>1.5649</v>
      </c>
      <c r="F349">
        <v>16671990.02</v>
      </c>
      <c r="G349">
        <v>0</v>
      </c>
      <c r="L349" t="s">
        <v>7</v>
      </c>
      <c r="M349" t="s">
        <v>7</v>
      </c>
      <c r="N349" t="s">
        <v>7</v>
      </c>
      <c r="P349">
        <f t="shared" si="969"/>
        <v>0.59192580469176104</v>
      </c>
      <c r="Q349">
        <f t="shared" si="970"/>
        <v>9868581.108401509</v>
      </c>
      <c r="R349">
        <f t="shared" si="971"/>
        <v>-45464422.062963016</v>
      </c>
      <c r="S349">
        <f t="shared" si="972"/>
        <v>-454.64422062963018</v>
      </c>
      <c r="T349">
        <f t="shared" si="973"/>
        <v>-0.45464422062963017</v>
      </c>
    </row>
    <row r="350" spans="1:20" x14ac:dyDescent="0.25">
      <c r="A350" s="5">
        <v>44243</v>
      </c>
      <c r="B350">
        <v>1.6194</v>
      </c>
      <c r="C350">
        <v>1.7118</v>
      </c>
      <c r="D350">
        <v>1.5006999999999999</v>
      </c>
      <c r="E350">
        <v>1.5848</v>
      </c>
      <c r="F350">
        <v>15202625.83</v>
      </c>
      <c r="G350">
        <v>0</v>
      </c>
      <c r="L350" t="s">
        <v>8</v>
      </c>
      <c r="M350" t="s">
        <v>8</v>
      </c>
      <c r="N350" t="s">
        <v>7</v>
      </c>
      <c r="P350">
        <f t="shared" si="969"/>
        <v>-0.20322122216958752</v>
      </c>
      <c r="Q350">
        <f t="shared" si="970"/>
        <v>-3089496.2013595398</v>
      </c>
      <c r="R350">
        <f t="shared" si="971"/>
        <v>-55333003.171364523</v>
      </c>
      <c r="S350">
        <f t="shared" si="972"/>
        <v>-553.33003171364521</v>
      </c>
      <c r="T350">
        <f t="shared" si="973"/>
        <v>-0.55333003171364525</v>
      </c>
    </row>
    <row r="351" spans="1:20" x14ac:dyDescent="0.25">
      <c r="A351" s="5">
        <v>44242</v>
      </c>
      <c r="B351">
        <v>1.792</v>
      </c>
      <c r="C351">
        <v>1.8179000000000001</v>
      </c>
      <c r="D351">
        <v>1.4101999999999999</v>
      </c>
      <c r="E351">
        <v>1.6186</v>
      </c>
      <c r="F351">
        <v>17803115.960000001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2.2320333578611979E-2</v>
      </c>
      <c r="Q351">
        <f t="shared" si="970"/>
        <v>397371.48696591088</v>
      </c>
      <c r="R351">
        <f t="shared" si="971"/>
        <v>-52243506.970004983</v>
      </c>
      <c r="S351">
        <f t="shared" si="972"/>
        <v>-522.43506970004978</v>
      </c>
      <c r="T351">
        <f t="shared" si="973"/>
        <v>-0.52243506970004983</v>
      </c>
    </row>
    <row r="352" spans="1:20" x14ac:dyDescent="0.25">
      <c r="A352" s="5">
        <v>44241</v>
      </c>
      <c r="B352">
        <v>1.8912</v>
      </c>
      <c r="C352">
        <v>2.0099999999999998</v>
      </c>
      <c r="D352">
        <v>1.6738999999999999</v>
      </c>
      <c r="E352">
        <v>1.7951999999999999</v>
      </c>
      <c r="F352">
        <v>26077127.629999999</v>
      </c>
      <c r="G352">
        <v>0</v>
      </c>
      <c r="L352" t="s">
        <v>8</v>
      </c>
      <c r="M352" t="s">
        <v>8</v>
      </c>
      <c r="N352" t="s">
        <v>8</v>
      </c>
      <c r="P352">
        <f t="shared" si="969"/>
        <v>-0.27819101457899426</v>
      </c>
      <c r="Q352">
        <f t="shared" si="970"/>
        <v>-7254422.5926956236</v>
      </c>
      <c r="R352">
        <f t="shared" si="971"/>
        <v>-52640878.456970893</v>
      </c>
      <c r="S352">
        <f t="shared" si="972"/>
        <v>-526.40878456970893</v>
      </c>
      <c r="T352">
        <f t="shared" si="973"/>
        <v>-0.52640878456970897</v>
      </c>
    </row>
    <row r="353" spans="1:20" x14ac:dyDescent="0.25">
      <c r="A353" s="5">
        <v>44240</v>
      </c>
      <c r="B353">
        <v>1.8052999999999999</v>
      </c>
      <c r="C353">
        <v>1.9308000000000001</v>
      </c>
      <c r="D353">
        <v>1.6467000000000001</v>
      </c>
      <c r="E353">
        <v>1.8912</v>
      </c>
      <c r="F353">
        <v>21947386.030000001</v>
      </c>
      <c r="G353">
        <v>0</v>
      </c>
      <c r="L353" t="s">
        <v>7</v>
      </c>
      <c r="M353" t="s">
        <v>7</v>
      </c>
      <c r="N353" t="s">
        <v>8</v>
      </c>
      <c r="P353">
        <f t="shared" si="969"/>
        <v>0.72122492080253375</v>
      </c>
      <c r="Q353">
        <f t="shared" si="970"/>
        <v>15829001.751309387</v>
      </c>
      <c r="R353">
        <f t="shared" si="971"/>
        <v>-45386455.864275269</v>
      </c>
      <c r="S353">
        <f t="shared" si="972"/>
        <v>-453.86455864275268</v>
      </c>
      <c r="T353">
        <f t="shared" si="973"/>
        <v>-0.45386455864275266</v>
      </c>
    </row>
    <row r="354" spans="1:20" x14ac:dyDescent="0.25">
      <c r="A354" s="5">
        <v>44239</v>
      </c>
      <c r="B354">
        <v>1.7682</v>
      </c>
      <c r="C354">
        <v>2.036</v>
      </c>
      <c r="D354">
        <v>1.7070000000000001</v>
      </c>
      <c r="E354">
        <v>1.8037000000000001</v>
      </c>
      <c r="F354">
        <v>44450505.189999998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-0.41215805471124606</v>
      </c>
      <c r="Q354">
        <f t="shared" si="970"/>
        <v>-18320633.750042547</v>
      </c>
      <c r="R354">
        <f t="shared" si="971"/>
        <v>-61215457.615584657</v>
      </c>
      <c r="S354">
        <f t="shared" si="972"/>
        <v>-612.1545761558466</v>
      </c>
      <c r="T354">
        <f t="shared" si="973"/>
        <v>-0.61215457615584656</v>
      </c>
    </row>
    <row r="355" spans="1:20" x14ac:dyDescent="0.25">
      <c r="A355" s="5">
        <v>44238</v>
      </c>
      <c r="B355">
        <v>1.5003</v>
      </c>
      <c r="C355">
        <v>1.8341000000000001</v>
      </c>
      <c r="D355">
        <v>1.4587000000000001</v>
      </c>
      <c r="E355">
        <v>1.7619</v>
      </c>
      <c r="F355">
        <v>40933698.75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0.61534363345764487</v>
      </c>
      <c r="Q355">
        <f t="shared" si="970"/>
        <v>25188290.919685654</v>
      </c>
      <c r="R355">
        <f t="shared" si="971"/>
        <v>-42894823.865542106</v>
      </c>
      <c r="S355">
        <f t="shared" si="972"/>
        <v>-428.94823865542105</v>
      </c>
      <c r="T355">
        <f t="shared" si="973"/>
        <v>-0.42894823865542103</v>
      </c>
    </row>
    <row r="356" spans="1:20" x14ac:dyDescent="0.25">
      <c r="A356" s="5">
        <v>44237</v>
      </c>
      <c r="B356">
        <v>1.5103</v>
      </c>
      <c r="C356">
        <v>1.645</v>
      </c>
      <c r="D356">
        <v>1.3613</v>
      </c>
      <c r="E356">
        <v>1.4998</v>
      </c>
      <c r="F356">
        <v>39147499.850000001</v>
      </c>
      <c r="G356">
        <v>0</v>
      </c>
      <c r="L356" t="s">
        <v>7</v>
      </c>
      <c r="M356" t="s">
        <v>7</v>
      </c>
      <c r="N356" t="s">
        <v>7</v>
      </c>
      <c r="P356">
        <f t="shared" si="969"/>
        <v>-2.3616496298907039E-2</v>
      </c>
      <c r="Q356">
        <f t="shared" si="970"/>
        <v>-924526.78531898884</v>
      </c>
      <c r="R356">
        <f t="shared" si="971"/>
        <v>-68083114.785227761</v>
      </c>
      <c r="S356">
        <f t="shared" si="972"/>
        <v>-680.83114785227758</v>
      </c>
      <c r="T356">
        <f t="shared" si="973"/>
        <v>-0.68083114785227761</v>
      </c>
    </row>
    <row r="357" spans="1:20" x14ac:dyDescent="0.25">
      <c r="A357" s="5">
        <v>44236</v>
      </c>
      <c r="B357">
        <v>1.4699</v>
      </c>
      <c r="C357">
        <v>1.5851999999999999</v>
      </c>
      <c r="D357">
        <v>1.4257</v>
      </c>
      <c r="E357">
        <v>1.5111000000000001</v>
      </c>
      <c r="F357">
        <v>34095902.390000001</v>
      </c>
      <c r="G357">
        <v>0</v>
      </c>
      <c r="L357" t="s">
        <v>7</v>
      </c>
      <c r="M357" t="s">
        <v>8</v>
      </c>
      <c r="N357" t="s">
        <v>7</v>
      </c>
      <c r="P357">
        <f t="shared" si="969"/>
        <v>7.0846394984327973E-2</v>
      </c>
      <c r="Q357">
        <f t="shared" si="970"/>
        <v>2415571.7680690321</v>
      </c>
      <c r="R357">
        <f t="shared" si="971"/>
        <v>-67158587.999908775</v>
      </c>
      <c r="S357">
        <f t="shared" si="972"/>
        <v>-671.58587999908775</v>
      </c>
      <c r="T357">
        <f t="shared" si="973"/>
        <v>-0.6715858799990877</v>
      </c>
    </row>
    <row r="358" spans="1:20" x14ac:dyDescent="0.25">
      <c r="A358" s="5">
        <v>44235</v>
      </c>
      <c r="B358">
        <v>1.4104000000000001</v>
      </c>
      <c r="C358">
        <v>1.6659999999999999</v>
      </c>
      <c r="D358">
        <v>1.4016</v>
      </c>
      <c r="E358">
        <v>1.4689000000000001</v>
      </c>
      <c r="F358">
        <v>53489021.310000002</v>
      </c>
      <c r="G358">
        <v>0</v>
      </c>
      <c r="L358" t="s">
        <v>8</v>
      </c>
      <c r="M358" t="s">
        <v>8</v>
      </c>
      <c r="N358" t="s">
        <v>7</v>
      </c>
      <c r="P358">
        <f t="shared" si="969"/>
        <v>-0.49092284417549059</v>
      </c>
      <c r="Q358">
        <f t="shared" si="970"/>
        <v>-26258982.473668627</v>
      </c>
      <c r="R358">
        <f t="shared" si="971"/>
        <v>-69574159.767977804</v>
      </c>
      <c r="S358">
        <f t="shared" si="972"/>
        <v>-695.74159767977801</v>
      </c>
      <c r="T358">
        <f t="shared" si="973"/>
        <v>-0.69574159767977806</v>
      </c>
    </row>
    <row r="359" spans="1:20" x14ac:dyDescent="0.25">
      <c r="A359" s="5">
        <v>44234</v>
      </c>
      <c r="B359">
        <v>1.4498</v>
      </c>
      <c r="C359">
        <v>1.5008999999999999</v>
      </c>
      <c r="D359">
        <v>1.2561</v>
      </c>
      <c r="E359">
        <v>1.4098999999999999</v>
      </c>
      <c r="F359">
        <v>41181051.640000001</v>
      </c>
      <c r="G359">
        <v>0</v>
      </c>
      <c r="L359" t="s">
        <v>7</v>
      </c>
      <c r="M359" t="s">
        <v>7</v>
      </c>
      <c r="N359" t="s">
        <v>7</v>
      </c>
      <c r="P359">
        <f t="shared" si="969"/>
        <v>0.25653594771241828</v>
      </c>
      <c r="Q359">
        <f t="shared" si="970"/>
        <v>10564420.110261437</v>
      </c>
      <c r="R359">
        <f t="shared" si="971"/>
        <v>-43315177.294309169</v>
      </c>
      <c r="S359">
        <f t="shared" si="972"/>
        <v>-433.15177294309171</v>
      </c>
      <c r="T359">
        <f t="shared" si="973"/>
        <v>-0.43315177294309171</v>
      </c>
    </row>
    <row r="360" spans="1:20" x14ac:dyDescent="0.25">
      <c r="A360" s="5">
        <v>44233</v>
      </c>
      <c r="B360">
        <v>1.5914999999999999</v>
      </c>
      <c r="C360">
        <v>1.6739999999999999</v>
      </c>
      <c r="D360">
        <v>1.3443000000000001</v>
      </c>
      <c r="E360">
        <v>1.4509000000000001</v>
      </c>
      <c r="F360">
        <v>84263759.200000003</v>
      </c>
      <c r="G360">
        <v>0</v>
      </c>
      <c r="L360" t="s">
        <v>7</v>
      </c>
      <c r="M360" t="s">
        <v>7</v>
      </c>
      <c r="N360" t="s">
        <v>7</v>
      </c>
      <c r="P360">
        <f t="shared" si="969"/>
        <v>-0.35335153169548034</v>
      </c>
      <c r="Q360">
        <f t="shared" si="970"/>
        <v>-29774728.379739124</v>
      </c>
      <c r="R360">
        <f t="shared" si="971"/>
        <v>-53879597.404570609</v>
      </c>
      <c r="S360">
        <f t="shared" si="972"/>
        <v>-538.79597404570609</v>
      </c>
      <c r="T360">
        <f t="shared" si="973"/>
        <v>-0.53879597404570612</v>
      </c>
    </row>
    <row r="361" spans="1:20" x14ac:dyDescent="0.25">
      <c r="A361" s="5">
        <v>44232</v>
      </c>
      <c r="B361">
        <v>1.0339</v>
      </c>
      <c r="C361">
        <v>1.99</v>
      </c>
      <c r="D361">
        <v>1.0011000000000001</v>
      </c>
      <c r="E361">
        <v>1.5939000000000001</v>
      </c>
      <c r="F361">
        <v>254227778.03999999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0.19890787743957944</v>
      </c>
      <c r="Q361">
        <f t="shared" si="970"/>
        <v>50567907.71611692</v>
      </c>
      <c r="R361">
        <f t="shared" si="971"/>
        <v>-24104869.024831489</v>
      </c>
      <c r="S361">
        <f t="shared" si="972"/>
        <v>-241.0486902483149</v>
      </c>
      <c r="T361">
        <f t="shared" si="973"/>
        <v>-0.24104869024831491</v>
      </c>
    </row>
    <row r="362" spans="1:20" x14ac:dyDescent="0.25">
      <c r="A362" s="5">
        <v>44231</v>
      </c>
      <c r="B362">
        <v>0.76690000000000003</v>
      </c>
      <c r="C362">
        <v>1.1653</v>
      </c>
      <c r="D362">
        <v>0.71609999999999996</v>
      </c>
      <c r="E362">
        <v>1.0350999999999999</v>
      </c>
      <c r="F362">
        <v>96942843.120000005</v>
      </c>
      <c r="G362">
        <v>0</v>
      </c>
      <c r="L362" t="s">
        <v>8</v>
      </c>
      <c r="M362" t="s">
        <v>8</v>
      </c>
      <c r="N362" t="s">
        <v>8</v>
      </c>
      <c r="P362">
        <f t="shared" si="969"/>
        <v>0.42030276046304504</v>
      </c>
      <c r="Q362">
        <f t="shared" si="970"/>
        <v>40745344.570471913</v>
      </c>
      <c r="R362">
        <f t="shared" si="971"/>
        <v>-74672776.740948409</v>
      </c>
      <c r="S362">
        <f t="shared" si="972"/>
        <v>-746.72776740948404</v>
      </c>
      <c r="T362">
        <f t="shared" si="973"/>
        <v>-0.7467277674094841</v>
      </c>
    </row>
    <row r="363" spans="1:20" x14ac:dyDescent="0.25">
      <c r="A363" s="5">
        <v>44230</v>
      </c>
      <c r="B363">
        <v>0.68359999999999999</v>
      </c>
      <c r="C363">
        <v>0.77</v>
      </c>
      <c r="D363">
        <v>0.67049999999999998</v>
      </c>
      <c r="E363">
        <v>0.76580000000000004</v>
      </c>
      <c r="F363">
        <v>14047805.880000001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0.91557788944723661</v>
      </c>
      <c r="Q363">
        <f t="shared" si="970"/>
        <v>12861860.458974881</v>
      </c>
      <c r="R363">
        <f t="shared" si="971"/>
        <v>-115418121.31142032</v>
      </c>
      <c r="S363">
        <f t="shared" si="972"/>
        <v>-1154.1812131142033</v>
      </c>
      <c r="T363">
        <f t="shared" si="973"/>
        <v>-1.1541812131142033</v>
      </c>
    </row>
    <row r="364" spans="1:20" x14ac:dyDescent="0.25">
      <c r="A364" s="5">
        <v>44229</v>
      </c>
      <c r="B364">
        <v>0.6865</v>
      </c>
      <c r="C364">
        <v>0.69310000000000005</v>
      </c>
      <c r="D364">
        <v>0.65810000000000002</v>
      </c>
      <c r="E364">
        <v>0.68369999999999997</v>
      </c>
      <c r="F364">
        <v>9078010.5800000001</v>
      </c>
      <c r="G364">
        <v>0</v>
      </c>
      <c r="L364" t="s">
        <v>8</v>
      </c>
      <c r="M364" t="s">
        <v>7</v>
      </c>
      <c r="N364" t="s">
        <v>8</v>
      </c>
      <c r="P364">
        <f t="shared" si="969"/>
        <v>0.46285714285713903</v>
      </c>
      <c r="Q364">
        <f t="shared" si="970"/>
        <v>4201822.0398856793</v>
      </c>
      <c r="R364">
        <f t="shared" si="971"/>
        <v>-128279981.7703952</v>
      </c>
      <c r="S364">
        <f t="shared" si="972"/>
        <v>-1282.7998177039522</v>
      </c>
      <c r="T364">
        <f t="shared" si="973"/>
        <v>-1.2827998177039521</v>
      </c>
    </row>
    <row r="365" spans="1:20" x14ac:dyDescent="0.25">
      <c r="A365" s="5">
        <v>44228</v>
      </c>
      <c r="B365">
        <v>0.70640000000000003</v>
      </c>
      <c r="C365">
        <v>0.70850000000000002</v>
      </c>
      <c r="D365">
        <v>0.64259999999999995</v>
      </c>
      <c r="E365">
        <v>0.6865</v>
      </c>
      <c r="F365">
        <v>13732184.58</v>
      </c>
      <c r="G365">
        <v>0</v>
      </c>
      <c r="L365" t="s">
        <v>7</v>
      </c>
      <c r="M365" t="s">
        <v>7</v>
      </c>
      <c r="N365" t="s">
        <v>8</v>
      </c>
      <c r="P365">
        <f t="shared" si="969"/>
        <v>0.33232169954476493</v>
      </c>
      <c r="Q365">
        <f t="shared" si="970"/>
        <v>4563502.9180880142</v>
      </c>
      <c r="R365">
        <f t="shared" si="971"/>
        <v>-132481803.81028089</v>
      </c>
      <c r="S365">
        <f t="shared" si="972"/>
        <v>-1324.8180381028089</v>
      </c>
      <c r="T365">
        <f t="shared" si="973"/>
        <v>-1.324818038102809</v>
      </c>
    </row>
    <row r="366" spans="1:20" x14ac:dyDescent="0.25">
      <c r="A366" s="5">
        <v>44227</v>
      </c>
      <c r="B366">
        <v>0.65400000000000003</v>
      </c>
      <c r="C366">
        <v>0.8</v>
      </c>
      <c r="D366">
        <v>0.62760000000000005</v>
      </c>
      <c r="E366">
        <v>0.70640000000000003</v>
      </c>
      <c r="F366">
        <v>73429315.739999995</v>
      </c>
      <c r="G366">
        <v>0</v>
      </c>
      <c r="L366" t="s">
        <v>8</v>
      </c>
      <c r="M366" t="s">
        <v>8</v>
      </c>
      <c r="N366" t="s">
        <v>8</v>
      </c>
      <c r="P366">
        <f t="shared" si="969"/>
        <v>-8.5846867749420158E-2</v>
      </c>
      <c r="Q366">
        <f t="shared" si="970"/>
        <v>-6303676.7572621955</v>
      </c>
      <c r="R366">
        <f t="shared" si="971"/>
        <v>-137045306.72836891</v>
      </c>
      <c r="S366">
        <f t="shared" si="972"/>
        <v>-1370.4530672836891</v>
      </c>
      <c r="T366">
        <f t="shared" si="973"/>
        <v>-1.370453067283689</v>
      </c>
    </row>
    <row r="367" spans="1:20" x14ac:dyDescent="0.25">
      <c r="A367" s="5">
        <v>44226</v>
      </c>
      <c r="B367">
        <v>0.60089999999999999</v>
      </c>
      <c r="C367">
        <v>0.65900000000000003</v>
      </c>
      <c r="D367">
        <v>0.57630000000000003</v>
      </c>
      <c r="E367">
        <v>0.6542</v>
      </c>
      <c r="F367">
        <v>15405779.369999999</v>
      </c>
      <c r="G367">
        <v>0</v>
      </c>
      <c r="L367" t="s">
        <v>8</v>
      </c>
      <c r="M367" t="s">
        <v>7</v>
      </c>
      <c r="N367" t="s">
        <v>8</v>
      </c>
      <c r="P367">
        <f t="shared" si="969"/>
        <v>0.88391777509068858</v>
      </c>
      <c r="Q367">
        <f t="shared" si="970"/>
        <v>13617442.224268429</v>
      </c>
      <c r="R367">
        <f t="shared" si="971"/>
        <v>-130741629.97110671</v>
      </c>
      <c r="S367">
        <f t="shared" si="972"/>
        <v>-1307.416299711067</v>
      </c>
      <c r="T367">
        <f t="shared" si="973"/>
        <v>-1.307416299711067</v>
      </c>
    </row>
    <row r="368" spans="1:20" x14ac:dyDescent="0.25">
      <c r="A368" s="5">
        <v>44225</v>
      </c>
      <c r="B368">
        <v>0.60819999999999996</v>
      </c>
      <c r="C368">
        <v>0.62219999999999998</v>
      </c>
      <c r="D368">
        <v>0.57350000000000001</v>
      </c>
      <c r="E368">
        <v>0.60089999999999999</v>
      </c>
      <c r="F368">
        <v>23332853.370000001</v>
      </c>
      <c r="G368">
        <v>0</v>
      </c>
      <c r="L368" t="s">
        <v>7</v>
      </c>
      <c r="M368" t="s">
        <v>7</v>
      </c>
      <c r="N368" t="s">
        <v>8</v>
      </c>
      <c r="P368">
        <f t="shared" si="969"/>
        <v>0.1252566735112936</v>
      </c>
      <c r="Q368">
        <f t="shared" si="970"/>
        <v>2922595.5966529767</v>
      </c>
      <c r="R368">
        <f t="shared" si="971"/>
        <v>-144359072.19537514</v>
      </c>
      <c r="S368">
        <f t="shared" si="972"/>
        <v>-1443.5907219537514</v>
      </c>
      <c r="T368">
        <f t="shared" si="973"/>
        <v>-1.4435907219537514</v>
      </c>
    </row>
    <row r="369" spans="1:20" x14ac:dyDescent="0.25">
      <c r="A369" s="5">
        <v>44224</v>
      </c>
      <c r="B369">
        <v>0.58299999999999996</v>
      </c>
      <c r="C369">
        <v>0.67779999999999996</v>
      </c>
      <c r="D369">
        <v>0.57730000000000004</v>
      </c>
      <c r="E369">
        <v>0.60860000000000003</v>
      </c>
      <c r="F369">
        <v>37949997.5</v>
      </c>
      <c r="G369">
        <v>0</v>
      </c>
      <c r="L369" t="s">
        <v>8</v>
      </c>
      <c r="M369" t="s">
        <v>8</v>
      </c>
      <c r="N369" t="s">
        <v>8</v>
      </c>
      <c r="P369">
        <f t="shared" si="969"/>
        <v>-0.37711442786069616</v>
      </c>
      <c r="Q369">
        <f t="shared" si="970"/>
        <v>-14311491.594527349</v>
      </c>
      <c r="R369">
        <f t="shared" si="971"/>
        <v>-147281667.79202813</v>
      </c>
      <c r="S369">
        <f t="shared" si="972"/>
        <v>-1472.8166779202813</v>
      </c>
      <c r="T369">
        <f t="shared" si="973"/>
        <v>-1.4728166779202814</v>
      </c>
    </row>
    <row r="370" spans="1:20" x14ac:dyDescent="0.25">
      <c r="A370" s="5">
        <v>44223</v>
      </c>
      <c r="B370">
        <v>0.54330000000000001</v>
      </c>
      <c r="C370">
        <v>0.60219999999999996</v>
      </c>
      <c r="D370">
        <v>0.50980000000000003</v>
      </c>
      <c r="E370">
        <v>0.58320000000000005</v>
      </c>
      <c r="F370">
        <v>31509314.030000001</v>
      </c>
      <c r="G370">
        <v>0</v>
      </c>
      <c r="L370" t="s">
        <v>8</v>
      </c>
      <c r="M370" t="s">
        <v>8</v>
      </c>
      <c r="N370" t="s">
        <v>7</v>
      </c>
      <c r="P370">
        <f t="shared" si="969"/>
        <v>0.58874458874459046</v>
      </c>
      <c r="Q370">
        <f t="shared" si="970"/>
        <v>18550938.130216505</v>
      </c>
      <c r="R370">
        <f t="shared" si="971"/>
        <v>-132970176.19750077</v>
      </c>
      <c r="S370">
        <f t="shared" si="972"/>
        <v>-1329.7017619750077</v>
      </c>
      <c r="T370">
        <f t="shared" si="973"/>
        <v>-1.3297017619750078</v>
      </c>
    </row>
    <row r="371" spans="1:20" x14ac:dyDescent="0.25">
      <c r="A371" s="5">
        <v>44222</v>
      </c>
      <c r="B371">
        <v>0.52080000000000004</v>
      </c>
      <c r="C371">
        <v>0.5524</v>
      </c>
      <c r="D371">
        <v>0.49569999999999997</v>
      </c>
      <c r="E371">
        <v>0.54349999999999998</v>
      </c>
      <c r="F371">
        <v>11360815.460000001</v>
      </c>
      <c r="G371">
        <v>0</v>
      </c>
      <c r="L371" t="s">
        <v>7</v>
      </c>
      <c r="M371" t="s">
        <v>8</v>
      </c>
      <c r="N371" t="s">
        <v>7</v>
      </c>
      <c r="P371">
        <f t="shared" si="969"/>
        <v>0.6860670194003522</v>
      </c>
      <c r="Q371">
        <f t="shared" si="970"/>
        <v>7794280.8005996421</v>
      </c>
      <c r="R371">
        <f t="shared" si="971"/>
        <v>-151521114.32771727</v>
      </c>
      <c r="S371">
        <f t="shared" si="972"/>
        <v>-1515.2111432771728</v>
      </c>
      <c r="T371">
        <f t="shared" si="973"/>
        <v>-1.5152111432771729</v>
      </c>
    </row>
    <row r="372" spans="1:20" x14ac:dyDescent="0.25">
      <c r="A372" s="5">
        <v>44221</v>
      </c>
      <c r="B372">
        <v>0.54820000000000002</v>
      </c>
      <c r="C372">
        <v>0.56430000000000002</v>
      </c>
      <c r="D372">
        <v>0.51339999999999997</v>
      </c>
      <c r="E372">
        <v>0.52070000000000005</v>
      </c>
      <c r="F372">
        <v>10213453.710000001</v>
      </c>
      <c r="G372">
        <v>0</v>
      </c>
      <c r="L372" t="s">
        <v>7</v>
      </c>
      <c r="M372" t="s">
        <v>8</v>
      </c>
      <c r="N372" t="s">
        <v>7</v>
      </c>
      <c r="P372">
        <f t="shared" si="969"/>
        <v>-0.71316306483300296</v>
      </c>
      <c r="Q372">
        <f t="shared" si="970"/>
        <v>-7283857.9503536057</v>
      </c>
      <c r="R372">
        <f t="shared" si="971"/>
        <v>-159315395.12831691</v>
      </c>
      <c r="S372">
        <f t="shared" si="972"/>
        <v>-1593.1539512831691</v>
      </c>
      <c r="T372">
        <f t="shared" si="973"/>
        <v>-1.5931539512831692</v>
      </c>
    </row>
    <row r="373" spans="1:20" x14ac:dyDescent="0.25">
      <c r="A373" s="5">
        <v>44220</v>
      </c>
      <c r="B373">
        <v>0.56200000000000006</v>
      </c>
      <c r="C373">
        <v>0.57569999999999999</v>
      </c>
      <c r="D373">
        <v>0.52259999999999995</v>
      </c>
      <c r="E373">
        <v>0.54830000000000001</v>
      </c>
      <c r="F373">
        <v>13347148.140000001</v>
      </c>
      <c r="G373">
        <v>0</v>
      </c>
      <c r="L373" t="s">
        <v>7</v>
      </c>
      <c r="M373" t="s">
        <v>8</v>
      </c>
      <c r="N373" t="s">
        <v>7</v>
      </c>
      <c r="P373">
        <f t="shared" si="969"/>
        <v>-3.2015065913369542E-2</v>
      </c>
      <c r="Q373">
        <f t="shared" si="970"/>
        <v>-427309.82745760772</v>
      </c>
      <c r="R373">
        <f t="shared" si="971"/>
        <v>-152031537.17796332</v>
      </c>
      <c r="S373">
        <f t="shared" si="972"/>
        <v>-1520.3153717796331</v>
      </c>
      <c r="T373">
        <f t="shared" si="973"/>
        <v>-1.5203153717796332</v>
      </c>
    </row>
    <row r="374" spans="1:20" x14ac:dyDescent="0.25">
      <c r="A374" s="5">
        <v>44219</v>
      </c>
      <c r="B374">
        <v>0.51</v>
      </c>
      <c r="C374">
        <v>0.57989999999999997</v>
      </c>
      <c r="D374">
        <v>0.49730000000000002</v>
      </c>
      <c r="E374">
        <v>0.56200000000000006</v>
      </c>
      <c r="F374">
        <v>12379528.58</v>
      </c>
      <c r="G374">
        <v>0</v>
      </c>
      <c r="L374" t="s">
        <v>8</v>
      </c>
      <c r="M374" t="s">
        <v>8</v>
      </c>
      <c r="N374" t="s">
        <v>7</v>
      </c>
      <c r="P374">
        <f t="shared" si="969"/>
        <v>0.5665859564164667</v>
      </c>
      <c r="Q374">
        <f t="shared" si="970"/>
        <v>7014067.0404842841</v>
      </c>
      <c r="R374">
        <f t="shared" si="971"/>
        <v>-151604227.35050571</v>
      </c>
      <c r="S374">
        <f t="shared" si="972"/>
        <v>-1516.0422735050572</v>
      </c>
      <c r="T374">
        <f t="shared" si="973"/>
        <v>-1.5160422735050572</v>
      </c>
    </row>
    <row r="375" spans="1:20" x14ac:dyDescent="0.25">
      <c r="A375" s="5">
        <v>44218</v>
      </c>
      <c r="B375">
        <v>0.46510000000000001</v>
      </c>
      <c r="C375">
        <v>0.5353</v>
      </c>
      <c r="D375">
        <v>0.43369999999999997</v>
      </c>
      <c r="E375">
        <v>0.51060000000000005</v>
      </c>
      <c r="F375">
        <v>12125769.93</v>
      </c>
      <c r="G375">
        <v>0</v>
      </c>
      <c r="L375" t="s">
        <v>7</v>
      </c>
      <c r="M375" t="s">
        <v>7</v>
      </c>
      <c r="N375" t="s">
        <v>7</v>
      </c>
      <c r="P375">
        <f t="shared" si="969"/>
        <v>0.51377952755905631</v>
      </c>
      <c r="Q375">
        <f t="shared" si="970"/>
        <v>6229972.345925211</v>
      </c>
      <c r="R375">
        <f t="shared" si="971"/>
        <v>-158618294.39098999</v>
      </c>
      <c r="S375">
        <f t="shared" si="972"/>
        <v>-1586.1829439098999</v>
      </c>
      <c r="T375">
        <f t="shared" si="973"/>
        <v>-1.5861829439099</v>
      </c>
    </row>
    <row r="376" spans="1:20" x14ac:dyDescent="0.25">
      <c r="A376" s="5">
        <v>44217</v>
      </c>
      <c r="B376">
        <v>0.55830000000000002</v>
      </c>
      <c r="C376">
        <v>0.56189999999999996</v>
      </c>
      <c r="D376">
        <v>0.45789999999999997</v>
      </c>
      <c r="E376">
        <v>0.46500000000000002</v>
      </c>
      <c r="F376">
        <v>12710695.42</v>
      </c>
      <c r="G376">
        <v>0</v>
      </c>
      <c r="L376" t="s">
        <v>7</v>
      </c>
      <c r="M376" t="s">
        <v>7</v>
      </c>
      <c r="N376" t="s">
        <v>7</v>
      </c>
      <c r="P376">
        <f t="shared" si="969"/>
        <v>-0.8634615384615375</v>
      </c>
      <c r="Q376">
        <f t="shared" si="970"/>
        <v>-10975196.622269219</v>
      </c>
      <c r="R376">
        <f t="shared" si="971"/>
        <v>-164848266.7369152</v>
      </c>
      <c r="S376">
        <f t="shared" si="972"/>
        <v>-1648.4826673691521</v>
      </c>
      <c r="T376">
        <f t="shared" si="973"/>
        <v>-1.6484826673691522</v>
      </c>
    </row>
    <row r="377" spans="1:20" x14ac:dyDescent="0.25">
      <c r="A377" s="5">
        <v>44216</v>
      </c>
      <c r="B377">
        <v>0.5413</v>
      </c>
      <c r="C377">
        <v>0.56079999999999997</v>
      </c>
      <c r="D377">
        <v>0.49790000000000001</v>
      </c>
      <c r="E377">
        <v>0.55820000000000003</v>
      </c>
      <c r="F377">
        <v>13527724.84</v>
      </c>
      <c r="G377">
        <v>0</v>
      </c>
      <c r="L377" t="s">
        <v>7</v>
      </c>
      <c r="M377" t="s">
        <v>7</v>
      </c>
      <c r="N377" t="s">
        <v>8</v>
      </c>
      <c r="P377">
        <f t="shared" si="969"/>
        <v>0.91732909379968397</v>
      </c>
      <c r="Q377">
        <f t="shared" si="970"/>
        <v>12409375.568648675</v>
      </c>
      <c r="R377">
        <f t="shared" si="971"/>
        <v>-153873070.11464599</v>
      </c>
      <c r="S377">
        <f t="shared" si="972"/>
        <v>-1538.73070114646</v>
      </c>
      <c r="T377">
        <f t="shared" si="973"/>
        <v>-1.5387307011464599</v>
      </c>
    </row>
    <row r="378" spans="1:20" x14ac:dyDescent="0.25">
      <c r="A378" s="5">
        <v>44215</v>
      </c>
      <c r="B378">
        <v>0.5847</v>
      </c>
      <c r="C378">
        <v>0.59989999999999999</v>
      </c>
      <c r="D378">
        <v>0.53849999999999998</v>
      </c>
      <c r="E378">
        <v>0.54220000000000002</v>
      </c>
      <c r="F378">
        <v>13356235.890000001</v>
      </c>
      <c r="G378">
        <v>0</v>
      </c>
      <c r="L378" t="s">
        <v>7</v>
      </c>
      <c r="M378" t="s">
        <v>8</v>
      </c>
      <c r="N378" t="s">
        <v>8</v>
      </c>
      <c r="P378">
        <f t="shared" si="969"/>
        <v>-0.87947882736156235</v>
      </c>
      <c r="Q378">
        <f t="shared" si="970"/>
        <v>-11746526.678501613</v>
      </c>
      <c r="R378">
        <f t="shared" si="971"/>
        <v>-166282445.68329465</v>
      </c>
      <c r="S378">
        <f t="shared" si="972"/>
        <v>-1662.8244568329465</v>
      </c>
      <c r="T378">
        <f t="shared" si="973"/>
        <v>-1.6628244568329464</v>
      </c>
    </row>
    <row r="379" spans="1:20" x14ac:dyDescent="0.25">
      <c r="A379" s="5">
        <v>44214</v>
      </c>
      <c r="B379">
        <v>0.59419999999999995</v>
      </c>
      <c r="C379">
        <v>0.629</v>
      </c>
      <c r="D379">
        <v>0.56499999999999995</v>
      </c>
      <c r="E379">
        <v>0.5847</v>
      </c>
      <c r="F379">
        <v>15531292.640000001</v>
      </c>
      <c r="G379">
        <v>0</v>
      </c>
      <c r="L379" t="s">
        <v>7</v>
      </c>
      <c r="M379" t="s">
        <v>8</v>
      </c>
      <c r="N379" t="s">
        <v>8</v>
      </c>
      <c r="P379">
        <f t="shared" si="969"/>
        <v>-0.38437499999999897</v>
      </c>
      <c r="Q379">
        <f t="shared" si="970"/>
        <v>-5969840.6084999843</v>
      </c>
      <c r="R379">
        <f t="shared" si="971"/>
        <v>-154535919.00479305</v>
      </c>
      <c r="S379">
        <f t="shared" si="972"/>
        <v>-1545.3591900479305</v>
      </c>
      <c r="T379">
        <f t="shared" si="973"/>
        <v>-1.5453591900479304</v>
      </c>
    </row>
    <row r="380" spans="1:20" x14ac:dyDescent="0.25">
      <c r="A380" s="5">
        <v>44213</v>
      </c>
      <c r="B380">
        <v>0.5272</v>
      </c>
      <c r="C380">
        <v>0.63100000000000001</v>
      </c>
      <c r="D380">
        <v>0.51060000000000005</v>
      </c>
      <c r="E380">
        <v>0.59419999999999995</v>
      </c>
      <c r="F380">
        <v>30790585.879999999</v>
      </c>
      <c r="G380">
        <v>0</v>
      </c>
      <c r="L380" t="s">
        <v>8</v>
      </c>
      <c r="M380" t="s">
        <v>8</v>
      </c>
      <c r="N380" t="s">
        <v>8</v>
      </c>
      <c r="P380">
        <f t="shared" si="969"/>
        <v>0.3887043189368759</v>
      </c>
      <c r="Q380">
        <f t="shared" si="970"/>
        <v>11968433.714152787</v>
      </c>
      <c r="R380">
        <f t="shared" si="971"/>
        <v>-148566078.39629307</v>
      </c>
      <c r="S380">
        <f t="shared" si="972"/>
        <v>-1485.6607839629307</v>
      </c>
      <c r="T380">
        <f t="shared" si="973"/>
        <v>-1.4856607839629308</v>
      </c>
    </row>
    <row r="381" spans="1:20" x14ac:dyDescent="0.25">
      <c r="A381" s="5">
        <v>44212</v>
      </c>
      <c r="B381">
        <v>0.51580000000000004</v>
      </c>
      <c r="C381">
        <v>0.56569999999999998</v>
      </c>
      <c r="D381">
        <v>0.50129999999999997</v>
      </c>
      <c r="E381">
        <v>0.5272</v>
      </c>
      <c r="F381">
        <v>20341060.609999999</v>
      </c>
      <c r="G381">
        <v>0</v>
      </c>
      <c r="L381" t="s">
        <v>8</v>
      </c>
      <c r="M381" t="s">
        <v>8</v>
      </c>
      <c r="N381" t="s">
        <v>8</v>
      </c>
      <c r="P381">
        <f t="shared" si="969"/>
        <v>-0.19565217391304257</v>
      </c>
      <c r="Q381">
        <f t="shared" si="970"/>
        <v>-3979772.7280434598</v>
      </c>
      <c r="R381">
        <f t="shared" si="971"/>
        <v>-160534512.11044586</v>
      </c>
      <c r="S381">
        <f t="shared" si="972"/>
        <v>-1605.3451211044585</v>
      </c>
      <c r="T381">
        <f t="shared" si="973"/>
        <v>-1.6053451211044585</v>
      </c>
    </row>
    <row r="382" spans="1:20" x14ac:dyDescent="0.25">
      <c r="A382" s="5">
        <v>44211</v>
      </c>
      <c r="B382">
        <v>0.50439999999999996</v>
      </c>
      <c r="C382">
        <v>0.55879999999999996</v>
      </c>
      <c r="D382">
        <v>0.46010000000000001</v>
      </c>
      <c r="E382">
        <v>0.51539999999999997</v>
      </c>
      <c r="F382">
        <v>26194999.600000001</v>
      </c>
      <c r="G382">
        <v>0</v>
      </c>
      <c r="L382" t="s">
        <v>7</v>
      </c>
      <c r="M382" t="s">
        <v>8</v>
      </c>
      <c r="N382" t="s">
        <v>8</v>
      </c>
      <c r="P382">
        <f t="shared" si="969"/>
        <v>0.12056737588652454</v>
      </c>
      <c r="Q382">
        <f t="shared" si="970"/>
        <v>3158262.3631205601</v>
      </c>
      <c r="R382">
        <f t="shared" si="971"/>
        <v>-156554739.38240239</v>
      </c>
      <c r="S382">
        <f t="shared" si="972"/>
        <v>-1565.5473938240239</v>
      </c>
      <c r="T382">
        <f t="shared" si="973"/>
        <v>-1.5655473938240239</v>
      </c>
    </row>
    <row r="383" spans="1:20" x14ac:dyDescent="0.25">
      <c r="A383" s="5">
        <v>44210</v>
      </c>
      <c r="B383">
        <v>0.50529999999999997</v>
      </c>
      <c r="C383">
        <v>0.52290000000000003</v>
      </c>
      <c r="D383">
        <v>0.48039999999999999</v>
      </c>
      <c r="E383">
        <v>0.504</v>
      </c>
      <c r="F383">
        <v>14054084.470000001</v>
      </c>
      <c r="G383">
        <v>0</v>
      </c>
      <c r="L383" t="s">
        <v>7</v>
      </c>
      <c r="M383" t="s">
        <v>8</v>
      </c>
      <c r="N383" t="s">
        <v>8</v>
      </c>
      <c r="P383">
        <f t="shared" si="969"/>
        <v>0.11058823529411713</v>
      </c>
      <c r="Q383">
        <f t="shared" si="970"/>
        <v>1554216.4002117575</v>
      </c>
      <c r="R383">
        <f t="shared" si="971"/>
        <v>-159713001.74552295</v>
      </c>
      <c r="S383">
        <f t="shared" si="972"/>
        <v>-1597.1300174552296</v>
      </c>
      <c r="T383">
        <f t="shared" si="973"/>
        <v>-1.5971300174552296</v>
      </c>
    </row>
    <row r="384" spans="1:20" x14ac:dyDescent="0.25">
      <c r="A384" s="5">
        <v>44209</v>
      </c>
      <c r="B384">
        <v>0.42809999999999998</v>
      </c>
      <c r="C384">
        <v>0.54100000000000004</v>
      </c>
      <c r="D384">
        <v>0.42809999999999998</v>
      </c>
      <c r="E384">
        <v>0.50600000000000001</v>
      </c>
      <c r="F384">
        <v>36645498.670000002</v>
      </c>
      <c r="G384">
        <v>0</v>
      </c>
      <c r="L384" t="s">
        <v>8</v>
      </c>
      <c r="M384" t="s">
        <v>8</v>
      </c>
      <c r="N384" t="s">
        <v>8</v>
      </c>
      <c r="P384">
        <f t="shared" si="969"/>
        <v>0.37998228520814858</v>
      </c>
      <c r="Q384">
        <f t="shared" si="970"/>
        <v>13924640.327218771</v>
      </c>
      <c r="R384">
        <f t="shared" si="971"/>
        <v>-161267218.1457347</v>
      </c>
      <c r="S384">
        <f t="shared" si="972"/>
        <v>-1612.6721814573471</v>
      </c>
      <c r="T384">
        <f t="shared" si="973"/>
        <v>-1.612672181457347</v>
      </c>
    </row>
    <row r="385" spans="1:20" x14ac:dyDescent="0.25">
      <c r="A385" s="5">
        <v>44208</v>
      </c>
      <c r="B385">
        <v>0.43619999999999998</v>
      </c>
      <c r="C385">
        <v>0.4607</v>
      </c>
      <c r="D385">
        <v>0.41</v>
      </c>
      <c r="E385">
        <v>0.42720000000000002</v>
      </c>
      <c r="F385">
        <v>13274036.65</v>
      </c>
      <c r="G385">
        <v>0</v>
      </c>
      <c r="L385" t="s">
        <v>8</v>
      </c>
      <c r="M385" t="s">
        <v>8</v>
      </c>
      <c r="N385" t="s">
        <v>7</v>
      </c>
      <c r="P385">
        <f t="shared" si="969"/>
        <v>-0.32149901380670448</v>
      </c>
      <c r="Q385">
        <f t="shared" si="970"/>
        <v>-4267589.692209051</v>
      </c>
      <c r="R385">
        <f t="shared" si="971"/>
        <v>-175191858.47295347</v>
      </c>
      <c r="S385">
        <f t="shared" si="972"/>
        <v>-1751.9185847295346</v>
      </c>
      <c r="T385">
        <f t="shared" si="973"/>
        <v>-1.7519185847295347</v>
      </c>
    </row>
    <row r="386" spans="1:20" x14ac:dyDescent="0.25">
      <c r="A386" s="5">
        <v>44207</v>
      </c>
      <c r="B386">
        <v>0.52810000000000001</v>
      </c>
      <c r="C386">
        <v>0.52900000000000003</v>
      </c>
      <c r="D386">
        <v>0.38140000000000002</v>
      </c>
      <c r="E386">
        <v>0.4365</v>
      </c>
      <c r="F386">
        <v>23864269.780000001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-0.25338753387533902</v>
      </c>
      <c r="Q386">
        <f t="shared" si="970"/>
        <v>-6046908.4672899796</v>
      </c>
      <c r="R386">
        <f t="shared" si="971"/>
        <v>-170924268.7807444</v>
      </c>
      <c r="S386">
        <f t="shared" si="972"/>
        <v>-1709.2426878074441</v>
      </c>
      <c r="T386">
        <f t="shared" si="973"/>
        <v>-1.709242687807444</v>
      </c>
    </row>
    <row r="387" spans="1:20" x14ac:dyDescent="0.25">
      <c r="A387" s="5">
        <v>44206</v>
      </c>
      <c r="B387">
        <v>0.54049999999999998</v>
      </c>
      <c r="C387">
        <v>0.58499999999999996</v>
      </c>
      <c r="D387">
        <v>0.45850000000000002</v>
      </c>
      <c r="E387">
        <v>0.52759999999999996</v>
      </c>
      <c r="F387">
        <v>37124787.780000001</v>
      </c>
      <c r="G387">
        <v>0</v>
      </c>
      <c r="L387" t="s">
        <v>7</v>
      </c>
      <c r="M387" t="s">
        <v>7</v>
      </c>
      <c r="N387" t="s">
        <v>8</v>
      </c>
      <c r="P387">
        <f t="shared" si="969"/>
        <v>9.2490118577074606E-2</v>
      </c>
      <c r="Q387">
        <f t="shared" si="970"/>
        <v>3433676.0239209305</v>
      </c>
      <c r="R387">
        <f t="shared" si="971"/>
        <v>-164877360.31345442</v>
      </c>
      <c r="S387">
        <f t="shared" si="972"/>
        <v>-1648.7736031345441</v>
      </c>
      <c r="T387">
        <f t="shared" si="973"/>
        <v>-1.6487736031345441</v>
      </c>
    </row>
    <row r="388" spans="1:20" x14ac:dyDescent="0.25">
      <c r="A388" s="5">
        <v>44205</v>
      </c>
      <c r="B388">
        <v>0.44</v>
      </c>
      <c r="C388">
        <v>0.62</v>
      </c>
      <c r="D388">
        <v>0.42549999999999999</v>
      </c>
      <c r="E388">
        <v>0.54049999999999998</v>
      </c>
      <c r="F388">
        <v>59508132.509999998</v>
      </c>
      <c r="G388">
        <v>0</v>
      </c>
      <c r="L388" t="s">
        <v>8</v>
      </c>
      <c r="M388" t="s">
        <v>8</v>
      </c>
      <c r="N388" t="s">
        <v>8</v>
      </c>
      <c r="P388">
        <f t="shared" si="969"/>
        <v>0.18251928020565539</v>
      </c>
      <c r="Q388">
        <f t="shared" si="970"/>
        <v>10861381.512107961</v>
      </c>
      <c r="R388">
        <f t="shared" si="971"/>
        <v>-168311036.33737534</v>
      </c>
      <c r="S388">
        <f t="shared" si="972"/>
        <v>-1683.1103633737534</v>
      </c>
      <c r="T388">
        <f t="shared" si="973"/>
        <v>-1.6831103633737534</v>
      </c>
    </row>
    <row r="389" spans="1:20" x14ac:dyDescent="0.25">
      <c r="A389" s="5">
        <v>44204</v>
      </c>
      <c r="B389">
        <v>0.439</v>
      </c>
      <c r="C389">
        <v>0.4602</v>
      </c>
      <c r="D389">
        <v>0.4</v>
      </c>
      <c r="E389">
        <v>0.44</v>
      </c>
      <c r="F389">
        <v>15676597.15</v>
      </c>
      <c r="G389">
        <v>0</v>
      </c>
      <c r="L389" t="s">
        <v>7</v>
      </c>
      <c r="M389" t="s">
        <v>7</v>
      </c>
      <c r="N389" t="s">
        <v>8</v>
      </c>
      <c r="P389">
        <f t="shared" si="969"/>
        <v>0.32890365448504971</v>
      </c>
      <c r="Q389">
        <f t="shared" si="970"/>
        <v>5156090.092524915</v>
      </c>
      <c r="R389">
        <f t="shared" si="971"/>
        <v>-179172417.84948331</v>
      </c>
      <c r="S389">
        <f t="shared" si="972"/>
        <v>-1791.724178494833</v>
      </c>
      <c r="T389">
        <f t="shared" si="973"/>
        <v>-1.791724178494833</v>
      </c>
    </row>
    <row r="390" spans="1:20" x14ac:dyDescent="0.25">
      <c r="A390" s="5">
        <v>44203</v>
      </c>
      <c r="B390">
        <v>0.46179999999999999</v>
      </c>
      <c r="C390">
        <v>0.49</v>
      </c>
      <c r="D390">
        <v>0.42680000000000001</v>
      </c>
      <c r="E390">
        <v>0.43859999999999999</v>
      </c>
      <c r="F390">
        <v>19206626.359999999</v>
      </c>
      <c r="G390">
        <v>0</v>
      </c>
      <c r="L390" t="s">
        <v>7</v>
      </c>
      <c r="M390" t="s">
        <v>8</v>
      </c>
      <c r="N390" t="s">
        <v>8</v>
      </c>
      <c r="P390">
        <f t="shared" ref="P390:P453" si="974">IF(C390=D390,0,((E390-D390)-(C390-E390))/(C390-D390))</f>
        <v>-0.62658227848101322</v>
      </c>
      <c r="Q390">
        <f t="shared" ref="Q390:Q453" si="975">F390*P390</f>
        <v>-12034531.706582289</v>
      </c>
      <c r="R390">
        <f t="shared" ref="R390:R453" si="976">R391+Q390</f>
        <v>-184328507.94200823</v>
      </c>
      <c r="S390">
        <f t="shared" ref="S390:S453" si="977">R390/100000</f>
        <v>-1843.2850794200822</v>
      </c>
      <c r="T390">
        <f t="shared" ref="T390:T453" si="978">S390/1000</f>
        <v>-1.8432850794200821</v>
      </c>
    </row>
    <row r="391" spans="1:20" x14ac:dyDescent="0.25">
      <c r="A391" s="5">
        <v>44202</v>
      </c>
      <c r="B391">
        <v>0.4451</v>
      </c>
      <c r="C391">
        <v>0.49609999999999999</v>
      </c>
      <c r="D391">
        <v>0.43020000000000003</v>
      </c>
      <c r="E391">
        <v>0.46179999999999999</v>
      </c>
      <c r="F391">
        <v>29970909.370000001</v>
      </c>
      <c r="G391">
        <v>0</v>
      </c>
      <c r="L391" t="s">
        <v>8</v>
      </c>
      <c r="M391" t="s">
        <v>8</v>
      </c>
      <c r="N391" t="s">
        <v>8</v>
      </c>
      <c r="P391">
        <f t="shared" si="974"/>
        <v>-4.0971168437026362E-2</v>
      </c>
      <c r="Q391">
        <f t="shared" si="975"/>
        <v>-1227943.1760091216</v>
      </c>
      <c r="R391">
        <f t="shared" si="976"/>
        <v>-172293976.23542595</v>
      </c>
      <c r="S391">
        <f t="shared" si="977"/>
        <v>-1722.9397623542595</v>
      </c>
      <c r="T391">
        <f t="shared" si="978"/>
        <v>-1.7229397623542595</v>
      </c>
    </row>
    <row r="392" spans="1:20" x14ac:dyDescent="0.25">
      <c r="A392" s="5">
        <v>44201</v>
      </c>
      <c r="B392">
        <v>0.3952</v>
      </c>
      <c r="C392">
        <v>0.45440000000000003</v>
      </c>
      <c r="D392">
        <v>0.3821</v>
      </c>
      <c r="E392">
        <v>0.44469999999999998</v>
      </c>
      <c r="F392">
        <v>24145023.300000001</v>
      </c>
      <c r="G392">
        <v>0</v>
      </c>
      <c r="L392" t="s">
        <v>8</v>
      </c>
      <c r="M392" t="s">
        <v>8</v>
      </c>
      <c r="N392" t="s">
        <v>8</v>
      </c>
      <c r="P392">
        <f t="shared" si="974"/>
        <v>0.73167358229598789</v>
      </c>
      <c r="Q392">
        <f t="shared" si="975"/>
        <v>17666275.692531094</v>
      </c>
      <c r="R392">
        <f t="shared" si="976"/>
        <v>-171066033.05941683</v>
      </c>
      <c r="S392">
        <f t="shared" si="977"/>
        <v>-1710.6603305941683</v>
      </c>
      <c r="T392">
        <f t="shared" si="978"/>
        <v>-1.7106603305941683</v>
      </c>
    </row>
    <row r="393" spans="1:20" x14ac:dyDescent="0.25">
      <c r="A393" s="5">
        <v>44200</v>
      </c>
      <c r="B393">
        <v>0.39229999999999998</v>
      </c>
      <c r="C393">
        <v>0.41899999999999998</v>
      </c>
      <c r="D393">
        <v>0.36380000000000001</v>
      </c>
      <c r="E393">
        <v>0.39479999999999998</v>
      </c>
      <c r="F393">
        <v>18480258.050000001</v>
      </c>
      <c r="G393">
        <v>0</v>
      </c>
      <c r="L393" t="s">
        <v>8</v>
      </c>
      <c r="M393" t="s">
        <v>8</v>
      </c>
      <c r="N393" t="s">
        <v>8</v>
      </c>
      <c r="P393">
        <f t="shared" si="974"/>
        <v>0.12318840579710102</v>
      </c>
      <c r="Q393">
        <f t="shared" si="975"/>
        <v>2276553.527898543</v>
      </c>
      <c r="R393">
        <f t="shared" si="976"/>
        <v>-188732308.75194794</v>
      </c>
      <c r="S393">
        <f t="shared" si="977"/>
        <v>-1887.3230875194795</v>
      </c>
      <c r="T393">
        <f t="shared" si="978"/>
        <v>-1.8873230875194795</v>
      </c>
    </row>
    <row r="394" spans="1:20" x14ac:dyDescent="0.25">
      <c r="A394" s="5">
        <v>44199</v>
      </c>
      <c r="B394">
        <v>0.36030000000000001</v>
      </c>
      <c r="C394">
        <v>0.39550000000000002</v>
      </c>
      <c r="D394">
        <v>0.35730000000000001</v>
      </c>
      <c r="E394">
        <v>0.39229999999999998</v>
      </c>
      <c r="F394">
        <v>16373071.15</v>
      </c>
      <c r="G394">
        <v>0</v>
      </c>
      <c r="L394" t="s">
        <v>7</v>
      </c>
      <c r="M394" t="s">
        <v>7</v>
      </c>
      <c r="N394" t="s">
        <v>8</v>
      </c>
      <c r="P394">
        <f t="shared" si="974"/>
        <v>0.83246073298429135</v>
      </c>
      <c r="Q394">
        <f t="shared" si="975"/>
        <v>13629938.810732955</v>
      </c>
      <c r="R394">
        <f t="shared" si="976"/>
        <v>-191008862.27984649</v>
      </c>
      <c r="S394">
        <f t="shared" si="977"/>
        <v>-1910.0886227984649</v>
      </c>
      <c r="T394">
        <f t="shared" si="978"/>
        <v>-1.910088622798465</v>
      </c>
    </row>
    <row r="395" spans="1:20" x14ac:dyDescent="0.25">
      <c r="A395" s="5">
        <v>44198</v>
      </c>
      <c r="B395">
        <v>0.37440000000000001</v>
      </c>
      <c r="C395">
        <v>0.39700000000000002</v>
      </c>
      <c r="D395">
        <v>0.3574</v>
      </c>
      <c r="E395">
        <v>0.3604</v>
      </c>
      <c r="F395">
        <v>11500485.300000001</v>
      </c>
      <c r="G395">
        <v>0</v>
      </c>
      <c r="L395" t="s">
        <v>8</v>
      </c>
      <c r="M395" t="s">
        <v>7</v>
      </c>
      <c r="N395" t="s">
        <v>8</v>
      </c>
      <c r="P395">
        <f t="shared" si="974"/>
        <v>-0.8484848484848484</v>
      </c>
      <c r="Q395">
        <f t="shared" si="975"/>
        <v>-9757987.5272727273</v>
      </c>
      <c r="R395">
        <f t="shared" si="976"/>
        <v>-204638801.09057945</v>
      </c>
      <c r="S395">
        <f t="shared" si="977"/>
        <v>-2046.3880109057945</v>
      </c>
      <c r="T395">
        <f t="shared" si="978"/>
        <v>-2.0463880109057944</v>
      </c>
    </row>
    <row r="396" spans="1:20" x14ac:dyDescent="0.25">
      <c r="A396" s="5">
        <v>44197</v>
      </c>
      <c r="B396">
        <v>0.35499999999999998</v>
      </c>
      <c r="C396">
        <v>0.37490000000000001</v>
      </c>
      <c r="D396">
        <v>0.35089999999999999</v>
      </c>
      <c r="E396">
        <v>0.37440000000000001</v>
      </c>
      <c r="F396">
        <v>7268120.79</v>
      </c>
      <c r="G396">
        <v>0</v>
      </c>
      <c r="L396" t="s">
        <v>8</v>
      </c>
      <c r="M396" t="s">
        <v>7</v>
      </c>
      <c r="N396" t="s">
        <v>8</v>
      </c>
      <c r="P396">
        <f t="shared" si="974"/>
        <v>0.95833333333333337</v>
      </c>
      <c r="Q396">
        <f t="shared" si="975"/>
        <v>6965282.4237500001</v>
      </c>
      <c r="R396">
        <f t="shared" si="976"/>
        <v>-194880813.56330672</v>
      </c>
      <c r="S396">
        <f t="shared" si="977"/>
        <v>-1948.8081356330672</v>
      </c>
      <c r="T396">
        <f t="shared" si="978"/>
        <v>-1.9488081356330671</v>
      </c>
    </row>
    <row r="397" spans="1:20" x14ac:dyDescent="0.25">
      <c r="A397" s="5">
        <v>44196</v>
      </c>
      <c r="B397">
        <v>0.35980000000000001</v>
      </c>
      <c r="C397">
        <v>0.37080000000000002</v>
      </c>
      <c r="D397">
        <v>0.34870000000000001</v>
      </c>
      <c r="E397">
        <v>0.3548</v>
      </c>
      <c r="F397">
        <v>6101084.9299999997</v>
      </c>
      <c r="G397">
        <v>0</v>
      </c>
      <c r="L397" t="s">
        <v>7</v>
      </c>
      <c r="M397" t="s">
        <v>7</v>
      </c>
      <c r="N397" t="s">
        <v>8</v>
      </c>
      <c r="P397">
        <f t="shared" si="974"/>
        <v>-0.44796380090497812</v>
      </c>
      <c r="Q397">
        <f t="shared" si="975"/>
        <v>-2733065.1948868823</v>
      </c>
      <c r="R397">
        <f t="shared" si="976"/>
        <v>-201846095.98705673</v>
      </c>
      <c r="S397">
        <f t="shared" si="977"/>
        <v>-2018.4609598705674</v>
      </c>
      <c r="T397">
        <f t="shared" si="978"/>
        <v>-2.0184609598705676</v>
      </c>
    </row>
    <row r="398" spans="1:20" x14ac:dyDescent="0.25">
      <c r="A398" s="5">
        <v>44195</v>
      </c>
      <c r="B398">
        <v>0.36549999999999999</v>
      </c>
      <c r="C398">
        <v>0.37280000000000002</v>
      </c>
      <c r="D398">
        <v>0.3483</v>
      </c>
      <c r="E398">
        <v>0.35949999999999999</v>
      </c>
      <c r="F398">
        <v>5735590.6900000004</v>
      </c>
      <c r="G398">
        <v>0</v>
      </c>
      <c r="L398" t="s">
        <v>8</v>
      </c>
      <c r="M398" t="s">
        <v>7</v>
      </c>
      <c r="N398" t="s">
        <v>8</v>
      </c>
      <c r="P398">
        <f t="shared" si="974"/>
        <v>-8.5714285714287533E-2</v>
      </c>
      <c r="Q398">
        <f t="shared" si="975"/>
        <v>-491622.05914286763</v>
      </c>
      <c r="R398">
        <f t="shared" si="976"/>
        <v>-199113030.79216984</v>
      </c>
      <c r="S398">
        <f t="shared" si="977"/>
        <v>-1991.1303079216984</v>
      </c>
      <c r="T398">
        <f t="shared" si="978"/>
        <v>-1.9911303079216984</v>
      </c>
    </row>
    <row r="399" spans="1:20" x14ac:dyDescent="0.25">
      <c r="A399" s="5">
        <v>44194</v>
      </c>
      <c r="B399">
        <v>0.3775</v>
      </c>
      <c r="C399">
        <v>0.38400000000000001</v>
      </c>
      <c r="D399">
        <v>0.34810000000000002</v>
      </c>
      <c r="E399">
        <v>0.36520000000000002</v>
      </c>
      <c r="F399">
        <v>8166725.5999999996</v>
      </c>
      <c r="G399">
        <v>0</v>
      </c>
      <c r="L399" t="s">
        <v>7</v>
      </c>
      <c r="M399" t="s">
        <v>7</v>
      </c>
      <c r="N399" t="s">
        <v>8</v>
      </c>
      <c r="P399">
        <f t="shared" si="974"/>
        <v>-4.7353760445681889E-2</v>
      </c>
      <c r="Q399">
        <f t="shared" si="975"/>
        <v>-386725.16768801765</v>
      </c>
      <c r="R399">
        <f t="shared" si="976"/>
        <v>-198621408.73302698</v>
      </c>
      <c r="S399">
        <f t="shared" si="977"/>
        <v>-1986.2140873302699</v>
      </c>
      <c r="T399">
        <f t="shared" si="978"/>
        <v>-1.9862140873302698</v>
      </c>
    </row>
    <row r="400" spans="1:20" x14ac:dyDescent="0.25">
      <c r="A400" s="5">
        <v>44193</v>
      </c>
      <c r="B400">
        <v>0.37390000000000001</v>
      </c>
      <c r="C400">
        <v>0.39579999999999999</v>
      </c>
      <c r="D400">
        <v>0.3674</v>
      </c>
      <c r="E400">
        <v>0.37709999999999999</v>
      </c>
      <c r="F400">
        <v>8678274.5899999999</v>
      </c>
      <c r="G400">
        <v>0</v>
      </c>
      <c r="L400" t="s">
        <v>7</v>
      </c>
      <c r="M400" t="s">
        <v>8</v>
      </c>
      <c r="N400" t="s">
        <v>8</v>
      </c>
      <c r="P400">
        <f t="shared" si="974"/>
        <v>-0.31690140845070475</v>
      </c>
      <c r="Q400">
        <f t="shared" si="975"/>
        <v>-2750157.440492962</v>
      </c>
      <c r="R400">
        <f t="shared" si="976"/>
        <v>-198234683.56533897</v>
      </c>
      <c r="S400">
        <f t="shared" si="977"/>
        <v>-1982.3468356533897</v>
      </c>
      <c r="T400">
        <f t="shared" si="978"/>
        <v>-1.9823468356533898</v>
      </c>
    </row>
    <row r="401" spans="1:20" x14ac:dyDescent="0.25">
      <c r="A401" s="5">
        <v>44192</v>
      </c>
      <c r="B401">
        <v>0.35439999999999999</v>
      </c>
      <c r="C401">
        <v>0.42720000000000002</v>
      </c>
      <c r="D401">
        <v>0.35439999999999999</v>
      </c>
      <c r="E401">
        <v>0.37380000000000002</v>
      </c>
      <c r="F401">
        <v>32339197.300000001</v>
      </c>
      <c r="G401">
        <v>0</v>
      </c>
      <c r="L401" t="s">
        <v>8</v>
      </c>
      <c r="M401" t="s">
        <v>8</v>
      </c>
      <c r="N401" t="s">
        <v>8</v>
      </c>
      <c r="P401">
        <f t="shared" si="974"/>
        <v>-0.46703296703296648</v>
      </c>
      <c r="Q401">
        <f t="shared" si="975"/>
        <v>-15103471.266483499</v>
      </c>
      <c r="R401">
        <f t="shared" si="976"/>
        <v>-195484526.12484601</v>
      </c>
      <c r="S401">
        <f t="shared" si="977"/>
        <v>-1954.84526124846</v>
      </c>
      <c r="T401">
        <f t="shared" si="978"/>
        <v>-1.9548452612484599</v>
      </c>
    </row>
    <row r="402" spans="1:20" x14ac:dyDescent="0.25">
      <c r="A402" s="5">
        <v>44191</v>
      </c>
      <c r="B402">
        <v>0.35909999999999997</v>
      </c>
      <c r="C402">
        <v>0.36759999999999998</v>
      </c>
      <c r="D402">
        <v>0.35</v>
      </c>
      <c r="E402">
        <v>0.35389999999999999</v>
      </c>
      <c r="F402">
        <v>4719181.9800000004</v>
      </c>
      <c r="G402">
        <v>0</v>
      </c>
      <c r="L402" t="s">
        <v>7</v>
      </c>
      <c r="M402" t="s">
        <v>8</v>
      </c>
      <c r="N402" t="s">
        <v>7</v>
      </c>
      <c r="P402">
        <f t="shared" si="974"/>
        <v>-0.55681818181818032</v>
      </c>
      <c r="Q402">
        <f t="shared" si="975"/>
        <v>-2627726.3297727206</v>
      </c>
      <c r="R402">
        <f t="shared" si="976"/>
        <v>-180381054.85836253</v>
      </c>
      <c r="S402">
        <f t="shared" si="977"/>
        <v>-1803.8105485836252</v>
      </c>
      <c r="T402">
        <f t="shared" si="978"/>
        <v>-1.8038105485836251</v>
      </c>
    </row>
    <row r="403" spans="1:20" x14ac:dyDescent="0.25">
      <c r="A403" s="5">
        <v>44190</v>
      </c>
      <c r="B403">
        <v>0.36399999999999999</v>
      </c>
      <c r="C403">
        <v>0.37890000000000001</v>
      </c>
      <c r="D403">
        <v>0.3533</v>
      </c>
      <c r="E403">
        <v>0.35880000000000001</v>
      </c>
      <c r="F403">
        <v>4817026.49</v>
      </c>
      <c r="G403">
        <v>0</v>
      </c>
      <c r="L403" t="s">
        <v>8</v>
      </c>
      <c r="M403" t="s">
        <v>8</v>
      </c>
      <c r="N403" t="s">
        <v>7</v>
      </c>
      <c r="P403">
        <f t="shared" si="974"/>
        <v>-0.57031249999999978</v>
      </c>
      <c r="Q403">
        <f t="shared" si="975"/>
        <v>-2747210.4200781239</v>
      </c>
      <c r="R403">
        <f t="shared" si="976"/>
        <v>-177753328.52858981</v>
      </c>
      <c r="S403">
        <f t="shared" si="977"/>
        <v>-1777.533285285898</v>
      </c>
      <c r="T403">
        <f t="shared" si="978"/>
        <v>-1.777533285285898</v>
      </c>
    </row>
    <row r="404" spans="1:20" x14ac:dyDescent="0.25">
      <c r="A404" s="5">
        <v>44189</v>
      </c>
      <c r="B404">
        <v>0.33129999999999998</v>
      </c>
      <c r="C404">
        <v>0.37040000000000001</v>
      </c>
      <c r="D404">
        <v>0.32040000000000002</v>
      </c>
      <c r="E404">
        <v>0.36409999999999998</v>
      </c>
      <c r="F404">
        <v>6948219.8799999999</v>
      </c>
      <c r="G404">
        <v>0</v>
      </c>
      <c r="L404" t="s">
        <v>8</v>
      </c>
      <c r="M404" t="s">
        <v>8</v>
      </c>
      <c r="N404" t="s">
        <v>7</v>
      </c>
      <c r="P404">
        <f t="shared" si="974"/>
        <v>0.74799999999999878</v>
      </c>
      <c r="Q404">
        <f t="shared" si="975"/>
        <v>5197268.4702399913</v>
      </c>
      <c r="R404">
        <f t="shared" si="976"/>
        <v>-175006118.10851169</v>
      </c>
      <c r="S404">
        <f t="shared" si="977"/>
        <v>-1750.0611810851169</v>
      </c>
      <c r="T404">
        <f t="shared" si="978"/>
        <v>-1.750061181085117</v>
      </c>
    </row>
    <row r="405" spans="1:20" x14ac:dyDescent="0.25">
      <c r="A405" s="5">
        <v>44188</v>
      </c>
      <c r="B405">
        <v>0.37469999999999998</v>
      </c>
      <c r="C405">
        <v>0.38300000000000001</v>
      </c>
      <c r="D405">
        <v>0.31</v>
      </c>
      <c r="E405">
        <v>0.33110000000000001</v>
      </c>
      <c r="F405">
        <v>9094513.3699999992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-0.42191780821917796</v>
      </c>
      <c r="Q405">
        <f t="shared" si="975"/>
        <v>-3837137.1478904095</v>
      </c>
      <c r="R405">
        <f t="shared" si="976"/>
        <v>-180203386.57875168</v>
      </c>
      <c r="S405">
        <f t="shared" si="977"/>
        <v>-1802.0338657875168</v>
      </c>
      <c r="T405">
        <f t="shared" si="978"/>
        <v>-1.8020338657875168</v>
      </c>
    </row>
    <row r="406" spans="1:20" x14ac:dyDescent="0.25">
      <c r="A406" s="5">
        <v>44187</v>
      </c>
      <c r="B406">
        <v>0.37709999999999999</v>
      </c>
      <c r="C406">
        <v>0.38600000000000001</v>
      </c>
      <c r="D406">
        <v>0.35780000000000001</v>
      </c>
      <c r="E406">
        <v>0.37509999999999999</v>
      </c>
      <c r="F406">
        <v>4619767.46</v>
      </c>
      <c r="G406">
        <v>0</v>
      </c>
      <c r="L406" t="s">
        <v>7</v>
      </c>
      <c r="M406" t="s">
        <v>7</v>
      </c>
      <c r="N406" t="s">
        <v>7</v>
      </c>
      <c r="P406">
        <f t="shared" si="974"/>
        <v>0.22695035460992768</v>
      </c>
      <c r="Q406">
        <f t="shared" si="975"/>
        <v>1048457.8632624049</v>
      </c>
      <c r="R406">
        <f t="shared" si="976"/>
        <v>-176366249.43086126</v>
      </c>
      <c r="S406">
        <f t="shared" si="977"/>
        <v>-1763.6624943086126</v>
      </c>
      <c r="T406">
        <f t="shared" si="978"/>
        <v>-1.7636624943086125</v>
      </c>
    </row>
    <row r="407" spans="1:20" x14ac:dyDescent="0.25">
      <c r="A407" s="5">
        <v>44186</v>
      </c>
      <c r="B407">
        <v>0.39589999999999997</v>
      </c>
      <c r="C407">
        <v>0.40529999999999999</v>
      </c>
      <c r="D407">
        <v>0.36899999999999999</v>
      </c>
      <c r="E407">
        <v>0.37790000000000001</v>
      </c>
      <c r="F407">
        <v>5191165.1900000004</v>
      </c>
      <c r="G407">
        <v>0</v>
      </c>
      <c r="L407" t="s">
        <v>7</v>
      </c>
      <c r="M407" t="s">
        <v>8</v>
      </c>
      <c r="N407" t="s">
        <v>7</v>
      </c>
      <c r="P407">
        <f t="shared" si="974"/>
        <v>-0.50964187327823585</v>
      </c>
      <c r="Q407">
        <f t="shared" si="975"/>
        <v>-2645635.1519283694</v>
      </c>
      <c r="R407">
        <f t="shared" si="976"/>
        <v>-177414707.29412368</v>
      </c>
      <c r="S407">
        <f t="shared" si="977"/>
        <v>-1774.1470729412367</v>
      </c>
      <c r="T407">
        <f t="shared" si="978"/>
        <v>-1.7741470729412367</v>
      </c>
    </row>
    <row r="408" spans="1:20" x14ac:dyDescent="0.25">
      <c r="A408" s="5">
        <v>44185</v>
      </c>
      <c r="B408">
        <v>0.4234</v>
      </c>
      <c r="C408">
        <v>0.4234</v>
      </c>
      <c r="D408">
        <v>0.3866</v>
      </c>
      <c r="E408">
        <v>0.39529999999999998</v>
      </c>
      <c r="F408">
        <v>5151169.59</v>
      </c>
      <c r="G408">
        <v>0</v>
      </c>
      <c r="L408" t="s">
        <v>7</v>
      </c>
      <c r="M408" t="s">
        <v>8</v>
      </c>
      <c r="N408" t="s">
        <v>7</v>
      </c>
      <c r="P408">
        <f t="shared" si="974"/>
        <v>-0.52717391304347905</v>
      </c>
      <c r="Q408">
        <f t="shared" si="975"/>
        <v>-2715562.2295108736</v>
      </c>
      <c r="R408">
        <f t="shared" si="976"/>
        <v>-174769072.14219531</v>
      </c>
      <c r="S408">
        <f t="shared" si="977"/>
        <v>-1747.6907214219532</v>
      </c>
      <c r="T408">
        <f t="shared" si="978"/>
        <v>-1.7476907214219533</v>
      </c>
    </row>
    <row r="409" spans="1:20" x14ac:dyDescent="0.25">
      <c r="A409" s="5">
        <v>44184</v>
      </c>
      <c r="B409">
        <v>0.4128</v>
      </c>
      <c r="C409">
        <v>0.434</v>
      </c>
      <c r="D409">
        <v>0.41170000000000001</v>
      </c>
      <c r="E409">
        <v>0.42359999999999998</v>
      </c>
      <c r="F409">
        <v>6243917.2699999996</v>
      </c>
      <c r="G409">
        <v>0</v>
      </c>
      <c r="L409" t="s">
        <v>8</v>
      </c>
      <c r="M409" t="s">
        <v>8</v>
      </c>
      <c r="N409" t="s">
        <v>7</v>
      </c>
      <c r="P409">
        <f t="shared" si="974"/>
        <v>6.7264573991029003E-2</v>
      </c>
      <c r="Q409">
        <f t="shared" si="975"/>
        <v>419994.43520177878</v>
      </c>
      <c r="R409">
        <f t="shared" si="976"/>
        <v>-172053509.91268444</v>
      </c>
      <c r="S409">
        <f t="shared" si="977"/>
        <v>-1720.5350991268444</v>
      </c>
      <c r="T409">
        <f t="shared" si="978"/>
        <v>-1.7205350991268444</v>
      </c>
    </row>
    <row r="410" spans="1:20" x14ac:dyDescent="0.25">
      <c r="A410" s="5">
        <v>44183</v>
      </c>
      <c r="B410">
        <v>0.4073</v>
      </c>
      <c r="C410">
        <v>0.42980000000000002</v>
      </c>
      <c r="D410">
        <v>0.3987</v>
      </c>
      <c r="E410">
        <v>0.4128</v>
      </c>
      <c r="F410">
        <v>6528003.8200000003</v>
      </c>
      <c r="G410">
        <v>0</v>
      </c>
      <c r="L410" t="s">
        <v>8</v>
      </c>
      <c r="M410" t="s">
        <v>8</v>
      </c>
      <c r="N410" t="s">
        <v>7</v>
      </c>
      <c r="P410">
        <f t="shared" si="974"/>
        <v>-9.3247588424437686E-2</v>
      </c>
      <c r="Q410">
        <f t="shared" si="975"/>
        <v>-608720.61344051699</v>
      </c>
      <c r="R410">
        <f t="shared" si="976"/>
        <v>-172473504.3478862</v>
      </c>
      <c r="S410">
        <f t="shared" si="977"/>
        <v>-1724.7350434788621</v>
      </c>
      <c r="T410">
        <f t="shared" si="978"/>
        <v>-1.724735043478862</v>
      </c>
    </row>
    <row r="411" spans="1:20" x14ac:dyDescent="0.25">
      <c r="A411" s="5">
        <v>44182</v>
      </c>
      <c r="B411">
        <v>0.41439999999999999</v>
      </c>
      <c r="C411">
        <v>0.42609999999999998</v>
      </c>
      <c r="D411">
        <v>0.39800000000000002</v>
      </c>
      <c r="E411">
        <v>0.40720000000000001</v>
      </c>
      <c r="F411">
        <v>9193580.5700000003</v>
      </c>
      <c r="G411">
        <v>0</v>
      </c>
      <c r="L411" t="s">
        <v>8</v>
      </c>
      <c r="M411" t="s">
        <v>8</v>
      </c>
      <c r="N411" t="s">
        <v>7</v>
      </c>
      <c r="P411">
        <f t="shared" si="974"/>
        <v>-0.3451957295373666</v>
      </c>
      <c r="Q411">
        <f t="shared" si="975"/>
        <v>-3173584.7519217087</v>
      </c>
      <c r="R411">
        <f t="shared" si="976"/>
        <v>-171864783.73444569</v>
      </c>
      <c r="S411">
        <f t="shared" si="977"/>
        <v>-1718.647837344457</v>
      </c>
      <c r="T411">
        <f t="shared" si="978"/>
        <v>-1.7186478373444569</v>
      </c>
    </row>
    <row r="412" spans="1:20" x14ac:dyDescent="0.25">
      <c r="A412" s="5">
        <v>44181</v>
      </c>
      <c r="B412">
        <v>0.39140000000000003</v>
      </c>
      <c r="C412">
        <v>0.41589999999999999</v>
      </c>
      <c r="D412">
        <v>0.38200000000000001</v>
      </c>
      <c r="E412">
        <v>0.4143</v>
      </c>
      <c r="F412">
        <v>5457040.5800000001</v>
      </c>
      <c r="G412">
        <v>0</v>
      </c>
      <c r="L412" t="s">
        <v>8</v>
      </c>
      <c r="M412" t="s">
        <v>8</v>
      </c>
      <c r="N412" t="s">
        <v>7</v>
      </c>
      <c r="P412">
        <f t="shared" si="974"/>
        <v>0.90560471976401236</v>
      </c>
      <c r="Q412">
        <f t="shared" si="975"/>
        <v>4941921.7051917436</v>
      </c>
      <c r="R412">
        <f t="shared" si="976"/>
        <v>-168691198.98252398</v>
      </c>
      <c r="S412">
        <f t="shared" si="977"/>
        <v>-1686.9119898252397</v>
      </c>
      <c r="T412">
        <f t="shared" si="978"/>
        <v>-1.6869119898252398</v>
      </c>
    </row>
    <row r="413" spans="1:20" x14ac:dyDescent="0.25">
      <c r="A413" s="5">
        <v>44180</v>
      </c>
      <c r="B413">
        <v>0.38779999999999998</v>
      </c>
      <c r="C413">
        <v>0.4022</v>
      </c>
      <c r="D413">
        <v>0.38550000000000001</v>
      </c>
      <c r="E413">
        <v>0.39150000000000001</v>
      </c>
      <c r="F413">
        <v>2871636.81</v>
      </c>
      <c r="G413">
        <v>0</v>
      </c>
      <c r="L413" t="s">
        <v>8</v>
      </c>
      <c r="M413" t="s">
        <v>7</v>
      </c>
      <c r="N413" t="s">
        <v>7</v>
      </c>
      <c r="P413">
        <f t="shared" si="974"/>
        <v>-0.28143712574850205</v>
      </c>
      <c r="Q413">
        <f t="shared" si="975"/>
        <v>-808185.20999999729</v>
      </c>
      <c r="R413">
        <f t="shared" si="976"/>
        <v>-173633120.68771571</v>
      </c>
      <c r="S413">
        <f t="shared" si="977"/>
        <v>-1736.331206877157</v>
      </c>
      <c r="T413">
        <f t="shared" si="978"/>
        <v>-1.736331206877157</v>
      </c>
    </row>
    <row r="414" spans="1:20" x14ac:dyDescent="0.25">
      <c r="A414" s="5">
        <v>44179</v>
      </c>
      <c r="B414">
        <v>0.39589999999999997</v>
      </c>
      <c r="C414">
        <v>0.39929999999999999</v>
      </c>
      <c r="D414">
        <v>0.38169999999999998</v>
      </c>
      <c r="E414">
        <v>0.38679999999999998</v>
      </c>
      <c r="F414">
        <v>2808351.08</v>
      </c>
      <c r="G414">
        <v>0</v>
      </c>
      <c r="L414" t="s">
        <v>8</v>
      </c>
      <c r="M414" t="s">
        <v>7</v>
      </c>
      <c r="N414" t="s">
        <v>7</v>
      </c>
      <c r="P414">
        <f t="shared" si="974"/>
        <v>-0.42045454545454636</v>
      </c>
      <c r="Q414">
        <f t="shared" si="975"/>
        <v>-1180783.9768181844</v>
      </c>
      <c r="R414">
        <f t="shared" si="976"/>
        <v>-172824935.4777157</v>
      </c>
      <c r="S414">
        <f t="shared" si="977"/>
        <v>-1728.2493547771569</v>
      </c>
      <c r="T414">
        <f t="shared" si="978"/>
        <v>-1.7282493547771569</v>
      </c>
    </row>
    <row r="415" spans="1:20" x14ac:dyDescent="0.25">
      <c r="A415" s="5">
        <v>44178</v>
      </c>
      <c r="B415">
        <v>0.39179999999999998</v>
      </c>
      <c r="C415">
        <v>0.40489999999999998</v>
      </c>
      <c r="D415">
        <v>0.38569999999999999</v>
      </c>
      <c r="E415">
        <v>0.39610000000000001</v>
      </c>
      <c r="F415">
        <v>4288073.2300000004</v>
      </c>
      <c r="G415">
        <v>0</v>
      </c>
      <c r="L415" t="s">
        <v>8</v>
      </c>
      <c r="M415" t="s">
        <v>7</v>
      </c>
      <c r="N415" t="s">
        <v>7</v>
      </c>
      <c r="P415">
        <f t="shared" si="974"/>
        <v>8.3333333333335743E-2</v>
      </c>
      <c r="Q415">
        <f t="shared" si="975"/>
        <v>357339.43583334371</v>
      </c>
      <c r="R415">
        <f t="shared" si="976"/>
        <v>-171644151.50089753</v>
      </c>
      <c r="S415">
        <f t="shared" si="977"/>
        <v>-1716.4415150089753</v>
      </c>
      <c r="T415">
        <f t="shared" si="978"/>
        <v>-1.7164415150089753</v>
      </c>
    </row>
    <row r="416" spans="1:20" x14ac:dyDescent="0.25">
      <c r="A416" s="5">
        <v>44177</v>
      </c>
      <c r="B416">
        <v>0.35610000000000003</v>
      </c>
      <c r="C416">
        <v>0.4022</v>
      </c>
      <c r="D416">
        <v>0.35570000000000002</v>
      </c>
      <c r="E416">
        <v>0.3921</v>
      </c>
      <c r="F416">
        <v>6784998.46</v>
      </c>
      <c r="G416">
        <v>0</v>
      </c>
      <c r="L416" t="s">
        <v>8</v>
      </c>
      <c r="M416" t="s">
        <v>7</v>
      </c>
      <c r="N416" t="s">
        <v>7</v>
      </c>
      <c r="P416">
        <f t="shared" si="974"/>
        <v>0.56559139784946233</v>
      </c>
      <c r="Q416">
        <f t="shared" si="975"/>
        <v>3837536.7633978492</v>
      </c>
      <c r="R416">
        <f t="shared" si="976"/>
        <v>-172001490.93673086</v>
      </c>
      <c r="S416">
        <f t="shared" si="977"/>
        <v>-1720.0149093673085</v>
      </c>
      <c r="T416">
        <f t="shared" si="978"/>
        <v>-1.7200149093673085</v>
      </c>
    </row>
    <row r="417" spans="1:20" x14ac:dyDescent="0.25">
      <c r="A417" s="5">
        <v>44176</v>
      </c>
      <c r="B417">
        <v>0.3705</v>
      </c>
      <c r="C417">
        <v>0.37140000000000001</v>
      </c>
      <c r="D417">
        <v>0.3473</v>
      </c>
      <c r="E417">
        <v>0.35580000000000001</v>
      </c>
      <c r="F417">
        <v>3831639.25</v>
      </c>
      <c r="G417">
        <v>0</v>
      </c>
      <c r="L417" t="s">
        <v>7</v>
      </c>
      <c r="M417" t="s">
        <v>7</v>
      </c>
      <c r="N417" t="s">
        <v>7</v>
      </c>
      <c r="P417">
        <f t="shared" si="974"/>
        <v>-0.29460580912863038</v>
      </c>
      <c r="Q417">
        <f t="shared" si="975"/>
        <v>-1128823.1815352684</v>
      </c>
      <c r="R417">
        <f t="shared" si="976"/>
        <v>-175839027.7001287</v>
      </c>
      <c r="S417">
        <f t="shared" si="977"/>
        <v>-1758.3902770012871</v>
      </c>
      <c r="T417">
        <f t="shared" si="978"/>
        <v>-1.7583902770012871</v>
      </c>
    </row>
    <row r="418" spans="1:20" x14ac:dyDescent="0.25">
      <c r="A418" s="5">
        <v>44175</v>
      </c>
      <c r="B418">
        <v>0.38119999999999998</v>
      </c>
      <c r="C418">
        <v>0.3826</v>
      </c>
      <c r="D418">
        <v>0.36320000000000002</v>
      </c>
      <c r="E418">
        <v>0.36980000000000002</v>
      </c>
      <c r="F418">
        <v>2415793.13</v>
      </c>
      <c r="G418">
        <v>0</v>
      </c>
      <c r="L418" t="s">
        <v>8</v>
      </c>
      <c r="M418" t="s">
        <v>7</v>
      </c>
      <c r="N418" t="s">
        <v>7</v>
      </c>
      <c r="P418">
        <f t="shared" si="974"/>
        <v>-0.31958762886597897</v>
      </c>
      <c r="Q418">
        <f t="shared" si="975"/>
        <v>-772057.59824742167</v>
      </c>
      <c r="R418">
        <f t="shared" si="976"/>
        <v>-174710204.51859343</v>
      </c>
      <c r="S418">
        <f t="shared" si="977"/>
        <v>-1747.1020451859342</v>
      </c>
      <c r="T418">
        <f t="shared" si="978"/>
        <v>-1.7471020451859343</v>
      </c>
    </row>
    <row r="419" spans="1:20" x14ac:dyDescent="0.25">
      <c r="A419" s="5">
        <v>44174</v>
      </c>
      <c r="B419">
        <v>0.37959999999999999</v>
      </c>
      <c r="C419">
        <v>0.3841</v>
      </c>
      <c r="D419">
        <v>0.35639999999999999</v>
      </c>
      <c r="E419">
        <v>0.38109999999999999</v>
      </c>
      <c r="F419">
        <v>3759555.44</v>
      </c>
      <c r="G419">
        <v>0</v>
      </c>
      <c r="L419" t="s">
        <v>7</v>
      </c>
      <c r="M419" t="s">
        <v>7</v>
      </c>
      <c r="N419" t="s">
        <v>7</v>
      </c>
      <c r="P419">
        <f t="shared" si="974"/>
        <v>0.78339350180505396</v>
      </c>
      <c r="Q419">
        <f t="shared" si="975"/>
        <v>2945211.3013718403</v>
      </c>
      <c r="R419">
        <f t="shared" si="976"/>
        <v>-173938146.92034602</v>
      </c>
      <c r="S419">
        <f t="shared" si="977"/>
        <v>-1739.3814692034603</v>
      </c>
      <c r="T419">
        <f t="shared" si="978"/>
        <v>-1.7393814692034602</v>
      </c>
    </row>
    <row r="420" spans="1:20" x14ac:dyDescent="0.25">
      <c r="A420" s="5">
        <v>44173</v>
      </c>
      <c r="B420">
        <v>0.4047</v>
      </c>
      <c r="C420">
        <v>0.40689999999999998</v>
      </c>
      <c r="D420">
        <v>0.37040000000000001</v>
      </c>
      <c r="E420">
        <v>0.37969999999999998</v>
      </c>
      <c r="F420">
        <v>4118038.97</v>
      </c>
      <c r="G420">
        <v>0</v>
      </c>
      <c r="L420" t="s">
        <v>7</v>
      </c>
      <c r="M420" t="s">
        <v>7</v>
      </c>
      <c r="N420" t="s">
        <v>7</v>
      </c>
      <c r="P420">
        <f t="shared" si="974"/>
        <v>-0.49041095890411063</v>
      </c>
      <c r="Q420">
        <f t="shared" si="975"/>
        <v>-2019531.4400821961</v>
      </c>
      <c r="R420">
        <f t="shared" si="976"/>
        <v>-176883358.22171786</v>
      </c>
      <c r="S420">
        <f t="shared" si="977"/>
        <v>-1768.8335822171787</v>
      </c>
      <c r="T420">
        <f t="shared" si="978"/>
        <v>-1.7688335822171786</v>
      </c>
    </row>
    <row r="421" spans="1:20" x14ac:dyDescent="0.25">
      <c r="A421" s="5">
        <v>44172</v>
      </c>
      <c r="B421">
        <v>0.40050000000000002</v>
      </c>
      <c r="C421">
        <v>0.41339999999999999</v>
      </c>
      <c r="D421">
        <v>0.39750000000000002</v>
      </c>
      <c r="E421">
        <v>0.4047</v>
      </c>
      <c r="F421">
        <v>2645080.88</v>
      </c>
      <c r="G421">
        <v>0</v>
      </c>
      <c r="L421" t="s">
        <v>7</v>
      </c>
      <c r="M421" t="s">
        <v>8</v>
      </c>
      <c r="N421" t="s">
        <v>7</v>
      </c>
      <c r="P421">
        <f t="shared" si="974"/>
        <v>-9.4339622641509691E-2</v>
      </c>
      <c r="Q421">
        <f t="shared" si="975"/>
        <v>-249535.93207547237</v>
      </c>
      <c r="R421">
        <f t="shared" si="976"/>
        <v>-174863826.78163567</v>
      </c>
      <c r="S421">
        <f t="shared" si="977"/>
        <v>-1748.6382678163568</v>
      </c>
      <c r="T421">
        <f t="shared" si="978"/>
        <v>-1.7486382678163568</v>
      </c>
    </row>
    <row r="422" spans="1:20" x14ac:dyDescent="0.25">
      <c r="A422" s="5">
        <v>44171</v>
      </c>
      <c r="B422">
        <v>0.40820000000000001</v>
      </c>
      <c r="C422">
        <v>0.41139999999999999</v>
      </c>
      <c r="D422">
        <v>0.39389999999999997</v>
      </c>
      <c r="E422">
        <v>0.39989999999999998</v>
      </c>
      <c r="F422">
        <v>2821431.02</v>
      </c>
      <c r="G422">
        <v>0</v>
      </c>
      <c r="L422" t="s">
        <v>7</v>
      </c>
      <c r="M422" t="s">
        <v>8</v>
      </c>
      <c r="N422" t="s">
        <v>7</v>
      </c>
      <c r="P422">
        <f t="shared" si="974"/>
        <v>-0.31428571428571428</v>
      </c>
      <c r="Q422">
        <f t="shared" si="975"/>
        <v>-886735.46342857147</v>
      </c>
      <c r="R422">
        <f t="shared" si="976"/>
        <v>-174614290.8495602</v>
      </c>
      <c r="S422">
        <f t="shared" si="977"/>
        <v>-1746.1429084956021</v>
      </c>
      <c r="T422">
        <f t="shared" si="978"/>
        <v>-1.7461429084956022</v>
      </c>
    </row>
    <row r="423" spans="1:20" x14ac:dyDescent="0.25">
      <c r="A423" s="5">
        <v>44170</v>
      </c>
      <c r="B423">
        <v>0.39300000000000002</v>
      </c>
      <c r="C423">
        <v>0.4128</v>
      </c>
      <c r="D423">
        <v>0.38900000000000001</v>
      </c>
      <c r="E423">
        <v>0.40810000000000002</v>
      </c>
      <c r="F423">
        <v>2655314.37</v>
      </c>
      <c r="G423">
        <v>0</v>
      </c>
      <c r="L423" t="s">
        <v>7</v>
      </c>
      <c r="M423" t="s">
        <v>8</v>
      </c>
      <c r="N423" t="s">
        <v>7</v>
      </c>
      <c r="P423">
        <f t="shared" si="974"/>
        <v>0.60504201680672398</v>
      </c>
      <c r="Q423">
        <f t="shared" si="975"/>
        <v>1606576.7616806757</v>
      </c>
      <c r="R423">
        <f t="shared" si="976"/>
        <v>-173727555.38613164</v>
      </c>
      <c r="S423">
        <f t="shared" si="977"/>
        <v>-1737.2755538613164</v>
      </c>
      <c r="T423">
        <f t="shared" si="978"/>
        <v>-1.7372755538613165</v>
      </c>
    </row>
    <row r="424" spans="1:20" x14ac:dyDescent="0.25">
      <c r="A424" s="5">
        <v>44169</v>
      </c>
      <c r="B424">
        <v>0.4304</v>
      </c>
      <c r="C424">
        <v>0.43769999999999998</v>
      </c>
      <c r="D424">
        <v>0.3876</v>
      </c>
      <c r="E424">
        <v>0.39279999999999998</v>
      </c>
      <c r="F424">
        <v>7370314.3899999997</v>
      </c>
      <c r="G424">
        <v>0</v>
      </c>
      <c r="L424" t="s">
        <v>7</v>
      </c>
      <c r="M424" t="s">
        <v>8</v>
      </c>
      <c r="N424" t="s">
        <v>7</v>
      </c>
      <c r="P424">
        <f t="shared" si="974"/>
        <v>-0.79241516966067926</v>
      </c>
      <c r="Q424">
        <f t="shared" si="975"/>
        <v>-5840348.9278043956</v>
      </c>
      <c r="R424">
        <f t="shared" si="976"/>
        <v>-175334132.14781231</v>
      </c>
      <c r="S424">
        <f t="shared" si="977"/>
        <v>-1753.3413214781231</v>
      </c>
      <c r="T424">
        <f t="shared" si="978"/>
        <v>-1.753341321478123</v>
      </c>
    </row>
    <row r="425" spans="1:20" x14ac:dyDescent="0.25">
      <c r="A425" s="5">
        <v>44168</v>
      </c>
      <c r="B425">
        <v>0.42649999999999999</v>
      </c>
      <c r="C425">
        <v>0.4355</v>
      </c>
      <c r="D425">
        <v>0.41860000000000003</v>
      </c>
      <c r="E425">
        <v>0.43059999999999998</v>
      </c>
      <c r="F425">
        <v>3722899.41</v>
      </c>
      <c r="G425">
        <v>0</v>
      </c>
      <c r="L425" t="s">
        <v>8</v>
      </c>
      <c r="M425" t="s">
        <v>8</v>
      </c>
      <c r="N425" t="s">
        <v>7</v>
      </c>
      <c r="P425">
        <f t="shared" si="974"/>
        <v>0.42011834319526342</v>
      </c>
      <c r="Q425">
        <f t="shared" si="975"/>
        <v>1564058.3320118238</v>
      </c>
      <c r="R425">
        <f t="shared" si="976"/>
        <v>-169493783.22000793</v>
      </c>
      <c r="S425">
        <f t="shared" si="977"/>
        <v>-1694.9378322000794</v>
      </c>
      <c r="T425">
        <f t="shared" si="978"/>
        <v>-1.6949378322000794</v>
      </c>
    </row>
    <row r="426" spans="1:20" x14ac:dyDescent="0.25">
      <c r="A426" s="5">
        <v>44167</v>
      </c>
      <c r="B426">
        <v>0.39910000000000001</v>
      </c>
      <c r="C426">
        <v>0.43180000000000002</v>
      </c>
      <c r="D426">
        <v>0.39389999999999997</v>
      </c>
      <c r="E426">
        <v>0.42699999999999999</v>
      </c>
      <c r="F426">
        <v>5131760.7</v>
      </c>
      <c r="G426">
        <v>0</v>
      </c>
      <c r="L426" t="s">
        <v>7</v>
      </c>
      <c r="M426" t="s">
        <v>8</v>
      </c>
      <c r="N426" t="s">
        <v>7</v>
      </c>
      <c r="P426">
        <f t="shared" si="974"/>
        <v>0.74670184696569808</v>
      </c>
      <c r="Q426">
        <f t="shared" si="975"/>
        <v>3831895.1928759837</v>
      </c>
      <c r="R426">
        <f t="shared" si="976"/>
        <v>-171057841.55201975</v>
      </c>
      <c r="S426">
        <f t="shared" si="977"/>
        <v>-1710.5784155201975</v>
      </c>
      <c r="T426">
        <f t="shared" si="978"/>
        <v>-1.7105784155201975</v>
      </c>
    </row>
    <row r="427" spans="1:20" x14ac:dyDescent="0.25">
      <c r="A427" s="5">
        <v>44166</v>
      </c>
      <c r="B427">
        <v>0.4294</v>
      </c>
      <c r="C427">
        <v>0.44829999999999998</v>
      </c>
      <c r="D427">
        <v>0.38690000000000002</v>
      </c>
      <c r="E427">
        <v>0.39939999999999998</v>
      </c>
      <c r="F427">
        <v>9968292.1600000001</v>
      </c>
      <c r="G427">
        <v>0</v>
      </c>
      <c r="L427" t="s">
        <v>8</v>
      </c>
      <c r="M427" t="s">
        <v>8</v>
      </c>
      <c r="N427" t="s">
        <v>7</v>
      </c>
      <c r="P427">
        <f t="shared" si="974"/>
        <v>-0.59283387622149952</v>
      </c>
      <c r="Q427">
        <f t="shared" si="975"/>
        <v>-5909541.2805211842</v>
      </c>
      <c r="R427">
        <f t="shared" si="976"/>
        <v>-174889736.74489573</v>
      </c>
      <c r="S427">
        <f t="shared" si="977"/>
        <v>-1748.8973674489573</v>
      </c>
      <c r="T427">
        <f t="shared" si="978"/>
        <v>-1.7488973674489574</v>
      </c>
    </row>
    <row r="428" spans="1:20" x14ac:dyDescent="0.25">
      <c r="A428" s="5">
        <v>44165</v>
      </c>
      <c r="B428">
        <v>0.41549999999999998</v>
      </c>
      <c r="C428">
        <v>0.4325</v>
      </c>
      <c r="D428">
        <v>0.40460000000000002</v>
      </c>
      <c r="E428">
        <v>0.42920000000000003</v>
      </c>
      <c r="F428">
        <v>6856263.0999999996</v>
      </c>
      <c r="G428">
        <v>0</v>
      </c>
      <c r="L428" t="s">
        <v>8</v>
      </c>
      <c r="M428" t="s">
        <v>7</v>
      </c>
      <c r="N428" t="s">
        <v>7</v>
      </c>
      <c r="P428">
        <f t="shared" si="974"/>
        <v>0.76344086021505575</v>
      </c>
      <c r="Q428">
        <f t="shared" si="975"/>
        <v>5234351.3989247447</v>
      </c>
      <c r="R428">
        <f t="shared" si="976"/>
        <v>-168980195.46437454</v>
      </c>
      <c r="S428">
        <f t="shared" si="977"/>
        <v>-1689.8019546437454</v>
      </c>
      <c r="T428">
        <f t="shared" si="978"/>
        <v>-1.6898019546437453</v>
      </c>
    </row>
    <row r="429" spans="1:20" x14ac:dyDescent="0.25">
      <c r="A429" s="5">
        <v>44164</v>
      </c>
      <c r="B429">
        <v>0.41589999999999999</v>
      </c>
      <c r="C429">
        <v>0.41970000000000002</v>
      </c>
      <c r="D429">
        <v>0.40300000000000002</v>
      </c>
      <c r="E429">
        <v>0.41510000000000002</v>
      </c>
      <c r="F429">
        <v>4068101.45</v>
      </c>
      <c r="G429">
        <v>0</v>
      </c>
      <c r="L429" t="s">
        <v>8</v>
      </c>
      <c r="M429" t="s">
        <v>7</v>
      </c>
      <c r="N429" t="s">
        <v>7</v>
      </c>
      <c r="P429">
        <f t="shared" si="974"/>
        <v>0.44910179640718623</v>
      </c>
      <c r="Q429">
        <f t="shared" si="975"/>
        <v>1826991.6691616792</v>
      </c>
      <c r="R429">
        <f t="shared" si="976"/>
        <v>-174214546.86329928</v>
      </c>
      <c r="S429">
        <f t="shared" si="977"/>
        <v>-1742.1454686329928</v>
      </c>
      <c r="T429">
        <f t="shared" si="978"/>
        <v>-1.7421454686329927</v>
      </c>
    </row>
    <row r="430" spans="1:20" x14ac:dyDescent="0.25">
      <c r="A430" s="5">
        <v>44163</v>
      </c>
      <c r="B430">
        <v>0.40300000000000002</v>
      </c>
      <c r="C430">
        <v>0.42880000000000001</v>
      </c>
      <c r="D430">
        <v>0.3921</v>
      </c>
      <c r="E430">
        <v>0.4158</v>
      </c>
      <c r="F430">
        <v>7494028.9000000004</v>
      </c>
      <c r="G430">
        <v>0</v>
      </c>
      <c r="L430" t="s">
        <v>8</v>
      </c>
      <c r="M430" t="s">
        <v>7</v>
      </c>
      <c r="N430" t="s">
        <v>7</v>
      </c>
      <c r="P430">
        <f t="shared" si="974"/>
        <v>0.29155313351498596</v>
      </c>
      <c r="Q430">
        <f t="shared" si="975"/>
        <v>2184907.6084468635</v>
      </c>
      <c r="R430">
        <f t="shared" si="976"/>
        <v>-176041538.53246096</v>
      </c>
      <c r="S430">
        <f t="shared" si="977"/>
        <v>-1760.4153853246096</v>
      </c>
      <c r="T430">
        <f t="shared" si="978"/>
        <v>-1.7604153853246096</v>
      </c>
    </row>
    <row r="431" spans="1:20" x14ac:dyDescent="0.25">
      <c r="A431" s="5">
        <v>44162</v>
      </c>
      <c r="B431">
        <v>0.4078</v>
      </c>
      <c r="C431">
        <v>0.42370000000000002</v>
      </c>
      <c r="D431">
        <v>0.38250000000000001</v>
      </c>
      <c r="E431">
        <v>0.40339999999999998</v>
      </c>
      <c r="F431">
        <v>7797268.7800000003</v>
      </c>
      <c r="G431">
        <v>0</v>
      </c>
      <c r="L431" t="s">
        <v>8</v>
      </c>
      <c r="M431" t="s">
        <v>7</v>
      </c>
      <c r="N431" t="s">
        <v>7</v>
      </c>
      <c r="P431">
        <f t="shared" si="974"/>
        <v>1.4563106796114896E-2</v>
      </c>
      <c r="Q431">
        <f t="shared" si="975"/>
        <v>113552.4579611525</v>
      </c>
      <c r="R431">
        <f t="shared" si="976"/>
        <v>-178226446.14090782</v>
      </c>
      <c r="S431">
        <f t="shared" si="977"/>
        <v>-1782.2644614090782</v>
      </c>
      <c r="T431">
        <f t="shared" si="978"/>
        <v>-1.7822644614090781</v>
      </c>
    </row>
    <row r="432" spans="1:20" x14ac:dyDescent="0.25">
      <c r="A432" s="5">
        <v>44161</v>
      </c>
      <c r="B432">
        <v>0.4425</v>
      </c>
      <c r="C432">
        <v>0.45739999999999997</v>
      </c>
      <c r="D432">
        <v>0.36530000000000001</v>
      </c>
      <c r="E432">
        <v>0.40739999999999998</v>
      </c>
      <c r="F432">
        <v>23759632.420000002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-8.5776330076004575E-2</v>
      </c>
      <c r="Q432">
        <f t="shared" si="975"/>
        <v>-2038014.0729424595</v>
      </c>
      <c r="R432">
        <f t="shared" si="976"/>
        <v>-178339998.59886897</v>
      </c>
      <c r="S432">
        <f t="shared" si="977"/>
        <v>-1783.3999859886897</v>
      </c>
      <c r="T432">
        <f t="shared" si="978"/>
        <v>-1.7833999859886895</v>
      </c>
    </row>
    <row r="433" spans="1:20" x14ac:dyDescent="0.25">
      <c r="A433" s="5">
        <v>44160</v>
      </c>
      <c r="B433">
        <v>0.4652</v>
      </c>
      <c r="C433">
        <v>0.52849999999999997</v>
      </c>
      <c r="D433">
        <v>0.42259999999999998</v>
      </c>
      <c r="E433">
        <v>0.44230000000000003</v>
      </c>
      <c r="F433">
        <v>24273193.66</v>
      </c>
      <c r="G433">
        <v>0</v>
      </c>
      <c r="L433" t="s">
        <v>8</v>
      </c>
      <c r="M433" t="s">
        <v>8</v>
      </c>
      <c r="N433" t="s">
        <v>8</v>
      </c>
      <c r="P433">
        <f t="shared" si="974"/>
        <v>-0.62795089707270912</v>
      </c>
      <c r="Q433">
        <f t="shared" si="975"/>
        <v>-15242373.733616596</v>
      </c>
      <c r="R433">
        <f t="shared" si="976"/>
        <v>-176301984.5259265</v>
      </c>
      <c r="S433">
        <f t="shared" si="977"/>
        <v>-1763.0198452592649</v>
      </c>
      <c r="T433">
        <f t="shared" si="978"/>
        <v>-1.7630198452592649</v>
      </c>
    </row>
    <row r="434" spans="1:20" x14ac:dyDescent="0.25">
      <c r="A434" s="5">
        <v>44159</v>
      </c>
      <c r="B434">
        <v>0.43809999999999999</v>
      </c>
      <c r="C434">
        <v>0.47720000000000001</v>
      </c>
      <c r="D434">
        <v>0.4143</v>
      </c>
      <c r="E434">
        <v>0.46439999999999998</v>
      </c>
      <c r="F434">
        <v>21131605.920000002</v>
      </c>
      <c r="G434">
        <v>0</v>
      </c>
      <c r="L434" t="s">
        <v>8</v>
      </c>
      <c r="M434" t="s">
        <v>8</v>
      </c>
      <c r="N434" t="s">
        <v>8</v>
      </c>
      <c r="P434">
        <f t="shared" si="974"/>
        <v>0.59300476947535674</v>
      </c>
      <c r="Q434">
        <f t="shared" si="975"/>
        <v>12531143.097233685</v>
      </c>
      <c r="R434">
        <f t="shared" si="976"/>
        <v>-161059610.79230991</v>
      </c>
      <c r="S434">
        <f t="shared" si="977"/>
        <v>-1610.596107923099</v>
      </c>
      <c r="T434">
        <f t="shared" si="978"/>
        <v>-1.610596107923099</v>
      </c>
    </row>
    <row r="435" spans="1:20" x14ac:dyDescent="0.25">
      <c r="A435" s="5">
        <v>44158</v>
      </c>
      <c r="B435">
        <v>0.39779999999999999</v>
      </c>
      <c r="C435">
        <v>0.43909999999999999</v>
      </c>
      <c r="D435">
        <v>0.39129999999999998</v>
      </c>
      <c r="E435">
        <v>0.43809999999999999</v>
      </c>
      <c r="F435">
        <v>11221949.189999999</v>
      </c>
      <c r="G435">
        <v>0</v>
      </c>
      <c r="L435" t="s">
        <v>8</v>
      </c>
      <c r="M435" t="s">
        <v>8</v>
      </c>
      <c r="N435" t="s">
        <v>8</v>
      </c>
      <c r="P435">
        <f t="shared" si="974"/>
        <v>0.95815899581589958</v>
      </c>
      <c r="Q435">
        <f t="shared" si="975"/>
        <v>10752411.566987447</v>
      </c>
      <c r="R435">
        <f t="shared" si="976"/>
        <v>-173590753.88954359</v>
      </c>
      <c r="S435">
        <f t="shared" si="977"/>
        <v>-1735.9075388954359</v>
      </c>
      <c r="T435">
        <f t="shared" si="978"/>
        <v>-1.7359075388954359</v>
      </c>
    </row>
    <row r="436" spans="1:20" x14ac:dyDescent="0.25">
      <c r="A436" s="5">
        <v>44157</v>
      </c>
      <c r="B436">
        <v>0.4168</v>
      </c>
      <c r="C436">
        <v>0.42799999999999999</v>
      </c>
      <c r="D436">
        <v>0.38329999999999997</v>
      </c>
      <c r="E436">
        <v>0.39729999999999999</v>
      </c>
      <c r="F436">
        <v>10398955.359999999</v>
      </c>
      <c r="G436">
        <v>0</v>
      </c>
      <c r="L436" t="s">
        <v>8</v>
      </c>
      <c r="M436" t="s">
        <v>8</v>
      </c>
      <c r="N436" t="s">
        <v>8</v>
      </c>
      <c r="P436">
        <f t="shared" si="974"/>
        <v>-0.37360178970917196</v>
      </c>
      <c r="Q436">
        <f t="shared" si="975"/>
        <v>-3885068.3336017863</v>
      </c>
      <c r="R436">
        <f t="shared" si="976"/>
        <v>-184343165.45653105</v>
      </c>
      <c r="S436">
        <f t="shared" si="977"/>
        <v>-1843.4316545653105</v>
      </c>
      <c r="T436">
        <f t="shared" si="978"/>
        <v>-1.8434316545653104</v>
      </c>
    </row>
    <row r="437" spans="1:20" x14ac:dyDescent="0.25">
      <c r="A437" s="5">
        <v>44156</v>
      </c>
      <c r="B437">
        <v>0.37459999999999999</v>
      </c>
      <c r="C437">
        <v>0.42299999999999999</v>
      </c>
      <c r="D437">
        <v>0.37380000000000002</v>
      </c>
      <c r="E437">
        <v>0.41739999999999999</v>
      </c>
      <c r="F437">
        <v>13781382.82</v>
      </c>
      <c r="G437">
        <v>0</v>
      </c>
      <c r="L437" t="s">
        <v>8</v>
      </c>
      <c r="M437" t="s">
        <v>8</v>
      </c>
      <c r="N437" t="s">
        <v>7</v>
      </c>
      <c r="P437">
        <f t="shared" si="974"/>
        <v>0.77235772357723587</v>
      </c>
      <c r="Q437">
        <f t="shared" si="975"/>
        <v>10644157.462601628</v>
      </c>
      <c r="R437">
        <f t="shared" si="976"/>
        <v>-180458097.12292928</v>
      </c>
      <c r="S437">
        <f t="shared" si="977"/>
        <v>-1804.5809712292928</v>
      </c>
      <c r="T437">
        <f t="shared" si="978"/>
        <v>-1.8045809712292928</v>
      </c>
    </row>
    <row r="438" spans="1:20" x14ac:dyDescent="0.25">
      <c r="A438" s="5">
        <v>44155</v>
      </c>
      <c r="B438">
        <v>0.36559999999999998</v>
      </c>
      <c r="C438">
        <v>0.3821</v>
      </c>
      <c r="D438">
        <v>0.36509999999999998</v>
      </c>
      <c r="E438">
        <v>0.375</v>
      </c>
      <c r="F438">
        <v>5394010.6699999999</v>
      </c>
      <c r="G438">
        <v>0</v>
      </c>
      <c r="L438" t="s">
        <v>8</v>
      </c>
      <c r="M438" t="s">
        <v>8</v>
      </c>
      <c r="N438" t="s">
        <v>7</v>
      </c>
      <c r="P438">
        <f t="shared" si="974"/>
        <v>0.16470588235294248</v>
      </c>
      <c r="Q438">
        <f t="shared" si="975"/>
        <v>888425.28682353639</v>
      </c>
      <c r="R438">
        <f t="shared" si="976"/>
        <v>-191102254.58553091</v>
      </c>
      <c r="S438">
        <f t="shared" si="977"/>
        <v>-1911.0225458553091</v>
      </c>
      <c r="T438">
        <f t="shared" si="978"/>
        <v>-1.9110225458553092</v>
      </c>
    </row>
    <row r="439" spans="1:20" x14ac:dyDescent="0.25">
      <c r="A439" s="5">
        <v>44154</v>
      </c>
      <c r="B439">
        <v>0.3654</v>
      </c>
      <c r="C439">
        <v>0.37509999999999999</v>
      </c>
      <c r="D439">
        <v>0.35520000000000002</v>
      </c>
      <c r="E439">
        <v>0.3649</v>
      </c>
      <c r="F439">
        <v>4419415.13</v>
      </c>
      <c r="G439">
        <v>0</v>
      </c>
      <c r="L439" t="s">
        <v>7</v>
      </c>
      <c r="M439" t="s">
        <v>8</v>
      </c>
      <c r="N439" t="s">
        <v>7</v>
      </c>
      <c r="P439">
        <f t="shared" si="974"/>
        <v>-2.5125628140703574E-2</v>
      </c>
      <c r="Q439">
        <f t="shared" si="975"/>
        <v>-111040.58115577915</v>
      </c>
      <c r="R439">
        <f t="shared" si="976"/>
        <v>-191990679.87235445</v>
      </c>
      <c r="S439">
        <f t="shared" si="977"/>
        <v>-1919.9067987235444</v>
      </c>
      <c r="T439">
        <f t="shared" si="978"/>
        <v>-1.9199067987235443</v>
      </c>
    </row>
    <row r="440" spans="1:20" x14ac:dyDescent="0.25">
      <c r="A440" s="5">
        <v>44153</v>
      </c>
      <c r="B440">
        <v>0.3826</v>
      </c>
      <c r="C440">
        <v>0.3851</v>
      </c>
      <c r="D440">
        <v>0.35339999999999999</v>
      </c>
      <c r="E440">
        <v>0.36470000000000002</v>
      </c>
      <c r="F440">
        <v>7219680.04</v>
      </c>
      <c r="G440">
        <v>0</v>
      </c>
      <c r="L440" t="s">
        <v>7</v>
      </c>
      <c r="M440" t="s">
        <v>8</v>
      </c>
      <c r="N440" t="s">
        <v>7</v>
      </c>
      <c r="P440">
        <f t="shared" si="974"/>
        <v>-0.28706624605678044</v>
      </c>
      <c r="Q440">
        <f t="shared" si="975"/>
        <v>-2072526.4468138665</v>
      </c>
      <c r="R440">
        <f t="shared" si="976"/>
        <v>-191879639.29119867</v>
      </c>
      <c r="S440">
        <f t="shared" si="977"/>
        <v>-1918.7963929119867</v>
      </c>
      <c r="T440">
        <f t="shared" si="978"/>
        <v>-1.9187963929119867</v>
      </c>
    </row>
    <row r="441" spans="1:20" x14ac:dyDescent="0.25">
      <c r="A441" s="5">
        <v>44152</v>
      </c>
      <c r="B441">
        <v>0.37190000000000001</v>
      </c>
      <c r="C441">
        <v>0.39</v>
      </c>
      <c r="D441">
        <v>0.37119999999999997</v>
      </c>
      <c r="E441">
        <v>0.38269999999999998</v>
      </c>
      <c r="F441">
        <v>6182440.1699999999</v>
      </c>
      <c r="G441">
        <v>0</v>
      </c>
      <c r="L441" t="s">
        <v>8</v>
      </c>
      <c r="M441" t="s">
        <v>8</v>
      </c>
      <c r="N441" t="s">
        <v>7</v>
      </c>
      <c r="P441">
        <f t="shared" si="974"/>
        <v>0.22340425531914748</v>
      </c>
      <c r="Q441">
        <f t="shared" si="975"/>
        <v>1381183.4422340335</v>
      </c>
      <c r="R441">
        <f t="shared" si="976"/>
        <v>-189807112.84438479</v>
      </c>
      <c r="S441">
        <f t="shared" si="977"/>
        <v>-1898.0711284438478</v>
      </c>
      <c r="T441">
        <f t="shared" si="978"/>
        <v>-1.8980711284438478</v>
      </c>
    </row>
    <row r="442" spans="1:20" x14ac:dyDescent="0.25">
      <c r="A442" s="5">
        <v>44151</v>
      </c>
      <c r="B442">
        <v>0.35959999999999998</v>
      </c>
      <c r="C442">
        <v>0.38179999999999997</v>
      </c>
      <c r="D442">
        <v>0.35610000000000003</v>
      </c>
      <c r="E442">
        <v>0.37169999999999997</v>
      </c>
      <c r="F442">
        <v>4658921.45</v>
      </c>
      <c r="G442">
        <v>0</v>
      </c>
      <c r="L442" t="s">
        <v>8</v>
      </c>
      <c r="M442" t="s">
        <v>8</v>
      </c>
      <c r="N442" t="s">
        <v>7</v>
      </c>
      <c r="P442">
        <f t="shared" si="974"/>
        <v>0.21400778210116581</v>
      </c>
      <c r="Q442">
        <f t="shared" si="975"/>
        <v>997045.44649804744</v>
      </c>
      <c r="R442">
        <f t="shared" si="976"/>
        <v>-191188296.28661883</v>
      </c>
      <c r="S442">
        <f t="shared" si="977"/>
        <v>-1911.8829628661883</v>
      </c>
      <c r="T442">
        <f t="shared" si="978"/>
        <v>-1.9118829628661884</v>
      </c>
    </row>
    <row r="443" spans="1:20" x14ac:dyDescent="0.25">
      <c r="A443" s="5">
        <v>44150</v>
      </c>
      <c r="B443">
        <v>0.37430000000000002</v>
      </c>
      <c r="C443">
        <v>0.37909999999999999</v>
      </c>
      <c r="D443">
        <v>0.35</v>
      </c>
      <c r="E443">
        <v>0.35920000000000002</v>
      </c>
      <c r="F443">
        <v>4782170.18</v>
      </c>
      <c r="G443">
        <v>0</v>
      </c>
      <c r="L443" t="s">
        <v>7</v>
      </c>
      <c r="M443" t="s">
        <v>8</v>
      </c>
      <c r="N443" t="s">
        <v>7</v>
      </c>
      <c r="P443">
        <f t="shared" si="974"/>
        <v>-0.36769759450171569</v>
      </c>
      <c r="Q443">
        <f t="shared" si="975"/>
        <v>-1758392.4716838365</v>
      </c>
      <c r="R443">
        <f t="shared" si="976"/>
        <v>-192185341.73311687</v>
      </c>
      <c r="S443">
        <f t="shared" si="977"/>
        <v>-1921.8534173311687</v>
      </c>
      <c r="T443">
        <f t="shared" si="978"/>
        <v>-1.9218534173311688</v>
      </c>
    </row>
    <row r="444" spans="1:20" x14ac:dyDescent="0.25">
      <c r="A444" s="5">
        <v>44149</v>
      </c>
      <c r="B444">
        <v>0.3866</v>
      </c>
      <c r="C444">
        <v>0.3866</v>
      </c>
      <c r="D444">
        <v>0.3594</v>
      </c>
      <c r="E444">
        <v>0.37409999999999999</v>
      </c>
      <c r="F444">
        <v>4274681.32</v>
      </c>
      <c r="G444">
        <v>0</v>
      </c>
      <c r="L444" t="s">
        <v>7</v>
      </c>
      <c r="M444" t="s">
        <v>8</v>
      </c>
      <c r="N444" t="s">
        <v>7</v>
      </c>
      <c r="P444">
        <f t="shared" si="974"/>
        <v>8.0882352941175725E-2</v>
      </c>
      <c r="Q444">
        <f t="shared" si="975"/>
        <v>345746.28323529096</v>
      </c>
      <c r="R444">
        <f t="shared" si="976"/>
        <v>-190426949.26143304</v>
      </c>
      <c r="S444">
        <f t="shared" si="977"/>
        <v>-1904.2694926143304</v>
      </c>
      <c r="T444">
        <f t="shared" si="978"/>
        <v>-1.9042694926143304</v>
      </c>
    </row>
    <row r="445" spans="1:20" x14ac:dyDescent="0.25">
      <c r="A445" s="5">
        <v>44148</v>
      </c>
      <c r="B445">
        <v>0.36030000000000001</v>
      </c>
      <c r="C445">
        <v>0.38719999999999999</v>
      </c>
      <c r="D445">
        <v>0.35870000000000002</v>
      </c>
      <c r="E445">
        <v>0.38640000000000002</v>
      </c>
      <c r="F445">
        <v>4248298.3</v>
      </c>
      <c r="G445">
        <v>0</v>
      </c>
      <c r="L445" t="s">
        <v>8</v>
      </c>
      <c r="M445" t="s">
        <v>8</v>
      </c>
      <c r="N445" t="s">
        <v>7</v>
      </c>
      <c r="P445">
        <f t="shared" si="974"/>
        <v>0.94385964912280929</v>
      </c>
      <c r="Q445">
        <f t="shared" si="975"/>
        <v>4009797.342807027</v>
      </c>
      <c r="R445">
        <f t="shared" si="976"/>
        <v>-190772695.54466832</v>
      </c>
      <c r="S445">
        <f t="shared" si="977"/>
        <v>-1907.7269554466832</v>
      </c>
      <c r="T445">
        <f t="shared" si="978"/>
        <v>-1.9077269554466831</v>
      </c>
    </row>
    <row r="446" spans="1:20" x14ac:dyDescent="0.25">
      <c r="A446" s="5">
        <v>44147</v>
      </c>
      <c r="B446">
        <v>0.36520000000000002</v>
      </c>
      <c r="C446">
        <v>0.37459999999999999</v>
      </c>
      <c r="D446">
        <v>0.35780000000000001</v>
      </c>
      <c r="E446">
        <v>0.36049999999999999</v>
      </c>
      <c r="F446">
        <v>3115822.76</v>
      </c>
      <c r="G446">
        <v>0</v>
      </c>
      <c r="L446" t="s">
        <v>7</v>
      </c>
      <c r="M446" t="s">
        <v>8</v>
      </c>
      <c r="N446" t="s">
        <v>7</v>
      </c>
      <c r="P446">
        <f t="shared" si="974"/>
        <v>-0.6785714285714306</v>
      </c>
      <c r="Q446">
        <f t="shared" si="975"/>
        <v>-2114308.3014285774</v>
      </c>
      <c r="R446">
        <f t="shared" si="976"/>
        <v>-194782492.88747534</v>
      </c>
      <c r="S446">
        <f t="shared" si="977"/>
        <v>-1947.8249288747534</v>
      </c>
      <c r="T446">
        <f t="shared" si="978"/>
        <v>-1.9478249288747533</v>
      </c>
    </row>
    <row r="447" spans="1:20" x14ac:dyDescent="0.25">
      <c r="A447" s="5">
        <v>44146</v>
      </c>
      <c r="B447">
        <v>0.38779999999999998</v>
      </c>
      <c r="C447">
        <v>0.39500000000000002</v>
      </c>
      <c r="D447">
        <v>0.36330000000000001</v>
      </c>
      <c r="E447">
        <v>0.36509999999999998</v>
      </c>
      <c r="F447">
        <v>6133447.5700000003</v>
      </c>
      <c r="G447">
        <v>0</v>
      </c>
      <c r="L447" t="s">
        <v>8</v>
      </c>
      <c r="M447" t="s">
        <v>8</v>
      </c>
      <c r="N447" t="s">
        <v>7</v>
      </c>
      <c r="P447">
        <f t="shared" si="974"/>
        <v>-0.88643533123028595</v>
      </c>
      <c r="Q447">
        <f t="shared" si="975"/>
        <v>-5436904.6282965429</v>
      </c>
      <c r="R447">
        <f t="shared" si="976"/>
        <v>-192668184.58604676</v>
      </c>
      <c r="S447">
        <f t="shared" si="977"/>
        <v>-1926.6818458604675</v>
      </c>
      <c r="T447">
        <f t="shared" si="978"/>
        <v>-1.9266818458604675</v>
      </c>
    </row>
    <row r="448" spans="1:20" x14ac:dyDescent="0.25">
      <c r="A448" s="5">
        <v>44145</v>
      </c>
      <c r="B448">
        <v>0.35439999999999999</v>
      </c>
      <c r="C448">
        <v>0.39119999999999999</v>
      </c>
      <c r="D448">
        <v>0.35289999999999999</v>
      </c>
      <c r="E448">
        <v>0.38790000000000002</v>
      </c>
      <c r="F448">
        <v>7263680.3399999999</v>
      </c>
      <c r="G448">
        <v>0</v>
      </c>
      <c r="L448" t="s">
        <v>8</v>
      </c>
      <c r="M448" t="s">
        <v>8</v>
      </c>
      <c r="N448" t="s">
        <v>7</v>
      </c>
      <c r="P448">
        <f t="shared" si="974"/>
        <v>0.82767624020887887</v>
      </c>
      <c r="Q448">
        <f t="shared" si="975"/>
        <v>6011975.6338903503</v>
      </c>
      <c r="R448">
        <f t="shared" si="976"/>
        <v>-187231279.9577502</v>
      </c>
      <c r="S448">
        <f t="shared" si="977"/>
        <v>-1872.3127995775021</v>
      </c>
      <c r="T448">
        <f t="shared" si="978"/>
        <v>-1.8723127995775022</v>
      </c>
    </row>
    <row r="449" spans="1:20" x14ac:dyDescent="0.25">
      <c r="A449" s="5">
        <v>44144</v>
      </c>
      <c r="B449">
        <v>0.36670000000000003</v>
      </c>
      <c r="C449">
        <v>0.36940000000000001</v>
      </c>
      <c r="D449">
        <v>0.34320000000000001</v>
      </c>
      <c r="E449">
        <v>0.3543</v>
      </c>
      <c r="F449">
        <v>4166100.92</v>
      </c>
      <c r="G449">
        <v>0</v>
      </c>
      <c r="L449" t="s">
        <v>7</v>
      </c>
      <c r="M449" t="s">
        <v>8</v>
      </c>
      <c r="N449" t="s">
        <v>7</v>
      </c>
      <c r="P449">
        <f t="shared" si="974"/>
        <v>-0.15267175572519098</v>
      </c>
      <c r="Q449">
        <f t="shared" si="975"/>
        <v>-636045.94198473345</v>
      </c>
      <c r="R449">
        <f t="shared" si="976"/>
        <v>-193243255.59164056</v>
      </c>
      <c r="S449">
        <f t="shared" si="977"/>
        <v>-1932.4325559164056</v>
      </c>
      <c r="T449">
        <f t="shared" si="978"/>
        <v>-1.9324325559164055</v>
      </c>
    </row>
    <row r="450" spans="1:20" x14ac:dyDescent="0.25">
      <c r="A450" s="5">
        <v>44143</v>
      </c>
      <c r="B450">
        <v>0.34860000000000002</v>
      </c>
      <c r="C450">
        <v>0.37740000000000001</v>
      </c>
      <c r="D450">
        <v>0.34499999999999997</v>
      </c>
      <c r="E450">
        <v>0.36680000000000001</v>
      </c>
      <c r="F450">
        <v>3527087.9</v>
      </c>
      <c r="G450">
        <v>0</v>
      </c>
      <c r="L450" t="s">
        <v>7</v>
      </c>
      <c r="M450" t="s">
        <v>8</v>
      </c>
      <c r="N450" t="s">
        <v>7</v>
      </c>
      <c r="P450">
        <f t="shared" si="974"/>
        <v>0.34567901234567994</v>
      </c>
      <c r="Q450">
        <f t="shared" si="975"/>
        <v>1219240.2617283983</v>
      </c>
      <c r="R450">
        <f t="shared" si="976"/>
        <v>-192607209.64965582</v>
      </c>
      <c r="S450">
        <f t="shared" si="977"/>
        <v>-1926.0720964965583</v>
      </c>
      <c r="T450">
        <f t="shared" si="978"/>
        <v>-1.9260720964965583</v>
      </c>
    </row>
    <row r="451" spans="1:20" x14ac:dyDescent="0.25">
      <c r="A451" s="5">
        <v>44142</v>
      </c>
      <c r="B451">
        <v>0.37690000000000001</v>
      </c>
      <c r="C451">
        <v>0.39979999999999999</v>
      </c>
      <c r="D451">
        <v>0.33900000000000002</v>
      </c>
      <c r="E451">
        <v>0.34889999999999999</v>
      </c>
      <c r="F451">
        <v>9475904.3300000001</v>
      </c>
      <c r="G451">
        <v>0</v>
      </c>
      <c r="L451" t="s">
        <v>8</v>
      </c>
      <c r="M451" t="s">
        <v>8</v>
      </c>
      <c r="N451" t="s">
        <v>7</v>
      </c>
      <c r="P451">
        <f t="shared" si="974"/>
        <v>-0.67434210526315885</v>
      </c>
      <c r="Q451">
        <f t="shared" si="975"/>
        <v>-6390001.2751644831</v>
      </c>
      <c r="R451">
        <f t="shared" si="976"/>
        <v>-193826449.91138422</v>
      </c>
      <c r="S451">
        <f t="shared" si="977"/>
        <v>-1938.2644991138422</v>
      </c>
      <c r="T451">
        <f t="shared" si="978"/>
        <v>-1.9382644991138422</v>
      </c>
    </row>
    <row r="452" spans="1:20" x14ac:dyDescent="0.25">
      <c r="A452" s="5">
        <v>44141</v>
      </c>
      <c r="B452">
        <v>0.34760000000000002</v>
      </c>
      <c r="C452">
        <v>0.37919999999999998</v>
      </c>
      <c r="D452">
        <v>0.34489999999999998</v>
      </c>
      <c r="E452">
        <v>0.37690000000000001</v>
      </c>
      <c r="F452">
        <v>8203793.0199999996</v>
      </c>
      <c r="G452">
        <v>0</v>
      </c>
      <c r="L452" t="s">
        <v>8</v>
      </c>
      <c r="M452" t="s">
        <v>8</v>
      </c>
      <c r="N452" t="s">
        <v>7</v>
      </c>
      <c r="P452">
        <f t="shared" si="974"/>
        <v>0.86588921282799014</v>
      </c>
      <c r="Q452">
        <f t="shared" si="975"/>
        <v>7103575.8802915597</v>
      </c>
      <c r="R452">
        <f t="shared" si="976"/>
        <v>-187436448.63621974</v>
      </c>
      <c r="S452">
        <f t="shared" si="977"/>
        <v>-1874.3644863621973</v>
      </c>
      <c r="T452">
        <f t="shared" si="978"/>
        <v>-1.8743644863621973</v>
      </c>
    </row>
    <row r="453" spans="1:20" x14ac:dyDescent="0.25">
      <c r="A453" s="5">
        <v>44140</v>
      </c>
      <c r="B453">
        <v>0.3175</v>
      </c>
      <c r="C453">
        <v>0.34799999999999998</v>
      </c>
      <c r="D453">
        <v>0.31409999999999999</v>
      </c>
      <c r="E453">
        <v>0.34739999999999999</v>
      </c>
      <c r="F453">
        <v>5380510.54</v>
      </c>
      <c r="G453">
        <v>0</v>
      </c>
      <c r="L453" t="s">
        <v>8</v>
      </c>
      <c r="M453" t="s">
        <v>7</v>
      </c>
      <c r="N453" t="s">
        <v>7</v>
      </c>
      <c r="P453">
        <f t="shared" si="974"/>
        <v>0.96460176991150504</v>
      </c>
      <c r="Q453">
        <f t="shared" si="975"/>
        <v>5190049.9899115078</v>
      </c>
      <c r="R453">
        <f t="shared" si="976"/>
        <v>-194540024.51651129</v>
      </c>
      <c r="S453">
        <f t="shared" si="977"/>
        <v>-1945.4002451651129</v>
      </c>
      <c r="T453">
        <f t="shared" si="978"/>
        <v>-1.9454002451651129</v>
      </c>
    </row>
    <row r="454" spans="1:20" x14ac:dyDescent="0.25">
      <c r="A454" s="5">
        <v>44139</v>
      </c>
      <c r="B454">
        <v>0.32569999999999999</v>
      </c>
      <c r="C454">
        <v>0.32569999999999999</v>
      </c>
      <c r="D454">
        <v>0.30570000000000003</v>
      </c>
      <c r="E454">
        <v>0.31740000000000002</v>
      </c>
      <c r="F454">
        <v>3810119.44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79">IF(C454=D454,0,((E454-D454)-(C454-E454))/(C454-D454))</f>
        <v>0.17000000000000104</v>
      </c>
      <c r="Q454">
        <f t="shared" ref="Q454:Q517" si="980">F454*P454</f>
        <v>647720.304800004</v>
      </c>
      <c r="R454">
        <f t="shared" ref="R454:R517" si="981">R455+Q454</f>
        <v>-199730074.50642279</v>
      </c>
      <c r="S454">
        <f t="shared" ref="S454:S517" si="982">R454/100000</f>
        <v>-1997.3007450642278</v>
      </c>
      <c r="T454">
        <f t="shared" ref="T454:T517" si="983">S454/1000</f>
        <v>-1.9973007450642279</v>
      </c>
    </row>
    <row r="455" spans="1:20" x14ac:dyDescent="0.25">
      <c r="A455" s="5">
        <v>44138</v>
      </c>
      <c r="B455">
        <v>0.3286</v>
      </c>
      <c r="C455">
        <v>0.32969999999999999</v>
      </c>
      <c r="D455">
        <v>0.31950000000000001</v>
      </c>
      <c r="E455">
        <v>0.3256</v>
      </c>
      <c r="F455">
        <v>3392375.85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0.19607843137254943</v>
      </c>
      <c r="Q455">
        <f t="shared" si="980"/>
        <v>665171.73529411911</v>
      </c>
      <c r="R455">
        <f t="shared" si="981"/>
        <v>-200377794.81122279</v>
      </c>
      <c r="S455">
        <f t="shared" si="982"/>
        <v>-2003.7779481122279</v>
      </c>
      <c r="T455">
        <f t="shared" si="983"/>
        <v>-2.0037779481122278</v>
      </c>
    </row>
    <row r="456" spans="1:20" x14ac:dyDescent="0.25">
      <c r="A456" s="5">
        <v>44137</v>
      </c>
      <c r="B456">
        <v>0.33800000000000002</v>
      </c>
      <c r="C456">
        <v>0.35339999999999999</v>
      </c>
      <c r="D456">
        <v>0.32800000000000001</v>
      </c>
      <c r="E456">
        <v>0.32869999999999999</v>
      </c>
      <c r="F456">
        <v>3949505.73</v>
      </c>
      <c r="G456">
        <v>0</v>
      </c>
      <c r="L456" t="s">
        <v>8</v>
      </c>
      <c r="M456" t="s">
        <v>7</v>
      </c>
      <c r="N456" t="s">
        <v>7</v>
      </c>
      <c r="P456">
        <f t="shared" si="979"/>
        <v>-0.94488188976378118</v>
      </c>
      <c r="Q456">
        <f t="shared" si="980"/>
        <v>-3731816.4377952819</v>
      </c>
      <c r="R456">
        <f t="shared" si="981"/>
        <v>-201042966.54651693</v>
      </c>
      <c r="S456">
        <f t="shared" si="982"/>
        <v>-2010.4296654651694</v>
      </c>
      <c r="T456">
        <f t="shared" si="983"/>
        <v>-2.0104296654651694</v>
      </c>
    </row>
    <row r="457" spans="1:20" x14ac:dyDescent="0.25">
      <c r="A457" s="5">
        <v>44136</v>
      </c>
      <c r="B457">
        <v>0.32140000000000002</v>
      </c>
      <c r="C457">
        <v>0.33960000000000001</v>
      </c>
      <c r="D457">
        <v>0.32040000000000002</v>
      </c>
      <c r="E457">
        <v>0.33800000000000002</v>
      </c>
      <c r="F457">
        <v>2169874.83</v>
      </c>
      <c r="G457">
        <v>0</v>
      </c>
      <c r="L457" t="s">
        <v>8</v>
      </c>
      <c r="M457" t="s">
        <v>7</v>
      </c>
      <c r="N457" t="s">
        <v>7</v>
      </c>
      <c r="P457">
        <f t="shared" si="979"/>
        <v>0.83333333333333426</v>
      </c>
      <c r="Q457">
        <f t="shared" si="980"/>
        <v>1808229.025000002</v>
      </c>
      <c r="R457">
        <f t="shared" si="981"/>
        <v>-197311150.10872164</v>
      </c>
      <c r="S457">
        <f t="shared" si="982"/>
        <v>-1973.1115010872165</v>
      </c>
      <c r="T457">
        <f t="shared" si="983"/>
        <v>-1.9731115010872164</v>
      </c>
    </row>
    <row r="458" spans="1:20" x14ac:dyDescent="0.25">
      <c r="A458" s="5">
        <v>44135</v>
      </c>
      <c r="B458">
        <v>0.32540000000000002</v>
      </c>
      <c r="C458">
        <v>0.33610000000000001</v>
      </c>
      <c r="D458">
        <v>0.32090000000000002</v>
      </c>
      <c r="E458">
        <v>0.32190000000000002</v>
      </c>
      <c r="F458">
        <v>2508530.14</v>
      </c>
      <c r="G458">
        <v>0</v>
      </c>
      <c r="L458" t="s">
        <v>7</v>
      </c>
      <c r="M458" t="s">
        <v>7</v>
      </c>
      <c r="N458" t="s">
        <v>7</v>
      </c>
      <c r="P458">
        <f t="shared" si="979"/>
        <v>-0.86842105263157876</v>
      </c>
      <c r="Q458">
        <f t="shared" si="980"/>
        <v>-2178460.3847368415</v>
      </c>
      <c r="R458">
        <f t="shared" si="981"/>
        <v>-199119379.13372165</v>
      </c>
      <c r="S458">
        <f t="shared" si="982"/>
        <v>-1991.1937913372165</v>
      </c>
      <c r="T458">
        <f t="shared" si="983"/>
        <v>-1.9911937913372164</v>
      </c>
    </row>
    <row r="459" spans="1:20" x14ac:dyDescent="0.25">
      <c r="A459" s="5">
        <v>44134</v>
      </c>
      <c r="B459">
        <v>0.33700000000000002</v>
      </c>
      <c r="C459">
        <v>0.34339999999999998</v>
      </c>
      <c r="D459">
        <v>0.315</v>
      </c>
      <c r="E459">
        <v>0.32600000000000001</v>
      </c>
      <c r="F459">
        <v>3268923.11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-0.22535211267605512</v>
      </c>
      <c r="Q459">
        <f t="shared" si="980"/>
        <v>-736658.72901408048</v>
      </c>
      <c r="R459">
        <f t="shared" si="981"/>
        <v>-196940918.74898481</v>
      </c>
      <c r="S459">
        <f t="shared" si="982"/>
        <v>-1969.4091874898481</v>
      </c>
      <c r="T459">
        <f t="shared" si="983"/>
        <v>-1.9694091874898481</v>
      </c>
    </row>
    <row r="460" spans="1:20" x14ac:dyDescent="0.25">
      <c r="A460" s="5">
        <v>44133</v>
      </c>
      <c r="B460">
        <v>0.33679999999999999</v>
      </c>
      <c r="C460">
        <v>0.34589999999999999</v>
      </c>
      <c r="D460">
        <v>0.32729999999999998</v>
      </c>
      <c r="E460">
        <v>0.33689999999999998</v>
      </c>
      <c r="F460">
        <v>3252659.79</v>
      </c>
      <c r="G460">
        <v>0</v>
      </c>
      <c r="L460" t="s">
        <v>7</v>
      </c>
      <c r="M460" t="s">
        <v>7</v>
      </c>
      <c r="N460" t="s">
        <v>7</v>
      </c>
      <c r="P460">
        <f t="shared" si="979"/>
        <v>3.2258064516128455E-2</v>
      </c>
      <c r="Q460">
        <f t="shared" si="980"/>
        <v>104924.50935483683</v>
      </c>
      <c r="R460">
        <f t="shared" si="981"/>
        <v>-196204260.01997074</v>
      </c>
      <c r="S460">
        <f t="shared" si="982"/>
        <v>-1962.0426001997075</v>
      </c>
      <c r="T460">
        <f t="shared" si="983"/>
        <v>-1.9620426001997076</v>
      </c>
    </row>
    <row r="461" spans="1:20" x14ac:dyDescent="0.25">
      <c r="A461" s="5">
        <v>44132</v>
      </c>
      <c r="B461">
        <v>0.36080000000000001</v>
      </c>
      <c r="C461">
        <v>0.36459999999999998</v>
      </c>
      <c r="D461">
        <v>0.33029999999999998</v>
      </c>
      <c r="E461">
        <v>0.33660000000000001</v>
      </c>
      <c r="F461">
        <v>6707975.1399999997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-0.63265306122448817</v>
      </c>
      <c r="Q461">
        <f t="shared" si="980"/>
        <v>-4243821.0069387648</v>
      </c>
      <c r="R461">
        <f t="shared" si="981"/>
        <v>-196309184.52932557</v>
      </c>
      <c r="S461">
        <f t="shared" si="982"/>
        <v>-1963.0918452932558</v>
      </c>
      <c r="T461">
        <f t="shared" si="983"/>
        <v>-1.9630918452932558</v>
      </c>
    </row>
    <row r="462" spans="1:20" x14ac:dyDescent="0.25">
      <c r="A462" s="5">
        <v>44131</v>
      </c>
      <c r="B462">
        <v>0.3569</v>
      </c>
      <c r="C462">
        <v>0.3715</v>
      </c>
      <c r="D462">
        <v>0.35639999999999999</v>
      </c>
      <c r="E462">
        <v>0.3609</v>
      </c>
      <c r="F462">
        <v>3217451.14</v>
      </c>
      <c r="G462">
        <v>0</v>
      </c>
      <c r="L462" t="s">
        <v>7</v>
      </c>
      <c r="M462" t="s">
        <v>7</v>
      </c>
      <c r="N462" t="s">
        <v>7</v>
      </c>
      <c r="P462">
        <f t="shared" si="979"/>
        <v>-0.4039735099337744</v>
      </c>
      <c r="Q462">
        <f t="shared" si="980"/>
        <v>-1299765.0300662238</v>
      </c>
      <c r="R462">
        <f t="shared" si="981"/>
        <v>-192065363.52238682</v>
      </c>
      <c r="S462">
        <f t="shared" si="982"/>
        <v>-1920.6536352238682</v>
      </c>
      <c r="T462">
        <f t="shared" si="983"/>
        <v>-1.9206536352238681</v>
      </c>
    </row>
    <row r="463" spans="1:20" x14ac:dyDescent="0.25">
      <c r="A463" s="5">
        <v>44130</v>
      </c>
      <c r="B463">
        <v>0.36870000000000003</v>
      </c>
      <c r="C463">
        <v>0.38290000000000002</v>
      </c>
      <c r="D463">
        <v>0.3518</v>
      </c>
      <c r="E463">
        <v>0.35720000000000002</v>
      </c>
      <c r="F463">
        <v>4268985.66</v>
      </c>
      <c r="G463">
        <v>0</v>
      </c>
      <c r="L463" t="s">
        <v>7</v>
      </c>
      <c r="M463" t="s">
        <v>7</v>
      </c>
      <c r="N463" t="s">
        <v>7</v>
      </c>
      <c r="P463">
        <f t="shared" si="979"/>
        <v>-0.65273311897106023</v>
      </c>
      <c r="Q463">
        <f t="shared" si="980"/>
        <v>-2786508.3246945301</v>
      </c>
      <c r="R463">
        <f t="shared" si="981"/>
        <v>-190765598.4923206</v>
      </c>
      <c r="S463">
        <f t="shared" si="982"/>
        <v>-1907.655984923206</v>
      </c>
      <c r="T463">
        <f t="shared" si="983"/>
        <v>-1.907655984923206</v>
      </c>
    </row>
    <row r="464" spans="1:20" x14ac:dyDescent="0.25">
      <c r="A464" s="5">
        <v>44129</v>
      </c>
      <c r="B464">
        <v>0.37919999999999998</v>
      </c>
      <c r="C464">
        <v>0.37919999999999998</v>
      </c>
      <c r="D464">
        <v>0.36599999999999999</v>
      </c>
      <c r="E464">
        <v>0.36870000000000003</v>
      </c>
      <c r="F464">
        <v>2297416.63</v>
      </c>
      <c r="G464">
        <v>0</v>
      </c>
      <c r="L464" t="s">
        <v>8</v>
      </c>
      <c r="M464" t="s">
        <v>7</v>
      </c>
      <c r="N464" t="s">
        <v>7</v>
      </c>
      <c r="P464">
        <f t="shared" si="979"/>
        <v>-0.59090909090908517</v>
      </c>
      <c r="Q464">
        <f t="shared" si="980"/>
        <v>-1357564.372272714</v>
      </c>
      <c r="R464">
        <f t="shared" si="981"/>
        <v>-187979090.16762605</v>
      </c>
      <c r="S464">
        <f t="shared" si="982"/>
        <v>-1879.7909016762605</v>
      </c>
      <c r="T464">
        <f t="shared" si="983"/>
        <v>-1.8797909016762606</v>
      </c>
    </row>
    <row r="465" spans="1:20" x14ac:dyDescent="0.25">
      <c r="A465" s="5">
        <v>44128</v>
      </c>
      <c r="B465">
        <v>0.37559999999999999</v>
      </c>
      <c r="C465">
        <v>0.38440000000000002</v>
      </c>
      <c r="D465">
        <v>0.37259999999999999</v>
      </c>
      <c r="E465">
        <v>0.37890000000000001</v>
      </c>
      <c r="F465">
        <v>2085834.78</v>
      </c>
      <c r="G465">
        <v>0</v>
      </c>
      <c r="L465" t="s">
        <v>8</v>
      </c>
      <c r="M465" t="s">
        <v>7</v>
      </c>
      <c r="N465" t="s">
        <v>7</v>
      </c>
      <c r="P465">
        <f t="shared" si="979"/>
        <v>6.7796610169493274E-2</v>
      </c>
      <c r="Q465">
        <f t="shared" si="980"/>
        <v>141412.52745763076</v>
      </c>
      <c r="R465">
        <f t="shared" si="981"/>
        <v>-186621525.79535335</v>
      </c>
      <c r="S465">
        <f t="shared" si="982"/>
        <v>-1866.2152579535336</v>
      </c>
      <c r="T465">
        <f t="shared" si="983"/>
        <v>-1.8662152579535336</v>
      </c>
    </row>
    <row r="466" spans="1:20" x14ac:dyDescent="0.25">
      <c r="A466" s="5">
        <v>44127</v>
      </c>
      <c r="B466">
        <v>0.38090000000000002</v>
      </c>
      <c r="C466">
        <v>0.3886</v>
      </c>
      <c r="D466">
        <v>0.37009999999999998</v>
      </c>
      <c r="E466">
        <v>0.37569999999999998</v>
      </c>
      <c r="F466">
        <v>3889136.83</v>
      </c>
      <c r="G466">
        <v>0</v>
      </c>
      <c r="L466" t="s">
        <v>8</v>
      </c>
      <c r="M466" t="s">
        <v>7</v>
      </c>
      <c r="N466" t="s">
        <v>7</v>
      </c>
      <c r="P466">
        <f t="shared" si="979"/>
        <v>-0.39459459459459578</v>
      </c>
      <c r="Q466">
        <f t="shared" si="980"/>
        <v>-1534632.3707567614</v>
      </c>
      <c r="R466">
        <f t="shared" si="981"/>
        <v>-186762938.32281098</v>
      </c>
      <c r="S466">
        <f t="shared" si="982"/>
        <v>-1867.6293832281099</v>
      </c>
      <c r="T466">
        <f t="shared" si="983"/>
        <v>-1.8676293832281099</v>
      </c>
    </row>
    <row r="467" spans="1:20" x14ac:dyDescent="0.25">
      <c r="A467" s="5">
        <v>44126</v>
      </c>
      <c r="B467">
        <v>0.375</v>
      </c>
      <c r="C467">
        <v>0.39350000000000002</v>
      </c>
      <c r="D467">
        <v>0.37440000000000001</v>
      </c>
      <c r="E467">
        <v>0.38100000000000001</v>
      </c>
      <c r="F467">
        <v>3666317.86</v>
      </c>
      <c r="G467">
        <v>0</v>
      </c>
      <c r="L467" t="s">
        <v>8</v>
      </c>
      <c r="M467" t="s">
        <v>7</v>
      </c>
      <c r="N467" t="s">
        <v>7</v>
      </c>
      <c r="P467">
        <f t="shared" si="979"/>
        <v>-0.30890052356021019</v>
      </c>
      <c r="Q467">
        <f t="shared" si="980"/>
        <v>-1132527.5064921493</v>
      </c>
      <c r="R467">
        <f t="shared" si="981"/>
        <v>-185228305.9520542</v>
      </c>
      <c r="S467">
        <f t="shared" si="982"/>
        <v>-1852.2830595205421</v>
      </c>
      <c r="T467">
        <f t="shared" si="983"/>
        <v>-1.8522830595205422</v>
      </c>
    </row>
    <row r="468" spans="1:20" x14ac:dyDescent="0.25">
      <c r="A468" s="5">
        <v>44125</v>
      </c>
      <c r="B468">
        <v>0.36399999999999999</v>
      </c>
      <c r="C468">
        <v>0.3861</v>
      </c>
      <c r="D468">
        <v>0.3629</v>
      </c>
      <c r="E468">
        <v>0.37519999999999998</v>
      </c>
      <c r="F468">
        <v>3227462.65</v>
      </c>
      <c r="G468">
        <v>0</v>
      </c>
      <c r="L468" t="s">
        <v>8</v>
      </c>
      <c r="M468" t="s">
        <v>7</v>
      </c>
      <c r="N468" t="s">
        <v>7</v>
      </c>
      <c r="P468">
        <f t="shared" si="979"/>
        <v>6.034482758620504E-2</v>
      </c>
      <c r="Q468">
        <f t="shared" si="980"/>
        <v>194760.67715516643</v>
      </c>
      <c r="R468">
        <f t="shared" si="981"/>
        <v>-184095778.44556206</v>
      </c>
      <c r="S468">
        <f t="shared" si="982"/>
        <v>-1840.9577844556206</v>
      </c>
      <c r="T468">
        <f t="shared" si="983"/>
        <v>-1.8409577844556206</v>
      </c>
    </row>
    <row r="469" spans="1:20" x14ac:dyDescent="0.25">
      <c r="A469" s="5">
        <v>44124</v>
      </c>
      <c r="B469">
        <v>0.38950000000000001</v>
      </c>
      <c r="C469">
        <v>0.38950000000000001</v>
      </c>
      <c r="D469">
        <v>0.35420000000000001</v>
      </c>
      <c r="E469">
        <v>0.36399999999999999</v>
      </c>
      <c r="F469">
        <v>5726017.04</v>
      </c>
      <c r="G469">
        <v>0</v>
      </c>
      <c r="L469" t="s">
        <v>7</v>
      </c>
      <c r="M469" t="s">
        <v>7</v>
      </c>
      <c r="N469" t="s">
        <v>7</v>
      </c>
      <c r="P469">
        <f t="shared" si="979"/>
        <v>-0.44475920679886821</v>
      </c>
      <c r="Q469">
        <f t="shared" si="980"/>
        <v>-2546698.7968272031</v>
      </c>
      <c r="R469">
        <f t="shared" si="981"/>
        <v>-184290539.12271723</v>
      </c>
      <c r="S469">
        <f t="shared" si="982"/>
        <v>-1842.9053912271722</v>
      </c>
      <c r="T469">
        <f t="shared" si="983"/>
        <v>-1.8429053912271722</v>
      </c>
    </row>
    <row r="470" spans="1:20" x14ac:dyDescent="0.25">
      <c r="A470" s="5">
        <v>44123</v>
      </c>
      <c r="B470">
        <v>0.38900000000000001</v>
      </c>
      <c r="C470">
        <v>0.40029999999999999</v>
      </c>
      <c r="D470">
        <v>0.38290000000000002</v>
      </c>
      <c r="E470">
        <v>0.38950000000000001</v>
      </c>
      <c r="F470">
        <v>2657083.04</v>
      </c>
      <c r="G470">
        <v>0</v>
      </c>
      <c r="L470" t="s">
        <v>7</v>
      </c>
      <c r="M470" t="s">
        <v>8</v>
      </c>
      <c r="N470" t="s">
        <v>7</v>
      </c>
      <c r="P470">
        <f t="shared" si="979"/>
        <v>-0.24137931034482693</v>
      </c>
      <c r="Q470">
        <f t="shared" si="980"/>
        <v>-641364.87172413617</v>
      </c>
      <c r="R470">
        <f t="shared" si="981"/>
        <v>-181743840.32589003</v>
      </c>
      <c r="S470">
        <f t="shared" si="982"/>
        <v>-1817.4384032589003</v>
      </c>
      <c r="T470">
        <f t="shared" si="983"/>
        <v>-1.8174384032589004</v>
      </c>
    </row>
    <row r="471" spans="1:20" x14ac:dyDescent="0.25">
      <c r="A471" s="5">
        <v>44122</v>
      </c>
      <c r="B471">
        <v>0.38400000000000001</v>
      </c>
      <c r="C471">
        <v>0.3977</v>
      </c>
      <c r="D471">
        <v>0.38279999999999997</v>
      </c>
      <c r="E471">
        <v>0.38869999999999999</v>
      </c>
      <c r="F471">
        <v>1670750.44</v>
      </c>
      <c r="G471">
        <v>0</v>
      </c>
      <c r="L471" t="s">
        <v>7</v>
      </c>
      <c r="M471" t="s">
        <v>8</v>
      </c>
      <c r="N471" t="s">
        <v>7</v>
      </c>
      <c r="P471">
        <f t="shared" si="979"/>
        <v>-0.20805369127516687</v>
      </c>
      <c r="Q471">
        <f t="shared" si="980"/>
        <v>-347605.79624160921</v>
      </c>
      <c r="R471">
        <f t="shared" si="981"/>
        <v>-181102475.45416591</v>
      </c>
      <c r="S471">
        <f t="shared" si="982"/>
        <v>-1811.0247545416591</v>
      </c>
      <c r="T471">
        <f t="shared" si="983"/>
        <v>-1.8110247545416591</v>
      </c>
    </row>
    <row r="472" spans="1:20" x14ac:dyDescent="0.25">
      <c r="A472" s="5">
        <v>44121</v>
      </c>
      <c r="B472">
        <v>0.38969999999999999</v>
      </c>
      <c r="C472">
        <v>0.3957</v>
      </c>
      <c r="D472">
        <v>0.37330000000000002</v>
      </c>
      <c r="E472">
        <v>0.3841</v>
      </c>
      <c r="F472">
        <v>3622020.21</v>
      </c>
      <c r="G472">
        <v>0</v>
      </c>
      <c r="L472" t="s">
        <v>7</v>
      </c>
      <c r="M472" t="s">
        <v>8</v>
      </c>
      <c r="N472" t="s">
        <v>7</v>
      </c>
      <c r="P472">
        <f t="shared" si="979"/>
        <v>-3.5714285714286774E-2</v>
      </c>
      <c r="Q472">
        <f t="shared" si="980"/>
        <v>-129357.86464286098</v>
      </c>
      <c r="R472">
        <f t="shared" si="981"/>
        <v>-180754869.65792429</v>
      </c>
      <c r="S472">
        <f t="shared" si="982"/>
        <v>-1807.5486965792429</v>
      </c>
      <c r="T472">
        <f t="shared" si="983"/>
        <v>-1.8075486965792429</v>
      </c>
    </row>
    <row r="473" spans="1:20" x14ac:dyDescent="0.25">
      <c r="A473" s="5">
        <v>44120</v>
      </c>
      <c r="B473">
        <v>0.3977</v>
      </c>
      <c r="C473">
        <v>0.4103</v>
      </c>
      <c r="D473">
        <v>0.37859999999999999</v>
      </c>
      <c r="E473">
        <v>0.38979999999999998</v>
      </c>
      <c r="F473">
        <v>6476940.21</v>
      </c>
      <c r="G473">
        <v>0</v>
      </c>
      <c r="L473" t="s">
        <v>8</v>
      </c>
      <c r="M473" t="s">
        <v>8</v>
      </c>
      <c r="N473" t="s">
        <v>7</v>
      </c>
      <c r="P473">
        <f t="shared" si="979"/>
        <v>-0.29337539432176746</v>
      </c>
      <c r="Q473">
        <f t="shared" si="980"/>
        <v>-1900174.8881072614</v>
      </c>
      <c r="R473">
        <f t="shared" si="981"/>
        <v>-180625511.79328144</v>
      </c>
      <c r="S473">
        <f t="shared" si="982"/>
        <v>-1806.2551179328143</v>
      </c>
      <c r="T473">
        <f t="shared" si="983"/>
        <v>-1.8062551179328143</v>
      </c>
    </row>
    <row r="474" spans="1:20" x14ac:dyDescent="0.25">
      <c r="A474" s="5">
        <v>44119</v>
      </c>
      <c r="B474">
        <v>0.38669999999999999</v>
      </c>
      <c r="C474">
        <v>0.39779999999999999</v>
      </c>
      <c r="D474">
        <v>0.3664</v>
      </c>
      <c r="E474">
        <v>0.39739999999999998</v>
      </c>
      <c r="F474">
        <v>4401285.1900000004</v>
      </c>
      <c r="G474">
        <v>0</v>
      </c>
      <c r="L474" t="s">
        <v>8</v>
      </c>
      <c r="M474" t="s">
        <v>8</v>
      </c>
      <c r="N474" t="s">
        <v>7</v>
      </c>
      <c r="P474">
        <f t="shared" si="979"/>
        <v>0.9745222929936298</v>
      </c>
      <c r="Q474">
        <f t="shared" si="980"/>
        <v>4289150.5354777044</v>
      </c>
      <c r="R474">
        <f t="shared" si="981"/>
        <v>-178725336.90517417</v>
      </c>
      <c r="S474">
        <f t="shared" si="982"/>
        <v>-1787.2533690517416</v>
      </c>
      <c r="T474">
        <f t="shared" si="983"/>
        <v>-1.7872533690517416</v>
      </c>
    </row>
    <row r="475" spans="1:20" x14ac:dyDescent="0.25">
      <c r="A475" s="5">
        <v>44118</v>
      </c>
      <c r="B475">
        <v>0.41820000000000002</v>
      </c>
      <c r="C475">
        <v>0.43490000000000001</v>
      </c>
      <c r="D475">
        <v>0.37080000000000002</v>
      </c>
      <c r="E475">
        <v>0.38669999999999999</v>
      </c>
      <c r="F475">
        <v>10333704.960000001</v>
      </c>
      <c r="G475">
        <v>0</v>
      </c>
      <c r="L475" t="s">
        <v>7</v>
      </c>
      <c r="M475" t="s">
        <v>8</v>
      </c>
      <c r="N475" t="s">
        <v>7</v>
      </c>
      <c r="P475">
        <f t="shared" si="979"/>
        <v>-0.50390015600624116</v>
      </c>
      <c r="Q475">
        <f t="shared" si="980"/>
        <v>-5207155.5414664689</v>
      </c>
      <c r="R475">
        <f t="shared" si="981"/>
        <v>-183014487.44065186</v>
      </c>
      <c r="S475">
        <f t="shared" si="982"/>
        <v>-1830.1448744065187</v>
      </c>
      <c r="T475">
        <f t="shared" si="983"/>
        <v>-1.8301448744065187</v>
      </c>
    </row>
    <row r="476" spans="1:20" x14ac:dyDescent="0.25">
      <c r="A476" s="5">
        <v>44117</v>
      </c>
      <c r="B476">
        <v>0.39550000000000002</v>
      </c>
      <c r="C476">
        <v>0.42799999999999999</v>
      </c>
      <c r="D476">
        <v>0.39029999999999998</v>
      </c>
      <c r="E476">
        <v>0.41820000000000002</v>
      </c>
      <c r="F476">
        <v>6993247.3799999999</v>
      </c>
      <c r="G476">
        <v>0</v>
      </c>
      <c r="L476" t="s">
        <v>8</v>
      </c>
      <c r="M476" t="s">
        <v>8</v>
      </c>
      <c r="N476" t="s">
        <v>7</v>
      </c>
      <c r="P476">
        <f t="shared" si="979"/>
        <v>0.48010610079575744</v>
      </c>
      <c r="Q476">
        <f t="shared" si="980"/>
        <v>3357500.7315119468</v>
      </c>
      <c r="R476">
        <f t="shared" si="981"/>
        <v>-177807331.89918539</v>
      </c>
      <c r="S476">
        <f t="shared" si="982"/>
        <v>-1778.073318991854</v>
      </c>
      <c r="T476">
        <f t="shared" si="983"/>
        <v>-1.7780733189918541</v>
      </c>
    </row>
    <row r="477" spans="1:20" x14ac:dyDescent="0.25">
      <c r="A477" s="5">
        <v>44116</v>
      </c>
      <c r="B477">
        <v>0.39040000000000002</v>
      </c>
      <c r="C477">
        <v>0.40939999999999999</v>
      </c>
      <c r="D477">
        <v>0.37959999999999999</v>
      </c>
      <c r="E477">
        <v>0.39539999999999997</v>
      </c>
      <c r="F477">
        <v>3411977.88</v>
      </c>
      <c r="G477">
        <v>0</v>
      </c>
      <c r="L477" t="s">
        <v>8</v>
      </c>
      <c r="M477" t="s">
        <v>8</v>
      </c>
      <c r="N477" t="s">
        <v>7</v>
      </c>
      <c r="P477">
        <f t="shared" si="979"/>
        <v>6.0402684563757338E-2</v>
      </c>
      <c r="Q477">
        <f t="shared" si="980"/>
        <v>206092.62362415748</v>
      </c>
      <c r="R477">
        <f t="shared" si="981"/>
        <v>-181164832.63069734</v>
      </c>
      <c r="S477">
        <f t="shared" si="982"/>
        <v>-1811.6483263069733</v>
      </c>
      <c r="T477">
        <f t="shared" si="983"/>
        <v>-1.8116483263069734</v>
      </c>
    </row>
    <row r="478" spans="1:20" x14ac:dyDescent="0.25">
      <c r="A478" s="5">
        <v>44115</v>
      </c>
      <c r="B478">
        <v>0.39419999999999999</v>
      </c>
      <c r="C478">
        <v>0.3977</v>
      </c>
      <c r="D478">
        <v>0.38569999999999999</v>
      </c>
      <c r="E478">
        <v>0.39050000000000001</v>
      </c>
      <c r="F478">
        <v>2354446.0499999998</v>
      </c>
      <c r="G478">
        <v>0</v>
      </c>
      <c r="L478" t="s">
        <v>8</v>
      </c>
      <c r="M478" t="s">
        <v>8</v>
      </c>
      <c r="N478" t="s">
        <v>7</v>
      </c>
      <c r="P478">
        <f t="shared" si="979"/>
        <v>-0.19999999999999629</v>
      </c>
      <c r="Q478">
        <f t="shared" si="980"/>
        <v>-470889.20999999123</v>
      </c>
      <c r="R478">
        <f t="shared" si="981"/>
        <v>-181370925.25432149</v>
      </c>
      <c r="S478">
        <f t="shared" si="982"/>
        <v>-1813.7092525432149</v>
      </c>
      <c r="T478">
        <f t="shared" si="983"/>
        <v>-1.813709252543215</v>
      </c>
    </row>
    <row r="479" spans="1:20" x14ac:dyDescent="0.25">
      <c r="A479" s="5">
        <v>44114</v>
      </c>
      <c r="B479">
        <v>0.38929999999999998</v>
      </c>
      <c r="C479">
        <v>0.40710000000000002</v>
      </c>
      <c r="D479">
        <v>0.38900000000000001</v>
      </c>
      <c r="E479">
        <v>0.39510000000000001</v>
      </c>
      <c r="F479">
        <v>2933894.68</v>
      </c>
      <c r="G479">
        <v>0</v>
      </c>
      <c r="L479" t="s">
        <v>8</v>
      </c>
      <c r="M479" t="s">
        <v>8</v>
      </c>
      <c r="N479" t="s">
        <v>7</v>
      </c>
      <c r="P479">
        <f t="shared" si="979"/>
        <v>-0.32596685082873011</v>
      </c>
      <c r="Q479">
        <f t="shared" si="980"/>
        <v>-956352.40950276493</v>
      </c>
      <c r="R479">
        <f t="shared" si="981"/>
        <v>-180900036.04432151</v>
      </c>
      <c r="S479">
        <f t="shared" si="982"/>
        <v>-1809.000360443215</v>
      </c>
      <c r="T479">
        <f t="shared" si="983"/>
        <v>-1.809000360443215</v>
      </c>
    </row>
    <row r="480" spans="1:20" x14ac:dyDescent="0.25">
      <c r="A480" s="5">
        <v>44113</v>
      </c>
      <c r="B480">
        <v>0.36749999999999999</v>
      </c>
      <c r="C480">
        <v>0.39489999999999997</v>
      </c>
      <c r="D480">
        <v>0.36120000000000002</v>
      </c>
      <c r="E480">
        <v>0.3896</v>
      </c>
      <c r="F480">
        <v>3620063.67</v>
      </c>
      <c r="G480">
        <v>0</v>
      </c>
      <c r="L480" t="s">
        <v>8</v>
      </c>
      <c r="M480" t="s">
        <v>7</v>
      </c>
      <c r="N480" t="s">
        <v>7</v>
      </c>
      <c r="P480">
        <f t="shared" si="979"/>
        <v>0.68545994065282023</v>
      </c>
      <c r="Q480">
        <f t="shared" si="980"/>
        <v>2481408.6283976305</v>
      </c>
      <c r="R480">
        <f t="shared" si="981"/>
        <v>-179943683.63481873</v>
      </c>
      <c r="S480">
        <f t="shared" si="982"/>
        <v>-1799.4368363481874</v>
      </c>
      <c r="T480">
        <f t="shared" si="983"/>
        <v>-1.7994368363481874</v>
      </c>
    </row>
    <row r="481" spans="1:20" x14ac:dyDescent="0.25">
      <c r="A481" s="5">
        <v>44112</v>
      </c>
      <c r="B481">
        <v>0.35699999999999998</v>
      </c>
      <c r="C481">
        <v>0.37290000000000001</v>
      </c>
      <c r="D481">
        <v>0.3372</v>
      </c>
      <c r="E481">
        <v>0.3674</v>
      </c>
      <c r="F481">
        <v>3429553.36</v>
      </c>
      <c r="G481">
        <v>0</v>
      </c>
      <c r="L481" t="s">
        <v>8</v>
      </c>
      <c r="M481" t="s">
        <v>7</v>
      </c>
      <c r="N481" t="s">
        <v>7</v>
      </c>
      <c r="P481">
        <f t="shared" si="979"/>
        <v>0.69187675070027987</v>
      </c>
      <c r="Q481">
        <f t="shared" si="980"/>
        <v>2372828.2350700269</v>
      </c>
      <c r="R481">
        <f t="shared" si="981"/>
        <v>-182425092.26321638</v>
      </c>
      <c r="S481">
        <f t="shared" si="982"/>
        <v>-1824.2509226321638</v>
      </c>
      <c r="T481">
        <f t="shared" si="983"/>
        <v>-1.8242509226321637</v>
      </c>
    </row>
    <row r="482" spans="1:20" x14ac:dyDescent="0.25">
      <c r="A482" s="5">
        <v>44111</v>
      </c>
      <c r="B482">
        <v>0.35149999999999998</v>
      </c>
      <c r="C482">
        <v>0.35899999999999999</v>
      </c>
      <c r="D482">
        <v>0.33600000000000002</v>
      </c>
      <c r="E482">
        <v>0.35680000000000001</v>
      </c>
      <c r="F482">
        <v>4889270.4000000004</v>
      </c>
      <c r="G482">
        <v>0</v>
      </c>
      <c r="L482" t="s">
        <v>7</v>
      </c>
      <c r="M482" t="s">
        <v>7</v>
      </c>
      <c r="N482" t="s">
        <v>7</v>
      </c>
      <c r="P482">
        <f t="shared" si="979"/>
        <v>0.80869565217391448</v>
      </c>
      <c r="Q482">
        <f t="shared" si="980"/>
        <v>3953931.7147826161</v>
      </c>
      <c r="R482">
        <f t="shared" si="981"/>
        <v>-184797920.4982864</v>
      </c>
      <c r="S482">
        <f t="shared" si="982"/>
        <v>-1847.9792049828641</v>
      </c>
      <c r="T482">
        <f t="shared" si="983"/>
        <v>-1.8479792049828641</v>
      </c>
    </row>
    <row r="483" spans="1:20" x14ac:dyDescent="0.25">
      <c r="A483" s="5">
        <v>44110</v>
      </c>
      <c r="B483">
        <v>0.37680000000000002</v>
      </c>
      <c r="C483">
        <v>0.37790000000000001</v>
      </c>
      <c r="D483">
        <v>0.34839999999999999</v>
      </c>
      <c r="E483">
        <v>0.3518</v>
      </c>
      <c r="F483">
        <v>4017715.17</v>
      </c>
      <c r="G483">
        <v>0</v>
      </c>
      <c r="L483" t="s">
        <v>7</v>
      </c>
      <c r="M483" t="s">
        <v>7</v>
      </c>
      <c r="N483" t="s">
        <v>7</v>
      </c>
      <c r="P483">
        <f t="shared" si="979"/>
        <v>-0.76949152542372801</v>
      </c>
      <c r="Q483">
        <f t="shared" si="980"/>
        <v>-3091597.7748813527</v>
      </c>
      <c r="R483">
        <f t="shared" si="981"/>
        <v>-188751852.21306902</v>
      </c>
      <c r="S483">
        <f t="shared" si="982"/>
        <v>-1887.5185221306901</v>
      </c>
      <c r="T483">
        <f t="shared" si="983"/>
        <v>-1.88751852213069</v>
      </c>
    </row>
    <row r="484" spans="1:20" x14ac:dyDescent="0.25">
      <c r="A484" s="5">
        <v>44109</v>
      </c>
      <c r="B484">
        <v>0.37609999999999999</v>
      </c>
      <c r="C484">
        <v>0.38109999999999999</v>
      </c>
      <c r="D484">
        <v>0.37009999999999998</v>
      </c>
      <c r="E484">
        <v>0.37659999999999999</v>
      </c>
      <c r="F484">
        <v>2072728.42</v>
      </c>
      <c r="G484">
        <v>0</v>
      </c>
      <c r="L484" t="s">
        <v>7</v>
      </c>
      <c r="M484" t="s">
        <v>7</v>
      </c>
      <c r="N484" t="s">
        <v>7</v>
      </c>
      <c r="P484">
        <f t="shared" si="979"/>
        <v>0.18181818181818182</v>
      </c>
      <c r="Q484">
        <f t="shared" si="980"/>
        <v>376859.71272727271</v>
      </c>
      <c r="R484">
        <f t="shared" si="981"/>
        <v>-185660254.43818766</v>
      </c>
      <c r="S484">
        <f t="shared" si="982"/>
        <v>-1856.6025443818767</v>
      </c>
      <c r="T484">
        <f t="shared" si="983"/>
        <v>-1.8566025443818768</v>
      </c>
    </row>
    <row r="485" spans="1:20" x14ac:dyDescent="0.25">
      <c r="A485" s="5">
        <v>44108</v>
      </c>
      <c r="B485">
        <v>0.37619999999999998</v>
      </c>
      <c r="C485">
        <v>0.38109999999999999</v>
      </c>
      <c r="D485">
        <v>0.36399999999999999</v>
      </c>
      <c r="E485">
        <v>0.37640000000000001</v>
      </c>
      <c r="F485">
        <v>2713130.87</v>
      </c>
      <c r="G485">
        <v>0</v>
      </c>
      <c r="L485" t="s">
        <v>7</v>
      </c>
      <c r="M485" t="s">
        <v>7</v>
      </c>
      <c r="N485" t="s">
        <v>7</v>
      </c>
      <c r="P485">
        <f t="shared" si="979"/>
        <v>0.45029239766082096</v>
      </c>
      <c r="Q485">
        <f t="shared" si="980"/>
        <v>1221702.2046198891</v>
      </c>
      <c r="R485">
        <f t="shared" si="981"/>
        <v>-186037114.15091494</v>
      </c>
      <c r="S485">
        <f t="shared" si="982"/>
        <v>-1860.3711415091493</v>
      </c>
      <c r="T485">
        <f t="shared" si="983"/>
        <v>-1.8603711415091493</v>
      </c>
    </row>
    <row r="486" spans="1:20" x14ac:dyDescent="0.25">
      <c r="A486" s="5">
        <v>44107</v>
      </c>
      <c r="B486">
        <v>0.38950000000000001</v>
      </c>
      <c r="C486">
        <v>0.39369999999999999</v>
      </c>
      <c r="D486">
        <v>0.37519999999999998</v>
      </c>
      <c r="E486">
        <v>0.37619999999999998</v>
      </c>
      <c r="F486">
        <v>2217396.4300000002</v>
      </c>
      <c r="G486">
        <v>0</v>
      </c>
      <c r="L486" t="s">
        <v>8</v>
      </c>
      <c r="M486" t="s">
        <v>7</v>
      </c>
      <c r="N486" t="s">
        <v>7</v>
      </c>
      <c r="P486">
        <f t="shared" si="979"/>
        <v>-0.89189189189189189</v>
      </c>
      <c r="Q486">
        <f t="shared" si="980"/>
        <v>-1977677.8970270271</v>
      </c>
      <c r="R486">
        <f t="shared" si="981"/>
        <v>-187258816.35553482</v>
      </c>
      <c r="S486">
        <f t="shared" si="982"/>
        <v>-1872.5881635553483</v>
      </c>
      <c r="T486">
        <f t="shared" si="983"/>
        <v>-1.8725881635553483</v>
      </c>
    </row>
    <row r="487" spans="1:20" x14ac:dyDescent="0.25">
      <c r="A487" s="5">
        <v>44106</v>
      </c>
      <c r="B487">
        <v>0.39889999999999998</v>
      </c>
      <c r="C487">
        <v>0.39989999999999998</v>
      </c>
      <c r="D487">
        <v>0.35510000000000003</v>
      </c>
      <c r="E487">
        <v>0.38969999999999999</v>
      </c>
      <c r="F487">
        <v>6426306.6699999999</v>
      </c>
      <c r="G487">
        <v>0</v>
      </c>
      <c r="L487" t="s">
        <v>7</v>
      </c>
      <c r="M487" t="s">
        <v>7</v>
      </c>
      <c r="N487" t="s">
        <v>7</v>
      </c>
      <c r="P487">
        <f t="shared" si="979"/>
        <v>0.54464285714285721</v>
      </c>
      <c r="Q487">
        <f t="shared" si="980"/>
        <v>3500042.0256250002</v>
      </c>
      <c r="R487">
        <f t="shared" si="981"/>
        <v>-185281138.45850781</v>
      </c>
      <c r="S487">
        <f t="shared" si="982"/>
        <v>-1852.811384585078</v>
      </c>
      <c r="T487">
        <f t="shared" si="983"/>
        <v>-1.852811384585078</v>
      </c>
    </row>
    <row r="488" spans="1:20" x14ac:dyDescent="0.25">
      <c r="A488" s="5">
        <v>44105</v>
      </c>
      <c r="B488">
        <v>0.4098</v>
      </c>
      <c r="C488">
        <v>0.43</v>
      </c>
      <c r="D488">
        <v>0.38769999999999999</v>
      </c>
      <c r="E488">
        <v>0.39889999999999998</v>
      </c>
      <c r="F488">
        <v>6577064.3499999996</v>
      </c>
      <c r="G488">
        <v>0</v>
      </c>
      <c r="L488" t="s">
        <v>8</v>
      </c>
      <c r="M488" t="s">
        <v>8</v>
      </c>
      <c r="N488" t="s">
        <v>7</v>
      </c>
      <c r="P488">
        <f t="shared" si="979"/>
        <v>-0.47044917257683277</v>
      </c>
      <c r="Q488">
        <f t="shared" si="980"/>
        <v>-3094174.4814420845</v>
      </c>
      <c r="R488">
        <f t="shared" si="981"/>
        <v>-188781180.4841328</v>
      </c>
      <c r="S488">
        <f t="shared" si="982"/>
        <v>-1887.811804841328</v>
      </c>
      <c r="T488">
        <f t="shared" si="983"/>
        <v>-1.8878118048413279</v>
      </c>
    </row>
    <row r="489" spans="1:20" x14ac:dyDescent="0.25">
      <c r="A489" s="5">
        <v>44104</v>
      </c>
      <c r="B489">
        <v>0.40799999999999997</v>
      </c>
      <c r="C489">
        <v>0.41070000000000001</v>
      </c>
      <c r="D489">
        <v>0.38700000000000001</v>
      </c>
      <c r="E489">
        <v>0.40910000000000002</v>
      </c>
      <c r="F489">
        <v>2784484.5</v>
      </c>
      <c r="G489">
        <v>0</v>
      </c>
      <c r="L489" t="s">
        <v>8</v>
      </c>
      <c r="M489" t="s">
        <v>8</v>
      </c>
      <c r="N489" t="s">
        <v>7</v>
      </c>
      <c r="P489">
        <f t="shared" si="979"/>
        <v>0.86497890295358726</v>
      </c>
      <c r="Q489">
        <f t="shared" si="980"/>
        <v>2408520.3481012681</v>
      </c>
      <c r="R489">
        <f t="shared" si="981"/>
        <v>-185687006.0026907</v>
      </c>
      <c r="S489">
        <f t="shared" si="982"/>
        <v>-1856.8700600269071</v>
      </c>
      <c r="T489">
        <f t="shared" si="983"/>
        <v>-1.8568700600269072</v>
      </c>
    </row>
    <row r="490" spans="1:20" x14ac:dyDescent="0.25">
      <c r="A490" s="5">
        <v>44103</v>
      </c>
      <c r="B490">
        <v>0.41270000000000001</v>
      </c>
      <c r="C490">
        <v>0.41880000000000001</v>
      </c>
      <c r="D490">
        <v>0.3851</v>
      </c>
      <c r="E490">
        <v>0.40799999999999997</v>
      </c>
      <c r="F490">
        <v>6850686.1100000003</v>
      </c>
      <c r="G490">
        <v>0</v>
      </c>
      <c r="L490" t="s">
        <v>7</v>
      </c>
      <c r="M490" t="s">
        <v>8</v>
      </c>
      <c r="N490" t="s">
        <v>7</v>
      </c>
      <c r="P490">
        <f t="shared" si="979"/>
        <v>0.35905044510385581</v>
      </c>
      <c r="Q490">
        <f t="shared" si="980"/>
        <v>2459741.8970623026</v>
      </c>
      <c r="R490">
        <f t="shared" si="981"/>
        <v>-188095526.35079196</v>
      </c>
      <c r="S490">
        <f t="shared" si="982"/>
        <v>-1880.9552635079197</v>
      </c>
      <c r="T490">
        <f t="shared" si="983"/>
        <v>-1.8809552635079196</v>
      </c>
    </row>
    <row r="491" spans="1:20" x14ac:dyDescent="0.25">
      <c r="A491" s="5">
        <v>44102</v>
      </c>
      <c r="B491">
        <v>0.39600000000000002</v>
      </c>
      <c r="C491">
        <v>0.43980000000000002</v>
      </c>
      <c r="D491">
        <v>0.39600000000000002</v>
      </c>
      <c r="E491">
        <v>0.41320000000000001</v>
      </c>
      <c r="F491">
        <v>8927492.6500000004</v>
      </c>
      <c r="G491">
        <v>0</v>
      </c>
      <c r="L491" t="s">
        <v>8</v>
      </c>
      <c r="M491" t="s">
        <v>8</v>
      </c>
      <c r="N491" t="s">
        <v>7</v>
      </c>
      <c r="P491">
        <f t="shared" si="979"/>
        <v>-0.21461187214611913</v>
      </c>
      <c r="Q491">
        <f t="shared" si="980"/>
        <v>-1915945.9111872183</v>
      </c>
      <c r="R491">
        <f t="shared" si="981"/>
        <v>-190555268.24785426</v>
      </c>
      <c r="S491">
        <f t="shared" si="982"/>
        <v>-1905.5526824785427</v>
      </c>
      <c r="T491">
        <f t="shared" si="983"/>
        <v>-1.9055526824785427</v>
      </c>
    </row>
    <row r="492" spans="1:20" x14ac:dyDescent="0.25">
      <c r="A492" s="5">
        <v>44101</v>
      </c>
      <c r="B492">
        <v>0.39069999999999999</v>
      </c>
      <c r="C492">
        <v>0.40279999999999999</v>
      </c>
      <c r="D492">
        <v>0.37440000000000001</v>
      </c>
      <c r="E492">
        <v>0.39529999999999998</v>
      </c>
      <c r="F492">
        <v>5351549.71</v>
      </c>
      <c r="G492">
        <v>0</v>
      </c>
      <c r="L492" t="s">
        <v>7</v>
      </c>
      <c r="M492" t="s">
        <v>8</v>
      </c>
      <c r="N492" t="s">
        <v>7</v>
      </c>
      <c r="P492">
        <f t="shared" si="979"/>
        <v>0.47183098591549211</v>
      </c>
      <c r="Q492">
        <f t="shared" si="980"/>
        <v>2525026.9758450659</v>
      </c>
      <c r="R492">
        <f t="shared" si="981"/>
        <v>-188639322.33666703</v>
      </c>
      <c r="S492">
        <f t="shared" si="982"/>
        <v>-1886.3932233666703</v>
      </c>
      <c r="T492">
        <f t="shared" si="983"/>
        <v>-1.8863932233666703</v>
      </c>
    </row>
    <row r="493" spans="1:20" x14ac:dyDescent="0.25">
      <c r="A493" s="5">
        <v>44100</v>
      </c>
      <c r="B493">
        <v>0.40589999999999998</v>
      </c>
      <c r="C493">
        <v>0.41360000000000002</v>
      </c>
      <c r="D493">
        <v>0.38350000000000001</v>
      </c>
      <c r="E493">
        <v>0.39140000000000003</v>
      </c>
      <c r="F493">
        <v>4399174.33</v>
      </c>
      <c r="G493">
        <v>0</v>
      </c>
      <c r="L493" t="s">
        <v>7</v>
      </c>
      <c r="M493" t="s">
        <v>8</v>
      </c>
      <c r="N493" t="s">
        <v>7</v>
      </c>
      <c r="P493">
        <f t="shared" si="979"/>
        <v>-0.47508305647840438</v>
      </c>
      <c r="Q493">
        <f t="shared" si="980"/>
        <v>-2089973.1866777367</v>
      </c>
      <c r="R493">
        <f t="shared" si="981"/>
        <v>-191164349.3125121</v>
      </c>
      <c r="S493">
        <f t="shared" si="982"/>
        <v>-1911.643493125121</v>
      </c>
      <c r="T493">
        <f t="shared" si="983"/>
        <v>-1.9116434931251209</v>
      </c>
    </row>
    <row r="494" spans="1:20" x14ac:dyDescent="0.25">
      <c r="A494" s="5">
        <v>44099</v>
      </c>
      <c r="B494">
        <v>0.38240000000000002</v>
      </c>
      <c r="C494">
        <v>0.41210000000000002</v>
      </c>
      <c r="D494">
        <v>0.37030000000000002</v>
      </c>
      <c r="E494">
        <v>0.40600000000000003</v>
      </c>
      <c r="F494">
        <v>4855816.1399999997</v>
      </c>
      <c r="G494">
        <v>0</v>
      </c>
      <c r="L494" t="s">
        <v>8</v>
      </c>
      <c r="M494" t="s">
        <v>8</v>
      </c>
      <c r="N494" t="s">
        <v>7</v>
      </c>
      <c r="P494">
        <f t="shared" si="979"/>
        <v>0.70813397129186628</v>
      </c>
      <c r="Q494">
        <f t="shared" si="980"/>
        <v>3438568.3670813409</v>
      </c>
      <c r="R494">
        <f t="shared" si="981"/>
        <v>-189074376.12583438</v>
      </c>
      <c r="S494">
        <f t="shared" si="982"/>
        <v>-1890.7437612583437</v>
      </c>
      <c r="T494">
        <f t="shared" si="983"/>
        <v>-1.8907437612583438</v>
      </c>
    </row>
    <row r="495" spans="1:20" x14ac:dyDescent="0.25">
      <c r="A495" s="5">
        <v>44098</v>
      </c>
      <c r="B495">
        <v>0.34050000000000002</v>
      </c>
      <c r="C495">
        <v>0.38740000000000002</v>
      </c>
      <c r="D495">
        <v>0.33810000000000001</v>
      </c>
      <c r="E495">
        <v>0.38250000000000001</v>
      </c>
      <c r="F495">
        <v>4402931.38</v>
      </c>
      <c r="G495">
        <v>0</v>
      </c>
      <c r="L495" t="s">
        <v>8</v>
      </c>
      <c r="M495" t="s">
        <v>7</v>
      </c>
      <c r="N495" t="s">
        <v>7</v>
      </c>
      <c r="P495">
        <f t="shared" si="979"/>
        <v>0.80121703853955317</v>
      </c>
      <c r="Q495">
        <f t="shared" si="980"/>
        <v>3527703.6411764678</v>
      </c>
      <c r="R495">
        <f t="shared" si="981"/>
        <v>-192512944.49291572</v>
      </c>
      <c r="S495">
        <f t="shared" si="982"/>
        <v>-1925.1294449291572</v>
      </c>
      <c r="T495">
        <f t="shared" si="983"/>
        <v>-1.9251294449291572</v>
      </c>
    </row>
    <row r="496" spans="1:20" x14ac:dyDescent="0.25">
      <c r="A496" s="5">
        <v>44097</v>
      </c>
      <c r="B496">
        <v>0.38069999999999998</v>
      </c>
      <c r="C496">
        <v>0.39</v>
      </c>
      <c r="D496">
        <v>0.3357</v>
      </c>
      <c r="E496">
        <v>0.3407</v>
      </c>
      <c r="F496">
        <v>4793144.4000000004</v>
      </c>
      <c r="G496">
        <v>0</v>
      </c>
      <c r="L496" t="s">
        <v>7</v>
      </c>
      <c r="M496" t="s">
        <v>7</v>
      </c>
      <c r="N496" t="s">
        <v>7</v>
      </c>
      <c r="P496">
        <f t="shared" si="979"/>
        <v>-0.81583793738489863</v>
      </c>
      <c r="Q496">
        <f t="shared" si="980"/>
        <v>-3910429.0408839779</v>
      </c>
      <c r="R496">
        <f t="shared" si="981"/>
        <v>-196040648.13409218</v>
      </c>
      <c r="S496">
        <f t="shared" si="982"/>
        <v>-1960.4064813409218</v>
      </c>
      <c r="T496">
        <f t="shared" si="983"/>
        <v>-1.9604064813409219</v>
      </c>
    </row>
    <row r="497" spans="1:20" x14ac:dyDescent="0.25">
      <c r="A497" s="5">
        <v>44096</v>
      </c>
      <c r="B497">
        <v>0.36759999999999998</v>
      </c>
      <c r="C497">
        <v>0.38929999999999998</v>
      </c>
      <c r="D497">
        <v>0.35070000000000001</v>
      </c>
      <c r="E497">
        <v>0.38040000000000002</v>
      </c>
      <c r="F497">
        <v>4035777.69</v>
      </c>
      <c r="G497">
        <v>0</v>
      </c>
      <c r="L497" t="s">
        <v>8</v>
      </c>
      <c r="M497" t="s">
        <v>7</v>
      </c>
      <c r="N497" t="s">
        <v>7</v>
      </c>
      <c r="P497">
        <f t="shared" si="979"/>
        <v>0.53886010362694448</v>
      </c>
      <c r="Q497">
        <f t="shared" si="980"/>
        <v>2174719.5842487104</v>
      </c>
      <c r="R497">
        <f t="shared" si="981"/>
        <v>-192130219.09320819</v>
      </c>
      <c r="S497">
        <f t="shared" si="982"/>
        <v>-1921.3021909320819</v>
      </c>
      <c r="T497">
        <f t="shared" si="983"/>
        <v>-1.921302190932082</v>
      </c>
    </row>
    <row r="498" spans="1:20" x14ac:dyDescent="0.25">
      <c r="A498" s="5">
        <v>44095</v>
      </c>
      <c r="B498">
        <v>0.3947</v>
      </c>
      <c r="C498">
        <v>0.40620000000000001</v>
      </c>
      <c r="D498">
        <v>0.34239999999999998</v>
      </c>
      <c r="E498">
        <v>0.3674</v>
      </c>
      <c r="F498">
        <v>9471241.3699999992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-0.21630094043887108</v>
      </c>
      <c r="Q498">
        <f t="shared" si="980"/>
        <v>-2048638.4154545416</v>
      </c>
      <c r="R498">
        <f t="shared" si="981"/>
        <v>-194304938.67745692</v>
      </c>
      <c r="S498">
        <f t="shared" si="982"/>
        <v>-1943.0493867745693</v>
      </c>
      <c r="T498">
        <f t="shared" si="983"/>
        <v>-1.9430493867745693</v>
      </c>
    </row>
    <row r="499" spans="1:20" x14ac:dyDescent="0.25">
      <c r="A499" s="5">
        <v>44094</v>
      </c>
      <c r="B499">
        <v>0.42870000000000003</v>
      </c>
      <c r="C499">
        <v>0.42870000000000003</v>
      </c>
      <c r="D499">
        <v>0.3866</v>
      </c>
      <c r="E499">
        <v>0.39529999999999998</v>
      </c>
      <c r="F499">
        <v>4012018.54</v>
      </c>
      <c r="G499">
        <v>0</v>
      </c>
      <c r="L499" t="s">
        <v>7</v>
      </c>
      <c r="M499" t="s">
        <v>7</v>
      </c>
      <c r="N499" t="s">
        <v>7</v>
      </c>
      <c r="P499">
        <f t="shared" si="979"/>
        <v>-0.58669833729216248</v>
      </c>
      <c r="Q499">
        <f t="shared" si="980"/>
        <v>-2353844.6066033291</v>
      </c>
      <c r="R499">
        <f t="shared" si="981"/>
        <v>-192256300.26200238</v>
      </c>
      <c r="S499">
        <f t="shared" si="982"/>
        <v>-1922.5630026200238</v>
      </c>
      <c r="T499">
        <f t="shared" si="983"/>
        <v>-1.9225630026200238</v>
      </c>
    </row>
    <row r="500" spans="1:20" x14ac:dyDescent="0.25">
      <c r="A500" s="5">
        <v>44093</v>
      </c>
      <c r="B500">
        <v>0.4163</v>
      </c>
      <c r="C500">
        <v>0.42970000000000003</v>
      </c>
      <c r="D500">
        <v>0.40350000000000003</v>
      </c>
      <c r="E500">
        <v>0.42899999999999999</v>
      </c>
      <c r="F500">
        <v>2676427.87</v>
      </c>
      <c r="G500">
        <v>0</v>
      </c>
      <c r="L500" t="s">
        <v>7</v>
      </c>
      <c r="M500" t="s">
        <v>7</v>
      </c>
      <c r="N500" t="s">
        <v>7</v>
      </c>
      <c r="P500">
        <f t="shared" si="979"/>
        <v>0.94656488549618056</v>
      </c>
      <c r="Q500">
        <f t="shared" si="980"/>
        <v>2533412.6403053366</v>
      </c>
      <c r="R500">
        <f t="shared" si="981"/>
        <v>-189902455.65539905</v>
      </c>
      <c r="S500">
        <f t="shared" si="982"/>
        <v>-1899.0245565539906</v>
      </c>
      <c r="T500">
        <f t="shared" si="983"/>
        <v>-1.8990245565539905</v>
      </c>
    </row>
    <row r="501" spans="1:20" x14ac:dyDescent="0.25">
      <c r="A501" s="5">
        <v>44092</v>
      </c>
      <c r="B501">
        <v>0.44090000000000001</v>
      </c>
      <c r="C501">
        <v>0.44190000000000002</v>
      </c>
      <c r="D501">
        <v>0.40989999999999999</v>
      </c>
      <c r="E501">
        <v>0.41670000000000001</v>
      </c>
      <c r="F501">
        <v>4840034.74</v>
      </c>
      <c r="G501">
        <v>0</v>
      </c>
      <c r="L501" t="s">
        <v>7</v>
      </c>
      <c r="M501" t="s">
        <v>7</v>
      </c>
      <c r="N501" t="s">
        <v>7</v>
      </c>
      <c r="P501">
        <f t="shared" si="979"/>
        <v>-0.57499999999999862</v>
      </c>
      <c r="Q501">
        <f t="shared" si="980"/>
        <v>-2783019.9754999937</v>
      </c>
      <c r="R501">
        <f t="shared" si="981"/>
        <v>-192435868.29570439</v>
      </c>
      <c r="S501">
        <f t="shared" si="982"/>
        <v>-1924.358682957044</v>
      </c>
      <c r="T501">
        <f t="shared" si="983"/>
        <v>-1.924358682957044</v>
      </c>
    </row>
    <row r="502" spans="1:20" x14ac:dyDescent="0.25">
      <c r="A502" s="5">
        <v>44091</v>
      </c>
      <c r="B502">
        <v>0.42830000000000001</v>
      </c>
      <c r="C502">
        <v>0.45240000000000002</v>
      </c>
      <c r="D502">
        <v>0.42720000000000002</v>
      </c>
      <c r="E502">
        <v>0.44069999999999998</v>
      </c>
      <c r="F502">
        <v>4459696.43</v>
      </c>
      <c r="G502">
        <v>0</v>
      </c>
      <c r="L502" t="s">
        <v>7</v>
      </c>
      <c r="M502" t="s">
        <v>7</v>
      </c>
      <c r="N502" t="s">
        <v>7</v>
      </c>
      <c r="P502">
        <f t="shared" si="979"/>
        <v>7.1428571428567969E-2</v>
      </c>
      <c r="Q502">
        <f t="shared" si="980"/>
        <v>318549.74499998457</v>
      </c>
      <c r="R502">
        <f t="shared" si="981"/>
        <v>-189652848.32020441</v>
      </c>
      <c r="S502">
        <f t="shared" si="982"/>
        <v>-1896.5284832020441</v>
      </c>
      <c r="T502">
        <f t="shared" si="983"/>
        <v>-1.8965284832020441</v>
      </c>
    </row>
    <row r="503" spans="1:20" x14ac:dyDescent="0.25">
      <c r="A503" s="5">
        <v>44090</v>
      </c>
      <c r="B503">
        <v>0.4486</v>
      </c>
      <c r="C503">
        <v>0.4486</v>
      </c>
      <c r="D503">
        <v>0.42230000000000001</v>
      </c>
      <c r="E503">
        <v>0.42830000000000001</v>
      </c>
      <c r="F503">
        <v>4874831.0999999996</v>
      </c>
      <c r="G503">
        <v>0</v>
      </c>
      <c r="L503" t="s">
        <v>7</v>
      </c>
      <c r="M503" t="s">
        <v>7</v>
      </c>
      <c r="N503" t="s">
        <v>7</v>
      </c>
      <c r="P503">
        <f t="shared" si="979"/>
        <v>-0.5437262357414443</v>
      </c>
      <c r="Q503">
        <f t="shared" si="980"/>
        <v>-2650573.5638783239</v>
      </c>
      <c r="R503">
        <f t="shared" si="981"/>
        <v>-189971398.06520438</v>
      </c>
      <c r="S503">
        <f t="shared" si="982"/>
        <v>-1899.7139806520438</v>
      </c>
      <c r="T503">
        <f t="shared" si="983"/>
        <v>-1.8997139806520438</v>
      </c>
    </row>
    <row r="504" spans="1:20" x14ac:dyDescent="0.25">
      <c r="A504" s="5">
        <v>44089</v>
      </c>
      <c r="B504">
        <v>0.47370000000000001</v>
      </c>
      <c r="C504">
        <v>0.47920000000000001</v>
      </c>
      <c r="D504">
        <v>0.44500000000000001</v>
      </c>
      <c r="E504">
        <v>0.4486</v>
      </c>
      <c r="F504">
        <v>4041813.38</v>
      </c>
      <c r="G504">
        <v>0</v>
      </c>
      <c r="L504" t="s">
        <v>7</v>
      </c>
      <c r="M504" t="s">
        <v>7</v>
      </c>
      <c r="N504" t="s">
        <v>7</v>
      </c>
      <c r="P504">
        <f t="shared" si="979"/>
        <v>-0.78947368421052688</v>
      </c>
      <c r="Q504">
        <f t="shared" si="980"/>
        <v>-3190905.3000000021</v>
      </c>
      <c r="R504">
        <f t="shared" si="981"/>
        <v>-187320824.50132605</v>
      </c>
      <c r="S504">
        <f t="shared" si="982"/>
        <v>-1873.2082450132605</v>
      </c>
      <c r="T504">
        <f t="shared" si="983"/>
        <v>-1.8732082450132606</v>
      </c>
    </row>
    <row r="505" spans="1:20" x14ac:dyDescent="0.25">
      <c r="A505" s="5">
        <v>44088</v>
      </c>
      <c r="B505">
        <v>0.4899</v>
      </c>
      <c r="C505">
        <v>0.4924</v>
      </c>
      <c r="D505">
        <v>0.47</v>
      </c>
      <c r="E505">
        <v>0.47289999999999999</v>
      </c>
      <c r="F505">
        <v>4064911.88</v>
      </c>
      <c r="G505">
        <v>0</v>
      </c>
      <c r="L505" t="s">
        <v>7</v>
      </c>
      <c r="M505" t="s">
        <v>8</v>
      </c>
      <c r="N505" t="s">
        <v>7</v>
      </c>
      <c r="P505">
        <f t="shared" si="979"/>
        <v>-0.74107142857142771</v>
      </c>
      <c r="Q505">
        <f t="shared" si="980"/>
        <v>-3012390.053928568</v>
      </c>
      <c r="R505">
        <f t="shared" si="981"/>
        <v>-184129919.20132604</v>
      </c>
      <c r="S505">
        <f t="shared" si="982"/>
        <v>-1841.2991920132604</v>
      </c>
      <c r="T505">
        <f t="shared" si="983"/>
        <v>-1.8412991920132604</v>
      </c>
    </row>
    <row r="506" spans="1:20" x14ac:dyDescent="0.25">
      <c r="A506" s="5">
        <v>44087</v>
      </c>
      <c r="B506">
        <v>0.51619999999999999</v>
      </c>
      <c r="C506">
        <v>0.51619999999999999</v>
      </c>
      <c r="D506">
        <v>0.46800000000000003</v>
      </c>
      <c r="E506">
        <v>0.49049999999999999</v>
      </c>
      <c r="F506">
        <v>6486993.0800000001</v>
      </c>
      <c r="G506">
        <v>0</v>
      </c>
      <c r="L506" t="s">
        <v>7</v>
      </c>
      <c r="M506" t="s">
        <v>8</v>
      </c>
      <c r="N506" t="s">
        <v>7</v>
      </c>
      <c r="P506">
        <f t="shared" si="979"/>
        <v>-6.6390041493776739E-2</v>
      </c>
      <c r="Q506">
        <f t="shared" si="980"/>
        <v>-430671.73975104257</v>
      </c>
      <c r="R506">
        <f t="shared" si="981"/>
        <v>-181117529.14739749</v>
      </c>
      <c r="S506">
        <f t="shared" si="982"/>
        <v>-1811.175291473975</v>
      </c>
      <c r="T506">
        <f t="shared" si="983"/>
        <v>-1.8111752914739749</v>
      </c>
    </row>
    <row r="507" spans="1:20" x14ac:dyDescent="0.25">
      <c r="A507" s="5">
        <v>44086</v>
      </c>
      <c r="B507">
        <v>0.52869999999999995</v>
      </c>
      <c r="C507">
        <v>0.53390000000000004</v>
      </c>
      <c r="D507">
        <v>0.50700000000000001</v>
      </c>
      <c r="E507">
        <v>0.51619999999999999</v>
      </c>
      <c r="F507">
        <v>6332603.8099999996</v>
      </c>
      <c r="G507">
        <v>0</v>
      </c>
      <c r="L507" t="s">
        <v>8</v>
      </c>
      <c r="M507" t="s">
        <v>8</v>
      </c>
      <c r="N507" t="s">
        <v>7</v>
      </c>
      <c r="P507">
        <f t="shared" si="979"/>
        <v>-0.31598513011152607</v>
      </c>
      <c r="Q507">
        <f t="shared" si="980"/>
        <v>-2001008.6388475955</v>
      </c>
      <c r="R507">
        <f t="shared" si="981"/>
        <v>-180686857.40764645</v>
      </c>
      <c r="S507">
        <f t="shared" si="982"/>
        <v>-1806.8685740764645</v>
      </c>
      <c r="T507">
        <f t="shared" si="983"/>
        <v>-1.8068685740764645</v>
      </c>
    </row>
    <row r="508" spans="1:20" x14ac:dyDescent="0.25">
      <c r="A508" s="5">
        <v>44085</v>
      </c>
      <c r="B508">
        <v>0.47149999999999997</v>
      </c>
      <c r="C508">
        <v>0.53249999999999997</v>
      </c>
      <c r="D508">
        <v>0.47060000000000002</v>
      </c>
      <c r="E508">
        <v>0.52769999999999995</v>
      </c>
      <c r="F508">
        <v>12063774.99</v>
      </c>
      <c r="G508">
        <v>0</v>
      </c>
      <c r="L508" t="s">
        <v>8</v>
      </c>
      <c r="M508" t="s">
        <v>8</v>
      </c>
      <c r="N508" t="s">
        <v>7</v>
      </c>
      <c r="P508">
        <f t="shared" si="979"/>
        <v>0.84491114701130754</v>
      </c>
      <c r="Q508">
        <f t="shared" si="980"/>
        <v>10192817.964087225</v>
      </c>
      <c r="R508">
        <f t="shared" si="981"/>
        <v>-178685848.76879886</v>
      </c>
      <c r="S508">
        <f t="shared" si="982"/>
        <v>-1786.8584876879886</v>
      </c>
      <c r="T508">
        <f t="shared" si="983"/>
        <v>-1.7868584876879885</v>
      </c>
    </row>
    <row r="509" spans="1:20" x14ac:dyDescent="0.25">
      <c r="A509" s="5">
        <v>44084</v>
      </c>
      <c r="B509">
        <v>0.45929999999999999</v>
      </c>
      <c r="C509">
        <v>0.4995</v>
      </c>
      <c r="D509">
        <v>0.45319999999999999</v>
      </c>
      <c r="E509">
        <v>0.47070000000000001</v>
      </c>
      <c r="F509">
        <v>6266560.7800000003</v>
      </c>
      <c r="G509">
        <v>0</v>
      </c>
      <c r="L509" t="s">
        <v>8</v>
      </c>
      <c r="M509" t="s">
        <v>8</v>
      </c>
      <c r="N509" t="s">
        <v>7</v>
      </c>
      <c r="P509">
        <f t="shared" si="979"/>
        <v>-0.24406047516198651</v>
      </c>
      <c r="Q509">
        <f t="shared" si="980"/>
        <v>-1529419.8015982688</v>
      </c>
      <c r="R509">
        <f t="shared" si="981"/>
        <v>-188878666.73288608</v>
      </c>
      <c r="S509">
        <f t="shared" si="982"/>
        <v>-1888.7866673288609</v>
      </c>
      <c r="T509">
        <f t="shared" si="983"/>
        <v>-1.8887866673288609</v>
      </c>
    </row>
    <row r="510" spans="1:20" x14ac:dyDescent="0.25">
      <c r="A510" s="5">
        <v>44083</v>
      </c>
      <c r="B510">
        <v>0.43340000000000001</v>
      </c>
      <c r="C510">
        <v>0.47299999999999998</v>
      </c>
      <c r="D510">
        <v>0.42080000000000001</v>
      </c>
      <c r="E510">
        <v>0.4597</v>
      </c>
      <c r="F510">
        <v>4355861.6500000004</v>
      </c>
      <c r="G510">
        <v>0</v>
      </c>
      <c r="L510" t="s">
        <v>8</v>
      </c>
      <c r="M510" t="s">
        <v>7</v>
      </c>
      <c r="N510" t="s">
        <v>7</v>
      </c>
      <c r="P510">
        <f t="shared" si="979"/>
        <v>0.49042145593869785</v>
      </c>
      <c r="Q510">
        <f t="shared" si="980"/>
        <v>2136208.012260539</v>
      </c>
      <c r="R510">
        <f t="shared" si="981"/>
        <v>-187349246.9312878</v>
      </c>
      <c r="S510">
        <f t="shared" si="982"/>
        <v>-1873.492469312878</v>
      </c>
      <c r="T510">
        <f t="shared" si="983"/>
        <v>-1.8734924693128781</v>
      </c>
    </row>
    <row r="511" spans="1:20" x14ac:dyDescent="0.25">
      <c r="A511" s="5">
        <v>44082</v>
      </c>
      <c r="B511">
        <v>0.45989999999999998</v>
      </c>
      <c r="C511">
        <v>0.4637</v>
      </c>
      <c r="D511">
        <v>0.41470000000000001</v>
      </c>
      <c r="E511">
        <v>0.433</v>
      </c>
      <c r="F511">
        <v>5855610.3099999996</v>
      </c>
      <c r="G511">
        <v>0</v>
      </c>
      <c r="L511" t="s">
        <v>7</v>
      </c>
      <c r="M511" t="s">
        <v>7</v>
      </c>
      <c r="N511" t="s">
        <v>7</v>
      </c>
      <c r="P511">
        <f t="shared" si="979"/>
        <v>-0.25306122448979645</v>
      </c>
      <c r="Q511">
        <f t="shared" si="980"/>
        <v>-1481827.9151836764</v>
      </c>
      <c r="R511">
        <f t="shared" si="981"/>
        <v>-189485454.94354832</v>
      </c>
      <c r="S511">
        <f t="shared" si="982"/>
        <v>-1894.8545494354832</v>
      </c>
      <c r="T511">
        <f t="shared" si="983"/>
        <v>-1.8948545494354831</v>
      </c>
    </row>
    <row r="512" spans="1:20" x14ac:dyDescent="0.25">
      <c r="A512" s="5">
        <v>44081</v>
      </c>
      <c r="B512">
        <v>0.46060000000000001</v>
      </c>
      <c r="C512">
        <v>0.48430000000000001</v>
      </c>
      <c r="D512">
        <v>0.41720000000000002</v>
      </c>
      <c r="E512">
        <v>0.45979999999999999</v>
      </c>
      <c r="F512">
        <v>8963842.7400000002</v>
      </c>
      <c r="G512">
        <v>0</v>
      </c>
      <c r="L512" t="s">
        <v>8</v>
      </c>
      <c r="M512" t="s">
        <v>8</v>
      </c>
      <c r="N512" t="s">
        <v>7</v>
      </c>
      <c r="P512">
        <f t="shared" si="979"/>
        <v>0.26974664679582638</v>
      </c>
      <c r="Q512">
        <f t="shared" si="980"/>
        <v>2417966.5215201126</v>
      </c>
      <c r="R512">
        <f t="shared" si="981"/>
        <v>-188003627.02836466</v>
      </c>
      <c r="S512">
        <f t="shared" si="982"/>
        <v>-1880.0362702836467</v>
      </c>
      <c r="T512">
        <f t="shared" si="983"/>
        <v>-1.8800362702836466</v>
      </c>
    </row>
    <row r="513" spans="1:20" x14ac:dyDescent="0.25">
      <c r="A513" s="5">
        <v>44080</v>
      </c>
      <c r="B513">
        <v>0.42920000000000003</v>
      </c>
      <c r="C513">
        <v>0.47</v>
      </c>
      <c r="D513">
        <v>0.4098</v>
      </c>
      <c r="E513">
        <v>0.46050000000000002</v>
      </c>
      <c r="F513">
        <v>6980633.6100000003</v>
      </c>
      <c r="G513">
        <v>0</v>
      </c>
      <c r="L513" t="s">
        <v>8</v>
      </c>
      <c r="M513" t="s">
        <v>7</v>
      </c>
      <c r="N513" t="s">
        <v>7</v>
      </c>
      <c r="P513">
        <f t="shared" si="979"/>
        <v>0.68438538205980215</v>
      </c>
      <c r="Q513">
        <f t="shared" si="980"/>
        <v>4777443.6001993464</v>
      </c>
      <c r="R513">
        <f t="shared" si="981"/>
        <v>-190421593.54988477</v>
      </c>
      <c r="S513">
        <f t="shared" si="982"/>
        <v>-1904.2159354988476</v>
      </c>
      <c r="T513">
        <f t="shared" si="983"/>
        <v>-1.9042159354988475</v>
      </c>
    </row>
    <row r="514" spans="1:20" x14ac:dyDescent="0.25">
      <c r="A514" s="5">
        <v>44079</v>
      </c>
      <c r="B514">
        <v>0.5131</v>
      </c>
      <c r="C514">
        <v>0.52259999999999995</v>
      </c>
      <c r="D514">
        <v>0.40300000000000002</v>
      </c>
      <c r="E514">
        <v>0.4299</v>
      </c>
      <c r="F514">
        <v>11027479.970000001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-0.55016722408026764</v>
      </c>
      <c r="Q514">
        <f t="shared" si="980"/>
        <v>-6066958.0436956538</v>
      </c>
      <c r="R514">
        <f t="shared" si="981"/>
        <v>-195199037.15008411</v>
      </c>
      <c r="S514">
        <f t="shared" si="982"/>
        <v>-1951.9903715008411</v>
      </c>
      <c r="T514">
        <f t="shared" si="983"/>
        <v>-1.9519903715008411</v>
      </c>
    </row>
    <row r="515" spans="1:20" x14ac:dyDescent="0.25">
      <c r="A515" s="5">
        <v>44078</v>
      </c>
      <c r="B515">
        <v>0.44379999999999997</v>
      </c>
      <c r="C515">
        <v>0.52480000000000004</v>
      </c>
      <c r="D515">
        <v>0.42199999999999999</v>
      </c>
      <c r="E515">
        <v>0.5141</v>
      </c>
      <c r="F515">
        <v>15443533.9</v>
      </c>
      <c r="G515">
        <v>0</v>
      </c>
      <c r="L515" t="s">
        <v>7</v>
      </c>
      <c r="M515" t="s">
        <v>8</v>
      </c>
      <c r="N515" t="s">
        <v>7</v>
      </c>
      <c r="P515">
        <f t="shared" si="979"/>
        <v>0.79182879377431836</v>
      </c>
      <c r="Q515">
        <f t="shared" si="980"/>
        <v>12228634.819649795</v>
      </c>
      <c r="R515">
        <f t="shared" si="981"/>
        <v>-189132079.10638845</v>
      </c>
      <c r="S515">
        <f t="shared" si="982"/>
        <v>-1891.3207910638846</v>
      </c>
      <c r="T515">
        <f t="shared" si="983"/>
        <v>-1.8913207910638845</v>
      </c>
    </row>
    <row r="516" spans="1:20" x14ac:dyDescent="0.25">
      <c r="A516" s="5">
        <v>44077</v>
      </c>
      <c r="B516">
        <v>0.55830000000000002</v>
      </c>
      <c r="C516">
        <v>0.57330000000000003</v>
      </c>
      <c r="D516">
        <v>0.435</v>
      </c>
      <c r="E516">
        <v>0.44429999999999997</v>
      </c>
      <c r="F516">
        <v>16063440.73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-0.86550976138828672</v>
      </c>
      <c r="Q516">
        <f t="shared" si="980"/>
        <v>-13903064.753297187</v>
      </c>
      <c r="R516">
        <f t="shared" si="981"/>
        <v>-201360713.92603824</v>
      </c>
      <c r="S516">
        <f t="shared" si="982"/>
        <v>-2013.6071392603824</v>
      </c>
      <c r="T516">
        <f t="shared" si="983"/>
        <v>-2.0136071392603823</v>
      </c>
    </row>
    <row r="517" spans="1:20" x14ac:dyDescent="0.25">
      <c r="A517" s="5">
        <v>44076</v>
      </c>
      <c r="B517">
        <v>0.60160000000000002</v>
      </c>
      <c r="C517">
        <v>0.60429999999999995</v>
      </c>
      <c r="D517">
        <v>0.50619999999999998</v>
      </c>
      <c r="E517">
        <v>0.55820000000000003</v>
      </c>
      <c r="F517">
        <v>11918297.1</v>
      </c>
      <c r="G517">
        <v>0</v>
      </c>
      <c r="L517" t="s">
        <v>7</v>
      </c>
      <c r="M517" t="s">
        <v>7</v>
      </c>
      <c r="N517" t="s">
        <v>7</v>
      </c>
      <c r="P517">
        <f t="shared" si="979"/>
        <v>6.014271151885963E-2</v>
      </c>
      <c r="Q517">
        <f t="shared" si="980"/>
        <v>716798.70428136131</v>
      </c>
      <c r="R517">
        <f t="shared" si="981"/>
        <v>-187457649.17274106</v>
      </c>
      <c r="S517">
        <f t="shared" si="982"/>
        <v>-1874.5764917274105</v>
      </c>
      <c r="T517">
        <f t="shared" si="983"/>
        <v>-1.8745764917274106</v>
      </c>
    </row>
    <row r="518" spans="1:20" x14ac:dyDescent="0.25">
      <c r="A518" s="5">
        <v>44075</v>
      </c>
      <c r="B518">
        <v>0.61209999999999998</v>
      </c>
      <c r="C518">
        <v>0.63219999999999998</v>
      </c>
      <c r="D518">
        <v>0.5968</v>
      </c>
      <c r="E518">
        <v>0.60099999999999998</v>
      </c>
      <c r="F518">
        <v>9672703.9299999997</v>
      </c>
      <c r="G518">
        <v>0</v>
      </c>
      <c r="L518" t="s">
        <v>7</v>
      </c>
      <c r="M518" t="s">
        <v>7</v>
      </c>
      <c r="N518" t="s">
        <v>7</v>
      </c>
      <c r="P518">
        <f t="shared" ref="P518:P581" si="984">IF(C518=D518,0,((E518-D518)-(C518-E518))/(C518-D518))</f>
        <v>-0.76271186440678063</v>
      </c>
      <c r="Q518">
        <f t="shared" ref="Q518:Q581" si="985">F518*P518</f>
        <v>-7377486.0483050942</v>
      </c>
      <c r="R518">
        <f t="shared" ref="R518:R581" si="986">R519+Q518</f>
        <v>-188174447.87702242</v>
      </c>
      <c r="S518">
        <f t="shared" ref="S518:S581" si="987">R518/100000</f>
        <v>-1881.7444787702241</v>
      </c>
      <c r="T518">
        <f t="shared" ref="T518:T581" si="988">S518/1000</f>
        <v>-1.881744478770224</v>
      </c>
    </row>
    <row r="519" spans="1:20" x14ac:dyDescent="0.25">
      <c r="A519" s="5">
        <v>44074</v>
      </c>
      <c r="B519">
        <v>0.63619999999999999</v>
      </c>
      <c r="C519">
        <v>0.63900000000000001</v>
      </c>
      <c r="D519">
        <v>0.61</v>
      </c>
      <c r="E519">
        <v>0.61209999999999998</v>
      </c>
      <c r="F519">
        <v>7558039.4299999997</v>
      </c>
      <c r="G519">
        <v>0</v>
      </c>
      <c r="L519" t="s">
        <v>7</v>
      </c>
      <c r="M519" t="s">
        <v>7</v>
      </c>
      <c r="N519" t="s">
        <v>7</v>
      </c>
      <c r="P519">
        <f t="shared" si="984"/>
        <v>-0.85517241379310427</v>
      </c>
      <c r="Q519">
        <f t="shared" si="985"/>
        <v>-6463426.8228965579</v>
      </c>
      <c r="R519">
        <f t="shared" si="986"/>
        <v>-180796961.82871732</v>
      </c>
      <c r="S519">
        <f t="shared" si="987"/>
        <v>-1807.9696182871733</v>
      </c>
      <c r="T519">
        <f t="shared" si="988"/>
        <v>-1.8079696182871732</v>
      </c>
    </row>
    <row r="520" spans="1:20" x14ac:dyDescent="0.25">
      <c r="A520" s="5">
        <v>44073</v>
      </c>
      <c r="B520">
        <v>0.64410000000000001</v>
      </c>
      <c r="C520">
        <v>0.65410000000000001</v>
      </c>
      <c r="D520">
        <v>0.62829999999999997</v>
      </c>
      <c r="E520">
        <v>0.63639999999999997</v>
      </c>
      <c r="F520">
        <v>6663573.0499999998</v>
      </c>
      <c r="G520">
        <v>0</v>
      </c>
      <c r="L520" t="s">
        <v>8</v>
      </c>
      <c r="M520" t="s">
        <v>7</v>
      </c>
      <c r="N520" t="s">
        <v>7</v>
      </c>
      <c r="P520">
        <f t="shared" si="984"/>
        <v>-0.37209302325581534</v>
      </c>
      <c r="Q520">
        <f t="shared" si="985"/>
        <v>-2479469.0418604743</v>
      </c>
      <c r="R520">
        <f t="shared" si="986"/>
        <v>-174333535.00582075</v>
      </c>
      <c r="S520">
        <f t="shared" si="987"/>
        <v>-1743.3353500582075</v>
      </c>
      <c r="T520">
        <f t="shared" si="988"/>
        <v>-1.7433353500582074</v>
      </c>
    </row>
    <row r="521" spans="1:20" x14ac:dyDescent="0.25">
      <c r="A521" s="5">
        <v>44072</v>
      </c>
      <c r="B521">
        <v>0.63959999999999995</v>
      </c>
      <c r="C521">
        <v>0.66759999999999997</v>
      </c>
      <c r="D521">
        <v>0.62229999999999996</v>
      </c>
      <c r="E521">
        <v>0.64429999999999998</v>
      </c>
      <c r="F521">
        <v>11015602.59</v>
      </c>
      <c r="G521">
        <v>0</v>
      </c>
      <c r="L521" t="s">
        <v>8</v>
      </c>
      <c r="M521" t="s">
        <v>7</v>
      </c>
      <c r="N521" t="s">
        <v>7</v>
      </c>
      <c r="P521">
        <f t="shared" si="984"/>
        <v>-2.8697571743928646E-2</v>
      </c>
      <c r="Q521">
        <f t="shared" si="985"/>
        <v>-316121.0456291312</v>
      </c>
      <c r="R521">
        <f t="shared" si="986"/>
        <v>-171854065.96396029</v>
      </c>
      <c r="S521">
        <f t="shared" si="987"/>
        <v>-1718.5406596396028</v>
      </c>
      <c r="T521">
        <f t="shared" si="988"/>
        <v>-1.7185406596396029</v>
      </c>
    </row>
    <row r="522" spans="1:20" x14ac:dyDescent="0.25">
      <c r="A522" s="5">
        <v>44071</v>
      </c>
      <c r="B522">
        <v>0.60599999999999998</v>
      </c>
      <c r="C522">
        <v>0.64659999999999995</v>
      </c>
      <c r="D522">
        <v>0.59350000000000003</v>
      </c>
      <c r="E522">
        <v>0.63870000000000005</v>
      </c>
      <c r="F522">
        <v>9498076.5700000003</v>
      </c>
      <c r="G522">
        <v>0</v>
      </c>
      <c r="L522" t="s">
        <v>8</v>
      </c>
      <c r="M522" t="s">
        <v>7</v>
      </c>
      <c r="N522" t="s">
        <v>7</v>
      </c>
      <c r="P522">
        <f t="shared" si="984"/>
        <v>0.70244821092279031</v>
      </c>
      <c r="Q522">
        <f t="shared" si="985"/>
        <v>6671906.893804173</v>
      </c>
      <c r="R522">
        <f t="shared" si="986"/>
        <v>-171537944.91833115</v>
      </c>
      <c r="S522">
        <f t="shared" si="987"/>
        <v>-1715.3794491833114</v>
      </c>
      <c r="T522">
        <f t="shared" si="988"/>
        <v>-1.7153794491833114</v>
      </c>
    </row>
    <row r="523" spans="1:20" x14ac:dyDescent="0.25">
      <c r="A523" s="5">
        <v>44070</v>
      </c>
      <c r="B523">
        <v>0.65969999999999995</v>
      </c>
      <c r="C523">
        <v>0.6784</v>
      </c>
      <c r="D523">
        <v>0.58109999999999995</v>
      </c>
      <c r="E523">
        <v>0.60550000000000004</v>
      </c>
      <c r="F523">
        <v>13259739.02</v>
      </c>
      <c r="G523">
        <v>0</v>
      </c>
      <c r="L523" t="s">
        <v>7</v>
      </c>
      <c r="M523" t="s">
        <v>7</v>
      </c>
      <c r="N523" t="s">
        <v>7</v>
      </c>
      <c r="P523">
        <f t="shared" si="984"/>
        <v>-0.49845837615621635</v>
      </c>
      <c r="Q523">
        <f t="shared" si="985"/>
        <v>-6609427.9801644189</v>
      </c>
      <c r="R523">
        <f t="shared" si="986"/>
        <v>-178209851.81213531</v>
      </c>
      <c r="S523">
        <f t="shared" si="987"/>
        <v>-1782.098518121353</v>
      </c>
      <c r="T523">
        <f t="shared" si="988"/>
        <v>-1.7820985181213529</v>
      </c>
    </row>
    <row r="524" spans="1:20" x14ac:dyDescent="0.25">
      <c r="A524" s="5">
        <v>44069</v>
      </c>
      <c r="B524">
        <v>0.64829999999999999</v>
      </c>
      <c r="C524">
        <v>0.69430000000000003</v>
      </c>
      <c r="D524">
        <v>0.61550000000000005</v>
      </c>
      <c r="E524">
        <v>0.65910000000000002</v>
      </c>
      <c r="F524">
        <v>16708419.23</v>
      </c>
      <c r="G524">
        <v>0</v>
      </c>
      <c r="L524" t="s">
        <v>8</v>
      </c>
      <c r="M524" t="s">
        <v>7</v>
      </c>
      <c r="N524" t="s">
        <v>7</v>
      </c>
      <c r="P524">
        <f t="shared" si="984"/>
        <v>0.10659898477157316</v>
      </c>
      <c r="Q524">
        <f t="shared" si="985"/>
        <v>1781100.5270558302</v>
      </c>
      <c r="R524">
        <f t="shared" si="986"/>
        <v>-171600423.8319709</v>
      </c>
      <c r="S524">
        <f t="shared" si="987"/>
        <v>-1716.004238319709</v>
      </c>
      <c r="T524">
        <f t="shared" si="988"/>
        <v>-1.7160042383197089</v>
      </c>
    </row>
    <row r="525" spans="1:20" x14ac:dyDescent="0.25">
      <c r="A525" s="5">
        <v>44068</v>
      </c>
      <c r="B525">
        <v>0.73029999999999995</v>
      </c>
      <c r="C525">
        <v>0.73350000000000004</v>
      </c>
      <c r="D525">
        <v>0.6018</v>
      </c>
      <c r="E525">
        <v>0.64839999999999998</v>
      </c>
      <c r="F525">
        <v>18697012.18</v>
      </c>
      <c r="G525">
        <v>0</v>
      </c>
      <c r="L525" t="s">
        <v>7</v>
      </c>
      <c r="M525" t="s">
        <v>7</v>
      </c>
      <c r="N525" t="s">
        <v>7</v>
      </c>
      <c r="P525">
        <f t="shared" si="984"/>
        <v>-0.29233105542900589</v>
      </c>
      <c r="Q525">
        <f t="shared" si="985"/>
        <v>-5465717.3039483782</v>
      </c>
      <c r="R525">
        <f t="shared" si="986"/>
        <v>-173381524.35902673</v>
      </c>
      <c r="S525">
        <f t="shared" si="987"/>
        <v>-1733.8152435902673</v>
      </c>
      <c r="T525">
        <f t="shared" si="988"/>
        <v>-1.7338152435902674</v>
      </c>
    </row>
    <row r="526" spans="1:20" x14ac:dyDescent="0.25">
      <c r="A526" s="5">
        <v>44067</v>
      </c>
      <c r="B526">
        <v>0.72230000000000005</v>
      </c>
      <c r="C526">
        <v>0.76</v>
      </c>
      <c r="D526">
        <v>0.69889999999999997</v>
      </c>
      <c r="E526">
        <v>0.73050000000000004</v>
      </c>
      <c r="F526">
        <v>16817397.989999998</v>
      </c>
      <c r="G526">
        <v>0</v>
      </c>
      <c r="L526" t="s">
        <v>7</v>
      </c>
      <c r="M526" t="s">
        <v>8</v>
      </c>
      <c r="N526" t="s">
        <v>7</v>
      </c>
      <c r="P526">
        <f t="shared" si="984"/>
        <v>3.4369885433716864E-2</v>
      </c>
      <c r="Q526">
        <f t="shared" si="985"/>
        <v>578012.04220952024</v>
      </c>
      <c r="R526">
        <f t="shared" si="986"/>
        <v>-167915807.05507836</v>
      </c>
      <c r="S526">
        <f t="shared" si="987"/>
        <v>-1679.1580705507836</v>
      </c>
      <c r="T526">
        <f t="shared" si="988"/>
        <v>-1.6791580705507836</v>
      </c>
    </row>
    <row r="527" spans="1:20" x14ac:dyDescent="0.25">
      <c r="A527" s="5">
        <v>44066</v>
      </c>
      <c r="B527">
        <v>0.72850000000000004</v>
      </c>
      <c r="C527">
        <v>0.79869999999999997</v>
      </c>
      <c r="D527">
        <v>0.68720000000000003</v>
      </c>
      <c r="E527">
        <v>0.72230000000000005</v>
      </c>
      <c r="F527">
        <v>20711459.93</v>
      </c>
      <c r="G527">
        <v>0</v>
      </c>
      <c r="L527" t="s">
        <v>8</v>
      </c>
      <c r="M527" t="s">
        <v>8</v>
      </c>
      <c r="N527" t="s">
        <v>7</v>
      </c>
      <c r="P527">
        <f t="shared" si="984"/>
        <v>-0.37040358744394547</v>
      </c>
      <c r="Q527">
        <f t="shared" si="985"/>
        <v>-7671599.0592735279</v>
      </c>
      <c r="R527">
        <f t="shared" si="986"/>
        <v>-168493819.09728786</v>
      </c>
      <c r="S527">
        <f t="shared" si="987"/>
        <v>-1684.9381909728786</v>
      </c>
      <c r="T527">
        <f t="shared" si="988"/>
        <v>-1.6849381909728787</v>
      </c>
    </row>
    <row r="528" spans="1:20" x14ac:dyDescent="0.25">
      <c r="A528" s="5">
        <v>44065</v>
      </c>
      <c r="B528">
        <v>0.69399999999999995</v>
      </c>
      <c r="C528">
        <v>0.84499999999999997</v>
      </c>
      <c r="D528">
        <v>0.63219999999999998</v>
      </c>
      <c r="E528">
        <v>0.72809999999999997</v>
      </c>
      <c r="F528">
        <v>62173814.710000001</v>
      </c>
      <c r="G528">
        <v>0</v>
      </c>
      <c r="L528" t="s">
        <v>7</v>
      </c>
      <c r="M528" t="s">
        <v>7</v>
      </c>
      <c r="N528" t="s">
        <v>7</v>
      </c>
      <c r="P528">
        <f t="shared" si="984"/>
        <v>-9.8684210526315888E-2</v>
      </c>
      <c r="Q528">
        <f t="shared" si="985"/>
        <v>-6135573.8200657954</v>
      </c>
      <c r="R528">
        <f t="shared" si="986"/>
        <v>-160822220.03801432</v>
      </c>
      <c r="S528">
        <f t="shared" si="987"/>
        <v>-1608.2222003801432</v>
      </c>
      <c r="T528">
        <f t="shared" si="988"/>
        <v>-1.6082222003801432</v>
      </c>
    </row>
    <row r="529" spans="1:20" x14ac:dyDescent="0.25">
      <c r="A529" s="5">
        <v>44064</v>
      </c>
      <c r="B529">
        <v>0.6119</v>
      </c>
      <c r="C529">
        <v>0.96</v>
      </c>
      <c r="D529">
        <v>0.6119</v>
      </c>
      <c r="E529">
        <v>0.69399999999999995</v>
      </c>
      <c r="F529">
        <v>191494293.86000001</v>
      </c>
      <c r="G529">
        <v>0</v>
      </c>
      <c r="L529" t="s">
        <v>8</v>
      </c>
      <c r="M529" t="s">
        <v>8</v>
      </c>
      <c r="N529" t="s">
        <v>8</v>
      </c>
      <c r="P529">
        <f t="shared" si="984"/>
        <v>-0.52829646653260576</v>
      </c>
      <c r="Q529">
        <f t="shared" si="985"/>
        <v>-101165758.80739447</v>
      </c>
      <c r="R529">
        <f t="shared" si="986"/>
        <v>-154686646.21794853</v>
      </c>
      <c r="S529">
        <f t="shared" si="987"/>
        <v>-1546.8664621794853</v>
      </c>
      <c r="T529">
        <f t="shared" si="988"/>
        <v>-1.5468664621794854</v>
      </c>
    </row>
    <row r="530" spans="1:20" x14ac:dyDescent="0.25">
      <c r="A530" s="5">
        <v>44063</v>
      </c>
      <c r="B530">
        <v>0.51329999999999998</v>
      </c>
      <c r="C530">
        <v>0.68789999999999996</v>
      </c>
      <c r="D530">
        <v>0.50490000000000002</v>
      </c>
      <c r="E530">
        <v>0.61109999999999998</v>
      </c>
      <c r="F530">
        <v>30336835.359999999</v>
      </c>
      <c r="G530">
        <v>0</v>
      </c>
      <c r="L530" t="s">
        <v>8</v>
      </c>
      <c r="M530" t="s">
        <v>8</v>
      </c>
      <c r="N530" t="s">
        <v>8</v>
      </c>
      <c r="P530">
        <f t="shared" si="984"/>
        <v>0.16065573770491798</v>
      </c>
      <c r="Q530">
        <f t="shared" si="985"/>
        <v>4873786.6643934408</v>
      </c>
      <c r="R530">
        <f t="shared" si="986"/>
        <v>-53520887.410554059</v>
      </c>
      <c r="S530">
        <f t="shared" si="987"/>
        <v>-535.20887410554064</v>
      </c>
      <c r="T530">
        <f t="shared" si="988"/>
        <v>-0.53520887410554063</v>
      </c>
    </row>
    <row r="531" spans="1:20" x14ac:dyDescent="0.25">
      <c r="A531" s="5">
        <v>44062</v>
      </c>
      <c r="B531">
        <v>0.56499999999999995</v>
      </c>
      <c r="C531">
        <v>0.59419999999999995</v>
      </c>
      <c r="D531">
        <v>0.49530000000000002</v>
      </c>
      <c r="E531">
        <v>0.51329999999999998</v>
      </c>
      <c r="F531">
        <v>19838942.57</v>
      </c>
      <c r="G531">
        <v>0</v>
      </c>
      <c r="L531" t="s">
        <v>7</v>
      </c>
      <c r="M531" t="s">
        <v>7</v>
      </c>
      <c r="N531" t="s">
        <v>8</v>
      </c>
      <c r="P531">
        <f t="shared" si="984"/>
        <v>-0.63599595551061738</v>
      </c>
      <c r="Q531">
        <f t="shared" si="985"/>
        <v>-12617487.236127414</v>
      </c>
      <c r="R531">
        <f t="shared" si="986"/>
        <v>-58394674.074947499</v>
      </c>
      <c r="S531">
        <f t="shared" si="987"/>
        <v>-583.946740749475</v>
      </c>
      <c r="T531">
        <f t="shared" si="988"/>
        <v>-0.58394674074947495</v>
      </c>
    </row>
    <row r="532" spans="1:20" x14ac:dyDescent="0.25">
      <c r="A532" s="5">
        <v>44061</v>
      </c>
      <c r="B532">
        <v>0.56189999999999996</v>
      </c>
      <c r="C532">
        <v>0.61050000000000004</v>
      </c>
      <c r="D532">
        <v>0.53380000000000005</v>
      </c>
      <c r="E532">
        <v>0.56469999999999998</v>
      </c>
      <c r="F532">
        <v>17468471.140000001</v>
      </c>
      <c r="G532">
        <v>0</v>
      </c>
      <c r="L532" t="s">
        <v>7</v>
      </c>
      <c r="M532" t="s">
        <v>7</v>
      </c>
      <c r="N532" t="s">
        <v>8</v>
      </c>
      <c r="P532">
        <f t="shared" si="984"/>
        <v>-0.19426336375489098</v>
      </c>
      <c r="Q532">
        <f t="shared" si="985"/>
        <v>-3393483.963311635</v>
      </c>
      <c r="R532">
        <f t="shared" si="986"/>
        <v>-45777186.838820085</v>
      </c>
      <c r="S532">
        <f t="shared" si="987"/>
        <v>-457.77186838820086</v>
      </c>
      <c r="T532">
        <f t="shared" si="988"/>
        <v>-0.45777186838820083</v>
      </c>
    </row>
    <row r="533" spans="1:20" x14ac:dyDescent="0.25">
      <c r="A533" s="5">
        <v>44060</v>
      </c>
      <c r="B533">
        <v>0.61029999999999995</v>
      </c>
      <c r="C533">
        <v>0.63500000000000001</v>
      </c>
      <c r="D533">
        <v>0.53</v>
      </c>
      <c r="E533">
        <v>0.56189999999999996</v>
      </c>
      <c r="F533">
        <v>26293143.16</v>
      </c>
      <c r="G533">
        <v>0</v>
      </c>
      <c r="L533" t="s">
        <v>8</v>
      </c>
      <c r="M533" t="s">
        <v>7</v>
      </c>
      <c r="N533" t="s">
        <v>8</v>
      </c>
      <c r="P533">
        <f t="shared" si="984"/>
        <v>-0.39238095238095366</v>
      </c>
      <c r="Q533">
        <f t="shared" si="985"/>
        <v>-10316928.554209558</v>
      </c>
      <c r="R533">
        <f t="shared" si="986"/>
        <v>-42383702.87550845</v>
      </c>
      <c r="S533">
        <f t="shared" si="987"/>
        <v>-423.83702875508448</v>
      </c>
      <c r="T533">
        <f t="shared" si="988"/>
        <v>-0.4238370287550845</v>
      </c>
    </row>
    <row r="534" spans="1:20" x14ac:dyDescent="0.25">
      <c r="A534" s="5">
        <v>44059</v>
      </c>
      <c r="B534">
        <v>0.496</v>
      </c>
      <c r="C534">
        <v>0.62270000000000003</v>
      </c>
      <c r="D534">
        <v>0.48049999999999998</v>
      </c>
      <c r="E534">
        <v>0.60919999999999996</v>
      </c>
      <c r="F534">
        <v>33798948.520000003</v>
      </c>
      <c r="G534">
        <v>0</v>
      </c>
      <c r="L534" t="s">
        <v>8</v>
      </c>
      <c r="M534" t="s">
        <v>8</v>
      </c>
      <c r="N534" t="s">
        <v>8</v>
      </c>
      <c r="P534">
        <f t="shared" si="984"/>
        <v>0.81012658227848011</v>
      </c>
      <c r="Q534">
        <f t="shared" si="985"/>
        <v>27381426.649113897</v>
      </c>
      <c r="R534">
        <f t="shared" si="986"/>
        <v>-32066774.321298894</v>
      </c>
      <c r="S534">
        <f t="shared" si="987"/>
        <v>-320.66774321298891</v>
      </c>
      <c r="T534">
        <f t="shared" si="988"/>
        <v>-0.32066774321298891</v>
      </c>
    </row>
    <row r="535" spans="1:20" x14ac:dyDescent="0.25">
      <c r="A535" s="5">
        <v>44058</v>
      </c>
      <c r="B535">
        <v>0.53910000000000002</v>
      </c>
      <c r="C535">
        <v>0.55249999999999999</v>
      </c>
      <c r="D535">
        <v>0.49199999999999999</v>
      </c>
      <c r="E535">
        <v>0.49690000000000001</v>
      </c>
      <c r="F535">
        <v>30177000.260000002</v>
      </c>
      <c r="G535">
        <v>0</v>
      </c>
      <c r="L535" t="s">
        <v>8</v>
      </c>
      <c r="M535" t="s">
        <v>8</v>
      </c>
      <c r="N535" t="s">
        <v>8</v>
      </c>
      <c r="P535">
        <f t="shared" si="984"/>
        <v>-0.83801652892561929</v>
      </c>
      <c r="Q535">
        <f t="shared" si="985"/>
        <v>-25288825.011272714</v>
      </c>
      <c r="R535">
        <f t="shared" si="986"/>
        <v>-59448200.970412791</v>
      </c>
      <c r="S535">
        <f t="shared" si="987"/>
        <v>-594.4820097041279</v>
      </c>
      <c r="T535">
        <f t="shared" si="988"/>
        <v>-0.5944820097041279</v>
      </c>
    </row>
    <row r="536" spans="1:20" x14ac:dyDescent="0.25">
      <c r="A536" s="5">
        <v>44057</v>
      </c>
      <c r="B536">
        <v>0.44990000000000002</v>
      </c>
      <c r="C536">
        <v>0.54900000000000004</v>
      </c>
      <c r="D536">
        <v>0.442</v>
      </c>
      <c r="E536">
        <v>0.53910000000000002</v>
      </c>
      <c r="F536">
        <v>27944179.25</v>
      </c>
      <c r="G536">
        <v>0</v>
      </c>
      <c r="L536" t="s">
        <v>8</v>
      </c>
      <c r="M536" t="s">
        <v>8</v>
      </c>
      <c r="N536" t="s">
        <v>8</v>
      </c>
      <c r="P536">
        <f t="shared" si="984"/>
        <v>0.81495327102803705</v>
      </c>
      <c r="Q536">
        <f t="shared" si="985"/>
        <v>22773200.285981297</v>
      </c>
      <c r="R536">
        <f t="shared" si="986"/>
        <v>-34159375.959140077</v>
      </c>
      <c r="S536">
        <f t="shared" si="987"/>
        <v>-341.59375959140078</v>
      </c>
      <c r="T536">
        <f t="shared" si="988"/>
        <v>-0.34159375959140076</v>
      </c>
    </row>
    <row r="537" spans="1:20" x14ac:dyDescent="0.25">
      <c r="A537" s="5">
        <v>44056</v>
      </c>
      <c r="B537">
        <v>0.46189999999999998</v>
      </c>
      <c r="C537">
        <v>0.4748</v>
      </c>
      <c r="D537">
        <v>0.42449999999999999</v>
      </c>
      <c r="E537">
        <v>0.44979999999999998</v>
      </c>
      <c r="F537">
        <v>20340382.870000001</v>
      </c>
      <c r="G537">
        <v>0</v>
      </c>
      <c r="L537" t="s">
        <v>8</v>
      </c>
      <c r="M537" t="s">
        <v>7</v>
      </c>
      <c r="N537" t="s">
        <v>8</v>
      </c>
      <c r="P537">
        <f t="shared" si="984"/>
        <v>5.9642147117289638E-3</v>
      </c>
      <c r="Q537">
        <f t="shared" si="985"/>
        <v>121314.41075545381</v>
      </c>
      <c r="R537">
        <f t="shared" si="986"/>
        <v>-56932576.245121375</v>
      </c>
      <c r="S537">
        <f t="shared" si="987"/>
        <v>-569.32576245121379</v>
      </c>
      <c r="T537">
        <f t="shared" si="988"/>
        <v>-0.5693257624512138</v>
      </c>
    </row>
    <row r="538" spans="1:20" x14ac:dyDescent="0.25">
      <c r="A538" s="5">
        <v>44055</v>
      </c>
      <c r="B538">
        <v>0.44280000000000003</v>
      </c>
      <c r="C538">
        <v>0.46539999999999998</v>
      </c>
      <c r="D538">
        <v>0.39879999999999999</v>
      </c>
      <c r="E538">
        <v>0.4617</v>
      </c>
      <c r="F538">
        <v>18991525.140000001</v>
      </c>
      <c r="G538">
        <v>0</v>
      </c>
      <c r="L538" t="s">
        <v>7</v>
      </c>
      <c r="M538" t="s">
        <v>7</v>
      </c>
      <c r="N538" t="s">
        <v>8</v>
      </c>
      <c r="P538">
        <f t="shared" si="984"/>
        <v>0.88888888888888939</v>
      </c>
      <c r="Q538">
        <f t="shared" si="985"/>
        <v>16881355.680000011</v>
      </c>
      <c r="R538">
        <f t="shared" si="986"/>
        <v>-57053890.65587683</v>
      </c>
      <c r="S538">
        <f t="shared" si="987"/>
        <v>-570.5389065587683</v>
      </c>
      <c r="T538">
        <f t="shared" si="988"/>
        <v>-0.57053890655876827</v>
      </c>
    </row>
    <row r="539" spans="1:20" x14ac:dyDescent="0.25">
      <c r="A539" s="5">
        <v>44054</v>
      </c>
      <c r="B539">
        <v>0.48049999999999998</v>
      </c>
      <c r="C539">
        <v>0.48220000000000002</v>
      </c>
      <c r="D539">
        <v>0.42</v>
      </c>
      <c r="E539">
        <v>0.44280000000000003</v>
      </c>
      <c r="F539">
        <v>20433201.559999999</v>
      </c>
      <c r="G539">
        <v>0</v>
      </c>
      <c r="L539" t="s">
        <v>7</v>
      </c>
      <c r="M539" t="s">
        <v>8</v>
      </c>
      <c r="N539" t="s">
        <v>8</v>
      </c>
      <c r="P539">
        <f t="shared" si="984"/>
        <v>-0.26688102893890575</v>
      </c>
      <c r="Q539">
        <f t="shared" si="985"/>
        <v>-5453233.8568488536</v>
      </c>
      <c r="R539">
        <f t="shared" si="986"/>
        <v>-73935246.335876837</v>
      </c>
      <c r="S539">
        <f t="shared" si="987"/>
        <v>-739.35246335876832</v>
      </c>
      <c r="T539">
        <f t="shared" si="988"/>
        <v>-0.73935246335876836</v>
      </c>
    </row>
    <row r="540" spans="1:20" x14ac:dyDescent="0.25">
      <c r="A540" s="5">
        <v>44053</v>
      </c>
      <c r="B540">
        <v>0.43809999999999999</v>
      </c>
      <c r="C540">
        <v>0.5</v>
      </c>
      <c r="D540">
        <v>0.41389999999999999</v>
      </c>
      <c r="E540">
        <v>0.48039999999999999</v>
      </c>
      <c r="F540">
        <v>25919576.690000001</v>
      </c>
      <c r="G540">
        <v>0</v>
      </c>
      <c r="L540" t="s">
        <v>8</v>
      </c>
      <c r="M540" t="s">
        <v>8</v>
      </c>
      <c r="N540" t="s">
        <v>8</v>
      </c>
      <c r="P540">
        <f t="shared" si="984"/>
        <v>0.5447154471544714</v>
      </c>
      <c r="Q540">
        <f t="shared" si="985"/>
        <v>14118793.806747964</v>
      </c>
      <c r="R540">
        <f t="shared" si="986"/>
        <v>-68482012.479027987</v>
      </c>
      <c r="S540">
        <f t="shared" si="987"/>
        <v>-684.82012479027992</v>
      </c>
      <c r="T540">
        <f t="shared" si="988"/>
        <v>-0.68482012479027987</v>
      </c>
    </row>
    <row r="541" spans="1:20" x14ac:dyDescent="0.25">
      <c r="A541" s="5">
        <v>44052</v>
      </c>
      <c r="B541">
        <v>0.42159999999999997</v>
      </c>
      <c r="C541">
        <v>0.44919999999999999</v>
      </c>
      <c r="D541">
        <v>0.41339999999999999</v>
      </c>
      <c r="E541">
        <v>0.43819999999999998</v>
      </c>
      <c r="F541">
        <v>15469304.67</v>
      </c>
      <c r="G541">
        <v>0</v>
      </c>
      <c r="L541" t="s">
        <v>8</v>
      </c>
      <c r="M541" t="s">
        <v>8</v>
      </c>
      <c r="N541" t="s">
        <v>7</v>
      </c>
      <c r="P541">
        <f t="shared" si="984"/>
        <v>0.38547486033519496</v>
      </c>
      <c r="Q541">
        <f t="shared" si="985"/>
        <v>5963028.0571508287</v>
      </c>
      <c r="R541">
        <f t="shared" si="986"/>
        <v>-82600806.285775945</v>
      </c>
      <c r="S541">
        <f t="shared" si="987"/>
        <v>-826.00806285775946</v>
      </c>
      <c r="T541">
        <f t="shared" si="988"/>
        <v>-0.82600806285775941</v>
      </c>
    </row>
    <row r="542" spans="1:20" x14ac:dyDescent="0.25">
      <c r="A542" s="5">
        <v>44051</v>
      </c>
      <c r="B542">
        <v>0.39240000000000003</v>
      </c>
      <c r="C542">
        <v>0.42630000000000001</v>
      </c>
      <c r="D542">
        <v>0.39029999999999998</v>
      </c>
      <c r="E542">
        <v>0.4209</v>
      </c>
      <c r="F542">
        <v>11061551.609999999</v>
      </c>
      <c r="G542">
        <v>0</v>
      </c>
      <c r="L542" t="s">
        <v>7</v>
      </c>
      <c r="M542" t="s">
        <v>8</v>
      </c>
      <c r="N542" t="s">
        <v>7</v>
      </c>
      <c r="P542">
        <f t="shared" si="984"/>
        <v>0.6999999999999994</v>
      </c>
      <c r="Q542">
        <f t="shared" si="985"/>
        <v>7743086.1269999929</v>
      </c>
      <c r="R542">
        <f t="shared" si="986"/>
        <v>-88563834.34292677</v>
      </c>
      <c r="S542">
        <f t="shared" si="987"/>
        <v>-885.63834342926771</v>
      </c>
      <c r="T542">
        <f t="shared" si="988"/>
        <v>-0.88563834342926773</v>
      </c>
    </row>
    <row r="543" spans="1:20" x14ac:dyDescent="0.25">
      <c r="A543" s="5">
        <v>44050</v>
      </c>
      <c r="B543">
        <v>0.41339999999999999</v>
      </c>
      <c r="C543">
        <v>0.43</v>
      </c>
      <c r="D543">
        <v>0.3821</v>
      </c>
      <c r="E543">
        <v>0.39279999999999998</v>
      </c>
      <c r="F543">
        <v>12275747.199999999</v>
      </c>
      <c r="G543">
        <v>0</v>
      </c>
      <c r="L543" t="s">
        <v>8</v>
      </c>
      <c r="M543" t="s">
        <v>8</v>
      </c>
      <c r="N543" t="s">
        <v>7</v>
      </c>
      <c r="P543">
        <f t="shared" si="984"/>
        <v>-0.55323590814196288</v>
      </c>
      <c r="Q543">
        <f t="shared" si="985"/>
        <v>-6791384.1503131576</v>
      </c>
      <c r="R543">
        <f t="shared" si="986"/>
        <v>-96306920.46992676</v>
      </c>
      <c r="S543">
        <f t="shared" si="987"/>
        <v>-963.06920469926763</v>
      </c>
      <c r="T543">
        <f t="shared" si="988"/>
        <v>-0.9630692046992676</v>
      </c>
    </row>
    <row r="544" spans="1:20" x14ac:dyDescent="0.25">
      <c r="A544" s="5">
        <v>44049</v>
      </c>
      <c r="B544">
        <v>0.39739999999999998</v>
      </c>
      <c r="C544">
        <v>0.41649999999999998</v>
      </c>
      <c r="D544">
        <v>0.38</v>
      </c>
      <c r="E544">
        <v>0.41310000000000002</v>
      </c>
      <c r="F544">
        <v>10701228.68</v>
      </c>
      <c r="G544">
        <v>0</v>
      </c>
      <c r="L544" t="s">
        <v>7</v>
      </c>
      <c r="M544" t="s">
        <v>8</v>
      </c>
      <c r="N544" t="s">
        <v>7</v>
      </c>
      <c r="P544">
        <f t="shared" si="984"/>
        <v>0.8136986301369884</v>
      </c>
      <c r="Q544">
        <f t="shared" si="985"/>
        <v>8707575.1176986527</v>
      </c>
      <c r="R544">
        <f t="shared" si="986"/>
        <v>-89515536.319613606</v>
      </c>
      <c r="S544">
        <f t="shared" si="987"/>
        <v>-895.15536319613602</v>
      </c>
      <c r="T544">
        <f t="shared" si="988"/>
        <v>-0.89515536319613598</v>
      </c>
    </row>
    <row r="545" spans="1:20" x14ac:dyDescent="0.25">
      <c r="A545" s="5">
        <v>44048</v>
      </c>
      <c r="B545">
        <v>0.39739999999999998</v>
      </c>
      <c r="C545">
        <v>0.41160000000000002</v>
      </c>
      <c r="D545">
        <v>0.39050000000000001</v>
      </c>
      <c r="E545">
        <v>0.39739999999999998</v>
      </c>
      <c r="F545">
        <v>7465267.2300000004</v>
      </c>
      <c r="G545">
        <v>0</v>
      </c>
      <c r="L545" t="s">
        <v>8</v>
      </c>
      <c r="M545" t="s">
        <v>8</v>
      </c>
      <c r="N545" t="s">
        <v>7</v>
      </c>
      <c r="P545">
        <f t="shared" si="984"/>
        <v>-0.3459715639810465</v>
      </c>
      <c r="Q545">
        <f t="shared" si="985"/>
        <v>-2582770.1790995551</v>
      </c>
      <c r="R545">
        <f t="shared" si="986"/>
        <v>-98223111.43731226</v>
      </c>
      <c r="S545">
        <f t="shared" si="987"/>
        <v>-982.23111437312264</v>
      </c>
      <c r="T545">
        <f t="shared" si="988"/>
        <v>-0.9822311143731226</v>
      </c>
    </row>
    <row r="546" spans="1:20" x14ac:dyDescent="0.25">
      <c r="A546" s="5">
        <v>44047</v>
      </c>
      <c r="B546">
        <v>0.38169999999999998</v>
      </c>
      <c r="C546">
        <v>0.40860000000000002</v>
      </c>
      <c r="D546">
        <v>0.38129999999999997</v>
      </c>
      <c r="E546">
        <v>0.39760000000000001</v>
      </c>
      <c r="F546">
        <v>10128251.369999999</v>
      </c>
      <c r="G546">
        <v>0</v>
      </c>
      <c r="L546" t="s">
        <v>8</v>
      </c>
      <c r="M546" t="s">
        <v>8</v>
      </c>
      <c r="N546" t="s">
        <v>7</v>
      </c>
      <c r="P546">
        <f t="shared" si="984"/>
        <v>0.19413919413919478</v>
      </c>
      <c r="Q546">
        <f t="shared" si="985"/>
        <v>1966290.5590109953</v>
      </c>
      <c r="R546">
        <f t="shared" si="986"/>
        <v>-95640341.2582127</v>
      </c>
      <c r="S546">
        <f t="shared" si="987"/>
        <v>-956.40341258212698</v>
      </c>
      <c r="T546">
        <f t="shared" si="988"/>
        <v>-0.95640341258212702</v>
      </c>
    </row>
    <row r="547" spans="1:20" x14ac:dyDescent="0.25">
      <c r="A547" s="5">
        <v>44046</v>
      </c>
      <c r="B547">
        <v>0.37980000000000003</v>
      </c>
      <c r="C547">
        <v>0.39190000000000003</v>
      </c>
      <c r="D547">
        <v>0.3745</v>
      </c>
      <c r="E547">
        <v>0.38129999999999997</v>
      </c>
      <c r="F547">
        <v>5507326.4800000004</v>
      </c>
      <c r="G547">
        <v>0</v>
      </c>
      <c r="L547" t="s">
        <v>8</v>
      </c>
      <c r="M547" t="s">
        <v>8</v>
      </c>
      <c r="N547" t="s">
        <v>7</v>
      </c>
      <c r="P547">
        <f t="shared" si="984"/>
        <v>-0.21839080459770549</v>
      </c>
      <c r="Q547">
        <f t="shared" si="985"/>
        <v>-1202749.4611494492</v>
      </c>
      <c r="R547">
        <f t="shared" si="986"/>
        <v>-97606631.817223698</v>
      </c>
      <c r="S547">
        <f t="shared" si="987"/>
        <v>-976.06631817223695</v>
      </c>
      <c r="T547">
        <f t="shared" si="988"/>
        <v>-0.97606631817223699</v>
      </c>
    </row>
    <row r="548" spans="1:20" x14ac:dyDescent="0.25">
      <c r="A548" s="5">
        <v>44045</v>
      </c>
      <c r="B548">
        <v>0.3992</v>
      </c>
      <c r="C548">
        <v>0.41</v>
      </c>
      <c r="D548">
        <v>0.35</v>
      </c>
      <c r="E548">
        <v>0.3795</v>
      </c>
      <c r="F548">
        <v>12101940.85</v>
      </c>
      <c r="G548">
        <v>0</v>
      </c>
      <c r="L548" t="s">
        <v>7</v>
      </c>
      <c r="M548" t="s">
        <v>8</v>
      </c>
      <c r="N548" t="s">
        <v>7</v>
      </c>
      <c r="P548">
        <f t="shared" si="984"/>
        <v>-1.6666666666665757E-2</v>
      </c>
      <c r="Q548">
        <f t="shared" si="985"/>
        <v>-201699.01416665566</v>
      </c>
      <c r="R548">
        <f t="shared" si="986"/>
        <v>-96403882.356074244</v>
      </c>
      <c r="S548">
        <f t="shared" si="987"/>
        <v>-964.03882356074246</v>
      </c>
      <c r="T548">
        <f t="shared" si="988"/>
        <v>-0.96403882356074244</v>
      </c>
    </row>
    <row r="549" spans="1:20" x14ac:dyDescent="0.25">
      <c r="A549" s="5">
        <v>44044</v>
      </c>
      <c r="B549">
        <v>0.38059999999999999</v>
      </c>
      <c r="C549">
        <v>0.4088</v>
      </c>
      <c r="D549">
        <v>0.3785</v>
      </c>
      <c r="E549">
        <v>0.3992</v>
      </c>
      <c r="F549">
        <v>7823056.8200000003</v>
      </c>
      <c r="G549">
        <v>0</v>
      </c>
      <c r="L549" t="s">
        <v>8</v>
      </c>
      <c r="M549" t="s">
        <v>8</v>
      </c>
      <c r="N549" t="s">
        <v>7</v>
      </c>
      <c r="P549">
        <f t="shared" si="984"/>
        <v>0.36633663366336638</v>
      </c>
      <c r="Q549">
        <f t="shared" si="985"/>
        <v>2865872.3003960401</v>
      </c>
      <c r="R549">
        <f t="shared" si="986"/>
        <v>-96202183.341907591</v>
      </c>
      <c r="S549">
        <f t="shared" si="987"/>
        <v>-962.02183341907596</v>
      </c>
      <c r="T549">
        <f t="shared" si="988"/>
        <v>-0.96202183341907599</v>
      </c>
    </row>
    <row r="550" spans="1:20" x14ac:dyDescent="0.25">
      <c r="A550" s="5">
        <v>44043</v>
      </c>
      <c r="B550">
        <v>0.38790000000000002</v>
      </c>
      <c r="C550">
        <v>0.39240000000000003</v>
      </c>
      <c r="D550">
        <v>0.37759999999999999</v>
      </c>
      <c r="E550">
        <v>0.38080000000000003</v>
      </c>
      <c r="F550">
        <v>4555486.6100000003</v>
      </c>
      <c r="G550">
        <v>0</v>
      </c>
      <c r="L550" t="s">
        <v>7</v>
      </c>
      <c r="M550" t="s">
        <v>8</v>
      </c>
      <c r="N550" t="s">
        <v>7</v>
      </c>
      <c r="P550">
        <f t="shared" si="984"/>
        <v>-0.56756756756756377</v>
      </c>
      <c r="Q550">
        <f t="shared" si="985"/>
        <v>-2585546.4543243074</v>
      </c>
      <c r="R550">
        <f t="shared" si="986"/>
        <v>-99068055.642303631</v>
      </c>
      <c r="S550">
        <f t="shared" si="987"/>
        <v>-990.68055642303625</v>
      </c>
      <c r="T550">
        <f t="shared" si="988"/>
        <v>-0.99068055642303621</v>
      </c>
    </row>
    <row r="551" spans="1:20" x14ac:dyDescent="0.25">
      <c r="A551" s="5">
        <v>44042</v>
      </c>
      <c r="B551">
        <v>0.3836</v>
      </c>
      <c r="C551">
        <v>0.3947</v>
      </c>
      <c r="D551">
        <v>0.378</v>
      </c>
      <c r="E551">
        <v>0.38790000000000002</v>
      </c>
      <c r="F551">
        <v>5759969.96</v>
      </c>
      <c r="G551">
        <v>0</v>
      </c>
      <c r="L551" t="s">
        <v>7</v>
      </c>
      <c r="M551" t="s">
        <v>8</v>
      </c>
      <c r="N551" t="s">
        <v>7</v>
      </c>
      <c r="P551">
        <f t="shared" si="984"/>
        <v>0.18562874251497297</v>
      </c>
      <c r="Q551">
        <f t="shared" si="985"/>
        <v>1069215.9805988192</v>
      </c>
      <c r="R551">
        <f t="shared" si="986"/>
        <v>-96482509.187979326</v>
      </c>
      <c r="S551">
        <f t="shared" si="987"/>
        <v>-964.82509187979326</v>
      </c>
      <c r="T551">
        <f t="shared" si="988"/>
        <v>-0.96482509187979326</v>
      </c>
    </row>
    <row r="552" spans="1:20" x14ac:dyDescent="0.25">
      <c r="A552" s="5">
        <v>44041</v>
      </c>
      <c r="B552">
        <v>0.3826</v>
      </c>
      <c r="C552">
        <v>0.41199999999999998</v>
      </c>
      <c r="D552">
        <v>0.38169999999999998</v>
      </c>
      <c r="E552">
        <v>0.3836</v>
      </c>
      <c r="F552">
        <v>17149917.140000001</v>
      </c>
      <c r="G552">
        <v>0</v>
      </c>
      <c r="L552" t="s">
        <v>8</v>
      </c>
      <c r="M552" t="s">
        <v>8</v>
      </c>
      <c r="N552" t="s">
        <v>7</v>
      </c>
      <c r="P552">
        <f t="shared" si="984"/>
        <v>-0.87458745874587374</v>
      </c>
      <c r="Q552">
        <f t="shared" si="985"/>
        <v>-14999102.449174903</v>
      </c>
      <c r="R552">
        <f t="shared" si="986"/>
        <v>-97551725.168578148</v>
      </c>
      <c r="S552">
        <f t="shared" si="987"/>
        <v>-975.5172516857815</v>
      </c>
      <c r="T552">
        <f t="shared" si="988"/>
        <v>-0.97551725168578152</v>
      </c>
    </row>
    <row r="553" spans="1:20" x14ac:dyDescent="0.25">
      <c r="A553" s="5">
        <v>44040</v>
      </c>
      <c r="B553">
        <v>0.36680000000000001</v>
      </c>
      <c r="C553">
        <v>0.38629999999999998</v>
      </c>
      <c r="D553">
        <v>0.3619</v>
      </c>
      <c r="E553">
        <v>0.3821</v>
      </c>
      <c r="F553">
        <v>14640936.58</v>
      </c>
      <c r="G553">
        <v>0</v>
      </c>
      <c r="L553" t="s">
        <v>8</v>
      </c>
      <c r="M553" t="s">
        <v>7</v>
      </c>
      <c r="N553" t="s">
        <v>7</v>
      </c>
      <c r="P553">
        <f t="shared" si="984"/>
        <v>0.65573770491803396</v>
      </c>
      <c r="Q553">
        <f t="shared" si="985"/>
        <v>9600614.150819689</v>
      </c>
      <c r="R553">
        <f t="shared" si="986"/>
        <v>-82552622.719403252</v>
      </c>
      <c r="S553">
        <f t="shared" si="987"/>
        <v>-825.52622719403257</v>
      </c>
      <c r="T553">
        <f t="shared" si="988"/>
        <v>-0.82552622719403257</v>
      </c>
    </row>
    <row r="554" spans="1:20" x14ac:dyDescent="0.25">
      <c r="A554" s="5">
        <v>44039</v>
      </c>
      <c r="B554">
        <v>0.38529999999999998</v>
      </c>
      <c r="C554">
        <v>0.38850000000000001</v>
      </c>
      <c r="D554">
        <v>0.33639999999999998</v>
      </c>
      <c r="E554">
        <v>0.36670000000000003</v>
      </c>
      <c r="F554">
        <v>22688214.82</v>
      </c>
      <c r="G554">
        <v>0</v>
      </c>
      <c r="L554" t="s">
        <v>7</v>
      </c>
      <c r="M554" t="s">
        <v>7</v>
      </c>
      <c r="N554" t="s">
        <v>7</v>
      </c>
      <c r="P554">
        <f t="shared" si="984"/>
        <v>0.16314779270633506</v>
      </c>
      <c r="Q554">
        <f t="shared" si="985"/>
        <v>3701532.168330159</v>
      </c>
      <c r="R554">
        <f t="shared" si="986"/>
        <v>-92153236.870222941</v>
      </c>
      <c r="S554">
        <f t="shared" si="987"/>
        <v>-921.53236870222941</v>
      </c>
      <c r="T554">
        <f t="shared" si="988"/>
        <v>-0.92153236870222943</v>
      </c>
    </row>
    <row r="555" spans="1:20" x14ac:dyDescent="0.25">
      <c r="A555" s="5">
        <v>44038</v>
      </c>
      <c r="B555">
        <v>0.39389999999999997</v>
      </c>
      <c r="C555">
        <v>0.39539999999999997</v>
      </c>
      <c r="D555">
        <v>0.37680000000000002</v>
      </c>
      <c r="E555">
        <v>0.38500000000000001</v>
      </c>
      <c r="F555">
        <v>9998294.4299999997</v>
      </c>
      <c r="G555">
        <v>0</v>
      </c>
      <c r="L555" t="s">
        <v>7</v>
      </c>
      <c r="M555" t="s">
        <v>7</v>
      </c>
      <c r="N555" t="s">
        <v>8</v>
      </c>
      <c r="P555">
        <f t="shared" si="984"/>
        <v>-0.11827956989247235</v>
      </c>
      <c r="Q555">
        <f t="shared" si="985"/>
        <v>-1182593.964838702</v>
      </c>
      <c r="R555">
        <f t="shared" si="986"/>
        <v>-95854769.038553104</v>
      </c>
      <c r="S555">
        <f t="shared" si="987"/>
        <v>-958.54769038553104</v>
      </c>
      <c r="T555">
        <f t="shared" si="988"/>
        <v>-0.958547690385531</v>
      </c>
    </row>
    <row r="556" spans="1:20" x14ac:dyDescent="0.25">
      <c r="A556" s="5">
        <v>44037</v>
      </c>
      <c r="B556">
        <v>0.38700000000000001</v>
      </c>
      <c r="C556">
        <v>0.39900000000000002</v>
      </c>
      <c r="D556">
        <v>0.38300000000000001</v>
      </c>
      <c r="E556">
        <v>0.39439999999999997</v>
      </c>
      <c r="F556">
        <v>7081469.8700000001</v>
      </c>
      <c r="G556">
        <v>0</v>
      </c>
      <c r="L556" t="s">
        <v>7</v>
      </c>
      <c r="M556" t="s">
        <v>7</v>
      </c>
      <c r="N556" t="s">
        <v>8</v>
      </c>
      <c r="P556">
        <f t="shared" si="984"/>
        <v>0.42499999999999444</v>
      </c>
      <c r="Q556">
        <f t="shared" si="985"/>
        <v>3009624.6947499607</v>
      </c>
      <c r="R556">
        <f t="shared" si="986"/>
        <v>-94672175.073714405</v>
      </c>
      <c r="S556">
        <f t="shared" si="987"/>
        <v>-946.72175073714402</v>
      </c>
      <c r="T556">
        <f t="shared" si="988"/>
        <v>-0.94672175073714404</v>
      </c>
    </row>
    <row r="557" spans="1:20" x14ac:dyDescent="0.25">
      <c r="A557" s="5">
        <v>44036</v>
      </c>
      <c r="B557">
        <v>0.39190000000000003</v>
      </c>
      <c r="C557">
        <v>0.39629999999999999</v>
      </c>
      <c r="D557">
        <v>0.38279999999999997</v>
      </c>
      <c r="E557">
        <v>0.38640000000000002</v>
      </c>
      <c r="F557">
        <v>7749857.9500000002</v>
      </c>
      <c r="G557">
        <v>0</v>
      </c>
      <c r="L557" t="s">
        <v>7</v>
      </c>
      <c r="M557" t="s">
        <v>7</v>
      </c>
      <c r="N557" t="s">
        <v>8</v>
      </c>
      <c r="P557">
        <f t="shared" si="984"/>
        <v>-0.46666666666666007</v>
      </c>
      <c r="Q557">
        <f t="shared" si="985"/>
        <v>-3616600.3766666157</v>
      </c>
      <c r="R557">
        <f t="shared" si="986"/>
        <v>-97681799.768464372</v>
      </c>
      <c r="S557">
        <f t="shared" si="987"/>
        <v>-976.81799768464373</v>
      </c>
      <c r="T557">
        <f t="shared" si="988"/>
        <v>-0.97681799768464372</v>
      </c>
    </row>
    <row r="558" spans="1:20" x14ac:dyDescent="0.25">
      <c r="A558" s="5">
        <v>44035</v>
      </c>
      <c r="B558">
        <v>0.39939999999999998</v>
      </c>
      <c r="C558">
        <v>0.41</v>
      </c>
      <c r="D558">
        <v>0.38729999999999998</v>
      </c>
      <c r="E558">
        <v>0.39190000000000003</v>
      </c>
      <c r="F558">
        <v>8269089.1600000001</v>
      </c>
      <c r="G558">
        <v>0</v>
      </c>
      <c r="L558" t="s">
        <v>7</v>
      </c>
      <c r="M558" t="s">
        <v>7</v>
      </c>
      <c r="N558" t="s">
        <v>8</v>
      </c>
      <c r="P558">
        <f t="shared" si="984"/>
        <v>-0.59471365638766094</v>
      </c>
      <c r="Q558">
        <f t="shared" si="985"/>
        <v>-4917740.2493391717</v>
      </c>
      <c r="R558">
        <f t="shared" si="986"/>
        <v>-94065199.391797751</v>
      </c>
      <c r="S558">
        <f t="shared" si="987"/>
        <v>-940.65199391797751</v>
      </c>
      <c r="T558">
        <f t="shared" si="988"/>
        <v>-0.94065199391797749</v>
      </c>
    </row>
    <row r="559" spans="1:20" x14ac:dyDescent="0.25">
      <c r="A559" s="5">
        <v>44034</v>
      </c>
      <c r="B559">
        <v>0.40050000000000002</v>
      </c>
      <c r="C559">
        <v>0.4083</v>
      </c>
      <c r="D559">
        <v>0.39500000000000002</v>
      </c>
      <c r="E559">
        <v>0.39939999999999998</v>
      </c>
      <c r="F559">
        <v>5911717.3899999997</v>
      </c>
      <c r="G559">
        <v>0</v>
      </c>
      <c r="L559" t="s">
        <v>7</v>
      </c>
      <c r="M559" t="s">
        <v>7</v>
      </c>
      <c r="N559" t="s">
        <v>8</v>
      </c>
      <c r="P559">
        <f t="shared" si="984"/>
        <v>-0.33834586466165917</v>
      </c>
      <c r="Q559">
        <f t="shared" si="985"/>
        <v>-2000205.1319549168</v>
      </c>
      <c r="R559">
        <f t="shared" si="986"/>
        <v>-89147459.142458573</v>
      </c>
      <c r="S559">
        <f t="shared" si="987"/>
        <v>-891.4745914245857</v>
      </c>
      <c r="T559">
        <f t="shared" si="988"/>
        <v>-0.89147459142458574</v>
      </c>
    </row>
    <row r="560" spans="1:20" x14ac:dyDescent="0.25">
      <c r="A560" s="5">
        <v>44033</v>
      </c>
      <c r="B560">
        <v>0.39500000000000002</v>
      </c>
      <c r="C560">
        <v>0.40970000000000001</v>
      </c>
      <c r="D560">
        <v>0.39250000000000002</v>
      </c>
      <c r="E560">
        <v>0.40050000000000002</v>
      </c>
      <c r="F560">
        <v>7214555.8399999999</v>
      </c>
      <c r="G560">
        <v>0</v>
      </c>
      <c r="L560" t="s">
        <v>7</v>
      </c>
      <c r="M560" t="s">
        <v>7</v>
      </c>
      <c r="N560" t="s">
        <v>8</v>
      </c>
      <c r="P560">
        <f t="shared" si="984"/>
        <v>-6.9767441860463922E-2</v>
      </c>
      <c r="Q560">
        <f t="shared" si="985"/>
        <v>-503341.10511627042</v>
      </c>
      <c r="R560">
        <f t="shared" si="986"/>
        <v>-87147254.01050365</v>
      </c>
      <c r="S560">
        <f t="shared" si="987"/>
        <v>-871.4725401050365</v>
      </c>
      <c r="T560">
        <f t="shared" si="988"/>
        <v>-0.8714725401050365</v>
      </c>
    </row>
    <row r="561" spans="1:104" x14ac:dyDescent="0.25">
      <c r="A561" s="5">
        <v>44032</v>
      </c>
      <c r="B561">
        <v>0.4199</v>
      </c>
      <c r="C561">
        <v>0.42830000000000001</v>
      </c>
      <c r="D561">
        <v>0.39219999999999999</v>
      </c>
      <c r="E561">
        <v>0.39500000000000002</v>
      </c>
      <c r="F561">
        <v>9070590.3300000001</v>
      </c>
      <c r="G561">
        <v>0</v>
      </c>
      <c r="L561" t="s">
        <v>7</v>
      </c>
      <c r="M561" t="s">
        <v>7</v>
      </c>
      <c r="N561" t="s">
        <v>8</v>
      </c>
      <c r="P561">
        <f t="shared" si="984"/>
        <v>-0.84487534626038652</v>
      </c>
      <c r="Q561">
        <f t="shared" si="985"/>
        <v>-7663518.1458448637</v>
      </c>
      <c r="R561">
        <f t="shared" si="986"/>
        <v>-86643912.905387387</v>
      </c>
      <c r="S561">
        <f t="shared" si="987"/>
        <v>-866.4391290538739</v>
      </c>
      <c r="T561">
        <f t="shared" si="988"/>
        <v>-0.86643912905387388</v>
      </c>
      <c r="CZ561" t="s">
        <v>7</v>
      </c>
    </row>
    <row r="562" spans="1:104" x14ac:dyDescent="0.25">
      <c r="A562" s="5">
        <v>44031</v>
      </c>
      <c r="B562">
        <v>0.41860000000000003</v>
      </c>
      <c r="C562">
        <v>0.43130000000000002</v>
      </c>
      <c r="D562">
        <v>0.40150000000000002</v>
      </c>
      <c r="E562">
        <v>0.4199</v>
      </c>
      <c r="F562">
        <v>10122350.210000001</v>
      </c>
      <c r="G562">
        <v>0</v>
      </c>
      <c r="L562" t="s">
        <v>7</v>
      </c>
      <c r="M562" t="s">
        <v>7</v>
      </c>
      <c r="N562" t="s">
        <v>8</v>
      </c>
      <c r="P562">
        <f t="shared" si="984"/>
        <v>0.23489932885905881</v>
      </c>
      <c r="Q562">
        <f t="shared" si="985"/>
        <v>2377733.2708053533</v>
      </c>
      <c r="R562">
        <f t="shared" si="986"/>
        <v>-78980394.759542525</v>
      </c>
      <c r="S562">
        <f t="shared" si="987"/>
        <v>-789.80394759542526</v>
      </c>
      <c r="T562">
        <f t="shared" si="988"/>
        <v>-0.78980394759542527</v>
      </c>
      <c r="CZ562" t="s">
        <v>7</v>
      </c>
    </row>
    <row r="563" spans="1:104" x14ac:dyDescent="0.25">
      <c r="A563" s="5">
        <v>44030</v>
      </c>
      <c r="B563">
        <v>0.39710000000000001</v>
      </c>
      <c r="C563">
        <v>0.42980000000000002</v>
      </c>
      <c r="D563">
        <v>0.3871</v>
      </c>
      <c r="E563">
        <v>0.41799999999999998</v>
      </c>
      <c r="F563">
        <v>13851443.58</v>
      </c>
      <c r="G563">
        <v>0</v>
      </c>
      <c r="L563" t="s">
        <v>8</v>
      </c>
      <c r="M563" t="s">
        <v>7</v>
      </c>
      <c r="N563" t="s">
        <v>8</v>
      </c>
      <c r="P563">
        <f t="shared" si="984"/>
        <v>0.44730679156908532</v>
      </c>
      <c r="Q563">
        <f t="shared" si="985"/>
        <v>6195844.7863700045</v>
      </c>
      <c r="R563">
        <f t="shared" si="986"/>
        <v>-81358128.030347884</v>
      </c>
      <c r="S563">
        <f t="shared" si="987"/>
        <v>-813.58128030347882</v>
      </c>
      <c r="T563">
        <f t="shared" si="988"/>
        <v>-0.81358128030347887</v>
      </c>
      <c r="CZ563" t="s">
        <v>7</v>
      </c>
    </row>
    <row r="564" spans="1:104" x14ac:dyDescent="0.25">
      <c r="A564" s="5">
        <v>44029</v>
      </c>
      <c r="B564">
        <v>0.4007</v>
      </c>
      <c r="C564">
        <v>0.41320000000000001</v>
      </c>
      <c r="D564">
        <v>0.38140000000000002</v>
      </c>
      <c r="E564">
        <v>0.39710000000000001</v>
      </c>
      <c r="F564">
        <v>11583264.890000001</v>
      </c>
      <c r="G564">
        <v>0</v>
      </c>
      <c r="L564" t="s">
        <v>8</v>
      </c>
      <c r="M564" t="s">
        <v>7</v>
      </c>
      <c r="N564" t="s">
        <v>8</v>
      </c>
      <c r="P564">
        <f t="shared" si="984"/>
        <v>-1.2578616352201619E-2</v>
      </c>
      <c r="Q564">
        <f t="shared" si="985"/>
        <v>-145701.44515723689</v>
      </c>
      <c r="R564">
        <f t="shared" si="986"/>
        <v>-87553972.816717893</v>
      </c>
      <c r="S564">
        <f t="shared" si="987"/>
        <v>-875.53972816717896</v>
      </c>
      <c r="T564">
        <f t="shared" si="988"/>
        <v>-0.87553972816717895</v>
      </c>
    </row>
    <row r="565" spans="1:104" x14ac:dyDescent="0.25">
      <c r="A565" s="5">
        <v>44028</v>
      </c>
      <c r="B565">
        <v>0.38990000000000002</v>
      </c>
      <c r="C565">
        <v>0.40229999999999999</v>
      </c>
      <c r="D565">
        <v>0.36649999999999999</v>
      </c>
      <c r="E565">
        <v>0.40079999999999999</v>
      </c>
      <c r="F565">
        <v>11144511.08</v>
      </c>
      <c r="G565">
        <v>0</v>
      </c>
      <c r="L565" t="s">
        <v>7</v>
      </c>
      <c r="M565" t="s">
        <v>7</v>
      </c>
      <c r="N565" t="s">
        <v>8</v>
      </c>
      <c r="P565">
        <f t="shared" si="984"/>
        <v>0.91620111731843568</v>
      </c>
      <c r="Q565">
        <f t="shared" si="985"/>
        <v>10210613.503463686</v>
      </c>
      <c r="R565">
        <f t="shared" si="986"/>
        <v>-87408271.371560663</v>
      </c>
      <c r="S565">
        <f t="shared" si="987"/>
        <v>-874.08271371560659</v>
      </c>
      <c r="T565">
        <f t="shared" si="988"/>
        <v>-0.87408271371560664</v>
      </c>
    </row>
    <row r="566" spans="1:104" x14ac:dyDescent="0.25">
      <c r="A566" s="5">
        <v>44027</v>
      </c>
      <c r="B566">
        <v>0.39489999999999997</v>
      </c>
      <c r="C566">
        <v>0.41020000000000001</v>
      </c>
      <c r="D566">
        <v>0.38719999999999999</v>
      </c>
      <c r="E566">
        <v>0.3896</v>
      </c>
      <c r="F566">
        <v>7853374.8600000003</v>
      </c>
      <c r="G566">
        <v>0</v>
      </c>
      <c r="L566" t="s">
        <v>8</v>
      </c>
      <c r="M566" t="s">
        <v>7</v>
      </c>
      <c r="N566" t="s">
        <v>8</v>
      </c>
      <c r="P566">
        <f t="shared" si="984"/>
        <v>-0.79130434782608594</v>
      </c>
      <c r="Q566">
        <f t="shared" si="985"/>
        <v>-6214409.6718260795</v>
      </c>
      <c r="R566">
        <f t="shared" si="986"/>
        <v>-97618884.875024348</v>
      </c>
      <c r="S566">
        <f t="shared" si="987"/>
        <v>-976.18884875024344</v>
      </c>
      <c r="T566">
        <f t="shared" si="988"/>
        <v>-0.97618884875024348</v>
      </c>
    </row>
    <row r="567" spans="1:104" x14ac:dyDescent="0.25">
      <c r="A567" s="5">
        <v>44026</v>
      </c>
      <c r="B567">
        <v>0.4012</v>
      </c>
      <c r="C567">
        <v>0.40570000000000001</v>
      </c>
      <c r="D567">
        <v>0.37769999999999998</v>
      </c>
      <c r="E567">
        <v>0.39489999999999997</v>
      </c>
      <c r="F567">
        <v>12630317.199999999</v>
      </c>
      <c r="G567">
        <v>0</v>
      </c>
      <c r="L567" t="s">
        <v>7</v>
      </c>
      <c r="M567" t="s">
        <v>7</v>
      </c>
      <c r="N567" t="s">
        <v>8</v>
      </c>
      <c r="P567">
        <f t="shared" si="984"/>
        <v>0.22857142857142698</v>
      </c>
      <c r="Q567">
        <f t="shared" si="985"/>
        <v>2886929.6457142653</v>
      </c>
      <c r="R567">
        <f t="shared" si="986"/>
        <v>-91404475.203198269</v>
      </c>
      <c r="S567">
        <f t="shared" si="987"/>
        <v>-914.04475203198274</v>
      </c>
      <c r="T567">
        <f t="shared" si="988"/>
        <v>-0.91404475203198277</v>
      </c>
    </row>
    <row r="568" spans="1:104" x14ac:dyDescent="0.25">
      <c r="A568" s="5">
        <v>44025</v>
      </c>
      <c r="B568">
        <v>0.42820000000000003</v>
      </c>
      <c r="C568">
        <v>0.42849999999999999</v>
      </c>
      <c r="D568">
        <v>0.39600000000000002</v>
      </c>
      <c r="E568">
        <v>0.40110000000000001</v>
      </c>
      <c r="F568">
        <v>13733952.300000001</v>
      </c>
      <c r="G568">
        <v>0</v>
      </c>
      <c r="L568" t="s">
        <v>7</v>
      </c>
      <c r="M568" t="s">
        <v>8</v>
      </c>
      <c r="N568" t="s">
        <v>8</v>
      </c>
      <c r="P568">
        <f t="shared" si="984"/>
        <v>-0.68615384615384634</v>
      </c>
      <c r="Q568">
        <f t="shared" si="985"/>
        <v>-9423604.1935384646</v>
      </c>
      <c r="R568">
        <f t="shared" si="986"/>
        <v>-94291404.848912537</v>
      </c>
      <c r="S568">
        <f t="shared" si="987"/>
        <v>-942.91404848912532</v>
      </c>
      <c r="T568">
        <f t="shared" si="988"/>
        <v>-0.9429140484891253</v>
      </c>
    </row>
    <row r="569" spans="1:104" x14ac:dyDescent="0.25">
      <c r="A569" s="5">
        <v>44024</v>
      </c>
      <c r="B569">
        <v>0.436</v>
      </c>
      <c r="C569">
        <v>0.4425</v>
      </c>
      <c r="D569">
        <v>0.41460000000000002</v>
      </c>
      <c r="E569">
        <v>0.42699999999999999</v>
      </c>
      <c r="F569">
        <v>8731189.3100000005</v>
      </c>
      <c r="G569">
        <v>0</v>
      </c>
      <c r="L569" t="s">
        <v>8</v>
      </c>
      <c r="M569" t="s">
        <v>8</v>
      </c>
      <c r="N569" t="s">
        <v>8</v>
      </c>
      <c r="P569">
        <f t="shared" si="984"/>
        <v>-0.11111111111111288</v>
      </c>
      <c r="Q569">
        <f t="shared" si="985"/>
        <v>-970132.14555557107</v>
      </c>
      <c r="R569">
        <f t="shared" si="986"/>
        <v>-84867800.655374065</v>
      </c>
      <c r="S569">
        <f t="shared" si="987"/>
        <v>-848.6780065537406</v>
      </c>
      <c r="T569">
        <f t="shared" si="988"/>
        <v>-0.84867800655374059</v>
      </c>
    </row>
    <row r="570" spans="1:104" x14ac:dyDescent="0.25">
      <c r="A570" s="5">
        <v>44023</v>
      </c>
      <c r="B570">
        <v>0.41089999999999999</v>
      </c>
      <c r="C570">
        <v>0.44309999999999999</v>
      </c>
      <c r="D570">
        <v>0.40839999999999999</v>
      </c>
      <c r="E570">
        <v>0.43619999999999998</v>
      </c>
      <c r="F570">
        <v>11284197.630000001</v>
      </c>
      <c r="G570">
        <v>0</v>
      </c>
      <c r="L570" t="s">
        <v>8</v>
      </c>
      <c r="M570" t="s">
        <v>8</v>
      </c>
      <c r="N570" t="s">
        <v>8</v>
      </c>
      <c r="P570">
        <f t="shared" si="984"/>
        <v>0.6023054755043219</v>
      </c>
      <c r="Q570">
        <f t="shared" si="985"/>
        <v>6796534.0192218926</v>
      </c>
      <c r="R570">
        <f t="shared" si="986"/>
        <v>-83897668.509818494</v>
      </c>
      <c r="S570">
        <f t="shared" si="987"/>
        <v>-838.97668509818493</v>
      </c>
      <c r="T570">
        <f t="shared" si="988"/>
        <v>-0.8389766850981849</v>
      </c>
    </row>
    <row r="571" spans="1:104" x14ac:dyDescent="0.25">
      <c r="A571" s="5">
        <v>44022</v>
      </c>
      <c r="B571">
        <v>0.42609999999999998</v>
      </c>
      <c r="C571">
        <v>0.42859999999999998</v>
      </c>
      <c r="D571">
        <v>0.39589999999999997</v>
      </c>
      <c r="E571">
        <v>0.41149999999999998</v>
      </c>
      <c r="F571">
        <v>10083606.73</v>
      </c>
      <c r="G571">
        <v>0</v>
      </c>
      <c r="L571" t="s">
        <v>7</v>
      </c>
      <c r="M571" t="s">
        <v>8</v>
      </c>
      <c r="N571" t="s">
        <v>8</v>
      </c>
      <c r="P571">
        <f t="shared" si="984"/>
        <v>-4.5871559633027553E-2</v>
      </c>
      <c r="Q571">
        <f t="shared" si="985"/>
        <v>-462550.76743119297</v>
      </c>
      <c r="R571">
        <f t="shared" si="986"/>
        <v>-90694202.529040381</v>
      </c>
      <c r="S571">
        <f t="shared" si="987"/>
        <v>-906.94202529040376</v>
      </c>
      <c r="T571">
        <f t="shared" si="988"/>
        <v>-0.9069420252904038</v>
      </c>
    </row>
    <row r="572" spans="1:104" x14ac:dyDescent="0.25">
      <c r="A572" s="5">
        <v>44021</v>
      </c>
      <c r="B572">
        <v>0.44729999999999998</v>
      </c>
      <c r="C572">
        <v>0.45150000000000001</v>
      </c>
      <c r="D572">
        <v>0.40739999999999998</v>
      </c>
      <c r="E572">
        <v>0.42530000000000001</v>
      </c>
      <c r="F572">
        <v>16539856.609999999</v>
      </c>
      <c r="G572">
        <v>0</v>
      </c>
      <c r="L572" t="s">
        <v>7</v>
      </c>
      <c r="M572" t="s">
        <v>8</v>
      </c>
      <c r="N572" t="s">
        <v>8</v>
      </c>
      <c r="P572">
        <f t="shared" si="984"/>
        <v>-0.18820861678004464</v>
      </c>
      <c r="Q572">
        <f t="shared" si="985"/>
        <v>-3112943.5343083781</v>
      </c>
      <c r="R572">
        <f t="shared" si="986"/>
        <v>-90231651.761609182</v>
      </c>
      <c r="S572">
        <f t="shared" si="987"/>
        <v>-902.3165176160918</v>
      </c>
      <c r="T572">
        <f t="shared" si="988"/>
        <v>-0.90231651761609177</v>
      </c>
    </row>
    <row r="573" spans="1:104" x14ac:dyDescent="0.25">
      <c r="A573" s="5">
        <v>44020</v>
      </c>
      <c r="B573">
        <v>0.40810000000000002</v>
      </c>
      <c r="C573">
        <v>0.4788</v>
      </c>
      <c r="D573">
        <v>0.40439999999999998</v>
      </c>
      <c r="E573">
        <v>0.44750000000000001</v>
      </c>
      <c r="F573">
        <v>32831337.23</v>
      </c>
      <c r="G573">
        <v>0</v>
      </c>
      <c r="L573" t="s">
        <v>8</v>
      </c>
      <c r="M573" t="s">
        <v>8</v>
      </c>
      <c r="N573" t="s">
        <v>8</v>
      </c>
      <c r="P573">
        <f t="shared" si="984"/>
        <v>0.1586021505376348</v>
      </c>
      <c r="Q573">
        <f t="shared" si="985"/>
        <v>5207120.6897043139</v>
      </c>
      <c r="R573">
        <f t="shared" si="986"/>
        <v>-87118708.227300808</v>
      </c>
      <c r="S573">
        <f t="shared" si="987"/>
        <v>-871.18708227300806</v>
      </c>
      <c r="T573">
        <f t="shared" si="988"/>
        <v>-0.87118708227300801</v>
      </c>
    </row>
    <row r="574" spans="1:104" x14ac:dyDescent="0.25">
      <c r="A574" s="5">
        <v>44019</v>
      </c>
      <c r="B574">
        <v>0.40010000000000001</v>
      </c>
      <c r="C574">
        <v>0.42699999999999999</v>
      </c>
      <c r="D574">
        <v>0.39069999999999999</v>
      </c>
      <c r="E574">
        <v>0.40849999999999997</v>
      </c>
      <c r="F574">
        <v>16659399.779999999</v>
      </c>
      <c r="G574">
        <v>0</v>
      </c>
      <c r="L574" t="s">
        <v>8</v>
      </c>
      <c r="M574" t="s">
        <v>8</v>
      </c>
      <c r="N574" t="s">
        <v>8</v>
      </c>
      <c r="P574">
        <f t="shared" si="984"/>
        <v>-1.9283746556474763E-2</v>
      </c>
      <c r="Q574">
        <f t="shared" si="985"/>
        <v>-321255.64314051141</v>
      </c>
      <c r="R574">
        <f t="shared" si="986"/>
        <v>-92325828.917005122</v>
      </c>
      <c r="S574">
        <f t="shared" si="987"/>
        <v>-923.25828917005117</v>
      </c>
      <c r="T574">
        <f t="shared" si="988"/>
        <v>-0.92325828917005115</v>
      </c>
    </row>
    <row r="575" spans="1:104" x14ac:dyDescent="0.25">
      <c r="A575" s="5">
        <v>44018</v>
      </c>
      <c r="B575">
        <v>0.4163</v>
      </c>
      <c r="C575">
        <v>0.4239</v>
      </c>
      <c r="D575">
        <v>0.38829999999999998</v>
      </c>
      <c r="E575">
        <v>0.39989999999999998</v>
      </c>
      <c r="F575">
        <v>24400974.850000001</v>
      </c>
      <c r="G575">
        <v>0</v>
      </c>
      <c r="L575" t="s">
        <v>8</v>
      </c>
      <c r="M575" t="s">
        <v>8</v>
      </c>
      <c r="N575" t="s">
        <v>8</v>
      </c>
      <c r="P575">
        <f t="shared" si="984"/>
        <v>-0.34831460674157344</v>
      </c>
      <c r="Q575">
        <f t="shared" si="985"/>
        <v>-8499215.9589887746</v>
      </c>
      <c r="R575">
        <f t="shared" si="986"/>
        <v>-92004573.273864612</v>
      </c>
      <c r="S575">
        <f t="shared" si="987"/>
        <v>-920.04573273864617</v>
      </c>
      <c r="T575">
        <f t="shared" si="988"/>
        <v>-0.9200457327386462</v>
      </c>
    </row>
    <row r="576" spans="1:104" x14ac:dyDescent="0.25">
      <c r="A576" s="5">
        <v>44017</v>
      </c>
      <c r="B576">
        <v>0.38750000000000001</v>
      </c>
      <c r="C576">
        <v>0.42030000000000001</v>
      </c>
      <c r="D576">
        <v>0.3599</v>
      </c>
      <c r="E576">
        <v>0.41639999999999999</v>
      </c>
      <c r="F576">
        <v>23319410.699999999</v>
      </c>
      <c r="G576">
        <v>0</v>
      </c>
      <c r="L576" t="s">
        <v>7</v>
      </c>
      <c r="M576" t="s">
        <v>8</v>
      </c>
      <c r="N576" t="s">
        <v>8</v>
      </c>
      <c r="P576">
        <f t="shared" si="984"/>
        <v>0.87086092715231744</v>
      </c>
      <c r="Q576">
        <f t="shared" si="985"/>
        <v>20307963.622847673</v>
      </c>
      <c r="R576">
        <f t="shared" si="986"/>
        <v>-83505357.314875841</v>
      </c>
      <c r="S576">
        <f t="shared" si="987"/>
        <v>-835.05357314875846</v>
      </c>
      <c r="T576">
        <f t="shared" si="988"/>
        <v>-0.8350535731487585</v>
      </c>
    </row>
    <row r="577" spans="1:20" x14ac:dyDescent="0.25">
      <c r="A577" s="5">
        <v>44016</v>
      </c>
      <c r="B577">
        <v>0.38</v>
      </c>
      <c r="C577">
        <v>0.42930000000000001</v>
      </c>
      <c r="D577">
        <v>0.37380000000000002</v>
      </c>
      <c r="E577">
        <v>0.38750000000000001</v>
      </c>
      <c r="F577">
        <v>27455856.850000001</v>
      </c>
      <c r="G577">
        <v>0</v>
      </c>
      <c r="L577" t="s">
        <v>8</v>
      </c>
      <c r="M577" t="s">
        <v>8</v>
      </c>
      <c r="N577" t="s">
        <v>8</v>
      </c>
      <c r="P577">
        <f t="shared" si="984"/>
        <v>-0.50630630630630657</v>
      </c>
      <c r="Q577">
        <f t="shared" si="985"/>
        <v>-13901073.468198206</v>
      </c>
      <c r="R577">
        <f t="shared" si="986"/>
        <v>-103813320.93772352</v>
      </c>
      <c r="S577">
        <f t="shared" si="987"/>
        <v>-1038.1332093772351</v>
      </c>
      <c r="T577">
        <f t="shared" si="988"/>
        <v>-1.0381332093772351</v>
      </c>
    </row>
    <row r="578" spans="1:20" x14ac:dyDescent="0.25">
      <c r="A578" s="5">
        <v>44015</v>
      </c>
      <c r="B578">
        <v>0.34379999999999999</v>
      </c>
      <c r="C578">
        <v>0.40129999999999999</v>
      </c>
      <c r="D578">
        <v>0.34260000000000002</v>
      </c>
      <c r="E578">
        <v>0.38080000000000003</v>
      </c>
      <c r="F578">
        <v>25664656</v>
      </c>
      <c r="G578">
        <v>0</v>
      </c>
      <c r="L578" t="s">
        <v>8</v>
      </c>
      <c r="M578" t="s">
        <v>8</v>
      </c>
      <c r="N578" t="s">
        <v>7</v>
      </c>
      <c r="P578">
        <f t="shared" si="984"/>
        <v>0.3015332197615001</v>
      </c>
      <c r="Q578">
        <f t="shared" si="985"/>
        <v>7738746.3577513024</v>
      </c>
      <c r="R578">
        <f t="shared" si="986"/>
        <v>-89912247.469525307</v>
      </c>
      <c r="S578">
        <f t="shared" si="987"/>
        <v>-899.12247469525312</v>
      </c>
      <c r="T578">
        <f t="shared" si="988"/>
        <v>-0.89912247469525308</v>
      </c>
    </row>
    <row r="579" spans="1:20" x14ac:dyDescent="0.25">
      <c r="A579" s="5">
        <v>44014</v>
      </c>
      <c r="B579">
        <v>0.33600000000000002</v>
      </c>
      <c r="C579">
        <v>0.3594</v>
      </c>
      <c r="D579">
        <v>0.3322</v>
      </c>
      <c r="E579">
        <v>0.34439999999999998</v>
      </c>
      <c r="F579">
        <v>8573947.9100000001</v>
      </c>
      <c r="G579">
        <v>0</v>
      </c>
      <c r="L579" t="s">
        <v>8</v>
      </c>
      <c r="M579" t="s">
        <v>7</v>
      </c>
      <c r="N579" t="s">
        <v>7</v>
      </c>
      <c r="P579">
        <f t="shared" si="984"/>
        <v>-0.10294117647058913</v>
      </c>
      <c r="Q579">
        <f t="shared" si="985"/>
        <v>-882612.28485294885</v>
      </c>
      <c r="R579">
        <f t="shared" si="986"/>
        <v>-97650993.827276602</v>
      </c>
      <c r="S579">
        <f t="shared" si="987"/>
        <v>-976.50993827276602</v>
      </c>
      <c r="T579">
        <f t="shared" si="988"/>
        <v>-0.976509938272766</v>
      </c>
    </row>
    <row r="580" spans="1:20" x14ac:dyDescent="0.25">
      <c r="A580" s="5">
        <v>44013</v>
      </c>
      <c r="B580">
        <v>0.3352</v>
      </c>
      <c r="C580">
        <v>0.34420000000000001</v>
      </c>
      <c r="D580">
        <v>0.33110000000000001</v>
      </c>
      <c r="E580">
        <v>0.33600000000000002</v>
      </c>
      <c r="F580">
        <v>3293569.19</v>
      </c>
      <c r="G580">
        <v>0</v>
      </c>
      <c r="L580" t="s">
        <v>8</v>
      </c>
      <c r="M580" t="s">
        <v>7</v>
      </c>
      <c r="N580" t="s">
        <v>7</v>
      </c>
      <c r="P580">
        <f t="shared" si="984"/>
        <v>-0.25190839694656253</v>
      </c>
      <c r="Q580">
        <f t="shared" si="985"/>
        <v>-829677.7348854884</v>
      </c>
      <c r="R580">
        <f t="shared" si="986"/>
        <v>-96768381.542423651</v>
      </c>
      <c r="S580">
        <f t="shared" si="987"/>
        <v>-967.68381542423651</v>
      </c>
      <c r="T580">
        <f t="shared" si="988"/>
        <v>-0.96768381542423654</v>
      </c>
    </row>
    <row r="581" spans="1:20" x14ac:dyDescent="0.25">
      <c r="A581" s="5">
        <v>44012</v>
      </c>
      <c r="B581">
        <v>0.34589999999999999</v>
      </c>
      <c r="C581">
        <v>0.3468</v>
      </c>
      <c r="D581">
        <v>0.33300000000000002</v>
      </c>
      <c r="E581">
        <v>0.3352</v>
      </c>
      <c r="F581">
        <v>3178696.9</v>
      </c>
      <c r="G581">
        <v>0</v>
      </c>
      <c r="L581" t="s">
        <v>8</v>
      </c>
      <c r="M581" t="s">
        <v>7</v>
      </c>
      <c r="N581" t="s">
        <v>7</v>
      </c>
      <c r="P581">
        <f t="shared" si="984"/>
        <v>-0.68115942028985754</v>
      </c>
      <c r="Q581">
        <f t="shared" si="985"/>
        <v>-2165199.3376811673</v>
      </c>
      <c r="R581">
        <f t="shared" si="986"/>
        <v>-95938703.807538167</v>
      </c>
      <c r="S581">
        <f t="shared" si="987"/>
        <v>-959.38703807538161</v>
      </c>
      <c r="T581">
        <f t="shared" si="988"/>
        <v>-0.95938703807538162</v>
      </c>
    </row>
    <row r="582" spans="1:20" x14ac:dyDescent="0.25">
      <c r="A582" s="5">
        <v>44011</v>
      </c>
      <c r="B582">
        <v>0.33179999999999998</v>
      </c>
      <c r="C582">
        <v>0.34720000000000001</v>
      </c>
      <c r="D582">
        <v>0.3261</v>
      </c>
      <c r="E582">
        <v>0.34589999999999999</v>
      </c>
      <c r="F582">
        <v>4104444.8</v>
      </c>
      <c r="G582">
        <v>0</v>
      </c>
      <c r="L582" t="s">
        <v>8</v>
      </c>
      <c r="M582" t="s">
        <v>7</v>
      </c>
      <c r="N582" t="s">
        <v>7</v>
      </c>
      <c r="P582">
        <f t="shared" ref="P582:P645" si="989">IF(C582=D582,0,((E582-D582)-(C582-E582))/(C582-D582))</f>
        <v>0.87677725118483196</v>
      </c>
      <c r="Q582">
        <f t="shared" ref="Q582:Q645" si="990">F582*P582</f>
        <v>3598683.8293838771</v>
      </c>
      <c r="R582">
        <f t="shared" ref="R582:R645" si="991">R583+Q582</f>
        <v>-93773504.469856992</v>
      </c>
      <c r="S582">
        <f t="shared" ref="S582:S645" si="992">R582/100000</f>
        <v>-937.73504469856994</v>
      </c>
      <c r="T582">
        <f t="shared" ref="T582:T645" si="993">S582/1000</f>
        <v>-0.93773504469856994</v>
      </c>
    </row>
    <row r="583" spans="1:20" x14ac:dyDescent="0.25">
      <c r="A583" s="5">
        <v>44010</v>
      </c>
      <c r="B583">
        <v>0.33250000000000002</v>
      </c>
      <c r="C583">
        <v>0.34260000000000002</v>
      </c>
      <c r="D583">
        <v>0.31869999999999998</v>
      </c>
      <c r="E583">
        <v>0.33119999999999999</v>
      </c>
      <c r="F583">
        <v>5476091.8899999997</v>
      </c>
      <c r="G583">
        <v>0</v>
      </c>
      <c r="L583" t="s">
        <v>7</v>
      </c>
      <c r="M583" t="s">
        <v>7</v>
      </c>
      <c r="N583" t="s">
        <v>7</v>
      </c>
      <c r="P583">
        <f t="shared" si="989"/>
        <v>4.6025104602509977E-2</v>
      </c>
      <c r="Q583">
        <f t="shared" si="990"/>
        <v>252037.70205020654</v>
      </c>
      <c r="R583">
        <f t="shared" si="991"/>
        <v>-97372188.299240872</v>
      </c>
      <c r="S583">
        <f t="shared" si="992"/>
        <v>-973.72188299240872</v>
      </c>
      <c r="T583">
        <f t="shared" si="993"/>
        <v>-0.97372188299240869</v>
      </c>
    </row>
    <row r="584" spans="1:20" x14ac:dyDescent="0.25">
      <c r="A584" s="5">
        <v>44009</v>
      </c>
      <c r="B584">
        <v>0.3528</v>
      </c>
      <c r="C584">
        <v>0.36840000000000001</v>
      </c>
      <c r="D584">
        <v>0.31490000000000001</v>
      </c>
      <c r="E584">
        <v>0.33250000000000002</v>
      </c>
      <c r="F584">
        <v>14003894</v>
      </c>
      <c r="G584">
        <v>0</v>
      </c>
      <c r="L584" t="s">
        <v>8</v>
      </c>
      <c r="M584" t="s">
        <v>7</v>
      </c>
      <c r="N584" t="s">
        <v>7</v>
      </c>
      <c r="P584">
        <f t="shared" si="989"/>
        <v>-0.34205607476635486</v>
      </c>
      <c r="Q584">
        <f t="shared" si="990"/>
        <v>-4790117.013084108</v>
      </c>
      <c r="R584">
        <f t="shared" si="991"/>
        <v>-97624226.001291081</v>
      </c>
      <c r="S584">
        <f t="shared" si="992"/>
        <v>-976.24226001291083</v>
      </c>
      <c r="T584">
        <f t="shared" si="993"/>
        <v>-0.97624226001291081</v>
      </c>
    </row>
    <row r="585" spans="1:20" x14ac:dyDescent="0.25">
      <c r="A585" s="5">
        <v>44008</v>
      </c>
      <c r="B585">
        <v>0.3347</v>
      </c>
      <c r="C585">
        <v>0.36299999999999999</v>
      </c>
      <c r="D585">
        <v>0.33239999999999997</v>
      </c>
      <c r="E585">
        <v>0.35260000000000002</v>
      </c>
      <c r="F585">
        <v>14657759.279999999</v>
      </c>
      <c r="G585">
        <v>0</v>
      </c>
      <c r="L585" t="s">
        <v>8</v>
      </c>
      <c r="M585" t="s">
        <v>7</v>
      </c>
      <c r="N585" t="s">
        <v>8</v>
      </c>
      <c r="P585">
        <f t="shared" si="989"/>
        <v>0.32026143790849937</v>
      </c>
      <c r="Q585">
        <f t="shared" si="990"/>
        <v>4694315.0635294504</v>
      </c>
      <c r="R585">
        <f t="shared" si="991"/>
        <v>-92834108.988206968</v>
      </c>
      <c r="S585">
        <f t="shared" si="992"/>
        <v>-928.3410898820697</v>
      </c>
      <c r="T585">
        <f t="shared" si="993"/>
        <v>-0.92834108988206965</v>
      </c>
    </row>
    <row r="586" spans="1:20" x14ac:dyDescent="0.25">
      <c r="A586" s="5">
        <v>44007</v>
      </c>
      <c r="B586">
        <v>0.34439999999999998</v>
      </c>
      <c r="C586">
        <v>0.34789999999999999</v>
      </c>
      <c r="D586">
        <v>0.3301</v>
      </c>
      <c r="E586">
        <v>0.33529999999999999</v>
      </c>
      <c r="F586">
        <v>5434540.6200000001</v>
      </c>
      <c r="G586">
        <v>0</v>
      </c>
      <c r="L586" t="s">
        <v>7</v>
      </c>
      <c r="M586" t="s">
        <v>7</v>
      </c>
      <c r="N586" t="s">
        <v>8</v>
      </c>
      <c r="P586">
        <f t="shared" si="989"/>
        <v>-0.41573033707865309</v>
      </c>
      <c r="Q586">
        <f t="shared" si="990"/>
        <v>-2259303.4038202325</v>
      </c>
      <c r="R586">
        <f t="shared" si="991"/>
        <v>-97528424.051736414</v>
      </c>
      <c r="S586">
        <f t="shared" si="992"/>
        <v>-975.2842405173642</v>
      </c>
      <c r="T586">
        <f t="shared" si="993"/>
        <v>-0.97528424051736418</v>
      </c>
    </row>
    <row r="587" spans="1:20" x14ac:dyDescent="0.25">
      <c r="A587" s="5">
        <v>44006</v>
      </c>
      <c r="B587">
        <v>0.3654</v>
      </c>
      <c r="C587">
        <v>0.37440000000000001</v>
      </c>
      <c r="D587">
        <v>0.33300000000000002</v>
      </c>
      <c r="E587">
        <v>0.34470000000000001</v>
      </c>
      <c r="F587">
        <v>10941763.199999999</v>
      </c>
      <c r="G587">
        <v>0</v>
      </c>
      <c r="L587" t="s">
        <v>8</v>
      </c>
      <c r="M587" t="s">
        <v>7</v>
      </c>
      <c r="N587" t="s">
        <v>8</v>
      </c>
      <c r="P587">
        <f t="shared" si="989"/>
        <v>-0.43478260869565266</v>
      </c>
      <c r="Q587">
        <f t="shared" si="990"/>
        <v>-4757288.3478260916</v>
      </c>
      <c r="R587">
        <f t="shared" si="991"/>
        <v>-95269120.647916183</v>
      </c>
      <c r="S587">
        <f t="shared" si="992"/>
        <v>-952.69120647916179</v>
      </c>
      <c r="T587">
        <f t="shared" si="993"/>
        <v>-0.95269120647916183</v>
      </c>
    </row>
    <row r="588" spans="1:20" x14ac:dyDescent="0.25">
      <c r="A588" s="5">
        <v>44005</v>
      </c>
      <c r="B588">
        <v>0.35470000000000002</v>
      </c>
      <c r="C588">
        <v>0.36749999999999999</v>
      </c>
      <c r="D588">
        <v>0.3493</v>
      </c>
      <c r="E588">
        <v>0.36530000000000001</v>
      </c>
      <c r="F588">
        <v>7483323.7800000003</v>
      </c>
      <c r="G588">
        <v>0</v>
      </c>
      <c r="L588" t="s">
        <v>8</v>
      </c>
      <c r="M588" t="s">
        <v>7</v>
      </c>
      <c r="N588" t="s">
        <v>8</v>
      </c>
      <c r="P588">
        <f t="shared" si="989"/>
        <v>0.75824175824176043</v>
      </c>
      <c r="Q588">
        <f t="shared" si="990"/>
        <v>5674168.5804395769</v>
      </c>
      <c r="R588">
        <f t="shared" si="991"/>
        <v>-90511832.300090089</v>
      </c>
      <c r="S588">
        <f t="shared" si="992"/>
        <v>-905.11832300090089</v>
      </c>
      <c r="T588">
        <f t="shared" si="993"/>
        <v>-0.90511832300090089</v>
      </c>
    </row>
    <row r="589" spans="1:20" x14ac:dyDescent="0.25">
      <c r="A589" s="5">
        <v>44004</v>
      </c>
      <c r="B589">
        <v>0.34660000000000002</v>
      </c>
      <c r="C589">
        <v>0.36459999999999998</v>
      </c>
      <c r="D589">
        <v>0.34660000000000002</v>
      </c>
      <c r="E589">
        <v>0.3543</v>
      </c>
      <c r="F589">
        <v>7306498.3099999996</v>
      </c>
      <c r="G589">
        <v>0</v>
      </c>
      <c r="L589" t="s">
        <v>8</v>
      </c>
      <c r="M589" t="s">
        <v>7</v>
      </c>
      <c r="N589" t="s">
        <v>8</v>
      </c>
      <c r="P589">
        <f t="shared" si="989"/>
        <v>-0.14444444444444426</v>
      </c>
      <c r="Q589">
        <f t="shared" si="990"/>
        <v>-1055383.0892222209</v>
      </c>
      <c r="R589">
        <f t="shared" si="991"/>
        <v>-96186000.880529672</v>
      </c>
      <c r="S589">
        <f t="shared" si="992"/>
        <v>-961.86000880529673</v>
      </c>
      <c r="T589">
        <f t="shared" si="993"/>
        <v>-0.96186000880529676</v>
      </c>
    </row>
    <row r="590" spans="1:20" x14ac:dyDescent="0.25">
      <c r="A590" s="5">
        <v>44003</v>
      </c>
      <c r="B590">
        <v>0.34989999999999999</v>
      </c>
      <c r="C590">
        <v>0.35809999999999997</v>
      </c>
      <c r="D590">
        <v>0.34279999999999999</v>
      </c>
      <c r="E590">
        <v>0.34670000000000001</v>
      </c>
      <c r="F590">
        <v>4700181.45</v>
      </c>
      <c r="G590">
        <v>0</v>
      </c>
      <c r="L590" t="s">
        <v>8</v>
      </c>
      <c r="M590" t="s">
        <v>7</v>
      </c>
      <c r="N590" t="s">
        <v>8</v>
      </c>
      <c r="P590">
        <f t="shared" si="989"/>
        <v>-0.49019607843136997</v>
      </c>
      <c r="Q590">
        <f t="shared" si="990"/>
        <v>-2304010.5147058703</v>
      </c>
      <c r="R590">
        <f t="shared" si="991"/>
        <v>-95130617.791307449</v>
      </c>
      <c r="S590">
        <f t="shared" si="992"/>
        <v>-951.30617791307452</v>
      </c>
      <c r="T590">
        <f t="shared" si="993"/>
        <v>-0.95130617791307448</v>
      </c>
    </row>
    <row r="591" spans="1:20" x14ac:dyDescent="0.25">
      <c r="A591" s="5">
        <v>44002</v>
      </c>
      <c r="B591">
        <v>0.3306</v>
      </c>
      <c r="C591">
        <v>0.36199999999999999</v>
      </c>
      <c r="D591">
        <v>0.33040000000000003</v>
      </c>
      <c r="E591">
        <v>0.34989999999999999</v>
      </c>
      <c r="F591">
        <v>7051196.1799999997</v>
      </c>
      <c r="G591">
        <v>0</v>
      </c>
      <c r="L591" t="s">
        <v>8</v>
      </c>
      <c r="M591" t="s">
        <v>7</v>
      </c>
      <c r="N591" t="s">
        <v>8</v>
      </c>
      <c r="P591">
        <f t="shared" si="989"/>
        <v>0.2341772151898725</v>
      </c>
      <c r="Q591">
        <f t="shared" si="990"/>
        <v>1651229.485189867</v>
      </c>
      <c r="R591">
        <f t="shared" si="991"/>
        <v>-92826607.276601583</v>
      </c>
      <c r="S591">
        <f t="shared" si="992"/>
        <v>-928.26607276601578</v>
      </c>
      <c r="T591">
        <f t="shared" si="993"/>
        <v>-0.9282660727660158</v>
      </c>
    </row>
    <row r="592" spans="1:20" x14ac:dyDescent="0.25">
      <c r="A592" s="5">
        <v>44001</v>
      </c>
      <c r="B592">
        <v>0.33110000000000001</v>
      </c>
      <c r="C592">
        <v>0.34389999999999998</v>
      </c>
      <c r="D592">
        <v>0.3251</v>
      </c>
      <c r="E592">
        <v>0.3306</v>
      </c>
      <c r="F592">
        <v>4552487.54</v>
      </c>
      <c r="G592">
        <v>0</v>
      </c>
      <c r="L592" t="s">
        <v>7</v>
      </c>
      <c r="M592" t="s">
        <v>7</v>
      </c>
      <c r="N592" t="s">
        <v>8</v>
      </c>
      <c r="P592">
        <f t="shared" si="989"/>
        <v>-0.41489361702127558</v>
      </c>
      <c r="Q592">
        <f t="shared" si="990"/>
        <v>-1888798.0219148891</v>
      </c>
      <c r="R592">
        <f t="shared" si="991"/>
        <v>-94477836.761791453</v>
      </c>
      <c r="S592">
        <f t="shared" si="992"/>
        <v>-944.77836761791457</v>
      </c>
      <c r="T592">
        <f t="shared" si="993"/>
        <v>-0.94477836761791456</v>
      </c>
    </row>
    <row r="593" spans="1:20" x14ac:dyDescent="0.25">
      <c r="A593" s="5">
        <v>44000</v>
      </c>
      <c r="B593">
        <v>0.34250000000000003</v>
      </c>
      <c r="C593">
        <v>0.34320000000000001</v>
      </c>
      <c r="D593">
        <v>0.3281</v>
      </c>
      <c r="E593">
        <v>0.33110000000000001</v>
      </c>
      <c r="F593">
        <v>2950526.22</v>
      </c>
      <c r="G593">
        <v>0</v>
      </c>
      <c r="L593" t="s">
        <v>7</v>
      </c>
      <c r="M593" t="s">
        <v>7</v>
      </c>
      <c r="N593" t="s">
        <v>8</v>
      </c>
      <c r="P593">
        <f t="shared" si="989"/>
        <v>-0.6026490066225163</v>
      </c>
      <c r="Q593">
        <f t="shared" si="990"/>
        <v>-1778131.6954966881</v>
      </c>
      <c r="R593">
        <f t="shared" si="991"/>
        <v>-92589038.739876568</v>
      </c>
      <c r="S593">
        <f t="shared" si="992"/>
        <v>-925.89038739876571</v>
      </c>
      <c r="T593">
        <f t="shared" si="993"/>
        <v>-0.92589038739876572</v>
      </c>
    </row>
    <row r="594" spans="1:20" x14ac:dyDescent="0.25">
      <c r="A594" s="5">
        <v>43999</v>
      </c>
      <c r="B594">
        <v>0.34399999999999997</v>
      </c>
      <c r="C594">
        <v>0.3478</v>
      </c>
      <c r="D594">
        <v>0.3337</v>
      </c>
      <c r="E594">
        <v>0.34260000000000002</v>
      </c>
      <c r="F594">
        <v>4471313.21</v>
      </c>
      <c r="G594">
        <v>0</v>
      </c>
      <c r="L594" t="s">
        <v>8</v>
      </c>
      <c r="M594" t="s">
        <v>7</v>
      </c>
      <c r="N594" t="s">
        <v>8</v>
      </c>
      <c r="P594">
        <f t="shared" si="989"/>
        <v>0.26241134751773304</v>
      </c>
      <c r="Q594">
        <f t="shared" si="990"/>
        <v>1173323.3246099404</v>
      </c>
      <c r="R594">
        <f t="shared" si="991"/>
        <v>-90810907.044379875</v>
      </c>
      <c r="S594">
        <f t="shared" si="992"/>
        <v>-908.10907044379871</v>
      </c>
      <c r="T594">
        <f t="shared" si="993"/>
        <v>-0.90810907044379874</v>
      </c>
    </row>
    <row r="595" spans="1:20" x14ac:dyDescent="0.25">
      <c r="A595" s="5">
        <v>43998</v>
      </c>
      <c r="B595">
        <v>0.34439999999999998</v>
      </c>
      <c r="C595">
        <v>0.35510000000000003</v>
      </c>
      <c r="D595">
        <v>0.33779999999999999</v>
      </c>
      <c r="E595">
        <v>0.34399999999999997</v>
      </c>
      <c r="F595">
        <v>4721817.5199999996</v>
      </c>
      <c r="G595">
        <v>0</v>
      </c>
      <c r="L595" t="s">
        <v>8</v>
      </c>
      <c r="M595" t="s">
        <v>7</v>
      </c>
      <c r="N595" t="s">
        <v>8</v>
      </c>
      <c r="P595">
        <f t="shared" si="989"/>
        <v>-0.28323699421965665</v>
      </c>
      <c r="Q595">
        <f t="shared" si="990"/>
        <v>-1337393.4016185133</v>
      </c>
      <c r="R595">
        <f t="shared" si="991"/>
        <v>-91984230.36898981</v>
      </c>
      <c r="S595">
        <f t="shared" si="992"/>
        <v>-919.84230368989813</v>
      </c>
      <c r="T595">
        <f t="shared" si="993"/>
        <v>-0.91984230368989817</v>
      </c>
    </row>
    <row r="596" spans="1:20" x14ac:dyDescent="0.25">
      <c r="A596" s="5">
        <v>43997</v>
      </c>
      <c r="B596">
        <v>0.35620000000000002</v>
      </c>
      <c r="C596">
        <v>0.35809999999999997</v>
      </c>
      <c r="D596">
        <v>0.3196</v>
      </c>
      <c r="E596">
        <v>0.34410000000000002</v>
      </c>
      <c r="F596">
        <v>10941090.880000001</v>
      </c>
      <c r="G596">
        <v>0</v>
      </c>
      <c r="L596" t="s">
        <v>7</v>
      </c>
      <c r="M596" t="s">
        <v>7</v>
      </c>
      <c r="N596" t="s">
        <v>8</v>
      </c>
      <c r="P596">
        <f t="shared" si="989"/>
        <v>0.27272727272727454</v>
      </c>
      <c r="Q596">
        <f t="shared" si="990"/>
        <v>2983933.8763636565</v>
      </c>
      <c r="R596">
        <f t="shared" si="991"/>
        <v>-90646836.9673713</v>
      </c>
      <c r="S596">
        <f t="shared" si="992"/>
        <v>-906.46836967371303</v>
      </c>
      <c r="T596">
        <f t="shared" si="993"/>
        <v>-0.90646836967371303</v>
      </c>
    </row>
    <row r="597" spans="1:20" x14ac:dyDescent="0.25">
      <c r="A597" s="5">
        <v>43996</v>
      </c>
      <c r="B597">
        <v>0.36220000000000002</v>
      </c>
      <c r="C597">
        <v>0.38469999999999999</v>
      </c>
      <c r="D597">
        <v>0.3523</v>
      </c>
      <c r="E597">
        <v>0.35659999999999997</v>
      </c>
      <c r="F597">
        <v>8825562.4299999997</v>
      </c>
      <c r="G597">
        <v>0</v>
      </c>
      <c r="L597" t="s">
        <v>7</v>
      </c>
      <c r="M597" t="s">
        <v>8</v>
      </c>
      <c r="N597" t="s">
        <v>8</v>
      </c>
      <c r="P597">
        <f t="shared" si="989"/>
        <v>-0.73456790123456961</v>
      </c>
      <c r="Q597">
        <f t="shared" si="990"/>
        <v>-6482974.8714197678</v>
      </c>
      <c r="R597">
        <f t="shared" si="991"/>
        <v>-93630770.84373495</v>
      </c>
      <c r="S597">
        <f t="shared" si="992"/>
        <v>-936.30770843734945</v>
      </c>
      <c r="T597">
        <f t="shared" si="993"/>
        <v>-0.93630770843734945</v>
      </c>
    </row>
    <row r="598" spans="1:20" x14ac:dyDescent="0.25">
      <c r="A598" s="5">
        <v>43995</v>
      </c>
      <c r="B598">
        <v>0.35570000000000002</v>
      </c>
      <c r="C598">
        <v>0.38440000000000002</v>
      </c>
      <c r="D598">
        <v>0.35549999999999998</v>
      </c>
      <c r="E598">
        <v>0.36270000000000002</v>
      </c>
      <c r="F598">
        <v>11494175.640000001</v>
      </c>
      <c r="G598">
        <v>0</v>
      </c>
      <c r="L598" t="s">
        <v>8</v>
      </c>
      <c r="M598" t="s">
        <v>8</v>
      </c>
      <c r="N598" t="s">
        <v>8</v>
      </c>
      <c r="P598">
        <f t="shared" si="989"/>
        <v>-0.50173010380622629</v>
      </c>
      <c r="Q598">
        <f t="shared" si="990"/>
        <v>-5766973.9370241975</v>
      </c>
      <c r="R598">
        <f t="shared" si="991"/>
        <v>-87147795.972315177</v>
      </c>
      <c r="S598">
        <f t="shared" si="992"/>
        <v>-871.4779597231518</v>
      </c>
      <c r="T598">
        <f t="shared" si="993"/>
        <v>-0.87147795972315178</v>
      </c>
    </row>
    <row r="599" spans="1:20" x14ac:dyDescent="0.25">
      <c r="A599" s="5">
        <v>43994</v>
      </c>
      <c r="B599">
        <v>0.33389999999999997</v>
      </c>
      <c r="C599">
        <v>0.37790000000000001</v>
      </c>
      <c r="D599">
        <v>0.32940000000000003</v>
      </c>
      <c r="E599">
        <v>0.35570000000000002</v>
      </c>
      <c r="F599">
        <v>13069080.76</v>
      </c>
      <c r="G599">
        <v>0</v>
      </c>
      <c r="L599" t="s">
        <v>8</v>
      </c>
      <c r="M599" t="s">
        <v>8</v>
      </c>
      <c r="N599" t="s">
        <v>8</v>
      </c>
      <c r="P599">
        <f t="shared" si="989"/>
        <v>8.453608247422667E-2</v>
      </c>
      <c r="Q599">
        <f t="shared" si="990"/>
        <v>1104808.8889896891</v>
      </c>
      <c r="R599">
        <f t="shared" si="991"/>
        <v>-81380822.035290986</v>
      </c>
      <c r="S599">
        <f t="shared" si="992"/>
        <v>-813.80822035290987</v>
      </c>
      <c r="T599">
        <f t="shared" si="993"/>
        <v>-0.81380822035290989</v>
      </c>
    </row>
    <row r="600" spans="1:20" x14ac:dyDescent="0.25">
      <c r="A600" s="5">
        <v>43993</v>
      </c>
      <c r="B600">
        <v>0.3871</v>
      </c>
      <c r="C600">
        <v>0.40250000000000002</v>
      </c>
      <c r="D600">
        <v>0.3251</v>
      </c>
      <c r="E600">
        <v>0.33389999999999997</v>
      </c>
      <c r="F600">
        <v>24236115.09</v>
      </c>
      <c r="G600">
        <v>0</v>
      </c>
      <c r="L600" t="s">
        <v>7</v>
      </c>
      <c r="M600" t="s">
        <v>7</v>
      </c>
      <c r="N600" t="s">
        <v>8</v>
      </c>
      <c r="P600">
        <f t="shared" si="989"/>
        <v>-0.77260981912144777</v>
      </c>
      <c r="Q600">
        <f t="shared" si="990"/>
        <v>-18725060.495891489</v>
      </c>
      <c r="R600">
        <f t="shared" si="991"/>
        <v>-82485630.924280673</v>
      </c>
      <c r="S600">
        <f t="shared" si="992"/>
        <v>-824.85630924280679</v>
      </c>
      <c r="T600">
        <f t="shared" si="993"/>
        <v>-0.82485630924280684</v>
      </c>
    </row>
    <row r="601" spans="1:20" x14ac:dyDescent="0.25">
      <c r="A601" s="5">
        <v>43992</v>
      </c>
      <c r="B601">
        <v>0.34860000000000002</v>
      </c>
      <c r="C601">
        <v>0.42820000000000003</v>
      </c>
      <c r="D601">
        <v>0.34810000000000002</v>
      </c>
      <c r="E601">
        <v>0.38769999999999999</v>
      </c>
      <c r="F601">
        <v>34977233.659999996</v>
      </c>
      <c r="G601">
        <v>0</v>
      </c>
      <c r="L601" t="s">
        <v>8</v>
      </c>
      <c r="M601" t="s">
        <v>8</v>
      </c>
      <c r="N601" t="s">
        <v>8</v>
      </c>
      <c r="P601">
        <f t="shared" si="989"/>
        <v>-1.1235955056180616E-2</v>
      </c>
      <c r="Q601">
        <f t="shared" si="990"/>
        <v>-393002.6253932878</v>
      </c>
      <c r="R601">
        <f t="shared" si="991"/>
        <v>-63760570.428389184</v>
      </c>
      <c r="S601">
        <f t="shared" si="992"/>
        <v>-637.6057042838919</v>
      </c>
      <c r="T601">
        <f t="shared" si="993"/>
        <v>-0.63760570428389185</v>
      </c>
    </row>
    <row r="602" spans="1:20" x14ac:dyDescent="0.25">
      <c r="A602" s="5">
        <v>43991</v>
      </c>
      <c r="B602">
        <v>0.31940000000000002</v>
      </c>
      <c r="C602">
        <v>0.35320000000000001</v>
      </c>
      <c r="D602">
        <v>0.315</v>
      </c>
      <c r="E602">
        <v>0.34899999999999998</v>
      </c>
      <c r="F602">
        <v>13058149.65</v>
      </c>
      <c r="G602">
        <v>0</v>
      </c>
      <c r="L602" t="s">
        <v>8</v>
      </c>
      <c r="M602" t="s">
        <v>7</v>
      </c>
      <c r="N602" t="s">
        <v>7</v>
      </c>
      <c r="P602">
        <f t="shared" si="989"/>
        <v>0.78010471204188292</v>
      </c>
      <c r="Q602">
        <f t="shared" si="990"/>
        <v>10186724.072513064</v>
      </c>
      <c r="R602">
        <f t="shared" si="991"/>
        <v>-63367567.802995898</v>
      </c>
      <c r="S602">
        <f t="shared" si="992"/>
        <v>-633.67567802995893</v>
      </c>
      <c r="T602">
        <f t="shared" si="993"/>
        <v>-0.63367567802995894</v>
      </c>
    </row>
    <row r="603" spans="1:20" x14ac:dyDescent="0.25">
      <c r="A603" s="5">
        <v>43990</v>
      </c>
      <c r="B603">
        <v>0.32190000000000002</v>
      </c>
      <c r="C603">
        <v>0.32300000000000001</v>
      </c>
      <c r="D603">
        <v>0.317</v>
      </c>
      <c r="E603">
        <v>0.31929999999999997</v>
      </c>
      <c r="F603">
        <v>1835660.92</v>
      </c>
      <c r="G603">
        <v>0</v>
      </c>
      <c r="L603" t="s">
        <v>7</v>
      </c>
      <c r="M603" t="s">
        <v>7</v>
      </c>
      <c r="N603" t="s">
        <v>7</v>
      </c>
      <c r="P603">
        <f t="shared" si="989"/>
        <v>-0.23333333333334444</v>
      </c>
      <c r="Q603">
        <f t="shared" si="990"/>
        <v>-428320.8813333537</v>
      </c>
      <c r="R603">
        <f t="shared" si="991"/>
        <v>-73554291.875508964</v>
      </c>
      <c r="S603">
        <f t="shared" si="992"/>
        <v>-735.54291875508966</v>
      </c>
      <c r="T603">
        <f t="shared" si="993"/>
        <v>-0.7355429187550897</v>
      </c>
    </row>
    <row r="604" spans="1:20" x14ac:dyDescent="0.25">
      <c r="A604" s="5">
        <v>43989</v>
      </c>
      <c r="B604">
        <v>0.32450000000000001</v>
      </c>
      <c r="C604">
        <v>0.32890000000000003</v>
      </c>
      <c r="D604">
        <v>0.30969999999999998</v>
      </c>
      <c r="E604">
        <v>0.32200000000000001</v>
      </c>
      <c r="F604">
        <v>3116227.57</v>
      </c>
      <c r="G604">
        <v>0</v>
      </c>
      <c r="L604" t="s">
        <v>7</v>
      </c>
      <c r="M604" t="s">
        <v>7</v>
      </c>
      <c r="N604" t="s">
        <v>7</v>
      </c>
      <c r="P604">
        <f t="shared" si="989"/>
        <v>0.28125000000000011</v>
      </c>
      <c r="Q604">
        <f t="shared" si="990"/>
        <v>876439.00406250032</v>
      </c>
      <c r="R604">
        <f t="shared" si="991"/>
        <v>-73125970.994175613</v>
      </c>
      <c r="S604">
        <f t="shared" si="992"/>
        <v>-731.25970994175611</v>
      </c>
      <c r="T604">
        <f t="shared" si="993"/>
        <v>-0.73125970994175615</v>
      </c>
    </row>
    <row r="605" spans="1:20" x14ac:dyDescent="0.25">
      <c r="A605" s="5">
        <v>43988</v>
      </c>
      <c r="B605">
        <v>0.3206</v>
      </c>
      <c r="C605">
        <v>0.32929999999999998</v>
      </c>
      <c r="D605">
        <v>0.31850000000000001</v>
      </c>
      <c r="E605">
        <v>0.3246</v>
      </c>
      <c r="F605">
        <v>2624989.64</v>
      </c>
      <c r="G605">
        <v>0</v>
      </c>
      <c r="L605" t="s">
        <v>7</v>
      </c>
      <c r="M605" t="s">
        <v>7</v>
      </c>
      <c r="N605" t="s">
        <v>7</v>
      </c>
      <c r="P605">
        <f t="shared" si="989"/>
        <v>0.12962962962963107</v>
      </c>
      <c r="Q605">
        <f t="shared" si="990"/>
        <v>340276.43481481861</v>
      </c>
      <c r="R605">
        <f t="shared" si="991"/>
        <v>-74002409.998238117</v>
      </c>
      <c r="S605">
        <f t="shared" si="992"/>
        <v>-740.02409998238113</v>
      </c>
      <c r="T605">
        <f t="shared" si="993"/>
        <v>-0.74002409998238117</v>
      </c>
    </row>
    <row r="606" spans="1:20" x14ac:dyDescent="0.25">
      <c r="A606" s="5">
        <v>43987</v>
      </c>
      <c r="B606">
        <v>0.32640000000000002</v>
      </c>
      <c r="C606">
        <v>0.3291</v>
      </c>
      <c r="D606">
        <v>0.32050000000000001</v>
      </c>
      <c r="E606">
        <v>0.3206</v>
      </c>
      <c r="F606">
        <v>1964403.34</v>
      </c>
      <c r="G606">
        <v>0</v>
      </c>
      <c r="L606" t="s">
        <v>7</v>
      </c>
      <c r="M606" t="s">
        <v>7</v>
      </c>
      <c r="N606" t="s">
        <v>7</v>
      </c>
      <c r="P606">
        <f t="shared" si="989"/>
        <v>-0.97674418604651414</v>
      </c>
      <c r="Q606">
        <f t="shared" si="990"/>
        <v>-1918719.5413953539</v>
      </c>
      <c r="R606">
        <f t="shared" si="991"/>
        <v>-74342686.433052942</v>
      </c>
      <c r="S606">
        <f t="shared" si="992"/>
        <v>-743.42686433052938</v>
      </c>
      <c r="T606">
        <f t="shared" si="993"/>
        <v>-0.7434268643305294</v>
      </c>
    </row>
    <row r="607" spans="1:20" x14ac:dyDescent="0.25">
      <c r="A607" s="5">
        <v>43986</v>
      </c>
      <c r="B607">
        <v>0.32990000000000003</v>
      </c>
      <c r="C607">
        <v>0.33479999999999999</v>
      </c>
      <c r="D607">
        <v>0.31929999999999997</v>
      </c>
      <c r="E607">
        <v>0.32629999999999998</v>
      </c>
      <c r="F607">
        <v>4046905.71</v>
      </c>
      <c r="G607">
        <v>0</v>
      </c>
      <c r="L607" t="s">
        <v>7</v>
      </c>
      <c r="M607" t="s">
        <v>7</v>
      </c>
      <c r="N607" t="s">
        <v>7</v>
      </c>
      <c r="P607">
        <f t="shared" si="989"/>
        <v>-9.6774193548387094E-2</v>
      </c>
      <c r="Q607">
        <f t="shared" si="990"/>
        <v>-391636.03645161289</v>
      </c>
      <c r="R607">
        <f t="shared" si="991"/>
        <v>-72423966.891657591</v>
      </c>
      <c r="S607">
        <f t="shared" si="992"/>
        <v>-724.23966891657597</v>
      </c>
      <c r="T607">
        <f t="shared" si="993"/>
        <v>-0.72423966891657598</v>
      </c>
    </row>
    <row r="608" spans="1:20" x14ac:dyDescent="0.25">
      <c r="A608" s="5">
        <v>43985</v>
      </c>
      <c r="B608">
        <v>0.32579999999999998</v>
      </c>
      <c r="C608">
        <v>0.33550000000000002</v>
      </c>
      <c r="D608">
        <v>0.32479999999999998</v>
      </c>
      <c r="E608">
        <v>0.32979999999999998</v>
      </c>
      <c r="F608">
        <v>2833974.7</v>
      </c>
      <c r="G608">
        <v>0</v>
      </c>
      <c r="L608" t="s">
        <v>7</v>
      </c>
      <c r="M608" t="s">
        <v>7</v>
      </c>
      <c r="N608" t="s">
        <v>7</v>
      </c>
      <c r="P608">
        <f t="shared" si="989"/>
        <v>-6.5420560747666459E-2</v>
      </c>
      <c r="Q608">
        <f t="shared" si="990"/>
        <v>-185400.21401869983</v>
      </c>
      <c r="R608">
        <f t="shared" si="991"/>
        <v>-72032330.855205983</v>
      </c>
      <c r="S608">
        <f t="shared" si="992"/>
        <v>-720.32330855205987</v>
      </c>
      <c r="T608">
        <f t="shared" si="993"/>
        <v>-0.72032330855205984</v>
      </c>
    </row>
    <row r="609" spans="1:20" x14ac:dyDescent="0.25">
      <c r="A609" s="5">
        <v>43984</v>
      </c>
      <c r="B609">
        <v>0.33329999999999999</v>
      </c>
      <c r="C609">
        <v>0.35780000000000001</v>
      </c>
      <c r="D609">
        <v>0.30840000000000001</v>
      </c>
      <c r="E609">
        <v>0.32569999999999999</v>
      </c>
      <c r="F609">
        <v>13157321.699999999</v>
      </c>
      <c r="G609">
        <v>0</v>
      </c>
      <c r="L609" t="s">
        <v>8</v>
      </c>
      <c r="M609" t="s">
        <v>7</v>
      </c>
      <c r="N609" t="s">
        <v>7</v>
      </c>
      <c r="P609">
        <f t="shared" si="989"/>
        <v>-0.29959514170040558</v>
      </c>
      <c r="Q609">
        <f t="shared" si="990"/>
        <v>-3941869.659109321</v>
      </c>
      <c r="R609">
        <f t="shared" si="991"/>
        <v>-71846930.64118728</v>
      </c>
      <c r="S609">
        <f t="shared" si="992"/>
        <v>-718.46930641187282</v>
      </c>
      <c r="T609">
        <f t="shared" si="993"/>
        <v>-0.71846930641187279</v>
      </c>
    </row>
    <row r="610" spans="1:20" x14ac:dyDescent="0.25">
      <c r="A610" s="5">
        <v>43983</v>
      </c>
      <c r="B610">
        <v>0.31619999999999998</v>
      </c>
      <c r="C610">
        <v>0.33589999999999998</v>
      </c>
      <c r="D610">
        <v>0.31369999999999998</v>
      </c>
      <c r="E610">
        <v>0.3337</v>
      </c>
      <c r="F610">
        <v>4562938.99</v>
      </c>
      <c r="G610">
        <v>0</v>
      </c>
      <c r="L610" t="s">
        <v>8</v>
      </c>
      <c r="M610" t="s">
        <v>8</v>
      </c>
      <c r="N610" t="s">
        <v>7</v>
      </c>
      <c r="P610">
        <f t="shared" si="989"/>
        <v>0.8018018018018036</v>
      </c>
      <c r="Q610">
        <f t="shared" si="990"/>
        <v>3658572.7036937019</v>
      </c>
      <c r="R610">
        <f t="shared" si="991"/>
        <v>-67905060.982077956</v>
      </c>
      <c r="S610">
        <f t="shared" si="992"/>
        <v>-679.05060982077953</v>
      </c>
      <c r="T610">
        <f t="shared" si="993"/>
        <v>-0.67905060982077958</v>
      </c>
    </row>
    <row r="611" spans="1:20" x14ac:dyDescent="0.25">
      <c r="A611" s="5">
        <v>43982</v>
      </c>
      <c r="B611">
        <v>0.33700000000000002</v>
      </c>
      <c r="C611">
        <v>0.33889999999999998</v>
      </c>
      <c r="D611">
        <v>0.31069999999999998</v>
      </c>
      <c r="E611">
        <v>0.31640000000000001</v>
      </c>
      <c r="F611">
        <v>4767012.66</v>
      </c>
      <c r="G611">
        <v>0</v>
      </c>
      <c r="L611" t="s">
        <v>7</v>
      </c>
      <c r="M611" t="s">
        <v>8</v>
      </c>
      <c r="N611" t="s">
        <v>7</v>
      </c>
      <c r="P611">
        <f t="shared" si="989"/>
        <v>-0.59574468085106114</v>
      </c>
      <c r="Q611">
        <f t="shared" si="990"/>
        <v>-2839922.4357446679</v>
      </c>
      <c r="R611">
        <f t="shared" si="991"/>
        <v>-71563633.685771659</v>
      </c>
      <c r="S611">
        <f t="shared" si="992"/>
        <v>-715.63633685771663</v>
      </c>
      <c r="T611">
        <f t="shared" si="993"/>
        <v>-0.71563633685771666</v>
      </c>
    </row>
    <row r="612" spans="1:20" x14ac:dyDescent="0.25">
      <c r="A612" s="5">
        <v>43981</v>
      </c>
      <c r="B612">
        <v>0.33250000000000002</v>
      </c>
      <c r="C612">
        <v>0.34189999999999998</v>
      </c>
      <c r="D612">
        <v>0.32900000000000001</v>
      </c>
      <c r="E612">
        <v>0.33729999999999999</v>
      </c>
      <c r="F612">
        <v>3965530.43</v>
      </c>
      <c r="G612">
        <v>0</v>
      </c>
      <c r="L612" t="s">
        <v>7</v>
      </c>
      <c r="M612" t="s">
        <v>8</v>
      </c>
      <c r="N612" t="s">
        <v>7</v>
      </c>
      <c r="P612">
        <f t="shared" si="989"/>
        <v>0.28682170542635588</v>
      </c>
      <c r="Q612">
        <f t="shared" si="990"/>
        <v>1137400.2008527103</v>
      </c>
      <c r="R612">
        <f t="shared" si="991"/>
        <v>-68723711.250026986</v>
      </c>
      <c r="S612">
        <f t="shared" si="992"/>
        <v>-687.23711250026986</v>
      </c>
      <c r="T612">
        <f t="shared" si="993"/>
        <v>-0.68723711250026986</v>
      </c>
    </row>
    <row r="613" spans="1:20" x14ac:dyDescent="0.25">
      <c r="A613" s="5">
        <v>43980</v>
      </c>
      <c r="B613">
        <v>0.3332</v>
      </c>
      <c r="C613">
        <v>0.34339999999999998</v>
      </c>
      <c r="D613">
        <v>0.32869999999999999</v>
      </c>
      <c r="E613">
        <v>0.3327</v>
      </c>
      <c r="F613">
        <v>3666892.99</v>
      </c>
      <c r="G613">
        <v>0</v>
      </c>
      <c r="L613" t="s">
        <v>7</v>
      </c>
      <c r="M613" t="s">
        <v>8</v>
      </c>
      <c r="N613" t="s">
        <v>7</v>
      </c>
      <c r="P613">
        <f t="shared" si="989"/>
        <v>-0.45578231292516924</v>
      </c>
      <c r="Q613">
        <f t="shared" si="990"/>
        <v>-1671304.9682312896</v>
      </c>
      <c r="R613">
        <f t="shared" si="991"/>
        <v>-69861111.450879693</v>
      </c>
      <c r="S613">
        <f t="shared" si="992"/>
        <v>-698.61111450879696</v>
      </c>
      <c r="T613">
        <f t="shared" si="993"/>
        <v>-0.69861111450879698</v>
      </c>
    </row>
    <row r="614" spans="1:20" x14ac:dyDescent="0.25">
      <c r="A614" s="5">
        <v>43979</v>
      </c>
      <c r="B614">
        <v>0.33589999999999998</v>
      </c>
      <c r="C614">
        <v>0.34899999999999998</v>
      </c>
      <c r="D614">
        <v>0.33029999999999998</v>
      </c>
      <c r="E614">
        <v>0.33279999999999998</v>
      </c>
      <c r="F614">
        <v>4714406.84</v>
      </c>
      <c r="G614">
        <v>0</v>
      </c>
      <c r="L614" t="s">
        <v>7</v>
      </c>
      <c r="M614" t="s">
        <v>8</v>
      </c>
      <c r="N614" t="s">
        <v>7</v>
      </c>
      <c r="P614">
        <f t="shared" si="989"/>
        <v>-0.73262032085561468</v>
      </c>
      <c r="Q614">
        <f t="shared" si="990"/>
        <v>-3453870.2517647045</v>
      </c>
      <c r="R614">
        <f t="shared" si="991"/>
        <v>-68189806.482648402</v>
      </c>
      <c r="S614">
        <f t="shared" si="992"/>
        <v>-681.89806482648407</v>
      </c>
      <c r="T614">
        <f t="shared" si="993"/>
        <v>-0.68189806482648407</v>
      </c>
    </row>
    <row r="615" spans="1:20" x14ac:dyDescent="0.25">
      <c r="A615" s="5">
        <v>43978</v>
      </c>
      <c r="B615">
        <v>0.3473</v>
      </c>
      <c r="C615">
        <v>0.35439999999999999</v>
      </c>
      <c r="D615">
        <v>0.3281</v>
      </c>
      <c r="E615">
        <v>0.33639999999999998</v>
      </c>
      <c r="F615">
        <v>6310394.0099999998</v>
      </c>
      <c r="G615">
        <v>0</v>
      </c>
      <c r="L615" t="s">
        <v>7</v>
      </c>
      <c r="M615" t="s">
        <v>8</v>
      </c>
      <c r="N615" t="s">
        <v>7</v>
      </c>
      <c r="P615">
        <f t="shared" si="989"/>
        <v>-0.36882129277566711</v>
      </c>
      <c r="Q615">
        <f t="shared" si="990"/>
        <v>-2327407.6766920257</v>
      </c>
      <c r="R615">
        <f t="shared" si="991"/>
        <v>-64735936.230883703</v>
      </c>
      <c r="S615">
        <f t="shared" si="992"/>
        <v>-647.35936230883704</v>
      </c>
      <c r="T615">
        <f t="shared" si="993"/>
        <v>-0.64735936230883706</v>
      </c>
    </row>
    <row r="616" spans="1:20" x14ac:dyDescent="0.25">
      <c r="A616" s="5">
        <v>43977</v>
      </c>
      <c r="B616">
        <v>0.32019999999999998</v>
      </c>
      <c r="C616">
        <v>0.36109999999999998</v>
      </c>
      <c r="D616">
        <v>0.31730000000000003</v>
      </c>
      <c r="E616">
        <v>0.34739999999999999</v>
      </c>
      <c r="F616">
        <v>17201245.170000002</v>
      </c>
      <c r="G616">
        <v>0</v>
      </c>
      <c r="L616" t="s">
        <v>8</v>
      </c>
      <c r="M616" t="s">
        <v>8</v>
      </c>
      <c r="N616" t="s">
        <v>7</v>
      </c>
      <c r="P616">
        <f t="shared" si="989"/>
        <v>0.37442922374429199</v>
      </c>
      <c r="Q616">
        <f t="shared" si="990"/>
        <v>6440648.8764383523</v>
      </c>
      <c r="R616">
        <f t="shared" si="991"/>
        <v>-62408528.554191679</v>
      </c>
      <c r="S616">
        <f t="shared" si="992"/>
        <v>-624.08528554191673</v>
      </c>
      <c r="T616">
        <f t="shared" si="993"/>
        <v>-0.62408528554191678</v>
      </c>
    </row>
    <row r="617" spans="1:20" x14ac:dyDescent="0.25">
      <c r="A617" s="5">
        <v>43976</v>
      </c>
      <c r="B617">
        <v>0.30099999999999999</v>
      </c>
      <c r="C617">
        <v>0.32819999999999999</v>
      </c>
      <c r="D617">
        <v>0.29980000000000001</v>
      </c>
      <c r="E617">
        <v>0.31969999999999998</v>
      </c>
      <c r="F617">
        <v>5949827.1299999999</v>
      </c>
      <c r="G617">
        <v>0</v>
      </c>
      <c r="L617" t="s">
        <v>8</v>
      </c>
      <c r="M617" t="s">
        <v>7</v>
      </c>
      <c r="N617" t="s">
        <v>7</v>
      </c>
      <c r="P617">
        <f t="shared" si="989"/>
        <v>0.40140845070422443</v>
      </c>
      <c r="Q617">
        <f t="shared" si="990"/>
        <v>2388310.8902112623</v>
      </c>
      <c r="R617">
        <f t="shared" si="991"/>
        <v>-68849177.430630028</v>
      </c>
      <c r="S617">
        <f t="shared" si="992"/>
        <v>-688.49177430630027</v>
      </c>
      <c r="T617">
        <f t="shared" si="993"/>
        <v>-0.68849177430630026</v>
      </c>
    </row>
    <row r="618" spans="1:20" x14ac:dyDescent="0.25">
      <c r="A618" s="5">
        <v>43975</v>
      </c>
      <c r="B618">
        <v>0.32640000000000002</v>
      </c>
      <c r="C618">
        <v>0.33629999999999999</v>
      </c>
      <c r="D618">
        <v>0.30049999999999999</v>
      </c>
      <c r="E618">
        <v>0.30049999999999999</v>
      </c>
      <c r="F618">
        <v>6871194.1600000001</v>
      </c>
      <c r="G618">
        <v>0</v>
      </c>
      <c r="L618" t="s">
        <v>7</v>
      </c>
      <c r="M618" t="s">
        <v>7</v>
      </c>
      <c r="N618" t="s">
        <v>7</v>
      </c>
      <c r="P618">
        <f t="shared" si="989"/>
        <v>-1</v>
      </c>
      <c r="Q618">
        <f t="shared" si="990"/>
        <v>-6871194.1600000001</v>
      </c>
      <c r="R618">
        <f t="shared" si="991"/>
        <v>-71237488.320841298</v>
      </c>
      <c r="S618">
        <f t="shared" si="992"/>
        <v>-712.37488320841294</v>
      </c>
      <c r="T618">
        <f t="shared" si="993"/>
        <v>-0.71237488320841291</v>
      </c>
    </row>
    <row r="619" spans="1:20" x14ac:dyDescent="0.25">
      <c r="A619" s="5">
        <v>43974</v>
      </c>
      <c r="B619">
        <v>0.33379999999999999</v>
      </c>
      <c r="C619">
        <v>0.34100000000000003</v>
      </c>
      <c r="D619">
        <v>0.32290000000000002</v>
      </c>
      <c r="E619">
        <v>0.32619999999999999</v>
      </c>
      <c r="F619">
        <v>5541625.4299999997</v>
      </c>
      <c r="G619">
        <v>0</v>
      </c>
      <c r="L619" t="s">
        <v>7</v>
      </c>
      <c r="M619" t="s">
        <v>7</v>
      </c>
      <c r="N619" t="s">
        <v>7</v>
      </c>
      <c r="P619">
        <f t="shared" si="989"/>
        <v>-0.63535911602210293</v>
      </c>
      <c r="Q619">
        <f t="shared" si="990"/>
        <v>-3520922.2345304061</v>
      </c>
      <c r="R619">
        <f t="shared" si="991"/>
        <v>-64366294.160841301</v>
      </c>
      <c r="S619">
        <f t="shared" si="992"/>
        <v>-643.66294160841301</v>
      </c>
      <c r="T619">
        <f t="shared" si="993"/>
        <v>-0.64366294160841298</v>
      </c>
    </row>
    <row r="620" spans="1:20" x14ac:dyDescent="0.25">
      <c r="A620" s="5">
        <v>43973</v>
      </c>
      <c r="B620">
        <v>0.3226</v>
      </c>
      <c r="C620">
        <v>0.3498</v>
      </c>
      <c r="D620">
        <v>0.31569999999999998</v>
      </c>
      <c r="E620">
        <v>0.3337</v>
      </c>
      <c r="F620">
        <v>9608273.0899999999</v>
      </c>
      <c r="G620">
        <v>0</v>
      </c>
      <c r="L620" t="s">
        <v>8</v>
      </c>
      <c r="M620" t="s">
        <v>7</v>
      </c>
      <c r="N620" t="s">
        <v>7</v>
      </c>
      <c r="P620">
        <f t="shared" si="989"/>
        <v>5.5718475073314129E-2</v>
      </c>
      <c r="Q620">
        <f t="shared" si="990"/>
        <v>535358.3246627599</v>
      </c>
      <c r="R620">
        <f t="shared" si="991"/>
        <v>-60845371.926310897</v>
      </c>
      <c r="S620">
        <f t="shared" si="992"/>
        <v>-608.45371926310895</v>
      </c>
      <c r="T620">
        <f t="shared" si="993"/>
        <v>-0.60845371926310898</v>
      </c>
    </row>
    <row r="621" spans="1:20" x14ac:dyDescent="0.25">
      <c r="A621" s="5">
        <v>43972</v>
      </c>
      <c r="B621">
        <v>0.36030000000000001</v>
      </c>
      <c r="C621">
        <v>0.36680000000000001</v>
      </c>
      <c r="D621">
        <v>0.30819999999999997</v>
      </c>
      <c r="E621">
        <v>0.32319999999999999</v>
      </c>
      <c r="F621">
        <v>11268422.460000001</v>
      </c>
      <c r="G621">
        <v>0</v>
      </c>
      <c r="L621" t="s">
        <v>7</v>
      </c>
      <c r="M621" t="s">
        <v>7</v>
      </c>
      <c r="N621" t="s">
        <v>7</v>
      </c>
      <c r="P621">
        <f t="shared" si="989"/>
        <v>-0.4880546075085323</v>
      </c>
      <c r="Q621">
        <f t="shared" si="990"/>
        <v>-5499605.5009556301</v>
      </c>
      <c r="R621">
        <f t="shared" si="991"/>
        <v>-61380730.250973657</v>
      </c>
      <c r="S621">
        <f t="shared" si="992"/>
        <v>-613.80730250973659</v>
      </c>
      <c r="T621">
        <f t="shared" si="993"/>
        <v>-0.61380730250973659</v>
      </c>
    </row>
    <row r="622" spans="1:20" x14ac:dyDescent="0.25">
      <c r="A622" s="5">
        <v>43971</v>
      </c>
      <c r="B622">
        <v>0.35870000000000002</v>
      </c>
      <c r="C622">
        <v>0.38429999999999997</v>
      </c>
      <c r="D622">
        <v>0.35</v>
      </c>
      <c r="E622">
        <v>0.36080000000000001</v>
      </c>
      <c r="F622">
        <v>12646630.57</v>
      </c>
      <c r="G622">
        <v>0</v>
      </c>
      <c r="L622" t="s">
        <v>7</v>
      </c>
      <c r="M622" t="s">
        <v>7</v>
      </c>
      <c r="N622" t="s">
        <v>7</v>
      </c>
      <c r="P622">
        <f t="shared" si="989"/>
        <v>-0.37026239067055206</v>
      </c>
      <c r="Q622">
        <f t="shared" si="990"/>
        <v>-4682571.6687754868</v>
      </c>
      <c r="R622">
        <f t="shared" si="991"/>
        <v>-55881124.75001803</v>
      </c>
      <c r="S622">
        <f t="shared" si="992"/>
        <v>-558.81124750018034</v>
      </c>
      <c r="T622">
        <f t="shared" si="993"/>
        <v>-0.5588112475001803</v>
      </c>
    </row>
    <row r="623" spans="1:20" x14ac:dyDescent="0.25">
      <c r="A623" s="5">
        <v>43970</v>
      </c>
      <c r="B623">
        <v>0.37180000000000002</v>
      </c>
      <c r="C623">
        <v>0.37190000000000001</v>
      </c>
      <c r="D623">
        <v>0.35510000000000003</v>
      </c>
      <c r="E623">
        <v>0.35880000000000001</v>
      </c>
      <c r="F623">
        <v>6109995.1200000001</v>
      </c>
      <c r="G623">
        <v>0</v>
      </c>
      <c r="L623" t="s">
        <v>7</v>
      </c>
      <c r="M623" t="s">
        <v>7</v>
      </c>
      <c r="N623" t="s">
        <v>7</v>
      </c>
      <c r="P623">
        <f t="shared" si="989"/>
        <v>-0.55952380952381131</v>
      </c>
      <c r="Q623">
        <f t="shared" si="990"/>
        <v>-3418687.7457142966</v>
      </c>
      <c r="R623">
        <f t="shared" si="991"/>
        <v>-51198553.081242546</v>
      </c>
      <c r="S623">
        <f t="shared" si="992"/>
        <v>-511.98553081242545</v>
      </c>
      <c r="T623">
        <f t="shared" si="993"/>
        <v>-0.51198553081242548</v>
      </c>
    </row>
    <row r="624" spans="1:20" x14ac:dyDescent="0.25">
      <c r="A624" s="5">
        <v>43969</v>
      </c>
      <c r="B624">
        <v>0.37290000000000001</v>
      </c>
      <c r="C624">
        <v>0.38590000000000002</v>
      </c>
      <c r="D624">
        <v>0.36449999999999999</v>
      </c>
      <c r="E624">
        <v>0.37109999999999999</v>
      </c>
      <c r="F624">
        <v>11740844.289999999</v>
      </c>
      <c r="G624">
        <v>0</v>
      </c>
      <c r="L624" t="s">
        <v>7</v>
      </c>
      <c r="M624" t="s">
        <v>8</v>
      </c>
      <c r="N624" t="s">
        <v>7</v>
      </c>
      <c r="P624">
        <f t="shared" si="989"/>
        <v>-0.38317757009345932</v>
      </c>
      <c r="Q624">
        <f t="shared" si="990"/>
        <v>-4498828.1858878667</v>
      </c>
      <c r="R624">
        <f t="shared" si="991"/>
        <v>-47779865.335528247</v>
      </c>
      <c r="S624">
        <f t="shared" si="992"/>
        <v>-477.79865335528245</v>
      </c>
      <c r="T624">
        <f t="shared" si="993"/>
        <v>-0.47779865335528243</v>
      </c>
    </row>
    <row r="625" spans="1:20" x14ac:dyDescent="0.25">
      <c r="A625" s="5">
        <v>43968</v>
      </c>
      <c r="B625">
        <v>0.38290000000000002</v>
      </c>
      <c r="C625">
        <v>0.39300000000000002</v>
      </c>
      <c r="D625">
        <v>0.3705</v>
      </c>
      <c r="E625">
        <v>0.37290000000000001</v>
      </c>
      <c r="F625">
        <v>10662212.210000001</v>
      </c>
      <c r="G625">
        <v>0</v>
      </c>
      <c r="L625" t="s">
        <v>7</v>
      </c>
      <c r="M625" t="s">
        <v>8</v>
      </c>
      <c r="N625" t="s">
        <v>7</v>
      </c>
      <c r="P625">
        <f t="shared" si="989"/>
        <v>-0.78666666666666563</v>
      </c>
      <c r="Q625">
        <f t="shared" si="990"/>
        <v>-8387606.9385333229</v>
      </c>
      <c r="R625">
        <f t="shared" si="991"/>
        <v>-43281037.149640381</v>
      </c>
      <c r="S625">
        <f t="shared" si="992"/>
        <v>-432.81037149640383</v>
      </c>
      <c r="T625">
        <f t="shared" si="993"/>
        <v>-0.43281037149640383</v>
      </c>
    </row>
    <row r="626" spans="1:20" x14ac:dyDescent="0.25">
      <c r="A626" s="5">
        <v>43967</v>
      </c>
      <c r="B626">
        <v>0.38229999999999997</v>
      </c>
      <c r="C626">
        <v>0.41249999999999998</v>
      </c>
      <c r="D626">
        <v>0.38</v>
      </c>
      <c r="E626">
        <v>0.38340000000000002</v>
      </c>
      <c r="F626">
        <v>16438784.439999999</v>
      </c>
      <c r="G626">
        <v>0</v>
      </c>
      <c r="L626" t="s">
        <v>7</v>
      </c>
      <c r="M626" t="s">
        <v>8</v>
      </c>
      <c r="N626" t="s">
        <v>7</v>
      </c>
      <c r="P626">
        <f t="shared" si="989"/>
        <v>-0.79076923076922978</v>
      </c>
      <c r="Q626">
        <f t="shared" si="990"/>
        <v>-12999284.926399983</v>
      </c>
      <c r="R626">
        <f t="shared" si="991"/>
        <v>-34893430.21110706</v>
      </c>
      <c r="S626">
        <f t="shared" si="992"/>
        <v>-348.93430211107062</v>
      </c>
      <c r="T626">
        <f t="shared" si="993"/>
        <v>-0.34893430211107063</v>
      </c>
    </row>
    <row r="627" spans="1:20" x14ac:dyDescent="0.25">
      <c r="A627" s="5">
        <v>43966</v>
      </c>
      <c r="B627">
        <v>0.34289999999999998</v>
      </c>
      <c r="C627">
        <v>0.42499999999999999</v>
      </c>
      <c r="D627">
        <v>0.33950000000000002</v>
      </c>
      <c r="E627">
        <v>0.38250000000000001</v>
      </c>
      <c r="F627">
        <v>42228435.75</v>
      </c>
      <c r="G627">
        <v>0</v>
      </c>
      <c r="L627" t="s">
        <v>8</v>
      </c>
      <c r="M627" t="s">
        <v>8</v>
      </c>
      <c r="N627" t="s">
        <v>7</v>
      </c>
      <c r="P627">
        <f t="shared" si="989"/>
        <v>5.8479532163742765E-3</v>
      </c>
      <c r="Q627">
        <f t="shared" si="990"/>
        <v>246949.91666666698</v>
      </c>
      <c r="R627">
        <f t="shared" si="991"/>
        <v>-21894145.284707081</v>
      </c>
      <c r="S627">
        <f t="shared" si="992"/>
        <v>-218.94145284707079</v>
      </c>
      <c r="T627">
        <f t="shared" si="993"/>
        <v>-0.21894145284707078</v>
      </c>
    </row>
    <row r="628" spans="1:20" x14ac:dyDescent="0.25">
      <c r="A628" s="5">
        <v>43965</v>
      </c>
      <c r="B628">
        <v>0.34799999999999998</v>
      </c>
      <c r="C628">
        <v>0.36599999999999999</v>
      </c>
      <c r="D628">
        <v>0.3357</v>
      </c>
      <c r="E628">
        <v>0.34289999999999998</v>
      </c>
      <c r="F628">
        <v>11641045.199999999</v>
      </c>
      <c r="G628">
        <v>0</v>
      </c>
      <c r="L628" t="s">
        <v>7</v>
      </c>
      <c r="M628" t="s">
        <v>7</v>
      </c>
      <c r="N628" t="s">
        <v>7</v>
      </c>
      <c r="P628">
        <f t="shared" si="989"/>
        <v>-0.52475247524752566</v>
      </c>
      <c r="Q628">
        <f t="shared" si="990"/>
        <v>-6108667.2831683271</v>
      </c>
      <c r="R628">
        <f t="shared" si="991"/>
        <v>-22141095.201373748</v>
      </c>
      <c r="S628">
        <f t="shared" si="992"/>
        <v>-221.41095201373747</v>
      </c>
      <c r="T628">
        <f t="shared" si="993"/>
        <v>-0.22141095201373748</v>
      </c>
    </row>
    <row r="629" spans="1:20" x14ac:dyDescent="0.25">
      <c r="A629" s="5">
        <v>43964</v>
      </c>
      <c r="B629">
        <v>0.35580000000000001</v>
      </c>
      <c r="C629">
        <v>0.376</v>
      </c>
      <c r="D629">
        <v>0.34139999999999998</v>
      </c>
      <c r="E629">
        <v>0.34749999999999998</v>
      </c>
      <c r="F629">
        <v>16207626.84</v>
      </c>
      <c r="G629">
        <v>0</v>
      </c>
      <c r="L629" t="s">
        <v>7</v>
      </c>
      <c r="M629" t="s">
        <v>7</v>
      </c>
      <c r="N629" t="s">
        <v>7</v>
      </c>
      <c r="P629">
        <f t="shared" si="989"/>
        <v>-0.6473988439306364</v>
      </c>
      <c r="Q629">
        <f t="shared" si="990"/>
        <v>-10492798.879075153</v>
      </c>
      <c r="R629">
        <f t="shared" si="991"/>
        <v>-16032427.91820542</v>
      </c>
      <c r="S629">
        <f t="shared" si="992"/>
        <v>-160.3242791820542</v>
      </c>
      <c r="T629">
        <f t="shared" si="993"/>
        <v>-0.16032427918205419</v>
      </c>
    </row>
    <row r="630" spans="1:20" x14ac:dyDescent="0.25">
      <c r="A630" s="5">
        <v>43963</v>
      </c>
      <c r="B630">
        <v>0.34329999999999999</v>
      </c>
      <c r="C630">
        <v>0.38350000000000001</v>
      </c>
      <c r="D630">
        <v>0.33079999999999998</v>
      </c>
      <c r="E630">
        <v>0.35560000000000003</v>
      </c>
      <c r="F630">
        <v>20928651.559999999</v>
      </c>
      <c r="G630">
        <v>0</v>
      </c>
      <c r="L630" t="s">
        <v>8</v>
      </c>
      <c r="M630" t="s">
        <v>7</v>
      </c>
      <c r="N630" t="s">
        <v>7</v>
      </c>
      <c r="P630">
        <f t="shared" si="989"/>
        <v>-5.882352941176347E-2</v>
      </c>
      <c r="Q630">
        <f t="shared" si="990"/>
        <v>-1231097.1505882093</v>
      </c>
      <c r="R630">
        <f t="shared" si="991"/>
        <v>-5539629.0391302668</v>
      </c>
      <c r="S630">
        <f t="shared" si="992"/>
        <v>-55.396290391302671</v>
      </c>
      <c r="T630">
        <f t="shared" si="993"/>
        <v>-5.5396290391302672E-2</v>
      </c>
    </row>
    <row r="631" spans="1:20" x14ac:dyDescent="0.25">
      <c r="A631" s="5">
        <v>43962</v>
      </c>
      <c r="B631">
        <v>0.3952</v>
      </c>
      <c r="C631">
        <v>0.40570000000000001</v>
      </c>
      <c r="D631">
        <v>0.33510000000000001</v>
      </c>
      <c r="E631">
        <v>0.34389999999999998</v>
      </c>
      <c r="F631">
        <v>22249526.760000002</v>
      </c>
      <c r="G631">
        <v>0</v>
      </c>
      <c r="L631" t="s">
        <v>7</v>
      </c>
      <c r="M631" t="s">
        <v>7</v>
      </c>
      <c r="N631" t="s">
        <v>7</v>
      </c>
      <c r="P631">
        <f t="shared" si="989"/>
        <v>-0.75070821529745113</v>
      </c>
      <c r="Q631">
        <f t="shared" si="990"/>
        <v>-16702902.525212482</v>
      </c>
      <c r="R631">
        <f t="shared" si="991"/>
        <v>-4308531.8885420579</v>
      </c>
      <c r="S631">
        <f t="shared" si="992"/>
        <v>-43.085318885420577</v>
      </c>
      <c r="T631">
        <f t="shared" si="993"/>
        <v>-4.3085318885420575E-2</v>
      </c>
    </row>
    <row r="632" spans="1:20" x14ac:dyDescent="0.25">
      <c r="A632" s="5">
        <v>43961</v>
      </c>
      <c r="B632">
        <v>0.42320000000000002</v>
      </c>
      <c r="C632">
        <v>0.47170000000000001</v>
      </c>
      <c r="D632">
        <v>0.34710000000000002</v>
      </c>
      <c r="E632">
        <v>0.39579999999999999</v>
      </c>
      <c r="F632">
        <v>46102232.259999998</v>
      </c>
      <c r="G632">
        <v>0</v>
      </c>
      <c r="L632" t="s">
        <v>7</v>
      </c>
      <c r="M632" t="s">
        <v>7</v>
      </c>
      <c r="N632" t="s">
        <v>7</v>
      </c>
      <c r="P632">
        <f t="shared" si="989"/>
        <v>-0.21829855537720755</v>
      </c>
      <c r="Q632">
        <f t="shared" si="990"/>
        <v>-10064050.702022495</v>
      </c>
      <c r="R632">
        <f t="shared" si="991"/>
        <v>12394370.636670424</v>
      </c>
      <c r="S632">
        <f t="shared" si="992"/>
        <v>123.94370636670423</v>
      </c>
      <c r="T632">
        <f t="shared" si="993"/>
        <v>0.12394370636670424</v>
      </c>
    </row>
    <row r="633" spans="1:20" x14ac:dyDescent="0.25">
      <c r="A633" s="5">
        <v>43960</v>
      </c>
      <c r="B633">
        <v>0.39419999999999999</v>
      </c>
      <c r="C633">
        <v>0.49</v>
      </c>
      <c r="D633">
        <v>0.37180000000000002</v>
      </c>
      <c r="E633">
        <v>0.42259999999999998</v>
      </c>
      <c r="F633">
        <v>48472397.07</v>
      </c>
      <c r="G633">
        <v>0</v>
      </c>
      <c r="L633" t="s">
        <v>7</v>
      </c>
      <c r="M633" t="s">
        <v>7</v>
      </c>
      <c r="N633" t="s">
        <v>8</v>
      </c>
      <c r="P633">
        <f t="shared" si="989"/>
        <v>-0.14043993231810545</v>
      </c>
      <c r="Q633">
        <f t="shared" si="990"/>
        <v>-6807460.1638071332</v>
      </c>
      <c r="R633">
        <f t="shared" si="991"/>
        <v>22458421.338692918</v>
      </c>
      <c r="S633">
        <f t="shared" si="992"/>
        <v>224.58421338692918</v>
      </c>
      <c r="T633">
        <f t="shared" si="993"/>
        <v>0.22458421338692919</v>
      </c>
    </row>
    <row r="634" spans="1:20" x14ac:dyDescent="0.25">
      <c r="A634" s="5">
        <v>43959</v>
      </c>
      <c r="B634">
        <v>0.30130000000000001</v>
      </c>
      <c r="C634">
        <v>0.49769999999999998</v>
      </c>
      <c r="D634">
        <v>0.30070000000000002</v>
      </c>
      <c r="E634">
        <v>0.39429999999999998</v>
      </c>
      <c r="F634">
        <v>65928217.530000001</v>
      </c>
      <c r="G634">
        <v>0</v>
      </c>
      <c r="L634" t="s">
        <v>8</v>
      </c>
      <c r="M634" t="s">
        <v>8</v>
      </c>
      <c r="N634" t="s">
        <v>8</v>
      </c>
      <c r="P634">
        <f t="shared" si="989"/>
        <v>-4.9746192893401181E-2</v>
      </c>
      <c r="Q634">
        <f t="shared" si="990"/>
        <v>-3279677.8263654932</v>
      </c>
      <c r="R634">
        <f t="shared" si="991"/>
        <v>29265881.50250005</v>
      </c>
      <c r="S634">
        <f t="shared" si="992"/>
        <v>292.65881502500048</v>
      </c>
      <c r="T634">
        <f t="shared" si="993"/>
        <v>0.29265881502500046</v>
      </c>
    </row>
    <row r="635" spans="1:20" x14ac:dyDescent="0.25">
      <c r="A635" s="5">
        <v>43958</v>
      </c>
      <c r="B635">
        <v>0.2094</v>
      </c>
      <c r="C635">
        <v>0.34389999999999998</v>
      </c>
      <c r="D635">
        <v>0.20569999999999999</v>
      </c>
      <c r="E635">
        <v>0.3014</v>
      </c>
      <c r="F635">
        <v>28846918.420000002</v>
      </c>
      <c r="G635">
        <v>0</v>
      </c>
      <c r="L635" t="s">
        <v>8</v>
      </c>
      <c r="M635" t="s">
        <v>8</v>
      </c>
      <c r="N635" t="s">
        <v>8</v>
      </c>
      <c r="P635">
        <f t="shared" si="989"/>
        <v>0.38494934876989889</v>
      </c>
      <c r="Q635">
        <f t="shared" si="990"/>
        <v>11104602.459797401</v>
      </c>
      <c r="R635">
        <f t="shared" si="991"/>
        <v>32545559.328865543</v>
      </c>
      <c r="S635">
        <f t="shared" si="992"/>
        <v>325.45559328865545</v>
      </c>
      <c r="T635">
        <f t="shared" si="993"/>
        <v>0.32545559328865548</v>
      </c>
    </row>
    <row r="636" spans="1:20" x14ac:dyDescent="0.25">
      <c r="A636" s="5">
        <v>43957</v>
      </c>
      <c r="B636">
        <v>0.20649999999999999</v>
      </c>
      <c r="C636">
        <v>0.2185</v>
      </c>
      <c r="D636">
        <v>0.20300000000000001</v>
      </c>
      <c r="E636">
        <v>0.2102</v>
      </c>
      <c r="F636">
        <v>1715721.37</v>
      </c>
      <c r="G636">
        <v>0</v>
      </c>
      <c r="L636" t="s">
        <v>8</v>
      </c>
      <c r="M636" t="s">
        <v>8</v>
      </c>
      <c r="N636" t="s">
        <v>8</v>
      </c>
      <c r="P636">
        <f t="shared" si="989"/>
        <v>-7.0967741935485079E-2</v>
      </c>
      <c r="Q636">
        <f t="shared" si="990"/>
        <v>-121760.87141935692</v>
      </c>
      <c r="R636">
        <f t="shared" si="991"/>
        <v>21440956.869068142</v>
      </c>
      <c r="S636">
        <f t="shared" si="992"/>
        <v>214.40956869068143</v>
      </c>
      <c r="T636">
        <f t="shared" si="993"/>
        <v>0.21440956869068142</v>
      </c>
    </row>
    <row r="637" spans="1:20" x14ac:dyDescent="0.25">
      <c r="A637" s="5">
        <v>43956</v>
      </c>
      <c r="B637">
        <v>0.2046</v>
      </c>
      <c r="C637">
        <v>0.20649999999999999</v>
      </c>
      <c r="D637">
        <v>0.19950000000000001</v>
      </c>
      <c r="E637">
        <v>0.20649999999999999</v>
      </c>
      <c r="F637">
        <v>595817.29</v>
      </c>
      <c r="G637">
        <v>0</v>
      </c>
      <c r="L637" t="s">
        <v>8</v>
      </c>
      <c r="M637" t="s">
        <v>8</v>
      </c>
      <c r="N637" t="s">
        <v>8</v>
      </c>
      <c r="P637">
        <f t="shared" si="989"/>
        <v>1</v>
      </c>
      <c r="Q637">
        <f t="shared" si="990"/>
        <v>595817.29</v>
      </c>
      <c r="R637">
        <f t="shared" si="991"/>
        <v>21562717.740487497</v>
      </c>
      <c r="S637">
        <f t="shared" si="992"/>
        <v>215.62717740487497</v>
      </c>
      <c r="T637">
        <f t="shared" si="993"/>
        <v>0.21562717740487497</v>
      </c>
    </row>
    <row r="638" spans="1:20" x14ac:dyDescent="0.25">
      <c r="A638" s="5">
        <v>43955</v>
      </c>
      <c r="B638">
        <v>0.20610000000000001</v>
      </c>
      <c r="C638">
        <v>0.2072</v>
      </c>
      <c r="D638">
        <v>0.19159999999999999</v>
      </c>
      <c r="E638">
        <v>0.20399999999999999</v>
      </c>
      <c r="F638">
        <v>1185896.3</v>
      </c>
      <c r="G638">
        <v>0</v>
      </c>
      <c r="L638" t="s">
        <v>7</v>
      </c>
      <c r="M638" t="s">
        <v>8</v>
      </c>
      <c r="N638" t="s">
        <v>8</v>
      </c>
      <c r="P638">
        <f t="shared" si="989"/>
        <v>0.58974358974358876</v>
      </c>
      <c r="Q638">
        <f t="shared" si="990"/>
        <v>699374.74102563993</v>
      </c>
      <c r="R638">
        <f t="shared" si="991"/>
        <v>20966900.450487498</v>
      </c>
      <c r="S638">
        <f t="shared" si="992"/>
        <v>209.66900450487498</v>
      </c>
      <c r="T638">
        <f t="shared" si="993"/>
        <v>0.20966900450487497</v>
      </c>
    </row>
    <row r="639" spans="1:20" x14ac:dyDescent="0.25">
      <c r="A639" s="5">
        <v>43954</v>
      </c>
      <c r="B639">
        <v>0.21410000000000001</v>
      </c>
      <c r="C639">
        <v>0.2157</v>
      </c>
      <c r="D639">
        <v>0.19800000000000001</v>
      </c>
      <c r="E639">
        <v>0.20630000000000001</v>
      </c>
      <c r="F639">
        <v>1172709.17</v>
      </c>
      <c r="G639">
        <v>0</v>
      </c>
      <c r="L639" t="s">
        <v>7</v>
      </c>
      <c r="M639" t="s">
        <v>8</v>
      </c>
      <c r="N639" t="s">
        <v>8</v>
      </c>
      <c r="P639">
        <f t="shared" si="989"/>
        <v>-6.214689265536668E-2</v>
      </c>
      <c r="Q639">
        <f t="shared" si="990"/>
        <v>-72880.230903954143</v>
      </c>
      <c r="R639">
        <f t="shared" si="991"/>
        <v>20267525.709461857</v>
      </c>
      <c r="S639">
        <f t="shared" si="992"/>
        <v>202.67525709461856</v>
      </c>
      <c r="T639">
        <f t="shared" si="993"/>
        <v>0.20267525709461856</v>
      </c>
    </row>
    <row r="640" spans="1:20" x14ac:dyDescent="0.25">
      <c r="A640" s="5">
        <v>43953</v>
      </c>
      <c r="B640">
        <v>0.2135</v>
      </c>
      <c r="C640">
        <v>0.21779999999999999</v>
      </c>
      <c r="D640">
        <v>0.2094</v>
      </c>
      <c r="E640">
        <v>0.2142</v>
      </c>
      <c r="F640">
        <v>1841009.84</v>
      </c>
      <c r="G640">
        <v>0</v>
      </c>
      <c r="L640" t="s">
        <v>8</v>
      </c>
      <c r="M640" t="s">
        <v>8</v>
      </c>
      <c r="N640" t="s">
        <v>8</v>
      </c>
      <c r="P640">
        <f t="shared" si="989"/>
        <v>0.14285714285714379</v>
      </c>
      <c r="Q640">
        <f t="shared" si="990"/>
        <v>263001.40571428742</v>
      </c>
      <c r="R640">
        <f t="shared" si="991"/>
        <v>20340405.94036581</v>
      </c>
      <c r="S640">
        <f t="shared" si="992"/>
        <v>203.4040594036581</v>
      </c>
      <c r="T640">
        <f t="shared" si="993"/>
        <v>0.20340405940365811</v>
      </c>
    </row>
    <row r="641" spans="1:20" x14ac:dyDescent="0.25">
      <c r="A641" s="5">
        <v>43952</v>
      </c>
      <c r="B641">
        <v>0.1986</v>
      </c>
      <c r="C641">
        <v>0.21440000000000001</v>
      </c>
      <c r="D641">
        <v>0.1981</v>
      </c>
      <c r="E641">
        <v>0.21360000000000001</v>
      </c>
      <c r="F641">
        <v>1526311.98</v>
      </c>
      <c r="G641">
        <v>0</v>
      </c>
      <c r="L641" t="s">
        <v>7</v>
      </c>
      <c r="M641" t="s">
        <v>8</v>
      </c>
      <c r="N641" t="s">
        <v>8</v>
      </c>
      <c r="P641">
        <f t="shared" si="989"/>
        <v>0.90184049079754669</v>
      </c>
      <c r="Q641">
        <f t="shared" si="990"/>
        <v>1376489.9451533752</v>
      </c>
      <c r="R641">
        <f t="shared" si="991"/>
        <v>20077404.534651522</v>
      </c>
      <c r="S641">
        <f t="shared" si="992"/>
        <v>200.77404534651521</v>
      </c>
      <c r="T641">
        <f t="shared" si="993"/>
        <v>0.20077404534651522</v>
      </c>
    </row>
    <row r="642" spans="1:20" x14ac:dyDescent="0.25">
      <c r="A642" s="5">
        <v>43951</v>
      </c>
      <c r="B642">
        <v>0.2135</v>
      </c>
      <c r="C642">
        <v>0.22070000000000001</v>
      </c>
      <c r="D642">
        <v>0.19370000000000001</v>
      </c>
      <c r="E642">
        <v>0.19819999999999999</v>
      </c>
      <c r="F642">
        <v>4444970.54</v>
      </c>
      <c r="G642">
        <v>0</v>
      </c>
      <c r="L642" t="s">
        <v>8</v>
      </c>
      <c r="M642" t="s">
        <v>8</v>
      </c>
      <c r="N642" t="s">
        <v>8</v>
      </c>
      <c r="P642">
        <f t="shared" si="989"/>
        <v>-0.66666666666666841</v>
      </c>
      <c r="Q642">
        <f t="shared" si="990"/>
        <v>-2963313.6933333413</v>
      </c>
      <c r="R642">
        <f t="shared" si="991"/>
        <v>18700914.589498147</v>
      </c>
      <c r="S642">
        <f t="shared" si="992"/>
        <v>187.00914589498149</v>
      </c>
      <c r="T642">
        <f t="shared" si="993"/>
        <v>0.18700914589498149</v>
      </c>
    </row>
    <row r="643" spans="1:20" x14ac:dyDescent="0.25">
      <c r="A643" s="5">
        <v>43950</v>
      </c>
      <c r="B643">
        <v>0.2041</v>
      </c>
      <c r="C643">
        <v>0.21510000000000001</v>
      </c>
      <c r="D643">
        <v>0.2019</v>
      </c>
      <c r="E643">
        <v>0.2132</v>
      </c>
      <c r="F643">
        <v>3568400.73</v>
      </c>
      <c r="G643">
        <v>0</v>
      </c>
      <c r="L643" t="s">
        <v>8</v>
      </c>
      <c r="M643" t="s">
        <v>8</v>
      </c>
      <c r="N643" t="s">
        <v>8</v>
      </c>
      <c r="P643">
        <f t="shared" si="989"/>
        <v>0.7121212121212106</v>
      </c>
      <c r="Q643">
        <f t="shared" si="990"/>
        <v>2541133.8531818129</v>
      </c>
      <c r="R643">
        <f t="shared" si="991"/>
        <v>21664228.28283149</v>
      </c>
      <c r="S643">
        <f t="shared" si="992"/>
        <v>216.6422828283149</v>
      </c>
      <c r="T643">
        <f t="shared" si="993"/>
        <v>0.21664228282831491</v>
      </c>
    </row>
    <row r="644" spans="1:20" x14ac:dyDescent="0.25">
      <c r="A644" s="5">
        <v>43949</v>
      </c>
      <c r="B644">
        <v>0.20660000000000001</v>
      </c>
      <c r="C644">
        <v>0.20730000000000001</v>
      </c>
      <c r="D644">
        <v>0.1986</v>
      </c>
      <c r="E644">
        <v>0.2041</v>
      </c>
      <c r="F644">
        <v>2302221.2799999998</v>
      </c>
      <c r="G644">
        <v>0</v>
      </c>
      <c r="L644" t="s">
        <v>7</v>
      </c>
      <c r="M644" t="s">
        <v>8</v>
      </c>
      <c r="N644" t="s">
        <v>8</v>
      </c>
      <c r="P644">
        <f t="shared" si="989"/>
        <v>0.2643678160919532</v>
      </c>
      <c r="Q644">
        <f t="shared" si="990"/>
        <v>608633.21195402101</v>
      </c>
      <c r="R644">
        <f t="shared" si="991"/>
        <v>19123094.429649677</v>
      </c>
      <c r="S644">
        <f t="shared" si="992"/>
        <v>191.23094429649677</v>
      </c>
      <c r="T644">
        <f t="shared" si="993"/>
        <v>0.19123094429649679</v>
      </c>
    </row>
    <row r="645" spans="1:20" x14ac:dyDescent="0.25">
      <c r="A645" s="5">
        <v>43948</v>
      </c>
      <c r="B645">
        <v>0.19900000000000001</v>
      </c>
      <c r="C645">
        <v>0.2175</v>
      </c>
      <c r="D645">
        <v>0.1971</v>
      </c>
      <c r="E645">
        <v>0.20660000000000001</v>
      </c>
      <c r="F645">
        <v>8361404.2300000004</v>
      </c>
      <c r="G645">
        <v>0</v>
      </c>
      <c r="L645" t="s">
        <v>8</v>
      </c>
      <c r="M645" t="s">
        <v>8</v>
      </c>
      <c r="N645" t="s">
        <v>8</v>
      </c>
      <c r="P645">
        <f t="shared" si="989"/>
        <v>-6.86274509803914E-2</v>
      </c>
      <c r="Q645">
        <f t="shared" si="990"/>
        <v>-573821.85892156232</v>
      </c>
      <c r="R645">
        <f t="shared" si="991"/>
        <v>18514461.217695657</v>
      </c>
      <c r="S645">
        <f t="shared" si="992"/>
        <v>185.14461217695657</v>
      </c>
      <c r="T645">
        <f t="shared" si="993"/>
        <v>0.18514461217695657</v>
      </c>
    </row>
    <row r="646" spans="1:20" x14ac:dyDescent="0.25">
      <c r="A646" s="5">
        <v>43947</v>
      </c>
      <c r="B646">
        <v>0.1845</v>
      </c>
      <c r="C646">
        <v>0.19900000000000001</v>
      </c>
      <c r="D646">
        <v>0.1837</v>
      </c>
      <c r="E646">
        <v>0.1986</v>
      </c>
      <c r="F646">
        <v>3539945.65</v>
      </c>
      <c r="G646">
        <v>0</v>
      </c>
      <c r="L646" t="s">
        <v>8</v>
      </c>
      <c r="M646" t="s">
        <v>8</v>
      </c>
      <c r="N646" t="s">
        <v>8</v>
      </c>
      <c r="P646">
        <f t="shared" ref="P646:P709" si="994">IF(C646=D646,0,((E646-D646)-(C646-E646))/(C646-D646))</f>
        <v>0.94771241830065212</v>
      </c>
      <c r="Q646">
        <f t="shared" ref="Q646:Q709" si="995">F646*P646</f>
        <v>3354850.4526143735</v>
      </c>
      <c r="R646">
        <f t="shared" ref="R646:R709" si="996">R647+Q646</f>
        <v>19088283.076617219</v>
      </c>
      <c r="S646">
        <f t="shared" ref="S646:S709" si="997">R646/100000</f>
        <v>190.88283076617219</v>
      </c>
      <c r="T646">
        <f t="shared" ref="T646:T709" si="998">S646/1000</f>
        <v>0.19088283076617218</v>
      </c>
    </row>
    <row r="647" spans="1:20" x14ac:dyDescent="0.25">
      <c r="A647" s="5">
        <v>43946</v>
      </c>
      <c r="B647">
        <v>0.18509999999999999</v>
      </c>
      <c r="C647">
        <v>0.18970000000000001</v>
      </c>
      <c r="D647">
        <v>0.1797</v>
      </c>
      <c r="E647">
        <v>0.18459999999999999</v>
      </c>
      <c r="F647">
        <v>1950613.24</v>
      </c>
      <c r="G647">
        <v>0</v>
      </c>
      <c r="L647" t="s">
        <v>8</v>
      </c>
      <c r="M647" t="s">
        <v>7</v>
      </c>
      <c r="N647" t="s">
        <v>8</v>
      </c>
      <c r="P647">
        <f t="shared" si="994"/>
        <v>-2.0000000000003331E-2</v>
      </c>
      <c r="Q647">
        <f t="shared" si="995"/>
        <v>-39012.264800006495</v>
      </c>
      <c r="R647">
        <f t="shared" si="996"/>
        <v>15733432.624002844</v>
      </c>
      <c r="S647">
        <f t="shared" si="997"/>
        <v>157.33432624002845</v>
      </c>
      <c r="T647">
        <f t="shared" si="998"/>
        <v>0.15733432624002844</v>
      </c>
    </row>
    <row r="648" spans="1:20" x14ac:dyDescent="0.25">
      <c r="A648" s="5">
        <v>43945</v>
      </c>
      <c r="B648">
        <v>0.17610000000000001</v>
      </c>
      <c r="C648">
        <v>0.18970000000000001</v>
      </c>
      <c r="D648">
        <v>0.1749</v>
      </c>
      <c r="E648">
        <v>0.1855</v>
      </c>
      <c r="F648">
        <v>3054454.43</v>
      </c>
      <c r="G648">
        <v>0</v>
      </c>
      <c r="L648" t="s">
        <v>8</v>
      </c>
      <c r="M648" t="s">
        <v>7</v>
      </c>
      <c r="N648" t="s">
        <v>8</v>
      </c>
      <c r="P648">
        <f t="shared" si="994"/>
        <v>0.43243243243243146</v>
      </c>
      <c r="Q648">
        <f t="shared" si="995"/>
        <v>1320845.158918916</v>
      </c>
      <c r="R648">
        <f t="shared" si="996"/>
        <v>15772444.888802851</v>
      </c>
      <c r="S648">
        <f t="shared" si="997"/>
        <v>157.72444888802852</v>
      </c>
      <c r="T648">
        <f t="shared" si="998"/>
        <v>0.15772444888802853</v>
      </c>
    </row>
    <row r="649" spans="1:20" x14ac:dyDescent="0.25">
      <c r="A649" s="5">
        <v>43944</v>
      </c>
      <c r="B649">
        <v>0.1714</v>
      </c>
      <c r="C649">
        <v>0.18099999999999999</v>
      </c>
      <c r="D649">
        <v>0.1691</v>
      </c>
      <c r="E649">
        <v>0.17530000000000001</v>
      </c>
      <c r="F649">
        <v>2362317.67</v>
      </c>
      <c r="G649">
        <v>0</v>
      </c>
      <c r="L649" t="s">
        <v>8</v>
      </c>
      <c r="M649" t="s">
        <v>7</v>
      </c>
      <c r="N649" t="s">
        <v>8</v>
      </c>
      <c r="P649">
        <f t="shared" si="994"/>
        <v>4.2016806722691466E-2</v>
      </c>
      <c r="Q649">
        <f t="shared" si="995"/>
        <v>99257.044957988837</v>
      </c>
      <c r="R649">
        <f t="shared" si="996"/>
        <v>14451599.729883935</v>
      </c>
      <c r="S649">
        <f t="shared" si="997"/>
        <v>144.51599729883935</v>
      </c>
      <c r="T649">
        <f t="shared" si="998"/>
        <v>0.14451599729883935</v>
      </c>
    </row>
    <row r="650" spans="1:20" x14ac:dyDescent="0.25">
      <c r="A650" s="5">
        <v>43943</v>
      </c>
      <c r="B650">
        <v>0.16889999999999999</v>
      </c>
      <c r="C650">
        <v>0.17299999999999999</v>
      </c>
      <c r="D650">
        <v>0.1686</v>
      </c>
      <c r="E650">
        <v>0.1711</v>
      </c>
      <c r="F650">
        <v>873764.54</v>
      </c>
      <c r="G650">
        <v>0</v>
      </c>
      <c r="L650" t="s">
        <v>7</v>
      </c>
      <c r="M650" t="s">
        <v>7</v>
      </c>
      <c r="N650" t="s">
        <v>8</v>
      </c>
      <c r="P650">
        <f t="shared" si="994"/>
        <v>0.13636363636364066</v>
      </c>
      <c r="Q650">
        <f t="shared" si="995"/>
        <v>119149.71000000376</v>
      </c>
      <c r="R650">
        <f t="shared" si="996"/>
        <v>14352342.684925947</v>
      </c>
      <c r="S650">
        <f t="shared" si="997"/>
        <v>143.52342684925947</v>
      </c>
      <c r="T650">
        <f t="shared" si="998"/>
        <v>0.14352342684925948</v>
      </c>
    </row>
    <row r="651" spans="1:20" x14ac:dyDescent="0.25">
      <c r="A651" s="5">
        <v>43942</v>
      </c>
      <c r="B651">
        <v>0.16700000000000001</v>
      </c>
      <c r="C651">
        <v>0.17169999999999999</v>
      </c>
      <c r="D651">
        <v>0.1636</v>
      </c>
      <c r="E651">
        <v>0.16830000000000001</v>
      </c>
      <c r="F651">
        <v>1519282.75</v>
      </c>
      <c r="G651">
        <v>0</v>
      </c>
      <c r="L651" t="s">
        <v>7</v>
      </c>
      <c r="M651" t="s">
        <v>7</v>
      </c>
      <c r="N651" t="s">
        <v>8</v>
      </c>
      <c r="P651">
        <f t="shared" si="994"/>
        <v>0.16049382716049679</v>
      </c>
      <c r="Q651">
        <f t="shared" si="995"/>
        <v>243835.50308642426</v>
      </c>
      <c r="R651">
        <f t="shared" si="996"/>
        <v>14233192.974925943</v>
      </c>
      <c r="S651">
        <f t="shared" si="997"/>
        <v>142.33192974925942</v>
      </c>
      <c r="T651">
        <f t="shared" si="998"/>
        <v>0.14233192974925943</v>
      </c>
    </row>
    <row r="652" spans="1:20" x14ac:dyDescent="0.25">
      <c r="A652" s="5">
        <v>43941</v>
      </c>
      <c r="B652">
        <v>0.17100000000000001</v>
      </c>
      <c r="C652">
        <v>0.17510000000000001</v>
      </c>
      <c r="D652">
        <v>0.16450000000000001</v>
      </c>
      <c r="E652">
        <v>0.16769999999999999</v>
      </c>
      <c r="F652">
        <v>1613157.71</v>
      </c>
      <c r="G652">
        <v>0</v>
      </c>
      <c r="L652" t="s">
        <v>7</v>
      </c>
      <c r="M652" t="s">
        <v>7</v>
      </c>
      <c r="N652" t="s">
        <v>8</v>
      </c>
      <c r="P652">
        <f t="shared" si="994"/>
        <v>-0.3962264150943432</v>
      </c>
      <c r="Q652">
        <f t="shared" si="995"/>
        <v>-639175.69641510013</v>
      </c>
      <c r="R652">
        <f t="shared" si="996"/>
        <v>13989357.471839519</v>
      </c>
      <c r="S652">
        <f t="shared" si="997"/>
        <v>139.8935747183952</v>
      </c>
      <c r="T652">
        <f t="shared" si="998"/>
        <v>0.1398935747183952</v>
      </c>
    </row>
    <row r="653" spans="1:20" x14ac:dyDescent="0.25">
      <c r="A653" s="5">
        <v>43940</v>
      </c>
      <c r="B653">
        <v>0.17929999999999999</v>
      </c>
      <c r="C653">
        <v>0.17949999999999999</v>
      </c>
      <c r="D653">
        <v>0.17069999999999999</v>
      </c>
      <c r="E653">
        <v>0.17119999999999999</v>
      </c>
      <c r="F653">
        <v>1150141.51</v>
      </c>
      <c r="G653">
        <v>0</v>
      </c>
      <c r="L653" t="s">
        <v>8</v>
      </c>
      <c r="M653" t="s">
        <v>7</v>
      </c>
      <c r="N653" t="s">
        <v>8</v>
      </c>
      <c r="P653">
        <f t="shared" si="994"/>
        <v>-0.88636363636363624</v>
      </c>
      <c r="Q653">
        <f t="shared" si="995"/>
        <v>-1019443.6111363635</v>
      </c>
      <c r="R653">
        <f t="shared" si="996"/>
        <v>14628533.168254619</v>
      </c>
      <c r="S653">
        <f t="shared" si="997"/>
        <v>146.2853316825462</v>
      </c>
      <c r="T653">
        <f t="shared" si="998"/>
        <v>0.1462853316825462</v>
      </c>
    </row>
    <row r="654" spans="1:20" x14ac:dyDescent="0.25">
      <c r="A654" s="5">
        <v>43939</v>
      </c>
      <c r="B654">
        <v>0.17180000000000001</v>
      </c>
      <c r="C654">
        <v>0.18079999999999999</v>
      </c>
      <c r="D654">
        <v>0.17180000000000001</v>
      </c>
      <c r="E654">
        <v>0.17910000000000001</v>
      </c>
      <c r="F654">
        <v>2209183.1</v>
      </c>
      <c r="G654">
        <v>0</v>
      </c>
      <c r="L654" t="s">
        <v>8</v>
      </c>
      <c r="M654" t="s">
        <v>7</v>
      </c>
      <c r="N654" t="s">
        <v>8</v>
      </c>
      <c r="P654">
        <f t="shared" si="994"/>
        <v>0.62222222222222601</v>
      </c>
      <c r="Q654">
        <f t="shared" si="995"/>
        <v>1374602.8177777862</v>
      </c>
      <c r="R654">
        <f t="shared" si="996"/>
        <v>15647976.779390983</v>
      </c>
      <c r="S654">
        <f t="shared" si="997"/>
        <v>156.47976779390984</v>
      </c>
      <c r="T654">
        <f t="shared" si="998"/>
        <v>0.15647976779390985</v>
      </c>
    </row>
    <row r="655" spans="1:20" x14ac:dyDescent="0.25">
      <c r="A655" s="5">
        <v>43938</v>
      </c>
      <c r="B655">
        <v>0.17319999999999999</v>
      </c>
      <c r="C655">
        <v>0.17469999999999999</v>
      </c>
      <c r="D655">
        <v>0.1696</v>
      </c>
      <c r="E655">
        <v>0.17219999999999999</v>
      </c>
      <c r="F655">
        <v>1049464.69</v>
      </c>
      <c r="G655">
        <v>0</v>
      </c>
      <c r="L655" t="s">
        <v>8</v>
      </c>
      <c r="M655" t="s">
        <v>7</v>
      </c>
      <c r="N655" t="s">
        <v>8</v>
      </c>
      <c r="P655">
        <f t="shared" si="994"/>
        <v>1.9607843137252768E-2</v>
      </c>
      <c r="Q655">
        <f t="shared" si="995"/>
        <v>20577.739019605604</v>
      </c>
      <c r="R655">
        <f t="shared" si="996"/>
        <v>14273373.961613197</v>
      </c>
      <c r="S655">
        <f t="shared" si="997"/>
        <v>142.73373961613197</v>
      </c>
      <c r="T655">
        <f t="shared" si="998"/>
        <v>0.14273373961613198</v>
      </c>
    </row>
    <row r="656" spans="1:20" x14ac:dyDescent="0.25">
      <c r="A656" s="5">
        <v>43937</v>
      </c>
      <c r="B656">
        <v>0.16370000000000001</v>
      </c>
      <c r="C656">
        <v>0.17799999999999999</v>
      </c>
      <c r="D656">
        <v>0.15870000000000001</v>
      </c>
      <c r="E656">
        <v>0.17319999999999999</v>
      </c>
      <c r="F656">
        <v>5113099.5</v>
      </c>
      <c r="G656">
        <v>0</v>
      </c>
      <c r="L656" t="s">
        <v>8</v>
      </c>
      <c r="M656" t="s">
        <v>7</v>
      </c>
      <c r="N656" t="s">
        <v>8</v>
      </c>
      <c r="P656">
        <f t="shared" si="994"/>
        <v>0.50259067357512921</v>
      </c>
      <c r="Q656">
        <f t="shared" si="995"/>
        <v>2569796.1217616564</v>
      </c>
      <c r="R656">
        <f t="shared" si="996"/>
        <v>14252796.222593591</v>
      </c>
      <c r="S656">
        <f t="shared" si="997"/>
        <v>142.52796222593591</v>
      </c>
      <c r="T656">
        <f t="shared" si="998"/>
        <v>0.14252796222593592</v>
      </c>
    </row>
    <row r="657" spans="1:20" x14ac:dyDescent="0.25">
      <c r="A657" s="5">
        <v>43936</v>
      </c>
      <c r="B657">
        <v>0.17030000000000001</v>
      </c>
      <c r="C657">
        <v>0.1714</v>
      </c>
      <c r="D657">
        <v>0.16350000000000001</v>
      </c>
      <c r="E657">
        <v>0.16370000000000001</v>
      </c>
      <c r="F657">
        <v>725555.6</v>
      </c>
      <c r="G657">
        <v>0</v>
      </c>
      <c r="L657" t="s">
        <v>8</v>
      </c>
      <c r="M657" t="s">
        <v>7</v>
      </c>
      <c r="N657" t="s">
        <v>8</v>
      </c>
      <c r="P657">
        <f t="shared" si="994"/>
        <v>-0.94936708860759345</v>
      </c>
      <c r="Q657">
        <f t="shared" si="995"/>
        <v>-688818.60759493557</v>
      </c>
      <c r="R657">
        <f t="shared" si="996"/>
        <v>11683000.100831935</v>
      </c>
      <c r="S657">
        <f t="shared" si="997"/>
        <v>116.83000100831936</v>
      </c>
      <c r="T657">
        <f t="shared" si="998"/>
        <v>0.11683000100831936</v>
      </c>
    </row>
    <row r="658" spans="1:20" x14ac:dyDescent="0.25">
      <c r="A658" s="5">
        <v>43935</v>
      </c>
      <c r="B658">
        <v>0.16700000000000001</v>
      </c>
      <c r="C658">
        <v>0.17449999999999999</v>
      </c>
      <c r="D658">
        <v>0.16650000000000001</v>
      </c>
      <c r="E658">
        <v>0.17069999999999999</v>
      </c>
      <c r="F658">
        <v>1054179.78</v>
      </c>
      <c r="G658">
        <v>0</v>
      </c>
      <c r="L658" t="s">
        <v>8</v>
      </c>
      <c r="M658" t="s">
        <v>7</v>
      </c>
      <c r="N658" t="s">
        <v>8</v>
      </c>
      <c r="P658">
        <f t="shared" si="994"/>
        <v>4.9999999999998095E-2</v>
      </c>
      <c r="Q658">
        <f t="shared" si="995"/>
        <v>52708.988999997993</v>
      </c>
      <c r="R658">
        <f t="shared" si="996"/>
        <v>12371818.70842687</v>
      </c>
      <c r="S658">
        <f t="shared" si="997"/>
        <v>123.71818708426871</v>
      </c>
      <c r="T658">
        <f t="shared" si="998"/>
        <v>0.12371818708426871</v>
      </c>
    </row>
    <row r="659" spans="1:20" x14ac:dyDescent="0.25">
      <c r="A659" s="5">
        <v>43934</v>
      </c>
      <c r="B659">
        <v>0.1676</v>
      </c>
      <c r="C659">
        <v>0.16950000000000001</v>
      </c>
      <c r="D659">
        <v>0.161</v>
      </c>
      <c r="E659">
        <v>0.1673</v>
      </c>
      <c r="F659">
        <v>1147462.48</v>
      </c>
      <c r="G659">
        <v>0</v>
      </c>
      <c r="L659" t="s">
        <v>7</v>
      </c>
      <c r="M659" t="s">
        <v>7</v>
      </c>
      <c r="N659" t="s">
        <v>8</v>
      </c>
      <c r="P659">
        <f t="shared" si="994"/>
        <v>0.48235294117646926</v>
      </c>
      <c r="Q659">
        <f t="shared" si="995"/>
        <v>553481.90211764548</v>
      </c>
      <c r="R659">
        <f t="shared" si="996"/>
        <v>12319109.719426872</v>
      </c>
      <c r="S659">
        <f t="shared" si="997"/>
        <v>123.19109719426872</v>
      </c>
      <c r="T659">
        <f t="shared" si="998"/>
        <v>0.12319109719426873</v>
      </c>
    </row>
    <row r="660" spans="1:20" x14ac:dyDescent="0.25">
      <c r="A660" s="5">
        <v>43933</v>
      </c>
      <c r="B660">
        <v>0.1716</v>
      </c>
      <c r="C660">
        <v>0.1762</v>
      </c>
      <c r="D660">
        <v>0.16619999999999999</v>
      </c>
      <c r="E660">
        <v>0.16819999999999999</v>
      </c>
      <c r="F660">
        <v>2629289.86</v>
      </c>
      <c r="G660">
        <v>0</v>
      </c>
      <c r="L660" t="s">
        <v>8</v>
      </c>
      <c r="M660" t="s">
        <v>7</v>
      </c>
      <c r="N660" t="s">
        <v>8</v>
      </c>
      <c r="P660">
        <f t="shared" si="994"/>
        <v>-0.6</v>
      </c>
      <c r="Q660">
        <f t="shared" si="995"/>
        <v>-1577573.916</v>
      </c>
      <c r="R660">
        <f t="shared" si="996"/>
        <v>11765627.817309227</v>
      </c>
      <c r="S660">
        <f t="shared" si="997"/>
        <v>117.65627817309228</v>
      </c>
      <c r="T660">
        <f t="shared" si="998"/>
        <v>0.11765627817309228</v>
      </c>
    </row>
    <row r="661" spans="1:20" x14ac:dyDescent="0.25">
      <c r="A661" s="5">
        <v>43932</v>
      </c>
      <c r="B661">
        <v>0.16889999999999999</v>
      </c>
      <c r="C661">
        <v>0.1736</v>
      </c>
      <c r="D661">
        <v>0.1656</v>
      </c>
      <c r="E661">
        <v>0.17150000000000001</v>
      </c>
      <c r="F661">
        <v>2283060.92</v>
      </c>
      <c r="G661">
        <v>0</v>
      </c>
      <c r="L661" t="s">
        <v>8</v>
      </c>
      <c r="M661" t="s">
        <v>7</v>
      </c>
      <c r="N661" t="s">
        <v>8</v>
      </c>
      <c r="P661">
        <f t="shared" si="994"/>
        <v>0.47500000000000275</v>
      </c>
      <c r="Q661">
        <f t="shared" si="995"/>
        <v>1084453.9370000062</v>
      </c>
      <c r="R661">
        <f t="shared" si="996"/>
        <v>13343201.733309226</v>
      </c>
      <c r="S661">
        <f t="shared" si="997"/>
        <v>133.43201733309226</v>
      </c>
      <c r="T661">
        <f t="shared" si="998"/>
        <v>0.13343201733309226</v>
      </c>
    </row>
    <row r="662" spans="1:20" x14ac:dyDescent="0.25">
      <c r="A662" s="5">
        <v>43931</v>
      </c>
      <c r="B662">
        <v>0.18990000000000001</v>
      </c>
      <c r="C662">
        <v>0.19209999999999999</v>
      </c>
      <c r="D662">
        <v>0.16120000000000001</v>
      </c>
      <c r="E662">
        <v>0.16900000000000001</v>
      </c>
      <c r="F662">
        <v>5225071.0199999996</v>
      </c>
      <c r="G662">
        <v>0</v>
      </c>
      <c r="L662" t="s">
        <v>7</v>
      </c>
      <c r="M662" t="s">
        <v>7</v>
      </c>
      <c r="N662" t="s">
        <v>8</v>
      </c>
      <c r="P662">
        <f t="shared" si="994"/>
        <v>-0.49514563106796078</v>
      </c>
      <c r="Q662">
        <f t="shared" si="995"/>
        <v>-2587171.0875728135</v>
      </c>
      <c r="R662">
        <f t="shared" si="996"/>
        <v>12258747.79630922</v>
      </c>
      <c r="S662">
        <f t="shared" si="997"/>
        <v>122.5874779630922</v>
      </c>
      <c r="T662">
        <f t="shared" si="998"/>
        <v>0.1225874779630922</v>
      </c>
    </row>
    <row r="663" spans="1:20" x14ac:dyDescent="0.25">
      <c r="A663" s="5">
        <v>43930</v>
      </c>
      <c r="B663">
        <v>0.17730000000000001</v>
      </c>
      <c r="C663">
        <v>0.19040000000000001</v>
      </c>
      <c r="D663">
        <v>0.17219999999999999</v>
      </c>
      <c r="E663">
        <v>0.19</v>
      </c>
      <c r="F663">
        <v>3331023.17</v>
      </c>
      <c r="G663">
        <v>0</v>
      </c>
      <c r="L663" t="s">
        <v>8</v>
      </c>
      <c r="M663" t="s">
        <v>8</v>
      </c>
      <c r="N663" t="s">
        <v>8</v>
      </c>
      <c r="P663">
        <f t="shared" si="994"/>
        <v>0.95604395604395487</v>
      </c>
      <c r="Q663">
        <f t="shared" si="995"/>
        <v>3184604.5691208751</v>
      </c>
      <c r="R663">
        <f t="shared" si="996"/>
        <v>14845918.883882033</v>
      </c>
      <c r="S663">
        <f t="shared" si="997"/>
        <v>148.45918883882032</v>
      </c>
      <c r="T663">
        <f t="shared" si="998"/>
        <v>0.14845918883882031</v>
      </c>
    </row>
    <row r="664" spans="1:20" x14ac:dyDescent="0.25">
      <c r="A664" s="5">
        <v>43929</v>
      </c>
      <c r="B664">
        <v>0.16950000000000001</v>
      </c>
      <c r="C664">
        <v>0.17760000000000001</v>
      </c>
      <c r="D664">
        <v>0.1668</v>
      </c>
      <c r="E664">
        <v>0.17730000000000001</v>
      </c>
      <c r="F664">
        <v>3314697.36</v>
      </c>
      <c r="G664">
        <v>0</v>
      </c>
      <c r="L664" t="s">
        <v>7</v>
      </c>
      <c r="M664" t="s">
        <v>8</v>
      </c>
      <c r="N664" t="s">
        <v>8</v>
      </c>
      <c r="P664">
        <f t="shared" si="994"/>
        <v>0.94444444444444542</v>
      </c>
      <c r="Q664">
        <f t="shared" si="995"/>
        <v>3130547.5066666696</v>
      </c>
      <c r="R664">
        <f t="shared" si="996"/>
        <v>11661314.314761158</v>
      </c>
      <c r="S664">
        <f t="shared" si="997"/>
        <v>116.61314314761158</v>
      </c>
      <c r="T664">
        <f t="shared" si="998"/>
        <v>0.11661314314761158</v>
      </c>
    </row>
    <row r="665" spans="1:20" x14ac:dyDescent="0.25">
      <c r="A665" s="5">
        <v>43928</v>
      </c>
      <c r="B665">
        <v>0.1694</v>
      </c>
      <c r="C665">
        <v>0.18190000000000001</v>
      </c>
      <c r="D665">
        <v>0.16520000000000001</v>
      </c>
      <c r="E665">
        <v>0.16950000000000001</v>
      </c>
      <c r="F665">
        <v>5370444.9900000002</v>
      </c>
      <c r="G665">
        <v>0</v>
      </c>
      <c r="L665" t="s">
        <v>8</v>
      </c>
      <c r="M665" t="s">
        <v>8</v>
      </c>
      <c r="N665" t="s">
        <v>8</v>
      </c>
      <c r="P665">
        <f t="shared" si="994"/>
        <v>-0.48502994011976047</v>
      </c>
      <c r="Q665">
        <f t="shared" si="995"/>
        <v>-2604826.6119161677</v>
      </c>
      <c r="R665">
        <f t="shared" si="996"/>
        <v>8530766.8080944885</v>
      </c>
      <c r="S665">
        <f t="shared" si="997"/>
        <v>85.307668080944879</v>
      </c>
      <c r="T665">
        <f t="shared" si="998"/>
        <v>8.5307668080944879E-2</v>
      </c>
    </row>
    <row r="666" spans="1:20" x14ac:dyDescent="0.25">
      <c r="A666" s="5">
        <v>43927</v>
      </c>
      <c r="B666">
        <v>0.15359999999999999</v>
      </c>
      <c r="C666">
        <v>0.16980000000000001</v>
      </c>
      <c r="D666">
        <v>0.1532</v>
      </c>
      <c r="E666">
        <v>0.16919999999999999</v>
      </c>
      <c r="F666">
        <v>2697055.37</v>
      </c>
      <c r="G666">
        <v>0</v>
      </c>
      <c r="L666" t="s">
        <v>8</v>
      </c>
      <c r="M666" t="s">
        <v>8</v>
      </c>
      <c r="N666" t="s">
        <v>8</v>
      </c>
      <c r="P666">
        <f t="shared" si="994"/>
        <v>0.92771084337349197</v>
      </c>
      <c r="Q666">
        <f t="shared" si="995"/>
        <v>2502087.5119277057</v>
      </c>
      <c r="R666">
        <f t="shared" si="996"/>
        <v>11135593.420010656</v>
      </c>
      <c r="S666">
        <f t="shared" si="997"/>
        <v>111.35593420010656</v>
      </c>
      <c r="T666">
        <f t="shared" si="998"/>
        <v>0.11135593420010656</v>
      </c>
    </row>
    <row r="667" spans="1:20" x14ac:dyDescent="0.25">
      <c r="A667" s="5">
        <v>43926</v>
      </c>
      <c r="B667">
        <v>0.15620000000000001</v>
      </c>
      <c r="C667">
        <v>0.157</v>
      </c>
      <c r="D667">
        <v>0.153</v>
      </c>
      <c r="E667">
        <v>0.15359999999999999</v>
      </c>
      <c r="F667">
        <v>837342.75</v>
      </c>
      <c r="G667">
        <v>0</v>
      </c>
      <c r="L667" t="s">
        <v>8</v>
      </c>
      <c r="M667" t="s">
        <v>7</v>
      </c>
      <c r="N667" t="s">
        <v>8</v>
      </c>
      <c r="P667">
        <f t="shared" si="994"/>
        <v>-0.70000000000000551</v>
      </c>
      <c r="Q667">
        <f t="shared" si="995"/>
        <v>-586139.92500000459</v>
      </c>
      <c r="R667">
        <f t="shared" si="996"/>
        <v>8633505.9080829509</v>
      </c>
      <c r="S667">
        <f t="shared" si="997"/>
        <v>86.33505908082951</v>
      </c>
      <c r="T667">
        <f t="shared" si="998"/>
        <v>8.6335059080829515E-2</v>
      </c>
    </row>
    <row r="668" spans="1:20" x14ac:dyDescent="0.25">
      <c r="A668" s="5">
        <v>43925</v>
      </c>
      <c r="B668">
        <v>0.15509999999999999</v>
      </c>
      <c r="C668">
        <v>0.1583</v>
      </c>
      <c r="D668">
        <v>0.152</v>
      </c>
      <c r="E668">
        <v>0.15629999999999999</v>
      </c>
      <c r="F668">
        <v>848979.06</v>
      </c>
      <c r="G668">
        <v>0</v>
      </c>
      <c r="L668" t="s">
        <v>8</v>
      </c>
      <c r="M668" t="s">
        <v>7</v>
      </c>
      <c r="N668" t="s">
        <v>8</v>
      </c>
      <c r="P668">
        <f t="shared" si="994"/>
        <v>0.3650793650793645</v>
      </c>
      <c r="Q668">
        <f t="shared" si="995"/>
        <v>309944.7361904757</v>
      </c>
      <c r="R668">
        <f t="shared" si="996"/>
        <v>9219645.8330829553</v>
      </c>
      <c r="S668">
        <f t="shared" si="997"/>
        <v>92.196458330829557</v>
      </c>
      <c r="T668">
        <f t="shared" si="998"/>
        <v>9.2196458330829553E-2</v>
      </c>
    </row>
    <row r="669" spans="1:20" x14ac:dyDescent="0.25">
      <c r="A669" s="5">
        <v>43924</v>
      </c>
      <c r="B669">
        <v>0.15440000000000001</v>
      </c>
      <c r="C669">
        <v>0.1583</v>
      </c>
      <c r="D669">
        <v>0.1515</v>
      </c>
      <c r="E669">
        <v>0.15540000000000001</v>
      </c>
      <c r="F669">
        <v>1352992.2</v>
      </c>
      <c r="G669">
        <v>0</v>
      </c>
      <c r="L669" t="s">
        <v>8</v>
      </c>
      <c r="M669" t="s">
        <v>7</v>
      </c>
      <c r="N669" t="s">
        <v>8</v>
      </c>
      <c r="P669">
        <f t="shared" si="994"/>
        <v>0.14705882352941596</v>
      </c>
      <c r="Q669">
        <f t="shared" si="995"/>
        <v>198969.44117647625</v>
      </c>
      <c r="R669">
        <f t="shared" si="996"/>
        <v>8909701.0968924798</v>
      </c>
      <c r="S669">
        <f t="shared" si="997"/>
        <v>89.097010968924792</v>
      </c>
      <c r="T669">
        <f t="shared" si="998"/>
        <v>8.9097010968924792E-2</v>
      </c>
    </row>
    <row r="670" spans="1:20" x14ac:dyDescent="0.25">
      <c r="A670" s="5">
        <v>43923</v>
      </c>
      <c r="B670">
        <v>0.15210000000000001</v>
      </c>
      <c r="C670">
        <v>0.16039999999999999</v>
      </c>
      <c r="D670">
        <v>0.14949999999999999</v>
      </c>
      <c r="E670">
        <v>0.15429999999999999</v>
      </c>
      <c r="F670">
        <v>2143925.75</v>
      </c>
      <c r="G670">
        <v>0</v>
      </c>
      <c r="L670" t="s">
        <v>8</v>
      </c>
      <c r="M670" t="s">
        <v>7</v>
      </c>
      <c r="N670" t="s">
        <v>8</v>
      </c>
      <c r="P670">
        <f t="shared" si="994"/>
        <v>-0.11926605504587123</v>
      </c>
      <c r="Q670">
        <f t="shared" si="995"/>
        <v>-255697.56651376077</v>
      </c>
      <c r="R670">
        <f t="shared" si="996"/>
        <v>8710731.6557160039</v>
      </c>
      <c r="S670">
        <f t="shared" si="997"/>
        <v>87.107316557160033</v>
      </c>
      <c r="T670">
        <f t="shared" si="998"/>
        <v>8.7107316557160031E-2</v>
      </c>
    </row>
    <row r="671" spans="1:20" x14ac:dyDescent="0.25">
      <c r="A671" s="5">
        <v>43922</v>
      </c>
      <c r="B671">
        <v>0.153</v>
      </c>
      <c r="C671">
        <v>0.1545</v>
      </c>
      <c r="D671">
        <v>0.14599999999999999</v>
      </c>
      <c r="E671">
        <v>0.15179999999999999</v>
      </c>
      <c r="F671">
        <v>1051289.77</v>
      </c>
      <c r="G671">
        <v>0</v>
      </c>
      <c r="L671" t="s">
        <v>8</v>
      </c>
      <c r="M671" t="s">
        <v>7</v>
      </c>
      <c r="N671" t="s">
        <v>8</v>
      </c>
      <c r="P671">
        <f t="shared" si="994"/>
        <v>0.36470588235293988</v>
      </c>
      <c r="Q671">
        <f t="shared" si="995"/>
        <v>383411.56317646924</v>
      </c>
      <c r="R671">
        <f t="shared" si="996"/>
        <v>8966429.2222297639</v>
      </c>
      <c r="S671">
        <f t="shared" si="997"/>
        <v>89.664292222297632</v>
      </c>
      <c r="T671">
        <f t="shared" si="998"/>
        <v>8.9664292222297631E-2</v>
      </c>
    </row>
    <row r="672" spans="1:20" x14ac:dyDescent="0.25">
      <c r="A672" s="5">
        <v>43921</v>
      </c>
      <c r="B672">
        <v>0.15049999999999999</v>
      </c>
      <c r="C672">
        <v>0.15459999999999999</v>
      </c>
      <c r="D672">
        <v>0.1497</v>
      </c>
      <c r="E672">
        <v>0.15290000000000001</v>
      </c>
      <c r="F672">
        <v>1076901.28</v>
      </c>
      <c r="G672">
        <v>0</v>
      </c>
      <c r="L672" t="s">
        <v>8</v>
      </c>
      <c r="M672" t="s">
        <v>7</v>
      </c>
      <c r="N672" t="s">
        <v>8</v>
      </c>
      <c r="P672">
        <f t="shared" si="994"/>
        <v>0.30612244897959856</v>
      </c>
      <c r="Q672">
        <f t="shared" si="995"/>
        <v>329663.65714286437</v>
      </c>
      <c r="R672">
        <f t="shared" si="996"/>
        <v>8583017.659053294</v>
      </c>
      <c r="S672">
        <f t="shared" si="997"/>
        <v>85.830176590532943</v>
      </c>
      <c r="T672">
        <f t="shared" si="998"/>
        <v>8.583017659053295E-2</v>
      </c>
    </row>
    <row r="673" spans="1:20" x14ac:dyDescent="0.25">
      <c r="A673" s="5">
        <v>43920</v>
      </c>
      <c r="B673">
        <v>0.1439</v>
      </c>
      <c r="C673">
        <v>0.15509999999999999</v>
      </c>
      <c r="D673">
        <v>0.14369999999999999</v>
      </c>
      <c r="E673">
        <v>0.15040000000000001</v>
      </c>
      <c r="F673">
        <v>1226432.8400000001</v>
      </c>
      <c r="G673">
        <v>0</v>
      </c>
      <c r="L673" t="s">
        <v>8</v>
      </c>
      <c r="M673" t="s">
        <v>7</v>
      </c>
      <c r="N673" t="s">
        <v>8</v>
      </c>
      <c r="P673">
        <f t="shared" si="994"/>
        <v>0.17543859649123075</v>
      </c>
      <c r="Q673">
        <f t="shared" si="995"/>
        <v>215163.65614035417</v>
      </c>
      <c r="R673">
        <f t="shared" si="996"/>
        <v>8253354.0019104294</v>
      </c>
      <c r="S673">
        <f t="shared" si="997"/>
        <v>82.533540019104294</v>
      </c>
      <c r="T673">
        <f t="shared" si="998"/>
        <v>8.253354001910429E-2</v>
      </c>
    </row>
    <row r="674" spans="1:20" x14ac:dyDescent="0.25">
      <c r="A674" s="5">
        <v>43919</v>
      </c>
      <c r="B674">
        <v>0.15</v>
      </c>
      <c r="C674">
        <v>0.15090000000000001</v>
      </c>
      <c r="D674">
        <v>0.14369999999999999</v>
      </c>
      <c r="E674">
        <v>0.14410000000000001</v>
      </c>
      <c r="F674">
        <v>862729.98</v>
      </c>
      <c r="G674">
        <v>0</v>
      </c>
      <c r="L674" t="s">
        <v>7</v>
      </c>
      <c r="M674" t="s">
        <v>7</v>
      </c>
      <c r="N674" t="s">
        <v>8</v>
      </c>
      <c r="P674">
        <f t="shared" si="994"/>
        <v>-0.88888888888888584</v>
      </c>
      <c r="Q674">
        <f t="shared" si="995"/>
        <v>-766871.0933333307</v>
      </c>
      <c r="R674">
        <f t="shared" si="996"/>
        <v>8038190.345770075</v>
      </c>
      <c r="S674">
        <f t="shared" si="997"/>
        <v>80.381903457700744</v>
      </c>
      <c r="T674">
        <f t="shared" si="998"/>
        <v>8.0381903457700743E-2</v>
      </c>
    </row>
    <row r="675" spans="1:20" x14ac:dyDescent="0.25">
      <c r="A675" s="5">
        <v>43918</v>
      </c>
      <c r="B675">
        <v>0.14929999999999999</v>
      </c>
      <c r="C675">
        <v>0.1502</v>
      </c>
      <c r="D675">
        <v>0.14280000000000001</v>
      </c>
      <c r="E675">
        <v>0.14960000000000001</v>
      </c>
      <c r="F675">
        <v>1635512.76</v>
      </c>
      <c r="G675">
        <v>0</v>
      </c>
      <c r="L675" t="s">
        <v>7</v>
      </c>
      <c r="M675" t="s">
        <v>7</v>
      </c>
      <c r="N675" t="s">
        <v>8</v>
      </c>
      <c r="P675">
        <f t="shared" si="994"/>
        <v>0.83783783783784049</v>
      </c>
      <c r="Q675">
        <f t="shared" si="995"/>
        <v>1370294.4745945989</v>
      </c>
      <c r="R675">
        <f t="shared" si="996"/>
        <v>8805061.4391034059</v>
      </c>
      <c r="S675">
        <f t="shared" si="997"/>
        <v>88.05061439103406</v>
      </c>
      <c r="T675">
        <f t="shared" si="998"/>
        <v>8.8050614391034066E-2</v>
      </c>
    </row>
    <row r="676" spans="1:20" x14ac:dyDescent="0.25">
      <c r="A676" s="5">
        <v>43917</v>
      </c>
      <c r="B676">
        <v>0.15959999999999999</v>
      </c>
      <c r="C676">
        <v>0.16159999999999999</v>
      </c>
      <c r="D676">
        <v>0.1479</v>
      </c>
      <c r="E676">
        <v>0.14960000000000001</v>
      </c>
      <c r="F676">
        <v>2925908.35</v>
      </c>
      <c r="G676">
        <v>0</v>
      </c>
      <c r="L676" t="s">
        <v>7</v>
      </c>
      <c r="M676" t="s">
        <v>7</v>
      </c>
      <c r="N676" t="s">
        <v>8</v>
      </c>
      <c r="P676">
        <f t="shared" si="994"/>
        <v>-0.75182481751824692</v>
      </c>
      <c r="Q676">
        <f t="shared" si="995"/>
        <v>-2199770.511313865</v>
      </c>
      <c r="R676">
        <f t="shared" si="996"/>
        <v>7434766.9645088073</v>
      </c>
      <c r="S676">
        <f t="shared" si="997"/>
        <v>74.347669645088075</v>
      </c>
      <c r="T676">
        <f t="shared" si="998"/>
        <v>7.4347669645088071E-2</v>
      </c>
    </row>
    <row r="677" spans="1:20" x14ac:dyDescent="0.25">
      <c r="A677" s="5">
        <v>43916</v>
      </c>
      <c r="B677">
        <v>0.1575</v>
      </c>
      <c r="C677">
        <v>0.15959999999999999</v>
      </c>
      <c r="D677">
        <v>0.15040000000000001</v>
      </c>
      <c r="E677">
        <v>0.15939999999999999</v>
      </c>
      <c r="F677">
        <v>2397117.4700000002</v>
      </c>
      <c r="G677">
        <v>0</v>
      </c>
      <c r="L677" t="s">
        <v>8</v>
      </c>
      <c r="M677" t="s">
        <v>7</v>
      </c>
      <c r="N677" t="s">
        <v>8</v>
      </c>
      <c r="P677">
        <f t="shared" si="994"/>
        <v>0.95652173913043348</v>
      </c>
      <c r="Q677">
        <f t="shared" si="995"/>
        <v>2292894.9713043449</v>
      </c>
      <c r="R677">
        <f t="shared" si="996"/>
        <v>9634537.4758226722</v>
      </c>
      <c r="S677">
        <f t="shared" si="997"/>
        <v>96.345374758226725</v>
      </c>
      <c r="T677">
        <f t="shared" si="998"/>
        <v>9.6345374758226729E-2</v>
      </c>
    </row>
    <row r="678" spans="1:20" x14ac:dyDescent="0.25">
      <c r="A678" s="5">
        <v>43915</v>
      </c>
      <c r="B678">
        <v>0.15160000000000001</v>
      </c>
      <c r="C678">
        <v>0.15720000000000001</v>
      </c>
      <c r="D678">
        <v>0.14680000000000001</v>
      </c>
      <c r="E678">
        <v>0.15720000000000001</v>
      </c>
      <c r="F678">
        <v>1884032.53</v>
      </c>
      <c r="G678">
        <v>0</v>
      </c>
      <c r="L678" t="s">
        <v>8</v>
      </c>
      <c r="M678" t="s">
        <v>7</v>
      </c>
      <c r="N678" t="s">
        <v>8</v>
      </c>
      <c r="P678">
        <f t="shared" si="994"/>
        <v>1</v>
      </c>
      <c r="Q678">
        <f t="shared" si="995"/>
        <v>1884032.53</v>
      </c>
      <c r="R678">
        <f t="shared" si="996"/>
        <v>7341642.5045183264</v>
      </c>
      <c r="S678">
        <f t="shared" si="997"/>
        <v>73.41642504518326</v>
      </c>
      <c r="T678">
        <f t="shared" si="998"/>
        <v>7.3416425045183253E-2</v>
      </c>
    </row>
    <row r="679" spans="1:20" x14ac:dyDescent="0.25">
      <c r="A679" s="5">
        <v>43914</v>
      </c>
      <c r="B679">
        <v>0.15160000000000001</v>
      </c>
      <c r="C679">
        <v>0.1583</v>
      </c>
      <c r="D679">
        <v>0.14599999999999999</v>
      </c>
      <c r="E679">
        <v>0.15160000000000001</v>
      </c>
      <c r="F679">
        <v>2567301.83</v>
      </c>
      <c r="G679">
        <v>0</v>
      </c>
      <c r="L679" t="s">
        <v>8</v>
      </c>
      <c r="M679" t="s">
        <v>7</v>
      </c>
      <c r="N679" t="s">
        <v>8</v>
      </c>
      <c r="P679">
        <f t="shared" si="994"/>
        <v>-8.9430894308939968E-2</v>
      </c>
      <c r="Q679">
        <f t="shared" si="995"/>
        <v>-229596.09861787816</v>
      </c>
      <c r="R679">
        <f t="shared" si="996"/>
        <v>5457609.9745183261</v>
      </c>
      <c r="S679">
        <f t="shared" si="997"/>
        <v>54.576099745183264</v>
      </c>
      <c r="T679">
        <f t="shared" si="998"/>
        <v>5.4576099745183265E-2</v>
      </c>
    </row>
    <row r="680" spans="1:20" x14ac:dyDescent="0.25">
      <c r="A680" s="5">
        <v>43913</v>
      </c>
      <c r="B680">
        <v>0.13969999999999999</v>
      </c>
      <c r="C680">
        <v>0.15459999999999999</v>
      </c>
      <c r="D680">
        <v>0.13789999999999999</v>
      </c>
      <c r="E680">
        <v>0.1515</v>
      </c>
      <c r="F680">
        <v>1675948.18</v>
      </c>
      <c r="G680">
        <v>0</v>
      </c>
      <c r="L680" t="s">
        <v>7</v>
      </c>
      <c r="M680" t="s">
        <v>7</v>
      </c>
      <c r="N680" t="s">
        <v>8</v>
      </c>
      <c r="P680">
        <f t="shared" si="994"/>
        <v>0.62874251497006073</v>
      </c>
      <c r="Q680">
        <f t="shared" si="995"/>
        <v>1053739.8736526959</v>
      </c>
      <c r="R680">
        <f t="shared" si="996"/>
        <v>5687206.0731362039</v>
      </c>
      <c r="S680">
        <f t="shared" si="997"/>
        <v>56.872060731362041</v>
      </c>
      <c r="T680">
        <f t="shared" si="998"/>
        <v>5.6872060731362042E-2</v>
      </c>
    </row>
    <row r="681" spans="1:20" x14ac:dyDescent="0.25">
      <c r="A681" s="5">
        <v>43912</v>
      </c>
      <c r="B681">
        <v>0.1545</v>
      </c>
      <c r="C681">
        <v>0.1595</v>
      </c>
      <c r="D681">
        <v>0.1396</v>
      </c>
      <c r="E681">
        <v>0.14050000000000001</v>
      </c>
      <c r="F681">
        <v>1634945.6</v>
      </c>
      <c r="G681">
        <v>0</v>
      </c>
      <c r="L681" t="s">
        <v>7</v>
      </c>
      <c r="M681" t="s">
        <v>7</v>
      </c>
      <c r="N681" t="s">
        <v>8</v>
      </c>
      <c r="P681">
        <f t="shared" si="994"/>
        <v>-0.90954773869346617</v>
      </c>
      <c r="Q681">
        <f t="shared" si="995"/>
        <v>-1487061.0733668325</v>
      </c>
      <c r="R681">
        <f t="shared" si="996"/>
        <v>4633466.1994835082</v>
      </c>
      <c r="S681">
        <f t="shared" si="997"/>
        <v>46.334661994835081</v>
      </c>
      <c r="T681">
        <f t="shared" si="998"/>
        <v>4.6334661994835082E-2</v>
      </c>
    </row>
    <row r="682" spans="1:20" x14ac:dyDescent="0.25">
      <c r="A682" s="5">
        <v>43911</v>
      </c>
      <c r="B682">
        <v>0.1512</v>
      </c>
      <c r="C682">
        <v>0.15859999999999999</v>
      </c>
      <c r="D682">
        <v>0.14630000000000001</v>
      </c>
      <c r="E682">
        <v>0.1552</v>
      </c>
      <c r="F682">
        <v>1775600.94</v>
      </c>
      <c r="G682">
        <v>0</v>
      </c>
      <c r="L682" t="s">
        <v>7</v>
      </c>
      <c r="M682" t="s">
        <v>7</v>
      </c>
      <c r="N682" t="s">
        <v>8</v>
      </c>
      <c r="P682">
        <f t="shared" si="994"/>
        <v>0.44715447154471666</v>
      </c>
      <c r="Q682">
        <f t="shared" si="995"/>
        <v>793967.90000000212</v>
      </c>
      <c r="R682">
        <f t="shared" si="996"/>
        <v>6120527.2728503402</v>
      </c>
      <c r="S682">
        <f t="shared" si="997"/>
        <v>61.205272728503402</v>
      </c>
      <c r="T682">
        <f t="shared" si="998"/>
        <v>6.1205272728503402E-2</v>
      </c>
    </row>
    <row r="683" spans="1:20" x14ac:dyDescent="0.25">
      <c r="A683" s="5">
        <v>43910</v>
      </c>
      <c r="B683">
        <v>0.1628</v>
      </c>
      <c r="C683">
        <v>0.1774</v>
      </c>
      <c r="D683">
        <v>0.14000000000000001</v>
      </c>
      <c r="E683">
        <v>0.15210000000000001</v>
      </c>
      <c r="F683">
        <v>3795974.75</v>
      </c>
      <c r="G683">
        <v>0</v>
      </c>
      <c r="L683" t="s">
        <v>8</v>
      </c>
      <c r="M683" t="s">
        <v>8</v>
      </c>
      <c r="N683" t="s">
        <v>8</v>
      </c>
      <c r="P683">
        <f t="shared" si="994"/>
        <v>-0.35294117647058804</v>
      </c>
      <c r="Q683">
        <f t="shared" si="995"/>
        <v>-1339755.7941176463</v>
      </c>
      <c r="R683">
        <f t="shared" si="996"/>
        <v>5326559.372850338</v>
      </c>
      <c r="S683">
        <f t="shared" si="997"/>
        <v>53.265593728503383</v>
      </c>
      <c r="T683">
        <f t="shared" si="998"/>
        <v>5.3265593728503383E-2</v>
      </c>
    </row>
    <row r="684" spans="1:20" x14ac:dyDescent="0.25">
      <c r="A684" s="5">
        <v>43909</v>
      </c>
      <c r="B684">
        <v>0.1462</v>
      </c>
      <c r="C684">
        <v>0.16839999999999999</v>
      </c>
      <c r="D684">
        <v>0.13</v>
      </c>
      <c r="E684">
        <v>0.16259999999999999</v>
      </c>
      <c r="F684">
        <v>3247781.71</v>
      </c>
      <c r="G684">
        <v>0</v>
      </c>
      <c r="L684" t="s">
        <v>7</v>
      </c>
      <c r="M684" t="s">
        <v>8</v>
      </c>
      <c r="N684" t="s">
        <v>8</v>
      </c>
      <c r="P684">
        <f t="shared" si="994"/>
        <v>0.69791666666666663</v>
      </c>
      <c r="Q684">
        <f t="shared" si="995"/>
        <v>2266680.9851041664</v>
      </c>
      <c r="R684">
        <f t="shared" si="996"/>
        <v>6666315.1669679843</v>
      </c>
      <c r="S684">
        <f t="shared" si="997"/>
        <v>66.663151669679849</v>
      </c>
      <c r="T684">
        <f t="shared" si="998"/>
        <v>6.6663151669679843E-2</v>
      </c>
    </row>
    <row r="685" spans="1:20" x14ac:dyDescent="0.25">
      <c r="A685" s="5">
        <v>43908</v>
      </c>
      <c r="B685">
        <v>0.1431</v>
      </c>
      <c r="C685">
        <v>0.14760000000000001</v>
      </c>
      <c r="D685">
        <v>0.13170000000000001</v>
      </c>
      <c r="E685">
        <v>0.14560000000000001</v>
      </c>
      <c r="F685">
        <v>1541109.27</v>
      </c>
      <c r="G685">
        <v>0</v>
      </c>
      <c r="L685" t="s">
        <v>7</v>
      </c>
      <c r="M685" t="s">
        <v>8</v>
      </c>
      <c r="N685" t="s">
        <v>8</v>
      </c>
      <c r="P685">
        <f t="shared" si="994"/>
        <v>0.74842767295597457</v>
      </c>
      <c r="Q685">
        <f t="shared" si="995"/>
        <v>1153408.8247169808</v>
      </c>
      <c r="R685">
        <f t="shared" si="996"/>
        <v>4399634.1818638174</v>
      </c>
      <c r="S685">
        <f t="shared" si="997"/>
        <v>43.996341818638172</v>
      </c>
      <c r="T685">
        <f t="shared" si="998"/>
        <v>4.3996341818638172E-2</v>
      </c>
    </row>
    <row r="686" spans="1:20" x14ac:dyDescent="0.25">
      <c r="A686" s="5">
        <v>43907</v>
      </c>
      <c r="B686">
        <v>0.1386</v>
      </c>
      <c r="C686">
        <v>0.15</v>
      </c>
      <c r="D686">
        <v>0.1361</v>
      </c>
      <c r="E686">
        <v>0.1426</v>
      </c>
      <c r="F686">
        <v>1873911.49</v>
      </c>
      <c r="G686">
        <v>0</v>
      </c>
      <c r="L686" t="s">
        <v>8</v>
      </c>
      <c r="M686" t="s">
        <v>8</v>
      </c>
      <c r="N686" t="s">
        <v>8</v>
      </c>
      <c r="P686">
        <f t="shared" si="994"/>
        <v>-6.4748201438847797E-2</v>
      </c>
      <c r="Q686">
        <f t="shared" si="995"/>
        <v>-121332.39863309142</v>
      </c>
      <c r="R686">
        <f t="shared" si="996"/>
        <v>3246225.3571468364</v>
      </c>
      <c r="S686">
        <f t="shared" si="997"/>
        <v>32.462253571468366</v>
      </c>
      <c r="T686">
        <f t="shared" si="998"/>
        <v>3.2462253571468369E-2</v>
      </c>
    </row>
    <row r="687" spans="1:20" x14ac:dyDescent="0.25">
      <c r="A687" s="5">
        <v>43906</v>
      </c>
      <c r="B687">
        <v>0.15709999999999999</v>
      </c>
      <c r="C687">
        <v>0.15790000000000001</v>
      </c>
      <c r="D687">
        <v>0.125</v>
      </c>
      <c r="E687">
        <v>0.1381</v>
      </c>
      <c r="F687">
        <v>3439044.03</v>
      </c>
      <c r="G687">
        <v>0</v>
      </c>
      <c r="L687" t="s">
        <v>7</v>
      </c>
      <c r="M687" t="s">
        <v>7</v>
      </c>
      <c r="N687" t="s">
        <v>8</v>
      </c>
      <c r="P687">
        <f t="shared" si="994"/>
        <v>-0.20364741641337414</v>
      </c>
      <c r="Q687">
        <f t="shared" si="995"/>
        <v>-700352.43164133828</v>
      </c>
      <c r="R687">
        <f t="shared" si="996"/>
        <v>3367557.7557799276</v>
      </c>
      <c r="S687">
        <f t="shared" si="997"/>
        <v>33.675577557799279</v>
      </c>
      <c r="T687">
        <f t="shared" si="998"/>
        <v>3.3675577557799277E-2</v>
      </c>
    </row>
    <row r="688" spans="1:20" x14ac:dyDescent="0.25">
      <c r="A688" s="5">
        <v>43905</v>
      </c>
      <c r="B688">
        <v>0.15709999999999999</v>
      </c>
      <c r="C688">
        <v>0.1719</v>
      </c>
      <c r="D688">
        <v>0.1532</v>
      </c>
      <c r="E688">
        <v>0.15840000000000001</v>
      </c>
      <c r="F688">
        <v>1599387.35</v>
      </c>
      <c r="G688">
        <v>0</v>
      </c>
      <c r="L688" t="s">
        <v>7</v>
      </c>
      <c r="M688" t="s">
        <v>8</v>
      </c>
      <c r="N688" t="s">
        <v>8</v>
      </c>
      <c r="P688">
        <f t="shared" si="994"/>
        <v>-0.44385026737967787</v>
      </c>
      <c r="Q688">
        <f t="shared" si="995"/>
        <v>-709888.50294117443</v>
      </c>
      <c r="R688">
        <f t="shared" si="996"/>
        <v>4067910.187421266</v>
      </c>
      <c r="S688">
        <f t="shared" si="997"/>
        <v>40.679101874212662</v>
      </c>
      <c r="T688">
        <f t="shared" si="998"/>
        <v>4.0679101874212663E-2</v>
      </c>
    </row>
    <row r="689" spans="1:20" x14ac:dyDescent="0.25">
      <c r="A689" s="5">
        <v>43904</v>
      </c>
      <c r="B689">
        <v>0.1678</v>
      </c>
      <c r="C689">
        <v>0.1729</v>
      </c>
      <c r="D689">
        <v>0.14960000000000001</v>
      </c>
      <c r="E689">
        <v>0.15690000000000001</v>
      </c>
      <c r="F689">
        <v>4955218.16</v>
      </c>
      <c r="G689">
        <v>0</v>
      </c>
      <c r="L689" t="s">
        <v>8</v>
      </c>
      <c r="M689" t="s">
        <v>8</v>
      </c>
      <c r="N689" t="s">
        <v>8</v>
      </c>
      <c r="P689">
        <f t="shared" si="994"/>
        <v>-0.37339055793991377</v>
      </c>
      <c r="Q689">
        <f t="shared" si="995"/>
        <v>-1850231.6734763929</v>
      </c>
      <c r="R689">
        <f t="shared" si="996"/>
        <v>4777798.6903624404</v>
      </c>
      <c r="S689">
        <f t="shared" si="997"/>
        <v>47.777986903624402</v>
      </c>
      <c r="T689">
        <f t="shared" si="998"/>
        <v>4.7777986903624399E-2</v>
      </c>
    </row>
    <row r="690" spans="1:20" x14ac:dyDescent="0.25">
      <c r="A690" s="5">
        <v>43903</v>
      </c>
      <c r="B690">
        <v>0.14660000000000001</v>
      </c>
      <c r="C690">
        <v>0.188</v>
      </c>
      <c r="D690">
        <v>0.1105</v>
      </c>
      <c r="E690">
        <v>0.16769999999999999</v>
      </c>
      <c r="F690">
        <v>8872752.5999999996</v>
      </c>
      <c r="G690">
        <v>0</v>
      </c>
      <c r="L690" t="s">
        <v>7</v>
      </c>
      <c r="M690" t="s">
        <v>7</v>
      </c>
      <c r="N690" t="s">
        <v>7</v>
      </c>
      <c r="P690">
        <f t="shared" si="994"/>
        <v>0.47612903225806419</v>
      </c>
      <c r="Q690">
        <f t="shared" si="995"/>
        <v>4224575.1089032227</v>
      </c>
      <c r="R690">
        <f t="shared" si="996"/>
        <v>6628030.3638388338</v>
      </c>
      <c r="S690">
        <f t="shared" si="997"/>
        <v>66.280303638388332</v>
      </c>
      <c r="T690">
        <f t="shared" si="998"/>
        <v>6.6280303638388327E-2</v>
      </c>
    </row>
    <row r="691" spans="1:20" x14ac:dyDescent="0.25">
      <c r="A691" s="5">
        <v>43902</v>
      </c>
      <c r="B691">
        <v>0.22689999999999999</v>
      </c>
      <c r="C691">
        <v>0.22989999999999999</v>
      </c>
      <c r="D691">
        <v>0.14000000000000001</v>
      </c>
      <c r="E691">
        <v>0.14660000000000001</v>
      </c>
      <c r="F691">
        <v>9765860.7400000002</v>
      </c>
      <c r="G691">
        <v>0</v>
      </c>
      <c r="L691" t="s">
        <v>7</v>
      </c>
      <c r="M691" t="s">
        <v>7</v>
      </c>
      <c r="N691" t="s">
        <v>7</v>
      </c>
      <c r="P691">
        <f t="shared" si="994"/>
        <v>-0.853170189098999</v>
      </c>
      <c r="Q691">
        <f t="shared" si="995"/>
        <v>-8331941.2542602904</v>
      </c>
      <c r="R691">
        <f t="shared" si="996"/>
        <v>2403455.254935611</v>
      </c>
      <c r="S691">
        <f t="shared" si="997"/>
        <v>24.034552549356111</v>
      </c>
      <c r="T691">
        <f t="shared" si="998"/>
        <v>2.403455254935611E-2</v>
      </c>
    </row>
    <row r="692" spans="1:20" x14ac:dyDescent="0.25">
      <c r="A692" s="5">
        <v>43901</v>
      </c>
      <c r="B692">
        <v>0.23830000000000001</v>
      </c>
      <c r="C692">
        <v>0.24909999999999999</v>
      </c>
      <c r="D692">
        <v>0.21179999999999999</v>
      </c>
      <c r="E692">
        <v>0.2266</v>
      </c>
      <c r="F692">
        <v>3989907.06</v>
      </c>
      <c r="G692">
        <v>0</v>
      </c>
      <c r="L692" t="s">
        <v>8</v>
      </c>
      <c r="M692" t="s">
        <v>8</v>
      </c>
      <c r="N692" t="s">
        <v>7</v>
      </c>
      <c r="P692">
        <f t="shared" si="994"/>
        <v>-0.20643431635388698</v>
      </c>
      <c r="Q692">
        <f t="shared" si="995"/>
        <v>-823653.7362466472</v>
      </c>
      <c r="R692">
        <f t="shared" si="996"/>
        <v>10735396.509195901</v>
      </c>
      <c r="S692">
        <f t="shared" si="997"/>
        <v>107.35396509195901</v>
      </c>
      <c r="T692">
        <f t="shared" si="998"/>
        <v>0.10735396509195901</v>
      </c>
    </row>
    <row r="693" spans="1:20" x14ac:dyDescent="0.25">
      <c r="A693" s="5">
        <v>43900</v>
      </c>
      <c r="B693">
        <v>0.2225</v>
      </c>
      <c r="C693">
        <v>0.24329999999999999</v>
      </c>
      <c r="D693">
        <v>0.2205</v>
      </c>
      <c r="E693">
        <v>0.2382</v>
      </c>
      <c r="F693">
        <v>2090722.94</v>
      </c>
      <c r="G693">
        <v>0</v>
      </c>
      <c r="L693" t="s">
        <v>8</v>
      </c>
      <c r="M693" t="s">
        <v>8</v>
      </c>
      <c r="N693" t="s">
        <v>7</v>
      </c>
      <c r="P693">
        <f t="shared" si="994"/>
        <v>0.5526315789473687</v>
      </c>
      <c r="Q693">
        <f t="shared" si="995"/>
        <v>1155399.5194736847</v>
      </c>
      <c r="R693">
        <f t="shared" si="996"/>
        <v>11559050.245442549</v>
      </c>
      <c r="S693">
        <f t="shared" si="997"/>
        <v>115.59050245442549</v>
      </c>
      <c r="T693">
        <f t="shared" si="998"/>
        <v>0.11559050245442549</v>
      </c>
    </row>
    <row r="694" spans="1:20" x14ac:dyDescent="0.25">
      <c r="A694" s="5">
        <v>43899</v>
      </c>
      <c r="B694">
        <v>0.22409999999999999</v>
      </c>
      <c r="C694">
        <v>0.24129999999999999</v>
      </c>
      <c r="D694">
        <v>0.20680000000000001</v>
      </c>
      <c r="E694">
        <v>0.22159999999999999</v>
      </c>
      <c r="F694">
        <v>5350520.09</v>
      </c>
      <c r="G694">
        <v>0</v>
      </c>
      <c r="L694" t="s">
        <v>7</v>
      </c>
      <c r="M694" t="s">
        <v>7</v>
      </c>
      <c r="N694" t="s">
        <v>7</v>
      </c>
      <c r="P694">
        <f t="shared" si="994"/>
        <v>-0.14202898550724694</v>
      </c>
      <c r="Q694">
        <f t="shared" si="995"/>
        <v>-759928.94031884358</v>
      </c>
      <c r="R694">
        <f t="shared" si="996"/>
        <v>10403650.725968864</v>
      </c>
      <c r="S694">
        <f t="shared" si="997"/>
        <v>104.03650725968863</v>
      </c>
      <c r="T694">
        <f t="shared" si="998"/>
        <v>0.10403650725968863</v>
      </c>
    </row>
    <row r="695" spans="1:20" x14ac:dyDescent="0.25">
      <c r="A695" s="5">
        <v>43898</v>
      </c>
      <c r="B695">
        <v>0.26250000000000001</v>
      </c>
      <c r="C695">
        <v>0.26250000000000001</v>
      </c>
      <c r="D695">
        <v>0.22359999999999999</v>
      </c>
      <c r="E695">
        <v>0.22489999999999999</v>
      </c>
      <c r="F695">
        <v>3155816.94</v>
      </c>
      <c r="G695">
        <v>0</v>
      </c>
      <c r="L695" t="s">
        <v>7</v>
      </c>
      <c r="M695" t="s">
        <v>7</v>
      </c>
      <c r="N695" t="s">
        <v>7</v>
      </c>
      <c r="P695">
        <f t="shared" si="994"/>
        <v>-0.93316195372750665</v>
      </c>
      <c r="Q695">
        <f t="shared" si="995"/>
        <v>-2944888.3013367616</v>
      </c>
      <c r="R695">
        <f t="shared" si="996"/>
        <v>11163579.666287707</v>
      </c>
      <c r="S695">
        <f t="shared" si="997"/>
        <v>111.63579666287707</v>
      </c>
      <c r="T695">
        <f t="shared" si="998"/>
        <v>0.11163579666287707</v>
      </c>
    </row>
    <row r="696" spans="1:20" x14ac:dyDescent="0.25">
      <c r="A696" s="5">
        <v>43897</v>
      </c>
      <c r="B696">
        <v>0.28370000000000001</v>
      </c>
      <c r="C696">
        <v>0.28439999999999999</v>
      </c>
      <c r="D696">
        <v>0.25390000000000001</v>
      </c>
      <c r="E696">
        <v>0.26279999999999998</v>
      </c>
      <c r="F696">
        <v>1969314.42</v>
      </c>
      <c r="G696">
        <v>0</v>
      </c>
      <c r="L696" t="s">
        <v>7</v>
      </c>
      <c r="M696" t="s">
        <v>8</v>
      </c>
      <c r="N696" t="s">
        <v>7</v>
      </c>
      <c r="P696">
        <f t="shared" si="994"/>
        <v>-0.41639344262295269</v>
      </c>
      <c r="Q696">
        <f t="shared" si="995"/>
        <v>-820009.61095082329</v>
      </c>
      <c r="R696">
        <f t="shared" si="996"/>
        <v>14108467.967624469</v>
      </c>
      <c r="S696">
        <f t="shared" si="997"/>
        <v>141.08467967624469</v>
      </c>
      <c r="T696">
        <f t="shared" si="998"/>
        <v>0.14108467967624469</v>
      </c>
    </row>
    <row r="697" spans="1:20" x14ac:dyDescent="0.25">
      <c r="A697" s="5">
        <v>43896</v>
      </c>
      <c r="B697">
        <v>0.2757</v>
      </c>
      <c r="C697">
        <v>0.28499999999999998</v>
      </c>
      <c r="D697">
        <v>0.2631</v>
      </c>
      <c r="E697">
        <v>0.2838</v>
      </c>
      <c r="F697">
        <v>1761903.84</v>
      </c>
      <c r="G697">
        <v>0</v>
      </c>
      <c r="L697" t="s">
        <v>7</v>
      </c>
      <c r="M697" t="s">
        <v>8</v>
      </c>
      <c r="N697" t="s">
        <v>7</v>
      </c>
      <c r="P697">
        <f t="shared" si="994"/>
        <v>0.89041095890411137</v>
      </c>
      <c r="Q697">
        <f t="shared" si="995"/>
        <v>1568818.487671236</v>
      </c>
      <c r="R697">
        <f t="shared" si="996"/>
        <v>14928477.578575293</v>
      </c>
      <c r="S697">
        <f t="shared" si="997"/>
        <v>149.28477578575291</v>
      </c>
      <c r="T697">
        <f t="shared" si="998"/>
        <v>0.14928477578575292</v>
      </c>
    </row>
    <row r="698" spans="1:20" x14ac:dyDescent="0.25">
      <c r="A698" s="5">
        <v>43895</v>
      </c>
      <c r="B698">
        <v>0.26300000000000001</v>
      </c>
      <c r="C698">
        <v>0.28770000000000001</v>
      </c>
      <c r="D698">
        <v>0.26290000000000002</v>
      </c>
      <c r="E698">
        <v>0.27579999999999999</v>
      </c>
      <c r="F698">
        <v>2545355.7799999998</v>
      </c>
      <c r="G698">
        <v>0</v>
      </c>
      <c r="L698" t="s">
        <v>8</v>
      </c>
      <c r="M698" t="s">
        <v>8</v>
      </c>
      <c r="N698" t="s">
        <v>7</v>
      </c>
      <c r="P698">
        <f t="shared" si="994"/>
        <v>4.0322580645159103E-2</v>
      </c>
      <c r="Q698">
        <f t="shared" si="995"/>
        <v>102635.31370967184</v>
      </c>
      <c r="R698">
        <f t="shared" si="996"/>
        <v>13359659.090904057</v>
      </c>
      <c r="S698">
        <f t="shared" si="997"/>
        <v>133.59659090904057</v>
      </c>
      <c r="T698">
        <f t="shared" si="998"/>
        <v>0.13359659090904058</v>
      </c>
    </row>
    <row r="699" spans="1:20" x14ac:dyDescent="0.25">
      <c r="A699" s="5">
        <v>43894</v>
      </c>
      <c r="B699">
        <v>0.25430000000000003</v>
      </c>
      <c r="C699">
        <v>0.2661</v>
      </c>
      <c r="D699">
        <v>0.24890000000000001</v>
      </c>
      <c r="E699">
        <v>0.26329999999999998</v>
      </c>
      <c r="F699">
        <v>1425345.25</v>
      </c>
      <c r="G699">
        <v>0</v>
      </c>
      <c r="L699" t="s">
        <v>8</v>
      </c>
      <c r="M699" t="s">
        <v>8</v>
      </c>
      <c r="N699" t="s">
        <v>7</v>
      </c>
      <c r="P699">
        <f t="shared" si="994"/>
        <v>0.67441860465115977</v>
      </c>
      <c r="Q699">
        <f t="shared" si="995"/>
        <v>961279.35465115844</v>
      </c>
      <c r="R699">
        <f t="shared" si="996"/>
        <v>13257023.777194384</v>
      </c>
      <c r="S699">
        <f t="shared" si="997"/>
        <v>132.57023777194385</v>
      </c>
      <c r="T699">
        <f t="shared" si="998"/>
        <v>0.13257023777194385</v>
      </c>
    </row>
    <row r="700" spans="1:20" x14ac:dyDescent="0.25">
      <c r="A700" s="5">
        <v>43893</v>
      </c>
      <c r="B700">
        <v>0.2505</v>
      </c>
      <c r="C700">
        <v>0.2545</v>
      </c>
      <c r="D700">
        <v>0.2409</v>
      </c>
      <c r="E700">
        <v>0.25430000000000003</v>
      </c>
      <c r="F700">
        <v>1030799.93</v>
      </c>
      <c r="G700">
        <v>0</v>
      </c>
      <c r="L700" t="s">
        <v>8</v>
      </c>
      <c r="M700" t="s">
        <v>8</v>
      </c>
      <c r="N700" t="s">
        <v>7</v>
      </c>
      <c r="P700">
        <f t="shared" si="994"/>
        <v>0.97058823529412086</v>
      </c>
      <c r="Q700">
        <f t="shared" si="995"/>
        <v>1000482.2850000034</v>
      </c>
      <c r="R700">
        <f t="shared" si="996"/>
        <v>12295744.422543226</v>
      </c>
      <c r="S700">
        <f t="shared" si="997"/>
        <v>122.95744422543225</v>
      </c>
      <c r="T700">
        <f t="shared" si="998"/>
        <v>0.12295744422543226</v>
      </c>
    </row>
    <row r="701" spans="1:20" x14ac:dyDescent="0.25">
      <c r="A701" s="5">
        <v>43892</v>
      </c>
      <c r="B701">
        <v>0.2291</v>
      </c>
      <c r="C701">
        <v>0.25729999999999997</v>
      </c>
      <c r="D701">
        <v>0.2291</v>
      </c>
      <c r="E701">
        <v>0.2505</v>
      </c>
      <c r="F701">
        <v>1791318.13</v>
      </c>
      <c r="G701">
        <v>0</v>
      </c>
      <c r="L701" t="s">
        <v>8</v>
      </c>
      <c r="M701" t="s">
        <v>8</v>
      </c>
      <c r="N701" t="s">
        <v>7</v>
      </c>
      <c r="P701">
        <f t="shared" si="994"/>
        <v>0.51773049645390223</v>
      </c>
      <c r="Q701">
        <f t="shared" si="995"/>
        <v>927420.02475177567</v>
      </c>
      <c r="R701">
        <f t="shared" si="996"/>
        <v>11295262.137543222</v>
      </c>
      <c r="S701">
        <f t="shared" si="997"/>
        <v>112.95262137543222</v>
      </c>
      <c r="T701">
        <f t="shared" si="998"/>
        <v>0.11295262137543222</v>
      </c>
    </row>
    <row r="702" spans="1:20" x14ac:dyDescent="0.25">
      <c r="A702" s="5">
        <v>43891</v>
      </c>
      <c r="B702">
        <v>0.2293</v>
      </c>
      <c r="C702">
        <v>0.2387</v>
      </c>
      <c r="D702">
        <v>0.22450000000000001</v>
      </c>
      <c r="E702">
        <v>0.23</v>
      </c>
      <c r="F702">
        <v>1298332.72</v>
      </c>
      <c r="G702">
        <v>0</v>
      </c>
      <c r="L702" t="s">
        <v>7</v>
      </c>
      <c r="M702" t="s">
        <v>8</v>
      </c>
      <c r="N702" t="s">
        <v>7</v>
      </c>
      <c r="P702">
        <f t="shared" si="994"/>
        <v>-0.22535211267605512</v>
      </c>
      <c r="Q702">
        <f t="shared" si="995"/>
        <v>-292582.0214084491</v>
      </c>
      <c r="R702">
        <f t="shared" si="996"/>
        <v>10367842.112791447</v>
      </c>
      <c r="S702">
        <f t="shared" si="997"/>
        <v>103.67842112791448</v>
      </c>
      <c r="T702">
        <f t="shared" si="998"/>
        <v>0.10367842112791448</v>
      </c>
    </row>
    <row r="703" spans="1:20" x14ac:dyDescent="0.25">
      <c r="A703" s="5">
        <v>43890</v>
      </c>
      <c r="B703">
        <v>0.23810000000000001</v>
      </c>
      <c r="C703">
        <v>0.2429</v>
      </c>
      <c r="D703">
        <v>0.22850000000000001</v>
      </c>
      <c r="E703">
        <v>0.2288</v>
      </c>
      <c r="F703">
        <v>729670.52</v>
      </c>
      <c r="G703">
        <v>0</v>
      </c>
      <c r="L703" t="s">
        <v>8</v>
      </c>
      <c r="M703" t="s">
        <v>8</v>
      </c>
      <c r="N703" t="s">
        <v>7</v>
      </c>
      <c r="P703">
        <f t="shared" si="994"/>
        <v>-0.95833333333333404</v>
      </c>
      <c r="Q703">
        <f t="shared" si="995"/>
        <v>-699267.58166666725</v>
      </c>
      <c r="R703">
        <f t="shared" si="996"/>
        <v>10660424.134199897</v>
      </c>
      <c r="S703">
        <f t="shared" si="997"/>
        <v>106.60424134199897</v>
      </c>
      <c r="T703">
        <f t="shared" si="998"/>
        <v>0.10660424134199897</v>
      </c>
    </row>
    <row r="704" spans="1:20" x14ac:dyDescent="0.25">
      <c r="A704" s="5">
        <v>43889</v>
      </c>
      <c r="B704">
        <v>0.245</v>
      </c>
      <c r="C704">
        <v>0.25290000000000001</v>
      </c>
      <c r="D704">
        <v>0.22509999999999999</v>
      </c>
      <c r="E704">
        <v>0.23799999999999999</v>
      </c>
      <c r="F704">
        <v>1904144.4</v>
      </c>
      <c r="G704">
        <v>0</v>
      </c>
      <c r="L704" t="s">
        <v>7</v>
      </c>
      <c r="M704" t="s">
        <v>8</v>
      </c>
      <c r="N704" t="s">
        <v>7</v>
      </c>
      <c r="P704">
        <f t="shared" si="994"/>
        <v>-7.1942446043166478E-2</v>
      </c>
      <c r="Q704">
        <f t="shared" si="995"/>
        <v>-136988.8057553976</v>
      </c>
      <c r="R704">
        <f t="shared" si="996"/>
        <v>11359691.715866564</v>
      </c>
      <c r="S704">
        <f t="shared" si="997"/>
        <v>113.59691715866563</v>
      </c>
      <c r="T704">
        <f t="shared" si="998"/>
        <v>0.11359691715866563</v>
      </c>
    </row>
    <row r="705" spans="1:20" x14ac:dyDescent="0.25">
      <c r="A705" s="5">
        <v>43888</v>
      </c>
      <c r="B705">
        <v>0.23250000000000001</v>
      </c>
      <c r="C705">
        <v>0.25840000000000002</v>
      </c>
      <c r="D705">
        <v>0.21740000000000001</v>
      </c>
      <c r="E705">
        <v>0.24410000000000001</v>
      </c>
      <c r="F705">
        <v>2475732.83</v>
      </c>
      <c r="G705">
        <v>0</v>
      </c>
      <c r="L705" t="s">
        <v>8</v>
      </c>
      <c r="M705" t="s">
        <v>8</v>
      </c>
      <c r="N705" t="s">
        <v>7</v>
      </c>
      <c r="P705">
        <f t="shared" si="994"/>
        <v>0.30243902439024373</v>
      </c>
      <c r="Q705">
        <f t="shared" si="995"/>
        <v>748758.22175609716</v>
      </c>
      <c r="R705">
        <f t="shared" si="996"/>
        <v>11496680.521621961</v>
      </c>
      <c r="S705">
        <f t="shared" si="997"/>
        <v>114.96680521621961</v>
      </c>
      <c r="T705">
        <f t="shared" si="998"/>
        <v>0.11496680521621962</v>
      </c>
    </row>
    <row r="706" spans="1:20" x14ac:dyDescent="0.25">
      <c r="A706" s="5">
        <v>43887</v>
      </c>
      <c r="B706">
        <v>0.25219999999999998</v>
      </c>
      <c r="C706">
        <v>0.2535</v>
      </c>
      <c r="D706">
        <v>0.21759999999999999</v>
      </c>
      <c r="E706">
        <v>0.2351</v>
      </c>
      <c r="F706">
        <v>2832114.76</v>
      </c>
      <c r="G706">
        <v>0</v>
      </c>
      <c r="L706" t="s">
        <v>7</v>
      </c>
      <c r="M706" t="s">
        <v>7</v>
      </c>
      <c r="N706" t="s">
        <v>7</v>
      </c>
      <c r="P706">
        <f t="shared" si="994"/>
        <v>-2.5069637883007905E-2</v>
      </c>
      <c r="Q706">
        <f t="shared" si="995"/>
        <v>-71000.091476321832</v>
      </c>
      <c r="R706">
        <f t="shared" si="996"/>
        <v>10747922.299865864</v>
      </c>
      <c r="S706">
        <f t="shared" si="997"/>
        <v>107.47922299865864</v>
      </c>
      <c r="T706">
        <f t="shared" si="998"/>
        <v>0.10747922299865864</v>
      </c>
    </row>
    <row r="707" spans="1:20" x14ac:dyDescent="0.25">
      <c r="A707" s="5">
        <v>43886</v>
      </c>
      <c r="B707">
        <v>0.26829999999999998</v>
      </c>
      <c r="C707">
        <v>0.26850000000000002</v>
      </c>
      <c r="D707">
        <v>0.24379999999999999</v>
      </c>
      <c r="E707">
        <v>0.2525</v>
      </c>
      <c r="F707">
        <v>2915257.04</v>
      </c>
      <c r="G707">
        <v>0</v>
      </c>
      <c r="L707" t="s">
        <v>7</v>
      </c>
      <c r="M707" t="s">
        <v>7</v>
      </c>
      <c r="N707" t="s">
        <v>7</v>
      </c>
      <c r="P707">
        <f t="shared" si="994"/>
        <v>-0.29554655870445318</v>
      </c>
      <c r="Q707">
        <f t="shared" si="995"/>
        <v>-861594.18591093039</v>
      </c>
      <c r="R707">
        <f t="shared" si="996"/>
        <v>10818922.391342185</v>
      </c>
      <c r="S707">
        <f t="shared" si="997"/>
        <v>108.18922391342186</v>
      </c>
      <c r="T707">
        <f t="shared" si="998"/>
        <v>0.10818922391342185</v>
      </c>
    </row>
    <row r="708" spans="1:20" x14ac:dyDescent="0.25">
      <c r="A708" s="5">
        <v>43885</v>
      </c>
      <c r="B708">
        <v>0.28839999999999999</v>
      </c>
      <c r="C708">
        <v>0.29149999999999998</v>
      </c>
      <c r="D708">
        <v>0.2616</v>
      </c>
      <c r="E708">
        <v>0.26750000000000002</v>
      </c>
      <c r="F708">
        <v>1950196.78</v>
      </c>
      <c r="G708">
        <v>0</v>
      </c>
      <c r="L708" t="s">
        <v>7</v>
      </c>
      <c r="M708" t="s">
        <v>7</v>
      </c>
      <c r="N708" t="s">
        <v>7</v>
      </c>
      <c r="P708">
        <f t="shared" si="994"/>
        <v>-0.60535117056856058</v>
      </c>
      <c r="Q708">
        <f t="shared" si="995"/>
        <v>-1180553.9036120377</v>
      </c>
      <c r="R708">
        <f t="shared" si="996"/>
        <v>11680516.577253116</v>
      </c>
      <c r="S708">
        <f t="shared" si="997"/>
        <v>116.80516577253117</v>
      </c>
      <c r="T708">
        <f t="shared" si="998"/>
        <v>0.11680516577253117</v>
      </c>
    </row>
    <row r="709" spans="1:20" x14ac:dyDescent="0.25">
      <c r="A709" s="5">
        <v>43884</v>
      </c>
      <c r="B709">
        <v>0.28079999999999999</v>
      </c>
      <c r="C709">
        <v>0.29189999999999999</v>
      </c>
      <c r="D709">
        <v>0.27800000000000002</v>
      </c>
      <c r="E709">
        <v>0.2878</v>
      </c>
      <c r="F709">
        <v>1006291.86</v>
      </c>
      <c r="G709">
        <v>0</v>
      </c>
      <c r="L709" t="s">
        <v>7</v>
      </c>
      <c r="M709" t="s">
        <v>7</v>
      </c>
      <c r="N709" t="s">
        <v>7</v>
      </c>
      <c r="P709">
        <f t="shared" si="994"/>
        <v>0.41007194244604289</v>
      </c>
      <c r="Q709">
        <f t="shared" si="995"/>
        <v>412652.05769784143</v>
      </c>
      <c r="R709">
        <f t="shared" si="996"/>
        <v>12861070.480865154</v>
      </c>
      <c r="S709">
        <f t="shared" si="997"/>
        <v>128.61070480865155</v>
      </c>
      <c r="T709">
        <f t="shared" si="998"/>
        <v>0.12861070480865155</v>
      </c>
    </row>
    <row r="710" spans="1:20" x14ac:dyDescent="0.25">
      <c r="A710" s="5">
        <v>43883</v>
      </c>
      <c r="B710">
        <v>0.28810000000000002</v>
      </c>
      <c r="C710">
        <v>0.28810000000000002</v>
      </c>
      <c r="D710">
        <v>0.27439999999999998</v>
      </c>
      <c r="E710">
        <v>0.28110000000000002</v>
      </c>
      <c r="F710">
        <v>1497141.64</v>
      </c>
      <c r="G710">
        <v>0</v>
      </c>
      <c r="L710" t="s">
        <v>7</v>
      </c>
      <c r="M710" t="s">
        <v>7</v>
      </c>
      <c r="N710" t="s">
        <v>7</v>
      </c>
      <c r="P710">
        <f t="shared" ref="P710:P766" si="999">IF(C710=D710,0,((E710-D710)-(C710-E710))/(C710-D710))</f>
        <v>-2.1897810218975619E-2</v>
      </c>
      <c r="Q710">
        <f t="shared" ref="Q710:Q766" si="1000">F710*P710</f>
        <v>-32784.123503645918</v>
      </c>
      <c r="R710">
        <f t="shared" ref="R710:R766" si="1001">R711+Q710</f>
        <v>12448418.423167313</v>
      </c>
      <c r="S710">
        <f t="shared" ref="S710:S766" si="1002">R710/100000</f>
        <v>124.48418423167313</v>
      </c>
      <c r="T710">
        <f t="shared" ref="T710:T766" si="1003">S710/1000</f>
        <v>0.12448418423167312</v>
      </c>
    </row>
    <row r="711" spans="1:20" x14ac:dyDescent="0.25">
      <c r="A711" s="5">
        <v>43882</v>
      </c>
      <c r="B711">
        <v>0.27800000000000002</v>
      </c>
      <c r="C711">
        <v>0.29880000000000001</v>
      </c>
      <c r="D711">
        <v>0.27560000000000001</v>
      </c>
      <c r="E711">
        <v>0.28820000000000001</v>
      </c>
      <c r="F711">
        <v>2408429.61</v>
      </c>
      <c r="G711">
        <v>0</v>
      </c>
      <c r="L711" t="s">
        <v>8</v>
      </c>
      <c r="M711" t="s">
        <v>7</v>
      </c>
      <c r="N711" t="s">
        <v>7</v>
      </c>
      <c r="P711">
        <f t="shared" si="999"/>
        <v>8.6206896551724227E-2</v>
      </c>
      <c r="Q711">
        <f t="shared" si="1000"/>
        <v>207623.24224137951</v>
      </c>
      <c r="R711">
        <f t="shared" si="1001"/>
        <v>12481202.546670958</v>
      </c>
      <c r="S711">
        <f t="shared" si="1002"/>
        <v>124.81202546670958</v>
      </c>
      <c r="T711">
        <f t="shared" si="1003"/>
        <v>0.12481202546670958</v>
      </c>
    </row>
    <row r="712" spans="1:20" x14ac:dyDescent="0.25">
      <c r="A712" s="5">
        <v>43881</v>
      </c>
      <c r="B712">
        <v>0.27960000000000002</v>
      </c>
      <c r="C712">
        <v>0.28870000000000001</v>
      </c>
      <c r="D712">
        <v>0.26250000000000001</v>
      </c>
      <c r="E712">
        <v>0.27800000000000002</v>
      </c>
      <c r="F712">
        <v>2719737.45</v>
      </c>
      <c r="G712">
        <v>0</v>
      </c>
      <c r="L712" t="s">
        <v>7</v>
      </c>
      <c r="M712" t="s">
        <v>7</v>
      </c>
      <c r="N712" t="s">
        <v>7</v>
      </c>
      <c r="P712">
        <f t="shared" si="999"/>
        <v>0.18320610687023001</v>
      </c>
      <c r="Q712">
        <f t="shared" si="1000"/>
        <v>498272.50992366689</v>
      </c>
      <c r="R712">
        <f t="shared" si="1001"/>
        <v>12273579.30442958</v>
      </c>
      <c r="S712">
        <f t="shared" si="1002"/>
        <v>122.73579304429579</v>
      </c>
      <c r="T712">
        <f t="shared" si="1003"/>
        <v>0.12273579304429579</v>
      </c>
    </row>
    <row r="713" spans="1:20" x14ac:dyDescent="0.25">
      <c r="A713" s="5">
        <v>43880</v>
      </c>
      <c r="B713">
        <v>0.30730000000000002</v>
      </c>
      <c r="C713">
        <v>0.30759999999999998</v>
      </c>
      <c r="D713">
        <v>0.26690000000000003</v>
      </c>
      <c r="E713">
        <v>0.27979999999999999</v>
      </c>
      <c r="F713">
        <v>2578698.38</v>
      </c>
      <c r="G713">
        <v>0</v>
      </c>
      <c r="L713" t="s">
        <v>7</v>
      </c>
      <c r="M713" t="s">
        <v>7</v>
      </c>
      <c r="N713" t="s">
        <v>7</v>
      </c>
      <c r="P713">
        <f t="shared" si="999"/>
        <v>-0.36609336609336707</v>
      </c>
      <c r="Q713">
        <f t="shared" si="1000"/>
        <v>-944044.37007371255</v>
      </c>
      <c r="R713">
        <f t="shared" si="1001"/>
        <v>11775306.794505913</v>
      </c>
      <c r="S713">
        <f t="shared" si="1002"/>
        <v>117.75306794505913</v>
      </c>
      <c r="T713">
        <f t="shared" si="1003"/>
        <v>0.11775306794505913</v>
      </c>
    </row>
    <row r="714" spans="1:20" x14ac:dyDescent="0.25">
      <c r="A714" s="5">
        <v>43879</v>
      </c>
      <c r="B714">
        <v>0.29170000000000001</v>
      </c>
      <c r="C714">
        <v>0.31440000000000001</v>
      </c>
      <c r="D714">
        <v>0.28149999999999997</v>
      </c>
      <c r="E714">
        <v>0.30730000000000002</v>
      </c>
      <c r="F714">
        <v>3126233.02</v>
      </c>
      <c r="G714">
        <v>0</v>
      </c>
      <c r="L714" t="s">
        <v>8</v>
      </c>
      <c r="M714" t="s">
        <v>8</v>
      </c>
      <c r="N714" t="s">
        <v>7</v>
      </c>
      <c r="P714">
        <f t="shared" si="999"/>
        <v>0.56838905775076065</v>
      </c>
      <c r="Q714">
        <f t="shared" si="1000"/>
        <v>1776916.6405471149</v>
      </c>
      <c r="R714">
        <f t="shared" si="1001"/>
        <v>12719351.164579626</v>
      </c>
      <c r="S714">
        <f t="shared" si="1002"/>
        <v>127.19351164579626</v>
      </c>
      <c r="T714">
        <f t="shared" si="1003"/>
        <v>0.12719351164579626</v>
      </c>
    </row>
    <row r="715" spans="1:20" x14ac:dyDescent="0.25">
      <c r="A715" s="5">
        <v>43878</v>
      </c>
      <c r="B715">
        <v>0.2984</v>
      </c>
      <c r="C715">
        <v>0.2984</v>
      </c>
      <c r="D715">
        <v>0.2596</v>
      </c>
      <c r="E715">
        <v>0.2918</v>
      </c>
      <c r="F715">
        <v>6328697.4199999999</v>
      </c>
      <c r="G715">
        <v>0</v>
      </c>
      <c r="L715" t="s">
        <v>7</v>
      </c>
      <c r="M715" t="s">
        <v>7</v>
      </c>
      <c r="N715" t="s">
        <v>7</v>
      </c>
      <c r="P715">
        <f t="shared" si="999"/>
        <v>0.65979381443299001</v>
      </c>
      <c r="Q715">
        <f t="shared" si="1000"/>
        <v>4175635.4111340228</v>
      </c>
      <c r="R715">
        <f t="shared" si="1001"/>
        <v>10942434.524032511</v>
      </c>
      <c r="S715">
        <f t="shared" si="1002"/>
        <v>109.42434524032511</v>
      </c>
      <c r="T715">
        <f t="shared" si="1003"/>
        <v>0.10942434524032511</v>
      </c>
    </row>
    <row r="716" spans="1:20" x14ac:dyDescent="0.25">
      <c r="A716" s="5">
        <v>43877</v>
      </c>
      <c r="B716">
        <v>0.31990000000000002</v>
      </c>
      <c r="C716">
        <v>0.33169999999999999</v>
      </c>
      <c r="D716">
        <v>0.27339999999999998</v>
      </c>
      <c r="E716">
        <v>0.2984</v>
      </c>
      <c r="F716">
        <v>7734429.5199999996</v>
      </c>
      <c r="G716">
        <v>0</v>
      </c>
      <c r="L716" t="s">
        <v>7</v>
      </c>
      <c r="M716" t="s">
        <v>7</v>
      </c>
      <c r="N716" t="s">
        <v>8</v>
      </c>
      <c r="P716">
        <f t="shared" si="999"/>
        <v>-0.14236706689536829</v>
      </c>
      <c r="Q716">
        <f t="shared" si="1000"/>
        <v>-1101128.0448713512</v>
      </c>
      <c r="R716">
        <f t="shared" si="1001"/>
        <v>6766799.1128984876</v>
      </c>
      <c r="S716">
        <f t="shared" si="1002"/>
        <v>67.66799112898488</v>
      </c>
      <c r="T716">
        <f t="shared" si="1003"/>
        <v>6.7667991128984875E-2</v>
      </c>
    </row>
    <row r="717" spans="1:20" x14ac:dyDescent="0.25">
      <c r="A717" s="5">
        <v>43876</v>
      </c>
      <c r="B717">
        <v>0.34610000000000002</v>
      </c>
      <c r="C717">
        <v>0.3579</v>
      </c>
      <c r="D717">
        <v>0.29559999999999997</v>
      </c>
      <c r="E717">
        <v>0.3201</v>
      </c>
      <c r="F717">
        <v>6329083.9900000002</v>
      </c>
      <c r="G717">
        <v>0</v>
      </c>
      <c r="L717" t="s">
        <v>8</v>
      </c>
      <c r="M717" t="s">
        <v>8</v>
      </c>
      <c r="N717" t="s">
        <v>8</v>
      </c>
      <c r="P717">
        <f t="shared" si="999"/>
        <v>-0.21348314606741531</v>
      </c>
      <c r="Q717">
        <f t="shared" si="1000"/>
        <v>-1351152.7619101098</v>
      </c>
      <c r="R717">
        <f t="shared" si="1001"/>
        <v>7867927.1577698393</v>
      </c>
      <c r="S717">
        <f t="shared" si="1002"/>
        <v>78.679271577698387</v>
      </c>
      <c r="T717">
        <f t="shared" si="1003"/>
        <v>7.8679271577698384E-2</v>
      </c>
    </row>
    <row r="718" spans="1:20" x14ac:dyDescent="0.25">
      <c r="A718" s="5">
        <v>43875</v>
      </c>
      <c r="B718">
        <v>0.31909999999999999</v>
      </c>
      <c r="C718">
        <v>0.35289999999999999</v>
      </c>
      <c r="D718">
        <v>0.311</v>
      </c>
      <c r="E718">
        <v>0.34610000000000002</v>
      </c>
      <c r="F718">
        <v>9213060.8200000003</v>
      </c>
      <c r="G718">
        <v>0</v>
      </c>
      <c r="L718" t="s">
        <v>8</v>
      </c>
      <c r="M718" t="s">
        <v>8</v>
      </c>
      <c r="N718" t="s">
        <v>8</v>
      </c>
      <c r="P718">
        <f t="shared" si="999"/>
        <v>0.67541766109785328</v>
      </c>
      <c r="Q718">
        <f t="shared" si="1000"/>
        <v>6222663.9905966707</v>
      </c>
      <c r="R718">
        <f t="shared" si="1001"/>
        <v>9219079.9196799491</v>
      </c>
      <c r="S718">
        <f t="shared" si="1002"/>
        <v>92.190799196799489</v>
      </c>
      <c r="T718">
        <f t="shared" si="1003"/>
        <v>9.2190799196799483E-2</v>
      </c>
    </row>
    <row r="719" spans="1:20" x14ac:dyDescent="0.25">
      <c r="A719" s="5">
        <v>43874</v>
      </c>
      <c r="B719">
        <v>0.31090000000000001</v>
      </c>
      <c r="C719">
        <v>0.33289999999999997</v>
      </c>
      <c r="D719">
        <v>0.28760000000000002</v>
      </c>
      <c r="E719">
        <v>0.31979999999999997</v>
      </c>
      <c r="F719">
        <v>7273489.8300000001</v>
      </c>
      <c r="G719">
        <v>0</v>
      </c>
      <c r="L719" t="s">
        <v>8</v>
      </c>
      <c r="M719" t="s">
        <v>8</v>
      </c>
      <c r="N719" t="s">
        <v>8</v>
      </c>
      <c r="P719">
        <f t="shared" si="999"/>
        <v>0.42163355408388459</v>
      </c>
      <c r="Q719">
        <f t="shared" si="1000"/>
        <v>3066747.3676158898</v>
      </c>
      <c r="R719">
        <f t="shared" si="1001"/>
        <v>2996415.9290832784</v>
      </c>
      <c r="S719">
        <f t="shared" si="1002"/>
        <v>29.964159290832782</v>
      </c>
      <c r="T719">
        <f t="shared" si="1003"/>
        <v>2.9964159290832782E-2</v>
      </c>
    </row>
    <row r="720" spans="1:20" x14ac:dyDescent="0.25">
      <c r="A720" s="5">
        <v>43873</v>
      </c>
      <c r="B720">
        <v>0.3024</v>
      </c>
      <c r="C720">
        <v>0.31769999999999998</v>
      </c>
      <c r="D720">
        <v>0.3</v>
      </c>
      <c r="E720">
        <v>0.31090000000000001</v>
      </c>
      <c r="F720">
        <v>4398580.87</v>
      </c>
      <c r="G720">
        <v>0</v>
      </c>
      <c r="L720" t="s">
        <v>8</v>
      </c>
      <c r="M720" t="s">
        <v>8</v>
      </c>
      <c r="N720" t="s">
        <v>8</v>
      </c>
      <c r="P720">
        <f t="shared" si="999"/>
        <v>0.23163841807909885</v>
      </c>
      <c r="Q720">
        <f t="shared" si="1000"/>
        <v>1018880.3145197864</v>
      </c>
      <c r="R720">
        <f t="shared" si="1001"/>
        <v>-70331.438532611239</v>
      </c>
      <c r="S720">
        <f t="shared" si="1002"/>
        <v>-0.70331438532611235</v>
      </c>
      <c r="T720">
        <f t="shared" si="1003"/>
        <v>-7.0331438532611229E-4</v>
      </c>
    </row>
    <row r="721" spans="1:20" x14ac:dyDescent="0.25">
      <c r="A721" s="5">
        <v>43872</v>
      </c>
      <c r="B721">
        <v>0.28360000000000002</v>
      </c>
      <c r="C721">
        <v>0.30509999999999998</v>
      </c>
      <c r="D721">
        <v>0.27329999999999999</v>
      </c>
      <c r="E721">
        <v>0.30249999999999999</v>
      </c>
      <c r="F721">
        <v>5123889.8899999997</v>
      </c>
      <c r="G721">
        <v>0</v>
      </c>
      <c r="L721" t="s">
        <v>8</v>
      </c>
      <c r="M721" t="s">
        <v>8</v>
      </c>
      <c r="N721" t="s">
        <v>8</v>
      </c>
      <c r="P721">
        <f t="shared" si="999"/>
        <v>0.83647798742138413</v>
      </c>
      <c r="Q721">
        <f t="shared" si="1000"/>
        <v>4286021.1029559774</v>
      </c>
      <c r="R721">
        <f t="shared" si="1001"/>
        <v>-1089211.7530523976</v>
      </c>
      <c r="S721">
        <f t="shared" si="1002"/>
        <v>-10.892117530523976</v>
      </c>
      <c r="T721">
        <f t="shared" si="1003"/>
        <v>-1.0892117530523975E-2</v>
      </c>
    </row>
    <row r="722" spans="1:20" x14ac:dyDescent="0.25">
      <c r="A722" s="5">
        <v>43871</v>
      </c>
      <c r="B722">
        <v>0.29649999999999999</v>
      </c>
      <c r="C722">
        <v>0.30059999999999998</v>
      </c>
      <c r="D722">
        <v>0.27310000000000001</v>
      </c>
      <c r="E722">
        <v>0.28349999999999997</v>
      </c>
      <c r="F722">
        <v>3748575.54</v>
      </c>
      <c r="G722">
        <v>0</v>
      </c>
      <c r="L722" t="s">
        <v>8</v>
      </c>
      <c r="M722" t="s">
        <v>8</v>
      </c>
      <c r="N722" t="s">
        <v>8</v>
      </c>
      <c r="P722">
        <f t="shared" si="999"/>
        <v>-0.24363636363636534</v>
      </c>
      <c r="Q722">
        <f t="shared" si="1000"/>
        <v>-913289.31338182464</v>
      </c>
      <c r="R722">
        <f t="shared" si="1001"/>
        <v>-5375232.8560083751</v>
      </c>
      <c r="S722">
        <f t="shared" si="1002"/>
        <v>-53.752328560083754</v>
      </c>
      <c r="T722">
        <f t="shared" si="1003"/>
        <v>-5.3752328560083752E-2</v>
      </c>
    </row>
    <row r="723" spans="1:20" x14ac:dyDescent="0.25">
      <c r="A723" s="5">
        <v>43870</v>
      </c>
      <c r="B723">
        <v>0.27310000000000001</v>
      </c>
      <c r="C723">
        <v>0.29799999999999999</v>
      </c>
      <c r="D723">
        <v>0.2717</v>
      </c>
      <c r="E723">
        <v>0.2959</v>
      </c>
      <c r="F723">
        <v>3602461.85</v>
      </c>
      <c r="G723">
        <v>0</v>
      </c>
      <c r="L723" t="s">
        <v>8</v>
      </c>
      <c r="M723" t="s">
        <v>8</v>
      </c>
      <c r="N723" t="s">
        <v>8</v>
      </c>
      <c r="P723">
        <f t="shared" si="999"/>
        <v>0.84030418250950634</v>
      </c>
      <c r="Q723">
        <f t="shared" si="1000"/>
        <v>3027163.7598859337</v>
      </c>
      <c r="R723">
        <f t="shared" si="1001"/>
        <v>-4461943.5426265504</v>
      </c>
      <c r="S723">
        <f t="shared" si="1002"/>
        <v>-44.619435426265504</v>
      </c>
      <c r="T723">
        <f t="shared" si="1003"/>
        <v>-4.4619435426265501E-2</v>
      </c>
    </row>
    <row r="724" spans="1:20" x14ac:dyDescent="0.25">
      <c r="A724" s="5">
        <v>43869</v>
      </c>
      <c r="B724">
        <v>0.27810000000000001</v>
      </c>
      <c r="C724">
        <v>0.28599999999999998</v>
      </c>
      <c r="D724">
        <v>0.26319999999999999</v>
      </c>
      <c r="E724">
        <v>0.27300000000000002</v>
      </c>
      <c r="F724">
        <v>2805018.37</v>
      </c>
      <c r="G724">
        <v>0</v>
      </c>
      <c r="L724" t="s">
        <v>7</v>
      </c>
      <c r="M724" t="s">
        <v>8</v>
      </c>
      <c r="N724" t="s">
        <v>8</v>
      </c>
      <c r="P724">
        <f t="shared" si="999"/>
        <v>-0.14035087719297926</v>
      </c>
      <c r="Q724">
        <f t="shared" si="1000"/>
        <v>-393686.78877192084</v>
      </c>
      <c r="R724">
        <f t="shared" si="1001"/>
        <v>-7489107.3025124837</v>
      </c>
      <c r="S724">
        <f t="shared" si="1002"/>
        <v>-74.89107302512484</v>
      </c>
      <c r="T724">
        <f t="shared" si="1003"/>
        <v>-7.4891073025124835E-2</v>
      </c>
    </row>
    <row r="725" spans="1:20" x14ac:dyDescent="0.25">
      <c r="A725" s="5">
        <v>43868</v>
      </c>
      <c r="B725">
        <v>0.27879999999999999</v>
      </c>
      <c r="C725">
        <v>0.29289999999999999</v>
      </c>
      <c r="D725">
        <v>0.27710000000000001</v>
      </c>
      <c r="E725">
        <v>0.27760000000000001</v>
      </c>
      <c r="F725">
        <v>4565731.26</v>
      </c>
      <c r="G725">
        <v>0</v>
      </c>
      <c r="L725" t="s">
        <v>8</v>
      </c>
      <c r="M725" t="s">
        <v>8</v>
      </c>
      <c r="N725" t="s">
        <v>8</v>
      </c>
      <c r="P725">
        <f t="shared" si="999"/>
        <v>-0.93670886075949356</v>
      </c>
      <c r="Q725">
        <f t="shared" si="1000"/>
        <v>-4276760.9270886071</v>
      </c>
      <c r="R725">
        <f t="shared" si="1001"/>
        <v>-7095420.5137405628</v>
      </c>
      <c r="S725">
        <f t="shared" si="1002"/>
        <v>-70.954205137405623</v>
      </c>
      <c r="T725">
        <f t="shared" si="1003"/>
        <v>-7.0954205137405621E-2</v>
      </c>
    </row>
    <row r="726" spans="1:20" x14ac:dyDescent="0.25">
      <c r="A726" s="5">
        <v>43867</v>
      </c>
      <c r="B726">
        <v>0.25800000000000001</v>
      </c>
      <c r="C726">
        <v>0.27889999999999998</v>
      </c>
      <c r="D726">
        <v>0.25330000000000003</v>
      </c>
      <c r="E726">
        <v>0.27829999999999999</v>
      </c>
      <c r="F726">
        <v>6643495.6900000004</v>
      </c>
      <c r="G726">
        <v>0</v>
      </c>
      <c r="L726" t="s">
        <v>8</v>
      </c>
      <c r="M726" t="s">
        <v>8</v>
      </c>
      <c r="N726" t="s">
        <v>8</v>
      </c>
      <c r="P726">
        <f t="shared" si="999"/>
        <v>0.95312500000000078</v>
      </c>
      <c r="Q726">
        <f t="shared" si="1000"/>
        <v>6332081.8295312552</v>
      </c>
      <c r="R726">
        <f t="shared" si="1001"/>
        <v>-2818659.5866519557</v>
      </c>
      <c r="S726">
        <f t="shared" si="1002"/>
        <v>-28.186595866519557</v>
      </c>
      <c r="T726">
        <f t="shared" si="1003"/>
        <v>-2.8186595866519556E-2</v>
      </c>
    </row>
    <row r="727" spans="1:20" x14ac:dyDescent="0.25">
      <c r="A727" s="5">
        <v>43866</v>
      </c>
      <c r="B727">
        <v>0.25359999999999999</v>
      </c>
      <c r="C727">
        <v>0.25919999999999999</v>
      </c>
      <c r="D727">
        <v>0.24640000000000001</v>
      </c>
      <c r="E727">
        <v>0.25790000000000002</v>
      </c>
      <c r="F727">
        <v>4184156.48</v>
      </c>
      <c r="G727">
        <v>0</v>
      </c>
      <c r="L727" t="s">
        <v>8</v>
      </c>
      <c r="M727" t="s">
        <v>8</v>
      </c>
      <c r="N727" t="s">
        <v>8</v>
      </c>
      <c r="P727">
        <f t="shared" si="999"/>
        <v>0.79687500000000466</v>
      </c>
      <c r="Q727">
        <f t="shared" si="1000"/>
        <v>3334249.6950000194</v>
      </c>
      <c r="R727">
        <f t="shared" si="1001"/>
        <v>-9150741.4161832109</v>
      </c>
      <c r="S727">
        <f t="shared" si="1002"/>
        <v>-91.507414161832102</v>
      </c>
      <c r="T727">
        <f t="shared" si="1003"/>
        <v>-9.1507414161832099E-2</v>
      </c>
    </row>
    <row r="728" spans="1:20" x14ac:dyDescent="0.25">
      <c r="A728" s="5">
        <v>43865</v>
      </c>
      <c r="B728">
        <v>0.23630000000000001</v>
      </c>
      <c r="C728">
        <v>0.26219999999999999</v>
      </c>
      <c r="D728">
        <v>0.23549999999999999</v>
      </c>
      <c r="E728">
        <v>0.25380000000000003</v>
      </c>
      <c r="F728">
        <v>5845655.5599999996</v>
      </c>
      <c r="G728">
        <v>0</v>
      </c>
      <c r="L728" t="s">
        <v>8</v>
      </c>
      <c r="M728" t="s">
        <v>8</v>
      </c>
      <c r="N728" t="s">
        <v>8</v>
      </c>
      <c r="P728">
        <f t="shared" si="999"/>
        <v>0.37078651685393538</v>
      </c>
      <c r="Q728">
        <f t="shared" si="1000"/>
        <v>2167490.2638202407</v>
      </c>
      <c r="R728">
        <f t="shared" si="1001"/>
        <v>-12484991.11118323</v>
      </c>
      <c r="S728">
        <f t="shared" si="1002"/>
        <v>-124.8499111118323</v>
      </c>
      <c r="T728">
        <f t="shared" si="1003"/>
        <v>-0.1248499111118323</v>
      </c>
    </row>
    <row r="729" spans="1:20" x14ac:dyDescent="0.25">
      <c r="A729" s="5">
        <v>43864</v>
      </c>
      <c r="B729">
        <v>0.23930000000000001</v>
      </c>
      <c r="C729">
        <v>0.24529999999999999</v>
      </c>
      <c r="D729">
        <v>0.23169999999999999</v>
      </c>
      <c r="E729">
        <v>0.23599999999999999</v>
      </c>
      <c r="F729">
        <v>1353836.56</v>
      </c>
      <c r="G729">
        <v>0</v>
      </c>
      <c r="L729" t="s">
        <v>8</v>
      </c>
      <c r="M729" t="s">
        <v>7</v>
      </c>
      <c r="N729" t="s">
        <v>8</v>
      </c>
      <c r="P729">
        <f t="shared" si="999"/>
        <v>-0.36764705882352972</v>
      </c>
      <c r="Q729">
        <f t="shared" si="1000"/>
        <v>-497734.02941176516</v>
      </c>
      <c r="R729">
        <f t="shared" si="1001"/>
        <v>-14652481.37500347</v>
      </c>
      <c r="S729">
        <f t="shared" si="1002"/>
        <v>-146.5248137500347</v>
      </c>
      <c r="T729">
        <f t="shared" si="1003"/>
        <v>-0.1465248137500347</v>
      </c>
    </row>
    <row r="730" spans="1:20" x14ac:dyDescent="0.25">
      <c r="A730" s="5">
        <v>43863</v>
      </c>
      <c r="B730">
        <v>0.2321</v>
      </c>
      <c r="C730">
        <v>0.24629999999999999</v>
      </c>
      <c r="D730">
        <v>0.22800000000000001</v>
      </c>
      <c r="E730">
        <v>0.23949999999999999</v>
      </c>
      <c r="F730">
        <v>2145091.2000000002</v>
      </c>
      <c r="G730">
        <v>0</v>
      </c>
      <c r="L730" t="s">
        <v>8</v>
      </c>
      <c r="M730" t="s">
        <v>7</v>
      </c>
      <c r="N730" t="s">
        <v>8</v>
      </c>
      <c r="P730">
        <f t="shared" si="999"/>
        <v>0.25683060109289541</v>
      </c>
      <c r="Q730">
        <f t="shared" si="1000"/>
        <v>550925.0622950804</v>
      </c>
      <c r="R730">
        <f t="shared" si="1001"/>
        <v>-14154747.345591705</v>
      </c>
      <c r="S730">
        <f t="shared" si="1002"/>
        <v>-141.54747345591704</v>
      </c>
      <c r="T730">
        <f t="shared" si="1003"/>
        <v>-0.14154747345591703</v>
      </c>
    </row>
    <row r="731" spans="1:20" x14ac:dyDescent="0.25">
      <c r="A731" s="5">
        <v>43862</v>
      </c>
      <c r="B731">
        <v>0.22850000000000001</v>
      </c>
      <c r="C731">
        <v>0.2331</v>
      </c>
      <c r="D731">
        <v>0.2266</v>
      </c>
      <c r="E731">
        <v>0.2321</v>
      </c>
      <c r="F731">
        <v>885267.53</v>
      </c>
      <c r="G731">
        <v>0</v>
      </c>
      <c r="L731" t="s">
        <v>8</v>
      </c>
      <c r="M731" t="s">
        <v>7</v>
      </c>
      <c r="N731" t="s">
        <v>8</v>
      </c>
      <c r="P731">
        <f t="shared" si="999"/>
        <v>0.69230769230769229</v>
      </c>
      <c r="Q731">
        <f t="shared" si="1000"/>
        <v>612877.52076923079</v>
      </c>
      <c r="R731">
        <f t="shared" si="1001"/>
        <v>-14705672.407886786</v>
      </c>
      <c r="S731">
        <f t="shared" si="1002"/>
        <v>-147.05672407886786</v>
      </c>
      <c r="T731">
        <f t="shared" si="1003"/>
        <v>-0.14705672407886786</v>
      </c>
    </row>
    <row r="732" spans="1:20" x14ac:dyDescent="0.25">
      <c r="A732" s="5">
        <v>43861</v>
      </c>
      <c r="B732">
        <v>0.2336</v>
      </c>
      <c r="C732">
        <v>0.24</v>
      </c>
      <c r="D732">
        <v>0.22720000000000001</v>
      </c>
      <c r="E732">
        <v>0.22839999999999999</v>
      </c>
      <c r="F732">
        <v>2257916.98</v>
      </c>
      <c r="G732">
        <v>0</v>
      </c>
      <c r="L732" t="s">
        <v>8</v>
      </c>
      <c r="M732" t="s">
        <v>7</v>
      </c>
      <c r="N732" t="s">
        <v>8</v>
      </c>
      <c r="P732">
        <f t="shared" si="999"/>
        <v>-0.812500000000003</v>
      </c>
      <c r="Q732">
        <f t="shared" si="1000"/>
        <v>-1834557.5462500066</v>
      </c>
      <c r="R732">
        <f t="shared" si="1001"/>
        <v>-15318549.928656017</v>
      </c>
      <c r="S732">
        <f t="shared" si="1002"/>
        <v>-153.18549928656017</v>
      </c>
      <c r="T732">
        <f t="shared" si="1003"/>
        <v>-0.15318549928656017</v>
      </c>
    </row>
    <row r="733" spans="1:20" x14ac:dyDescent="0.25">
      <c r="A733" s="5">
        <v>43860</v>
      </c>
      <c r="B733">
        <v>0.22550000000000001</v>
      </c>
      <c r="C733">
        <v>0.23619999999999999</v>
      </c>
      <c r="D733">
        <v>0.22389999999999999</v>
      </c>
      <c r="E733">
        <v>0.2331</v>
      </c>
      <c r="F733">
        <v>1213744.53</v>
      </c>
      <c r="G733">
        <v>0</v>
      </c>
      <c r="L733" t="s">
        <v>8</v>
      </c>
      <c r="M733" t="s">
        <v>7</v>
      </c>
      <c r="N733" t="s">
        <v>8</v>
      </c>
      <c r="P733">
        <f t="shared" si="999"/>
        <v>0.49593495934959508</v>
      </c>
      <c r="Q733">
        <f t="shared" si="1000"/>
        <v>601938.34414634341</v>
      </c>
      <c r="R733">
        <f t="shared" si="1001"/>
        <v>-13483992.382406011</v>
      </c>
      <c r="S733">
        <f t="shared" si="1002"/>
        <v>-134.83992382406012</v>
      </c>
      <c r="T733">
        <f t="shared" si="1003"/>
        <v>-0.13483992382406013</v>
      </c>
    </row>
    <row r="734" spans="1:20" x14ac:dyDescent="0.25">
      <c r="A734" s="5">
        <v>43859</v>
      </c>
      <c r="B734">
        <v>0.23280000000000001</v>
      </c>
      <c r="C734">
        <v>0.23280000000000001</v>
      </c>
      <c r="D734">
        <v>0.22520000000000001</v>
      </c>
      <c r="E734">
        <v>0.22550000000000001</v>
      </c>
      <c r="F734">
        <v>1428185.36</v>
      </c>
      <c r="G734">
        <v>0</v>
      </c>
      <c r="L734" t="s">
        <v>8</v>
      </c>
      <c r="M734" t="s">
        <v>7</v>
      </c>
      <c r="N734" t="s">
        <v>8</v>
      </c>
      <c r="P734">
        <f t="shared" si="999"/>
        <v>-0.92105263157894868</v>
      </c>
      <c r="Q734">
        <f t="shared" si="1000"/>
        <v>-1315433.8842105283</v>
      </c>
      <c r="R734">
        <f t="shared" si="1001"/>
        <v>-14085930.726552354</v>
      </c>
      <c r="S734">
        <f t="shared" si="1002"/>
        <v>-140.85930726552354</v>
      </c>
      <c r="T734">
        <f t="shared" si="1003"/>
        <v>-0.14085930726552354</v>
      </c>
    </row>
    <row r="735" spans="1:20" x14ac:dyDescent="0.25">
      <c r="A735" s="5">
        <v>43858</v>
      </c>
      <c r="B735">
        <v>0.23130000000000001</v>
      </c>
      <c r="C735">
        <v>0.2354</v>
      </c>
      <c r="D735">
        <v>0.2266</v>
      </c>
      <c r="E735">
        <v>0.2316</v>
      </c>
      <c r="F735">
        <v>1161980.67</v>
      </c>
      <c r="G735">
        <v>0</v>
      </c>
      <c r="L735" t="s">
        <v>8</v>
      </c>
      <c r="M735" t="s">
        <v>7</v>
      </c>
      <c r="N735" t="s">
        <v>8</v>
      </c>
      <c r="P735">
        <f t="shared" si="999"/>
        <v>0.13636363636363708</v>
      </c>
      <c r="Q735">
        <f t="shared" si="1000"/>
        <v>158451.90954545536</v>
      </c>
      <c r="R735">
        <f t="shared" si="1001"/>
        <v>-12770496.842341825</v>
      </c>
      <c r="S735">
        <f t="shared" si="1002"/>
        <v>-127.70496842341825</v>
      </c>
      <c r="T735">
        <f t="shared" si="1003"/>
        <v>-0.12770496842341825</v>
      </c>
    </row>
    <row r="736" spans="1:20" x14ac:dyDescent="0.25">
      <c r="A736" s="5">
        <v>43857</v>
      </c>
      <c r="B736">
        <v>0.23119999999999999</v>
      </c>
      <c r="C736">
        <v>0.23719999999999999</v>
      </c>
      <c r="D736">
        <v>0.2268</v>
      </c>
      <c r="E736">
        <v>0.2316</v>
      </c>
      <c r="F736">
        <v>1127021.5900000001</v>
      </c>
      <c r="G736">
        <v>0</v>
      </c>
      <c r="L736" t="s">
        <v>8</v>
      </c>
      <c r="M736" t="s">
        <v>7</v>
      </c>
      <c r="N736" t="s">
        <v>8</v>
      </c>
      <c r="P736">
        <f t="shared" si="999"/>
        <v>-7.6923076923076511E-2</v>
      </c>
      <c r="Q736">
        <f t="shared" si="1000"/>
        <v>-86693.96846153801</v>
      </c>
      <c r="R736">
        <f t="shared" si="1001"/>
        <v>-12928948.75188728</v>
      </c>
      <c r="S736">
        <f t="shared" si="1002"/>
        <v>-129.28948751887282</v>
      </c>
      <c r="T736">
        <f t="shared" si="1003"/>
        <v>-0.12928948751887281</v>
      </c>
    </row>
    <row r="737" spans="1:20" x14ac:dyDescent="0.25">
      <c r="A737" s="5">
        <v>43856</v>
      </c>
      <c r="B737">
        <v>0.2235</v>
      </c>
      <c r="C737">
        <v>0.23200000000000001</v>
      </c>
      <c r="D737">
        <v>0.2233</v>
      </c>
      <c r="E737">
        <v>0.23050000000000001</v>
      </c>
      <c r="F737">
        <v>735234.54</v>
      </c>
      <c r="G737">
        <v>0</v>
      </c>
      <c r="L737" t="s">
        <v>7</v>
      </c>
      <c r="M737" t="s">
        <v>7</v>
      </c>
      <c r="N737" t="s">
        <v>8</v>
      </c>
      <c r="P737">
        <f t="shared" si="999"/>
        <v>0.65517241379310365</v>
      </c>
      <c r="Q737">
        <f t="shared" si="1000"/>
        <v>481705.38827586226</v>
      </c>
      <c r="R737">
        <f t="shared" si="1001"/>
        <v>-12842254.783425743</v>
      </c>
      <c r="S737">
        <f t="shared" si="1002"/>
        <v>-128.42254783425741</v>
      </c>
      <c r="T737">
        <f t="shared" si="1003"/>
        <v>-0.12842254783425741</v>
      </c>
    </row>
    <row r="738" spans="1:20" x14ac:dyDescent="0.25">
      <c r="A738" s="5">
        <v>43855</v>
      </c>
      <c r="B738">
        <v>0.2271</v>
      </c>
      <c r="C738">
        <v>0.2271</v>
      </c>
      <c r="D738">
        <v>0.2208</v>
      </c>
      <c r="E738">
        <v>0.22420000000000001</v>
      </c>
      <c r="F738">
        <v>267976.51</v>
      </c>
      <c r="G738">
        <v>0</v>
      </c>
      <c r="L738" t="s">
        <v>7</v>
      </c>
      <c r="M738" t="s">
        <v>7</v>
      </c>
      <c r="N738" t="s">
        <v>8</v>
      </c>
      <c r="P738">
        <f t="shared" si="999"/>
        <v>7.9365079365083843E-2</v>
      </c>
      <c r="Q738">
        <f t="shared" si="1000"/>
        <v>21267.976984128185</v>
      </c>
      <c r="R738">
        <f t="shared" si="1001"/>
        <v>-13323960.171701605</v>
      </c>
      <c r="S738">
        <f t="shared" si="1002"/>
        <v>-133.23960171701606</v>
      </c>
      <c r="T738">
        <f t="shared" si="1003"/>
        <v>-0.13323960171701607</v>
      </c>
    </row>
    <row r="739" spans="1:20" x14ac:dyDescent="0.25">
      <c r="A739" s="5">
        <v>43854</v>
      </c>
      <c r="B739">
        <v>0.2281</v>
      </c>
      <c r="C739">
        <v>0.23200000000000001</v>
      </c>
      <c r="D739">
        <v>0.22020000000000001</v>
      </c>
      <c r="E739">
        <v>0.22750000000000001</v>
      </c>
      <c r="F739">
        <v>750340.78</v>
      </c>
      <c r="G739">
        <v>0</v>
      </c>
      <c r="L739" t="s">
        <v>7</v>
      </c>
      <c r="M739" t="s">
        <v>7</v>
      </c>
      <c r="N739" t="s">
        <v>8</v>
      </c>
      <c r="P739">
        <f t="shared" si="999"/>
        <v>0.23728813559321998</v>
      </c>
      <c r="Q739">
        <f t="shared" si="1000"/>
        <v>178046.96474576244</v>
      </c>
      <c r="R739">
        <f t="shared" si="1001"/>
        <v>-13345228.148685733</v>
      </c>
      <c r="S739">
        <f t="shared" si="1002"/>
        <v>-133.45228148685732</v>
      </c>
      <c r="T739">
        <f t="shared" si="1003"/>
        <v>-0.13345228148685731</v>
      </c>
    </row>
    <row r="740" spans="1:20" x14ac:dyDescent="0.25">
      <c r="A740" s="5">
        <v>43853</v>
      </c>
      <c r="B740">
        <v>0.24179999999999999</v>
      </c>
      <c r="C740">
        <v>0.24260000000000001</v>
      </c>
      <c r="D740">
        <v>0.223</v>
      </c>
      <c r="E740">
        <v>0.2283</v>
      </c>
      <c r="F740">
        <v>778358.19</v>
      </c>
      <c r="G740">
        <v>0</v>
      </c>
      <c r="L740" t="s">
        <v>7</v>
      </c>
      <c r="M740" t="s">
        <v>8</v>
      </c>
      <c r="N740" t="s">
        <v>8</v>
      </c>
      <c r="P740">
        <f t="shared" si="999"/>
        <v>-0.45918367346938804</v>
      </c>
      <c r="Q740">
        <f t="shared" si="1000"/>
        <v>-357409.37295918388</v>
      </c>
      <c r="R740">
        <f t="shared" si="1001"/>
        <v>-13523275.113431495</v>
      </c>
      <c r="S740">
        <f t="shared" si="1002"/>
        <v>-135.23275113431495</v>
      </c>
      <c r="T740">
        <f t="shared" si="1003"/>
        <v>-0.13523275113431496</v>
      </c>
    </row>
    <row r="741" spans="1:20" x14ac:dyDescent="0.25">
      <c r="A741" s="5">
        <v>43852</v>
      </c>
      <c r="B741">
        <v>0.24229999999999999</v>
      </c>
      <c r="C741">
        <v>0.245</v>
      </c>
      <c r="D741">
        <v>0.2392</v>
      </c>
      <c r="E741">
        <v>0.24249999999999999</v>
      </c>
      <c r="F741">
        <v>569024.47</v>
      </c>
      <c r="G741">
        <v>0</v>
      </c>
      <c r="L741" t="s">
        <v>8</v>
      </c>
      <c r="M741" t="s">
        <v>8</v>
      </c>
      <c r="N741" t="s">
        <v>8</v>
      </c>
      <c r="P741">
        <f t="shared" si="999"/>
        <v>0.13793103448275779</v>
      </c>
      <c r="Q741">
        <f t="shared" si="1000"/>
        <v>78486.13379310297</v>
      </c>
      <c r="R741">
        <f t="shared" si="1001"/>
        <v>-13165865.740472311</v>
      </c>
      <c r="S741">
        <f t="shared" si="1002"/>
        <v>-131.6586574047231</v>
      </c>
      <c r="T741">
        <f t="shared" si="1003"/>
        <v>-0.1316586574047231</v>
      </c>
    </row>
    <row r="742" spans="1:20" x14ac:dyDescent="0.25">
      <c r="A742" s="5">
        <v>43851</v>
      </c>
      <c r="B742">
        <v>0.23219999999999999</v>
      </c>
      <c r="C742">
        <v>0.2429</v>
      </c>
      <c r="D742">
        <v>0.2306</v>
      </c>
      <c r="E742">
        <v>0.24149999999999999</v>
      </c>
      <c r="F742">
        <v>1149934</v>
      </c>
      <c r="G742">
        <v>0</v>
      </c>
      <c r="L742" t="s">
        <v>8</v>
      </c>
      <c r="M742" t="s">
        <v>8</v>
      </c>
      <c r="N742" t="s">
        <v>8</v>
      </c>
      <c r="P742">
        <f t="shared" si="999"/>
        <v>0.77235772357723387</v>
      </c>
      <c r="Q742">
        <f t="shared" si="1000"/>
        <v>888160.40650406282</v>
      </c>
      <c r="R742">
        <f t="shared" si="1001"/>
        <v>-13244351.874265414</v>
      </c>
      <c r="S742">
        <f t="shared" si="1002"/>
        <v>-132.44351874265413</v>
      </c>
      <c r="T742">
        <f t="shared" si="1003"/>
        <v>-0.13244351874265414</v>
      </c>
    </row>
    <row r="743" spans="1:20" x14ac:dyDescent="0.25">
      <c r="A743" s="5">
        <v>43850</v>
      </c>
      <c r="B743">
        <v>0.23230000000000001</v>
      </c>
      <c r="C743">
        <v>0.23619999999999999</v>
      </c>
      <c r="D743">
        <v>0.22750000000000001</v>
      </c>
      <c r="E743">
        <v>0.2316</v>
      </c>
      <c r="F743">
        <v>880232.81</v>
      </c>
      <c r="G743">
        <v>0</v>
      </c>
      <c r="L743" t="s">
        <v>8</v>
      </c>
      <c r="M743" t="s">
        <v>8</v>
      </c>
      <c r="N743" t="s">
        <v>8</v>
      </c>
      <c r="P743">
        <f t="shared" si="999"/>
        <v>-5.7471264367816237E-2</v>
      </c>
      <c r="Q743">
        <f t="shared" si="1000"/>
        <v>-50588.09252873576</v>
      </c>
      <c r="R743">
        <f t="shared" si="1001"/>
        <v>-14132512.280769477</v>
      </c>
      <c r="S743">
        <f t="shared" si="1002"/>
        <v>-141.32512280769475</v>
      </c>
      <c r="T743">
        <f t="shared" si="1003"/>
        <v>-0.14132512280769474</v>
      </c>
    </row>
    <row r="744" spans="1:20" x14ac:dyDescent="0.25">
      <c r="A744" s="5">
        <v>43849</v>
      </c>
      <c r="B744">
        <v>0.24410000000000001</v>
      </c>
      <c r="C744">
        <v>0.24890000000000001</v>
      </c>
      <c r="D744">
        <v>0.2218</v>
      </c>
      <c r="E744">
        <v>0.23119999999999999</v>
      </c>
      <c r="F744">
        <v>1974118.95</v>
      </c>
      <c r="G744">
        <v>0</v>
      </c>
      <c r="L744" t="s">
        <v>7</v>
      </c>
      <c r="M744" t="s">
        <v>8</v>
      </c>
      <c r="N744" t="s">
        <v>8</v>
      </c>
      <c r="P744">
        <f t="shared" si="999"/>
        <v>-0.30627306273062826</v>
      </c>
      <c r="Q744">
        <f t="shared" si="1000"/>
        <v>-604619.45701107197</v>
      </c>
      <c r="R744">
        <f t="shared" si="1001"/>
        <v>-14081924.18824074</v>
      </c>
      <c r="S744">
        <f t="shared" si="1002"/>
        <v>-140.8192418824074</v>
      </c>
      <c r="T744">
        <f t="shared" si="1003"/>
        <v>-0.14081924188240741</v>
      </c>
    </row>
    <row r="745" spans="1:20" x14ac:dyDescent="0.25">
      <c r="A745" s="5">
        <v>43848</v>
      </c>
      <c r="B745">
        <v>0.25369999999999998</v>
      </c>
      <c r="C745">
        <v>0.25779999999999997</v>
      </c>
      <c r="D745">
        <v>0.23830000000000001</v>
      </c>
      <c r="E745">
        <v>0.2455</v>
      </c>
      <c r="F745">
        <v>1742640.06</v>
      </c>
      <c r="G745">
        <v>0</v>
      </c>
      <c r="L745" t="s">
        <v>7</v>
      </c>
      <c r="M745" t="s">
        <v>8</v>
      </c>
      <c r="N745" t="s">
        <v>8</v>
      </c>
      <c r="P745">
        <f t="shared" si="999"/>
        <v>-0.26153846153846172</v>
      </c>
      <c r="Q745">
        <f t="shared" si="1000"/>
        <v>-455767.40030769265</v>
      </c>
      <c r="R745">
        <f t="shared" si="1001"/>
        <v>-13477304.731229668</v>
      </c>
      <c r="S745">
        <f t="shared" si="1002"/>
        <v>-134.77304731229668</v>
      </c>
      <c r="T745">
        <f t="shared" si="1003"/>
        <v>-0.1347730473122967</v>
      </c>
    </row>
    <row r="746" spans="1:20" x14ac:dyDescent="0.25">
      <c r="A746" s="5">
        <v>43847</v>
      </c>
      <c r="B746">
        <v>0.24709999999999999</v>
      </c>
      <c r="C746">
        <v>0.2611</v>
      </c>
      <c r="D746">
        <v>0.24099999999999999</v>
      </c>
      <c r="E746">
        <v>0.25469999999999998</v>
      </c>
      <c r="F746">
        <v>2734379.31</v>
      </c>
      <c r="G746">
        <v>0</v>
      </c>
      <c r="L746" t="s">
        <v>8</v>
      </c>
      <c r="M746" t="s">
        <v>8</v>
      </c>
      <c r="N746" t="s">
        <v>8</v>
      </c>
      <c r="P746">
        <f t="shared" si="999"/>
        <v>0.36318407960198862</v>
      </c>
      <c r="Q746">
        <f t="shared" si="1000"/>
        <v>993083.03298507072</v>
      </c>
      <c r="R746">
        <f t="shared" si="1001"/>
        <v>-13021537.330921976</v>
      </c>
      <c r="S746">
        <f t="shared" si="1002"/>
        <v>-130.21537330921976</v>
      </c>
      <c r="T746">
        <f t="shared" si="1003"/>
        <v>-0.13021537330921976</v>
      </c>
    </row>
    <row r="747" spans="1:20" x14ac:dyDescent="0.25">
      <c r="A747" s="5">
        <v>43846</v>
      </c>
      <c r="B747">
        <v>0.2465</v>
      </c>
      <c r="C747">
        <v>0.25569999999999998</v>
      </c>
      <c r="D747">
        <v>0.22800000000000001</v>
      </c>
      <c r="E747">
        <v>0.24740000000000001</v>
      </c>
      <c r="F747">
        <v>2508892.06</v>
      </c>
      <c r="G747">
        <v>0</v>
      </c>
      <c r="L747" t="s">
        <v>8</v>
      </c>
      <c r="M747" t="s">
        <v>8</v>
      </c>
      <c r="N747" t="s">
        <v>8</v>
      </c>
      <c r="P747">
        <f t="shared" si="999"/>
        <v>0.40072202166065113</v>
      </c>
      <c r="Q747">
        <f t="shared" si="1000"/>
        <v>1005368.2984115557</v>
      </c>
      <c r="R747">
        <f t="shared" si="1001"/>
        <v>-14014620.363907047</v>
      </c>
      <c r="S747">
        <f t="shared" si="1002"/>
        <v>-140.14620363907048</v>
      </c>
      <c r="T747">
        <f t="shared" si="1003"/>
        <v>-0.14014620363907049</v>
      </c>
    </row>
    <row r="748" spans="1:20" x14ac:dyDescent="0.25">
      <c r="A748" s="5">
        <v>43845</v>
      </c>
      <c r="B748">
        <v>0.2384</v>
      </c>
      <c r="C748">
        <v>0.25159999999999999</v>
      </c>
      <c r="D748">
        <v>0.22500000000000001</v>
      </c>
      <c r="E748">
        <v>0.24590000000000001</v>
      </c>
      <c r="F748">
        <v>4206931.6900000004</v>
      </c>
      <c r="G748">
        <v>0</v>
      </c>
      <c r="L748" t="s">
        <v>8</v>
      </c>
      <c r="M748" t="s">
        <v>8</v>
      </c>
      <c r="N748" t="s">
        <v>8</v>
      </c>
      <c r="P748">
        <f t="shared" si="999"/>
        <v>0.57142857142857251</v>
      </c>
      <c r="Q748">
        <f t="shared" si="1000"/>
        <v>2403960.9657142903</v>
      </c>
      <c r="R748">
        <f t="shared" si="1001"/>
        <v>-15019988.662318602</v>
      </c>
      <c r="S748">
        <f t="shared" si="1002"/>
        <v>-150.19988662318602</v>
      </c>
      <c r="T748">
        <f t="shared" si="1003"/>
        <v>-0.15019988662318601</v>
      </c>
    </row>
    <row r="749" spans="1:20" x14ac:dyDescent="0.25">
      <c r="A749" s="5">
        <v>43844</v>
      </c>
      <c r="B749">
        <v>0.21</v>
      </c>
      <c r="C749">
        <v>0.24759999999999999</v>
      </c>
      <c r="D749">
        <v>0.2082</v>
      </c>
      <c r="E749">
        <v>0.23799999999999999</v>
      </c>
      <c r="F749">
        <v>4837007.4800000004</v>
      </c>
      <c r="G749">
        <v>0</v>
      </c>
      <c r="L749" t="s">
        <v>8</v>
      </c>
      <c r="M749" t="s">
        <v>8</v>
      </c>
      <c r="N749" t="s">
        <v>8</v>
      </c>
      <c r="P749">
        <f t="shared" si="999"/>
        <v>0.51269035532994922</v>
      </c>
      <c r="Q749">
        <f t="shared" si="1000"/>
        <v>2479887.0836548223</v>
      </c>
      <c r="R749">
        <f t="shared" si="1001"/>
        <v>-17423949.628032893</v>
      </c>
      <c r="S749">
        <f t="shared" si="1002"/>
        <v>-174.23949628032892</v>
      </c>
      <c r="T749">
        <f t="shared" si="1003"/>
        <v>-0.17423949628032892</v>
      </c>
    </row>
    <row r="750" spans="1:20" x14ac:dyDescent="0.25">
      <c r="A750" s="5">
        <v>43843</v>
      </c>
      <c r="B750">
        <v>0.21829999999999999</v>
      </c>
      <c r="C750">
        <v>0.22720000000000001</v>
      </c>
      <c r="D750">
        <v>0.2089</v>
      </c>
      <c r="E750">
        <v>0.2102</v>
      </c>
      <c r="F750">
        <v>1931490.98</v>
      </c>
      <c r="G750">
        <v>0</v>
      </c>
      <c r="L750" t="s">
        <v>7</v>
      </c>
      <c r="M750" t="s">
        <v>8</v>
      </c>
      <c r="N750" t="s">
        <v>7</v>
      </c>
      <c r="P750">
        <f t="shared" si="999"/>
        <v>-0.85792349726776007</v>
      </c>
      <c r="Q750">
        <f t="shared" si="1000"/>
        <v>-1657071.4965027331</v>
      </c>
      <c r="R750">
        <f t="shared" si="1001"/>
        <v>-19903836.711687714</v>
      </c>
      <c r="S750">
        <f t="shared" si="1002"/>
        <v>-199.03836711687714</v>
      </c>
      <c r="T750">
        <f t="shared" si="1003"/>
        <v>-0.19903836711687714</v>
      </c>
    </row>
    <row r="751" spans="1:20" x14ac:dyDescent="0.25">
      <c r="A751" s="5">
        <v>43842</v>
      </c>
      <c r="B751">
        <v>0.20660000000000001</v>
      </c>
      <c r="C751">
        <v>0.2283</v>
      </c>
      <c r="D751">
        <v>0.20519999999999999</v>
      </c>
      <c r="E751">
        <v>0.21820000000000001</v>
      </c>
      <c r="F751">
        <v>3057356.91</v>
      </c>
      <c r="G751">
        <v>0</v>
      </c>
      <c r="L751" t="s">
        <v>8</v>
      </c>
      <c r="M751" t="s">
        <v>8</v>
      </c>
      <c r="N751" t="s">
        <v>7</v>
      </c>
      <c r="P751">
        <f t="shared" si="999"/>
        <v>0.12554112554112609</v>
      </c>
      <c r="Q751">
        <f t="shared" si="1000"/>
        <v>383824.02766233939</v>
      </c>
      <c r="R751">
        <f t="shared" si="1001"/>
        <v>-18246765.215184979</v>
      </c>
      <c r="S751">
        <f t="shared" si="1002"/>
        <v>-182.46765215184979</v>
      </c>
      <c r="T751">
        <f t="shared" si="1003"/>
        <v>-0.18246765215184979</v>
      </c>
    </row>
    <row r="752" spans="1:20" x14ac:dyDescent="0.25">
      <c r="A752" s="5">
        <v>43841</v>
      </c>
      <c r="B752">
        <v>0.2029</v>
      </c>
      <c r="C752">
        <v>0.21229999999999999</v>
      </c>
      <c r="D752">
        <v>0.20219999999999999</v>
      </c>
      <c r="E752">
        <v>0.2064</v>
      </c>
      <c r="F752">
        <v>1581364.7</v>
      </c>
      <c r="G752">
        <v>0</v>
      </c>
      <c r="L752" t="s">
        <v>7</v>
      </c>
      <c r="M752" t="s">
        <v>8</v>
      </c>
      <c r="N752" t="s">
        <v>7</v>
      </c>
      <c r="P752">
        <f t="shared" si="999"/>
        <v>-0.1683168316831663</v>
      </c>
      <c r="Q752">
        <f t="shared" si="1000"/>
        <v>-266170.29603960074</v>
      </c>
      <c r="R752">
        <f t="shared" si="1001"/>
        <v>-18630589.24284732</v>
      </c>
      <c r="S752">
        <f t="shared" si="1002"/>
        <v>-186.30589242847319</v>
      </c>
      <c r="T752">
        <f t="shared" si="1003"/>
        <v>-0.18630589242847317</v>
      </c>
    </row>
    <row r="753" spans="1:20" x14ac:dyDescent="0.25">
      <c r="A753" s="5">
        <v>43840</v>
      </c>
      <c r="B753">
        <v>0.20580000000000001</v>
      </c>
      <c r="C753">
        <v>0.218</v>
      </c>
      <c r="D753">
        <v>0.1988</v>
      </c>
      <c r="E753">
        <v>0.2026</v>
      </c>
      <c r="F753">
        <v>4110347.28</v>
      </c>
      <c r="G753">
        <v>0</v>
      </c>
      <c r="L753" t="s">
        <v>8</v>
      </c>
      <c r="M753" t="s">
        <v>8</v>
      </c>
      <c r="N753" t="s">
        <v>7</v>
      </c>
      <c r="P753">
        <f t="shared" si="999"/>
        <v>-0.60416666666666674</v>
      </c>
      <c r="Q753">
        <f t="shared" si="1000"/>
        <v>-2483334.8150000004</v>
      </c>
      <c r="R753">
        <f t="shared" si="1001"/>
        <v>-18364418.94680772</v>
      </c>
      <c r="S753">
        <f t="shared" si="1002"/>
        <v>-183.6441894680772</v>
      </c>
      <c r="T753">
        <f t="shared" si="1003"/>
        <v>-0.1836441894680772</v>
      </c>
    </row>
    <row r="754" spans="1:20" x14ac:dyDescent="0.25">
      <c r="A754" s="5">
        <v>43839</v>
      </c>
      <c r="B754">
        <v>0.21329999999999999</v>
      </c>
      <c r="C754">
        <v>0.21329999999999999</v>
      </c>
      <c r="D754">
        <v>0.1978</v>
      </c>
      <c r="E754">
        <v>0.20580000000000001</v>
      </c>
      <c r="F754">
        <v>2510436.56</v>
      </c>
      <c r="G754">
        <v>0</v>
      </c>
      <c r="L754" t="s">
        <v>7</v>
      </c>
      <c r="M754" t="s">
        <v>8</v>
      </c>
      <c r="N754" t="s">
        <v>7</v>
      </c>
      <c r="P754">
        <f t="shared" si="999"/>
        <v>3.2258064516130884E-2</v>
      </c>
      <c r="Q754">
        <f t="shared" si="1000"/>
        <v>80981.824516133682</v>
      </c>
      <c r="R754">
        <f t="shared" si="1001"/>
        <v>-15881084.13180772</v>
      </c>
      <c r="S754">
        <f t="shared" si="1002"/>
        <v>-158.81084131807719</v>
      </c>
      <c r="T754">
        <f t="shared" si="1003"/>
        <v>-0.15881084131807718</v>
      </c>
    </row>
    <row r="755" spans="1:20" x14ac:dyDescent="0.25">
      <c r="A755" s="5">
        <v>43838</v>
      </c>
      <c r="B755">
        <v>0.18840000000000001</v>
      </c>
      <c r="C755">
        <v>0.22470000000000001</v>
      </c>
      <c r="D755">
        <v>0.18629999999999999</v>
      </c>
      <c r="E755">
        <v>0.21329999999999999</v>
      </c>
      <c r="F755">
        <v>8023108.4800000004</v>
      </c>
      <c r="G755">
        <v>0</v>
      </c>
      <c r="L755" t="s">
        <v>8</v>
      </c>
      <c r="M755" t="s">
        <v>8</v>
      </c>
      <c r="N755" t="s">
        <v>7</v>
      </c>
      <c r="P755">
        <f t="shared" si="999"/>
        <v>0.40624999999999917</v>
      </c>
      <c r="Q755">
        <f t="shared" si="1000"/>
        <v>3259387.8199999933</v>
      </c>
      <c r="R755">
        <f t="shared" si="1001"/>
        <v>-15962065.956323855</v>
      </c>
      <c r="S755">
        <f t="shared" si="1002"/>
        <v>-159.62065956323855</v>
      </c>
      <c r="T755">
        <f t="shared" si="1003"/>
        <v>-0.15962065956323854</v>
      </c>
    </row>
    <row r="756" spans="1:20" x14ac:dyDescent="0.25">
      <c r="A756" s="5">
        <v>43837</v>
      </c>
      <c r="B756">
        <v>0.19670000000000001</v>
      </c>
      <c r="C756">
        <v>0.1993</v>
      </c>
      <c r="D756">
        <v>0.1855</v>
      </c>
      <c r="E756">
        <v>0.18779999999999999</v>
      </c>
      <c r="F756">
        <v>1325204.26</v>
      </c>
      <c r="G756">
        <v>0</v>
      </c>
      <c r="L756" t="s">
        <v>7</v>
      </c>
      <c r="M756" t="s">
        <v>8</v>
      </c>
      <c r="N756" t="s">
        <v>7</v>
      </c>
      <c r="P756">
        <f t="shared" si="999"/>
        <v>-0.6666666666666673</v>
      </c>
      <c r="Q756">
        <f t="shared" si="1000"/>
        <v>-883469.50666666753</v>
      </c>
      <c r="R756">
        <f t="shared" si="1001"/>
        <v>-19221453.776323847</v>
      </c>
      <c r="S756">
        <f t="shared" si="1002"/>
        <v>-192.21453776323847</v>
      </c>
      <c r="T756">
        <f t="shared" si="1003"/>
        <v>-0.19221453776323846</v>
      </c>
    </row>
    <row r="757" spans="1:20" x14ac:dyDescent="0.25">
      <c r="A757" s="5">
        <v>43836</v>
      </c>
      <c r="B757">
        <v>0.18659999999999999</v>
      </c>
      <c r="C757">
        <v>0.19769999999999999</v>
      </c>
      <c r="D757">
        <v>0.18640000000000001</v>
      </c>
      <c r="E757">
        <v>0.1958</v>
      </c>
      <c r="F757">
        <v>1254892.8500000001</v>
      </c>
      <c r="G757">
        <v>0</v>
      </c>
      <c r="L757" t="s">
        <v>8</v>
      </c>
      <c r="M757" t="s">
        <v>8</v>
      </c>
      <c r="N757" t="s">
        <v>7</v>
      </c>
      <c r="P757">
        <f t="shared" si="999"/>
        <v>0.66371681415929396</v>
      </c>
      <c r="Q757">
        <f t="shared" si="1000"/>
        <v>832893.48451327684</v>
      </c>
      <c r="R757">
        <f t="shared" si="1001"/>
        <v>-18337984.26965718</v>
      </c>
      <c r="S757">
        <f t="shared" si="1002"/>
        <v>-183.37984269657179</v>
      </c>
      <c r="T757">
        <f t="shared" si="1003"/>
        <v>-0.18337984269657179</v>
      </c>
    </row>
    <row r="758" spans="1:20" x14ac:dyDescent="0.25">
      <c r="A758" s="5">
        <v>43835</v>
      </c>
      <c r="B758">
        <v>0.187</v>
      </c>
      <c r="C758">
        <v>0.19040000000000001</v>
      </c>
      <c r="D758">
        <v>0.18609999999999999</v>
      </c>
      <c r="E758">
        <v>0.18609999999999999</v>
      </c>
      <c r="F758">
        <v>801670.76</v>
      </c>
      <c r="G758">
        <v>0</v>
      </c>
      <c r="L758" t="s">
        <v>8</v>
      </c>
      <c r="M758" t="s">
        <v>8</v>
      </c>
      <c r="N758" t="s">
        <v>7</v>
      </c>
      <c r="P758">
        <f t="shared" si="999"/>
        <v>-1</v>
      </c>
      <c r="Q758">
        <f t="shared" si="1000"/>
        <v>-801670.76</v>
      </c>
      <c r="R758">
        <f t="shared" si="1001"/>
        <v>-19170877.754170455</v>
      </c>
      <c r="S758">
        <f t="shared" si="1002"/>
        <v>-191.70877754170456</v>
      </c>
      <c r="T758">
        <f t="shared" si="1003"/>
        <v>-0.19170877754170457</v>
      </c>
    </row>
    <row r="759" spans="1:20" x14ac:dyDescent="0.25">
      <c r="A759" s="5">
        <v>43834</v>
      </c>
      <c r="B759">
        <v>0.18240000000000001</v>
      </c>
      <c r="C759">
        <v>0.19</v>
      </c>
      <c r="D759">
        <v>0.18140000000000001</v>
      </c>
      <c r="E759">
        <v>0.18640000000000001</v>
      </c>
      <c r="F759">
        <v>683707.09</v>
      </c>
      <c r="G759">
        <v>0</v>
      </c>
      <c r="L759" t="s">
        <v>8</v>
      </c>
      <c r="M759" t="s">
        <v>8</v>
      </c>
      <c r="N759" t="s">
        <v>7</v>
      </c>
      <c r="P759">
        <f t="shared" si="999"/>
        <v>0.16279069767442012</v>
      </c>
      <c r="Q759">
        <f t="shared" si="1000"/>
        <v>111301.15418604754</v>
      </c>
      <c r="R759">
        <f t="shared" si="1001"/>
        <v>-18369206.994170453</v>
      </c>
      <c r="S759">
        <f t="shared" si="1002"/>
        <v>-183.69206994170455</v>
      </c>
      <c r="T759">
        <f t="shared" si="1003"/>
        <v>-0.18369206994170453</v>
      </c>
    </row>
    <row r="760" spans="1:20" x14ac:dyDescent="0.25">
      <c r="A760" s="5">
        <v>43833</v>
      </c>
      <c r="B760">
        <v>0.17499999999999999</v>
      </c>
      <c r="C760">
        <v>0.18329999999999999</v>
      </c>
      <c r="D760">
        <v>0.17349999999999999</v>
      </c>
      <c r="E760">
        <v>0.18210000000000001</v>
      </c>
      <c r="F760">
        <v>799361.48</v>
      </c>
      <c r="G760">
        <v>0</v>
      </c>
      <c r="L760" t="s">
        <v>7</v>
      </c>
      <c r="M760" t="s">
        <v>8</v>
      </c>
      <c r="N760" t="s">
        <v>7</v>
      </c>
      <c r="P760">
        <f t="shared" si="999"/>
        <v>0.75510204081633092</v>
      </c>
      <c r="Q760">
        <f t="shared" si="1000"/>
        <v>603599.48489796265</v>
      </c>
      <c r="R760">
        <f t="shared" si="1001"/>
        <v>-18480508.148356501</v>
      </c>
      <c r="S760">
        <f t="shared" si="1002"/>
        <v>-184.805081483565</v>
      </c>
      <c r="T760">
        <f t="shared" si="1003"/>
        <v>-0.184805081483565</v>
      </c>
    </row>
    <row r="761" spans="1:20" x14ac:dyDescent="0.25">
      <c r="A761" s="5">
        <v>43832</v>
      </c>
      <c r="B761">
        <v>0.18290000000000001</v>
      </c>
      <c r="C761">
        <v>0.18559999999999999</v>
      </c>
      <c r="D761">
        <v>0.17369999999999999</v>
      </c>
      <c r="E761">
        <v>0.17519999999999999</v>
      </c>
      <c r="F761">
        <v>956554.39</v>
      </c>
      <c r="G761">
        <v>0</v>
      </c>
      <c r="L761" t="s">
        <v>7</v>
      </c>
      <c r="M761" t="s">
        <v>8</v>
      </c>
      <c r="N761" t="s">
        <v>7</v>
      </c>
      <c r="P761">
        <f t="shared" si="999"/>
        <v>-0.74789915966386522</v>
      </c>
      <c r="Q761">
        <f t="shared" si="1000"/>
        <v>-715406.22445378127</v>
      </c>
      <c r="R761">
        <f t="shared" si="1001"/>
        <v>-19084107.633254465</v>
      </c>
      <c r="S761">
        <f t="shared" si="1002"/>
        <v>-190.84107633254465</v>
      </c>
      <c r="T761">
        <f t="shared" si="1003"/>
        <v>-0.19084107633254466</v>
      </c>
    </row>
    <row r="762" spans="1:20" x14ac:dyDescent="0.25">
      <c r="A762" s="5">
        <v>43831</v>
      </c>
      <c r="B762">
        <v>0.18090000000000001</v>
      </c>
      <c r="C762">
        <v>0.18609999999999999</v>
      </c>
      <c r="D762">
        <v>0.18</v>
      </c>
      <c r="E762">
        <v>0.1825</v>
      </c>
      <c r="F762">
        <v>490879.05</v>
      </c>
      <c r="G762">
        <v>0</v>
      </c>
      <c r="L762" t="s">
        <v>7</v>
      </c>
      <c r="M762" t="s">
        <v>8</v>
      </c>
      <c r="N762" t="s">
        <v>7</v>
      </c>
      <c r="P762">
        <f t="shared" si="999"/>
        <v>-0.18032786885245752</v>
      </c>
      <c r="Q762">
        <f t="shared" si="1000"/>
        <v>-88519.172950818931</v>
      </c>
      <c r="R762">
        <f t="shared" si="1001"/>
        <v>-18368701.408800684</v>
      </c>
      <c r="S762">
        <f t="shared" si="1002"/>
        <v>-183.68701408800683</v>
      </c>
      <c r="T762">
        <f t="shared" si="1003"/>
        <v>-0.18368701408800683</v>
      </c>
    </row>
    <row r="763" spans="1:20" x14ac:dyDescent="0.25">
      <c r="A763" s="5">
        <v>43830</v>
      </c>
      <c r="B763">
        <v>0.188</v>
      </c>
      <c r="C763">
        <v>0.18920000000000001</v>
      </c>
      <c r="D763">
        <v>0.18060000000000001</v>
      </c>
      <c r="E763">
        <v>0.18149999999999999</v>
      </c>
      <c r="F763">
        <v>792937.61</v>
      </c>
      <c r="G763">
        <v>0</v>
      </c>
      <c r="L763" t="s">
        <v>7</v>
      </c>
      <c r="M763" t="s">
        <v>8</v>
      </c>
      <c r="N763" t="s">
        <v>7</v>
      </c>
      <c r="P763">
        <f t="shared" si="999"/>
        <v>-0.79069767441860828</v>
      </c>
      <c r="Q763">
        <f t="shared" si="1000"/>
        <v>-626973.92418604938</v>
      </c>
      <c r="R763">
        <f t="shared" si="1001"/>
        <v>-18280182.235849865</v>
      </c>
      <c r="S763">
        <f t="shared" si="1002"/>
        <v>-182.80182235849864</v>
      </c>
      <c r="T763">
        <f t="shared" si="1003"/>
        <v>-0.18280182235849865</v>
      </c>
    </row>
    <row r="764" spans="1:20" x14ac:dyDescent="0.25">
      <c r="A764" s="5">
        <v>43829</v>
      </c>
      <c r="B764">
        <v>0.19689999999999999</v>
      </c>
      <c r="C764">
        <v>0.1978</v>
      </c>
      <c r="D764">
        <v>0.1875</v>
      </c>
      <c r="E764">
        <v>0.1883</v>
      </c>
      <c r="F764">
        <v>1236564.21</v>
      </c>
      <c r="G764">
        <v>0</v>
      </c>
      <c r="L764" t="s">
        <v>8</v>
      </c>
      <c r="M764" t="s">
        <v>8</v>
      </c>
      <c r="N764" t="s">
        <v>7</v>
      </c>
      <c r="P764">
        <f t="shared" si="999"/>
        <v>-0.84466019417475824</v>
      </c>
      <c r="Q764">
        <f t="shared" si="1000"/>
        <v>-1044476.5657281565</v>
      </c>
      <c r="R764">
        <f t="shared" si="1001"/>
        <v>-17653208.311663814</v>
      </c>
      <c r="S764">
        <f t="shared" si="1002"/>
        <v>-176.53208311663815</v>
      </c>
      <c r="T764">
        <f t="shared" si="1003"/>
        <v>-0.17653208311663815</v>
      </c>
    </row>
    <row r="765" spans="1:20" x14ac:dyDescent="0.25">
      <c r="A765" s="5">
        <v>43828</v>
      </c>
      <c r="B765">
        <v>0.18479999999999999</v>
      </c>
      <c r="C765">
        <v>0.19919999999999999</v>
      </c>
      <c r="D765">
        <v>0.18429999999999999</v>
      </c>
      <c r="E765">
        <v>0.19700000000000001</v>
      </c>
      <c r="F765">
        <v>1408733.3</v>
      </c>
      <c r="G765">
        <v>0</v>
      </c>
      <c r="L765" t="s">
        <v>8</v>
      </c>
      <c r="M765" t="s">
        <v>8</v>
      </c>
      <c r="N765" t="s">
        <v>7</v>
      </c>
      <c r="P765">
        <f t="shared" si="999"/>
        <v>0.70469798657718385</v>
      </c>
      <c r="Q765">
        <f t="shared" si="1000"/>
        <v>992731.52013423201</v>
      </c>
      <c r="R765">
        <f t="shared" si="1001"/>
        <v>-16608731.745935656</v>
      </c>
      <c r="S765">
        <f t="shared" si="1002"/>
        <v>-166.08731745935657</v>
      </c>
      <c r="T765">
        <f t="shared" si="1003"/>
        <v>-0.16608731745935656</v>
      </c>
    </row>
    <row r="766" spans="1:20" x14ac:dyDescent="0.25">
      <c r="A766" s="5">
        <v>43827</v>
      </c>
      <c r="B766">
        <v>0.18609999999999999</v>
      </c>
      <c r="C766">
        <v>0.1867</v>
      </c>
      <c r="D766">
        <v>0.1825</v>
      </c>
      <c r="E766">
        <v>0.185</v>
      </c>
      <c r="F766">
        <v>498524.52</v>
      </c>
      <c r="G766">
        <v>0</v>
      </c>
      <c r="L766" t="s">
        <v>7</v>
      </c>
      <c r="M766" t="s">
        <v>8</v>
      </c>
      <c r="N766" t="s">
        <v>7</v>
      </c>
      <c r="P766">
        <f t="shared" si="999"/>
        <v>0.19047619047618891</v>
      </c>
      <c r="Q766">
        <f t="shared" si="1000"/>
        <v>94957.051428570645</v>
      </c>
      <c r="R766">
        <f t="shared" si="1001"/>
        <v>-17601463.266069889</v>
      </c>
      <c r="S766">
        <f t="shared" si="1002"/>
        <v>-176.01463266069888</v>
      </c>
      <c r="T766">
        <f t="shared" si="1003"/>
        <v>-0.17601463266069889</v>
      </c>
    </row>
    <row r="767" spans="1:20" x14ac:dyDescent="0.25">
      <c r="A767" s="5">
        <v>43826</v>
      </c>
      <c r="B767">
        <v>0.18090000000000001</v>
      </c>
      <c r="C767">
        <v>0.1862</v>
      </c>
      <c r="D767">
        <v>0.18</v>
      </c>
      <c r="E767">
        <v>0.18540000000000001</v>
      </c>
      <c r="F767">
        <v>700480.28</v>
      </c>
      <c r="G767">
        <v>0</v>
      </c>
      <c r="L767" t="s">
        <v>7</v>
      </c>
      <c r="M767" t="s">
        <v>8</v>
      </c>
      <c r="N767" t="s">
        <v>7</v>
      </c>
      <c r="P767">
        <f t="shared" ref="P767:P830" si="1004">IF(C767=D767,0,((E767-D767)-(C767-E767))/(C767-D767))</f>
        <v>0.74193548387096975</v>
      </c>
      <c r="Q767">
        <f t="shared" ref="Q767:Q830" si="1005">F767*P767</f>
        <v>519711.17548387242</v>
      </c>
      <c r="R767">
        <f t="shared" ref="R767:R830" si="1006">R768+Q767</f>
        <v>-17696420.31749846</v>
      </c>
      <c r="S767">
        <f t="shared" ref="S767:S830" si="1007">R767/100000</f>
        <v>-176.96420317498462</v>
      </c>
      <c r="T767">
        <f t="shared" ref="T767:T830" si="1008">S767/1000</f>
        <v>-0.17696420317498462</v>
      </c>
    </row>
    <row r="768" spans="1:20" x14ac:dyDescent="0.25">
      <c r="A768" s="5">
        <v>43825</v>
      </c>
      <c r="B768">
        <v>0.1812</v>
      </c>
      <c r="C768">
        <v>0.18759999999999999</v>
      </c>
      <c r="D768">
        <v>0.17949999999999999</v>
      </c>
      <c r="E768">
        <v>0.18110000000000001</v>
      </c>
      <c r="F768">
        <v>746914.28</v>
      </c>
      <c r="G768">
        <v>0</v>
      </c>
      <c r="L768" t="s">
        <v>7</v>
      </c>
      <c r="M768" t="s">
        <v>8</v>
      </c>
      <c r="N768" t="s">
        <v>7</v>
      </c>
      <c r="P768">
        <f t="shared" si="1004"/>
        <v>-0.60493827160493363</v>
      </c>
      <c r="Q768">
        <f t="shared" si="1005"/>
        <v>-451837.03358024347</v>
      </c>
      <c r="R768">
        <f t="shared" si="1006"/>
        <v>-18216131.492982332</v>
      </c>
      <c r="S768">
        <f t="shared" si="1007"/>
        <v>-182.16131492982331</v>
      </c>
      <c r="T768">
        <f t="shared" si="1008"/>
        <v>-0.18216131492982329</v>
      </c>
    </row>
    <row r="769" spans="1:20" x14ac:dyDescent="0.25">
      <c r="A769" s="5">
        <v>43824</v>
      </c>
      <c r="B769">
        <v>0.18329999999999999</v>
      </c>
      <c r="C769">
        <v>0.1862</v>
      </c>
      <c r="D769">
        <v>0.17949999999999999</v>
      </c>
      <c r="E769">
        <v>0.18149999999999999</v>
      </c>
      <c r="F769">
        <v>754289.95</v>
      </c>
      <c r="G769">
        <v>0</v>
      </c>
      <c r="L769" t="s">
        <v>7</v>
      </c>
      <c r="M769" t="s">
        <v>8</v>
      </c>
      <c r="N769" t="s">
        <v>7</v>
      </c>
      <c r="P769">
        <f t="shared" si="1004"/>
        <v>-0.40298507462686617</v>
      </c>
      <c r="Q769">
        <f t="shared" si="1005"/>
        <v>-303967.59179104515</v>
      </c>
      <c r="R769">
        <f t="shared" si="1006"/>
        <v>-17764294.459402088</v>
      </c>
      <c r="S769">
        <f t="shared" si="1007"/>
        <v>-177.64294459402089</v>
      </c>
      <c r="T769">
        <f t="shared" si="1008"/>
        <v>-0.17764294459402089</v>
      </c>
    </row>
    <row r="770" spans="1:20" x14ac:dyDescent="0.25">
      <c r="A770" s="5">
        <v>43823</v>
      </c>
      <c r="B770">
        <v>0.18379999999999999</v>
      </c>
      <c r="C770">
        <v>0.1857</v>
      </c>
      <c r="D770">
        <v>0.1807</v>
      </c>
      <c r="E770">
        <v>0.18340000000000001</v>
      </c>
      <c r="F770">
        <v>344496.57</v>
      </c>
      <c r="G770">
        <v>0</v>
      </c>
      <c r="L770" t="s">
        <v>7</v>
      </c>
      <c r="M770" t="s">
        <v>8</v>
      </c>
      <c r="N770" t="s">
        <v>7</v>
      </c>
      <c r="P770">
        <f t="shared" si="1004"/>
        <v>8.0000000000002222E-2</v>
      </c>
      <c r="Q770">
        <f t="shared" si="1005"/>
        <v>27559.725600000766</v>
      </c>
      <c r="R770">
        <f t="shared" si="1006"/>
        <v>-17460326.867611043</v>
      </c>
      <c r="S770">
        <f t="shared" si="1007"/>
        <v>-174.60326867611042</v>
      </c>
      <c r="T770">
        <f t="shared" si="1008"/>
        <v>-0.17460326867611042</v>
      </c>
    </row>
    <row r="771" spans="1:20" x14ac:dyDescent="0.25">
      <c r="A771" s="5">
        <v>43822</v>
      </c>
      <c r="B771">
        <v>0.1918</v>
      </c>
      <c r="C771">
        <v>0.19339999999999999</v>
      </c>
      <c r="D771">
        <v>0.1812</v>
      </c>
      <c r="E771">
        <v>0.18329999999999999</v>
      </c>
      <c r="F771">
        <v>610156.87</v>
      </c>
      <c r="G771">
        <v>0</v>
      </c>
      <c r="L771" t="s">
        <v>7</v>
      </c>
      <c r="M771" t="s">
        <v>8</v>
      </c>
      <c r="N771" t="s">
        <v>7</v>
      </c>
      <c r="P771">
        <f t="shared" si="1004"/>
        <v>-0.65573770491803396</v>
      </c>
      <c r="Q771">
        <f t="shared" si="1005"/>
        <v>-400102.86557377118</v>
      </c>
      <c r="R771">
        <f t="shared" si="1006"/>
        <v>-17487886.593211044</v>
      </c>
      <c r="S771">
        <f t="shared" si="1007"/>
        <v>-174.87886593211044</v>
      </c>
      <c r="T771">
        <f t="shared" si="1008"/>
        <v>-0.17487886593211044</v>
      </c>
    </row>
    <row r="772" spans="1:20" x14ac:dyDescent="0.25">
      <c r="A772" s="5">
        <v>43821</v>
      </c>
      <c r="B772">
        <v>0.1915</v>
      </c>
      <c r="C772">
        <v>0.1958</v>
      </c>
      <c r="D772">
        <v>0.1875</v>
      </c>
      <c r="E772">
        <v>0.1915</v>
      </c>
      <c r="F772">
        <v>454921.6</v>
      </c>
      <c r="G772">
        <v>0</v>
      </c>
      <c r="L772" t="s">
        <v>7</v>
      </c>
      <c r="M772" t="s">
        <v>8</v>
      </c>
      <c r="N772" t="s">
        <v>7</v>
      </c>
      <c r="P772">
        <f t="shared" si="1004"/>
        <v>-3.6144578313252365E-2</v>
      </c>
      <c r="Q772">
        <f t="shared" si="1005"/>
        <v>-16442.949397590066</v>
      </c>
      <c r="R772">
        <f t="shared" si="1006"/>
        <v>-17087783.727637272</v>
      </c>
      <c r="S772">
        <f t="shared" si="1007"/>
        <v>-170.87783727637273</v>
      </c>
      <c r="T772">
        <f t="shared" si="1008"/>
        <v>-0.17087783727637273</v>
      </c>
    </row>
    <row r="773" spans="1:20" x14ac:dyDescent="0.25">
      <c r="A773" s="5">
        <v>43820</v>
      </c>
      <c r="B773">
        <v>0.19289999999999999</v>
      </c>
      <c r="C773">
        <v>0.1933</v>
      </c>
      <c r="D773">
        <v>0.18720000000000001</v>
      </c>
      <c r="E773">
        <v>0.19170000000000001</v>
      </c>
      <c r="F773">
        <v>462363.27</v>
      </c>
      <c r="G773">
        <v>0</v>
      </c>
      <c r="L773" t="s">
        <v>7</v>
      </c>
      <c r="M773" t="s">
        <v>8</v>
      </c>
      <c r="N773" t="s">
        <v>7</v>
      </c>
      <c r="P773">
        <f t="shared" si="1004"/>
        <v>0.47540983606557646</v>
      </c>
      <c r="Q773">
        <f t="shared" si="1005"/>
        <v>219812.04639344389</v>
      </c>
      <c r="R773">
        <f t="shared" si="1006"/>
        <v>-17071340.778239682</v>
      </c>
      <c r="S773">
        <f t="shared" si="1007"/>
        <v>-170.71340778239681</v>
      </c>
      <c r="T773">
        <f t="shared" si="1008"/>
        <v>-0.17071340778239683</v>
      </c>
    </row>
    <row r="774" spans="1:20" x14ac:dyDescent="0.25">
      <c r="A774" s="5">
        <v>43819</v>
      </c>
      <c r="B774">
        <v>0.18679999999999999</v>
      </c>
      <c r="C774">
        <v>0.1986</v>
      </c>
      <c r="D774">
        <v>0.18540000000000001</v>
      </c>
      <c r="E774">
        <v>0.192</v>
      </c>
      <c r="F774">
        <v>777308.29</v>
      </c>
      <c r="G774">
        <v>0</v>
      </c>
      <c r="L774" t="s">
        <v>7</v>
      </c>
      <c r="M774" t="s">
        <v>8</v>
      </c>
      <c r="N774" t="s">
        <v>7</v>
      </c>
      <c r="P774">
        <f t="shared" si="1004"/>
        <v>0</v>
      </c>
      <c r="Q774">
        <f t="shared" si="1005"/>
        <v>0</v>
      </c>
      <c r="R774">
        <f t="shared" si="1006"/>
        <v>-17291152.824633125</v>
      </c>
      <c r="S774">
        <f t="shared" si="1007"/>
        <v>-172.91152824633124</v>
      </c>
      <c r="T774">
        <f t="shared" si="1008"/>
        <v>-0.17291152824633124</v>
      </c>
    </row>
    <row r="775" spans="1:20" x14ac:dyDescent="0.25">
      <c r="A775" s="5">
        <v>43818</v>
      </c>
      <c r="B775">
        <v>0.2011</v>
      </c>
      <c r="C775">
        <v>0.2024</v>
      </c>
      <c r="D775">
        <v>0.1817</v>
      </c>
      <c r="E775">
        <v>0.18729999999999999</v>
      </c>
      <c r="F775">
        <v>1214327.48</v>
      </c>
      <c r="G775">
        <v>0</v>
      </c>
      <c r="L775" t="s">
        <v>8</v>
      </c>
      <c r="M775" t="s">
        <v>8</v>
      </c>
      <c r="N775" t="s">
        <v>7</v>
      </c>
      <c r="P775">
        <f t="shared" si="1004"/>
        <v>-0.45893719806763333</v>
      </c>
      <c r="Q775">
        <f t="shared" si="1005"/>
        <v>-557300.05120773008</v>
      </c>
      <c r="R775">
        <f t="shared" si="1006"/>
        <v>-17291152.824633125</v>
      </c>
      <c r="S775">
        <f t="shared" si="1007"/>
        <v>-172.91152824633124</v>
      </c>
      <c r="T775">
        <f t="shared" si="1008"/>
        <v>-0.17291152824633124</v>
      </c>
    </row>
    <row r="776" spans="1:20" x14ac:dyDescent="0.25">
      <c r="A776" s="5">
        <v>43817</v>
      </c>
      <c r="B776">
        <v>0.1777</v>
      </c>
      <c r="C776">
        <v>0.2054</v>
      </c>
      <c r="D776">
        <v>0.1714</v>
      </c>
      <c r="E776">
        <v>0.2011</v>
      </c>
      <c r="F776">
        <v>2388621.71</v>
      </c>
      <c r="G776">
        <v>0</v>
      </c>
      <c r="L776" t="s">
        <v>7</v>
      </c>
      <c r="M776" t="s">
        <v>7</v>
      </c>
      <c r="N776" t="s">
        <v>7</v>
      </c>
      <c r="P776">
        <f t="shared" si="1004"/>
        <v>0.74705882352941189</v>
      </c>
      <c r="Q776">
        <f t="shared" si="1005"/>
        <v>1784440.9245294121</v>
      </c>
      <c r="R776">
        <f t="shared" si="1006"/>
        <v>-16733852.773425395</v>
      </c>
      <c r="S776">
        <f t="shared" si="1007"/>
        <v>-167.33852773425394</v>
      </c>
      <c r="T776">
        <f t="shared" si="1008"/>
        <v>-0.16733852773425395</v>
      </c>
    </row>
    <row r="777" spans="1:20" x14ac:dyDescent="0.25">
      <c r="A777" s="5">
        <v>43816</v>
      </c>
      <c r="B777">
        <v>0.1928</v>
      </c>
      <c r="C777">
        <v>0.19570000000000001</v>
      </c>
      <c r="D777">
        <v>0.1777</v>
      </c>
      <c r="E777">
        <v>0.1782</v>
      </c>
      <c r="F777">
        <v>1345653.9</v>
      </c>
      <c r="G777">
        <v>0</v>
      </c>
      <c r="L777" t="s">
        <v>7</v>
      </c>
      <c r="M777" t="s">
        <v>7</v>
      </c>
      <c r="N777" t="s">
        <v>7</v>
      </c>
      <c r="P777">
        <f t="shared" si="1004"/>
        <v>-0.94444444444444442</v>
      </c>
      <c r="Q777">
        <f t="shared" si="1005"/>
        <v>-1270895.3499999999</v>
      </c>
      <c r="R777">
        <f t="shared" si="1006"/>
        <v>-18518293.697954807</v>
      </c>
      <c r="S777">
        <f t="shared" si="1007"/>
        <v>-185.18293697954806</v>
      </c>
      <c r="T777">
        <f t="shared" si="1008"/>
        <v>-0.18518293697954807</v>
      </c>
    </row>
    <row r="778" spans="1:20" x14ac:dyDescent="0.25">
      <c r="A778" s="5">
        <v>43815</v>
      </c>
      <c r="B778">
        <v>0.2072</v>
      </c>
      <c r="C778">
        <v>0.2099</v>
      </c>
      <c r="D778">
        <v>0.19009999999999999</v>
      </c>
      <c r="E778">
        <v>0.1928</v>
      </c>
      <c r="F778">
        <v>1338060.49</v>
      </c>
      <c r="G778">
        <v>0</v>
      </c>
      <c r="L778" t="s">
        <v>7</v>
      </c>
      <c r="M778" t="s">
        <v>7</v>
      </c>
      <c r="N778" t="s">
        <v>7</v>
      </c>
      <c r="P778">
        <f t="shared" si="1004"/>
        <v>-0.72727272727272663</v>
      </c>
      <c r="Q778">
        <f t="shared" si="1005"/>
        <v>-973134.90181818092</v>
      </c>
      <c r="R778">
        <f t="shared" si="1006"/>
        <v>-17247398.347954806</v>
      </c>
      <c r="S778">
        <f t="shared" si="1007"/>
        <v>-172.47398347954805</v>
      </c>
      <c r="T778">
        <f t="shared" si="1008"/>
        <v>-0.17247398347954807</v>
      </c>
    </row>
    <row r="779" spans="1:20" x14ac:dyDescent="0.25">
      <c r="A779" s="5">
        <v>43814</v>
      </c>
      <c r="B779">
        <v>0.21049999999999999</v>
      </c>
      <c r="C779">
        <v>0.21060000000000001</v>
      </c>
      <c r="D779">
        <v>0.20169999999999999</v>
      </c>
      <c r="E779">
        <v>0.2072</v>
      </c>
      <c r="F779">
        <v>923868.62</v>
      </c>
      <c r="G779">
        <v>0</v>
      </c>
      <c r="L779" t="s">
        <v>7</v>
      </c>
      <c r="M779" t="s">
        <v>7</v>
      </c>
      <c r="N779" t="s">
        <v>7</v>
      </c>
      <c r="P779">
        <f t="shared" si="1004"/>
        <v>0.23595505617977375</v>
      </c>
      <c r="Q779">
        <f t="shared" si="1005"/>
        <v>217991.47213483005</v>
      </c>
      <c r="R779">
        <f t="shared" si="1006"/>
        <v>-16274263.446136625</v>
      </c>
      <c r="S779">
        <f t="shared" si="1007"/>
        <v>-162.74263446136626</v>
      </c>
      <c r="T779">
        <f t="shared" si="1008"/>
        <v>-0.16274263446136628</v>
      </c>
    </row>
    <row r="780" spans="1:20" x14ac:dyDescent="0.25">
      <c r="A780" s="5">
        <v>43813</v>
      </c>
      <c r="B780">
        <v>0.22059999999999999</v>
      </c>
      <c r="C780">
        <v>0.22320000000000001</v>
      </c>
      <c r="D780">
        <v>0.2102</v>
      </c>
      <c r="E780">
        <v>0.2112</v>
      </c>
      <c r="F780">
        <v>529149.22</v>
      </c>
      <c r="G780">
        <v>0</v>
      </c>
      <c r="L780" t="s">
        <v>7</v>
      </c>
      <c r="M780" t="s">
        <v>7</v>
      </c>
      <c r="N780" t="s">
        <v>7</v>
      </c>
      <c r="P780">
        <f t="shared" si="1004"/>
        <v>-0.84615384615384615</v>
      </c>
      <c r="Q780">
        <f t="shared" si="1005"/>
        <v>-447741.64769230766</v>
      </c>
      <c r="R780">
        <f t="shared" si="1006"/>
        <v>-16492254.918271456</v>
      </c>
      <c r="S780">
        <f t="shared" si="1007"/>
        <v>-164.92254918271456</v>
      </c>
      <c r="T780">
        <f t="shared" si="1008"/>
        <v>-0.16492254918271457</v>
      </c>
    </row>
    <row r="781" spans="1:20" x14ac:dyDescent="0.25">
      <c r="A781" s="5">
        <v>43812</v>
      </c>
      <c r="B781">
        <v>0.21679999999999999</v>
      </c>
      <c r="C781">
        <v>0.22189999999999999</v>
      </c>
      <c r="D781">
        <v>0.21540000000000001</v>
      </c>
      <c r="E781">
        <v>0.22059999999999999</v>
      </c>
      <c r="F781">
        <v>424436.84</v>
      </c>
      <c r="G781">
        <v>0</v>
      </c>
      <c r="L781" t="s">
        <v>7</v>
      </c>
      <c r="M781" t="s">
        <v>7</v>
      </c>
      <c r="N781" t="s">
        <v>7</v>
      </c>
      <c r="P781">
        <f t="shared" si="1004"/>
        <v>0.6</v>
      </c>
      <c r="Q781">
        <f t="shared" si="1005"/>
        <v>254662.10399999999</v>
      </c>
      <c r="R781">
        <f t="shared" si="1006"/>
        <v>-16044513.270579148</v>
      </c>
      <c r="S781">
        <f t="shared" si="1007"/>
        <v>-160.44513270579148</v>
      </c>
      <c r="T781">
        <f t="shared" si="1008"/>
        <v>-0.16044513270579147</v>
      </c>
    </row>
    <row r="782" spans="1:20" x14ac:dyDescent="0.25">
      <c r="A782" s="5">
        <v>43811</v>
      </c>
      <c r="B782">
        <v>0.22209999999999999</v>
      </c>
      <c r="C782">
        <v>0.2238</v>
      </c>
      <c r="D782">
        <v>0.215</v>
      </c>
      <c r="E782">
        <v>0.21659999999999999</v>
      </c>
      <c r="F782">
        <v>476906.6</v>
      </c>
      <c r="G782">
        <v>0</v>
      </c>
      <c r="L782" t="s">
        <v>7</v>
      </c>
      <c r="M782" t="s">
        <v>7</v>
      </c>
      <c r="N782" t="s">
        <v>7</v>
      </c>
      <c r="P782">
        <f t="shared" si="1004"/>
        <v>-0.63636363636363869</v>
      </c>
      <c r="Q782">
        <f t="shared" si="1005"/>
        <v>-303486.01818181929</v>
      </c>
      <c r="R782">
        <f t="shared" si="1006"/>
        <v>-16299175.374579148</v>
      </c>
      <c r="S782">
        <f t="shared" si="1007"/>
        <v>-162.99175374579147</v>
      </c>
      <c r="T782">
        <f t="shared" si="1008"/>
        <v>-0.16299175374579147</v>
      </c>
    </row>
    <row r="783" spans="1:20" x14ac:dyDescent="0.25">
      <c r="A783" s="5">
        <v>43810</v>
      </c>
      <c r="B783">
        <v>0.2263</v>
      </c>
      <c r="C783">
        <v>0.22770000000000001</v>
      </c>
      <c r="D783">
        <v>0.21709999999999999</v>
      </c>
      <c r="E783">
        <v>0.22239999999999999</v>
      </c>
      <c r="F783">
        <v>611809.86</v>
      </c>
      <c r="G783">
        <v>0</v>
      </c>
      <c r="L783" t="s">
        <v>7</v>
      </c>
      <c r="M783" t="s">
        <v>7</v>
      </c>
      <c r="N783" t="s">
        <v>7</v>
      </c>
      <c r="P783">
        <f t="shared" si="1004"/>
        <v>-2.6184505297763063E-15</v>
      </c>
      <c r="Q783">
        <f t="shared" si="1005"/>
        <v>-1.6019938520393678E-9</v>
      </c>
      <c r="R783">
        <f t="shared" si="1006"/>
        <v>-15995689.356397329</v>
      </c>
      <c r="S783">
        <f t="shared" si="1007"/>
        <v>-159.9568935639733</v>
      </c>
      <c r="T783">
        <f t="shared" si="1008"/>
        <v>-0.1599568935639733</v>
      </c>
    </row>
    <row r="784" spans="1:20" x14ac:dyDescent="0.25">
      <c r="A784" s="5">
        <v>43809</v>
      </c>
      <c r="B784">
        <v>0.23089999999999999</v>
      </c>
      <c r="C784">
        <v>0.23169999999999999</v>
      </c>
      <c r="D784">
        <v>0.21909999999999999</v>
      </c>
      <c r="E784">
        <v>0.2263</v>
      </c>
      <c r="F784">
        <v>831249.61</v>
      </c>
      <c r="G784">
        <v>0</v>
      </c>
      <c r="L784" t="s">
        <v>7</v>
      </c>
      <c r="M784" t="s">
        <v>7</v>
      </c>
      <c r="N784" t="s">
        <v>7</v>
      </c>
      <c r="P784">
        <f t="shared" si="1004"/>
        <v>0.14285714285714474</v>
      </c>
      <c r="Q784">
        <f t="shared" si="1005"/>
        <v>118749.94428571584</v>
      </c>
      <c r="R784">
        <f t="shared" si="1006"/>
        <v>-15995689.356397327</v>
      </c>
      <c r="S784">
        <f t="shared" si="1007"/>
        <v>-159.95689356397327</v>
      </c>
      <c r="T784">
        <f t="shared" si="1008"/>
        <v>-0.15995689356397327</v>
      </c>
    </row>
    <row r="785" spans="1:20" x14ac:dyDescent="0.25">
      <c r="A785" s="5">
        <v>43808</v>
      </c>
      <c r="B785">
        <v>0.23710000000000001</v>
      </c>
      <c r="C785">
        <v>0.2387</v>
      </c>
      <c r="D785">
        <v>0.22789999999999999</v>
      </c>
      <c r="E785">
        <v>0.2306</v>
      </c>
      <c r="F785">
        <v>459220.19</v>
      </c>
      <c r="G785">
        <v>0</v>
      </c>
      <c r="L785" t="s">
        <v>7</v>
      </c>
      <c r="M785" t="s">
        <v>7</v>
      </c>
      <c r="N785" t="s">
        <v>7</v>
      </c>
      <c r="P785">
        <f t="shared" si="1004"/>
        <v>-0.49999999999999872</v>
      </c>
      <c r="Q785">
        <f t="shared" si="1005"/>
        <v>-229610.09499999942</v>
      </c>
      <c r="R785">
        <f t="shared" si="1006"/>
        <v>-16114439.300683042</v>
      </c>
      <c r="S785">
        <f t="shared" si="1007"/>
        <v>-161.14439300683043</v>
      </c>
      <c r="T785">
        <f t="shared" si="1008"/>
        <v>-0.16114439300683042</v>
      </c>
    </row>
    <row r="786" spans="1:20" x14ac:dyDescent="0.25">
      <c r="A786" s="5">
        <v>43807</v>
      </c>
      <c r="B786">
        <v>0.23580000000000001</v>
      </c>
      <c r="C786">
        <v>0.24030000000000001</v>
      </c>
      <c r="D786">
        <v>0.23100000000000001</v>
      </c>
      <c r="E786">
        <v>0.23669999999999999</v>
      </c>
      <c r="F786">
        <v>492513.79</v>
      </c>
      <c r="G786">
        <v>0</v>
      </c>
      <c r="L786" t="s">
        <v>8</v>
      </c>
      <c r="M786" t="s">
        <v>7</v>
      </c>
      <c r="N786" t="s">
        <v>7</v>
      </c>
      <c r="P786">
        <f t="shared" si="1004"/>
        <v>0.22580645161289919</v>
      </c>
      <c r="Q786">
        <f t="shared" si="1005"/>
        <v>111212.79129032059</v>
      </c>
      <c r="R786">
        <f t="shared" si="1006"/>
        <v>-15884829.205683043</v>
      </c>
      <c r="S786">
        <f t="shared" si="1007"/>
        <v>-158.84829205683045</v>
      </c>
      <c r="T786">
        <f t="shared" si="1008"/>
        <v>-0.15884829205683043</v>
      </c>
    </row>
    <row r="787" spans="1:20" x14ac:dyDescent="0.25">
      <c r="A787" s="5">
        <v>43806</v>
      </c>
      <c r="B787">
        <v>0.2427</v>
      </c>
      <c r="C787">
        <v>0.2429</v>
      </c>
      <c r="D787">
        <v>0.23480000000000001</v>
      </c>
      <c r="E787">
        <v>0.23630000000000001</v>
      </c>
      <c r="F787">
        <v>560542.23</v>
      </c>
      <c r="G787">
        <v>0</v>
      </c>
      <c r="L787" t="s">
        <v>8</v>
      </c>
      <c r="M787" t="s">
        <v>7</v>
      </c>
      <c r="N787" t="s">
        <v>7</v>
      </c>
      <c r="P787">
        <f t="shared" si="1004"/>
        <v>-0.6296296296296291</v>
      </c>
      <c r="Q787">
        <f t="shared" si="1005"/>
        <v>-352933.99666666635</v>
      </c>
      <c r="R787">
        <f t="shared" si="1006"/>
        <v>-15996041.996973364</v>
      </c>
      <c r="S787">
        <f t="shared" si="1007"/>
        <v>-159.96041996973364</v>
      </c>
      <c r="T787">
        <f t="shared" si="1008"/>
        <v>-0.15996041996973365</v>
      </c>
    </row>
    <row r="788" spans="1:20" x14ac:dyDescent="0.25">
      <c r="A788" s="5">
        <v>43805</v>
      </c>
      <c r="B788">
        <v>0.23119999999999999</v>
      </c>
      <c r="C788">
        <v>0.24940000000000001</v>
      </c>
      <c r="D788">
        <v>0.2293</v>
      </c>
      <c r="E788">
        <v>0.2429</v>
      </c>
      <c r="F788">
        <v>1392385.31</v>
      </c>
      <c r="G788">
        <v>0</v>
      </c>
      <c r="L788" t="s">
        <v>8</v>
      </c>
      <c r="M788" t="s">
        <v>7</v>
      </c>
      <c r="N788" t="s">
        <v>7</v>
      </c>
      <c r="P788">
        <f t="shared" si="1004"/>
        <v>0.35323383084577081</v>
      </c>
      <c r="Q788">
        <f t="shared" si="1005"/>
        <v>491837.59706467617</v>
      </c>
      <c r="R788">
        <f t="shared" si="1006"/>
        <v>-15643108.000306698</v>
      </c>
      <c r="S788">
        <f t="shared" si="1007"/>
        <v>-156.43108000306697</v>
      </c>
      <c r="T788">
        <f t="shared" si="1008"/>
        <v>-0.15643108000306696</v>
      </c>
    </row>
    <row r="789" spans="1:20" x14ac:dyDescent="0.25">
      <c r="A789" s="5">
        <v>43804</v>
      </c>
      <c r="B789">
        <v>0.22900000000000001</v>
      </c>
      <c r="C789">
        <v>0.23810000000000001</v>
      </c>
      <c r="D789">
        <v>0.22320000000000001</v>
      </c>
      <c r="E789">
        <v>0.2311</v>
      </c>
      <c r="F789">
        <v>1053434.45</v>
      </c>
      <c r="G789">
        <v>0</v>
      </c>
      <c r="L789" t="s">
        <v>7</v>
      </c>
      <c r="M789" t="s">
        <v>7</v>
      </c>
      <c r="N789" t="s">
        <v>7</v>
      </c>
      <c r="P789">
        <f t="shared" si="1004"/>
        <v>6.0402684563757338E-2</v>
      </c>
      <c r="Q789">
        <f t="shared" si="1005"/>
        <v>63630.2687919452</v>
      </c>
      <c r="R789">
        <f t="shared" si="1006"/>
        <v>-16134945.597371373</v>
      </c>
      <c r="S789">
        <f t="shared" si="1007"/>
        <v>-161.34945597371373</v>
      </c>
      <c r="T789">
        <f t="shared" si="1008"/>
        <v>-0.16134945597371372</v>
      </c>
    </row>
    <row r="790" spans="1:20" x14ac:dyDescent="0.25">
      <c r="A790" s="5">
        <v>43803</v>
      </c>
      <c r="B790">
        <v>0.24249999999999999</v>
      </c>
      <c r="C790">
        <v>0.24790000000000001</v>
      </c>
      <c r="D790">
        <v>0.22570000000000001</v>
      </c>
      <c r="E790">
        <v>0.22950000000000001</v>
      </c>
      <c r="F790">
        <v>1363161.47</v>
      </c>
      <c r="G790">
        <v>0</v>
      </c>
      <c r="L790" t="s">
        <v>7</v>
      </c>
      <c r="M790" t="s">
        <v>7</v>
      </c>
      <c r="N790" t="s">
        <v>7</v>
      </c>
      <c r="P790">
        <f t="shared" si="1004"/>
        <v>-0.65765765765765782</v>
      </c>
      <c r="Q790">
        <f t="shared" si="1005"/>
        <v>-896493.57936936955</v>
      </c>
      <c r="R790">
        <f t="shared" si="1006"/>
        <v>-16198575.866163319</v>
      </c>
      <c r="S790">
        <f t="shared" si="1007"/>
        <v>-161.98575866163318</v>
      </c>
      <c r="T790">
        <f t="shared" si="1008"/>
        <v>-0.16198575866163317</v>
      </c>
    </row>
    <row r="791" spans="1:20" x14ac:dyDescent="0.25">
      <c r="A791" s="5">
        <v>43802</v>
      </c>
      <c r="B791">
        <v>0.24690000000000001</v>
      </c>
      <c r="C791">
        <v>0.25140000000000001</v>
      </c>
      <c r="D791">
        <v>0.24229999999999999</v>
      </c>
      <c r="E791">
        <v>0.24310000000000001</v>
      </c>
      <c r="F791">
        <v>1087277.96</v>
      </c>
      <c r="G791">
        <v>0</v>
      </c>
      <c r="L791" t="s">
        <v>7</v>
      </c>
      <c r="M791" t="s">
        <v>8</v>
      </c>
      <c r="N791" t="s">
        <v>7</v>
      </c>
      <c r="P791">
        <f t="shared" si="1004"/>
        <v>-0.82417582417581958</v>
      </c>
      <c r="Q791">
        <f t="shared" si="1005"/>
        <v>-896108.2087912038</v>
      </c>
      <c r="R791">
        <f t="shared" si="1006"/>
        <v>-15302082.286793949</v>
      </c>
      <c r="S791">
        <f t="shared" si="1007"/>
        <v>-153.0208228679395</v>
      </c>
      <c r="T791">
        <f t="shared" si="1008"/>
        <v>-0.1530208228679395</v>
      </c>
    </row>
    <row r="792" spans="1:20" x14ac:dyDescent="0.25">
      <c r="A792" s="5">
        <v>43801</v>
      </c>
      <c r="B792">
        <v>0.2596</v>
      </c>
      <c r="C792">
        <v>0.26019999999999999</v>
      </c>
      <c r="D792">
        <v>0.24590000000000001</v>
      </c>
      <c r="E792">
        <v>0.24709999999999999</v>
      </c>
      <c r="F792">
        <v>957070.68</v>
      </c>
      <c r="G792">
        <v>0</v>
      </c>
      <c r="L792" t="s">
        <v>8</v>
      </c>
      <c r="M792" t="s">
        <v>8</v>
      </c>
      <c r="N792" t="s">
        <v>7</v>
      </c>
      <c r="P792">
        <f t="shared" si="1004"/>
        <v>-0.83216783216783485</v>
      </c>
      <c r="Q792">
        <f t="shared" si="1005"/>
        <v>-796443.43300699559</v>
      </c>
      <c r="R792">
        <f t="shared" si="1006"/>
        <v>-14405974.078002745</v>
      </c>
      <c r="S792">
        <f t="shared" si="1007"/>
        <v>-144.05974078002745</v>
      </c>
      <c r="T792">
        <f t="shared" si="1008"/>
        <v>-0.14405974078002745</v>
      </c>
    </row>
    <row r="793" spans="1:20" x14ac:dyDescent="0.25">
      <c r="A793" s="5">
        <v>43800</v>
      </c>
      <c r="B793">
        <v>0.25729999999999997</v>
      </c>
      <c r="C793">
        <v>0.26719999999999999</v>
      </c>
      <c r="D793">
        <v>0.245</v>
      </c>
      <c r="E793">
        <v>0.25940000000000002</v>
      </c>
      <c r="F793">
        <v>1193243.1100000001</v>
      </c>
      <c r="G793">
        <v>0</v>
      </c>
      <c r="L793" t="s">
        <v>7</v>
      </c>
      <c r="M793" t="s">
        <v>8</v>
      </c>
      <c r="N793" t="s">
        <v>7</v>
      </c>
      <c r="P793">
        <f t="shared" si="1004"/>
        <v>0.29729729729729959</v>
      </c>
      <c r="Q793">
        <f t="shared" si="1005"/>
        <v>354747.95162162441</v>
      </c>
      <c r="R793">
        <f t="shared" si="1006"/>
        <v>-13609530.644995749</v>
      </c>
      <c r="S793">
        <f t="shared" si="1007"/>
        <v>-136.09530644995749</v>
      </c>
      <c r="T793">
        <f t="shared" si="1008"/>
        <v>-0.13609530644995749</v>
      </c>
    </row>
    <row r="794" spans="1:20" x14ac:dyDescent="0.25">
      <c r="A794" s="5">
        <v>43799</v>
      </c>
      <c r="B794">
        <v>0.27229999999999999</v>
      </c>
      <c r="C794">
        <v>0.2737</v>
      </c>
      <c r="D794">
        <v>0.2545</v>
      </c>
      <c r="E794">
        <v>0.2576</v>
      </c>
      <c r="F794">
        <v>1232317.42</v>
      </c>
      <c r="G794">
        <v>0</v>
      </c>
      <c r="L794" t="s">
        <v>7</v>
      </c>
      <c r="M794" t="s">
        <v>8</v>
      </c>
      <c r="N794" t="s">
        <v>7</v>
      </c>
      <c r="P794">
        <f t="shared" si="1004"/>
        <v>-0.67708333333333415</v>
      </c>
      <c r="Q794">
        <f t="shared" si="1005"/>
        <v>-834381.58645833423</v>
      </c>
      <c r="R794">
        <f t="shared" si="1006"/>
        <v>-13964278.596617373</v>
      </c>
      <c r="S794">
        <f t="shared" si="1007"/>
        <v>-139.64278596617373</v>
      </c>
      <c r="T794">
        <f t="shared" si="1008"/>
        <v>-0.13964278596617374</v>
      </c>
    </row>
    <row r="795" spans="1:20" x14ac:dyDescent="0.25">
      <c r="A795" s="5">
        <v>43798</v>
      </c>
      <c r="B795">
        <v>0.26450000000000001</v>
      </c>
      <c r="C795">
        <v>0.28089999999999998</v>
      </c>
      <c r="D795">
        <v>0.26440000000000002</v>
      </c>
      <c r="E795">
        <v>0.2712</v>
      </c>
      <c r="F795">
        <v>1005238.29</v>
      </c>
      <c r="G795">
        <v>0</v>
      </c>
      <c r="L795" t="s">
        <v>8</v>
      </c>
      <c r="M795" t="s">
        <v>8</v>
      </c>
      <c r="N795" t="s">
        <v>7</v>
      </c>
      <c r="P795">
        <f t="shared" si="1004"/>
        <v>-0.17575757575757703</v>
      </c>
      <c r="Q795">
        <f t="shared" si="1005"/>
        <v>-176678.2449090922</v>
      </c>
      <c r="R795">
        <f t="shared" si="1006"/>
        <v>-13129897.010159038</v>
      </c>
      <c r="S795">
        <f t="shared" si="1007"/>
        <v>-131.29897010159038</v>
      </c>
      <c r="T795">
        <f t="shared" si="1008"/>
        <v>-0.13129897010159039</v>
      </c>
    </row>
    <row r="796" spans="1:20" x14ac:dyDescent="0.25">
      <c r="A796" s="5">
        <v>43797</v>
      </c>
      <c r="B796">
        <v>0.26119999999999999</v>
      </c>
      <c r="C796">
        <v>0.27910000000000001</v>
      </c>
      <c r="D796">
        <v>0.26119999999999999</v>
      </c>
      <c r="E796">
        <v>0.26519999999999999</v>
      </c>
      <c r="F796">
        <v>2177601.4500000002</v>
      </c>
      <c r="G796">
        <v>0</v>
      </c>
      <c r="L796" t="s">
        <v>8</v>
      </c>
      <c r="M796" t="s">
        <v>8</v>
      </c>
      <c r="N796" t="s">
        <v>7</v>
      </c>
      <c r="P796">
        <f t="shared" si="1004"/>
        <v>-0.55307262569832427</v>
      </c>
      <c r="Q796">
        <f t="shared" si="1005"/>
        <v>-1204371.7516759783</v>
      </c>
      <c r="R796">
        <f t="shared" si="1006"/>
        <v>-12953218.765249945</v>
      </c>
      <c r="S796">
        <f t="shared" si="1007"/>
        <v>-129.53218765249946</v>
      </c>
      <c r="T796">
        <f t="shared" si="1008"/>
        <v>-0.12953218765249946</v>
      </c>
    </row>
    <row r="797" spans="1:20" x14ac:dyDescent="0.25">
      <c r="A797" s="5">
        <v>43796</v>
      </c>
      <c r="B797">
        <v>0.24629999999999999</v>
      </c>
      <c r="C797">
        <v>0.26469999999999999</v>
      </c>
      <c r="D797">
        <v>0.2336</v>
      </c>
      <c r="E797">
        <v>0.26040000000000002</v>
      </c>
      <c r="F797">
        <v>1921094.24</v>
      </c>
      <c r="G797">
        <v>0</v>
      </c>
      <c r="L797" t="s">
        <v>8</v>
      </c>
      <c r="M797" t="s">
        <v>8</v>
      </c>
      <c r="N797" t="s">
        <v>7</v>
      </c>
      <c r="P797">
        <f t="shared" si="1004"/>
        <v>0.72347266881029115</v>
      </c>
      <c r="Q797">
        <f t="shared" si="1005"/>
        <v>1389859.1768488779</v>
      </c>
      <c r="R797">
        <f t="shared" si="1006"/>
        <v>-11748847.013573967</v>
      </c>
      <c r="S797">
        <f t="shared" si="1007"/>
        <v>-117.48847013573968</v>
      </c>
      <c r="T797">
        <f t="shared" si="1008"/>
        <v>-0.11748847013573968</v>
      </c>
    </row>
    <row r="798" spans="1:20" x14ac:dyDescent="0.25">
      <c r="A798" s="5">
        <v>43795</v>
      </c>
      <c r="B798">
        <v>0.23699999999999999</v>
      </c>
      <c r="C798">
        <v>0.2525</v>
      </c>
      <c r="D798">
        <v>0.2359</v>
      </c>
      <c r="E798">
        <v>0.2467</v>
      </c>
      <c r="F798">
        <v>1606565.01</v>
      </c>
      <c r="G798">
        <v>0</v>
      </c>
      <c r="L798" t="s">
        <v>8</v>
      </c>
      <c r="M798" t="s">
        <v>7</v>
      </c>
      <c r="N798" t="s">
        <v>7</v>
      </c>
      <c r="P798">
        <f t="shared" si="1004"/>
        <v>0.30120481927710863</v>
      </c>
      <c r="Q798">
        <f t="shared" si="1005"/>
        <v>483905.12349397619</v>
      </c>
      <c r="R798">
        <f t="shared" si="1006"/>
        <v>-13138706.190422844</v>
      </c>
      <c r="S798">
        <f t="shared" si="1007"/>
        <v>-131.38706190422843</v>
      </c>
      <c r="T798">
        <f t="shared" si="1008"/>
        <v>-0.13138706190422844</v>
      </c>
    </row>
    <row r="799" spans="1:20" x14ac:dyDescent="0.25">
      <c r="A799" s="5">
        <v>43794</v>
      </c>
      <c r="B799">
        <v>0.2354</v>
      </c>
      <c r="C799">
        <v>0.25240000000000001</v>
      </c>
      <c r="D799">
        <v>0.215</v>
      </c>
      <c r="E799">
        <v>0.23699999999999999</v>
      </c>
      <c r="F799">
        <v>2245438.89</v>
      </c>
      <c r="G799">
        <v>0</v>
      </c>
      <c r="L799" t="s">
        <v>7</v>
      </c>
      <c r="M799" t="s">
        <v>7</v>
      </c>
      <c r="N799" t="s">
        <v>7</v>
      </c>
      <c r="P799">
        <f t="shared" si="1004"/>
        <v>0.17647058823529316</v>
      </c>
      <c r="Q799">
        <f t="shared" si="1005"/>
        <v>396253.92176470376</v>
      </c>
      <c r="R799">
        <f t="shared" si="1006"/>
        <v>-13622611.313916821</v>
      </c>
      <c r="S799">
        <f t="shared" si="1007"/>
        <v>-136.22611313916821</v>
      </c>
      <c r="T799">
        <f t="shared" si="1008"/>
        <v>-0.13622611313916821</v>
      </c>
    </row>
    <row r="800" spans="1:20" x14ac:dyDescent="0.25">
      <c r="A800" s="5">
        <v>43793</v>
      </c>
      <c r="B800">
        <v>0.24909999999999999</v>
      </c>
      <c r="C800">
        <v>0.26100000000000001</v>
      </c>
      <c r="D800">
        <v>0.23419999999999999</v>
      </c>
      <c r="E800">
        <v>0.2351</v>
      </c>
      <c r="F800">
        <v>2474902.1</v>
      </c>
      <c r="G800">
        <v>0</v>
      </c>
      <c r="L800" t="s">
        <v>8</v>
      </c>
      <c r="M800" t="s">
        <v>8</v>
      </c>
      <c r="N800" t="s">
        <v>7</v>
      </c>
      <c r="P800">
        <f t="shared" si="1004"/>
        <v>-0.93283582089552153</v>
      </c>
      <c r="Q800">
        <f t="shared" si="1005"/>
        <v>-2308677.3320895503</v>
      </c>
      <c r="R800">
        <f t="shared" si="1006"/>
        <v>-14018865.235681525</v>
      </c>
      <c r="S800">
        <f t="shared" si="1007"/>
        <v>-140.18865235681525</v>
      </c>
      <c r="T800">
        <f t="shared" si="1008"/>
        <v>-0.14018865235681524</v>
      </c>
    </row>
    <row r="801" spans="1:20" x14ac:dyDescent="0.25">
      <c r="A801" s="5">
        <v>43792</v>
      </c>
      <c r="B801">
        <v>0.24340000000000001</v>
      </c>
      <c r="C801">
        <v>0.25490000000000002</v>
      </c>
      <c r="D801">
        <v>0.23219999999999999</v>
      </c>
      <c r="E801">
        <v>0.24759999999999999</v>
      </c>
      <c r="F801">
        <v>1856917.38</v>
      </c>
      <c r="G801">
        <v>0</v>
      </c>
      <c r="L801" t="s">
        <v>8</v>
      </c>
      <c r="M801" t="s">
        <v>7</v>
      </c>
      <c r="N801" t="s">
        <v>7</v>
      </c>
      <c r="P801">
        <f t="shared" si="1004"/>
        <v>0.35682819383259734</v>
      </c>
      <c r="Q801">
        <f t="shared" si="1005"/>
        <v>662600.47480175877</v>
      </c>
      <c r="R801">
        <f t="shared" si="1006"/>
        <v>-11710187.903591974</v>
      </c>
      <c r="S801">
        <f t="shared" si="1007"/>
        <v>-117.10187903591974</v>
      </c>
      <c r="T801">
        <f t="shared" si="1008"/>
        <v>-0.11710187903591973</v>
      </c>
    </row>
    <row r="802" spans="1:20" x14ac:dyDescent="0.25">
      <c r="A802" s="5">
        <v>43791</v>
      </c>
      <c r="B802">
        <v>0.26250000000000001</v>
      </c>
      <c r="C802">
        <v>0.2651</v>
      </c>
      <c r="D802">
        <v>0.21829999999999999</v>
      </c>
      <c r="E802">
        <v>0.24279999999999999</v>
      </c>
      <c r="F802">
        <v>2463218.0099999998</v>
      </c>
      <c r="G802">
        <v>0</v>
      </c>
      <c r="L802" t="s">
        <v>7</v>
      </c>
      <c r="M802" t="s">
        <v>7</v>
      </c>
      <c r="N802" t="s">
        <v>7</v>
      </c>
      <c r="P802">
        <f t="shared" si="1004"/>
        <v>4.7008547008546571E-2</v>
      </c>
      <c r="Q802">
        <f t="shared" si="1005"/>
        <v>115792.29961538353</v>
      </c>
      <c r="R802">
        <f t="shared" si="1006"/>
        <v>-12372788.378393732</v>
      </c>
      <c r="S802">
        <f t="shared" si="1007"/>
        <v>-123.72788378393732</v>
      </c>
      <c r="T802">
        <f t="shared" si="1008"/>
        <v>-0.12372788378393731</v>
      </c>
    </row>
    <row r="803" spans="1:20" x14ac:dyDescent="0.25">
      <c r="A803" s="5">
        <v>43790</v>
      </c>
      <c r="B803">
        <v>0.26279999999999998</v>
      </c>
      <c r="C803">
        <v>0.27179999999999999</v>
      </c>
      <c r="D803">
        <v>0.24399999999999999</v>
      </c>
      <c r="E803">
        <v>0.26190000000000002</v>
      </c>
      <c r="F803">
        <v>2064509.87</v>
      </c>
      <c r="G803">
        <v>0</v>
      </c>
      <c r="L803" t="s">
        <v>7</v>
      </c>
      <c r="M803" t="s">
        <v>7</v>
      </c>
      <c r="N803" t="s">
        <v>8</v>
      </c>
      <c r="P803">
        <f t="shared" si="1004"/>
        <v>0.28776978417266419</v>
      </c>
      <c r="Q803">
        <f t="shared" si="1005"/>
        <v>594103.559712235</v>
      </c>
      <c r="R803">
        <f t="shared" si="1006"/>
        <v>-12488580.678009115</v>
      </c>
      <c r="S803">
        <f t="shared" si="1007"/>
        <v>-124.88580678009116</v>
      </c>
      <c r="T803">
        <f t="shared" si="1008"/>
        <v>-0.12488580678009116</v>
      </c>
    </row>
    <row r="804" spans="1:20" x14ac:dyDescent="0.25">
      <c r="A804" s="5">
        <v>43789</v>
      </c>
      <c r="B804">
        <v>0.26</v>
      </c>
      <c r="C804">
        <v>0.27300000000000002</v>
      </c>
      <c r="D804">
        <v>0.25440000000000002</v>
      </c>
      <c r="E804">
        <v>0.26229999999999998</v>
      </c>
      <c r="F804">
        <v>1601980.96</v>
      </c>
      <c r="G804">
        <v>0</v>
      </c>
      <c r="L804" t="s">
        <v>8</v>
      </c>
      <c r="M804" t="s">
        <v>7</v>
      </c>
      <c r="N804" t="s">
        <v>8</v>
      </c>
      <c r="P804">
        <f t="shared" si="1004"/>
        <v>-0.15053763440860643</v>
      </c>
      <c r="Q804">
        <f t="shared" si="1005"/>
        <v>-241158.42408602836</v>
      </c>
      <c r="R804">
        <f t="shared" si="1006"/>
        <v>-13082684.23772135</v>
      </c>
      <c r="S804">
        <f t="shared" si="1007"/>
        <v>-130.8268423772135</v>
      </c>
      <c r="T804">
        <f t="shared" si="1008"/>
        <v>-0.13082684237721348</v>
      </c>
    </row>
    <row r="805" spans="1:20" x14ac:dyDescent="0.25">
      <c r="A805" s="5">
        <v>43788</v>
      </c>
      <c r="B805">
        <v>0.26140000000000002</v>
      </c>
      <c r="C805">
        <v>0.26319999999999999</v>
      </c>
      <c r="D805">
        <v>0.2399</v>
      </c>
      <c r="E805">
        <v>0.26</v>
      </c>
      <c r="F805">
        <v>2645420.75</v>
      </c>
      <c r="G805">
        <v>0</v>
      </c>
      <c r="L805" t="s">
        <v>7</v>
      </c>
      <c r="M805" t="s">
        <v>7</v>
      </c>
      <c r="N805" t="s">
        <v>8</v>
      </c>
      <c r="P805">
        <f t="shared" si="1004"/>
        <v>0.72532188841201872</v>
      </c>
      <c r="Q805">
        <f t="shared" si="1005"/>
        <v>1918781.5740343388</v>
      </c>
      <c r="R805">
        <f t="shared" si="1006"/>
        <v>-12841525.813635321</v>
      </c>
      <c r="S805">
        <f t="shared" si="1007"/>
        <v>-128.4152581363532</v>
      </c>
      <c r="T805">
        <f t="shared" si="1008"/>
        <v>-0.12841525813635321</v>
      </c>
    </row>
    <row r="806" spans="1:20" x14ac:dyDescent="0.25">
      <c r="A806" s="5">
        <v>43787</v>
      </c>
      <c r="B806">
        <v>0.2762</v>
      </c>
      <c r="C806">
        <v>0.27779999999999999</v>
      </c>
      <c r="D806">
        <v>0.25650000000000001</v>
      </c>
      <c r="E806">
        <v>0.26179999999999998</v>
      </c>
      <c r="F806">
        <v>1381464.98</v>
      </c>
      <c r="G806">
        <v>0</v>
      </c>
      <c r="L806" t="s">
        <v>7</v>
      </c>
      <c r="M806" t="s">
        <v>7</v>
      </c>
      <c r="N806" t="s">
        <v>8</v>
      </c>
      <c r="P806">
        <f t="shared" si="1004"/>
        <v>-0.50234741784037795</v>
      </c>
      <c r="Q806">
        <f t="shared" si="1005"/>
        <v>-693975.36553990934</v>
      </c>
      <c r="R806">
        <f t="shared" si="1006"/>
        <v>-14760307.38766966</v>
      </c>
      <c r="S806">
        <f t="shared" si="1007"/>
        <v>-147.60307387669661</v>
      </c>
      <c r="T806">
        <f t="shared" si="1008"/>
        <v>-0.14760307387669661</v>
      </c>
    </row>
    <row r="807" spans="1:20" x14ac:dyDescent="0.25">
      <c r="A807" s="5">
        <v>43786</v>
      </c>
      <c r="B807">
        <v>0.2823</v>
      </c>
      <c r="C807">
        <v>0.28389999999999999</v>
      </c>
      <c r="D807">
        <v>0.27489999999999998</v>
      </c>
      <c r="E807">
        <v>0.27610000000000001</v>
      </c>
      <c r="F807">
        <v>651106.35</v>
      </c>
      <c r="G807">
        <v>0</v>
      </c>
      <c r="L807" t="s">
        <v>7</v>
      </c>
      <c r="M807" t="s">
        <v>8</v>
      </c>
      <c r="N807" t="s">
        <v>8</v>
      </c>
      <c r="P807">
        <f t="shared" si="1004"/>
        <v>-0.73333333333332595</v>
      </c>
      <c r="Q807">
        <f t="shared" si="1005"/>
        <v>-477477.98999999516</v>
      </c>
      <c r="R807">
        <f t="shared" si="1006"/>
        <v>-14066332.02212975</v>
      </c>
      <c r="S807">
        <f t="shared" si="1007"/>
        <v>-140.66332022129751</v>
      </c>
      <c r="T807">
        <f t="shared" si="1008"/>
        <v>-0.14066332022129752</v>
      </c>
    </row>
    <row r="808" spans="1:20" x14ac:dyDescent="0.25">
      <c r="A808" s="5">
        <v>43785</v>
      </c>
      <c r="B808">
        <v>0.27739999999999998</v>
      </c>
      <c r="C808">
        <v>0.28270000000000001</v>
      </c>
      <c r="D808">
        <v>0.27250000000000002</v>
      </c>
      <c r="E808">
        <v>0.28199999999999997</v>
      </c>
      <c r="F808">
        <v>850052.24</v>
      </c>
      <c r="G808">
        <v>0</v>
      </c>
      <c r="L808" t="s">
        <v>7</v>
      </c>
      <c r="M808" t="s">
        <v>8</v>
      </c>
      <c r="N808" t="s">
        <v>8</v>
      </c>
      <c r="P808">
        <f t="shared" si="1004"/>
        <v>0.86274509803920885</v>
      </c>
      <c r="Q808">
        <f t="shared" si="1005"/>
        <v>733378.40313724906</v>
      </c>
      <c r="R808">
        <f t="shared" si="1006"/>
        <v>-13588854.032129755</v>
      </c>
      <c r="S808">
        <f t="shared" si="1007"/>
        <v>-135.88854032129754</v>
      </c>
      <c r="T808">
        <f t="shared" si="1008"/>
        <v>-0.13588854032129755</v>
      </c>
    </row>
    <row r="809" spans="1:20" x14ac:dyDescent="0.25">
      <c r="A809" s="5">
        <v>43784</v>
      </c>
      <c r="B809">
        <v>0.29049999999999998</v>
      </c>
      <c r="C809">
        <v>0.29049999999999998</v>
      </c>
      <c r="D809">
        <v>0.27410000000000001</v>
      </c>
      <c r="E809">
        <v>0.27739999999999998</v>
      </c>
      <c r="F809">
        <v>1816317.72</v>
      </c>
      <c r="G809">
        <v>0</v>
      </c>
      <c r="L809" t="s">
        <v>7</v>
      </c>
      <c r="M809" t="s">
        <v>8</v>
      </c>
      <c r="N809" t="s">
        <v>8</v>
      </c>
      <c r="P809">
        <f t="shared" si="1004"/>
        <v>-0.59756097560975907</v>
      </c>
      <c r="Q809">
        <f t="shared" si="1005"/>
        <v>-1085360.5887804932</v>
      </c>
      <c r="R809">
        <f t="shared" si="1006"/>
        <v>-14322232.435267005</v>
      </c>
      <c r="S809">
        <f t="shared" si="1007"/>
        <v>-143.22232435267006</v>
      </c>
      <c r="T809">
        <f t="shared" si="1008"/>
        <v>-0.14322232435267004</v>
      </c>
    </row>
    <row r="810" spans="1:20" x14ac:dyDescent="0.25">
      <c r="A810" s="5">
        <v>43783</v>
      </c>
      <c r="B810">
        <v>0.3014</v>
      </c>
      <c r="C810">
        <v>0.30220000000000002</v>
      </c>
      <c r="D810">
        <v>0.28000000000000003</v>
      </c>
      <c r="E810">
        <v>0.29060000000000002</v>
      </c>
      <c r="F810">
        <v>1821584.48</v>
      </c>
      <c r="G810">
        <v>0</v>
      </c>
      <c r="L810" t="s">
        <v>7</v>
      </c>
      <c r="M810" t="s">
        <v>8</v>
      </c>
      <c r="N810" t="s">
        <v>8</v>
      </c>
      <c r="P810">
        <f t="shared" si="1004"/>
        <v>-4.5045045045045091E-2</v>
      </c>
      <c r="Q810">
        <f t="shared" si="1005"/>
        <v>-82053.354954955037</v>
      </c>
      <c r="R810">
        <f t="shared" si="1006"/>
        <v>-13236871.846486513</v>
      </c>
      <c r="S810">
        <f t="shared" si="1007"/>
        <v>-132.36871846486514</v>
      </c>
      <c r="T810">
        <f t="shared" si="1008"/>
        <v>-0.13236871846486514</v>
      </c>
    </row>
    <row r="811" spans="1:20" x14ac:dyDescent="0.25">
      <c r="A811" s="5">
        <v>43782</v>
      </c>
      <c r="B811">
        <v>0.30159999999999998</v>
      </c>
      <c r="C811">
        <v>0.30270000000000002</v>
      </c>
      <c r="D811">
        <v>0.29409999999999997</v>
      </c>
      <c r="E811">
        <v>0.30059999999999998</v>
      </c>
      <c r="F811">
        <v>1079171.51</v>
      </c>
      <c r="G811">
        <v>0</v>
      </c>
      <c r="L811" t="s">
        <v>7</v>
      </c>
      <c r="M811" t="s">
        <v>8</v>
      </c>
      <c r="N811" t="s">
        <v>8</v>
      </c>
      <c r="P811">
        <f t="shared" si="1004"/>
        <v>0.51162790697673644</v>
      </c>
      <c r="Q811">
        <f t="shared" si="1005"/>
        <v>552134.26093022421</v>
      </c>
      <c r="R811">
        <f t="shared" si="1006"/>
        <v>-13154818.491531558</v>
      </c>
      <c r="S811">
        <f t="shared" si="1007"/>
        <v>-131.54818491531557</v>
      </c>
      <c r="T811">
        <f t="shared" si="1008"/>
        <v>-0.13154818491531559</v>
      </c>
    </row>
    <row r="812" spans="1:20" x14ac:dyDescent="0.25">
      <c r="A812" s="5">
        <v>43781</v>
      </c>
      <c r="B812">
        <v>0.30220000000000002</v>
      </c>
      <c r="C812">
        <v>0.30780000000000002</v>
      </c>
      <c r="D812">
        <v>0.29609999999999997</v>
      </c>
      <c r="E812">
        <v>0.30080000000000001</v>
      </c>
      <c r="F812">
        <v>2064146.32</v>
      </c>
      <c r="G812">
        <v>0</v>
      </c>
      <c r="L812" t="s">
        <v>7</v>
      </c>
      <c r="M812" t="s">
        <v>8</v>
      </c>
      <c r="N812" t="s">
        <v>8</v>
      </c>
      <c r="P812">
        <f t="shared" si="1004"/>
        <v>-0.19658119658119316</v>
      </c>
      <c r="Q812">
        <f t="shared" si="1005"/>
        <v>-405772.35350426647</v>
      </c>
      <c r="R812">
        <f t="shared" si="1006"/>
        <v>-13706952.752461782</v>
      </c>
      <c r="S812">
        <f t="shared" si="1007"/>
        <v>-137.06952752461783</v>
      </c>
      <c r="T812">
        <f t="shared" si="1008"/>
        <v>-0.13706952752461782</v>
      </c>
    </row>
    <row r="813" spans="1:20" x14ac:dyDescent="0.25">
      <c r="A813" s="5">
        <v>43780</v>
      </c>
      <c r="B813">
        <v>0.30649999999999999</v>
      </c>
      <c r="C813">
        <v>0.3125</v>
      </c>
      <c r="D813">
        <v>0.29670000000000002</v>
      </c>
      <c r="E813">
        <v>0.30220000000000002</v>
      </c>
      <c r="F813">
        <v>1420419.32</v>
      </c>
      <c r="G813">
        <v>0</v>
      </c>
      <c r="L813" t="s">
        <v>7</v>
      </c>
      <c r="M813" t="s">
        <v>8</v>
      </c>
      <c r="N813" t="s">
        <v>8</v>
      </c>
      <c r="P813">
        <f t="shared" si="1004"/>
        <v>-0.30379746835442889</v>
      </c>
      <c r="Q813">
        <f t="shared" si="1005"/>
        <v>-431519.79341771943</v>
      </c>
      <c r="R813">
        <f t="shared" si="1006"/>
        <v>-13301180.398957515</v>
      </c>
      <c r="S813">
        <f t="shared" si="1007"/>
        <v>-133.01180398957516</v>
      </c>
      <c r="T813">
        <f t="shared" si="1008"/>
        <v>-0.13301180398957516</v>
      </c>
    </row>
    <row r="814" spans="1:20" x14ac:dyDescent="0.25">
      <c r="A814" s="5">
        <v>43779</v>
      </c>
      <c r="B814">
        <v>0.30430000000000001</v>
      </c>
      <c r="C814">
        <v>0.318</v>
      </c>
      <c r="D814">
        <v>0.3039</v>
      </c>
      <c r="E814">
        <v>0.30740000000000001</v>
      </c>
      <c r="F814">
        <v>1212648.07</v>
      </c>
      <c r="G814">
        <v>0</v>
      </c>
      <c r="L814" t="s">
        <v>8</v>
      </c>
      <c r="M814" t="s">
        <v>8</v>
      </c>
      <c r="N814" t="s">
        <v>8</v>
      </c>
      <c r="P814">
        <f t="shared" si="1004"/>
        <v>-0.50354609929077976</v>
      </c>
      <c r="Q814">
        <f t="shared" si="1005"/>
        <v>-610624.20546099253</v>
      </c>
      <c r="R814">
        <f t="shared" si="1006"/>
        <v>-12869660.605539795</v>
      </c>
      <c r="S814">
        <f t="shared" si="1007"/>
        <v>-128.69660605539795</v>
      </c>
      <c r="T814">
        <f t="shared" si="1008"/>
        <v>-0.12869660605539796</v>
      </c>
    </row>
    <row r="815" spans="1:20" x14ac:dyDescent="0.25">
      <c r="A815" s="5">
        <v>43778</v>
      </c>
      <c r="B815">
        <v>0.29289999999999999</v>
      </c>
      <c r="C815">
        <v>0.313</v>
      </c>
      <c r="D815">
        <v>0.29289999999999999</v>
      </c>
      <c r="E815">
        <v>0.30470000000000003</v>
      </c>
      <c r="F815">
        <v>4489531.7</v>
      </c>
      <c r="G815">
        <v>0</v>
      </c>
      <c r="L815" t="s">
        <v>7</v>
      </c>
      <c r="M815" t="s">
        <v>8</v>
      </c>
      <c r="N815" t="s">
        <v>8</v>
      </c>
      <c r="P815">
        <f t="shared" si="1004"/>
        <v>0.17412935323383372</v>
      </c>
      <c r="Q815">
        <f t="shared" si="1005"/>
        <v>781759.25124379399</v>
      </c>
      <c r="R815">
        <f t="shared" si="1006"/>
        <v>-12259036.400078803</v>
      </c>
      <c r="S815">
        <f t="shared" si="1007"/>
        <v>-122.59036400078803</v>
      </c>
      <c r="T815">
        <f t="shared" si="1008"/>
        <v>-0.12259036400078803</v>
      </c>
    </row>
    <row r="816" spans="1:20" x14ac:dyDescent="0.25">
      <c r="A816" s="5">
        <v>43777</v>
      </c>
      <c r="B816">
        <v>0.30459999999999998</v>
      </c>
      <c r="C816">
        <v>0.31940000000000002</v>
      </c>
      <c r="D816">
        <v>0.2833</v>
      </c>
      <c r="E816">
        <v>0.29289999999999999</v>
      </c>
      <c r="F816">
        <v>3002027.61</v>
      </c>
      <c r="G816">
        <v>0</v>
      </c>
      <c r="L816" t="s">
        <v>8</v>
      </c>
      <c r="M816" t="s">
        <v>8</v>
      </c>
      <c r="N816" t="s">
        <v>8</v>
      </c>
      <c r="P816">
        <f t="shared" si="1004"/>
        <v>-0.46814404432133011</v>
      </c>
      <c r="Q816">
        <f t="shared" si="1005"/>
        <v>-1405381.3465096967</v>
      </c>
      <c r="R816">
        <f t="shared" si="1006"/>
        <v>-13040795.651322598</v>
      </c>
      <c r="S816">
        <f t="shared" si="1007"/>
        <v>-130.40795651322597</v>
      </c>
      <c r="T816">
        <f t="shared" si="1008"/>
        <v>-0.13040795651322598</v>
      </c>
    </row>
    <row r="817" spans="1:20" x14ac:dyDescent="0.25">
      <c r="A817" s="5">
        <v>43776</v>
      </c>
      <c r="B817">
        <v>0.30980000000000002</v>
      </c>
      <c r="C817">
        <v>0.31069999999999998</v>
      </c>
      <c r="D817">
        <v>0.29459999999999997</v>
      </c>
      <c r="E817">
        <v>0.30459999999999998</v>
      </c>
      <c r="F817">
        <v>2261100.87</v>
      </c>
      <c r="G817">
        <v>0</v>
      </c>
      <c r="L817" t="s">
        <v>8</v>
      </c>
      <c r="M817" t="s">
        <v>8</v>
      </c>
      <c r="N817" t="s">
        <v>8</v>
      </c>
      <c r="P817">
        <f t="shared" si="1004"/>
        <v>0.24223602484472134</v>
      </c>
      <c r="Q817">
        <f t="shared" si="1005"/>
        <v>547720.08652174112</v>
      </c>
      <c r="R817">
        <f t="shared" si="1006"/>
        <v>-11635414.304812901</v>
      </c>
      <c r="S817">
        <f t="shared" si="1007"/>
        <v>-116.354143048129</v>
      </c>
      <c r="T817">
        <f t="shared" si="1008"/>
        <v>-0.11635414304812901</v>
      </c>
    </row>
    <row r="818" spans="1:20" x14ac:dyDescent="0.25">
      <c r="A818" s="5">
        <v>43775</v>
      </c>
      <c r="B818">
        <v>0.2913</v>
      </c>
      <c r="C818">
        <v>0.31</v>
      </c>
      <c r="D818">
        <v>0.2893</v>
      </c>
      <c r="E818">
        <v>0.3095</v>
      </c>
      <c r="F818">
        <v>1702043.81</v>
      </c>
      <c r="G818">
        <v>0</v>
      </c>
      <c r="L818" t="s">
        <v>8</v>
      </c>
      <c r="M818" t="s">
        <v>8</v>
      </c>
      <c r="N818" t="s">
        <v>8</v>
      </c>
      <c r="P818">
        <f t="shared" si="1004"/>
        <v>0.95169082125603854</v>
      </c>
      <c r="Q818">
        <f t="shared" si="1005"/>
        <v>1619819.4713526568</v>
      </c>
      <c r="R818">
        <f t="shared" si="1006"/>
        <v>-12183134.391334642</v>
      </c>
      <c r="S818">
        <f t="shared" si="1007"/>
        <v>-121.83134391334642</v>
      </c>
      <c r="T818">
        <f t="shared" si="1008"/>
        <v>-0.12183134391334642</v>
      </c>
    </row>
    <row r="819" spans="1:20" x14ac:dyDescent="0.25">
      <c r="A819" s="5">
        <v>43774</v>
      </c>
      <c r="B819">
        <v>0.29559999999999997</v>
      </c>
      <c r="C819">
        <v>0.29630000000000001</v>
      </c>
      <c r="D819">
        <v>0.28689999999999999</v>
      </c>
      <c r="E819">
        <v>0.2913</v>
      </c>
      <c r="F819">
        <v>1197330.95</v>
      </c>
      <c r="G819">
        <v>0</v>
      </c>
      <c r="L819" t="s">
        <v>7</v>
      </c>
      <c r="M819" t="s">
        <v>8</v>
      </c>
      <c r="N819" t="s">
        <v>8</v>
      </c>
      <c r="P819">
        <f t="shared" si="1004"/>
        <v>-6.3829787234041299E-2</v>
      </c>
      <c r="Q819">
        <f t="shared" si="1005"/>
        <v>-76425.379787232538</v>
      </c>
      <c r="R819">
        <f t="shared" si="1006"/>
        <v>-13802953.862687299</v>
      </c>
      <c r="S819">
        <f t="shared" si="1007"/>
        <v>-138.02953862687298</v>
      </c>
      <c r="T819">
        <f t="shared" si="1008"/>
        <v>-0.13802953862687298</v>
      </c>
    </row>
    <row r="820" spans="1:20" x14ac:dyDescent="0.25">
      <c r="A820" s="5">
        <v>43773</v>
      </c>
      <c r="B820">
        <v>0.29399999999999998</v>
      </c>
      <c r="C820">
        <v>0.29820000000000002</v>
      </c>
      <c r="D820">
        <v>0.28199999999999997</v>
      </c>
      <c r="E820">
        <v>0.29559999999999997</v>
      </c>
      <c r="F820">
        <v>1770092.69</v>
      </c>
      <c r="G820">
        <v>0</v>
      </c>
      <c r="L820" t="s">
        <v>7</v>
      </c>
      <c r="M820" t="s">
        <v>8</v>
      </c>
      <c r="N820" t="s">
        <v>8</v>
      </c>
      <c r="P820">
        <f t="shared" si="1004"/>
        <v>0.67901234567900748</v>
      </c>
      <c r="Q820">
        <f t="shared" si="1005"/>
        <v>1201914.7895061641</v>
      </c>
      <c r="R820">
        <f t="shared" si="1006"/>
        <v>-13726528.482900066</v>
      </c>
      <c r="S820">
        <f t="shared" si="1007"/>
        <v>-137.26528482900065</v>
      </c>
      <c r="T820">
        <f t="shared" si="1008"/>
        <v>-0.13726528482900066</v>
      </c>
    </row>
    <row r="821" spans="1:20" x14ac:dyDescent="0.25">
      <c r="A821" s="5">
        <v>43772</v>
      </c>
      <c r="B821">
        <v>0.29380000000000001</v>
      </c>
      <c r="C821">
        <v>0.3044</v>
      </c>
      <c r="D821">
        <v>0.29210000000000003</v>
      </c>
      <c r="E821">
        <v>0.29399999999999998</v>
      </c>
      <c r="F821">
        <v>1576257.64</v>
      </c>
      <c r="G821">
        <v>0</v>
      </c>
      <c r="L821" t="s">
        <v>8</v>
      </c>
      <c r="M821" t="s">
        <v>8</v>
      </c>
      <c r="N821" t="s">
        <v>8</v>
      </c>
      <c r="P821">
        <f t="shared" si="1004"/>
        <v>-0.69105691056911212</v>
      </c>
      <c r="Q821">
        <f t="shared" si="1005"/>
        <v>-1089283.7349593597</v>
      </c>
      <c r="R821">
        <f t="shared" si="1006"/>
        <v>-14928443.27240623</v>
      </c>
      <c r="S821">
        <f t="shared" si="1007"/>
        <v>-149.2844327240623</v>
      </c>
      <c r="T821">
        <f t="shared" si="1008"/>
        <v>-0.1492844327240623</v>
      </c>
    </row>
    <row r="822" spans="1:20" x14ac:dyDescent="0.25">
      <c r="A822" s="5">
        <v>43771</v>
      </c>
      <c r="B822">
        <v>0.29759999999999998</v>
      </c>
      <c r="C822">
        <v>0.30499999999999999</v>
      </c>
      <c r="D822">
        <v>0.28989999999999999</v>
      </c>
      <c r="E822">
        <v>0.29330000000000001</v>
      </c>
      <c r="F822">
        <v>2542379.54</v>
      </c>
      <c r="G822">
        <v>0</v>
      </c>
      <c r="L822" t="s">
        <v>8</v>
      </c>
      <c r="M822" t="s">
        <v>8</v>
      </c>
      <c r="N822" t="s">
        <v>8</v>
      </c>
      <c r="P822">
        <f t="shared" si="1004"/>
        <v>-0.54966887417218357</v>
      </c>
      <c r="Q822">
        <f t="shared" si="1005"/>
        <v>-1397466.899470194</v>
      </c>
      <c r="R822">
        <f t="shared" si="1006"/>
        <v>-13839159.53744687</v>
      </c>
      <c r="S822">
        <f t="shared" si="1007"/>
        <v>-138.39159537446869</v>
      </c>
      <c r="T822">
        <f t="shared" si="1008"/>
        <v>-0.13839159537446868</v>
      </c>
    </row>
    <row r="823" spans="1:20" x14ac:dyDescent="0.25">
      <c r="A823" s="5">
        <v>43770</v>
      </c>
      <c r="B823">
        <v>0.27160000000000001</v>
      </c>
      <c r="C823">
        <v>0.31019999999999998</v>
      </c>
      <c r="D823">
        <v>0.27050000000000002</v>
      </c>
      <c r="E823">
        <v>0.29799999999999999</v>
      </c>
      <c r="F823">
        <v>4505967.24</v>
      </c>
      <c r="G823">
        <v>0</v>
      </c>
      <c r="L823" t="s">
        <v>8</v>
      </c>
      <c r="M823" t="s">
        <v>8</v>
      </c>
      <c r="N823" t="s">
        <v>8</v>
      </c>
      <c r="P823">
        <f t="shared" si="1004"/>
        <v>0.38539042821158681</v>
      </c>
      <c r="Q823">
        <f t="shared" si="1005"/>
        <v>1736556.644130982</v>
      </c>
      <c r="R823">
        <f t="shared" si="1006"/>
        <v>-12441692.637976676</v>
      </c>
      <c r="S823">
        <f t="shared" si="1007"/>
        <v>-124.41692637976676</v>
      </c>
      <c r="T823">
        <f t="shared" si="1008"/>
        <v>-0.12441692637976677</v>
      </c>
    </row>
    <row r="824" spans="1:20" x14ac:dyDescent="0.25">
      <c r="A824" s="5">
        <v>43769</v>
      </c>
      <c r="B824">
        <v>0.27189999999999998</v>
      </c>
      <c r="C824">
        <v>0.27979999999999999</v>
      </c>
      <c r="D824">
        <v>0.26450000000000001</v>
      </c>
      <c r="E824">
        <v>0.27160000000000001</v>
      </c>
      <c r="F824">
        <v>1571877.22</v>
      </c>
      <c r="G824">
        <v>0</v>
      </c>
      <c r="L824" t="s">
        <v>7</v>
      </c>
      <c r="M824" t="s">
        <v>7</v>
      </c>
      <c r="N824" t="s">
        <v>8</v>
      </c>
      <c r="P824">
        <f t="shared" si="1004"/>
        <v>-7.1895424836600733E-2</v>
      </c>
      <c r="Q824">
        <f t="shared" si="1005"/>
        <v>-113010.78052287491</v>
      </c>
      <c r="R824">
        <f t="shared" si="1006"/>
        <v>-14178249.282107659</v>
      </c>
      <c r="S824">
        <f t="shared" si="1007"/>
        <v>-141.78249282107657</v>
      </c>
      <c r="T824">
        <f t="shared" si="1008"/>
        <v>-0.14178249282107658</v>
      </c>
    </row>
    <row r="825" spans="1:20" x14ac:dyDescent="0.25">
      <c r="A825" s="5">
        <v>43768</v>
      </c>
      <c r="B825">
        <v>0.2802</v>
      </c>
      <c r="C825">
        <v>0.2833</v>
      </c>
      <c r="D825">
        <v>0.26040000000000002</v>
      </c>
      <c r="E825">
        <v>0.27100000000000002</v>
      </c>
      <c r="F825">
        <v>3329420.48</v>
      </c>
      <c r="G825">
        <v>0</v>
      </c>
      <c r="L825" t="s">
        <v>7</v>
      </c>
      <c r="M825" t="s">
        <v>7</v>
      </c>
      <c r="N825" t="s">
        <v>8</v>
      </c>
      <c r="P825">
        <f t="shared" si="1004"/>
        <v>-7.4235807860261183E-2</v>
      </c>
      <c r="Q825">
        <f t="shared" si="1005"/>
        <v>-247162.21903929856</v>
      </c>
      <c r="R825">
        <f t="shared" si="1006"/>
        <v>-14065238.501584783</v>
      </c>
      <c r="S825">
        <f t="shared" si="1007"/>
        <v>-140.65238501584784</v>
      </c>
      <c r="T825">
        <f t="shared" si="1008"/>
        <v>-0.14065238501584784</v>
      </c>
    </row>
    <row r="826" spans="1:20" x14ac:dyDescent="0.25">
      <c r="A826" s="5">
        <v>43767</v>
      </c>
      <c r="B826">
        <v>0.2858</v>
      </c>
      <c r="C826">
        <v>0.28749999999999998</v>
      </c>
      <c r="D826">
        <v>0.27529999999999999</v>
      </c>
      <c r="E826">
        <v>0.27929999999999999</v>
      </c>
      <c r="F826">
        <v>2278677.41</v>
      </c>
      <c r="G826">
        <v>0</v>
      </c>
      <c r="L826" t="s">
        <v>7</v>
      </c>
      <c r="M826" t="s">
        <v>7</v>
      </c>
      <c r="N826" t="s">
        <v>8</v>
      </c>
      <c r="P826">
        <f t="shared" si="1004"/>
        <v>-0.34426229508196604</v>
      </c>
      <c r="Q826">
        <f t="shared" si="1005"/>
        <v>-784462.71491803019</v>
      </c>
      <c r="R826">
        <f t="shared" si="1006"/>
        <v>-13818076.282545485</v>
      </c>
      <c r="S826">
        <f t="shared" si="1007"/>
        <v>-138.18076282545485</v>
      </c>
      <c r="T826">
        <f t="shared" si="1008"/>
        <v>-0.13818076282545486</v>
      </c>
    </row>
    <row r="827" spans="1:20" x14ac:dyDescent="0.25">
      <c r="A827" s="5">
        <v>43766</v>
      </c>
      <c r="B827">
        <v>0.28799999999999998</v>
      </c>
      <c r="C827">
        <v>0.29770000000000002</v>
      </c>
      <c r="D827">
        <v>0.28499999999999998</v>
      </c>
      <c r="E827">
        <v>0.28570000000000001</v>
      </c>
      <c r="F827">
        <v>2432515.2799999998</v>
      </c>
      <c r="G827">
        <v>0</v>
      </c>
      <c r="L827" t="s">
        <v>8</v>
      </c>
      <c r="M827" t="s">
        <v>7</v>
      </c>
      <c r="N827" t="s">
        <v>8</v>
      </c>
      <c r="P827">
        <f t="shared" si="1004"/>
        <v>-0.88976377952755414</v>
      </c>
      <c r="Q827">
        <f t="shared" si="1005"/>
        <v>-2164363.9892913266</v>
      </c>
      <c r="R827">
        <f t="shared" si="1006"/>
        <v>-13033613.567627454</v>
      </c>
      <c r="S827">
        <f t="shared" si="1007"/>
        <v>-130.33613567627455</v>
      </c>
      <c r="T827">
        <f t="shared" si="1008"/>
        <v>-0.13033613567627456</v>
      </c>
    </row>
    <row r="828" spans="1:20" x14ac:dyDescent="0.25">
      <c r="A828" s="5">
        <v>43765</v>
      </c>
      <c r="B828">
        <v>0.29199999999999998</v>
      </c>
      <c r="C828">
        <v>0.29899999999999999</v>
      </c>
      <c r="D828">
        <v>0.28239999999999998</v>
      </c>
      <c r="E828">
        <v>0.28789999999999999</v>
      </c>
      <c r="F828">
        <v>2518271.44</v>
      </c>
      <c r="G828">
        <v>0</v>
      </c>
      <c r="L828" t="s">
        <v>8</v>
      </c>
      <c r="M828" t="s">
        <v>7</v>
      </c>
      <c r="N828" t="s">
        <v>8</v>
      </c>
      <c r="P828">
        <f t="shared" si="1004"/>
        <v>-0.33734939759036098</v>
      </c>
      <c r="Q828">
        <f t="shared" si="1005"/>
        <v>-849537.35325301089</v>
      </c>
      <c r="R828">
        <f t="shared" si="1006"/>
        <v>-10869249.578336127</v>
      </c>
      <c r="S828">
        <f t="shared" si="1007"/>
        <v>-108.69249578336127</v>
      </c>
      <c r="T828">
        <f t="shared" si="1008"/>
        <v>-0.10869249578336126</v>
      </c>
    </row>
    <row r="829" spans="1:20" x14ac:dyDescent="0.25">
      <c r="A829" s="5">
        <v>43764</v>
      </c>
      <c r="B829">
        <v>0.30640000000000001</v>
      </c>
      <c r="C829">
        <v>0.31459999999999999</v>
      </c>
      <c r="D829">
        <v>0.28139999999999998</v>
      </c>
      <c r="E829">
        <v>0.29249999999999998</v>
      </c>
      <c r="F829">
        <v>6328740.1900000004</v>
      </c>
      <c r="G829">
        <v>0</v>
      </c>
      <c r="L829" t="s">
        <v>7</v>
      </c>
      <c r="M829" t="s">
        <v>7</v>
      </c>
      <c r="N829" t="s">
        <v>8</v>
      </c>
      <c r="P829">
        <f t="shared" si="1004"/>
        <v>-0.33132530120481951</v>
      </c>
      <c r="Q829">
        <f t="shared" si="1005"/>
        <v>-2096871.7496987968</v>
      </c>
      <c r="R829">
        <f t="shared" si="1006"/>
        <v>-10019712.225083116</v>
      </c>
      <c r="S829">
        <f t="shared" si="1007"/>
        <v>-100.19712225083117</v>
      </c>
      <c r="T829">
        <f t="shared" si="1008"/>
        <v>-0.10019712225083117</v>
      </c>
    </row>
    <row r="830" spans="1:20" x14ac:dyDescent="0.25">
      <c r="A830" s="5">
        <v>43763</v>
      </c>
      <c r="B830">
        <v>0.29730000000000001</v>
      </c>
      <c r="C830">
        <v>0.31869999999999998</v>
      </c>
      <c r="D830">
        <v>0.2893</v>
      </c>
      <c r="E830">
        <v>0.30570000000000003</v>
      </c>
      <c r="F830">
        <v>4002827.07</v>
      </c>
      <c r="G830">
        <v>0</v>
      </c>
      <c r="L830" t="s">
        <v>8</v>
      </c>
      <c r="M830" t="s">
        <v>7</v>
      </c>
      <c r="N830" t="s">
        <v>8</v>
      </c>
      <c r="P830">
        <f t="shared" si="1004"/>
        <v>0.11564625850340381</v>
      </c>
      <c r="Q830">
        <f t="shared" si="1005"/>
        <v>462911.9740816424</v>
      </c>
      <c r="R830">
        <f t="shared" si="1006"/>
        <v>-7922840.4753843192</v>
      </c>
      <c r="S830">
        <f t="shared" si="1007"/>
        <v>-79.228404753843193</v>
      </c>
      <c r="T830">
        <f t="shared" si="1008"/>
        <v>-7.9228404753843198E-2</v>
      </c>
    </row>
    <row r="831" spans="1:20" x14ac:dyDescent="0.25">
      <c r="A831" s="5">
        <v>43762</v>
      </c>
      <c r="B831">
        <v>0.2928</v>
      </c>
      <c r="C831">
        <v>0.31</v>
      </c>
      <c r="D831">
        <v>0.28399999999999997</v>
      </c>
      <c r="E831">
        <v>0.29730000000000001</v>
      </c>
      <c r="F831">
        <v>2964792.24</v>
      </c>
      <c r="G831">
        <v>0</v>
      </c>
      <c r="L831" t="s">
        <v>8</v>
      </c>
      <c r="M831" t="s">
        <v>7</v>
      </c>
      <c r="N831" t="s">
        <v>8</v>
      </c>
      <c r="P831">
        <f t="shared" ref="P831:P894" si="1009">IF(C831=D831,0,((E831-D831)-(C831-E831))/(C831-D831))</f>
        <v>2.3076923076924785E-2</v>
      </c>
      <c r="Q831">
        <f t="shared" ref="Q831:Q894" si="1010">F831*P831</f>
        <v>68418.282461543538</v>
      </c>
      <c r="R831">
        <f t="shared" ref="R831:R894" si="1011">R832+Q831</f>
        <v>-8385752.4494659612</v>
      </c>
      <c r="S831">
        <f t="shared" ref="S831:S894" si="1012">R831/100000</f>
        <v>-83.857524494659614</v>
      </c>
      <c r="T831">
        <f t="shared" ref="T831:T894" si="1013">S831/1000</f>
        <v>-8.3857524494659608E-2</v>
      </c>
    </row>
    <row r="832" spans="1:20" x14ac:dyDescent="0.25">
      <c r="A832" s="5">
        <v>43761</v>
      </c>
      <c r="B832">
        <v>0.31109999999999999</v>
      </c>
      <c r="C832">
        <v>0.33129999999999998</v>
      </c>
      <c r="D832">
        <v>0.28039999999999998</v>
      </c>
      <c r="E832">
        <v>0.29270000000000002</v>
      </c>
      <c r="F832">
        <v>6386236.6399999997</v>
      </c>
      <c r="G832">
        <v>0</v>
      </c>
      <c r="L832" t="s">
        <v>7</v>
      </c>
      <c r="M832" t="s">
        <v>7</v>
      </c>
      <c r="N832" t="s">
        <v>8</v>
      </c>
      <c r="P832">
        <f t="shared" si="1009"/>
        <v>-0.51669941060903601</v>
      </c>
      <c r="Q832">
        <f t="shared" si="1010"/>
        <v>-3299764.7078978303</v>
      </c>
      <c r="R832">
        <f t="shared" si="1011"/>
        <v>-8454170.7319275048</v>
      </c>
      <c r="S832">
        <f t="shared" si="1012"/>
        <v>-84.541707319275048</v>
      </c>
      <c r="T832">
        <f t="shared" si="1013"/>
        <v>-8.4541707319275045E-2</v>
      </c>
    </row>
    <row r="833" spans="1:20" x14ac:dyDescent="0.25">
      <c r="A833" s="5">
        <v>43760</v>
      </c>
      <c r="B833">
        <v>0.32290000000000002</v>
      </c>
      <c r="C833">
        <v>0.32529999999999998</v>
      </c>
      <c r="D833">
        <v>0.30869999999999997</v>
      </c>
      <c r="E833">
        <v>0.31109999999999999</v>
      </c>
      <c r="F833">
        <v>2596594.67</v>
      </c>
      <c r="G833">
        <v>0</v>
      </c>
      <c r="L833" t="s">
        <v>7</v>
      </c>
      <c r="M833" t="s">
        <v>8</v>
      </c>
      <c r="N833" t="s">
        <v>8</v>
      </c>
      <c r="P833">
        <f t="shared" si="1009"/>
        <v>-0.71084337349397442</v>
      </c>
      <c r="Q833">
        <f t="shared" si="1010"/>
        <v>-1845772.1148192731</v>
      </c>
      <c r="R833">
        <f t="shared" si="1011"/>
        <v>-5154406.0240296749</v>
      </c>
      <c r="S833">
        <f t="shared" si="1012"/>
        <v>-51.544060240296751</v>
      </c>
      <c r="T833">
        <f t="shared" si="1013"/>
        <v>-5.154406024029675E-2</v>
      </c>
    </row>
    <row r="834" spans="1:20" x14ac:dyDescent="0.25">
      <c r="A834" s="5">
        <v>43759</v>
      </c>
      <c r="B834">
        <v>0.33100000000000002</v>
      </c>
      <c r="C834">
        <v>0.33160000000000001</v>
      </c>
      <c r="D834">
        <v>0.31780000000000003</v>
      </c>
      <c r="E834">
        <v>0.32250000000000001</v>
      </c>
      <c r="F834">
        <v>3931089.45</v>
      </c>
      <c r="G834">
        <v>0</v>
      </c>
      <c r="L834" t="s">
        <v>7</v>
      </c>
      <c r="M834" t="s">
        <v>8</v>
      </c>
      <c r="N834" t="s">
        <v>8</v>
      </c>
      <c r="P834">
        <f t="shared" si="1009"/>
        <v>-0.31884057971014651</v>
      </c>
      <c r="Q834">
        <f t="shared" si="1010"/>
        <v>-1253390.839130441</v>
      </c>
      <c r="R834">
        <f t="shared" si="1011"/>
        <v>-3308633.9092104016</v>
      </c>
      <c r="S834">
        <f t="shared" si="1012"/>
        <v>-33.086339092104019</v>
      </c>
      <c r="T834">
        <f t="shared" si="1013"/>
        <v>-3.3086339092104018E-2</v>
      </c>
    </row>
    <row r="835" spans="1:20" x14ac:dyDescent="0.25">
      <c r="A835" s="5">
        <v>43758</v>
      </c>
      <c r="B835">
        <v>0.31819999999999998</v>
      </c>
      <c r="C835">
        <v>0.34899999999999998</v>
      </c>
      <c r="D835">
        <v>0.30459999999999998</v>
      </c>
      <c r="E835">
        <v>0.33100000000000002</v>
      </c>
      <c r="F835">
        <v>8606741.5299999993</v>
      </c>
      <c r="G835">
        <v>0</v>
      </c>
      <c r="L835" t="s">
        <v>8</v>
      </c>
      <c r="M835" t="s">
        <v>8</v>
      </c>
      <c r="N835" t="s">
        <v>8</v>
      </c>
      <c r="P835">
        <f t="shared" si="1009"/>
        <v>0.18918918918919087</v>
      </c>
      <c r="Q835">
        <f t="shared" si="1010"/>
        <v>1628302.4516216358</v>
      </c>
      <c r="R835">
        <f t="shared" si="1011"/>
        <v>-2055243.0700799604</v>
      </c>
      <c r="S835">
        <f t="shared" si="1012"/>
        <v>-20.552430700799604</v>
      </c>
      <c r="T835">
        <f t="shared" si="1013"/>
        <v>-2.0552430700799606E-2</v>
      </c>
    </row>
    <row r="836" spans="1:20" x14ac:dyDescent="0.25">
      <c r="A836" s="5">
        <v>43757</v>
      </c>
      <c r="B836">
        <v>0.2999</v>
      </c>
      <c r="C836">
        <v>0.31890000000000002</v>
      </c>
      <c r="D836">
        <v>0.29139999999999999</v>
      </c>
      <c r="E836">
        <v>0.31809999999999999</v>
      </c>
      <c r="F836">
        <v>2333751.2799999998</v>
      </c>
      <c r="G836">
        <v>0</v>
      </c>
      <c r="L836" t="s">
        <v>8</v>
      </c>
      <c r="M836" t="s">
        <v>8</v>
      </c>
      <c r="N836" t="s">
        <v>8</v>
      </c>
      <c r="P836">
        <f t="shared" si="1009"/>
        <v>0.94181818181818022</v>
      </c>
      <c r="Q836">
        <f t="shared" si="1010"/>
        <v>2197969.3873454505</v>
      </c>
      <c r="R836">
        <f t="shared" si="1011"/>
        <v>-3683545.5217015962</v>
      </c>
      <c r="S836">
        <f t="shared" si="1012"/>
        <v>-36.835455217015962</v>
      </c>
      <c r="T836">
        <f t="shared" si="1013"/>
        <v>-3.6835455217015964E-2</v>
      </c>
    </row>
    <row r="837" spans="1:20" x14ac:dyDescent="0.25">
      <c r="A837" s="5">
        <v>43756</v>
      </c>
      <c r="B837">
        <v>0.31319999999999998</v>
      </c>
      <c r="C837">
        <v>0.32050000000000001</v>
      </c>
      <c r="D837">
        <v>0.29239999999999999</v>
      </c>
      <c r="E837">
        <v>0.30009999999999998</v>
      </c>
      <c r="F837">
        <v>2684242.25</v>
      </c>
      <c r="G837">
        <v>0</v>
      </c>
      <c r="L837" t="s">
        <v>7</v>
      </c>
      <c r="M837" t="s">
        <v>8</v>
      </c>
      <c r="N837" t="s">
        <v>8</v>
      </c>
      <c r="P837">
        <f t="shared" si="1009"/>
        <v>-0.45195729537366686</v>
      </c>
      <c r="Q837">
        <f t="shared" si="1010"/>
        <v>-1213162.8674377261</v>
      </c>
      <c r="R837">
        <f t="shared" si="1011"/>
        <v>-5881514.9090470467</v>
      </c>
      <c r="S837">
        <f t="shared" si="1012"/>
        <v>-58.81514909047047</v>
      </c>
      <c r="T837">
        <f t="shared" si="1013"/>
        <v>-5.8815149090470469E-2</v>
      </c>
    </row>
    <row r="838" spans="1:20" x14ac:dyDescent="0.25">
      <c r="A838" s="5">
        <v>43755</v>
      </c>
      <c r="B838">
        <v>0.309</v>
      </c>
      <c r="C838">
        <v>0.32800000000000001</v>
      </c>
      <c r="D838">
        <v>0.30470000000000003</v>
      </c>
      <c r="E838">
        <v>0.31319999999999998</v>
      </c>
      <c r="F838">
        <v>4101259.13</v>
      </c>
      <c r="G838">
        <v>0</v>
      </c>
      <c r="L838" t="s">
        <v>8</v>
      </c>
      <c r="M838" t="s">
        <v>8</v>
      </c>
      <c r="N838" t="s">
        <v>8</v>
      </c>
      <c r="P838">
        <f t="shared" si="1009"/>
        <v>-0.27038626609442434</v>
      </c>
      <c r="Q838">
        <f t="shared" si="1010"/>
        <v>-1108924.1424463673</v>
      </c>
      <c r="R838">
        <f t="shared" si="1011"/>
        <v>-4668352.0416093208</v>
      </c>
      <c r="S838">
        <f t="shared" si="1012"/>
        <v>-46.683520416093209</v>
      </c>
      <c r="T838">
        <f t="shared" si="1013"/>
        <v>-4.6683520416093208E-2</v>
      </c>
    </row>
    <row r="839" spans="1:20" x14ac:dyDescent="0.25">
      <c r="A839" s="5">
        <v>43754</v>
      </c>
      <c r="B839">
        <v>0.31609999999999999</v>
      </c>
      <c r="C839">
        <v>0.32150000000000001</v>
      </c>
      <c r="D839">
        <v>0.27260000000000001</v>
      </c>
      <c r="E839">
        <v>0.30830000000000002</v>
      </c>
      <c r="F839">
        <v>8224313.7400000002</v>
      </c>
      <c r="G839">
        <v>0</v>
      </c>
      <c r="L839" t="s">
        <v>7</v>
      </c>
      <c r="M839" t="s">
        <v>7</v>
      </c>
      <c r="N839" t="s">
        <v>8</v>
      </c>
      <c r="P839">
        <f t="shared" si="1009"/>
        <v>0.46012269938650346</v>
      </c>
      <c r="Q839">
        <f t="shared" si="1010"/>
        <v>3784193.43865031</v>
      </c>
      <c r="R839">
        <f t="shared" si="1011"/>
        <v>-3559427.8991629537</v>
      </c>
      <c r="S839">
        <f t="shared" si="1012"/>
        <v>-35.594278991629537</v>
      </c>
      <c r="T839">
        <f t="shared" si="1013"/>
        <v>-3.5594278991629535E-2</v>
      </c>
    </row>
    <row r="840" spans="1:20" x14ac:dyDescent="0.25">
      <c r="A840" s="5">
        <v>43753</v>
      </c>
      <c r="B840">
        <v>0.33289999999999997</v>
      </c>
      <c r="C840">
        <v>0.34399999999999997</v>
      </c>
      <c r="D840">
        <v>0.30230000000000001</v>
      </c>
      <c r="E840">
        <v>0.31509999999999999</v>
      </c>
      <c r="F840">
        <v>6837130.0499999998</v>
      </c>
      <c r="G840">
        <v>0</v>
      </c>
      <c r="L840" t="s">
        <v>8</v>
      </c>
      <c r="M840" t="s">
        <v>8</v>
      </c>
      <c r="N840" t="s">
        <v>8</v>
      </c>
      <c r="P840">
        <f t="shared" si="1009"/>
        <v>-0.38609112709832177</v>
      </c>
      <c r="Q840">
        <f t="shared" si="1010"/>
        <v>-2639755.247122305</v>
      </c>
      <c r="R840">
        <f t="shared" si="1011"/>
        <v>-7343621.3378132638</v>
      </c>
      <c r="S840">
        <f t="shared" si="1012"/>
        <v>-73.436213378132635</v>
      </c>
      <c r="T840">
        <f t="shared" si="1013"/>
        <v>-7.3436213378132636E-2</v>
      </c>
    </row>
    <row r="841" spans="1:20" x14ac:dyDescent="0.25">
      <c r="A841" s="5">
        <v>43752</v>
      </c>
      <c r="B841">
        <v>0.29759999999999998</v>
      </c>
      <c r="C841">
        <v>0.3417</v>
      </c>
      <c r="D841">
        <v>0.28589999999999999</v>
      </c>
      <c r="E841">
        <v>0.33229999999999998</v>
      </c>
      <c r="F841">
        <v>11845597.550000001</v>
      </c>
      <c r="G841">
        <v>0</v>
      </c>
      <c r="L841" t="s">
        <v>8</v>
      </c>
      <c r="M841" t="s">
        <v>8</v>
      </c>
      <c r="N841" t="s">
        <v>8</v>
      </c>
      <c r="P841">
        <f t="shared" si="1009"/>
        <v>0.66308243727598504</v>
      </c>
      <c r="Q841">
        <f t="shared" si="1010"/>
        <v>7854607.6944444375</v>
      </c>
      <c r="R841">
        <f t="shared" si="1011"/>
        <v>-4703866.0906909583</v>
      </c>
      <c r="S841">
        <f t="shared" si="1012"/>
        <v>-47.038660906909584</v>
      </c>
      <c r="T841">
        <f t="shared" si="1013"/>
        <v>-4.7038660906909585E-2</v>
      </c>
    </row>
    <row r="842" spans="1:20" x14ac:dyDescent="0.25">
      <c r="A842" s="5">
        <v>43751</v>
      </c>
      <c r="B842">
        <v>0.25700000000000001</v>
      </c>
      <c r="C842">
        <v>0.29770000000000002</v>
      </c>
      <c r="D842">
        <v>0.25629999999999997</v>
      </c>
      <c r="E842">
        <v>0.29680000000000001</v>
      </c>
      <c r="F842">
        <v>3521768.76</v>
      </c>
      <c r="G842">
        <v>0</v>
      </c>
      <c r="L842" t="s">
        <v>8</v>
      </c>
      <c r="M842" t="s">
        <v>8</v>
      </c>
      <c r="N842" t="s">
        <v>8</v>
      </c>
      <c r="P842">
        <f t="shared" si="1009"/>
        <v>0.95652173913043426</v>
      </c>
      <c r="Q842">
        <f t="shared" si="1010"/>
        <v>3368648.3791304328</v>
      </c>
      <c r="R842">
        <f t="shared" si="1011"/>
        <v>-12558473.785135396</v>
      </c>
      <c r="S842">
        <f t="shared" si="1012"/>
        <v>-125.58473785135396</v>
      </c>
      <c r="T842">
        <f t="shared" si="1013"/>
        <v>-0.12558473785135396</v>
      </c>
    </row>
    <row r="843" spans="1:20" x14ac:dyDescent="0.25">
      <c r="A843" s="5">
        <v>43750</v>
      </c>
      <c r="B843">
        <v>0.25590000000000002</v>
      </c>
      <c r="C843">
        <v>0.26379999999999998</v>
      </c>
      <c r="D843">
        <v>0.25109999999999999</v>
      </c>
      <c r="E843">
        <v>0.25700000000000001</v>
      </c>
      <c r="F843">
        <v>1057953.06</v>
      </c>
      <c r="G843">
        <v>0</v>
      </c>
      <c r="L843" t="s">
        <v>7</v>
      </c>
      <c r="M843" t="s">
        <v>8</v>
      </c>
      <c r="N843" t="s">
        <v>8</v>
      </c>
      <c r="P843">
        <f t="shared" si="1009"/>
        <v>-7.0866141732280091E-2</v>
      </c>
      <c r="Q843">
        <f t="shared" si="1010"/>
        <v>-74973.05149605943</v>
      </c>
      <c r="R843">
        <f t="shared" si="1011"/>
        <v>-15927122.164265828</v>
      </c>
      <c r="S843">
        <f t="shared" si="1012"/>
        <v>-159.27122164265828</v>
      </c>
      <c r="T843">
        <f t="shared" si="1013"/>
        <v>-0.15927122164265828</v>
      </c>
    </row>
    <row r="844" spans="1:20" x14ac:dyDescent="0.25">
      <c r="A844" s="5">
        <v>43749</v>
      </c>
      <c r="B844">
        <v>0.27179999999999999</v>
      </c>
      <c r="C844">
        <v>0.27960000000000002</v>
      </c>
      <c r="D844">
        <v>0.25540000000000002</v>
      </c>
      <c r="E844">
        <v>0.25669999999999998</v>
      </c>
      <c r="F844">
        <v>2433565.25</v>
      </c>
      <c r="G844">
        <v>0</v>
      </c>
      <c r="L844" t="s">
        <v>8</v>
      </c>
      <c r="M844" t="s">
        <v>8</v>
      </c>
      <c r="N844" t="s">
        <v>8</v>
      </c>
      <c r="P844">
        <f t="shared" si="1009"/>
        <v>-0.89256198347107707</v>
      </c>
      <c r="Q844">
        <f t="shared" si="1010"/>
        <v>-2172107.8264462873</v>
      </c>
      <c r="R844">
        <f t="shared" si="1011"/>
        <v>-15852149.11276977</v>
      </c>
      <c r="S844">
        <f t="shared" si="1012"/>
        <v>-158.52149112769769</v>
      </c>
      <c r="T844">
        <f t="shared" si="1013"/>
        <v>-0.1585214911276977</v>
      </c>
    </row>
    <row r="845" spans="1:20" x14ac:dyDescent="0.25">
      <c r="A845" s="5">
        <v>43748</v>
      </c>
      <c r="B845">
        <v>0.25540000000000002</v>
      </c>
      <c r="C845">
        <v>0.27739999999999998</v>
      </c>
      <c r="D845">
        <v>0.24740000000000001</v>
      </c>
      <c r="E845">
        <v>0.2717</v>
      </c>
      <c r="F845">
        <v>4174346.55</v>
      </c>
      <c r="G845">
        <v>0</v>
      </c>
      <c r="L845" t="s">
        <v>7</v>
      </c>
      <c r="M845" t="s">
        <v>8</v>
      </c>
      <c r="N845" t="s">
        <v>8</v>
      </c>
      <c r="P845">
        <f t="shared" si="1009"/>
        <v>0.62000000000000077</v>
      </c>
      <c r="Q845">
        <f t="shared" si="1010"/>
        <v>2588094.8610000033</v>
      </c>
      <c r="R845">
        <f t="shared" si="1011"/>
        <v>-13680041.286323482</v>
      </c>
      <c r="S845">
        <f t="shared" si="1012"/>
        <v>-136.80041286323481</v>
      </c>
      <c r="T845">
        <f t="shared" si="1013"/>
        <v>-0.1368004128632348</v>
      </c>
    </row>
    <row r="846" spans="1:20" x14ac:dyDescent="0.25">
      <c r="A846" s="5">
        <v>43747</v>
      </c>
      <c r="B846">
        <v>0.25940000000000002</v>
      </c>
      <c r="C846">
        <v>0.28000000000000003</v>
      </c>
      <c r="D846">
        <v>0.24610000000000001</v>
      </c>
      <c r="E846">
        <v>0.25590000000000002</v>
      </c>
      <c r="F846">
        <v>7846199.3399999999</v>
      </c>
      <c r="G846">
        <v>0</v>
      </c>
      <c r="L846" t="s">
        <v>8</v>
      </c>
      <c r="M846" t="s">
        <v>8</v>
      </c>
      <c r="N846" t="s">
        <v>8</v>
      </c>
      <c r="P846">
        <f t="shared" si="1009"/>
        <v>-0.42182890855457233</v>
      </c>
      <c r="Q846">
        <f t="shared" si="1010"/>
        <v>-3309753.7038938059</v>
      </c>
      <c r="R846">
        <f t="shared" si="1011"/>
        <v>-16268136.147323485</v>
      </c>
      <c r="S846">
        <f t="shared" si="1012"/>
        <v>-162.68136147323486</v>
      </c>
      <c r="T846">
        <f t="shared" si="1013"/>
        <v>-0.16268136147323486</v>
      </c>
    </row>
    <row r="847" spans="1:20" x14ac:dyDescent="0.25">
      <c r="A847" s="5">
        <v>43746</v>
      </c>
      <c r="B847">
        <v>0.2205</v>
      </c>
      <c r="C847">
        <v>0.26140000000000002</v>
      </c>
      <c r="D847">
        <v>0.22040000000000001</v>
      </c>
      <c r="E847">
        <v>0.2581</v>
      </c>
      <c r="F847">
        <v>4593256.3899999997</v>
      </c>
      <c r="G847">
        <v>0</v>
      </c>
      <c r="L847" t="s">
        <v>8</v>
      </c>
      <c r="M847" t="s">
        <v>8</v>
      </c>
      <c r="N847" t="s">
        <v>8</v>
      </c>
      <c r="P847">
        <f t="shared" si="1009"/>
        <v>0.8390243902439013</v>
      </c>
      <c r="Q847">
        <f t="shared" si="1010"/>
        <v>3853854.1418536529</v>
      </c>
      <c r="R847">
        <f t="shared" si="1011"/>
        <v>-12958382.443429679</v>
      </c>
      <c r="S847">
        <f t="shared" si="1012"/>
        <v>-129.58382443429679</v>
      </c>
      <c r="T847">
        <f t="shared" si="1013"/>
        <v>-0.12958382443429678</v>
      </c>
    </row>
    <row r="848" spans="1:20" x14ac:dyDescent="0.25">
      <c r="A848" s="5">
        <v>43745</v>
      </c>
      <c r="B848">
        <v>0.21149999999999999</v>
      </c>
      <c r="C848">
        <v>0.22670000000000001</v>
      </c>
      <c r="D848">
        <v>0.20960000000000001</v>
      </c>
      <c r="E848">
        <v>0.22020000000000001</v>
      </c>
      <c r="F848">
        <v>2375464.7000000002</v>
      </c>
      <c r="G848">
        <v>0</v>
      </c>
      <c r="L848" t="s">
        <v>8</v>
      </c>
      <c r="M848" t="s">
        <v>8</v>
      </c>
      <c r="N848" t="s">
        <v>7</v>
      </c>
      <c r="P848">
        <f t="shared" si="1009"/>
        <v>0.23976608187134454</v>
      </c>
      <c r="Q848">
        <f t="shared" si="1010"/>
        <v>569555.8637426889</v>
      </c>
      <c r="R848">
        <f t="shared" si="1011"/>
        <v>-16812236.585283332</v>
      </c>
      <c r="S848">
        <f t="shared" si="1012"/>
        <v>-168.12236585283333</v>
      </c>
      <c r="T848">
        <f t="shared" si="1013"/>
        <v>-0.16812236585283333</v>
      </c>
    </row>
    <row r="849" spans="1:20" x14ac:dyDescent="0.25">
      <c r="A849" s="5">
        <v>43744</v>
      </c>
      <c r="B849">
        <v>0.2213</v>
      </c>
      <c r="C849">
        <v>0.22289999999999999</v>
      </c>
      <c r="D849">
        <v>0.20849999999999999</v>
      </c>
      <c r="E849">
        <v>0.2114</v>
      </c>
      <c r="F849">
        <v>1796866.3</v>
      </c>
      <c r="G849">
        <v>0</v>
      </c>
      <c r="L849" t="s">
        <v>7</v>
      </c>
      <c r="M849" t="s">
        <v>8</v>
      </c>
      <c r="N849" t="s">
        <v>7</v>
      </c>
      <c r="P849">
        <f t="shared" si="1009"/>
        <v>-0.59722222222222021</v>
      </c>
      <c r="Q849">
        <f t="shared" si="1010"/>
        <v>-1073128.4847222187</v>
      </c>
      <c r="R849">
        <f t="shared" si="1011"/>
        <v>-17381792.449026022</v>
      </c>
      <c r="S849">
        <f t="shared" si="1012"/>
        <v>-173.81792449026022</v>
      </c>
      <c r="T849">
        <f t="shared" si="1013"/>
        <v>-0.17381792449026023</v>
      </c>
    </row>
    <row r="850" spans="1:20" x14ac:dyDescent="0.25">
      <c r="A850" s="5">
        <v>43743</v>
      </c>
      <c r="B850">
        <v>0.21929999999999999</v>
      </c>
      <c r="C850">
        <v>0.22500000000000001</v>
      </c>
      <c r="D850">
        <v>0.21299999999999999</v>
      </c>
      <c r="E850">
        <v>0.221</v>
      </c>
      <c r="F850">
        <v>2267430.62</v>
      </c>
      <c r="G850">
        <v>0</v>
      </c>
      <c r="L850" t="s">
        <v>7</v>
      </c>
      <c r="M850" t="s">
        <v>8</v>
      </c>
      <c r="N850" t="s">
        <v>7</v>
      </c>
      <c r="P850">
        <f t="shared" si="1009"/>
        <v>0.33333333333333331</v>
      </c>
      <c r="Q850">
        <f t="shared" si="1010"/>
        <v>755810.20666666667</v>
      </c>
      <c r="R850">
        <f t="shared" si="1011"/>
        <v>-16308663.964303803</v>
      </c>
      <c r="S850">
        <f t="shared" si="1012"/>
        <v>-163.08663964303804</v>
      </c>
      <c r="T850">
        <f t="shared" si="1013"/>
        <v>-0.16308663964303804</v>
      </c>
    </row>
    <row r="851" spans="1:20" x14ac:dyDescent="0.25">
      <c r="A851" s="5">
        <v>43742</v>
      </c>
      <c r="B851">
        <v>0.21129999999999999</v>
      </c>
      <c r="C851">
        <v>0.2288</v>
      </c>
      <c r="D851">
        <v>0.2064</v>
      </c>
      <c r="E851">
        <v>0.2203</v>
      </c>
      <c r="F851">
        <v>3629303.89</v>
      </c>
      <c r="G851">
        <v>0</v>
      </c>
      <c r="L851" t="s">
        <v>8</v>
      </c>
      <c r="M851" t="s">
        <v>8</v>
      </c>
      <c r="N851" t="s">
        <v>7</v>
      </c>
      <c r="P851">
        <f t="shared" si="1009"/>
        <v>0.24107142857142802</v>
      </c>
      <c r="Q851">
        <f t="shared" si="1010"/>
        <v>874921.47348214092</v>
      </c>
      <c r="R851">
        <f t="shared" si="1011"/>
        <v>-17064474.17097047</v>
      </c>
      <c r="S851">
        <f t="shared" si="1012"/>
        <v>-170.6447417097047</v>
      </c>
      <c r="T851">
        <f t="shared" si="1013"/>
        <v>-0.1706447417097047</v>
      </c>
    </row>
    <row r="852" spans="1:20" x14ac:dyDescent="0.25">
      <c r="A852" s="5">
        <v>43741</v>
      </c>
      <c r="B852">
        <v>0.20830000000000001</v>
      </c>
      <c r="C852">
        <v>0.21490000000000001</v>
      </c>
      <c r="D852">
        <v>0.2016</v>
      </c>
      <c r="E852">
        <v>0.21129999999999999</v>
      </c>
      <c r="F852">
        <v>1781753.4</v>
      </c>
      <c r="G852">
        <v>0</v>
      </c>
      <c r="L852" t="s">
        <v>7</v>
      </c>
      <c r="M852" t="s">
        <v>8</v>
      </c>
      <c r="N852" t="s">
        <v>7</v>
      </c>
      <c r="P852">
        <f t="shared" si="1009"/>
        <v>0.45864661654135064</v>
      </c>
      <c r="Q852">
        <f t="shared" si="1010"/>
        <v>817195.16842104774</v>
      </c>
      <c r="R852">
        <f t="shared" si="1011"/>
        <v>-17939395.644452609</v>
      </c>
      <c r="S852">
        <f t="shared" si="1012"/>
        <v>-179.39395644452608</v>
      </c>
      <c r="T852">
        <f t="shared" si="1013"/>
        <v>-0.17939395644452608</v>
      </c>
    </row>
    <row r="853" spans="1:20" x14ac:dyDescent="0.25">
      <c r="A853" s="5">
        <v>43740</v>
      </c>
      <c r="B853">
        <v>0.21129999999999999</v>
      </c>
      <c r="C853">
        <v>0.22040000000000001</v>
      </c>
      <c r="D853">
        <v>0.2024</v>
      </c>
      <c r="E853">
        <v>0.20799999999999999</v>
      </c>
      <c r="F853">
        <v>3143609.06</v>
      </c>
      <c r="G853">
        <v>0</v>
      </c>
      <c r="L853" t="s">
        <v>7</v>
      </c>
      <c r="M853" t="s">
        <v>8</v>
      </c>
      <c r="N853" t="s">
        <v>7</v>
      </c>
      <c r="P853">
        <f t="shared" si="1009"/>
        <v>-0.37777777777777899</v>
      </c>
      <c r="Q853">
        <f t="shared" si="1010"/>
        <v>-1187585.6448888928</v>
      </c>
      <c r="R853">
        <f t="shared" si="1011"/>
        <v>-18756590.812873658</v>
      </c>
      <c r="S853">
        <f t="shared" si="1012"/>
        <v>-187.56590812873657</v>
      </c>
      <c r="T853">
        <f t="shared" si="1013"/>
        <v>-0.18756590812873658</v>
      </c>
    </row>
    <row r="854" spans="1:20" x14ac:dyDescent="0.25">
      <c r="A854" s="5">
        <v>43739</v>
      </c>
      <c r="B854">
        <v>0.2046</v>
      </c>
      <c r="C854">
        <v>0.22359999999999999</v>
      </c>
      <c r="D854">
        <v>0.19989999999999999</v>
      </c>
      <c r="E854">
        <v>0.21160000000000001</v>
      </c>
      <c r="F854">
        <v>3186432.97</v>
      </c>
      <c r="G854">
        <v>0</v>
      </c>
      <c r="L854" t="s">
        <v>8</v>
      </c>
      <c r="M854" t="s">
        <v>8</v>
      </c>
      <c r="N854" t="s">
        <v>7</v>
      </c>
      <c r="P854">
        <f t="shared" si="1009"/>
        <v>-1.2658227848099873E-2</v>
      </c>
      <c r="Q854">
        <f t="shared" si="1010"/>
        <v>-40334.594556957585</v>
      </c>
      <c r="R854">
        <f t="shared" si="1011"/>
        <v>-17569005.167984765</v>
      </c>
      <c r="S854">
        <f t="shared" si="1012"/>
        <v>-175.69005167984764</v>
      </c>
      <c r="T854">
        <f t="shared" si="1013"/>
        <v>-0.17569005167984764</v>
      </c>
    </row>
    <row r="855" spans="1:20" x14ac:dyDescent="0.25">
      <c r="A855" s="5">
        <v>43738</v>
      </c>
      <c r="B855">
        <v>0.20130000000000001</v>
      </c>
      <c r="C855">
        <v>0.21010000000000001</v>
      </c>
      <c r="D855">
        <v>0.18940000000000001</v>
      </c>
      <c r="E855">
        <v>0.20399999999999999</v>
      </c>
      <c r="F855">
        <v>3608542.53</v>
      </c>
      <c r="G855">
        <v>0</v>
      </c>
      <c r="L855" t="s">
        <v>7</v>
      </c>
      <c r="M855" t="s">
        <v>7</v>
      </c>
      <c r="N855" t="s">
        <v>7</v>
      </c>
      <c r="P855">
        <f t="shared" si="1009"/>
        <v>0.41062801932366927</v>
      </c>
      <c r="Q855">
        <f t="shared" si="1010"/>
        <v>1481768.6717391224</v>
      </c>
      <c r="R855">
        <f t="shared" si="1011"/>
        <v>-17528670.573427808</v>
      </c>
      <c r="S855">
        <f t="shared" si="1012"/>
        <v>-175.28670573427809</v>
      </c>
      <c r="T855">
        <f t="shared" si="1013"/>
        <v>-0.1752867057342781</v>
      </c>
    </row>
    <row r="856" spans="1:20" x14ac:dyDescent="0.25">
      <c r="A856" s="5">
        <v>43737</v>
      </c>
      <c r="B856">
        <v>0.21110000000000001</v>
      </c>
      <c r="C856">
        <v>0.21340000000000001</v>
      </c>
      <c r="D856">
        <v>0.1963</v>
      </c>
      <c r="E856">
        <v>0.20119999999999999</v>
      </c>
      <c r="F856">
        <v>3134298.89</v>
      </c>
      <c r="G856">
        <v>0</v>
      </c>
      <c r="L856" t="s">
        <v>7</v>
      </c>
      <c r="M856" t="s">
        <v>7</v>
      </c>
      <c r="N856" t="s">
        <v>7</v>
      </c>
      <c r="P856">
        <f t="shared" si="1009"/>
        <v>-0.42690058479532322</v>
      </c>
      <c r="Q856">
        <f t="shared" si="1010"/>
        <v>-1338034.0290643326</v>
      </c>
      <c r="R856">
        <f t="shared" si="1011"/>
        <v>-19010439.245166931</v>
      </c>
      <c r="S856">
        <f t="shared" si="1012"/>
        <v>-190.10439245166933</v>
      </c>
      <c r="T856">
        <f t="shared" si="1013"/>
        <v>-0.19010439245166932</v>
      </c>
    </row>
    <row r="857" spans="1:20" x14ac:dyDescent="0.25">
      <c r="A857" s="5">
        <v>43736</v>
      </c>
      <c r="B857">
        <v>0.21340000000000001</v>
      </c>
      <c r="C857">
        <v>0.22059999999999999</v>
      </c>
      <c r="D857">
        <v>0.20949999999999999</v>
      </c>
      <c r="E857">
        <v>0.2107</v>
      </c>
      <c r="F857">
        <v>2109729.77</v>
      </c>
      <c r="G857">
        <v>0</v>
      </c>
      <c r="L857" t="s">
        <v>7</v>
      </c>
      <c r="M857" t="s">
        <v>8</v>
      </c>
      <c r="N857" t="s">
        <v>7</v>
      </c>
      <c r="P857">
        <f t="shared" si="1009"/>
        <v>-0.78378378378378255</v>
      </c>
      <c r="Q857">
        <f t="shared" si="1010"/>
        <v>-1653571.9818918894</v>
      </c>
      <c r="R857">
        <f t="shared" si="1011"/>
        <v>-17672405.2161026</v>
      </c>
      <c r="S857">
        <f t="shared" si="1012"/>
        <v>-176.72405216102601</v>
      </c>
      <c r="T857">
        <f t="shared" si="1013"/>
        <v>-0.17672405216102602</v>
      </c>
    </row>
    <row r="858" spans="1:20" x14ac:dyDescent="0.25">
      <c r="A858" s="5">
        <v>43735</v>
      </c>
      <c r="B858">
        <v>0.21790000000000001</v>
      </c>
      <c r="C858">
        <v>0.2253</v>
      </c>
      <c r="D858">
        <v>0.20899999999999999</v>
      </c>
      <c r="E858">
        <v>0.21340000000000001</v>
      </c>
      <c r="F858">
        <v>3208717.47</v>
      </c>
      <c r="G858">
        <v>0</v>
      </c>
      <c r="L858" t="s">
        <v>7</v>
      </c>
      <c r="M858" t="s">
        <v>8</v>
      </c>
      <c r="N858" t="s">
        <v>7</v>
      </c>
      <c r="P858">
        <f t="shared" si="1009"/>
        <v>-0.46012269938650152</v>
      </c>
      <c r="Q858">
        <f t="shared" si="1010"/>
        <v>-1476403.7438650257</v>
      </c>
      <c r="R858">
        <f t="shared" si="1011"/>
        <v>-16018833.234210709</v>
      </c>
      <c r="S858">
        <f t="shared" si="1012"/>
        <v>-160.18833234210709</v>
      </c>
      <c r="T858">
        <f t="shared" si="1013"/>
        <v>-0.16018833234210708</v>
      </c>
    </row>
    <row r="859" spans="1:20" x14ac:dyDescent="0.25">
      <c r="A859" s="5">
        <v>43734</v>
      </c>
      <c r="B859">
        <v>0.21279999999999999</v>
      </c>
      <c r="C859">
        <v>0.23469999999999999</v>
      </c>
      <c r="D859">
        <v>0.20649999999999999</v>
      </c>
      <c r="E859">
        <v>0.21859999999999999</v>
      </c>
      <c r="F859">
        <v>9978566.1999999993</v>
      </c>
      <c r="G859">
        <v>0</v>
      </c>
      <c r="L859" t="s">
        <v>8</v>
      </c>
      <c r="M859" t="s">
        <v>8</v>
      </c>
      <c r="N859" t="s">
        <v>7</v>
      </c>
      <c r="P859">
        <f t="shared" si="1009"/>
        <v>-0.1418439716312058</v>
      </c>
      <c r="Q859">
        <f t="shared" si="1010"/>
        <v>-1415399.4609929088</v>
      </c>
      <c r="R859">
        <f t="shared" si="1011"/>
        <v>-14542429.490345683</v>
      </c>
      <c r="S859">
        <f t="shared" si="1012"/>
        <v>-145.42429490345683</v>
      </c>
      <c r="T859">
        <f t="shared" si="1013"/>
        <v>-0.14542429490345682</v>
      </c>
    </row>
    <row r="860" spans="1:20" x14ac:dyDescent="0.25">
      <c r="A860" s="5">
        <v>43733</v>
      </c>
      <c r="B860">
        <v>0.18909999999999999</v>
      </c>
      <c r="C860">
        <v>0.21290000000000001</v>
      </c>
      <c r="D860">
        <v>0.1885</v>
      </c>
      <c r="E860">
        <v>0.21260000000000001</v>
      </c>
      <c r="F860">
        <v>2887383.22</v>
      </c>
      <c r="G860">
        <v>0</v>
      </c>
      <c r="L860" t="s">
        <v>8</v>
      </c>
      <c r="M860" t="s">
        <v>8</v>
      </c>
      <c r="N860" t="s">
        <v>7</v>
      </c>
      <c r="P860">
        <f t="shared" si="1009"/>
        <v>0.97540983606557419</v>
      </c>
      <c r="Q860">
        <f t="shared" si="1010"/>
        <v>2816381.9932786901</v>
      </c>
      <c r="R860">
        <f t="shared" si="1011"/>
        <v>-13127030.029352775</v>
      </c>
      <c r="S860">
        <f t="shared" si="1012"/>
        <v>-131.27030029352775</v>
      </c>
      <c r="T860">
        <f t="shared" si="1013"/>
        <v>-0.13127030029352776</v>
      </c>
    </row>
    <row r="861" spans="1:20" x14ac:dyDescent="0.25">
      <c r="A861" s="5">
        <v>43732</v>
      </c>
      <c r="B861">
        <v>0.2097</v>
      </c>
      <c r="C861">
        <v>0.2349</v>
      </c>
      <c r="D861">
        <v>0.17499999999999999</v>
      </c>
      <c r="E861">
        <v>0.18909999999999999</v>
      </c>
      <c r="F861">
        <v>5239782.28</v>
      </c>
      <c r="G861">
        <v>0</v>
      </c>
      <c r="L861" t="s">
        <v>7</v>
      </c>
      <c r="M861" t="s">
        <v>7</v>
      </c>
      <c r="N861" t="s">
        <v>7</v>
      </c>
      <c r="P861">
        <f t="shared" si="1009"/>
        <v>-0.52921535893155258</v>
      </c>
      <c r="Q861">
        <f t="shared" si="1010"/>
        <v>-2772973.2600333891</v>
      </c>
      <c r="R861">
        <f t="shared" si="1011"/>
        <v>-15943412.022631465</v>
      </c>
      <c r="S861">
        <f t="shared" si="1012"/>
        <v>-159.43412022631463</v>
      </c>
      <c r="T861">
        <f t="shared" si="1013"/>
        <v>-0.15943412022631465</v>
      </c>
    </row>
    <row r="862" spans="1:20" x14ac:dyDescent="0.25">
      <c r="A862" s="5">
        <v>43731</v>
      </c>
      <c r="B862">
        <v>0.2361</v>
      </c>
      <c r="C862">
        <v>0.2382</v>
      </c>
      <c r="D862">
        <v>0.20710000000000001</v>
      </c>
      <c r="E862">
        <v>0.20880000000000001</v>
      </c>
      <c r="F862">
        <v>3643327.11</v>
      </c>
      <c r="G862">
        <v>0</v>
      </c>
      <c r="L862" t="s">
        <v>7</v>
      </c>
      <c r="M862" t="s">
        <v>7</v>
      </c>
      <c r="N862" t="s">
        <v>8</v>
      </c>
      <c r="P862">
        <f t="shared" si="1009"/>
        <v>-0.89067524115755581</v>
      </c>
      <c r="Q862">
        <f t="shared" si="1010"/>
        <v>-3245021.2523151105</v>
      </c>
      <c r="R862">
        <f t="shared" si="1011"/>
        <v>-13170438.762598075</v>
      </c>
      <c r="S862">
        <f t="shared" si="1012"/>
        <v>-131.70438762598076</v>
      </c>
      <c r="T862">
        <f t="shared" si="1013"/>
        <v>-0.13170438762598075</v>
      </c>
    </row>
    <row r="863" spans="1:20" x14ac:dyDescent="0.25">
      <c r="A863" s="5">
        <v>43730</v>
      </c>
      <c r="B863">
        <v>0.24640000000000001</v>
      </c>
      <c r="C863">
        <v>0.25829999999999997</v>
      </c>
      <c r="D863">
        <v>0.23089999999999999</v>
      </c>
      <c r="E863">
        <v>0.2361</v>
      </c>
      <c r="F863">
        <v>3561505.8</v>
      </c>
      <c r="G863">
        <v>0</v>
      </c>
      <c r="L863" t="s">
        <v>8</v>
      </c>
      <c r="M863" t="s">
        <v>7</v>
      </c>
      <c r="N863" t="s">
        <v>8</v>
      </c>
      <c r="P863">
        <f t="shared" si="1009"/>
        <v>-0.62043795620437858</v>
      </c>
      <c r="Q863">
        <f t="shared" si="1010"/>
        <v>-2209693.3795620403</v>
      </c>
      <c r="R863">
        <f t="shared" si="1011"/>
        <v>-9925417.5102829635</v>
      </c>
      <c r="S863">
        <f t="shared" si="1012"/>
        <v>-99.254175102829635</v>
      </c>
      <c r="T863">
        <f t="shared" si="1013"/>
        <v>-9.9254175102829634E-2</v>
      </c>
    </row>
    <row r="864" spans="1:20" x14ac:dyDescent="0.25">
      <c r="A864" s="5">
        <v>43729</v>
      </c>
      <c r="B864">
        <v>0.23300000000000001</v>
      </c>
      <c r="C864">
        <v>0.25619999999999998</v>
      </c>
      <c r="D864">
        <v>0.22309999999999999</v>
      </c>
      <c r="E864">
        <v>0.2467</v>
      </c>
      <c r="F864">
        <v>3965568.3</v>
      </c>
      <c r="G864">
        <v>0</v>
      </c>
      <c r="L864" t="s">
        <v>7</v>
      </c>
      <c r="M864" t="s">
        <v>7</v>
      </c>
      <c r="N864" t="s">
        <v>8</v>
      </c>
      <c r="P864">
        <f t="shared" si="1009"/>
        <v>0.42598187311178348</v>
      </c>
      <c r="Q864">
        <f t="shared" si="1010"/>
        <v>1689260.2123867108</v>
      </c>
      <c r="R864">
        <f t="shared" si="1011"/>
        <v>-7715724.1307209227</v>
      </c>
      <c r="S864">
        <f t="shared" si="1012"/>
        <v>-77.157241307209233</v>
      </c>
      <c r="T864">
        <f t="shared" si="1013"/>
        <v>-7.7157241307209232E-2</v>
      </c>
    </row>
    <row r="865" spans="1:20" x14ac:dyDescent="0.25">
      <c r="A865" s="5">
        <v>43728</v>
      </c>
      <c r="B865">
        <v>0.22720000000000001</v>
      </c>
      <c r="C865">
        <v>0.27</v>
      </c>
      <c r="D865">
        <v>0.21190000000000001</v>
      </c>
      <c r="E865">
        <v>0.23300000000000001</v>
      </c>
      <c r="F865">
        <v>11152008.25</v>
      </c>
      <c r="G865">
        <v>0</v>
      </c>
      <c r="L865" t="s">
        <v>8</v>
      </c>
      <c r="M865" t="s">
        <v>8</v>
      </c>
      <c r="N865" t="s">
        <v>8</v>
      </c>
      <c r="P865">
        <f t="shared" si="1009"/>
        <v>-0.27366609294320127</v>
      </c>
      <c r="Q865">
        <f t="shared" si="1010"/>
        <v>-3051926.5262478474</v>
      </c>
      <c r="R865">
        <f t="shared" si="1011"/>
        <v>-9404984.3431076333</v>
      </c>
      <c r="S865">
        <f t="shared" si="1012"/>
        <v>-94.049843431076326</v>
      </c>
      <c r="T865">
        <f t="shared" si="1013"/>
        <v>-9.4049843431076321E-2</v>
      </c>
    </row>
    <row r="866" spans="1:20" x14ac:dyDescent="0.25">
      <c r="A866" s="5">
        <v>43727</v>
      </c>
      <c r="B866">
        <v>0.19170000000000001</v>
      </c>
      <c r="C866">
        <v>0.24310000000000001</v>
      </c>
      <c r="D866">
        <v>0.18609999999999999</v>
      </c>
      <c r="E866">
        <v>0.2273</v>
      </c>
      <c r="F866">
        <v>5732192.5199999996</v>
      </c>
      <c r="G866">
        <v>0</v>
      </c>
      <c r="L866" t="s">
        <v>8</v>
      </c>
      <c r="M866" t="s">
        <v>8</v>
      </c>
      <c r="N866" t="s">
        <v>8</v>
      </c>
      <c r="P866">
        <f t="shared" si="1009"/>
        <v>0.44561403508771924</v>
      </c>
      <c r="Q866">
        <f t="shared" si="1010"/>
        <v>2554345.4387368415</v>
      </c>
      <c r="R866">
        <f t="shared" si="1011"/>
        <v>-6353057.8168597855</v>
      </c>
      <c r="S866">
        <f t="shared" si="1012"/>
        <v>-63.530578168597856</v>
      </c>
      <c r="T866">
        <f t="shared" si="1013"/>
        <v>-6.3530578168597862E-2</v>
      </c>
    </row>
    <row r="867" spans="1:20" x14ac:dyDescent="0.25">
      <c r="A867" s="5">
        <v>43726</v>
      </c>
      <c r="B867">
        <v>0.17519999999999999</v>
      </c>
      <c r="C867">
        <v>0.20380000000000001</v>
      </c>
      <c r="D867">
        <v>0.1749</v>
      </c>
      <c r="E867">
        <v>0.19220000000000001</v>
      </c>
      <c r="F867">
        <v>3938749.24</v>
      </c>
      <c r="G867">
        <v>0</v>
      </c>
      <c r="L867" t="s">
        <v>8</v>
      </c>
      <c r="M867" t="s">
        <v>8</v>
      </c>
      <c r="N867" t="s">
        <v>7</v>
      </c>
      <c r="P867">
        <f t="shared" si="1009"/>
        <v>0.1972318339100349</v>
      </c>
      <c r="Q867">
        <f t="shared" si="1010"/>
        <v>776846.73591695621</v>
      </c>
      <c r="R867">
        <f t="shared" si="1011"/>
        <v>-8907403.2555966265</v>
      </c>
      <c r="S867">
        <f t="shared" si="1012"/>
        <v>-89.074032555966269</v>
      </c>
      <c r="T867">
        <f t="shared" si="1013"/>
        <v>-8.907403255596627E-2</v>
      </c>
    </row>
    <row r="868" spans="1:20" x14ac:dyDescent="0.25">
      <c r="A868" s="5">
        <v>43725</v>
      </c>
      <c r="B868">
        <v>0.1641</v>
      </c>
      <c r="C868">
        <v>0.1767</v>
      </c>
      <c r="D868">
        <v>0.16259999999999999</v>
      </c>
      <c r="E868">
        <v>0.17519999999999999</v>
      </c>
      <c r="F868">
        <v>1295476.6399999999</v>
      </c>
      <c r="G868">
        <v>0</v>
      </c>
      <c r="L868" t="s">
        <v>8</v>
      </c>
      <c r="M868" t="s">
        <v>7</v>
      </c>
      <c r="N868" t="s">
        <v>7</v>
      </c>
      <c r="P868">
        <f t="shared" si="1009"/>
        <v>0.78723404255319129</v>
      </c>
      <c r="Q868">
        <f t="shared" si="1010"/>
        <v>1019843.3123404252</v>
      </c>
      <c r="R868">
        <f t="shared" si="1011"/>
        <v>-9684249.9915135819</v>
      </c>
      <c r="S868">
        <f t="shared" si="1012"/>
        <v>-96.842499915135818</v>
      </c>
      <c r="T868">
        <f t="shared" si="1013"/>
        <v>-9.6842499915135813E-2</v>
      </c>
    </row>
    <row r="869" spans="1:20" x14ac:dyDescent="0.25">
      <c r="A869" s="5">
        <v>43724</v>
      </c>
      <c r="B869">
        <v>0.1643</v>
      </c>
      <c r="C869">
        <v>0.16789999999999999</v>
      </c>
      <c r="D869">
        <v>0.1603</v>
      </c>
      <c r="E869">
        <v>0.1641</v>
      </c>
      <c r="F869">
        <v>696774.05</v>
      </c>
      <c r="G869">
        <v>0</v>
      </c>
      <c r="L869" t="s">
        <v>8</v>
      </c>
      <c r="M869" t="s">
        <v>7</v>
      </c>
      <c r="N869" t="s">
        <v>7</v>
      </c>
      <c r="P869">
        <f t="shared" si="1009"/>
        <v>0</v>
      </c>
      <c r="Q869">
        <f t="shared" si="1010"/>
        <v>0</v>
      </c>
      <c r="R869">
        <f t="shared" si="1011"/>
        <v>-10704093.303854007</v>
      </c>
      <c r="S869">
        <f t="shared" si="1012"/>
        <v>-107.04093303854008</v>
      </c>
      <c r="T869">
        <f t="shared" si="1013"/>
        <v>-0.10704093303854008</v>
      </c>
    </row>
    <row r="870" spans="1:20" x14ac:dyDescent="0.25">
      <c r="A870" s="5">
        <v>43723</v>
      </c>
      <c r="B870">
        <v>0.1663</v>
      </c>
      <c r="C870">
        <v>0.1663</v>
      </c>
      <c r="D870">
        <v>0.16320000000000001</v>
      </c>
      <c r="E870">
        <v>0.16489999999999999</v>
      </c>
      <c r="F870">
        <v>186978.43</v>
      </c>
      <c r="G870">
        <v>0</v>
      </c>
      <c r="L870" t="s">
        <v>8</v>
      </c>
      <c r="M870" t="s">
        <v>7</v>
      </c>
      <c r="N870" t="s">
        <v>7</v>
      </c>
      <c r="P870">
        <f t="shared" si="1009"/>
        <v>9.67741935483767E-2</v>
      </c>
      <c r="Q870">
        <f t="shared" si="1010"/>
        <v>18094.686774191603</v>
      </c>
      <c r="R870">
        <f t="shared" si="1011"/>
        <v>-10704093.303854007</v>
      </c>
      <c r="S870">
        <f t="shared" si="1012"/>
        <v>-107.04093303854008</v>
      </c>
      <c r="T870">
        <f t="shared" si="1013"/>
        <v>-0.10704093303854008</v>
      </c>
    </row>
    <row r="871" spans="1:20" x14ac:dyDescent="0.25">
      <c r="A871" s="5">
        <v>43722</v>
      </c>
      <c r="B871">
        <v>0.161</v>
      </c>
      <c r="C871">
        <v>0.16869999999999999</v>
      </c>
      <c r="D871">
        <v>0.1605</v>
      </c>
      <c r="E871">
        <v>0.1653</v>
      </c>
      <c r="F871">
        <v>980437.86</v>
      </c>
      <c r="G871">
        <v>0</v>
      </c>
      <c r="L871" t="s">
        <v>8</v>
      </c>
      <c r="M871" t="s">
        <v>7</v>
      </c>
      <c r="N871" t="s">
        <v>7</v>
      </c>
      <c r="P871">
        <f t="shared" si="1009"/>
        <v>0.17073170731707499</v>
      </c>
      <c r="Q871">
        <f t="shared" si="1010"/>
        <v>167391.82975609935</v>
      </c>
      <c r="R871">
        <f t="shared" si="1011"/>
        <v>-10722187.9906282</v>
      </c>
      <c r="S871">
        <f t="shared" si="1012"/>
        <v>-107.221879906282</v>
      </c>
      <c r="T871">
        <f t="shared" si="1013"/>
        <v>-0.107221879906282</v>
      </c>
    </row>
    <row r="872" spans="1:20" x14ac:dyDescent="0.25">
      <c r="A872" s="5">
        <v>43721</v>
      </c>
      <c r="B872">
        <v>0.16059999999999999</v>
      </c>
      <c r="C872">
        <v>0.16400000000000001</v>
      </c>
      <c r="D872">
        <v>0.15759999999999999</v>
      </c>
      <c r="E872">
        <v>0.16120000000000001</v>
      </c>
      <c r="F872">
        <v>449304.22</v>
      </c>
      <c r="G872">
        <v>0</v>
      </c>
      <c r="L872" t="s">
        <v>7</v>
      </c>
      <c r="M872" t="s">
        <v>7</v>
      </c>
      <c r="N872" t="s">
        <v>7</v>
      </c>
      <c r="P872">
        <f t="shared" si="1009"/>
        <v>0.12500000000000325</v>
      </c>
      <c r="Q872">
        <f t="shared" si="1010"/>
        <v>56163.027500001459</v>
      </c>
      <c r="R872">
        <f t="shared" si="1011"/>
        <v>-10889579.820384299</v>
      </c>
      <c r="S872">
        <f t="shared" si="1012"/>
        <v>-108.895798203843</v>
      </c>
      <c r="T872">
        <f t="shared" si="1013"/>
        <v>-0.108895798203843</v>
      </c>
    </row>
    <row r="873" spans="1:20" x14ac:dyDescent="0.25">
      <c r="A873" s="5">
        <v>43720</v>
      </c>
      <c r="B873">
        <v>0.15609999999999999</v>
      </c>
      <c r="C873">
        <v>0.16550000000000001</v>
      </c>
      <c r="D873">
        <v>0.15529999999999999</v>
      </c>
      <c r="E873">
        <v>0.1605</v>
      </c>
      <c r="F873">
        <v>780134.55</v>
      </c>
      <c r="G873">
        <v>0</v>
      </c>
      <c r="L873" t="s">
        <v>7</v>
      </c>
      <c r="M873" t="s">
        <v>7</v>
      </c>
      <c r="N873" t="s">
        <v>7</v>
      </c>
      <c r="P873">
        <f t="shared" si="1009"/>
        <v>1.9607843137255436E-2</v>
      </c>
      <c r="Q873">
        <f t="shared" si="1010"/>
        <v>15296.755882353358</v>
      </c>
      <c r="R873">
        <f t="shared" si="1011"/>
        <v>-10945742.847884301</v>
      </c>
      <c r="S873">
        <f t="shared" si="1012"/>
        <v>-109.45742847884301</v>
      </c>
      <c r="T873">
        <f t="shared" si="1013"/>
        <v>-0.10945742847884302</v>
      </c>
    </row>
    <row r="874" spans="1:20" x14ac:dyDescent="0.25">
      <c r="A874" s="5">
        <v>43719</v>
      </c>
      <c r="B874">
        <v>0.1608</v>
      </c>
      <c r="C874">
        <v>0.16270000000000001</v>
      </c>
      <c r="D874">
        <v>0.15609999999999999</v>
      </c>
      <c r="E874">
        <v>0.15659999999999999</v>
      </c>
      <c r="F874">
        <v>465354.47</v>
      </c>
      <c r="G874">
        <v>0</v>
      </c>
      <c r="L874" t="s">
        <v>8</v>
      </c>
      <c r="M874" t="s">
        <v>7</v>
      </c>
      <c r="N874" t="s">
        <v>7</v>
      </c>
      <c r="P874">
        <f t="shared" si="1009"/>
        <v>-0.84848484848484884</v>
      </c>
      <c r="Q874">
        <f t="shared" si="1010"/>
        <v>-394846.2169696971</v>
      </c>
      <c r="R874">
        <f t="shared" si="1011"/>
        <v>-10961039.603766654</v>
      </c>
      <c r="S874">
        <f t="shared" si="1012"/>
        <v>-109.61039603766653</v>
      </c>
      <c r="T874">
        <f t="shared" si="1013"/>
        <v>-0.10961039603766654</v>
      </c>
    </row>
    <row r="875" spans="1:20" x14ac:dyDescent="0.25">
      <c r="A875" s="5">
        <v>43718</v>
      </c>
      <c r="B875">
        <v>0.16439999999999999</v>
      </c>
      <c r="C875">
        <v>0.16639999999999999</v>
      </c>
      <c r="D875">
        <v>0.15909999999999999</v>
      </c>
      <c r="E875">
        <v>0.161</v>
      </c>
      <c r="F875">
        <v>821774.51</v>
      </c>
      <c r="G875">
        <v>0</v>
      </c>
      <c r="L875" t="s">
        <v>8</v>
      </c>
      <c r="M875" t="s">
        <v>7</v>
      </c>
      <c r="N875" t="s">
        <v>7</v>
      </c>
      <c r="P875">
        <f t="shared" si="1009"/>
        <v>-0.47945205479451714</v>
      </c>
      <c r="Q875">
        <f t="shared" si="1010"/>
        <v>-394001.47739725746</v>
      </c>
      <c r="R875">
        <f t="shared" si="1011"/>
        <v>-10566193.386796957</v>
      </c>
      <c r="S875">
        <f t="shared" si="1012"/>
        <v>-105.66193386796957</v>
      </c>
      <c r="T875">
        <f t="shared" si="1013"/>
        <v>-0.10566193386796957</v>
      </c>
    </row>
    <row r="876" spans="1:20" x14ac:dyDescent="0.25">
      <c r="A876" s="5">
        <v>43717</v>
      </c>
      <c r="B876">
        <v>0.16170000000000001</v>
      </c>
      <c r="C876">
        <v>0.1648</v>
      </c>
      <c r="D876">
        <v>0.159</v>
      </c>
      <c r="E876">
        <v>0.16439999999999999</v>
      </c>
      <c r="F876">
        <v>629819.69999999995</v>
      </c>
      <c r="G876">
        <v>0</v>
      </c>
      <c r="L876" t="s">
        <v>8</v>
      </c>
      <c r="M876" t="s">
        <v>7</v>
      </c>
      <c r="N876" t="s">
        <v>7</v>
      </c>
      <c r="P876">
        <f t="shared" si="1009"/>
        <v>0.86206896551723744</v>
      </c>
      <c r="Q876">
        <f t="shared" si="1010"/>
        <v>542948.0172413768</v>
      </c>
      <c r="R876">
        <f t="shared" si="1011"/>
        <v>-10172191.909399699</v>
      </c>
      <c r="S876">
        <f t="shared" si="1012"/>
        <v>-101.72191909399699</v>
      </c>
      <c r="T876">
        <f t="shared" si="1013"/>
        <v>-0.10172191909399698</v>
      </c>
    </row>
    <row r="877" spans="1:20" x14ac:dyDescent="0.25">
      <c r="A877" s="5">
        <v>43716</v>
      </c>
      <c r="B877">
        <v>0.16389999999999999</v>
      </c>
      <c r="C877">
        <v>0.1661</v>
      </c>
      <c r="D877">
        <v>0.15959999999999999</v>
      </c>
      <c r="E877">
        <v>0.16170000000000001</v>
      </c>
      <c r="F877">
        <v>799865.74</v>
      </c>
      <c r="G877">
        <v>0</v>
      </c>
      <c r="L877" t="s">
        <v>8</v>
      </c>
      <c r="M877" t="s">
        <v>7</v>
      </c>
      <c r="N877" t="s">
        <v>7</v>
      </c>
      <c r="P877">
        <f t="shared" si="1009"/>
        <v>-0.3538461538461487</v>
      </c>
      <c r="Q877">
        <f t="shared" si="1010"/>
        <v>-283029.41569230356</v>
      </c>
      <c r="R877">
        <f t="shared" si="1011"/>
        <v>-10715139.926641077</v>
      </c>
      <c r="S877">
        <f t="shared" si="1012"/>
        <v>-107.15139926641076</v>
      </c>
      <c r="T877">
        <f t="shared" si="1013"/>
        <v>-0.10715139926641076</v>
      </c>
    </row>
    <row r="878" spans="1:20" x14ac:dyDescent="0.25">
      <c r="A878" s="5">
        <v>43715</v>
      </c>
      <c r="B878">
        <v>0.15620000000000001</v>
      </c>
      <c r="C878">
        <v>0.1648</v>
      </c>
      <c r="D878">
        <v>0.15359999999999999</v>
      </c>
      <c r="E878">
        <v>0.16370000000000001</v>
      </c>
      <c r="F878">
        <v>310031.18</v>
      </c>
      <c r="G878">
        <v>0</v>
      </c>
      <c r="L878" t="s">
        <v>7</v>
      </c>
      <c r="M878" t="s">
        <v>7</v>
      </c>
      <c r="N878" t="s">
        <v>7</v>
      </c>
      <c r="P878">
        <f t="shared" si="1009"/>
        <v>0.8035714285714306</v>
      </c>
      <c r="Q878">
        <f t="shared" si="1010"/>
        <v>249132.19821428633</v>
      </c>
      <c r="R878">
        <f t="shared" si="1011"/>
        <v>-10432110.510948773</v>
      </c>
      <c r="S878">
        <f t="shared" si="1012"/>
        <v>-104.32110510948773</v>
      </c>
      <c r="T878">
        <f t="shared" si="1013"/>
        <v>-0.10432110510948774</v>
      </c>
    </row>
    <row r="879" spans="1:20" x14ac:dyDescent="0.25">
      <c r="A879" s="5">
        <v>43714</v>
      </c>
      <c r="B879">
        <v>0.15870000000000001</v>
      </c>
      <c r="C879">
        <v>0.16109999999999999</v>
      </c>
      <c r="D879">
        <v>0.15359999999999999</v>
      </c>
      <c r="E879">
        <v>0.15679999999999999</v>
      </c>
      <c r="F879">
        <v>711679.55</v>
      </c>
      <c r="G879">
        <v>0</v>
      </c>
      <c r="L879" t="s">
        <v>7</v>
      </c>
      <c r="M879" t="s">
        <v>7</v>
      </c>
      <c r="N879" t="s">
        <v>7</v>
      </c>
      <c r="P879">
        <f t="shared" si="1009"/>
        <v>-0.1466666666666652</v>
      </c>
      <c r="Q879">
        <f t="shared" si="1010"/>
        <v>-104379.6673333323</v>
      </c>
      <c r="R879">
        <f t="shared" si="1011"/>
        <v>-10681242.70916306</v>
      </c>
      <c r="S879">
        <f t="shared" si="1012"/>
        <v>-106.81242709163061</v>
      </c>
      <c r="T879">
        <f t="shared" si="1013"/>
        <v>-0.10681242709163061</v>
      </c>
    </row>
    <row r="880" spans="1:20" x14ac:dyDescent="0.25">
      <c r="A880" s="5">
        <v>43713</v>
      </c>
      <c r="B880">
        <v>0.16420000000000001</v>
      </c>
      <c r="C880">
        <v>0.1658</v>
      </c>
      <c r="D880">
        <v>0.15840000000000001</v>
      </c>
      <c r="E880">
        <v>0.15909999999999999</v>
      </c>
      <c r="F880">
        <v>506408.38</v>
      </c>
      <c r="G880">
        <v>0</v>
      </c>
      <c r="L880" t="s">
        <v>7</v>
      </c>
      <c r="M880" t="s">
        <v>7</v>
      </c>
      <c r="N880" t="s">
        <v>7</v>
      </c>
      <c r="P880">
        <f t="shared" si="1009"/>
        <v>-0.81081081081081641</v>
      </c>
      <c r="Q880">
        <f t="shared" si="1010"/>
        <v>-410601.38918919204</v>
      </c>
      <c r="R880">
        <f t="shared" si="1011"/>
        <v>-10576863.041829728</v>
      </c>
      <c r="S880">
        <f t="shared" si="1012"/>
        <v>-105.76863041829728</v>
      </c>
      <c r="T880">
        <f t="shared" si="1013"/>
        <v>-0.10576863041829727</v>
      </c>
    </row>
    <row r="881" spans="1:20" x14ac:dyDescent="0.25">
      <c r="A881" s="5">
        <v>43712</v>
      </c>
      <c r="B881">
        <v>0.17150000000000001</v>
      </c>
      <c r="C881">
        <v>0.1716</v>
      </c>
      <c r="D881">
        <v>0.16309999999999999</v>
      </c>
      <c r="E881">
        <v>0.1646</v>
      </c>
      <c r="F881">
        <v>471237.84</v>
      </c>
      <c r="G881">
        <v>0</v>
      </c>
      <c r="L881" t="s">
        <v>8</v>
      </c>
      <c r="M881" t="s">
        <v>7</v>
      </c>
      <c r="N881" t="s">
        <v>7</v>
      </c>
      <c r="P881">
        <f t="shared" si="1009"/>
        <v>-0.6470588235294118</v>
      </c>
      <c r="Q881">
        <f t="shared" si="1010"/>
        <v>-304918.60235294123</v>
      </c>
      <c r="R881">
        <f t="shared" si="1011"/>
        <v>-10166261.652640536</v>
      </c>
      <c r="S881">
        <f t="shared" si="1012"/>
        <v>-101.66261652640536</v>
      </c>
      <c r="T881">
        <f t="shared" si="1013"/>
        <v>-0.10166261652640536</v>
      </c>
    </row>
    <row r="882" spans="1:20" x14ac:dyDescent="0.25">
      <c r="A882" s="5">
        <v>43711</v>
      </c>
      <c r="B882">
        <v>0.17330000000000001</v>
      </c>
      <c r="C882">
        <v>0.17369999999999999</v>
      </c>
      <c r="D882">
        <v>0.1656</v>
      </c>
      <c r="E882">
        <v>0.1714</v>
      </c>
      <c r="F882">
        <v>748935.36</v>
      </c>
      <c r="G882">
        <v>0</v>
      </c>
      <c r="L882" t="s">
        <v>8</v>
      </c>
      <c r="M882" t="s">
        <v>7</v>
      </c>
      <c r="N882" t="s">
        <v>7</v>
      </c>
      <c r="P882">
        <f t="shared" si="1009"/>
        <v>0.43209876543209935</v>
      </c>
      <c r="Q882">
        <f t="shared" si="1010"/>
        <v>323614.04444444488</v>
      </c>
      <c r="R882">
        <f t="shared" si="1011"/>
        <v>-9861343.050287595</v>
      </c>
      <c r="S882">
        <f t="shared" si="1012"/>
        <v>-98.613430502875957</v>
      </c>
      <c r="T882">
        <f t="shared" si="1013"/>
        <v>-9.8613430502875951E-2</v>
      </c>
    </row>
    <row r="883" spans="1:20" x14ac:dyDescent="0.25">
      <c r="A883" s="5">
        <v>43710</v>
      </c>
      <c r="B883">
        <v>0.1608</v>
      </c>
      <c r="C883">
        <v>0.17319999999999999</v>
      </c>
      <c r="D883">
        <v>0.16009999999999999</v>
      </c>
      <c r="E883">
        <v>0.1729</v>
      </c>
      <c r="F883">
        <v>871068.44</v>
      </c>
      <c r="G883">
        <v>0</v>
      </c>
      <c r="L883" t="s">
        <v>8</v>
      </c>
      <c r="M883" t="s">
        <v>7</v>
      </c>
      <c r="N883" t="s">
        <v>7</v>
      </c>
      <c r="P883">
        <f t="shared" si="1009"/>
        <v>0.95419847328244356</v>
      </c>
      <c r="Q883">
        <f t="shared" si="1010"/>
        <v>831172.17557251977</v>
      </c>
      <c r="R883">
        <f t="shared" si="1011"/>
        <v>-10184957.094732041</v>
      </c>
      <c r="S883">
        <f t="shared" si="1012"/>
        <v>-101.8495709473204</v>
      </c>
      <c r="T883">
        <f t="shared" si="1013"/>
        <v>-0.1018495709473204</v>
      </c>
    </row>
    <row r="884" spans="1:20" x14ac:dyDescent="0.25">
      <c r="A884" s="5">
        <v>43709</v>
      </c>
      <c r="B884">
        <v>0.16259999999999999</v>
      </c>
      <c r="C884">
        <v>0.16259999999999999</v>
      </c>
      <c r="D884">
        <v>0.15609999999999999</v>
      </c>
      <c r="E884">
        <v>0.1608</v>
      </c>
      <c r="F884">
        <v>398165.9</v>
      </c>
      <c r="G884">
        <v>0</v>
      </c>
      <c r="L884" t="s">
        <v>8</v>
      </c>
      <c r="M884" t="s">
        <v>7</v>
      </c>
      <c r="N884" t="s">
        <v>7</v>
      </c>
      <c r="P884">
        <f t="shared" si="1009"/>
        <v>0.44615384615384784</v>
      </c>
      <c r="Q884">
        <f t="shared" si="1010"/>
        <v>177643.24769230839</v>
      </c>
      <c r="R884">
        <f t="shared" si="1011"/>
        <v>-11016129.270304561</v>
      </c>
      <c r="S884">
        <f t="shared" si="1012"/>
        <v>-110.1612927030456</v>
      </c>
      <c r="T884">
        <f t="shared" si="1013"/>
        <v>-0.1101612927030456</v>
      </c>
    </row>
    <row r="885" spans="1:20" x14ac:dyDescent="0.25">
      <c r="A885" s="5">
        <v>43708</v>
      </c>
      <c r="B885">
        <v>0.16400000000000001</v>
      </c>
      <c r="C885">
        <v>0.16589999999999999</v>
      </c>
      <c r="D885">
        <v>0.1595</v>
      </c>
      <c r="E885">
        <v>0.16220000000000001</v>
      </c>
      <c r="F885">
        <v>394154.98</v>
      </c>
      <c r="G885">
        <v>0</v>
      </c>
      <c r="L885" t="s">
        <v>8</v>
      </c>
      <c r="M885" t="s">
        <v>7</v>
      </c>
      <c r="N885" t="s">
        <v>7</v>
      </c>
      <c r="P885">
        <f t="shared" si="1009"/>
        <v>-0.15624999999999606</v>
      </c>
      <c r="Q885">
        <f t="shared" si="1010"/>
        <v>-61586.71562499844</v>
      </c>
      <c r="R885">
        <f t="shared" si="1011"/>
        <v>-11193772.51799687</v>
      </c>
      <c r="S885">
        <f t="shared" si="1012"/>
        <v>-111.93772517996869</v>
      </c>
      <c r="T885">
        <f t="shared" si="1013"/>
        <v>-0.11193772517996869</v>
      </c>
    </row>
    <row r="886" spans="1:20" x14ac:dyDescent="0.25">
      <c r="A886" s="5">
        <v>43707</v>
      </c>
      <c r="B886">
        <v>0.154</v>
      </c>
      <c r="C886">
        <v>0.16589999999999999</v>
      </c>
      <c r="D886">
        <v>0.15240000000000001</v>
      </c>
      <c r="E886">
        <v>0.1641</v>
      </c>
      <c r="F886">
        <v>533930.66</v>
      </c>
      <c r="G886">
        <v>0</v>
      </c>
      <c r="L886" t="s">
        <v>8</v>
      </c>
      <c r="M886" t="s">
        <v>7</v>
      </c>
      <c r="N886" t="s">
        <v>7</v>
      </c>
      <c r="P886">
        <f t="shared" si="1009"/>
        <v>0.73333333333333361</v>
      </c>
      <c r="Q886">
        <f t="shared" si="1010"/>
        <v>391549.15066666686</v>
      </c>
      <c r="R886">
        <f t="shared" si="1011"/>
        <v>-11132185.802371871</v>
      </c>
      <c r="S886">
        <f t="shared" si="1012"/>
        <v>-111.3218580237187</v>
      </c>
      <c r="T886">
        <f t="shared" si="1013"/>
        <v>-0.1113218580237187</v>
      </c>
    </row>
    <row r="887" spans="1:20" x14ac:dyDescent="0.25">
      <c r="A887" s="5">
        <v>43706</v>
      </c>
      <c r="B887">
        <v>0.15820000000000001</v>
      </c>
      <c r="C887">
        <v>0.15890000000000001</v>
      </c>
      <c r="D887">
        <v>0.14960000000000001</v>
      </c>
      <c r="E887">
        <v>0.1545</v>
      </c>
      <c r="F887">
        <v>1484459.86</v>
      </c>
      <c r="G887">
        <v>0</v>
      </c>
      <c r="L887" t="s">
        <v>7</v>
      </c>
      <c r="M887" t="s">
        <v>7</v>
      </c>
      <c r="N887" t="s">
        <v>7</v>
      </c>
      <c r="P887">
        <f t="shared" si="1009"/>
        <v>5.3763440860212099E-2</v>
      </c>
      <c r="Q887">
        <f t="shared" si="1010"/>
        <v>79809.669892468737</v>
      </c>
      <c r="R887">
        <f t="shared" si="1011"/>
        <v>-11523734.953038538</v>
      </c>
      <c r="S887">
        <f t="shared" si="1012"/>
        <v>-115.23734953038537</v>
      </c>
      <c r="T887">
        <f t="shared" si="1013"/>
        <v>-0.11523734953038538</v>
      </c>
    </row>
    <row r="888" spans="1:20" x14ac:dyDescent="0.25">
      <c r="A888" s="5">
        <v>43705</v>
      </c>
      <c r="B888">
        <v>0.1721</v>
      </c>
      <c r="C888">
        <v>0.17380000000000001</v>
      </c>
      <c r="D888">
        <v>0.15659999999999999</v>
      </c>
      <c r="E888">
        <v>0.15859999999999999</v>
      </c>
      <c r="F888">
        <v>1166168.3600000001</v>
      </c>
      <c r="G888">
        <v>0</v>
      </c>
      <c r="L888" t="s">
        <v>7</v>
      </c>
      <c r="M888" t="s">
        <v>7</v>
      </c>
      <c r="N888" t="s">
        <v>7</v>
      </c>
      <c r="P888">
        <f t="shared" si="1009"/>
        <v>-0.76744186046511631</v>
      </c>
      <c r="Q888">
        <f t="shared" si="1010"/>
        <v>-894966.41581395362</v>
      </c>
      <c r="R888">
        <f t="shared" si="1011"/>
        <v>-11603544.622931007</v>
      </c>
      <c r="S888">
        <f t="shared" si="1012"/>
        <v>-116.03544622931007</v>
      </c>
      <c r="T888">
        <f t="shared" si="1013"/>
        <v>-0.11603544622931007</v>
      </c>
    </row>
    <row r="889" spans="1:20" x14ac:dyDescent="0.25">
      <c r="A889" s="5">
        <v>43704</v>
      </c>
      <c r="B889">
        <v>0.1777</v>
      </c>
      <c r="C889">
        <v>0.17799999999999999</v>
      </c>
      <c r="D889">
        <v>0.16650000000000001</v>
      </c>
      <c r="E889">
        <v>0.17230000000000001</v>
      </c>
      <c r="F889">
        <v>1767086.72</v>
      </c>
      <c r="G889">
        <v>0</v>
      </c>
      <c r="L889" t="s">
        <v>7</v>
      </c>
      <c r="M889" t="s">
        <v>7</v>
      </c>
      <c r="N889" t="s">
        <v>7</v>
      </c>
      <c r="P889">
        <f t="shared" si="1009"/>
        <v>8.6956521739145129E-3</v>
      </c>
      <c r="Q889">
        <f t="shared" si="1010"/>
        <v>15365.971478263466</v>
      </c>
      <c r="R889">
        <f t="shared" si="1011"/>
        <v>-10708578.207117053</v>
      </c>
      <c r="S889">
        <f t="shared" si="1012"/>
        <v>-107.08578207117053</v>
      </c>
      <c r="T889">
        <f t="shared" si="1013"/>
        <v>-0.10708578207117053</v>
      </c>
    </row>
    <row r="890" spans="1:20" x14ac:dyDescent="0.25">
      <c r="A890" s="5">
        <v>43703</v>
      </c>
      <c r="B890">
        <v>0.1792</v>
      </c>
      <c r="C890">
        <v>0.18329999999999999</v>
      </c>
      <c r="D890">
        <v>0.17510000000000001</v>
      </c>
      <c r="E890">
        <v>0.17760000000000001</v>
      </c>
      <c r="F890">
        <v>1270617.26</v>
      </c>
      <c r="G890">
        <v>0</v>
      </c>
      <c r="L890" t="s">
        <v>7</v>
      </c>
      <c r="M890" t="s">
        <v>8</v>
      </c>
      <c r="N890" t="s">
        <v>7</v>
      </c>
      <c r="P890">
        <f t="shared" si="1009"/>
        <v>-0.39024390243902274</v>
      </c>
      <c r="Q890">
        <f t="shared" si="1010"/>
        <v>-495850.6380487784</v>
      </c>
      <c r="R890">
        <f t="shared" si="1011"/>
        <v>-10723944.178595316</v>
      </c>
      <c r="S890">
        <f t="shared" si="1012"/>
        <v>-107.23944178595316</v>
      </c>
      <c r="T890">
        <f t="shared" si="1013"/>
        <v>-0.10723944178595315</v>
      </c>
    </row>
    <row r="891" spans="1:20" x14ac:dyDescent="0.25">
      <c r="A891" s="5">
        <v>43702</v>
      </c>
      <c r="B891">
        <v>0.1852</v>
      </c>
      <c r="C891">
        <v>0.18859999999999999</v>
      </c>
      <c r="D891">
        <v>0.17449999999999999</v>
      </c>
      <c r="E891">
        <v>0.17929999999999999</v>
      </c>
      <c r="F891">
        <v>1314941.6499999999</v>
      </c>
      <c r="G891">
        <v>0</v>
      </c>
      <c r="L891" t="s">
        <v>7</v>
      </c>
      <c r="M891" t="s">
        <v>8</v>
      </c>
      <c r="N891" t="s">
        <v>7</v>
      </c>
      <c r="P891">
        <f t="shared" si="1009"/>
        <v>-0.319148936170213</v>
      </c>
      <c r="Q891">
        <f t="shared" si="1010"/>
        <v>-419662.22872340452</v>
      </c>
      <c r="R891">
        <f t="shared" si="1011"/>
        <v>-10228093.540546536</v>
      </c>
      <c r="S891">
        <f t="shared" si="1012"/>
        <v>-102.28093540546537</v>
      </c>
      <c r="T891">
        <f t="shared" si="1013"/>
        <v>-0.10228093540546537</v>
      </c>
    </row>
    <row r="892" spans="1:20" x14ac:dyDescent="0.25">
      <c r="A892" s="5">
        <v>43701</v>
      </c>
      <c r="B892">
        <v>0.18540000000000001</v>
      </c>
      <c r="C892">
        <v>0.2044</v>
      </c>
      <c r="D892">
        <v>0.18260000000000001</v>
      </c>
      <c r="E892">
        <v>0.185</v>
      </c>
      <c r="F892">
        <v>6072802.4199999999</v>
      </c>
      <c r="G892">
        <v>0</v>
      </c>
      <c r="L892" t="s">
        <v>8</v>
      </c>
      <c r="M892" t="s">
        <v>8</v>
      </c>
      <c r="N892" t="s">
        <v>7</v>
      </c>
      <c r="P892">
        <f t="shared" si="1009"/>
        <v>-0.7798165137614691</v>
      </c>
      <c r="Q892">
        <f t="shared" si="1010"/>
        <v>-4735671.6119266124</v>
      </c>
      <c r="R892">
        <f t="shared" si="1011"/>
        <v>-9808431.3118231315</v>
      </c>
      <c r="S892">
        <f t="shared" si="1012"/>
        <v>-98.084313118231321</v>
      </c>
      <c r="T892">
        <f t="shared" si="1013"/>
        <v>-9.808431311823132E-2</v>
      </c>
    </row>
    <row r="893" spans="1:20" x14ac:dyDescent="0.25">
      <c r="A893" s="5">
        <v>43700</v>
      </c>
      <c r="B893">
        <v>0.17580000000000001</v>
      </c>
      <c r="C893">
        <v>0.19969999999999999</v>
      </c>
      <c r="D893">
        <v>0.1701</v>
      </c>
      <c r="E893">
        <v>0.18490000000000001</v>
      </c>
      <c r="F893">
        <v>4197200.12</v>
      </c>
      <c r="G893">
        <v>0</v>
      </c>
      <c r="L893" t="s">
        <v>8</v>
      </c>
      <c r="M893" t="s">
        <v>8</v>
      </c>
      <c r="N893" t="s">
        <v>7</v>
      </c>
      <c r="P893">
        <f t="shared" si="1009"/>
        <v>9.3768836539286906E-16</v>
      </c>
      <c r="Q893">
        <f t="shared" si="1010"/>
        <v>3.935665719749554E-9</v>
      </c>
      <c r="R893">
        <f t="shared" si="1011"/>
        <v>-5072759.6998965191</v>
      </c>
      <c r="S893">
        <f t="shared" si="1012"/>
        <v>-50.72759699896519</v>
      </c>
      <c r="T893">
        <f t="shared" si="1013"/>
        <v>-5.0727596998965188E-2</v>
      </c>
    </row>
    <row r="894" spans="1:20" x14ac:dyDescent="0.25">
      <c r="A894" s="5">
        <v>43699</v>
      </c>
      <c r="B894">
        <v>0.1724</v>
      </c>
      <c r="C894">
        <v>0.1797</v>
      </c>
      <c r="D894">
        <v>0.16800000000000001</v>
      </c>
      <c r="E894">
        <v>0.17580000000000001</v>
      </c>
      <c r="F894">
        <v>1359581.2</v>
      </c>
      <c r="G894">
        <v>0</v>
      </c>
      <c r="L894" t="s">
        <v>8</v>
      </c>
      <c r="M894" t="s">
        <v>7</v>
      </c>
      <c r="N894" t="s">
        <v>7</v>
      </c>
      <c r="P894">
        <f t="shared" si="1009"/>
        <v>0.33333333333333492</v>
      </c>
      <c r="Q894">
        <f t="shared" si="1010"/>
        <v>453193.73333333549</v>
      </c>
      <c r="R894">
        <f t="shared" si="1011"/>
        <v>-5072759.6998965228</v>
      </c>
      <c r="S894">
        <f t="shared" si="1012"/>
        <v>-50.727596998965225</v>
      </c>
      <c r="T894">
        <f t="shared" si="1013"/>
        <v>-5.0727596998965223E-2</v>
      </c>
    </row>
    <row r="895" spans="1:20" x14ac:dyDescent="0.25">
      <c r="A895" s="5">
        <v>43698</v>
      </c>
      <c r="B895">
        <v>0.16880000000000001</v>
      </c>
      <c r="C895">
        <v>0.17349999999999999</v>
      </c>
      <c r="D895">
        <v>0.16139999999999999</v>
      </c>
      <c r="E895">
        <v>0.1724</v>
      </c>
      <c r="F895">
        <v>772341.61</v>
      </c>
      <c r="G895">
        <v>0</v>
      </c>
      <c r="L895" t="s">
        <v>7</v>
      </c>
      <c r="M895" t="s">
        <v>7</v>
      </c>
      <c r="N895" t="s">
        <v>7</v>
      </c>
      <c r="P895">
        <f t="shared" ref="P895:P958" si="1014">IF(C895=D895,0,((E895-D895)-(C895-E895))/(C895-D895))</f>
        <v>0.8181818181818199</v>
      </c>
      <c r="Q895">
        <f t="shared" ref="Q895:Q958" si="1015">F895*P895</f>
        <v>631915.86272727407</v>
      </c>
      <c r="R895">
        <f t="shared" ref="R895:R958" si="1016">R896+Q895</f>
        <v>-5525953.4332298581</v>
      </c>
      <c r="S895">
        <f t="shared" ref="S895:S958" si="1017">R895/100000</f>
        <v>-55.259534332298578</v>
      </c>
      <c r="T895">
        <f t="shared" ref="T895:T958" si="1018">S895/1000</f>
        <v>-5.5259534332298577E-2</v>
      </c>
    </row>
    <row r="896" spans="1:20" x14ac:dyDescent="0.25">
      <c r="A896" s="5">
        <v>43697</v>
      </c>
      <c r="B896">
        <v>0.17510000000000001</v>
      </c>
      <c r="C896">
        <v>0.17519999999999999</v>
      </c>
      <c r="D896">
        <v>0.16800000000000001</v>
      </c>
      <c r="E896">
        <v>0.1681</v>
      </c>
      <c r="F896">
        <v>451142.13</v>
      </c>
      <c r="G896">
        <v>0</v>
      </c>
      <c r="L896" t="s">
        <v>7</v>
      </c>
      <c r="M896" t="s">
        <v>7</v>
      </c>
      <c r="N896" t="s">
        <v>7</v>
      </c>
      <c r="P896">
        <f t="shared" si="1014"/>
        <v>-0.97222222222222521</v>
      </c>
      <c r="Q896">
        <f t="shared" si="1015"/>
        <v>-438610.40416666801</v>
      </c>
      <c r="R896">
        <f t="shared" si="1016"/>
        <v>-6157869.2959571322</v>
      </c>
      <c r="S896">
        <f t="shared" si="1017"/>
        <v>-61.57869295957132</v>
      </c>
      <c r="T896">
        <f t="shared" si="1018"/>
        <v>-6.1578692959571323E-2</v>
      </c>
    </row>
    <row r="897" spans="1:20" x14ac:dyDescent="0.25">
      <c r="A897" s="5">
        <v>43696</v>
      </c>
      <c r="B897">
        <v>0.17460000000000001</v>
      </c>
      <c r="C897">
        <v>0.17749999999999999</v>
      </c>
      <c r="D897">
        <v>0.17119999999999999</v>
      </c>
      <c r="E897">
        <v>0.17449999999999999</v>
      </c>
      <c r="F897">
        <v>452729.57</v>
      </c>
      <c r="G897">
        <v>0</v>
      </c>
      <c r="L897" t="s">
        <v>7</v>
      </c>
      <c r="M897" t="s">
        <v>7</v>
      </c>
      <c r="N897" t="s">
        <v>7</v>
      </c>
      <c r="P897">
        <f t="shared" si="1014"/>
        <v>4.7619047619046777E-2</v>
      </c>
      <c r="Q897">
        <f t="shared" si="1015"/>
        <v>21558.55095238057</v>
      </c>
      <c r="R897">
        <f t="shared" si="1016"/>
        <v>-5719258.8917904645</v>
      </c>
      <c r="S897">
        <f t="shared" si="1017"/>
        <v>-57.192588917904644</v>
      </c>
      <c r="T897">
        <f t="shared" si="1018"/>
        <v>-5.7192588917904644E-2</v>
      </c>
    </row>
    <row r="898" spans="1:20" x14ac:dyDescent="0.25">
      <c r="A898" s="5">
        <v>43695</v>
      </c>
      <c r="B898">
        <v>0.17130000000000001</v>
      </c>
      <c r="C898">
        <v>0.1772</v>
      </c>
      <c r="D898">
        <v>0.16819999999999999</v>
      </c>
      <c r="E898">
        <v>0.17519999999999999</v>
      </c>
      <c r="F898">
        <v>485353.36</v>
      </c>
      <c r="G898">
        <v>0</v>
      </c>
      <c r="L898" t="s">
        <v>7</v>
      </c>
      <c r="M898" t="s">
        <v>7</v>
      </c>
      <c r="N898" t="s">
        <v>7</v>
      </c>
      <c r="P898">
        <f t="shared" si="1014"/>
        <v>0.55555555555555558</v>
      </c>
      <c r="Q898">
        <f t="shared" si="1015"/>
        <v>269640.75555555557</v>
      </c>
      <c r="R898">
        <f t="shared" si="1016"/>
        <v>-5740817.442742845</v>
      </c>
      <c r="S898">
        <f t="shared" si="1017"/>
        <v>-57.408174427428449</v>
      </c>
      <c r="T898">
        <f t="shared" si="1018"/>
        <v>-5.7408174427428446E-2</v>
      </c>
    </row>
    <row r="899" spans="1:20" x14ac:dyDescent="0.25">
      <c r="A899" s="5">
        <v>43694</v>
      </c>
      <c r="B899">
        <v>0.17280000000000001</v>
      </c>
      <c r="C899">
        <v>0.17349999999999999</v>
      </c>
      <c r="D899">
        <v>0.1673</v>
      </c>
      <c r="E899">
        <v>0.1711</v>
      </c>
      <c r="F899">
        <v>359662.51</v>
      </c>
      <c r="G899">
        <v>0</v>
      </c>
      <c r="L899" t="s">
        <v>7</v>
      </c>
      <c r="M899" t="s">
        <v>7</v>
      </c>
      <c r="N899" t="s">
        <v>7</v>
      </c>
      <c r="P899">
        <f t="shared" si="1014"/>
        <v>0.22580645161290583</v>
      </c>
      <c r="Q899">
        <f t="shared" si="1015"/>
        <v>81214.115161291265</v>
      </c>
      <c r="R899">
        <f t="shared" si="1016"/>
        <v>-6010458.1982984003</v>
      </c>
      <c r="S899">
        <f t="shared" si="1017"/>
        <v>-60.104581982984001</v>
      </c>
      <c r="T899">
        <f t="shared" si="1018"/>
        <v>-6.0104581982984004E-2</v>
      </c>
    </row>
    <row r="900" spans="1:20" x14ac:dyDescent="0.25">
      <c r="A900" s="5">
        <v>43693</v>
      </c>
      <c r="B900">
        <v>0.17430000000000001</v>
      </c>
      <c r="C900">
        <v>0.18959999999999999</v>
      </c>
      <c r="D900">
        <v>0.16980000000000001</v>
      </c>
      <c r="E900">
        <v>0.17399999999999999</v>
      </c>
      <c r="F900">
        <v>1809438.44</v>
      </c>
      <c r="G900">
        <v>0</v>
      </c>
      <c r="L900" t="s">
        <v>8</v>
      </c>
      <c r="M900" t="s">
        <v>7</v>
      </c>
      <c r="N900" t="s">
        <v>7</v>
      </c>
      <c r="P900">
        <f t="shared" si="1014"/>
        <v>-0.57575757575757724</v>
      </c>
      <c r="Q900">
        <f t="shared" si="1015"/>
        <v>-1041797.8896969723</v>
      </c>
      <c r="R900">
        <f t="shared" si="1016"/>
        <v>-6091672.3134596916</v>
      </c>
      <c r="S900">
        <f t="shared" si="1017"/>
        <v>-60.916723134596914</v>
      </c>
      <c r="T900">
        <f t="shared" si="1018"/>
        <v>-6.0916723134596916E-2</v>
      </c>
    </row>
    <row r="901" spans="1:20" x14ac:dyDescent="0.25">
      <c r="A901" s="5">
        <v>43692</v>
      </c>
      <c r="B901">
        <v>0.16289999999999999</v>
      </c>
      <c r="C901">
        <v>0.1804</v>
      </c>
      <c r="D901">
        <v>0.1593</v>
      </c>
      <c r="E901">
        <v>0.1736</v>
      </c>
      <c r="F901">
        <v>1152220.6100000001</v>
      </c>
      <c r="G901">
        <v>0</v>
      </c>
      <c r="L901" t="s">
        <v>8</v>
      </c>
      <c r="M901" t="s">
        <v>7</v>
      </c>
      <c r="N901" t="s">
        <v>7</v>
      </c>
      <c r="P901">
        <f t="shared" si="1014"/>
        <v>0.35545023696682482</v>
      </c>
      <c r="Q901">
        <f t="shared" si="1015"/>
        <v>409557.08886255947</v>
      </c>
      <c r="R901">
        <f t="shared" si="1016"/>
        <v>-5049874.4237627191</v>
      </c>
      <c r="S901">
        <f t="shared" si="1017"/>
        <v>-50.498744237627193</v>
      </c>
      <c r="T901">
        <f t="shared" si="1018"/>
        <v>-5.0498744237627194E-2</v>
      </c>
    </row>
    <row r="902" spans="1:20" x14ac:dyDescent="0.25">
      <c r="A902" s="5">
        <v>43691</v>
      </c>
      <c r="B902">
        <v>0.18179999999999999</v>
      </c>
      <c r="C902">
        <v>0.18179999999999999</v>
      </c>
      <c r="D902">
        <v>0.16139999999999999</v>
      </c>
      <c r="E902">
        <v>0.16239999999999999</v>
      </c>
      <c r="F902">
        <v>1319855.75</v>
      </c>
      <c r="G902">
        <v>0</v>
      </c>
      <c r="L902" t="s">
        <v>7</v>
      </c>
      <c r="M902" t="s">
        <v>7</v>
      </c>
      <c r="N902" t="s">
        <v>7</v>
      </c>
      <c r="P902">
        <f t="shared" si="1014"/>
        <v>-0.90196078431372539</v>
      </c>
      <c r="Q902">
        <f t="shared" si="1015"/>
        <v>-1190458.1274509802</v>
      </c>
      <c r="R902">
        <f t="shared" si="1016"/>
        <v>-5459431.5126252789</v>
      </c>
      <c r="S902">
        <f t="shared" si="1017"/>
        <v>-54.594315126252788</v>
      </c>
      <c r="T902">
        <f t="shared" si="1018"/>
        <v>-5.459431512625279E-2</v>
      </c>
    </row>
    <row r="903" spans="1:20" x14ac:dyDescent="0.25">
      <c r="A903" s="5">
        <v>43690</v>
      </c>
      <c r="B903">
        <v>0.18790000000000001</v>
      </c>
      <c r="C903">
        <v>0.1883</v>
      </c>
      <c r="D903">
        <v>0.1772</v>
      </c>
      <c r="E903">
        <v>0.18149999999999999</v>
      </c>
      <c r="F903">
        <v>1033331.43</v>
      </c>
      <c r="G903">
        <v>0</v>
      </c>
      <c r="L903" t="s">
        <v>7</v>
      </c>
      <c r="M903" t="s">
        <v>7</v>
      </c>
      <c r="N903" t="s">
        <v>7</v>
      </c>
      <c r="P903">
        <f t="shared" si="1014"/>
        <v>-0.22522522522522545</v>
      </c>
      <c r="Q903">
        <f t="shared" si="1015"/>
        <v>-232732.30405405429</v>
      </c>
      <c r="R903">
        <f t="shared" si="1016"/>
        <v>-4268973.3851742987</v>
      </c>
      <c r="S903">
        <f t="shared" si="1017"/>
        <v>-42.689733851742986</v>
      </c>
      <c r="T903">
        <f t="shared" si="1018"/>
        <v>-4.2689733851742989E-2</v>
      </c>
    </row>
    <row r="904" spans="1:20" x14ac:dyDescent="0.25">
      <c r="A904" s="5">
        <v>43689</v>
      </c>
      <c r="B904">
        <v>0.1938</v>
      </c>
      <c r="C904">
        <v>0.19439999999999999</v>
      </c>
      <c r="D904">
        <v>0.1875</v>
      </c>
      <c r="E904">
        <v>0.18790000000000001</v>
      </c>
      <c r="F904">
        <v>489529.85</v>
      </c>
      <c r="G904">
        <v>0</v>
      </c>
      <c r="L904" t="s">
        <v>7</v>
      </c>
      <c r="M904" t="s">
        <v>7</v>
      </c>
      <c r="N904" t="s">
        <v>7</v>
      </c>
      <c r="P904">
        <f t="shared" si="1014"/>
        <v>-0.88405797101448924</v>
      </c>
      <c r="Q904">
        <f t="shared" si="1015"/>
        <v>-432772.76594202727</v>
      </c>
      <c r="R904">
        <f t="shared" si="1016"/>
        <v>-4036241.0811202447</v>
      </c>
      <c r="S904">
        <f t="shared" si="1017"/>
        <v>-40.362410811202444</v>
      </c>
      <c r="T904">
        <f t="shared" si="1018"/>
        <v>-4.0362410811202447E-2</v>
      </c>
    </row>
    <row r="905" spans="1:20" x14ac:dyDescent="0.25">
      <c r="A905" s="5">
        <v>43688</v>
      </c>
      <c r="B905">
        <v>0.19159999999999999</v>
      </c>
      <c r="C905">
        <v>0.19550000000000001</v>
      </c>
      <c r="D905">
        <v>0.191</v>
      </c>
      <c r="E905">
        <v>0.19370000000000001</v>
      </c>
      <c r="F905">
        <v>792080.52</v>
      </c>
      <c r="G905">
        <v>0</v>
      </c>
      <c r="L905" t="s">
        <v>8</v>
      </c>
      <c r="M905" t="s">
        <v>7</v>
      </c>
      <c r="N905" t="s">
        <v>7</v>
      </c>
      <c r="P905">
        <f t="shared" si="1014"/>
        <v>0.20000000000000245</v>
      </c>
      <c r="Q905">
        <f t="shared" si="1015"/>
        <v>158416.10400000194</v>
      </c>
      <c r="R905">
        <f t="shared" si="1016"/>
        <v>-3603468.3151782174</v>
      </c>
      <c r="S905">
        <f t="shared" si="1017"/>
        <v>-36.034683151782176</v>
      </c>
      <c r="T905">
        <f t="shared" si="1018"/>
        <v>-3.6034683151782175E-2</v>
      </c>
    </row>
    <row r="906" spans="1:20" x14ac:dyDescent="0.25">
      <c r="A906" s="5">
        <v>43687</v>
      </c>
      <c r="B906">
        <v>0.1898</v>
      </c>
      <c r="C906">
        <v>0.2039</v>
      </c>
      <c r="D906">
        <v>0.1885</v>
      </c>
      <c r="E906">
        <v>0.192</v>
      </c>
      <c r="F906">
        <v>1527892.51</v>
      </c>
      <c r="G906">
        <v>0</v>
      </c>
      <c r="L906" t="s">
        <v>8</v>
      </c>
      <c r="M906" t="s">
        <v>7</v>
      </c>
      <c r="N906" t="s">
        <v>7</v>
      </c>
      <c r="P906">
        <f t="shared" si="1014"/>
        <v>-0.54545454545454497</v>
      </c>
      <c r="Q906">
        <f t="shared" si="1015"/>
        <v>-833395.91454545385</v>
      </c>
      <c r="R906">
        <f t="shared" si="1016"/>
        <v>-3761884.4191782195</v>
      </c>
      <c r="S906">
        <f t="shared" si="1017"/>
        <v>-37.618844191782195</v>
      </c>
      <c r="T906">
        <f t="shared" si="1018"/>
        <v>-3.7618844191782193E-2</v>
      </c>
    </row>
    <row r="907" spans="1:20" x14ac:dyDescent="0.25">
      <c r="A907" s="5">
        <v>43686</v>
      </c>
      <c r="B907">
        <v>0.1888</v>
      </c>
      <c r="C907">
        <v>0.20030000000000001</v>
      </c>
      <c r="D907">
        <v>0.18129999999999999</v>
      </c>
      <c r="E907">
        <v>0.1885</v>
      </c>
      <c r="F907">
        <v>1946788.59</v>
      </c>
      <c r="G907">
        <v>0</v>
      </c>
      <c r="L907" t="s">
        <v>7</v>
      </c>
      <c r="M907" t="s">
        <v>7</v>
      </c>
      <c r="N907" t="s">
        <v>7</v>
      </c>
      <c r="P907">
        <f t="shared" si="1014"/>
        <v>-0.24210526315789416</v>
      </c>
      <c r="Q907">
        <f t="shared" si="1015"/>
        <v>-471327.76389473572</v>
      </c>
      <c r="R907">
        <f t="shared" si="1016"/>
        <v>-2928488.5046327654</v>
      </c>
      <c r="S907">
        <f t="shared" si="1017"/>
        <v>-29.284885046327656</v>
      </c>
      <c r="T907">
        <f t="shared" si="1018"/>
        <v>-2.9284885046327657E-2</v>
      </c>
    </row>
    <row r="908" spans="1:20" x14ac:dyDescent="0.25">
      <c r="A908" s="5">
        <v>43685</v>
      </c>
      <c r="B908">
        <v>0.19689999999999999</v>
      </c>
      <c r="C908">
        <v>0.19750000000000001</v>
      </c>
      <c r="D908">
        <v>0.18559999999999999</v>
      </c>
      <c r="E908">
        <v>0.188</v>
      </c>
      <c r="F908">
        <v>1100981.42</v>
      </c>
      <c r="G908">
        <v>0</v>
      </c>
      <c r="L908" t="s">
        <v>7</v>
      </c>
      <c r="M908" t="s">
        <v>7</v>
      </c>
      <c r="N908" t="s">
        <v>7</v>
      </c>
      <c r="P908">
        <f t="shared" si="1014"/>
        <v>-0.59663865546218342</v>
      </c>
      <c r="Q908">
        <f t="shared" si="1015"/>
        <v>-656888.07411764539</v>
      </c>
      <c r="R908">
        <f t="shared" si="1016"/>
        <v>-2457160.7407380296</v>
      </c>
      <c r="S908">
        <f t="shared" si="1017"/>
        <v>-24.571607407380295</v>
      </c>
      <c r="T908">
        <f t="shared" si="1018"/>
        <v>-2.4571607407380295E-2</v>
      </c>
    </row>
    <row r="909" spans="1:20" x14ac:dyDescent="0.25">
      <c r="A909" s="5">
        <v>43684</v>
      </c>
      <c r="B909">
        <v>0.1988</v>
      </c>
      <c r="C909">
        <v>0.20269999999999999</v>
      </c>
      <c r="D909">
        <v>0.1946</v>
      </c>
      <c r="E909">
        <v>0.1973</v>
      </c>
      <c r="F909">
        <v>1439470.33</v>
      </c>
      <c r="G909">
        <v>0</v>
      </c>
      <c r="L909" t="s">
        <v>7</v>
      </c>
      <c r="M909" t="s">
        <v>7</v>
      </c>
      <c r="N909" t="s">
        <v>7</v>
      </c>
      <c r="P909">
        <f t="shared" si="1014"/>
        <v>-0.33333333333333104</v>
      </c>
      <c r="Q909">
        <f t="shared" si="1015"/>
        <v>-479823.44333333004</v>
      </c>
      <c r="R909">
        <f t="shared" si="1016"/>
        <v>-1800272.6666203842</v>
      </c>
      <c r="S909">
        <f t="shared" si="1017"/>
        <v>-18.002726666203841</v>
      </c>
      <c r="T909">
        <f t="shared" si="1018"/>
        <v>-1.8002726666203842E-2</v>
      </c>
    </row>
    <row r="910" spans="1:20" x14ac:dyDescent="0.25">
      <c r="A910" s="5">
        <v>43683</v>
      </c>
      <c r="B910">
        <v>0.21240000000000001</v>
      </c>
      <c r="C910">
        <v>0.21260000000000001</v>
      </c>
      <c r="D910">
        <v>0.19719999999999999</v>
      </c>
      <c r="E910">
        <v>0.19869999999999999</v>
      </c>
      <c r="F910">
        <v>1106622.97</v>
      </c>
      <c r="G910">
        <v>0</v>
      </c>
      <c r="L910" t="s">
        <v>7</v>
      </c>
      <c r="M910" t="s">
        <v>7</v>
      </c>
      <c r="N910" t="s">
        <v>7</v>
      </c>
      <c r="P910">
        <f t="shared" si="1014"/>
        <v>-0.80519480519480535</v>
      </c>
      <c r="Q910">
        <f t="shared" si="1015"/>
        <v>-891047.06675324694</v>
      </c>
      <c r="R910">
        <f t="shared" si="1016"/>
        <v>-1320449.2232870541</v>
      </c>
      <c r="S910">
        <f t="shared" si="1017"/>
        <v>-13.204492232870541</v>
      </c>
      <c r="T910">
        <f t="shared" si="1018"/>
        <v>-1.3204492232870541E-2</v>
      </c>
    </row>
    <row r="911" spans="1:20" x14ac:dyDescent="0.25">
      <c r="A911" s="5">
        <v>43682</v>
      </c>
      <c r="B911">
        <v>0.21149999999999999</v>
      </c>
      <c r="C911">
        <v>0.21779999999999999</v>
      </c>
      <c r="D911">
        <v>0.2114</v>
      </c>
      <c r="E911">
        <v>0.2117</v>
      </c>
      <c r="F911">
        <v>1314768.0900000001</v>
      </c>
      <c r="G911">
        <v>0</v>
      </c>
      <c r="L911" t="s">
        <v>7</v>
      </c>
      <c r="M911" t="s">
        <v>7</v>
      </c>
      <c r="N911" t="s">
        <v>7</v>
      </c>
      <c r="P911">
        <f t="shared" si="1014"/>
        <v>-0.90625000000000144</v>
      </c>
      <c r="Q911">
        <f t="shared" si="1015"/>
        <v>-1191508.5815625021</v>
      </c>
      <c r="R911">
        <f t="shared" si="1016"/>
        <v>-429402.15653380717</v>
      </c>
      <c r="S911">
        <f t="shared" si="1017"/>
        <v>-4.2940215653380713</v>
      </c>
      <c r="T911">
        <f t="shared" si="1018"/>
        <v>-4.2940215653380709E-3</v>
      </c>
    </row>
    <row r="912" spans="1:20" x14ac:dyDescent="0.25">
      <c r="A912" s="5">
        <v>43681</v>
      </c>
      <c r="B912">
        <v>0.2152</v>
      </c>
      <c r="C912">
        <v>0.2172</v>
      </c>
      <c r="D912">
        <v>0.2092</v>
      </c>
      <c r="E912">
        <v>0.21149999999999999</v>
      </c>
      <c r="F912">
        <v>580410.04</v>
      </c>
      <c r="G912">
        <v>0</v>
      </c>
      <c r="L912" t="s">
        <v>7</v>
      </c>
      <c r="M912" t="s">
        <v>7</v>
      </c>
      <c r="N912" t="s">
        <v>7</v>
      </c>
      <c r="P912">
        <f t="shared" si="1014"/>
        <v>-0.42500000000000138</v>
      </c>
      <c r="Q912">
        <f t="shared" si="1015"/>
        <v>-246674.26700000081</v>
      </c>
      <c r="R912">
        <f t="shared" si="1016"/>
        <v>762106.42502869491</v>
      </c>
      <c r="S912">
        <f t="shared" si="1017"/>
        <v>7.621064250286949</v>
      </c>
      <c r="T912">
        <f t="shared" si="1018"/>
        <v>7.6210642502869486E-3</v>
      </c>
    </row>
    <row r="913" spans="1:20" x14ac:dyDescent="0.25">
      <c r="A913" s="5">
        <v>43680</v>
      </c>
      <c r="B913">
        <v>0.21529999999999999</v>
      </c>
      <c r="C913">
        <v>0.21990000000000001</v>
      </c>
      <c r="D913">
        <v>0.21410000000000001</v>
      </c>
      <c r="E913">
        <v>0.2152</v>
      </c>
      <c r="F913">
        <v>435487.02</v>
      </c>
      <c r="G913">
        <v>0</v>
      </c>
      <c r="L913" t="s">
        <v>7</v>
      </c>
      <c r="M913" t="s">
        <v>7</v>
      </c>
      <c r="N913" t="s">
        <v>7</v>
      </c>
      <c r="P913">
        <f t="shared" si="1014"/>
        <v>-0.62068965517241725</v>
      </c>
      <c r="Q913">
        <f t="shared" si="1015"/>
        <v>-270302.28827586357</v>
      </c>
      <c r="R913">
        <f t="shared" si="1016"/>
        <v>1008780.6920286957</v>
      </c>
      <c r="S913">
        <f t="shared" si="1017"/>
        <v>10.087806920286956</v>
      </c>
      <c r="T913">
        <f t="shared" si="1018"/>
        <v>1.0087806920286957E-2</v>
      </c>
    </row>
    <row r="914" spans="1:20" x14ac:dyDescent="0.25">
      <c r="A914" s="5">
        <v>43679</v>
      </c>
      <c r="B914">
        <v>0.2195</v>
      </c>
      <c r="C914">
        <v>0.22309999999999999</v>
      </c>
      <c r="D914">
        <v>0.21</v>
      </c>
      <c r="E914">
        <v>0.2157</v>
      </c>
      <c r="F914">
        <v>1600306.05</v>
      </c>
      <c r="G914">
        <v>0</v>
      </c>
      <c r="L914" t="s">
        <v>7</v>
      </c>
      <c r="M914" t="s">
        <v>7</v>
      </c>
      <c r="N914" t="s">
        <v>7</v>
      </c>
      <c r="P914">
        <f t="shared" si="1014"/>
        <v>-0.12977099236641063</v>
      </c>
      <c r="Q914">
        <f t="shared" si="1015"/>
        <v>-207673.30419847075</v>
      </c>
      <c r="R914">
        <f t="shared" si="1016"/>
        <v>1279082.9803045592</v>
      </c>
      <c r="S914">
        <f t="shared" si="1017"/>
        <v>12.790829803045593</v>
      </c>
      <c r="T914">
        <f t="shared" si="1018"/>
        <v>1.2790829803045594E-2</v>
      </c>
    </row>
    <row r="915" spans="1:20" x14ac:dyDescent="0.25">
      <c r="A915" s="5">
        <v>43678</v>
      </c>
      <c r="B915">
        <v>0.2243</v>
      </c>
      <c r="C915">
        <v>0.22450000000000001</v>
      </c>
      <c r="D915">
        <v>0.21560000000000001</v>
      </c>
      <c r="E915">
        <v>0.2195</v>
      </c>
      <c r="F915">
        <v>1063763.29</v>
      </c>
      <c r="G915">
        <v>0</v>
      </c>
      <c r="L915" t="s">
        <v>7</v>
      </c>
      <c r="M915" t="s">
        <v>7</v>
      </c>
      <c r="N915" t="s">
        <v>7</v>
      </c>
      <c r="P915">
        <f t="shared" si="1014"/>
        <v>-0.12359550561797963</v>
      </c>
      <c r="Q915">
        <f t="shared" si="1015"/>
        <v>-131476.3616853955</v>
      </c>
      <c r="R915">
        <f t="shared" si="1016"/>
        <v>1486756.2845030299</v>
      </c>
      <c r="S915">
        <f t="shared" si="1017"/>
        <v>14.867562845030299</v>
      </c>
      <c r="T915">
        <f t="shared" si="1018"/>
        <v>1.48675628450303E-2</v>
      </c>
    </row>
    <row r="916" spans="1:20" x14ac:dyDescent="0.25">
      <c r="A916" s="5">
        <v>43677</v>
      </c>
      <c r="B916">
        <v>0.22339999999999999</v>
      </c>
      <c r="C916">
        <v>0.22800000000000001</v>
      </c>
      <c r="D916">
        <v>0.2175</v>
      </c>
      <c r="E916">
        <v>0.2243</v>
      </c>
      <c r="F916">
        <v>901111.21</v>
      </c>
      <c r="G916">
        <v>0</v>
      </c>
      <c r="L916" t="s">
        <v>7</v>
      </c>
      <c r="M916" t="s">
        <v>7</v>
      </c>
      <c r="N916" t="s">
        <v>7</v>
      </c>
      <c r="P916">
        <f t="shared" si="1014"/>
        <v>0.29523809523809419</v>
      </c>
      <c r="Q916">
        <f t="shared" si="1015"/>
        <v>266042.35723809426</v>
      </c>
      <c r="R916">
        <f t="shared" si="1016"/>
        <v>1618232.6461884254</v>
      </c>
      <c r="S916">
        <f t="shared" si="1017"/>
        <v>16.182326461884255</v>
      </c>
      <c r="T916">
        <f t="shared" si="1018"/>
        <v>1.6182326461884253E-2</v>
      </c>
    </row>
    <row r="917" spans="1:20" x14ac:dyDescent="0.25">
      <c r="A917" s="5">
        <v>43676</v>
      </c>
      <c r="B917">
        <v>0.22220000000000001</v>
      </c>
      <c r="C917">
        <v>0.2263</v>
      </c>
      <c r="D917">
        <v>0.21859999999999999</v>
      </c>
      <c r="E917">
        <v>0.22389999999999999</v>
      </c>
      <c r="F917">
        <v>477010.76</v>
      </c>
      <c r="G917">
        <v>0</v>
      </c>
      <c r="L917" t="s">
        <v>7</v>
      </c>
      <c r="M917" t="s">
        <v>7</v>
      </c>
      <c r="N917" t="s">
        <v>7</v>
      </c>
      <c r="P917">
        <f t="shared" si="1014"/>
        <v>0.3766233766233742</v>
      </c>
      <c r="Q917">
        <f t="shared" si="1015"/>
        <v>179653.40311688196</v>
      </c>
      <c r="R917">
        <f t="shared" si="1016"/>
        <v>1352190.288950331</v>
      </c>
      <c r="S917">
        <f t="shared" si="1017"/>
        <v>13.521902889503311</v>
      </c>
      <c r="T917">
        <f t="shared" si="1018"/>
        <v>1.352190288950331E-2</v>
      </c>
    </row>
    <row r="918" spans="1:20" x14ac:dyDescent="0.25">
      <c r="A918" s="5">
        <v>43675</v>
      </c>
      <c r="B918">
        <v>0.2281</v>
      </c>
      <c r="C918">
        <v>0.2301</v>
      </c>
      <c r="D918">
        <v>0.22020000000000001</v>
      </c>
      <c r="E918">
        <v>0.22309999999999999</v>
      </c>
      <c r="F918">
        <v>505573.82</v>
      </c>
      <c r="G918">
        <v>0</v>
      </c>
      <c r="L918" t="s">
        <v>7</v>
      </c>
      <c r="M918" t="s">
        <v>7</v>
      </c>
      <c r="N918" t="s">
        <v>7</v>
      </c>
      <c r="P918">
        <f t="shared" si="1014"/>
        <v>-0.41414141414141653</v>
      </c>
      <c r="Q918">
        <f t="shared" si="1015"/>
        <v>-209379.05676767798</v>
      </c>
      <c r="R918">
        <f t="shared" si="1016"/>
        <v>1172536.8858334492</v>
      </c>
      <c r="S918">
        <f t="shared" si="1017"/>
        <v>11.725368858334493</v>
      </c>
      <c r="T918">
        <f t="shared" si="1018"/>
        <v>1.1725368858334494E-2</v>
      </c>
    </row>
    <row r="919" spans="1:20" x14ac:dyDescent="0.25">
      <c r="A919" s="5">
        <v>43674</v>
      </c>
      <c r="B919">
        <v>0.22370000000000001</v>
      </c>
      <c r="C919">
        <v>0.2311</v>
      </c>
      <c r="D919">
        <v>0.21540000000000001</v>
      </c>
      <c r="E919">
        <v>0.22770000000000001</v>
      </c>
      <c r="F919">
        <v>500404.25</v>
      </c>
      <c r="G919">
        <v>0</v>
      </c>
      <c r="L919" t="s">
        <v>7</v>
      </c>
      <c r="M919" t="s">
        <v>7</v>
      </c>
      <c r="N919" t="s">
        <v>7</v>
      </c>
      <c r="P919">
        <f t="shared" si="1014"/>
        <v>0.56687898089172128</v>
      </c>
      <c r="Q919">
        <f t="shared" si="1015"/>
        <v>283668.65127388615</v>
      </c>
      <c r="R919">
        <f t="shared" si="1016"/>
        <v>1381915.9426011271</v>
      </c>
      <c r="S919">
        <f t="shared" si="1017"/>
        <v>13.819159426011272</v>
      </c>
      <c r="T919">
        <f t="shared" si="1018"/>
        <v>1.3819159426011272E-2</v>
      </c>
    </row>
    <row r="920" spans="1:20" x14ac:dyDescent="0.25">
      <c r="A920" s="5">
        <v>43673</v>
      </c>
      <c r="B920">
        <v>0.2339</v>
      </c>
      <c r="C920">
        <v>0.23980000000000001</v>
      </c>
      <c r="D920">
        <v>0.21840000000000001</v>
      </c>
      <c r="E920">
        <v>0.2235</v>
      </c>
      <c r="F920">
        <v>916934.86</v>
      </c>
      <c r="G920">
        <v>0</v>
      </c>
      <c r="L920" t="s">
        <v>7</v>
      </c>
      <c r="M920" t="s">
        <v>7</v>
      </c>
      <c r="N920" t="s">
        <v>7</v>
      </c>
      <c r="P920">
        <f t="shared" si="1014"/>
        <v>-0.52336448598130902</v>
      </c>
      <c r="Q920">
        <f t="shared" si="1015"/>
        <v>-479891.14168224356</v>
      </c>
      <c r="R920">
        <f t="shared" si="1016"/>
        <v>1098247.2913272409</v>
      </c>
      <c r="S920">
        <f t="shared" si="1017"/>
        <v>10.982472913272408</v>
      </c>
      <c r="T920">
        <f t="shared" si="1018"/>
        <v>1.0982472913272409E-2</v>
      </c>
    </row>
    <row r="921" spans="1:20" x14ac:dyDescent="0.25">
      <c r="A921" s="5">
        <v>43672</v>
      </c>
      <c r="B921">
        <v>0.2341</v>
      </c>
      <c r="C921">
        <v>0.26050000000000001</v>
      </c>
      <c r="D921">
        <v>0.22639999999999999</v>
      </c>
      <c r="E921">
        <v>0.2344</v>
      </c>
      <c r="F921">
        <v>713941.51</v>
      </c>
      <c r="G921">
        <v>0</v>
      </c>
      <c r="L921" t="s">
        <v>8</v>
      </c>
      <c r="M921" t="s">
        <v>8</v>
      </c>
      <c r="N921" t="s">
        <v>7</v>
      </c>
      <c r="P921">
        <f t="shared" si="1014"/>
        <v>-0.53079178885630485</v>
      </c>
      <c r="Q921">
        <f t="shared" si="1015"/>
        <v>-378954.29123167146</v>
      </c>
      <c r="R921">
        <f t="shared" si="1016"/>
        <v>1578138.4330094843</v>
      </c>
      <c r="S921">
        <f t="shared" si="1017"/>
        <v>15.781384330094843</v>
      </c>
      <c r="T921">
        <f t="shared" si="1018"/>
        <v>1.5781384330094843E-2</v>
      </c>
    </row>
    <row r="922" spans="1:20" x14ac:dyDescent="0.25">
      <c r="A922" s="5">
        <v>43671</v>
      </c>
      <c r="B922">
        <v>0.22589999999999999</v>
      </c>
      <c r="C922">
        <v>0.23760000000000001</v>
      </c>
      <c r="D922">
        <v>0.22570000000000001</v>
      </c>
      <c r="E922">
        <v>0.2339</v>
      </c>
      <c r="F922">
        <v>668660.72</v>
      </c>
      <c r="G922">
        <v>0</v>
      </c>
      <c r="L922" t="s">
        <v>8</v>
      </c>
      <c r="M922" t="s">
        <v>7</v>
      </c>
      <c r="N922" t="s">
        <v>7</v>
      </c>
      <c r="P922">
        <f t="shared" si="1014"/>
        <v>0.37815126050419989</v>
      </c>
      <c r="Q922">
        <f t="shared" si="1015"/>
        <v>252854.89411764586</v>
      </c>
      <c r="R922">
        <f t="shared" si="1016"/>
        <v>1957092.7242411557</v>
      </c>
      <c r="S922">
        <f t="shared" si="1017"/>
        <v>19.570927242411557</v>
      </c>
      <c r="T922">
        <f t="shared" si="1018"/>
        <v>1.9570927242411558E-2</v>
      </c>
    </row>
    <row r="923" spans="1:20" x14ac:dyDescent="0.25">
      <c r="A923" s="5">
        <v>43670</v>
      </c>
      <c r="B923">
        <v>0.2233</v>
      </c>
      <c r="C923">
        <v>0.22989999999999999</v>
      </c>
      <c r="D923">
        <v>0.21490000000000001</v>
      </c>
      <c r="E923">
        <v>0.22639999999999999</v>
      </c>
      <c r="F923">
        <v>856765.01</v>
      </c>
      <c r="G923">
        <v>0</v>
      </c>
      <c r="L923" t="s">
        <v>7</v>
      </c>
      <c r="M923" t="s">
        <v>7</v>
      </c>
      <c r="N923" t="s">
        <v>7</v>
      </c>
      <c r="P923">
        <f t="shared" si="1014"/>
        <v>0.53333333333333244</v>
      </c>
      <c r="Q923">
        <f t="shared" si="1015"/>
        <v>456941.33866666589</v>
      </c>
      <c r="R923">
        <f t="shared" si="1016"/>
        <v>1704237.8301235097</v>
      </c>
      <c r="S923">
        <f t="shared" si="1017"/>
        <v>17.042378301235097</v>
      </c>
      <c r="T923">
        <f t="shared" si="1018"/>
        <v>1.7042378301235096E-2</v>
      </c>
    </row>
    <row r="924" spans="1:20" x14ac:dyDescent="0.25">
      <c r="A924" s="5">
        <v>43669</v>
      </c>
      <c r="B924">
        <v>0.23580000000000001</v>
      </c>
      <c r="C924">
        <v>0.2409</v>
      </c>
      <c r="D924">
        <v>0.2223</v>
      </c>
      <c r="E924">
        <v>0.22320000000000001</v>
      </c>
      <c r="F924">
        <v>760062.48</v>
      </c>
      <c r="G924">
        <v>0</v>
      </c>
      <c r="L924" t="s">
        <v>7</v>
      </c>
      <c r="M924" t="s">
        <v>8</v>
      </c>
      <c r="N924" t="s">
        <v>7</v>
      </c>
      <c r="P924">
        <f t="shared" si="1014"/>
        <v>-0.90322580645161166</v>
      </c>
      <c r="Q924">
        <f t="shared" si="1015"/>
        <v>-686508.04645161191</v>
      </c>
      <c r="R924">
        <f t="shared" si="1016"/>
        <v>1247296.4914568439</v>
      </c>
      <c r="S924">
        <f t="shared" si="1017"/>
        <v>12.47296491456844</v>
      </c>
      <c r="T924">
        <f t="shared" si="1018"/>
        <v>1.247296491456844E-2</v>
      </c>
    </row>
    <row r="925" spans="1:20" x14ac:dyDescent="0.25">
      <c r="A925" s="5">
        <v>43668</v>
      </c>
      <c r="B925">
        <v>0.24360000000000001</v>
      </c>
      <c r="C925">
        <v>0.2445</v>
      </c>
      <c r="D925">
        <v>0.2291</v>
      </c>
      <c r="E925">
        <v>0.23580000000000001</v>
      </c>
      <c r="F925">
        <v>833069.58</v>
      </c>
      <c r="G925">
        <v>0</v>
      </c>
      <c r="L925" t="s">
        <v>7</v>
      </c>
      <c r="M925" t="s">
        <v>8</v>
      </c>
      <c r="N925" t="s">
        <v>7</v>
      </c>
      <c r="P925">
        <f t="shared" si="1014"/>
        <v>-0.12987012987012822</v>
      </c>
      <c r="Q925">
        <f t="shared" si="1015"/>
        <v>-108190.85454545317</v>
      </c>
      <c r="R925">
        <f t="shared" si="1016"/>
        <v>1933804.5379084558</v>
      </c>
      <c r="S925">
        <f t="shared" si="1017"/>
        <v>19.338045379084559</v>
      </c>
      <c r="T925">
        <f t="shared" si="1018"/>
        <v>1.9338045379084557E-2</v>
      </c>
    </row>
    <row r="926" spans="1:20" x14ac:dyDescent="0.25">
      <c r="A926" s="5">
        <v>43667</v>
      </c>
      <c r="B926">
        <v>0.24610000000000001</v>
      </c>
      <c r="C926">
        <v>0.2472</v>
      </c>
      <c r="D926">
        <v>0.23669999999999999</v>
      </c>
      <c r="E926">
        <v>0.24360000000000001</v>
      </c>
      <c r="F926">
        <v>916070.46</v>
      </c>
      <c r="G926">
        <v>0</v>
      </c>
      <c r="L926" t="s">
        <v>7</v>
      </c>
      <c r="M926" t="s">
        <v>8</v>
      </c>
      <c r="N926" t="s">
        <v>7</v>
      </c>
      <c r="P926">
        <f t="shared" si="1014"/>
        <v>0.31428571428571639</v>
      </c>
      <c r="Q926">
        <f t="shared" si="1015"/>
        <v>287907.85885714478</v>
      </c>
      <c r="R926">
        <f t="shared" si="1016"/>
        <v>2041995.3924539089</v>
      </c>
      <c r="S926">
        <f t="shared" si="1017"/>
        <v>20.41995392453909</v>
      </c>
      <c r="T926">
        <f t="shared" si="1018"/>
        <v>2.0419953924539089E-2</v>
      </c>
    </row>
    <row r="927" spans="1:20" x14ac:dyDescent="0.25">
      <c r="A927" s="5">
        <v>43666</v>
      </c>
      <c r="B927">
        <v>0.23530000000000001</v>
      </c>
      <c r="C927">
        <v>0.25900000000000001</v>
      </c>
      <c r="D927">
        <v>0.23350000000000001</v>
      </c>
      <c r="E927">
        <v>0.24729999999999999</v>
      </c>
      <c r="F927">
        <v>1072631.24</v>
      </c>
      <c r="G927">
        <v>0</v>
      </c>
      <c r="L927" t="s">
        <v>8</v>
      </c>
      <c r="M927" t="s">
        <v>8</v>
      </c>
      <c r="N927" t="s">
        <v>7</v>
      </c>
      <c r="P927">
        <f t="shared" si="1014"/>
        <v>8.2352941176469158E-2</v>
      </c>
      <c r="Q927">
        <f t="shared" si="1015"/>
        <v>88334.337411763176</v>
      </c>
      <c r="R927">
        <f t="shared" si="1016"/>
        <v>1754087.5335967641</v>
      </c>
      <c r="S927">
        <f t="shared" si="1017"/>
        <v>17.540875335967641</v>
      </c>
      <c r="T927">
        <f t="shared" si="1018"/>
        <v>1.754087533596764E-2</v>
      </c>
    </row>
    <row r="928" spans="1:20" x14ac:dyDescent="0.25">
      <c r="A928" s="5">
        <v>43665</v>
      </c>
      <c r="B928">
        <v>0.2369</v>
      </c>
      <c r="C928">
        <v>0.2417</v>
      </c>
      <c r="D928">
        <v>0.2303</v>
      </c>
      <c r="E928">
        <v>0.23530000000000001</v>
      </c>
      <c r="F928">
        <v>823971.09</v>
      </c>
      <c r="G928">
        <v>0</v>
      </c>
      <c r="L928" t="s">
        <v>8</v>
      </c>
      <c r="M928" t="s">
        <v>7</v>
      </c>
      <c r="N928" t="s">
        <v>7</v>
      </c>
      <c r="P928">
        <f t="shared" si="1014"/>
        <v>-0.12280701754385837</v>
      </c>
      <c r="Q928">
        <f t="shared" si="1015"/>
        <v>-101189.43210526209</v>
      </c>
      <c r="R928">
        <f t="shared" si="1016"/>
        <v>1665753.1961850009</v>
      </c>
      <c r="S928">
        <f t="shared" si="1017"/>
        <v>16.657531961850008</v>
      </c>
      <c r="T928">
        <f t="shared" si="1018"/>
        <v>1.6657531961850009E-2</v>
      </c>
    </row>
    <row r="929" spans="1:20" x14ac:dyDescent="0.25">
      <c r="A929" s="5">
        <v>43664</v>
      </c>
      <c r="B929">
        <v>0.22650000000000001</v>
      </c>
      <c r="C929">
        <v>0.2429</v>
      </c>
      <c r="D929">
        <v>0.2175</v>
      </c>
      <c r="E929">
        <v>0.23699999999999999</v>
      </c>
      <c r="F929">
        <v>1207884.73</v>
      </c>
      <c r="G929">
        <v>0</v>
      </c>
      <c r="L929" t="s">
        <v>8</v>
      </c>
      <c r="M929" t="s">
        <v>7</v>
      </c>
      <c r="N929" t="s">
        <v>7</v>
      </c>
      <c r="P929">
        <f t="shared" si="1014"/>
        <v>0.53543307086614056</v>
      </c>
      <c r="Q929">
        <f t="shared" si="1015"/>
        <v>646741.43023621908</v>
      </c>
      <c r="R929">
        <f t="shared" si="1016"/>
        <v>1766942.628290263</v>
      </c>
      <c r="S929">
        <f t="shared" si="1017"/>
        <v>17.669426282902631</v>
      </c>
      <c r="T929">
        <f t="shared" si="1018"/>
        <v>1.766942628290263E-2</v>
      </c>
    </row>
    <row r="930" spans="1:20" x14ac:dyDescent="0.25">
      <c r="A930" s="5">
        <v>43663</v>
      </c>
      <c r="B930">
        <v>0.216</v>
      </c>
      <c r="C930">
        <v>0.23960000000000001</v>
      </c>
      <c r="D930">
        <v>0.20630000000000001</v>
      </c>
      <c r="E930">
        <v>0.22700000000000001</v>
      </c>
      <c r="F930">
        <v>1927899.16</v>
      </c>
      <c r="G930">
        <v>0</v>
      </c>
      <c r="L930" t="s">
        <v>7</v>
      </c>
      <c r="M930" t="s">
        <v>7</v>
      </c>
      <c r="N930" t="s">
        <v>7</v>
      </c>
      <c r="P930">
        <f t="shared" si="1014"/>
        <v>0.24324324324324315</v>
      </c>
      <c r="Q930">
        <f t="shared" si="1015"/>
        <v>468948.44432432414</v>
      </c>
      <c r="R930">
        <f t="shared" si="1016"/>
        <v>1120201.1980540438</v>
      </c>
      <c r="S930">
        <f t="shared" si="1017"/>
        <v>11.202011980540439</v>
      </c>
      <c r="T930">
        <f t="shared" si="1018"/>
        <v>1.1202011980540438E-2</v>
      </c>
    </row>
    <row r="931" spans="1:20" x14ac:dyDescent="0.25">
      <c r="A931" s="5">
        <v>43662</v>
      </c>
      <c r="B931">
        <v>0.2432</v>
      </c>
      <c r="C931">
        <v>0.26690000000000003</v>
      </c>
      <c r="D931">
        <v>0.21199999999999999</v>
      </c>
      <c r="E931">
        <v>0.21629999999999999</v>
      </c>
      <c r="F931">
        <v>3796274.34</v>
      </c>
      <c r="G931">
        <v>0</v>
      </c>
      <c r="L931" t="s">
        <v>7</v>
      </c>
      <c r="M931" t="s">
        <v>7</v>
      </c>
      <c r="N931" t="s">
        <v>7</v>
      </c>
      <c r="P931">
        <f t="shared" si="1014"/>
        <v>-0.84335154826958125</v>
      </c>
      <c r="Q931">
        <f t="shared" si="1015"/>
        <v>-3201593.8422950828</v>
      </c>
      <c r="R931">
        <f t="shared" si="1016"/>
        <v>651252.75372971967</v>
      </c>
      <c r="S931">
        <f t="shared" si="1017"/>
        <v>6.5125275372971965</v>
      </c>
      <c r="T931">
        <f t="shared" si="1018"/>
        <v>6.512527537297196E-3</v>
      </c>
    </row>
    <row r="932" spans="1:20" x14ac:dyDescent="0.25">
      <c r="A932" s="5">
        <v>43661</v>
      </c>
      <c r="B932">
        <v>0.22</v>
      </c>
      <c r="C932">
        <v>0.27900000000000003</v>
      </c>
      <c r="D932">
        <v>0.2034</v>
      </c>
      <c r="E932">
        <v>0.24360000000000001</v>
      </c>
      <c r="F932">
        <v>5556817.1699999999</v>
      </c>
      <c r="G932">
        <v>0</v>
      </c>
      <c r="L932" t="s">
        <v>8</v>
      </c>
      <c r="M932" t="s">
        <v>8</v>
      </c>
      <c r="N932" t="s">
        <v>7</v>
      </c>
      <c r="P932">
        <f t="shared" si="1014"/>
        <v>6.3492063492063447E-2</v>
      </c>
      <c r="Q932">
        <f t="shared" si="1015"/>
        <v>352813.78857142833</v>
      </c>
      <c r="R932">
        <f t="shared" si="1016"/>
        <v>3852846.5960248024</v>
      </c>
      <c r="S932">
        <f t="shared" si="1017"/>
        <v>38.528465960248027</v>
      </c>
      <c r="T932">
        <f t="shared" si="1018"/>
        <v>3.8528465960248025E-2</v>
      </c>
    </row>
    <row r="933" spans="1:20" x14ac:dyDescent="0.25">
      <c r="A933" s="5">
        <v>43660</v>
      </c>
      <c r="B933">
        <v>0.25669999999999998</v>
      </c>
      <c r="C933">
        <v>0.25740000000000002</v>
      </c>
      <c r="D933">
        <v>0.22</v>
      </c>
      <c r="E933">
        <v>0.22</v>
      </c>
      <c r="F933">
        <v>1171416.27</v>
      </c>
      <c r="G933">
        <v>0</v>
      </c>
      <c r="L933" t="s">
        <v>8</v>
      </c>
      <c r="M933" t="s">
        <v>8</v>
      </c>
      <c r="N933" t="s">
        <v>7</v>
      </c>
      <c r="P933">
        <f t="shared" si="1014"/>
        <v>-1</v>
      </c>
      <c r="Q933">
        <f t="shared" si="1015"/>
        <v>-1171416.27</v>
      </c>
      <c r="R933">
        <f t="shared" si="1016"/>
        <v>3500032.8074533739</v>
      </c>
      <c r="S933">
        <f t="shared" si="1017"/>
        <v>35.000328074533741</v>
      </c>
      <c r="T933">
        <f t="shared" si="1018"/>
        <v>3.5000328074533738E-2</v>
      </c>
    </row>
    <row r="934" spans="1:20" x14ac:dyDescent="0.25">
      <c r="A934" s="5">
        <v>43659</v>
      </c>
      <c r="B934">
        <v>0.26579999999999998</v>
      </c>
      <c r="C934">
        <v>0.26800000000000002</v>
      </c>
      <c r="D934">
        <v>0.2001</v>
      </c>
      <c r="E934">
        <v>0.25600000000000001</v>
      </c>
      <c r="F934">
        <v>1381520.25</v>
      </c>
      <c r="G934">
        <v>0</v>
      </c>
      <c r="L934" t="s">
        <v>7</v>
      </c>
      <c r="M934" t="s">
        <v>7</v>
      </c>
      <c r="N934" t="s">
        <v>7</v>
      </c>
      <c r="P934">
        <f t="shared" si="1014"/>
        <v>0.64653902798232676</v>
      </c>
      <c r="Q934">
        <f t="shared" si="1015"/>
        <v>893206.75957290106</v>
      </c>
      <c r="R934">
        <f t="shared" si="1016"/>
        <v>4671449.0774533739</v>
      </c>
      <c r="S934">
        <f t="shared" si="1017"/>
        <v>46.714490774533736</v>
      </c>
      <c r="T934">
        <f t="shared" si="1018"/>
        <v>4.6714490774533733E-2</v>
      </c>
    </row>
    <row r="935" spans="1:20" x14ac:dyDescent="0.25">
      <c r="A935" s="5">
        <v>43658</v>
      </c>
      <c r="B935">
        <v>0.25690000000000002</v>
      </c>
      <c r="C935">
        <v>0.27279999999999999</v>
      </c>
      <c r="D935">
        <v>0.24879999999999999</v>
      </c>
      <c r="E935">
        <v>0.26579999999999998</v>
      </c>
      <c r="F935">
        <v>1042909.56</v>
      </c>
      <c r="G935">
        <v>0</v>
      </c>
      <c r="L935" t="s">
        <v>8</v>
      </c>
      <c r="M935" t="s">
        <v>7</v>
      </c>
      <c r="N935" t="s">
        <v>7</v>
      </c>
      <c r="P935">
        <f t="shared" si="1014"/>
        <v>0.41666666666666602</v>
      </c>
      <c r="Q935">
        <f t="shared" si="1015"/>
        <v>434545.64999999932</v>
      </c>
      <c r="R935">
        <f t="shared" si="1016"/>
        <v>3778242.3178804726</v>
      </c>
      <c r="S935">
        <f t="shared" si="1017"/>
        <v>37.782423178804727</v>
      </c>
      <c r="T935">
        <f t="shared" si="1018"/>
        <v>3.778242317880473E-2</v>
      </c>
    </row>
    <row r="936" spans="1:20" x14ac:dyDescent="0.25">
      <c r="A936" s="5">
        <v>43657</v>
      </c>
      <c r="B936">
        <v>0.2697</v>
      </c>
      <c r="C936">
        <v>0.28499999999999998</v>
      </c>
      <c r="D936">
        <v>0.2452</v>
      </c>
      <c r="E936">
        <v>0.25700000000000001</v>
      </c>
      <c r="F936">
        <v>1315663.2</v>
      </c>
      <c r="G936">
        <v>0</v>
      </c>
      <c r="L936" t="s">
        <v>7</v>
      </c>
      <c r="M936" t="s">
        <v>7</v>
      </c>
      <c r="N936" t="s">
        <v>7</v>
      </c>
      <c r="P936">
        <f t="shared" si="1014"/>
        <v>-0.40703517587939636</v>
      </c>
      <c r="Q936">
        <f t="shared" si="1015"/>
        <v>-535521.20201004937</v>
      </c>
      <c r="R936">
        <f t="shared" si="1016"/>
        <v>3343696.6678804732</v>
      </c>
      <c r="S936">
        <f t="shared" si="1017"/>
        <v>33.43696667880473</v>
      </c>
      <c r="T936">
        <f t="shared" si="1018"/>
        <v>3.3436966678804733E-2</v>
      </c>
    </row>
    <row r="937" spans="1:20" x14ac:dyDescent="0.25">
      <c r="A937" s="5">
        <v>43656</v>
      </c>
      <c r="B937">
        <v>0.29249999999999998</v>
      </c>
      <c r="C937">
        <v>0.29409999999999997</v>
      </c>
      <c r="D937">
        <v>0.26290000000000002</v>
      </c>
      <c r="E937">
        <v>0.27029999999999998</v>
      </c>
      <c r="F937">
        <v>1741715.01</v>
      </c>
      <c r="G937">
        <v>0</v>
      </c>
      <c r="L937" t="s">
        <v>7</v>
      </c>
      <c r="M937" t="s">
        <v>7</v>
      </c>
      <c r="N937" t="s">
        <v>7</v>
      </c>
      <c r="P937">
        <f t="shared" si="1014"/>
        <v>-0.52564102564102733</v>
      </c>
      <c r="Q937">
        <f t="shared" si="1015"/>
        <v>-915516.86423077213</v>
      </c>
      <c r="R937">
        <f t="shared" si="1016"/>
        <v>3879217.8698905227</v>
      </c>
      <c r="S937">
        <f t="shared" si="1017"/>
        <v>38.792178698905225</v>
      </c>
      <c r="T937">
        <f t="shared" si="1018"/>
        <v>3.8792178698905222E-2</v>
      </c>
    </row>
    <row r="938" spans="1:20" x14ac:dyDescent="0.25">
      <c r="A938" s="5">
        <v>43655</v>
      </c>
      <c r="B938">
        <v>0.29060000000000002</v>
      </c>
      <c r="C938">
        <v>0.29559999999999997</v>
      </c>
      <c r="D938">
        <v>0.27400000000000002</v>
      </c>
      <c r="E938">
        <v>0.29210000000000003</v>
      </c>
      <c r="F938">
        <v>1817817.22</v>
      </c>
      <c r="G938">
        <v>0</v>
      </c>
      <c r="L938" t="s">
        <v>7</v>
      </c>
      <c r="M938" t="s">
        <v>7</v>
      </c>
      <c r="N938" t="s">
        <v>8</v>
      </c>
      <c r="P938">
        <f t="shared" si="1014"/>
        <v>0.67592592592593004</v>
      </c>
      <c r="Q938">
        <f t="shared" si="1015"/>
        <v>1228709.7875926001</v>
      </c>
      <c r="R938">
        <f t="shared" si="1016"/>
        <v>4794734.7341212947</v>
      </c>
      <c r="S938">
        <f t="shared" si="1017"/>
        <v>47.947347341212947</v>
      </c>
      <c r="T938">
        <f t="shared" si="1018"/>
        <v>4.7947347341212948E-2</v>
      </c>
    </row>
    <row r="939" spans="1:20" x14ac:dyDescent="0.25">
      <c r="A939" s="5">
        <v>43654</v>
      </c>
      <c r="B939">
        <v>0.29859999999999998</v>
      </c>
      <c r="C939">
        <v>0.313</v>
      </c>
      <c r="D939">
        <v>0.2863</v>
      </c>
      <c r="E939">
        <v>0.29060000000000002</v>
      </c>
      <c r="F939">
        <v>1807192.69</v>
      </c>
      <c r="G939">
        <v>0</v>
      </c>
      <c r="L939" t="s">
        <v>8</v>
      </c>
      <c r="M939" t="s">
        <v>7</v>
      </c>
      <c r="N939" t="s">
        <v>8</v>
      </c>
      <c r="P939">
        <f t="shared" si="1014"/>
        <v>-0.67790262172284455</v>
      </c>
      <c r="Q939">
        <f t="shared" si="1015"/>
        <v>-1225100.6625093599</v>
      </c>
      <c r="R939">
        <f t="shared" si="1016"/>
        <v>3566024.9465286951</v>
      </c>
      <c r="S939">
        <f t="shared" si="1017"/>
        <v>35.660249465286952</v>
      </c>
      <c r="T939">
        <f t="shared" si="1018"/>
        <v>3.5660249465286953E-2</v>
      </c>
    </row>
    <row r="940" spans="1:20" x14ac:dyDescent="0.25">
      <c r="A940" s="5">
        <v>43653</v>
      </c>
      <c r="B940">
        <v>0.29449999999999998</v>
      </c>
      <c r="C940">
        <v>0.3</v>
      </c>
      <c r="D940">
        <v>0.2928</v>
      </c>
      <c r="E940">
        <v>0.29859999999999998</v>
      </c>
      <c r="F940">
        <v>594238.71999999997</v>
      </c>
      <c r="G940">
        <v>0</v>
      </c>
      <c r="L940" t="s">
        <v>8</v>
      </c>
      <c r="M940" t="s">
        <v>7</v>
      </c>
      <c r="N940" t="s">
        <v>8</v>
      </c>
      <c r="P940">
        <f t="shared" si="1014"/>
        <v>0.61111111111110683</v>
      </c>
      <c r="Q940">
        <f t="shared" si="1015"/>
        <v>363145.88444444188</v>
      </c>
      <c r="R940">
        <f t="shared" si="1016"/>
        <v>4791125.6090380549</v>
      </c>
      <c r="S940">
        <f t="shared" si="1017"/>
        <v>47.911256090380547</v>
      </c>
      <c r="T940">
        <f t="shared" si="1018"/>
        <v>4.791125609038055E-2</v>
      </c>
    </row>
    <row r="941" spans="1:20" x14ac:dyDescent="0.25">
      <c r="A941" s="5">
        <v>43652</v>
      </c>
      <c r="B941">
        <v>0.28960000000000002</v>
      </c>
      <c r="C941">
        <v>0.3049</v>
      </c>
      <c r="D941">
        <v>0.28799999999999998</v>
      </c>
      <c r="E941">
        <v>0.29459999999999997</v>
      </c>
      <c r="F941">
        <v>1385877.77</v>
      </c>
      <c r="G941">
        <v>0</v>
      </c>
      <c r="L941" t="s">
        <v>8</v>
      </c>
      <c r="M941" t="s">
        <v>7</v>
      </c>
      <c r="N941" t="s">
        <v>8</v>
      </c>
      <c r="P941">
        <f t="shared" si="1014"/>
        <v>-0.21893491124260539</v>
      </c>
      <c r="Q941">
        <f t="shared" si="1015"/>
        <v>-303417.02656804991</v>
      </c>
      <c r="R941">
        <f t="shared" si="1016"/>
        <v>4427979.7245936133</v>
      </c>
      <c r="S941">
        <f t="shared" si="1017"/>
        <v>44.27979724593613</v>
      </c>
      <c r="T941">
        <f t="shared" si="1018"/>
        <v>4.4279797245936128E-2</v>
      </c>
    </row>
    <row r="942" spans="1:20" x14ac:dyDescent="0.25">
      <c r="A942" s="5">
        <v>43651</v>
      </c>
      <c r="B942">
        <v>0.28849999999999998</v>
      </c>
      <c r="C942">
        <v>0.29170000000000001</v>
      </c>
      <c r="D942">
        <v>0.28389999999999999</v>
      </c>
      <c r="E942">
        <v>0.28820000000000001</v>
      </c>
      <c r="F942">
        <v>738097.61</v>
      </c>
      <c r="G942">
        <v>0</v>
      </c>
      <c r="L942" t="s">
        <v>7</v>
      </c>
      <c r="M942" t="s">
        <v>7</v>
      </c>
      <c r="N942" t="s">
        <v>8</v>
      </c>
      <c r="P942">
        <f t="shared" si="1014"/>
        <v>0.10256410256410511</v>
      </c>
      <c r="Q942">
        <f t="shared" si="1015"/>
        <v>75702.318974360853</v>
      </c>
      <c r="R942">
        <f t="shared" si="1016"/>
        <v>4731396.7511616629</v>
      </c>
      <c r="S942">
        <f t="shared" si="1017"/>
        <v>47.313967511616632</v>
      </c>
      <c r="T942">
        <f t="shared" si="1018"/>
        <v>4.7313967511616629E-2</v>
      </c>
    </row>
    <row r="943" spans="1:20" x14ac:dyDescent="0.25">
      <c r="A943" s="5">
        <v>43650</v>
      </c>
      <c r="B943">
        <v>0.30180000000000001</v>
      </c>
      <c r="C943">
        <v>0.30499999999999999</v>
      </c>
      <c r="D943">
        <v>0.28610000000000002</v>
      </c>
      <c r="E943">
        <v>0.28799999999999998</v>
      </c>
      <c r="F943">
        <v>931044</v>
      </c>
      <c r="G943">
        <v>0</v>
      </c>
      <c r="L943" t="s">
        <v>8</v>
      </c>
      <c r="M943" t="s">
        <v>7</v>
      </c>
      <c r="N943" t="s">
        <v>8</v>
      </c>
      <c r="P943">
        <f t="shared" si="1014"/>
        <v>-0.79894179894180317</v>
      </c>
      <c r="Q943">
        <f t="shared" si="1015"/>
        <v>-743849.96825397224</v>
      </c>
      <c r="R943">
        <f t="shared" si="1016"/>
        <v>4655694.432187302</v>
      </c>
      <c r="S943">
        <f t="shared" si="1017"/>
        <v>46.556944321873019</v>
      </c>
      <c r="T943">
        <f t="shared" si="1018"/>
        <v>4.6556944321873017E-2</v>
      </c>
    </row>
    <row r="944" spans="1:20" x14ac:dyDescent="0.25">
      <c r="A944" s="5">
        <v>43649</v>
      </c>
      <c r="B944">
        <v>0.29530000000000001</v>
      </c>
      <c r="C944">
        <v>0.30280000000000001</v>
      </c>
      <c r="D944">
        <v>0.29020000000000001</v>
      </c>
      <c r="E944">
        <v>0.3019</v>
      </c>
      <c r="F944">
        <v>1755460.12</v>
      </c>
      <c r="G944">
        <v>0</v>
      </c>
      <c r="L944" t="s">
        <v>8</v>
      </c>
      <c r="M944" t="s">
        <v>7</v>
      </c>
      <c r="N944" t="s">
        <v>8</v>
      </c>
      <c r="P944">
        <f t="shared" si="1014"/>
        <v>0.85714285714285521</v>
      </c>
      <c r="Q944">
        <f t="shared" si="1015"/>
        <v>1504680.1028571397</v>
      </c>
      <c r="R944">
        <f t="shared" si="1016"/>
        <v>5399544.400441274</v>
      </c>
      <c r="S944">
        <f t="shared" si="1017"/>
        <v>53.99544400441274</v>
      </c>
      <c r="T944">
        <f t="shared" si="1018"/>
        <v>5.3995444004412738E-2</v>
      </c>
    </row>
    <row r="945" spans="1:20" x14ac:dyDescent="0.25">
      <c r="A945" s="5">
        <v>43648</v>
      </c>
      <c r="B945">
        <v>0.30959999999999999</v>
      </c>
      <c r="C945">
        <v>0.31190000000000001</v>
      </c>
      <c r="D945">
        <v>0.28139999999999998</v>
      </c>
      <c r="E945">
        <v>0.29520000000000002</v>
      </c>
      <c r="F945">
        <v>1652751.4</v>
      </c>
      <c r="G945">
        <v>0</v>
      </c>
      <c r="L945" t="s">
        <v>7</v>
      </c>
      <c r="M945" t="s">
        <v>7</v>
      </c>
      <c r="N945" t="s">
        <v>8</v>
      </c>
      <c r="P945">
        <f t="shared" si="1014"/>
        <v>-9.5081967213113294E-2</v>
      </c>
      <c r="Q945">
        <f t="shared" si="1015"/>
        <v>-157146.85442622707</v>
      </c>
      <c r="R945">
        <f t="shared" si="1016"/>
        <v>3894864.2975841342</v>
      </c>
      <c r="S945">
        <f t="shared" si="1017"/>
        <v>38.948642975841345</v>
      </c>
      <c r="T945">
        <f t="shared" si="1018"/>
        <v>3.8948642975841344E-2</v>
      </c>
    </row>
    <row r="946" spans="1:20" x14ac:dyDescent="0.25">
      <c r="A946" s="5">
        <v>43647</v>
      </c>
      <c r="B946">
        <v>0.29930000000000001</v>
      </c>
      <c r="C946">
        <v>0.31540000000000001</v>
      </c>
      <c r="D946">
        <v>0.29160000000000003</v>
      </c>
      <c r="E946">
        <v>0.30930000000000002</v>
      </c>
      <c r="F946">
        <v>1862724.62</v>
      </c>
      <c r="G946">
        <v>0</v>
      </c>
      <c r="L946" t="s">
        <v>7</v>
      </c>
      <c r="M946" t="s">
        <v>7</v>
      </c>
      <c r="N946" t="s">
        <v>8</v>
      </c>
      <c r="P946">
        <f t="shared" si="1014"/>
        <v>0.48739495798319349</v>
      </c>
      <c r="Q946">
        <f t="shared" si="1015"/>
        <v>907882.58789916011</v>
      </c>
      <c r="R946">
        <f t="shared" si="1016"/>
        <v>4052011.1520103612</v>
      </c>
      <c r="S946">
        <f t="shared" si="1017"/>
        <v>40.520111520103612</v>
      </c>
      <c r="T946">
        <f t="shared" si="1018"/>
        <v>4.0520111520103611E-2</v>
      </c>
    </row>
    <row r="947" spans="1:20" x14ac:dyDescent="0.25">
      <c r="A947" s="5">
        <v>43646</v>
      </c>
      <c r="B947">
        <v>0.31909999999999999</v>
      </c>
      <c r="C947">
        <v>0.32800000000000001</v>
      </c>
      <c r="D947">
        <v>0.29720000000000002</v>
      </c>
      <c r="E947">
        <v>0.2989</v>
      </c>
      <c r="F947">
        <v>2375580.9700000002</v>
      </c>
      <c r="G947">
        <v>0</v>
      </c>
      <c r="L947" t="s">
        <v>7</v>
      </c>
      <c r="M947" t="s">
        <v>8</v>
      </c>
      <c r="N947" t="s">
        <v>8</v>
      </c>
      <c r="P947">
        <f t="shared" si="1014"/>
        <v>-0.88961038961039096</v>
      </c>
      <c r="Q947">
        <f t="shared" si="1015"/>
        <v>-2113341.5122727305</v>
      </c>
      <c r="R947">
        <f t="shared" si="1016"/>
        <v>3144128.5641112011</v>
      </c>
      <c r="S947">
        <f t="shared" si="1017"/>
        <v>31.44128564111201</v>
      </c>
      <c r="T947">
        <f t="shared" si="1018"/>
        <v>3.144128564111201E-2</v>
      </c>
    </row>
    <row r="948" spans="1:20" x14ac:dyDescent="0.25">
      <c r="A948" s="5">
        <v>43645</v>
      </c>
      <c r="B948">
        <v>0.31640000000000001</v>
      </c>
      <c r="C948">
        <v>0.32079999999999997</v>
      </c>
      <c r="D948">
        <v>0.30209999999999998</v>
      </c>
      <c r="E948">
        <v>0.31840000000000002</v>
      </c>
      <c r="F948">
        <v>2555598.87</v>
      </c>
      <c r="G948">
        <v>0</v>
      </c>
      <c r="L948" t="s">
        <v>7</v>
      </c>
      <c r="M948" t="s">
        <v>8</v>
      </c>
      <c r="N948" t="s">
        <v>8</v>
      </c>
      <c r="P948">
        <f t="shared" si="1014"/>
        <v>0.74331550802139479</v>
      </c>
      <c r="Q948">
        <f t="shared" si="1015"/>
        <v>1899616.2723529525</v>
      </c>
      <c r="R948">
        <f t="shared" si="1016"/>
        <v>5257470.0763839316</v>
      </c>
      <c r="S948">
        <f t="shared" si="1017"/>
        <v>52.574700763839317</v>
      </c>
      <c r="T948">
        <f t="shared" si="1018"/>
        <v>5.257470076383932E-2</v>
      </c>
    </row>
    <row r="949" spans="1:20" x14ac:dyDescent="0.25">
      <c r="A949" s="5">
        <v>43644</v>
      </c>
      <c r="B949">
        <v>0.31879999999999997</v>
      </c>
      <c r="C949">
        <v>0.35799999999999998</v>
      </c>
      <c r="D949">
        <v>0.31509999999999999</v>
      </c>
      <c r="E949">
        <v>0.31640000000000001</v>
      </c>
      <c r="F949">
        <v>3351088.79</v>
      </c>
      <c r="G949">
        <v>0</v>
      </c>
      <c r="L949" t="s">
        <v>8</v>
      </c>
      <c r="M949" t="s">
        <v>8</v>
      </c>
      <c r="N949" t="s">
        <v>8</v>
      </c>
      <c r="P949">
        <f t="shared" si="1014"/>
        <v>-0.93939393939393834</v>
      </c>
      <c r="Q949">
        <f t="shared" si="1015"/>
        <v>-3147992.4996969663</v>
      </c>
      <c r="R949">
        <f t="shared" si="1016"/>
        <v>3357853.8040309791</v>
      </c>
      <c r="S949">
        <f t="shared" si="1017"/>
        <v>33.578538040309788</v>
      </c>
      <c r="T949">
        <f t="shared" si="1018"/>
        <v>3.3578538040309788E-2</v>
      </c>
    </row>
    <row r="950" spans="1:20" x14ac:dyDescent="0.25">
      <c r="A950" s="5">
        <v>43643</v>
      </c>
      <c r="B950">
        <v>0.32579999999999998</v>
      </c>
      <c r="C950">
        <v>0.32819999999999999</v>
      </c>
      <c r="D950">
        <v>0.29339999999999999</v>
      </c>
      <c r="E950">
        <v>0.31879999999999997</v>
      </c>
      <c r="F950">
        <v>3006628.16</v>
      </c>
      <c r="G950">
        <v>0</v>
      </c>
      <c r="L950" t="s">
        <v>7</v>
      </c>
      <c r="M950" t="s">
        <v>7</v>
      </c>
      <c r="N950" t="s">
        <v>8</v>
      </c>
      <c r="P950">
        <f t="shared" si="1014"/>
        <v>0.45977011494252756</v>
      </c>
      <c r="Q950">
        <f t="shared" si="1015"/>
        <v>1382357.7747126403</v>
      </c>
      <c r="R950">
        <f t="shared" si="1016"/>
        <v>6505846.3037279453</v>
      </c>
      <c r="S950">
        <f t="shared" si="1017"/>
        <v>65.058463037279452</v>
      </c>
      <c r="T950">
        <f t="shared" si="1018"/>
        <v>6.5058463037279454E-2</v>
      </c>
    </row>
    <row r="951" spans="1:20" x14ac:dyDescent="0.25">
      <c r="A951" s="5">
        <v>43642</v>
      </c>
      <c r="B951">
        <v>0.3367</v>
      </c>
      <c r="C951">
        <v>0.35289999999999999</v>
      </c>
      <c r="D951">
        <v>0.314</v>
      </c>
      <c r="E951">
        <v>0.32600000000000001</v>
      </c>
      <c r="F951">
        <v>4448459.71</v>
      </c>
      <c r="G951">
        <v>0</v>
      </c>
      <c r="L951" t="s">
        <v>7</v>
      </c>
      <c r="M951" t="s">
        <v>8</v>
      </c>
      <c r="N951" t="s">
        <v>8</v>
      </c>
      <c r="P951">
        <f t="shared" si="1014"/>
        <v>-0.38303341902313554</v>
      </c>
      <c r="Q951">
        <f t="shared" si="1015"/>
        <v>-1703908.732107966</v>
      </c>
      <c r="R951">
        <f t="shared" si="1016"/>
        <v>5123488.5290153045</v>
      </c>
      <c r="S951">
        <f t="shared" si="1017"/>
        <v>51.234885290153045</v>
      </c>
      <c r="T951">
        <f t="shared" si="1018"/>
        <v>5.1234885290153048E-2</v>
      </c>
    </row>
    <row r="952" spans="1:20" x14ac:dyDescent="0.25">
      <c r="A952" s="5">
        <v>43641</v>
      </c>
      <c r="B952">
        <v>0.33889999999999998</v>
      </c>
      <c r="C952">
        <v>0.34649999999999997</v>
      </c>
      <c r="D952">
        <v>0.33260000000000001</v>
      </c>
      <c r="E952">
        <v>0.33789999999999998</v>
      </c>
      <c r="F952">
        <v>1521321.52</v>
      </c>
      <c r="G952">
        <v>0</v>
      </c>
      <c r="L952" t="s">
        <v>7</v>
      </c>
      <c r="M952" t="s">
        <v>8</v>
      </c>
      <c r="N952" t="s">
        <v>8</v>
      </c>
      <c r="P952">
        <f t="shared" si="1014"/>
        <v>-0.2374100719424484</v>
      </c>
      <c r="Q952">
        <f t="shared" si="1015"/>
        <v>-361177.05151079496</v>
      </c>
      <c r="R952">
        <f t="shared" si="1016"/>
        <v>6827397.2611232707</v>
      </c>
      <c r="S952">
        <f t="shared" si="1017"/>
        <v>68.273972611232708</v>
      </c>
      <c r="T952">
        <f t="shared" si="1018"/>
        <v>6.8273972611232706E-2</v>
      </c>
    </row>
    <row r="953" spans="1:20" x14ac:dyDescent="0.25">
      <c r="A953" s="5">
        <v>43640</v>
      </c>
      <c r="B953">
        <v>0.34410000000000002</v>
      </c>
      <c r="C953">
        <v>0.34410000000000002</v>
      </c>
      <c r="D953">
        <v>0.33</v>
      </c>
      <c r="E953">
        <v>0.33889999999999998</v>
      </c>
      <c r="F953">
        <v>1466261.12</v>
      </c>
      <c r="G953">
        <v>0</v>
      </c>
      <c r="L953" t="s">
        <v>7</v>
      </c>
      <c r="M953" t="s">
        <v>8</v>
      </c>
      <c r="N953" t="s">
        <v>8</v>
      </c>
      <c r="P953">
        <f t="shared" si="1014"/>
        <v>0.26241134751772521</v>
      </c>
      <c r="Q953">
        <f t="shared" si="1015"/>
        <v>384763.55631204904</v>
      </c>
      <c r="R953">
        <f t="shared" si="1016"/>
        <v>7188574.3126340657</v>
      </c>
      <c r="S953">
        <f t="shared" si="1017"/>
        <v>71.885743126340657</v>
      </c>
      <c r="T953">
        <f t="shared" si="1018"/>
        <v>7.1885743126340662E-2</v>
      </c>
    </row>
    <row r="954" spans="1:20" x14ac:dyDescent="0.25">
      <c r="A954" s="5">
        <v>43639</v>
      </c>
      <c r="B954">
        <v>0.35020000000000001</v>
      </c>
      <c r="C954">
        <v>0.35930000000000001</v>
      </c>
      <c r="D954">
        <v>0.34189999999999998</v>
      </c>
      <c r="E954">
        <v>0.34410000000000002</v>
      </c>
      <c r="F954">
        <v>2393989.19</v>
      </c>
      <c r="G954">
        <v>0</v>
      </c>
      <c r="L954" t="s">
        <v>8</v>
      </c>
      <c r="M954" t="s">
        <v>8</v>
      </c>
      <c r="N954" t="s">
        <v>8</v>
      </c>
      <c r="P954">
        <f t="shared" si="1014"/>
        <v>-0.74712643678160551</v>
      </c>
      <c r="Q954">
        <f t="shared" si="1015"/>
        <v>-1788612.613218382</v>
      </c>
      <c r="R954">
        <f t="shared" si="1016"/>
        <v>6803810.7563220169</v>
      </c>
      <c r="S954">
        <f t="shared" si="1017"/>
        <v>68.038107563220166</v>
      </c>
      <c r="T954">
        <f t="shared" si="1018"/>
        <v>6.8038107563220165E-2</v>
      </c>
    </row>
    <row r="955" spans="1:20" x14ac:dyDescent="0.25">
      <c r="A955" s="5">
        <v>43638</v>
      </c>
      <c r="B955">
        <v>0.33300000000000002</v>
      </c>
      <c r="C955">
        <v>0.35630000000000001</v>
      </c>
      <c r="D955">
        <v>0.32979999999999998</v>
      </c>
      <c r="E955">
        <v>0.35020000000000001</v>
      </c>
      <c r="F955">
        <v>2721915.87</v>
      </c>
      <c r="G955">
        <v>0</v>
      </c>
      <c r="L955" t="s">
        <v>8</v>
      </c>
      <c r="M955" t="s">
        <v>7</v>
      </c>
      <c r="N955" t="s">
        <v>8</v>
      </c>
      <c r="P955">
        <f t="shared" si="1014"/>
        <v>0.53962264150943484</v>
      </c>
      <c r="Q955">
        <f t="shared" si="1015"/>
        <v>1468807.4317358516</v>
      </c>
      <c r="R955">
        <f t="shared" si="1016"/>
        <v>8592423.3695403989</v>
      </c>
      <c r="S955">
        <f t="shared" si="1017"/>
        <v>85.924233695403984</v>
      </c>
      <c r="T955">
        <f t="shared" si="1018"/>
        <v>8.5924233695403987E-2</v>
      </c>
    </row>
    <row r="956" spans="1:20" x14ac:dyDescent="0.25">
      <c r="A956" s="5">
        <v>43637</v>
      </c>
      <c r="B956">
        <v>0.32919999999999999</v>
      </c>
      <c r="C956">
        <v>0.33779999999999999</v>
      </c>
      <c r="D956">
        <v>0.32900000000000001</v>
      </c>
      <c r="E956">
        <v>0.33329999999999999</v>
      </c>
      <c r="F956">
        <v>1055437.73</v>
      </c>
      <c r="G956">
        <v>0</v>
      </c>
      <c r="L956" t="s">
        <v>7</v>
      </c>
      <c r="M956" t="s">
        <v>7</v>
      </c>
      <c r="N956" t="s">
        <v>8</v>
      </c>
      <c r="P956">
        <f t="shared" si="1014"/>
        <v>-2.27272727272766E-2</v>
      </c>
      <c r="Q956">
        <f t="shared" si="1015"/>
        <v>-23987.221136367723</v>
      </c>
      <c r="R956">
        <f t="shared" si="1016"/>
        <v>7123615.9378045481</v>
      </c>
      <c r="S956">
        <f t="shared" si="1017"/>
        <v>71.236159378045485</v>
      </c>
      <c r="T956">
        <f t="shared" si="1018"/>
        <v>7.1236159378045491E-2</v>
      </c>
    </row>
    <row r="957" spans="1:20" x14ac:dyDescent="0.25">
      <c r="A957" s="5">
        <v>43636</v>
      </c>
      <c r="B957">
        <v>0.33979999999999999</v>
      </c>
      <c r="C957">
        <v>0.34129999999999999</v>
      </c>
      <c r="D957">
        <v>0.3261</v>
      </c>
      <c r="E957">
        <v>0.32840000000000003</v>
      </c>
      <c r="F957">
        <v>2726421.74</v>
      </c>
      <c r="G957">
        <v>0</v>
      </c>
      <c r="L957" t="s">
        <v>7</v>
      </c>
      <c r="M957" t="s">
        <v>7</v>
      </c>
      <c r="N957" t="s">
        <v>8</v>
      </c>
      <c r="P957">
        <f t="shared" si="1014"/>
        <v>-0.6973684210526282</v>
      </c>
      <c r="Q957">
        <f t="shared" si="1015"/>
        <v>-1901320.4239473594</v>
      </c>
      <c r="R957">
        <f t="shared" si="1016"/>
        <v>7147603.1589409159</v>
      </c>
      <c r="S957">
        <f t="shared" si="1017"/>
        <v>71.47603158940916</v>
      </c>
      <c r="T957">
        <f t="shared" si="1018"/>
        <v>7.1476031589409156E-2</v>
      </c>
    </row>
    <row r="958" spans="1:20" x14ac:dyDescent="0.25">
      <c r="A958" s="5">
        <v>43635</v>
      </c>
      <c r="B958">
        <v>0.33729999999999999</v>
      </c>
      <c r="C958">
        <v>0.34789999999999999</v>
      </c>
      <c r="D958">
        <v>0.33489999999999998</v>
      </c>
      <c r="E958">
        <v>0.33979999999999999</v>
      </c>
      <c r="F958">
        <v>1314849.6299999999</v>
      </c>
      <c r="G958">
        <v>0</v>
      </c>
      <c r="L958" t="s">
        <v>8</v>
      </c>
      <c r="M958" t="s">
        <v>7</v>
      </c>
      <c r="N958" t="s">
        <v>8</v>
      </c>
      <c r="P958">
        <f t="shared" si="1014"/>
        <v>-0.24615384615384445</v>
      </c>
      <c r="Q958">
        <f t="shared" si="1015"/>
        <v>-323655.29353845929</v>
      </c>
      <c r="R958">
        <f t="shared" si="1016"/>
        <v>9048923.5828882754</v>
      </c>
      <c r="S958">
        <f t="shared" si="1017"/>
        <v>90.489235828882755</v>
      </c>
      <c r="T958">
        <f t="shared" si="1018"/>
        <v>9.0489235828882755E-2</v>
      </c>
    </row>
    <row r="959" spans="1:20" x14ac:dyDescent="0.25">
      <c r="A959" s="5">
        <v>43634</v>
      </c>
      <c r="B959">
        <v>0.34470000000000001</v>
      </c>
      <c r="C959">
        <v>0.35549999999999998</v>
      </c>
      <c r="D959">
        <v>0.33379999999999999</v>
      </c>
      <c r="E959">
        <v>0.33660000000000001</v>
      </c>
      <c r="F959">
        <v>1850830.51</v>
      </c>
      <c r="G959">
        <v>0</v>
      </c>
      <c r="L959" t="s">
        <v>8</v>
      </c>
      <c r="M959" t="s">
        <v>7</v>
      </c>
      <c r="N959" t="s">
        <v>8</v>
      </c>
      <c r="P959">
        <f t="shared" ref="P959:P1022" si="1019">IF(C959=D959,0,((E959-D959)-(C959-E959))/(C959-D959))</f>
        <v>-0.74193548387096542</v>
      </c>
      <c r="Q959">
        <f t="shared" ref="Q959:Q1022" si="1020">F959*P959</f>
        <v>-1373196.8299999957</v>
      </c>
      <c r="R959">
        <f t="shared" ref="R959:R1022" si="1021">R960+Q959</f>
        <v>9372578.876426734</v>
      </c>
      <c r="S959">
        <f t="shared" ref="S959:S1022" si="1022">R959/100000</f>
        <v>93.725788764267335</v>
      </c>
      <c r="T959">
        <f t="shared" ref="T959:T1022" si="1023">S959/1000</f>
        <v>9.3725788764267334E-2</v>
      </c>
    </row>
    <row r="960" spans="1:20" x14ac:dyDescent="0.25">
      <c r="A960" s="5">
        <v>43633</v>
      </c>
      <c r="B960">
        <v>0.34710000000000002</v>
      </c>
      <c r="C960">
        <v>0.35470000000000002</v>
      </c>
      <c r="D960">
        <v>0.34239999999999998</v>
      </c>
      <c r="E960">
        <v>0.34470000000000001</v>
      </c>
      <c r="F960">
        <v>1754343.57</v>
      </c>
      <c r="G960">
        <v>0</v>
      </c>
      <c r="L960" t="s">
        <v>8</v>
      </c>
      <c r="M960" t="s">
        <v>7</v>
      </c>
      <c r="N960" t="s">
        <v>8</v>
      </c>
      <c r="P960">
        <f t="shared" si="1019"/>
        <v>-0.6260162601625987</v>
      </c>
      <c r="Q960">
        <f t="shared" si="1020"/>
        <v>-1098247.6007317023</v>
      </c>
      <c r="R960">
        <f t="shared" si="1021"/>
        <v>10745775.70642673</v>
      </c>
      <c r="S960">
        <f t="shared" si="1022"/>
        <v>107.4577570642673</v>
      </c>
      <c r="T960">
        <f t="shared" si="1023"/>
        <v>0.1074577570642673</v>
      </c>
    </row>
    <row r="961" spans="1:20" x14ac:dyDescent="0.25">
      <c r="A961" s="5">
        <v>43632</v>
      </c>
      <c r="B961">
        <v>0.35649999999999998</v>
      </c>
      <c r="C961">
        <v>0.36109999999999998</v>
      </c>
      <c r="D961">
        <v>0.30909999999999999</v>
      </c>
      <c r="E961">
        <v>0.3473</v>
      </c>
      <c r="F961">
        <v>2559925.2200000002</v>
      </c>
      <c r="G961">
        <v>0</v>
      </c>
      <c r="L961" t="s">
        <v>7</v>
      </c>
      <c r="M961" t="s">
        <v>7</v>
      </c>
      <c r="N961" t="s">
        <v>8</v>
      </c>
      <c r="P961">
        <f t="shared" si="1019"/>
        <v>0.46923076923076995</v>
      </c>
      <c r="Q961">
        <f t="shared" si="1020"/>
        <v>1201195.6801538481</v>
      </c>
      <c r="R961">
        <f t="shared" si="1021"/>
        <v>11844023.307158433</v>
      </c>
      <c r="S961">
        <f t="shared" si="1022"/>
        <v>118.44023307158433</v>
      </c>
      <c r="T961">
        <f t="shared" si="1023"/>
        <v>0.11844023307158433</v>
      </c>
    </row>
    <row r="962" spans="1:20" x14ac:dyDescent="0.25">
      <c r="A962" s="5">
        <v>43631</v>
      </c>
      <c r="B962">
        <v>0.33500000000000002</v>
      </c>
      <c r="C962">
        <v>0.36880000000000002</v>
      </c>
      <c r="D962">
        <v>0.33150000000000002</v>
      </c>
      <c r="E962">
        <v>0.35709999999999997</v>
      </c>
      <c r="F962">
        <v>3928201.16</v>
      </c>
      <c r="G962">
        <v>0</v>
      </c>
      <c r="L962" t="s">
        <v>8</v>
      </c>
      <c r="M962" t="s">
        <v>8</v>
      </c>
      <c r="N962" t="s">
        <v>8</v>
      </c>
      <c r="P962">
        <f t="shared" si="1019"/>
        <v>0.37265415549597619</v>
      </c>
      <c r="Q962">
        <f t="shared" si="1020"/>
        <v>1463860.485898114</v>
      </c>
      <c r="R962">
        <f t="shared" si="1021"/>
        <v>10642827.627004584</v>
      </c>
      <c r="S962">
        <f t="shared" si="1022"/>
        <v>106.42827627004584</v>
      </c>
      <c r="T962">
        <f t="shared" si="1023"/>
        <v>0.10642827627004584</v>
      </c>
    </row>
    <row r="963" spans="1:20" x14ac:dyDescent="0.25">
      <c r="A963" s="5">
        <v>43630</v>
      </c>
      <c r="B963">
        <v>0.32369999999999999</v>
      </c>
      <c r="C963">
        <v>0.34410000000000002</v>
      </c>
      <c r="D963">
        <v>0.3135</v>
      </c>
      <c r="E963">
        <v>0.33439999999999998</v>
      </c>
      <c r="F963">
        <v>1639737.1</v>
      </c>
      <c r="G963">
        <v>0</v>
      </c>
      <c r="L963" t="s">
        <v>8</v>
      </c>
      <c r="M963" t="s">
        <v>7</v>
      </c>
      <c r="N963" t="s">
        <v>8</v>
      </c>
      <c r="P963">
        <f t="shared" si="1019"/>
        <v>0.36601307189542243</v>
      </c>
      <c r="Q963">
        <f t="shared" si="1020"/>
        <v>600165.21307189146</v>
      </c>
      <c r="R963">
        <f t="shared" si="1021"/>
        <v>9178967.1411064696</v>
      </c>
      <c r="S963">
        <f t="shared" si="1022"/>
        <v>91.789671411064703</v>
      </c>
      <c r="T963">
        <f t="shared" si="1023"/>
        <v>9.1789671411064699E-2</v>
      </c>
    </row>
    <row r="964" spans="1:20" x14ac:dyDescent="0.25">
      <c r="A964" s="5">
        <v>43629</v>
      </c>
      <c r="B964">
        <v>0.33160000000000001</v>
      </c>
      <c r="C964">
        <v>0.33300000000000002</v>
      </c>
      <c r="D964">
        <v>0.3231</v>
      </c>
      <c r="E964">
        <v>0.32369999999999999</v>
      </c>
      <c r="F964">
        <v>983343.74</v>
      </c>
      <c r="G964">
        <v>0</v>
      </c>
      <c r="L964" t="s">
        <v>8</v>
      </c>
      <c r="M964" t="s">
        <v>7</v>
      </c>
      <c r="N964" t="s">
        <v>8</v>
      </c>
      <c r="P964">
        <f t="shared" si="1019"/>
        <v>-0.87878787878788112</v>
      </c>
      <c r="Q964">
        <f t="shared" si="1020"/>
        <v>-864150.55939394166</v>
      </c>
      <c r="R964">
        <f t="shared" si="1021"/>
        <v>8578801.9280345775</v>
      </c>
      <c r="S964">
        <f t="shared" si="1022"/>
        <v>85.788019280345779</v>
      </c>
      <c r="T964">
        <f t="shared" si="1023"/>
        <v>8.5788019280345781E-2</v>
      </c>
    </row>
    <row r="965" spans="1:20" x14ac:dyDescent="0.25">
      <c r="A965" s="5">
        <v>43628</v>
      </c>
      <c r="B965">
        <v>0.3246</v>
      </c>
      <c r="C965">
        <v>0.33379999999999999</v>
      </c>
      <c r="D965">
        <v>0.31950000000000001</v>
      </c>
      <c r="E965">
        <v>0.33160000000000001</v>
      </c>
      <c r="F965">
        <v>1043602.94</v>
      </c>
      <c r="G965">
        <v>0</v>
      </c>
      <c r="L965" t="s">
        <v>8</v>
      </c>
      <c r="M965" t="s">
        <v>7</v>
      </c>
      <c r="N965" t="s">
        <v>8</v>
      </c>
      <c r="P965">
        <f t="shared" si="1019"/>
        <v>0.69230769230769473</v>
      </c>
      <c r="Q965">
        <f t="shared" si="1020"/>
        <v>722494.34307692561</v>
      </c>
      <c r="R965">
        <f t="shared" si="1021"/>
        <v>9442952.4874285199</v>
      </c>
      <c r="S965">
        <f t="shared" si="1022"/>
        <v>94.429524874285192</v>
      </c>
      <c r="T965">
        <f t="shared" si="1023"/>
        <v>9.4429524874285187E-2</v>
      </c>
    </row>
    <row r="966" spans="1:20" x14ac:dyDescent="0.25">
      <c r="A966" s="5">
        <v>43627</v>
      </c>
      <c r="B966">
        <v>0.32929999999999998</v>
      </c>
      <c r="C966">
        <v>0.3296</v>
      </c>
      <c r="D966">
        <v>0.31440000000000001</v>
      </c>
      <c r="E966">
        <v>0.32440000000000002</v>
      </c>
      <c r="F966">
        <v>1043414.02</v>
      </c>
      <c r="G966">
        <v>0</v>
      </c>
      <c r="L966" t="s">
        <v>8</v>
      </c>
      <c r="M966" t="s">
        <v>7</v>
      </c>
      <c r="N966" t="s">
        <v>8</v>
      </c>
      <c r="P966">
        <f t="shared" si="1019"/>
        <v>0.31578947368421245</v>
      </c>
      <c r="Q966">
        <f t="shared" si="1020"/>
        <v>329499.16421052831</v>
      </c>
      <c r="R966">
        <f t="shared" si="1021"/>
        <v>8720458.1443515942</v>
      </c>
      <c r="S966">
        <f t="shared" si="1022"/>
        <v>87.204581443515949</v>
      </c>
      <c r="T966">
        <f t="shared" si="1023"/>
        <v>8.7204581443515949E-2</v>
      </c>
    </row>
    <row r="967" spans="1:20" x14ac:dyDescent="0.25">
      <c r="A967" s="5">
        <v>43626</v>
      </c>
      <c r="B967">
        <v>0.31240000000000001</v>
      </c>
      <c r="C967">
        <v>0.33260000000000001</v>
      </c>
      <c r="D967">
        <v>0.31040000000000001</v>
      </c>
      <c r="E967">
        <v>0.32790000000000002</v>
      </c>
      <c r="F967">
        <v>1579898.64</v>
      </c>
      <c r="G967">
        <v>0</v>
      </c>
      <c r="L967" t="s">
        <v>8</v>
      </c>
      <c r="M967" t="s">
        <v>7</v>
      </c>
      <c r="N967" t="s">
        <v>8</v>
      </c>
      <c r="P967">
        <f t="shared" si="1019"/>
        <v>0.57657657657657813</v>
      </c>
      <c r="Q967">
        <f t="shared" si="1020"/>
        <v>910932.54918919154</v>
      </c>
      <c r="R967">
        <f t="shared" si="1021"/>
        <v>8390958.980141066</v>
      </c>
      <c r="S967">
        <f t="shared" si="1022"/>
        <v>83.909589801410661</v>
      </c>
      <c r="T967">
        <f t="shared" si="1023"/>
        <v>8.3909589801410667E-2</v>
      </c>
    </row>
    <row r="968" spans="1:20" x14ac:dyDescent="0.25">
      <c r="A968" s="5">
        <v>43625</v>
      </c>
      <c r="B968">
        <v>0.33650000000000002</v>
      </c>
      <c r="C968">
        <v>0.33789999999999998</v>
      </c>
      <c r="D968">
        <v>0.30880000000000002</v>
      </c>
      <c r="E968">
        <v>0.31319999999999998</v>
      </c>
      <c r="F968">
        <v>2012983.44</v>
      </c>
      <c r="G968">
        <v>0</v>
      </c>
      <c r="L968" t="s">
        <v>7</v>
      </c>
      <c r="M968" t="s">
        <v>7</v>
      </c>
      <c r="N968" t="s">
        <v>8</v>
      </c>
      <c r="P968">
        <f t="shared" si="1019"/>
        <v>-0.69759450171821547</v>
      </c>
      <c r="Q968">
        <f t="shared" si="1020"/>
        <v>-1404246.1797938193</v>
      </c>
      <c r="R968">
        <f t="shared" si="1021"/>
        <v>7480026.4309518747</v>
      </c>
      <c r="S968">
        <f t="shared" si="1022"/>
        <v>74.800264309518752</v>
      </c>
      <c r="T968">
        <f t="shared" si="1023"/>
        <v>7.4800264309518749E-2</v>
      </c>
    </row>
    <row r="969" spans="1:20" x14ac:dyDescent="0.25">
      <c r="A969" s="5">
        <v>43624</v>
      </c>
      <c r="B969">
        <v>0.33289999999999997</v>
      </c>
      <c r="C969">
        <v>0.375</v>
      </c>
      <c r="D969">
        <v>0.32900000000000001</v>
      </c>
      <c r="E969">
        <v>0.33550000000000002</v>
      </c>
      <c r="F969">
        <v>6028868.5999999996</v>
      </c>
      <c r="G969">
        <v>0</v>
      </c>
      <c r="L969" t="s">
        <v>8</v>
      </c>
      <c r="M969" t="s">
        <v>8</v>
      </c>
      <c r="N969" t="s">
        <v>8</v>
      </c>
      <c r="P969">
        <f t="shared" si="1019"/>
        <v>-0.71739130434782572</v>
      </c>
      <c r="Q969">
        <f t="shared" si="1020"/>
        <v>-4325057.9086956494</v>
      </c>
      <c r="R969">
        <f t="shared" si="1021"/>
        <v>8884272.6107456945</v>
      </c>
      <c r="S969">
        <f t="shared" si="1022"/>
        <v>88.84272610745694</v>
      </c>
      <c r="T969">
        <f t="shared" si="1023"/>
        <v>8.8842726107456943E-2</v>
      </c>
    </row>
    <row r="970" spans="1:20" x14ac:dyDescent="0.25">
      <c r="A970" s="5">
        <v>43623</v>
      </c>
      <c r="B970">
        <v>0.32119999999999999</v>
      </c>
      <c r="C970">
        <v>0.33900000000000002</v>
      </c>
      <c r="D970">
        <v>0.31690000000000002</v>
      </c>
      <c r="E970">
        <v>0.33260000000000001</v>
      </c>
      <c r="F970">
        <v>1223611.56</v>
      </c>
      <c r="G970">
        <v>0</v>
      </c>
      <c r="L970" t="s">
        <v>8</v>
      </c>
      <c r="M970" t="s">
        <v>7</v>
      </c>
      <c r="N970" t="s">
        <v>8</v>
      </c>
      <c r="P970">
        <f t="shared" si="1019"/>
        <v>0.42081447963800778</v>
      </c>
      <c r="Q970">
        <f t="shared" si="1020"/>
        <v>514913.46190045093</v>
      </c>
      <c r="R970">
        <f t="shared" si="1021"/>
        <v>13209330.519441344</v>
      </c>
      <c r="S970">
        <f t="shared" si="1022"/>
        <v>132.09330519441343</v>
      </c>
      <c r="T970">
        <f t="shared" si="1023"/>
        <v>0.13209330519441342</v>
      </c>
    </row>
    <row r="971" spans="1:20" x14ac:dyDescent="0.25">
      <c r="A971" s="5">
        <v>43622</v>
      </c>
      <c r="B971">
        <v>0.31330000000000002</v>
      </c>
      <c r="C971">
        <v>0.33</v>
      </c>
      <c r="D971">
        <v>0.30570000000000003</v>
      </c>
      <c r="E971">
        <v>0.32050000000000001</v>
      </c>
      <c r="F971">
        <v>1722937.74</v>
      </c>
      <c r="G971">
        <v>0</v>
      </c>
      <c r="L971" t="s">
        <v>8</v>
      </c>
      <c r="M971" t="s">
        <v>7</v>
      </c>
      <c r="N971" t="s">
        <v>8</v>
      </c>
      <c r="P971">
        <f t="shared" si="1019"/>
        <v>0.21810699588477259</v>
      </c>
      <c r="Q971">
        <f t="shared" si="1020"/>
        <v>375784.77456789935</v>
      </c>
      <c r="R971">
        <f t="shared" si="1021"/>
        <v>12694417.057540894</v>
      </c>
      <c r="S971">
        <f t="shared" si="1022"/>
        <v>126.94417057540893</v>
      </c>
      <c r="T971">
        <f t="shared" si="1023"/>
        <v>0.12694417057540894</v>
      </c>
    </row>
    <row r="972" spans="1:20" x14ac:dyDescent="0.25">
      <c r="A972" s="5">
        <v>43621</v>
      </c>
      <c r="B972">
        <v>0.30349999999999999</v>
      </c>
      <c r="C972">
        <v>0.3201</v>
      </c>
      <c r="D972">
        <v>0.30070000000000002</v>
      </c>
      <c r="E972">
        <v>0.31430000000000002</v>
      </c>
      <c r="F972">
        <v>1104596.5</v>
      </c>
      <c r="G972">
        <v>0</v>
      </c>
      <c r="L972" t="s">
        <v>8</v>
      </c>
      <c r="M972" t="s">
        <v>7</v>
      </c>
      <c r="N972" t="s">
        <v>8</v>
      </c>
      <c r="P972">
        <f t="shared" si="1019"/>
        <v>0.40206185567010516</v>
      </c>
      <c r="Q972">
        <f t="shared" si="1020"/>
        <v>444116.11855670332</v>
      </c>
      <c r="R972">
        <f t="shared" si="1021"/>
        <v>12318632.282972993</v>
      </c>
      <c r="S972">
        <f t="shared" si="1022"/>
        <v>123.18632282972993</v>
      </c>
      <c r="T972">
        <f t="shared" si="1023"/>
        <v>0.12318632282972994</v>
      </c>
    </row>
    <row r="973" spans="1:20" x14ac:dyDescent="0.25">
      <c r="A973" s="5">
        <v>43620</v>
      </c>
      <c r="B973">
        <v>0.31519999999999998</v>
      </c>
      <c r="C973">
        <v>0.32069999999999999</v>
      </c>
      <c r="D973">
        <v>0.2928</v>
      </c>
      <c r="E973">
        <v>0.30380000000000001</v>
      </c>
      <c r="F973">
        <v>1887051.05</v>
      </c>
      <c r="G973">
        <v>0</v>
      </c>
      <c r="L973" t="s">
        <v>7</v>
      </c>
      <c r="M973" t="s">
        <v>7</v>
      </c>
      <c r="N973" t="s">
        <v>8</v>
      </c>
      <c r="P973">
        <f t="shared" si="1019"/>
        <v>-0.21146953405017796</v>
      </c>
      <c r="Q973">
        <f t="shared" si="1020"/>
        <v>-399053.80627239909</v>
      </c>
      <c r="R973">
        <f t="shared" si="1021"/>
        <v>11874516.164416291</v>
      </c>
      <c r="S973">
        <f t="shared" si="1022"/>
        <v>118.74516164416291</v>
      </c>
      <c r="T973">
        <f t="shared" si="1023"/>
        <v>0.11874516164416291</v>
      </c>
    </row>
    <row r="974" spans="1:20" x14ac:dyDescent="0.25">
      <c r="A974" s="5">
        <v>43619</v>
      </c>
      <c r="B974">
        <v>0.3407</v>
      </c>
      <c r="C974">
        <v>0.34439999999999998</v>
      </c>
      <c r="D974">
        <v>0.31180000000000002</v>
      </c>
      <c r="E974">
        <v>0.31690000000000002</v>
      </c>
      <c r="F974">
        <v>2017373.6</v>
      </c>
      <c r="G974">
        <v>0</v>
      </c>
      <c r="L974" t="s">
        <v>7</v>
      </c>
      <c r="M974" t="s">
        <v>8</v>
      </c>
      <c r="N974" t="s">
        <v>8</v>
      </c>
      <c r="P974">
        <f t="shared" si="1019"/>
        <v>-0.68711656441717794</v>
      </c>
      <c r="Q974">
        <f t="shared" si="1020"/>
        <v>-1386170.8171779143</v>
      </c>
      <c r="R974">
        <f t="shared" si="1021"/>
        <v>12273569.97068869</v>
      </c>
      <c r="S974">
        <f t="shared" si="1022"/>
        <v>122.73569970688689</v>
      </c>
      <c r="T974">
        <f t="shared" si="1023"/>
        <v>0.12273569970688689</v>
      </c>
    </row>
    <row r="975" spans="1:20" x14ac:dyDescent="0.25">
      <c r="A975" s="5">
        <v>43618</v>
      </c>
      <c r="B975">
        <v>0.33479999999999999</v>
      </c>
      <c r="C975">
        <v>0.34189999999999998</v>
      </c>
      <c r="D975">
        <v>0.33150000000000002</v>
      </c>
      <c r="E975">
        <v>0.34050000000000002</v>
      </c>
      <c r="F975">
        <v>1413782.07</v>
      </c>
      <c r="G975">
        <v>0</v>
      </c>
      <c r="L975" t="s">
        <v>8</v>
      </c>
      <c r="M975" t="s">
        <v>8</v>
      </c>
      <c r="N975" t="s">
        <v>8</v>
      </c>
      <c r="P975">
        <f t="shared" si="1019"/>
        <v>0.73076923076923817</v>
      </c>
      <c r="Q975">
        <f t="shared" si="1020"/>
        <v>1033148.4357692413</v>
      </c>
      <c r="R975">
        <f t="shared" si="1021"/>
        <v>13659740.787866604</v>
      </c>
      <c r="S975">
        <f t="shared" si="1022"/>
        <v>136.59740787866605</v>
      </c>
      <c r="T975">
        <f t="shared" si="1023"/>
        <v>0.13659740787866606</v>
      </c>
    </row>
    <row r="976" spans="1:20" x14ac:dyDescent="0.25">
      <c r="A976" s="5">
        <v>43617</v>
      </c>
      <c r="B976">
        <v>0.34300000000000003</v>
      </c>
      <c r="C976">
        <v>0.34499999999999997</v>
      </c>
      <c r="D976">
        <v>0.33069999999999999</v>
      </c>
      <c r="E976">
        <v>0.33310000000000001</v>
      </c>
      <c r="F976">
        <v>1140980.46</v>
      </c>
      <c r="G976">
        <v>0</v>
      </c>
      <c r="L976" t="s">
        <v>8</v>
      </c>
      <c r="M976" t="s">
        <v>8</v>
      </c>
      <c r="N976" t="s">
        <v>8</v>
      </c>
      <c r="P976">
        <f t="shared" si="1019"/>
        <v>-0.66433566433566205</v>
      </c>
      <c r="Q976">
        <f t="shared" si="1020"/>
        <v>-757994.01188810926</v>
      </c>
      <c r="R976">
        <f t="shared" si="1021"/>
        <v>12626592.352097362</v>
      </c>
      <c r="S976">
        <f t="shared" si="1022"/>
        <v>126.26592352097363</v>
      </c>
      <c r="T976">
        <f t="shared" si="1023"/>
        <v>0.12626592352097363</v>
      </c>
    </row>
    <row r="977" spans="1:20" x14ac:dyDescent="0.25">
      <c r="A977" s="5">
        <v>43616</v>
      </c>
      <c r="B977">
        <v>0.32350000000000001</v>
      </c>
      <c r="C977">
        <v>0.34429999999999999</v>
      </c>
      <c r="D977">
        <v>0.31359999999999999</v>
      </c>
      <c r="E977">
        <v>0.34250000000000003</v>
      </c>
      <c r="F977">
        <v>1345327.85</v>
      </c>
      <c r="G977">
        <v>0</v>
      </c>
      <c r="L977" t="s">
        <v>7</v>
      </c>
      <c r="M977" t="s">
        <v>8</v>
      </c>
      <c r="N977" t="s">
        <v>8</v>
      </c>
      <c r="P977">
        <f t="shared" si="1019"/>
        <v>0.88273615635179359</v>
      </c>
      <c r="Q977">
        <f t="shared" si="1020"/>
        <v>1187569.5353420223</v>
      </c>
      <c r="R977">
        <f t="shared" si="1021"/>
        <v>13384586.363985471</v>
      </c>
      <c r="S977">
        <f t="shared" si="1022"/>
        <v>133.84586363985471</v>
      </c>
      <c r="T977">
        <f t="shared" si="1023"/>
        <v>0.13384586363985471</v>
      </c>
    </row>
    <row r="978" spans="1:20" x14ac:dyDescent="0.25">
      <c r="A978" s="5">
        <v>43615</v>
      </c>
      <c r="B978">
        <v>0.34310000000000002</v>
      </c>
      <c r="C978">
        <v>0.372</v>
      </c>
      <c r="D978">
        <v>0.31019999999999998</v>
      </c>
      <c r="E978">
        <v>0.32390000000000002</v>
      </c>
      <c r="F978">
        <v>5558461.5199999996</v>
      </c>
      <c r="G978">
        <v>0</v>
      </c>
      <c r="L978" t="s">
        <v>8</v>
      </c>
      <c r="M978" t="s">
        <v>8</v>
      </c>
      <c r="N978" t="s">
        <v>8</v>
      </c>
      <c r="P978">
        <f t="shared" si="1019"/>
        <v>-0.55663430420711846</v>
      </c>
      <c r="Q978">
        <f t="shared" si="1020"/>
        <v>-3094030.3606472416</v>
      </c>
      <c r="R978">
        <f t="shared" si="1021"/>
        <v>12197016.828643449</v>
      </c>
      <c r="S978">
        <f t="shared" si="1022"/>
        <v>121.97016828643449</v>
      </c>
      <c r="T978">
        <f t="shared" si="1023"/>
        <v>0.12197016828643449</v>
      </c>
    </row>
    <row r="979" spans="1:20" x14ac:dyDescent="0.25">
      <c r="A979" s="5">
        <v>43614</v>
      </c>
      <c r="B979">
        <v>0.33560000000000001</v>
      </c>
      <c r="C979">
        <v>0.3579</v>
      </c>
      <c r="D979">
        <v>0.3221</v>
      </c>
      <c r="E979">
        <v>0.34260000000000002</v>
      </c>
      <c r="F979">
        <v>3119988.12</v>
      </c>
      <c r="G979">
        <v>0</v>
      </c>
      <c r="L979" t="s">
        <v>8</v>
      </c>
      <c r="M979" t="s">
        <v>8</v>
      </c>
      <c r="N979" t="s">
        <v>8</v>
      </c>
      <c r="P979">
        <f t="shared" si="1019"/>
        <v>0.14525139664804576</v>
      </c>
      <c r="Q979">
        <f t="shared" si="1020"/>
        <v>453182.63195531059</v>
      </c>
      <c r="R979">
        <f t="shared" si="1021"/>
        <v>15291047.189290689</v>
      </c>
      <c r="S979">
        <f t="shared" si="1022"/>
        <v>152.91047189290688</v>
      </c>
      <c r="T979">
        <f t="shared" si="1023"/>
        <v>0.15291047189290688</v>
      </c>
    </row>
    <row r="980" spans="1:20" x14ac:dyDescent="0.25">
      <c r="A980" s="5">
        <v>43613</v>
      </c>
      <c r="B980">
        <v>0.33579999999999999</v>
      </c>
      <c r="C980">
        <v>0.34050000000000002</v>
      </c>
      <c r="D980">
        <v>0.32690000000000002</v>
      </c>
      <c r="E980">
        <v>0.33560000000000001</v>
      </c>
      <c r="F980">
        <v>1710854.08</v>
      </c>
      <c r="G980">
        <v>0</v>
      </c>
      <c r="L980" t="s">
        <v>8</v>
      </c>
      <c r="M980" t="s">
        <v>7</v>
      </c>
      <c r="N980" t="s">
        <v>8</v>
      </c>
      <c r="P980">
        <f t="shared" si="1019"/>
        <v>0.27941176470588014</v>
      </c>
      <c r="Q980">
        <f t="shared" si="1020"/>
        <v>478032.75764705508</v>
      </c>
      <c r="R980">
        <f t="shared" si="1021"/>
        <v>14837864.557335379</v>
      </c>
      <c r="S980">
        <f t="shared" si="1022"/>
        <v>148.37864557335379</v>
      </c>
      <c r="T980">
        <f t="shared" si="1023"/>
        <v>0.14837864557335378</v>
      </c>
    </row>
    <row r="981" spans="1:20" x14ac:dyDescent="0.25">
      <c r="A981" s="5">
        <v>43612</v>
      </c>
      <c r="B981">
        <v>0.32469999999999999</v>
      </c>
      <c r="C981">
        <v>0.33979999999999999</v>
      </c>
      <c r="D981">
        <v>0.32219999999999999</v>
      </c>
      <c r="E981">
        <v>0.33539999999999998</v>
      </c>
      <c r="F981">
        <v>2021725.83</v>
      </c>
      <c r="G981">
        <v>0</v>
      </c>
      <c r="L981" t="s">
        <v>8</v>
      </c>
      <c r="M981" t="s">
        <v>7</v>
      </c>
      <c r="N981" t="s">
        <v>8</v>
      </c>
      <c r="P981">
        <f t="shared" si="1019"/>
        <v>0.49999999999999845</v>
      </c>
      <c r="Q981">
        <f t="shared" si="1020"/>
        <v>1010862.9149999969</v>
      </c>
      <c r="R981">
        <f t="shared" si="1021"/>
        <v>14359831.799688324</v>
      </c>
      <c r="S981">
        <f t="shared" si="1022"/>
        <v>143.59831799688325</v>
      </c>
      <c r="T981">
        <f t="shared" si="1023"/>
        <v>0.14359831799688325</v>
      </c>
    </row>
    <row r="982" spans="1:20" x14ac:dyDescent="0.25">
      <c r="A982" s="5">
        <v>43611</v>
      </c>
      <c r="B982">
        <v>0.3231</v>
      </c>
      <c r="C982">
        <v>0.32900000000000001</v>
      </c>
      <c r="D982">
        <v>0.30880000000000002</v>
      </c>
      <c r="E982">
        <v>0.32469999999999999</v>
      </c>
      <c r="F982">
        <v>1402564.24</v>
      </c>
      <c r="G982">
        <v>0</v>
      </c>
      <c r="L982" t="s">
        <v>7</v>
      </c>
      <c r="M982" t="s">
        <v>7</v>
      </c>
      <c r="N982" t="s">
        <v>8</v>
      </c>
      <c r="P982">
        <f t="shared" si="1019"/>
        <v>0.57425742574257155</v>
      </c>
      <c r="Q982">
        <f t="shared" si="1020"/>
        <v>805432.92990098626</v>
      </c>
      <c r="R982">
        <f t="shared" si="1021"/>
        <v>13348968.884688327</v>
      </c>
      <c r="S982">
        <f t="shared" si="1022"/>
        <v>133.48968884688327</v>
      </c>
      <c r="T982">
        <f t="shared" si="1023"/>
        <v>0.13348968884688328</v>
      </c>
    </row>
    <row r="983" spans="1:20" x14ac:dyDescent="0.25">
      <c r="A983" s="5">
        <v>43610</v>
      </c>
      <c r="B983">
        <v>0.31430000000000002</v>
      </c>
      <c r="C983">
        <v>0.32350000000000001</v>
      </c>
      <c r="D983">
        <v>0.31090000000000001</v>
      </c>
      <c r="E983">
        <v>0.3216</v>
      </c>
      <c r="F983">
        <v>1047736.45</v>
      </c>
      <c r="G983">
        <v>0</v>
      </c>
      <c r="L983" t="s">
        <v>7</v>
      </c>
      <c r="M983" t="s">
        <v>7</v>
      </c>
      <c r="N983" t="s">
        <v>8</v>
      </c>
      <c r="P983">
        <f t="shared" si="1019"/>
        <v>0.69841269841269638</v>
      </c>
      <c r="Q983">
        <f t="shared" si="1020"/>
        <v>731752.44126983907</v>
      </c>
      <c r="R983">
        <f t="shared" si="1021"/>
        <v>12543535.95478734</v>
      </c>
      <c r="S983">
        <f t="shared" si="1022"/>
        <v>125.4353595478734</v>
      </c>
      <c r="T983">
        <f t="shared" si="1023"/>
        <v>0.12543535954787341</v>
      </c>
    </row>
    <row r="984" spans="1:20" x14ac:dyDescent="0.25">
      <c r="A984" s="5">
        <v>43609</v>
      </c>
      <c r="B984">
        <v>0.313</v>
      </c>
      <c r="C984">
        <v>0.34100000000000003</v>
      </c>
      <c r="D984">
        <v>0.30609999999999998</v>
      </c>
      <c r="E984">
        <v>0.31440000000000001</v>
      </c>
      <c r="F984">
        <v>1926233.21</v>
      </c>
      <c r="G984">
        <v>0</v>
      </c>
      <c r="L984" t="s">
        <v>8</v>
      </c>
      <c r="M984" t="s">
        <v>7</v>
      </c>
      <c r="N984" t="s">
        <v>8</v>
      </c>
      <c r="P984">
        <f t="shared" si="1019"/>
        <v>-0.52435530085959769</v>
      </c>
      <c r="Q984">
        <f t="shared" si="1020"/>
        <v>-1010030.5943552986</v>
      </c>
      <c r="R984">
        <f t="shared" si="1021"/>
        <v>11811783.513517501</v>
      </c>
      <c r="S984">
        <f t="shared" si="1022"/>
        <v>118.11783513517501</v>
      </c>
      <c r="T984">
        <f t="shared" si="1023"/>
        <v>0.11811783513517501</v>
      </c>
    </row>
    <row r="985" spans="1:20" x14ac:dyDescent="0.25">
      <c r="A985" s="5">
        <v>43608</v>
      </c>
      <c r="B985">
        <v>0.30259999999999998</v>
      </c>
      <c r="C985">
        <v>0.31509999999999999</v>
      </c>
      <c r="D985">
        <v>0.2918</v>
      </c>
      <c r="E985">
        <v>0.313</v>
      </c>
      <c r="F985">
        <v>2292166.2799999998</v>
      </c>
      <c r="G985">
        <v>0</v>
      </c>
      <c r="L985" t="s">
        <v>7</v>
      </c>
      <c r="M985" t="s">
        <v>7</v>
      </c>
      <c r="N985" t="s">
        <v>8</v>
      </c>
      <c r="P985">
        <f t="shared" si="1019"/>
        <v>0.81974248927038695</v>
      </c>
      <c r="Q985">
        <f t="shared" si="1020"/>
        <v>1878986.0921888426</v>
      </c>
      <c r="R985">
        <f t="shared" si="1021"/>
        <v>12821814.107872799</v>
      </c>
      <c r="S985">
        <f t="shared" si="1022"/>
        <v>128.218141078728</v>
      </c>
      <c r="T985">
        <f t="shared" si="1023"/>
        <v>0.128218141078728</v>
      </c>
    </row>
    <row r="986" spans="1:20" x14ac:dyDescent="0.25">
      <c r="A986" s="5">
        <v>43607</v>
      </c>
      <c r="B986">
        <v>0.33079999999999998</v>
      </c>
      <c r="C986">
        <v>0.3362</v>
      </c>
      <c r="D986">
        <v>0.29780000000000001</v>
      </c>
      <c r="E986">
        <v>0.30259999999999998</v>
      </c>
      <c r="F986">
        <v>2128621.25</v>
      </c>
      <c r="G986">
        <v>0</v>
      </c>
      <c r="L986" t="s">
        <v>7</v>
      </c>
      <c r="M986" t="s">
        <v>7</v>
      </c>
      <c r="N986" t="s">
        <v>8</v>
      </c>
      <c r="P986">
        <f t="shared" si="1019"/>
        <v>-0.75000000000000144</v>
      </c>
      <c r="Q986">
        <f t="shared" si="1020"/>
        <v>-1596465.937500003</v>
      </c>
      <c r="R986">
        <f t="shared" si="1021"/>
        <v>10942828.015683956</v>
      </c>
      <c r="S986">
        <f t="shared" si="1022"/>
        <v>109.42828015683956</v>
      </c>
      <c r="T986">
        <f t="shared" si="1023"/>
        <v>0.10942828015683956</v>
      </c>
    </row>
    <row r="987" spans="1:20" x14ac:dyDescent="0.25">
      <c r="A987" s="5">
        <v>43606</v>
      </c>
      <c r="B987">
        <v>0.31719999999999998</v>
      </c>
      <c r="C987">
        <v>0.33260000000000001</v>
      </c>
      <c r="D987">
        <v>0.30790000000000001</v>
      </c>
      <c r="E987">
        <v>0.33079999999999998</v>
      </c>
      <c r="F987">
        <v>2748098.82</v>
      </c>
      <c r="G987">
        <v>0</v>
      </c>
      <c r="L987" t="s">
        <v>8</v>
      </c>
      <c r="M987" t="s">
        <v>7</v>
      </c>
      <c r="N987" t="s">
        <v>8</v>
      </c>
      <c r="P987">
        <f t="shared" si="1019"/>
        <v>0.85425101214574706</v>
      </c>
      <c r="Q987">
        <f t="shared" si="1020"/>
        <v>2347566.1984615331</v>
      </c>
      <c r="R987">
        <f t="shared" si="1021"/>
        <v>12539293.95318396</v>
      </c>
      <c r="S987">
        <f t="shared" si="1022"/>
        <v>125.3929395318396</v>
      </c>
      <c r="T987">
        <f t="shared" si="1023"/>
        <v>0.12539293953183961</v>
      </c>
    </row>
    <row r="988" spans="1:20" x14ac:dyDescent="0.25">
      <c r="A988" s="5">
        <v>43605</v>
      </c>
      <c r="B988">
        <v>0.33510000000000001</v>
      </c>
      <c r="C988">
        <v>0.33579999999999999</v>
      </c>
      <c r="D988">
        <v>0.3034</v>
      </c>
      <c r="E988">
        <v>0.31740000000000002</v>
      </c>
      <c r="F988">
        <v>1890776.09</v>
      </c>
      <c r="G988">
        <v>0</v>
      </c>
      <c r="L988" t="s">
        <v>7</v>
      </c>
      <c r="M988" t="s">
        <v>7</v>
      </c>
      <c r="N988" t="s">
        <v>8</v>
      </c>
      <c r="P988">
        <f t="shared" si="1019"/>
        <v>-0.1358024691358013</v>
      </c>
      <c r="Q988">
        <f t="shared" si="1020"/>
        <v>-256772.06160493605</v>
      </c>
      <c r="R988">
        <f t="shared" si="1021"/>
        <v>10191727.754722428</v>
      </c>
      <c r="S988">
        <f t="shared" si="1022"/>
        <v>101.91727754722427</v>
      </c>
      <c r="T988">
        <f t="shared" si="1023"/>
        <v>0.10191727754722427</v>
      </c>
    </row>
    <row r="989" spans="1:20" x14ac:dyDescent="0.25">
      <c r="A989" s="5">
        <v>43604</v>
      </c>
      <c r="B989">
        <v>0.32369999999999999</v>
      </c>
      <c r="C989">
        <v>0.34150000000000003</v>
      </c>
      <c r="D989">
        <v>0.32119999999999999</v>
      </c>
      <c r="E989">
        <v>0.33660000000000001</v>
      </c>
      <c r="F989">
        <v>2753330.86</v>
      </c>
      <c r="G989">
        <v>0</v>
      </c>
      <c r="L989" t="s">
        <v>8</v>
      </c>
      <c r="M989" t="s">
        <v>7</v>
      </c>
      <c r="N989" t="s">
        <v>8</v>
      </c>
      <c r="P989">
        <f t="shared" si="1019"/>
        <v>0.51724137931034431</v>
      </c>
      <c r="Q989">
        <f t="shared" si="1020"/>
        <v>1424136.6517241364</v>
      </c>
      <c r="R989">
        <f t="shared" si="1021"/>
        <v>10448499.816327363</v>
      </c>
      <c r="S989">
        <f t="shared" si="1022"/>
        <v>104.48499816327363</v>
      </c>
      <c r="T989">
        <f t="shared" si="1023"/>
        <v>0.10448499816327363</v>
      </c>
    </row>
    <row r="990" spans="1:20" x14ac:dyDescent="0.25">
      <c r="A990" s="5">
        <v>43603</v>
      </c>
      <c r="B990">
        <v>0.31409999999999999</v>
      </c>
      <c r="C990">
        <v>0.3387</v>
      </c>
      <c r="D990">
        <v>0.30659999999999998</v>
      </c>
      <c r="E990">
        <v>0.32419999999999999</v>
      </c>
      <c r="F990">
        <v>1693098.11</v>
      </c>
      <c r="G990">
        <v>0</v>
      </c>
      <c r="L990" t="s">
        <v>8</v>
      </c>
      <c r="M990" t="s">
        <v>7</v>
      </c>
      <c r="N990" t="s">
        <v>8</v>
      </c>
      <c r="P990">
        <f t="shared" si="1019"/>
        <v>9.6573208722741125E-2</v>
      </c>
      <c r="Q990">
        <f t="shared" si="1020"/>
        <v>163507.91716510852</v>
      </c>
      <c r="R990">
        <f t="shared" si="1021"/>
        <v>9024363.1646032259</v>
      </c>
      <c r="S990">
        <f t="shared" si="1022"/>
        <v>90.243631646032256</v>
      </c>
      <c r="T990">
        <f t="shared" si="1023"/>
        <v>9.024363164603226E-2</v>
      </c>
    </row>
    <row r="991" spans="1:20" x14ac:dyDescent="0.25">
      <c r="A991" s="5">
        <v>43602</v>
      </c>
      <c r="B991">
        <v>0.33500000000000002</v>
      </c>
      <c r="C991">
        <v>0.33900000000000002</v>
      </c>
      <c r="D991">
        <v>0.29199999999999998</v>
      </c>
      <c r="E991">
        <v>0.31259999999999999</v>
      </c>
      <c r="F991">
        <v>3286576.8</v>
      </c>
      <c r="G991">
        <v>0</v>
      </c>
      <c r="L991" t="s">
        <v>7</v>
      </c>
      <c r="M991" t="s">
        <v>7</v>
      </c>
      <c r="N991" t="s">
        <v>8</v>
      </c>
      <c r="P991">
        <f t="shared" si="1019"/>
        <v>-0.12340425531914941</v>
      </c>
      <c r="Q991">
        <f t="shared" si="1020"/>
        <v>-405577.56255319301</v>
      </c>
      <c r="R991">
        <f t="shared" si="1021"/>
        <v>8860855.2474381179</v>
      </c>
      <c r="S991">
        <f t="shared" si="1022"/>
        <v>88.608552474381185</v>
      </c>
      <c r="T991">
        <f t="shared" si="1023"/>
        <v>8.860855247438118E-2</v>
      </c>
    </row>
    <row r="992" spans="1:20" x14ac:dyDescent="0.25">
      <c r="A992" s="5">
        <v>43601</v>
      </c>
      <c r="B992">
        <v>0.36149999999999999</v>
      </c>
      <c r="C992">
        <v>0.3785</v>
      </c>
      <c r="D992">
        <v>0.32300000000000001</v>
      </c>
      <c r="E992">
        <v>0.33410000000000001</v>
      </c>
      <c r="F992">
        <v>3915738.15</v>
      </c>
      <c r="G992">
        <v>0</v>
      </c>
      <c r="L992" t="s">
        <v>7</v>
      </c>
      <c r="M992" t="s">
        <v>8</v>
      </c>
      <c r="N992" t="s">
        <v>8</v>
      </c>
      <c r="P992">
        <f t="shared" si="1019"/>
        <v>-0.6</v>
      </c>
      <c r="Q992">
        <f t="shared" si="1020"/>
        <v>-2349442.8899999997</v>
      </c>
      <c r="R992">
        <f t="shared" si="1021"/>
        <v>9266432.8099913113</v>
      </c>
      <c r="S992">
        <f t="shared" si="1022"/>
        <v>92.664328099913106</v>
      </c>
      <c r="T992">
        <f t="shared" si="1023"/>
        <v>9.266432809991311E-2</v>
      </c>
    </row>
    <row r="993" spans="1:20" x14ac:dyDescent="0.25">
      <c r="A993" s="5">
        <v>43600</v>
      </c>
      <c r="B993">
        <v>0.30020000000000002</v>
      </c>
      <c r="C993">
        <v>0.37619999999999998</v>
      </c>
      <c r="D993">
        <v>0.30020000000000002</v>
      </c>
      <c r="E993">
        <v>0.36199999999999999</v>
      </c>
      <c r="F993">
        <v>5003636.74</v>
      </c>
      <c r="G993">
        <v>0</v>
      </c>
      <c r="L993" t="s">
        <v>8</v>
      </c>
      <c r="M993" t="s">
        <v>8</v>
      </c>
      <c r="N993" t="s">
        <v>8</v>
      </c>
      <c r="P993">
        <f t="shared" si="1019"/>
        <v>0.62631578947368427</v>
      </c>
      <c r="Q993">
        <f t="shared" si="1020"/>
        <v>3133856.6950526321</v>
      </c>
      <c r="R993">
        <f t="shared" si="1021"/>
        <v>11615875.699991312</v>
      </c>
      <c r="S993">
        <f t="shared" si="1022"/>
        <v>116.15875699991312</v>
      </c>
      <c r="T993">
        <f t="shared" si="1023"/>
        <v>0.11615875699991313</v>
      </c>
    </row>
    <row r="994" spans="1:20" x14ac:dyDescent="0.25">
      <c r="A994" s="5">
        <v>43599</v>
      </c>
      <c r="B994">
        <v>0.27879999999999999</v>
      </c>
      <c r="C994">
        <v>0.3044</v>
      </c>
      <c r="D994">
        <v>0.27550000000000002</v>
      </c>
      <c r="E994">
        <v>0.30020000000000002</v>
      </c>
      <c r="F994">
        <v>2445413.0699999998</v>
      </c>
      <c r="G994">
        <v>0</v>
      </c>
      <c r="L994" t="s">
        <v>8</v>
      </c>
      <c r="M994" t="s">
        <v>8</v>
      </c>
      <c r="N994" t="s">
        <v>7</v>
      </c>
      <c r="P994">
        <f t="shared" si="1019"/>
        <v>0.70934256055363432</v>
      </c>
      <c r="Q994">
        <f t="shared" si="1020"/>
        <v>1734635.5686851237</v>
      </c>
      <c r="R994">
        <f t="shared" si="1021"/>
        <v>8482019.0049386788</v>
      </c>
      <c r="S994">
        <f t="shared" si="1022"/>
        <v>84.820190049386781</v>
      </c>
      <c r="T994">
        <f t="shared" si="1023"/>
        <v>8.4820190049386776E-2</v>
      </c>
    </row>
    <row r="995" spans="1:20" x14ac:dyDescent="0.25">
      <c r="A995" s="5">
        <v>43598</v>
      </c>
      <c r="B995">
        <v>0.27050000000000002</v>
      </c>
      <c r="C995">
        <v>0.29139999999999999</v>
      </c>
      <c r="D995">
        <v>0.27050000000000002</v>
      </c>
      <c r="E995">
        <v>0.27760000000000001</v>
      </c>
      <c r="F995">
        <v>1079004.96</v>
      </c>
      <c r="G995">
        <v>0</v>
      </c>
      <c r="L995" t="s">
        <v>8</v>
      </c>
      <c r="M995" t="s">
        <v>8</v>
      </c>
      <c r="N995" t="s">
        <v>7</v>
      </c>
      <c r="P995">
        <f t="shared" si="1019"/>
        <v>-0.32057416267942546</v>
      </c>
      <c r="Q995">
        <f t="shared" si="1020"/>
        <v>-345901.11157894693</v>
      </c>
      <c r="R995">
        <f t="shared" si="1021"/>
        <v>6747383.4362535551</v>
      </c>
      <c r="S995">
        <f t="shared" si="1022"/>
        <v>67.473834362535555</v>
      </c>
      <c r="T995">
        <f t="shared" si="1023"/>
        <v>6.7473834362535554E-2</v>
      </c>
    </row>
    <row r="996" spans="1:20" x14ac:dyDescent="0.25">
      <c r="A996" s="5">
        <v>43597</v>
      </c>
      <c r="B996">
        <v>0.28839999999999999</v>
      </c>
      <c r="C996">
        <v>0.29360000000000003</v>
      </c>
      <c r="D996">
        <v>0.26229999999999998</v>
      </c>
      <c r="E996">
        <v>0.2737</v>
      </c>
      <c r="F996">
        <v>2042525.2</v>
      </c>
      <c r="G996">
        <v>0</v>
      </c>
      <c r="L996" t="s">
        <v>7</v>
      </c>
      <c r="M996" t="s">
        <v>8</v>
      </c>
      <c r="N996" t="s">
        <v>7</v>
      </c>
      <c r="P996">
        <f t="shared" si="1019"/>
        <v>-0.27156549520766754</v>
      </c>
      <c r="Q996">
        <f t="shared" si="1020"/>
        <v>-554679.36741214013</v>
      </c>
      <c r="R996">
        <f t="shared" si="1021"/>
        <v>7093284.5478325021</v>
      </c>
      <c r="S996">
        <f t="shared" si="1022"/>
        <v>70.932845478325021</v>
      </c>
      <c r="T996">
        <f t="shared" si="1023"/>
        <v>7.0932845478325027E-2</v>
      </c>
    </row>
    <row r="997" spans="1:20" x14ac:dyDescent="0.25">
      <c r="A997" s="5">
        <v>43596</v>
      </c>
      <c r="B997">
        <v>0.26419999999999999</v>
      </c>
      <c r="C997">
        <v>0.30659999999999998</v>
      </c>
      <c r="D997">
        <v>0.26279999999999998</v>
      </c>
      <c r="E997">
        <v>0.28839999999999999</v>
      </c>
      <c r="F997">
        <v>2113995.1800000002</v>
      </c>
      <c r="G997">
        <v>0</v>
      </c>
      <c r="L997" t="s">
        <v>8</v>
      </c>
      <c r="M997" t="s">
        <v>8</v>
      </c>
      <c r="N997" t="s">
        <v>7</v>
      </c>
      <c r="P997">
        <f t="shared" si="1019"/>
        <v>0.1689497716894981</v>
      </c>
      <c r="Q997">
        <f t="shared" si="1020"/>
        <v>357159.00301369943</v>
      </c>
      <c r="R997">
        <f t="shared" si="1021"/>
        <v>7647963.9152446417</v>
      </c>
      <c r="S997">
        <f t="shared" si="1022"/>
        <v>76.479639152446424</v>
      </c>
      <c r="T997">
        <f t="shared" si="1023"/>
        <v>7.6479639152446419E-2</v>
      </c>
    </row>
    <row r="998" spans="1:20" x14ac:dyDescent="0.25">
      <c r="A998" s="5">
        <v>43595</v>
      </c>
      <c r="B998">
        <v>0.25629999999999997</v>
      </c>
      <c r="C998">
        <v>0.2656</v>
      </c>
      <c r="D998">
        <v>0.2535</v>
      </c>
      <c r="E998">
        <v>0.26379999999999998</v>
      </c>
      <c r="F998">
        <v>687026.18</v>
      </c>
      <c r="G998">
        <v>0</v>
      </c>
      <c r="L998" t="s">
        <v>7</v>
      </c>
      <c r="M998" t="s">
        <v>7</v>
      </c>
      <c r="N998" t="s">
        <v>7</v>
      </c>
      <c r="P998">
        <f t="shared" si="1019"/>
        <v>0.70247933884297131</v>
      </c>
      <c r="Q998">
        <f t="shared" si="1020"/>
        <v>482621.69669421221</v>
      </c>
      <c r="R998">
        <f t="shared" si="1021"/>
        <v>7290804.9122309424</v>
      </c>
      <c r="S998">
        <f t="shared" si="1022"/>
        <v>72.908049122309421</v>
      </c>
      <c r="T998">
        <f t="shared" si="1023"/>
        <v>7.2908049122309415E-2</v>
      </c>
    </row>
    <row r="999" spans="1:20" x14ac:dyDescent="0.25">
      <c r="A999" s="5">
        <v>43594</v>
      </c>
      <c r="B999">
        <v>0.26900000000000002</v>
      </c>
      <c r="C999">
        <v>0.27239999999999998</v>
      </c>
      <c r="D999">
        <v>0.25269999999999998</v>
      </c>
      <c r="E999">
        <v>0.25319999999999998</v>
      </c>
      <c r="F999">
        <v>899510.5</v>
      </c>
      <c r="G999">
        <v>0</v>
      </c>
      <c r="L999" t="s">
        <v>7</v>
      </c>
      <c r="M999" t="s">
        <v>7</v>
      </c>
      <c r="N999" t="s">
        <v>7</v>
      </c>
      <c r="P999">
        <f t="shared" si="1019"/>
        <v>-0.949238578680203</v>
      </c>
      <c r="Q999">
        <f t="shared" si="1020"/>
        <v>-853850.06852791877</v>
      </c>
      <c r="R999">
        <f t="shared" si="1021"/>
        <v>6808183.2155367304</v>
      </c>
      <c r="S999">
        <f t="shared" si="1022"/>
        <v>68.081832155367309</v>
      </c>
      <c r="T999">
        <f t="shared" si="1023"/>
        <v>6.8081832155367311E-2</v>
      </c>
    </row>
    <row r="1000" spans="1:20" x14ac:dyDescent="0.25">
      <c r="A1000" s="5">
        <v>43593</v>
      </c>
      <c r="B1000">
        <v>0.26250000000000001</v>
      </c>
      <c r="C1000">
        <v>0.27200000000000002</v>
      </c>
      <c r="D1000">
        <v>0.26019999999999999</v>
      </c>
      <c r="E1000">
        <v>0.26879999999999998</v>
      </c>
      <c r="F1000">
        <v>479140.56</v>
      </c>
      <c r="G1000">
        <v>0</v>
      </c>
      <c r="L1000" t="s">
        <v>7</v>
      </c>
      <c r="M1000" t="s">
        <v>7</v>
      </c>
      <c r="N1000" t="s">
        <v>7</v>
      </c>
      <c r="P1000">
        <f t="shared" si="1019"/>
        <v>0.45762711864406319</v>
      </c>
      <c r="Q1000">
        <f t="shared" si="1020"/>
        <v>219267.71389830287</v>
      </c>
      <c r="R1000">
        <f t="shared" si="1021"/>
        <v>7662033.2840646487</v>
      </c>
      <c r="S1000">
        <f t="shared" si="1022"/>
        <v>76.620332840646483</v>
      </c>
      <c r="T1000">
        <f t="shared" si="1023"/>
        <v>7.6620332840646482E-2</v>
      </c>
    </row>
    <row r="1001" spans="1:20" x14ac:dyDescent="0.25">
      <c r="A1001" s="5">
        <v>43592</v>
      </c>
      <c r="B1001">
        <v>0.2802</v>
      </c>
      <c r="C1001">
        <v>0.2843</v>
      </c>
      <c r="D1001">
        <v>0.26190000000000002</v>
      </c>
      <c r="E1001">
        <v>0.2621</v>
      </c>
      <c r="F1001">
        <v>699787.36</v>
      </c>
      <c r="G1001">
        <v>0</v>
      </c>
      <c r="L1001" t="s">
        <v>7</v>
      </c>
      <c r="M1001" t="s">
        <v>7</v>
      </c>
      <c r="N1001" t="s">
        <v>7</v>
      </c>
      <c r="P1001">
        <f t="shared" si="1019"/>
        <v>-0.98214285714285909</v>
      </c>
      <c r="Q1001">
        <f t="shared" si="1020"/>
        <v>-687291.15714285849</v>
      </c>
      <c r="R1001">
        <f t="shared" si="1021"/>
        <v>7442765.5701663457</v>
      </c>
      <c r="S1001">
        <f t="shared" si="1022"/>
        <v>74.427655701663454</v>
      </c>
      <c r="T1001">
        <f t="shared" si="1023"/>
        <v>7.4427655701663459E-2</v>
      </c>
    </row>
    <row r="1002" spans="1:20" x14ac:dyDescent="0.25">
      <c r="A1002" s="5">
        <v>43591</v>
      </c>
      <c r="B1002">
        <v>0.26650000000000001</v>
      </c>
      <c r="C1002">
        <v>0.28320000000000001</v>
      </c>
      <c r="D1002">
        <v>0.26150000000000001</v>
      </c>
      <c r="E1002">
        <v>0.27910000000000001</v>
      </c>
      <c r="F1002">
        <v>586129.01</v>
      </c>
      <c r="G1002">
        <v>0</v>
      </c>
      <c r="L1002" t="s">
        <v>8</v>
      </c>
      <c r="M1002" t="s">
        <v>7</v>
      </c>
      <c r="N1002" t="s">
        <v>7</v>
      </c>
      <c r="P1002">
        <f t="shared" si="1019"/>
        <v>0.6221198156682034</v>
      </c>
      <c r="Q1002">
        <f t="shared" si="1020"/>
        <v>364642.47165898653</v>
      </c>
      <c r="R1002">
        <f t="shared" si="1021"/>
        <v>8130056.7273092046</v>
      </c>
      <c r="S1002">
        <f t="shared" si="1022"/>
        <v>81.300567273092042</v>
      </c>
      <c r="T1002">
        <f t="shared" si="1023"/>
        <v>8.1300567273092039E-2</v>
      </c>
    </row>
    <row r="1003" spans="1:20" x14ac:dyDescent="0.25">
      <c r="A1003" s="5">
        <v>43590</v>
      </c>
      <c r="B1003">
        <v>0.26800000000000002</v>
      </c>
      <c r="C1003">
        <v>0.26960000000000001</v>
      </c>
      <c r="D1003">
        <v>0.26350000000000001</v>
      </c>
      <c r="E1003">
        <v>0.2671</v>
      </c>
      <c r="F1003">
        <v>222733.92</v>
      </c>
      <c r="G1003">
        <v>0</v>
      </c>
      <c r="L1003" t="s">
        <v>7</v>
      </c>
      <c r="M1003" t="s">
        <v>7</v>
      </c>
      <c r="N1003" t="s">
        <v>7</v>
      </c>
      <c r="P1003">
        <f t="shared" si="1019"/>
        <v>0.18032786885245752</v>
      </c>
      <c r="Q1003">
        <f t="shared" si="1020"/>
        <v>40165.133114753771</v>
      </c>
      <c r="R1003">
        <f t="shared" si="1021"/>
        <v>7765414.2556502176</v>
      </c>
      <c r="S1003">
        <f t="shared" si="1022"/>
        <v>77.65414255650218</v>
      </c>
      <c r="T1003">
        <f t="shared" si="1023"/>
        <v>7.7654142556502173E-2</v>
      </c>
    </row>
    <row r="1004" spans="1:20" x14ac:dyDescent="0.25">
      <c r="A1004" s="5">
        <v>43589</v>
      </c>
      <c r="B1004">
        <v>0.2828</v>
      </c>
      <c r="C1004">
        <v>0.28360000000000002</v>
      </c>
      <c r="D1004">
        <v>0.26150000000000001</v>
      </c>
      <c r="E1004">
        <v>0.26879999999999998</v>
      </c>
      <c r="F1004">
        <v>686564.14</v>
      </c>
      <c r="G1004">
        <v>0</v>
      </c>
      <c r="L1004" t="s">
        <v>7</v>
      </c>
      <c r="M1004" t="s">
        <v>7</v>
      </c>
      <c r="N1004" t="s">
        <v>7</v>
      </c>
      <c r="P1004">
        <f t="shared" si="1019"/>
        <v>-0.33936651583710675</v>
      </c>
      <c r="Q1004">
        <f t="shared" si="1020"/>
        <v>-232996.88009049959</v>
      </c>
      <c r="R1004">
        <f t="shared" si="1021"/>
        <v>7725249.1225354634</v>
      </c>
      <c r="S1004">
        <f t="shared" si="1022"/>
        <v>77.252491225354632</v>
      </c>
      <c r="T1004">
        <f t="shared" si="1023"/>
        <v>7.725249122535463E-2</v>
      </c>
    </row>
    <row r="1005" spans="1:20" x14ac:dyDescent="0.25">
      <c r="A1005" s="5">
        <v>43588</v>
      </c>
      <c r="B1005">
        <v>0.2747</v>
      </c>
      <c r="C1005">
        <v>0.28360000000000002</v>
      </c>
      <c r="D1005">
        <v>0.26800000000000002</v>
      </c>
      <c r="E1005">
        <v>0.28060000000000002</v>
      </c>
      <c r="F1005">
        <v>919162.17</v>
      </c>
      <c r="G1005">
        <v>0</v>
      </c>
      <c r="L1005" t="s">
        <v>8</v>
      </c>
      <c r="M1005" t="s">
        <v>7</v>
      </c>
      <c r="N1005" t="s">
        <v>7</v>
      </c>
      <c r="P1005">
        <f t="shared" si="1019"/>
        <v>0.61538461538461509</v>
      </c>
      <c r="Q1005">
        <f t="shared" si="1020"/>
        <v>565638.25846153824</v>
      </c>
      <c r="R1005">
        <f t="shared" si="1021"/>
        <v>7958246.0026259627</v>
      </c>
      <c r="S1005">
        <f t="shared" si="1022"/>
        <v>79.582460026259625</v>
      </c>
      <c r="T1005">
        <f t="shared" si="1023"/>
        <v>7.9582460026259627E-2</v>
      </c>
    </row>
    <row r="1006" spans="1:20" x14ac:dyDescent="0.25">
      <c r="A1006" s="5">
        <v>43587</v>
      </c>
      <c r="B1006">
        <v>0.27679999999999999</v>
      </c>
      <c r="C1006">
        <v>0.27800000000000002</v>
      </c>
      <c r="D1006">
        <v>0.27300000000000002</v>
      </c>
      <c r="E1006">
        <v>0.27479999999999999</v>
      </c>
      <c r="F1006">
        <v>465992.13</v>
      </c>
      <c r="G1006">
        <v>0</v>
      </c>
      <c r="L1006" t="s">
        <v>8</v>
      </c>
      <c r="M1006" t="s">
        <v>7</v>
      </c>
      <c r="N1006" t="s">
        <v>7</v>
      </c>
      <c r="P1006">
        <f t="shared" si="1019"/>
        <v>-0.28000000000001335</v>
      </c>
      <c r="Q1006">
        <f t="shared" si="1020"/>
        <v>-130477.79640000622</v>
      </c>
      <c r="R1006">
        <f t="shared" si="1021"/>
        <v>7392607.7441644249</v>
      </c>
      <c r="S1006">
        <f t="shared" si="1022"/>
        <v>73.926077441644253</v>
      </c>
      <c r="T1006">
        <f t="shared" si="1023"/>
        <v>7.3926077441644256E-2</v>
      </c>
    </row>
    <row r="1007" spans="1:20" x14ac:dyDescent="0.25">
      <c r="A1007" s="5">
        <v>43586</v>
      </c>
      <c r="B1007">
        <v>0.27860000000000001</v>
      </c>
      <c r="C1007">
        <v>0.28210000000000002</v>
      </c>
      <c r="D1007">
        <v>0.2742</v>
      </c>
      <c r="E1007">
        <v>0.2767</v>
      </c>
      <c r="F1007">
        <v>442190.45</v>
      </c>
      <c r="G1007">
        <v>0</v>
      </c>
      <c r="L1007" t="s">
        <v>8</v>
      </c>
      <c r="M1007" t="s">
        <v>7</v>
      </c>
      <c r="N1007" t="s">
        <v>7</v>
      </c>
      <c r="P1007">
        <f t="shared" si="1019"/>
        <v>-0.36708860759493761</v>
      </c>
      <c r="Q1007">
        <f t="shared" si="1020"/>
        <v>-162323.07658227888</v>
      </c>
      <c r="R1007">
        <f t="shared" si="1021"/>
        <v>7523085.5405644309</v>
      </c>
      <c r="S1007">
        <f t="shared" si="1022"/>
        <v>75.230855405644306</v>
      </c>
      <c r="T1007">
        <f t="shared" si="1023"/>
        <v>7.5230855405644309E-2</v>
      </c>
    </row>
    <row r="1008" spans="1:20" x14ac:dyDescent="0.25">
      <c r="A1008" s="5">
        <v>43585</v>
      </c>
      <c r="B1008">
        <v>0.27379999999999999</v>
      </c>
      <c r="C1008">
        <v>0.28220000000000001</v>
      </c>
      <c r="D1008">
        <v>0.26889999999999997</v>
      </c>
      <c r="E1008">
        <v>0.27879999999999999</v>
      </c>
      <c r="F1008">
        <v>466354.32</v>
      </c>
      <c r="G1008">
        <v>0</v>
      </c>
      <c r="L1008" t="s">
        <v>8</v>
      </c>
      <c r="M1008" t="s">
        <v>7</v>
      </c>
      <c r="N1008" t="s">
        <v>7</v>
      </c>
      <c r="P1008">
        <f t="shared" si="1019"/>
        <v>0.48872180451127739</v>
      </c>
      <c r="Q1008">
        <f t="shared" si="1020"/>
        <v>227917.5248120297</v>
      </c>
      <c r="R1008">
        <f t="shared" si="1021"/>
        <v>7685408.6171467099</v>
      </c>
      <c r="S1008">
        <f t="shared" si="1022"/>
        <v>76.854086171467102</v>
      </c>
      <c r="T1008">
        <f t="shared" si="1023"/>
        <v>7.6854086171467106E-2</v>
      </c>
    </row>
    <row r="1009" spans="1:20" x14ac:dyDescent="0.25">
      <c r="A1009" s="5">
        <v>43584</v>
      </c>
      <c r="B1009">
        <v>0.27889999999999998</v>
      </c>
      <c r="C1009">
        <v>0.28189999999999998</v>
      </c>
      <c r="D1009">
        <v>0.26340000000000002</v>
      </c>
      <c r="E1009">
        <v>0.27379999999999999</v>
      </c>
      <c r="F1009">
        <v>561165.85</v>
      </c>
      <c r="G1009">
        <v>0</v>
      </c>
      <c r="L1009" t="s">
        <v>7</v>
      </c>
      <c r="M1009" t="s">
        <v>7</v>
      </c>
      <c r="N1009" t="s">
        <v>7</v>
      </c>
      <c r="P1009">
        <f t="shared" si="1019"/>
        <v>0.1243243243243229</v>
      </c>
      <c r="Q1009">
        <f t="shared" si="1020"/>
        <v>69766.56513513434</v>
      </c>
      <c r="R1009">
        <f t="shared" si="1021"/>
        <v>7457491.0923346803</v>
      </c>
      <c r="S1009">
        <f t="shared" si="1022"/>
        <v>74.574910923346806</v>
      </c>
      <c r="T1009">
        <f t="shared" si="1023"/>
        <v>7.457491092334681E-2</v>
      </c>
    </row>
    <row r="1010" spans="1:20" x14ac:dyDescent="0.25">
      <c r="A1010" s="5">
        <v>43583</v>
      </c>
      <c r="B1010">
        <v>0.2878</v>
      </c>
      <c r="C1010">
        <v>0.2903</v>
      </c>
      <c r="D1010">
        <v>0.27679999999999999</v>
      </c>
      <c r="E1010">
        <v>0.27910000000000001</v>
      </c>
      <c r="F1010">
        <v>807136.4</v>
      </c>
      <c r="G1010">
        <v>0</v>
      </c>
      <c r="L1010" t="s">
        <v>8</v>
      </c>
      <c r="M1010" t="s">
        <v>7</v>
      </c>
      <c r="N1010" t="s">
        <v>7</v>
      </c>
      <c r="P1010">
        <f t="shared" si="1019"/>
        <v>-0.65925925925925599</v>
      </c>
      <c r="Q1010">
        <f t="shared" si="1020"/>
        <v>-532112.14518518257</v>
      </c>
      <c r="R1010">
        <f t="shared" si="1021"/>
        <v>7387724.5271995459</v>
      </c>
      <c r="S1010">
        <f t="shared" si="1022"/>
        <v>73.877245271995463</v>
      </c>
      <c r="T1010">
        <f t="shared" si="1023"/>
        <v>7.3877245271995462E-2</v>
      </c>
    </row>
    <row r="1011" spans="1:20" x14ac:dyDescent="0.25">
      <c r="A1011" s="5">
        <v>43582</v>
      </c>
      <c r="B1011">
        <v>0.27189999999999998</v>
      </c>
      <c r="C1011">
        <v>0.29139999999999999</v>
      </c>
      <c r="D1011">
        <v>0.27039999999999997</v>
      </c>
      <c r="E1011">
        <v>0.2873</v>
      </c>
      <c r="F1011">
        <v>503989.63</v>
      </c>
      <c r="G1011">
        <v>0</v>
      </c>
      <c r="L1011" t="s">
        <v>8</v>
      </c>
      <c r="M1011" t="s">
        <v>7</v>
      </c>
      <c r="N1011" t="s">
        <v>7</v>
      </c>
      <c r="P1011">
        <f t="shared" si="1019"/>
        <v>0.60952380952381058</v>
      </c>
      <c r="Q1011">
        <f t="shared" si="1020"/>
        <v>307193.67923809576</v>
      </c>
      <c r="R1011">
        <f t="shared" si="1021"/>
        <v>7919836.6723847287</v>
      </c>
      <c r="S1011">
        <f t="shared" si="1022"/>
        <v>79.198366723847286</v>
      </c>
      <c r="T1011">
        <f t="shared" si="1023"/>
        <v>7.919836672384728E-2</v>
      </c>
    </row>
    <row r="1012" spans="1:20" x14ac:dyDescent="0.25">
      <c r="A1012" s="5">
        <v>43581</v>
      </c>
      <c r="B1012">
        <v>0.27479999999999999</v>
      </c>
      <c r="C1012">
        <v>0.28050000000000003</v>
      </c>
      <c r="D1012">
        <v>0.26</v>
      </c>
      <c r="E1012">
        <v>0.27079999999999999</v>
      </c>
      <c r="F1012">
        <v>895889.08</v>
      </c>
      <c r="G1012">
        <v>0</v>
      </c>
      <c r="L1012" t="s">
        <v>7</v>
      </c>
      <c r="M1012" t="s">
        <v>7</v>
      </c>
      <c r="N1012" t="s">
        <v>7</v>
      </c>
      <c r="P1012">
        <f t="shared" si="1019"/>
        <v>5.3658536585362605E-2</v>
      </c>
      <c r="Q1012">
        <f t="shared" si="1020"/>
        <v>48072.096975606844</v>
      </c>
      <c r="R1012">
        <f t="shared" si="1021"/>
        <v>7612642.9931466328</v>
      </c>
      <c r="S1012">
        <f t="shared" si="1022"/>
        <v>76.126429931466333</v>
      </c>
      <c r="T1012">
        <f t="shared" si="1023"/>
        <v>7.612642993146633E-2</v>
      </c>
    </row>
    <row r="1013" spans="1:20" x14ac:dyDescent="0.25">
      <c r="A1013" s="5">
        <v>43580</v>
      </c>
      <c r="B1013">
        <v>0.28839999999999999</v>
      </c>
      <c r="C1013">
        <v>0.29160000000000003</v>
      </c>
      <c r="D1013">
        <v>0.26869999999999999</v>
      </c>
      <c r="E1013">
        <v>0.27529999999999999</v>
      </c>
      <c r="F1013">
        <v>1418650.88</v>
      </c>
      <c r="G1013">
        <v>0</v>
      </c>
      <c r="L1013" t="s">
        <v>7</v>
      </c>
      <c r="M1013" t="s">
        <v>7</v>
      </c>
      <c r="N1013" t="s">
        <v>7</v>
      </c>
      <c r="P1013">
        <f t="shared" si="1019"/>
        <v>-0.42358078602620214</v>
      </c>
      <c r="Q1013">
        <f t="shared" si="1020"/>
        <v>-600913.25484716333</v>
      </c>
      <c r="R1013">
        <f t="shared" si="1021"/>
        <v>7564570.8961710259</v>
      </c>
      <c r="S1013">
        <f t="shared" si="1022"/>
        <v>75.645708961710255</v>
      </c>
      <c r="T1013">
        <f t="shared" si="1023"/>
        <v>7.5645708961710259E-2</v>
      </c>
    </row>
    <row r="1014" spans="1:20" x14ac:dyDescent="0.25">
      <c r="A1014" s="5">
        <v>43579</v>
      </c>
      <c r="B1014">
        <v>0.30030000000000001</v>
      </c>
      <c r="C1014">
        <v>0.30070000000000002</v>
      </c>
      <c r="D1014">
        <v>0.27779999999999999</v>
      </c>
      <c r="E1014">
        <v>0.28849999999999998</v>
      </c>
      <c r="F1014">
        <v>1753123.29</v>
      </c>
      <c r="G1014">
        <v>0</v>
      </c>
      <c r="L1014" t="s">
        <v>7</v>
      </c>
      <c r="M1014" t="s">
        <v>7</v>
      </c>
      <c r="N1014" t="s">
        <v>7</v>
      </c>
      <c r="P1014">
        <f t="shared" si="1019"/>
        <v>-6.5502183406115924E-2</v>
      </c>
      <c r="Q1014">
        <f t="shared" si="1020"/>
        <v>-114833.40327511336</v>
      </c>
      <c r="R1014">
        <f t="shared" si="1021"/>
        <v>8165484.1510181893</v>
      </c>
      <c r="S1014">
        <f t="shared" si="1022"/>
        <v>81.654841510181896</v>
      </c>
      <c r="T1014">
        <f t="shared" si="1023"/>
        <v>8.1654841510181903E-2</v>
      </c>
    </row>
    <row r="1015" spans="1:20" x14ac:dyDescent="0.25">
      <c r="A1015" s="5">
        <v>43578</v>
      </c>
      <c r="B1015">
        <v>0.31190000000000001</v>
      </c>
      <c r="C1015">
        <v>0.31490000000000001</v>
      </c>
      <c r="D1015">
        <v>0.3</v>
      </c>
      <c r="E1015">
        <v>0.30030000000000001</v>
      </c>
      <c r="F1015">
        <v>1047776.02</v>
      </c>
      <c r="G1015">
        <v>0</v>
      </c>
      <c r="L1015" t="s">
        <v>7</v>
      </c>
      <c r="M1015" t="s">
        <v>7</v>
      </c>
      <c r="N1015" t="s">
        <v>8</v>
      </c>
      <c r="P1015">
        <f t="shared" si="1019"/>
        <v>-0.95973154362415813</v>
      </c>
      <c r="Q1015">
        <f t="shared" si="1020"/>
        <v>-1005583.6970469768</v>
      </c>
      <c r="R1015">
        <f t="shared" si="1021"/>
        <v>8280317.5542933028</v>
      </c>
      <c r="S1015">
        <f t="shared" si="1022"/>
        <v>82.803175542933033</v>
      </c>
      <c r="T1015">
        <f t="shared" si="1023"/>
        <v>8.2803175542933038E-2</v>
      </c>
    </row>
    <row r="1016" spans="1:20" x14ac:dyDescent="0.25">
      <c r="A1016" s="5">
        <v>43577</v>
      </c>
      <c r="B1016">
        <v>0.31259999999999999</v>
      </c>
      <c r="C1016">
        <v>0.31519999999999998</v>
      </c>
      <c r="D1016">
        <v>0.3075</v>
      </c>
      <c r="E1016">
        <v>0.312</v>
      </c>
      <c r="F1016">
        <v>785983.85</v>
      </c>
      <c r="G1016">
        <v>0</v>
      </c>
      <c r="L1016" t="s">
        <v>7</v>
      </c>
      <c r="M1016" t="s">
        <v>7</v>
      </c>
      <c r="N1016" t="s">
        <v>8</v>
      </c>
      <c r="P1016">
        <f t="shared" si="1019"/>
        <v>0.16883116883117219</v>
      </c>
      <c r="Q1016">
        <f t="shared" si="1020"/>
        <v>132698.57207792471</v>
      </c>
      <c r="R1016">
        <f t="shared" si="1021"/>
        <v>9285901.2513402794</v>
      </c>
      <c r="S1016">
        <f t="shared" si="1022"/>
        <v>92.859012513402789</v>
      </c>
      <c r="T1016">
        <f t="shared" si="1023"/>
        <v>9.2859012513402783E-2</v>
      </c>
    </row>
    <row r="1017" spans="1:20" x14ac:dyDescent="0.25">
      <c r="A1017" s="5">
        <v>43576</v>
      </c>
      <c r="B1017">
        <v>0.32179999999999997</v>
      </c>
      <c r="C1017">
        <v>0.32500000000000001</v>
      </c>
      <c r="D1017">
        <v>0.30199999999999999</v>
      </c>
      <c r="E1017">
        <v>0.31459999999999999</v>
      </c>
      <c r="F1017">
        <v>838529.28</v>
      </c>
      <c r="G1017">
        <v>0</v>
      </c>
      <c r="L1017" t="s">
        <v>7</v>
      </c>
      <c r="M1017" t="s">
        <v>7</v>
      </c>
      <c r="N1017" t="s">
        <v>8</v>
      </c>
      <c r="P1017">
        <f t="shared" si="1019"/>
        <v>9.565217391304251E-2</v>
      </c>
      <c r="Q1017">
        <f t="shared" si="1020"/>
        <v>80207.148521738316</v>
      </c>
      <c r="R1017">
        <f t="shared" si="1021"/>
        <v>9153202.679262355</v>
      </c>
      <c r="S1017">
        <f t="shared" si="1022"/>
        <v>91.532026792623554</v>
      </c>
      <c r="T1017">
        <f t="shared" si="1023"/>
        <v>9.1532026792623553E-2</v>
      </c>
    </row>
    <row r="1018" spans="1:20" x14ac:dyDescent="0.25">
      <c r="A1018" s="5">
        <v>43575</v>
      </c>
      <c r="B1018">
        <v>0.32579999999999998</v>
      </c>
      <c r="C1018">
        <v>0.32829999999999998</v>
      </c>
      <c r="D1018">
        <v>0.31859999999999999</v>
      </c>
      <c r="E1018">
        <v>0.32169999999999999</v>
      </c>
      <c r="F1018">
        <v>687145.61</v>
      </c>
      <c r="G1018">
        <v>0</v>
      </c>
      <c r="L1018" t="s">
        <v>8</v>
      </c>
      <c r="M1018" t="s">
        <v>7</v>
      </c>
      <c r="N1018" t="s">
        <v>8</v>
      </c>
      <c r="P1018">
        <f t="shared" si="1019"/>
        <v>-0.36082474226804206</v>
      </c>
      <c r="Q1018">
        <f t="shared" si="1020"/>
        <v>-247939.13762886653</v>
      </c>
      <c r="R1018">
        <f t="shared" si="1021"/>
        <v>9072995.5307406168</v>
      </c>
      <c r="S1018">
        <f t="shared" si="1022"/>
        <v>90.729955307406172</v>
      </c>
      <c r="T1018">
        <f t="shared" si="1023"/>
        <v>9.0729955307406171E-2</v>
      </c>
    </row>
    <row r="1019" spans="1:20" x14ac:dyDescent="0.25">
      <c r="A1019" s="5">
        <v>43574</v>
      </c>
      <c r="B1019">
        <v>0.33100000000000002</v>
      </c>
      <c r="C1019">
        <v>0.33100000000000002</v>
      </c>
      <c r="D1019">
        <v>0.3211</v>
      </c>
      <c r="E1019">
        <v>0.32690000000000002</v>
      </c>
      <c r="F1019">
        <v>978178.8</v>
      </c>
      <c r="G1019">
        <v>0</v>
      </c>
      <c r="L1019" t="s">
        <v>8</v>
      </c>
      <c r="M1019" t="s">
        <v>7</v>
      </c>
      <c r="N1019" t="s">
        <v>8</v>
      </c>
      <c r="P1019">
        <f t="shared" si="1019"/>
        <v>0.17171717171717488</v>
      </c>
      <c r="Q1019">
        <f t="shared" si="1020"/>
        <v>167970.09696970007</v>
      </c>
      <c r="R1019">
        <f t="shared" si="1021"/>
        <v>9320934.6683694832</v>
      </c>
      <c r="S1019">
        <f t="shared" si="1022"/>
        <v>93.209346683694832</v>
      </c>
      <c r="T1019">
        <f t="shared" si="1023"/>
        <v>9.3209346683694835E-2</v>
      </c>
    </row>
    <row r="1020" spans="1:20" x14ac:dyDescent="0.25">
      <c r="A1020" s="5">
        <v>43573</v>
      </c>
      <c r="B1020">
        <v>0.33210000000000001</v>
      </c>
      <c r="C1020">
        <v>0.33689999999999998</v>
      </c>
      <c r="D1020">
        <v>0.32729999999999998</v>
      </c>
      <c r="E1020">
        <v>0.33100000000000002</v>
      </c>
      <c r="F1020">
        <v>1434543.97</v>
      </c>
      <c r="G1020">
        <v>0</v>
      </c>
      <c r="L1020" t="s">
        <v>8</v>
      </c>
      <c r="M1020" t="s">
        <v>7</v>
      </c>
      <c r="N1020" t="s">
        <v>8</v>
      </c>
      <c r="P1020">
        <f t="shared" si="1019"/>
        <v>-0.22916666666665883</v>
      </c>
      <c r="Q1020">
        <f t="shared" si="1020"/>
        <v>-328749.65979165543</v>
      </c>
      <c r="R1020">
        <f t="shared" si="1021"/>
        <v>9152964.5713997837</v>
      </c>
      <c r="S1020">
        <f t="shared" si="1022"/>
        <v>91.529645713997837</v>
      </c>
      <c r="T1020">
        <f t="shared" si="1023"/>
        <v>9.152964571399784E-2</v>
      </c>
    </row>
    <row r="1021" spans="1:20" x14ac:dyDescent="0.25">
      <c r="A1021" s="5">
        <v>43572</v>
      </c>
      <c r="B1021">
        <v>0.32250000000000001</v>
      </c>
      <c r="C1021">
        <v>0.33239999999999997</v>
      </c>
      <c r="D1021">
        <v>0.31740000000000002</v>
      </c>
      <c r="E1021">
        <v>0.33090000000000003</v>
      </c>
      <c r="F1021">
        <v>960859.37</v>
      </c>
      <c r="G1021">
        <v>0</v>
      </c>
      <c r="L1021" t="s">
        <v>8</v>
      </c>
      <c r="M1021" t="s">
        <v>7</v>
      </c>
      <c r="N1021" t="s">
        <v>8</v>
      </c>
      <c r="P1021">
        <f t="shared" si="1019"/>
        <v>0.80000000000000671</v>
      </c>
      <c r="Q1021">
        <f t="shared" si="1020"/>
        <v>768687.49600000645</v>
      </c>
      <c r="R1021">
        <f t="shared" si="1021"/>
        <v>9481714.2311914396</v>
      </c>
      <c r="S1021">
        <f t="shared" si="1022"/>
        <v>94.817142311914395</v>
      </c>
      <c r="T1021">
        <f t="shared" si="1023"/>
        <v>9.481714231191439E-2</v>
      </c>
    </row>
    <row r="1022" spans="1:20" x14ac:dyDescent="0.25">
      <c r="A1022" s="5">
        <v>43571</v>
      </c>
      <c r="B1022">
        <v>0.308</v>
      </c>
      <c r="C1022">
        <v>0.32340000000000002</v>
      </c>
      <c r="D1022">
        <v>0.30590000000000001</v>
      </c>
      <c r="E1022">
        <v>0.32250000000000001</v>
      </c>
      <c r="F1022">
        <v>1388489.86</v>
      </c>
      <c r="G1022">
        <v>0</v>
      </c>
      <c r="L1022" t="s">
        <v>7</v>
      </c>
      <c r="M1022" t="s">
        <v>7</v>
      </c>
      <c r="N1022" t="s">
        <v>8</v>
      </c>
      <c r="P1022">
        <f t="shared" si="1019"/>
        <v>0.89714285714285591</v>
      </c>
      <c r="Q1022">
        <f t="shared" si="1020"/>
        <v>1245673.760114284</v>
      </c>
      <c r="R1022">
        <f t="shared" si="1021"/>
        <v>8713026.7351914328</v>
      </c>
      <c r="S1022">
        <f t="shared" si="1022"/>
        <v>87.130267351914327</v>
      </c>
      <c r="T1022">
        <f t="shared" si="1023"/>
        <v>8.7130267351914328E-2</v>
      </c>
    </row>
    <row r="1023" spans="1:20" x14ac:dyDescent="0.25">
      <c r="A1023" s="5">
        <v>43570</v>
      </c>
      <c r="B1023">
        <v>0.32240000000000002</v>
      </c>
      <c r="C1023">
        <v>0.33400000000000002</v>
      </c>
      <c r="D1023">
        <v>0.30109999999999998</v>
      </c>
      <c r="E1023">
        <v>0.30830000000000002</v>
      </c>
      <c r="F1023">
        <v>1723804.03</v>
      </c>
      <c r="G1023">
        <v>0</v>
      </c>
      <c r="L1023" t="s">
        <v>8</v>
      </c>
      <c r="M1023" t="s">
        <v>7</v>
      </c>
      <c r="N1023" t="s">
        <v>8</v>
      </c>
      <c r="P1023">
        <f t="shared" ref="P1023:P1069" si="1024">IF(C1023=D1023,0,((E1023-D1023)-(C1023-E1023))/(C1023-D1023))</f>
        <v>-0.56231003039513494</v>
      </c>
      <c r="Q1023">
        <f t="shared" ref="Q1023:Q1069" si="1025">F1023*P1023</f>
        <v>-969312.29650455608</v>
      </c>
      <c r="R1023">
        <f t="shared" ref="R1023:R1069" si="1026">R1024+Q1023</f>
        <v>7467352.9750771495</v>
      </c>
      <c r="S1023">
        <f t="shared" ref="S1023:S1069" si="1027">R1023/100000</f>
        <v>74.673529750771493</v>
      </c>
      <c r="T1023">
        <f t="shared" ref="T1023:T1069" si="1028">S1023/1000</f>
        <v>7.4673529750771489E-2</v>
      </c>
    </row>
    <row r="1024" spans="1:20" x14ac:dyDescent="0.25">
      <c r="A1024" s="5">
        <v>43569</v>
      </c>
      <c r="B1024">
        <v>0.315</v>
      </c>
      <c r="C1024">
        <v>0.32329999999999998</v>
      </c>
      <c r="D1024">
        <v>0.30709999999999998</v>
      </c>
      <c r="E1024">
        <v>0.3226</v>
      </c>
      <c r="F1024">
        <v>1220403.53</v>
      </c>
      <c r="G1024">
        <v>0</v>
      </c>
      <c r="L1024" t="s">
        <v>8</v>
      </c>
      <c r="M1024" t="s">
        <v>7</v>
      </c>
      <c r="N1024" t="s">
        <v>8</v>
      </c>
      <c r="P1024">
        <f t="shared" si="1024"/>
        <v>0.91358024691358286</v>
      </c>
      <c r="Q1024">
        <f t="shared" si="1025"/>
        <v>1114936.5582716081</v>
      </c>
      <c r="R1024">
        <f t="shared" si="1026"/>
        <v>8436665.2715817057</v>
      </c>
      <c r="S1024">
        <f t="shared" si="1027"/>
        <v>84.366652715817054</v>
      </c>
      <c r="T1024">
        <f t="shared" si="1028"/>
        <v>8.4366652715817059E-2</v>
      </c>
    </row>
    <row r="1025" spans="1:20" x14ac:dyDescent="0.25">
      <c r="A1025" s="5">
        <v>43568</v>
      </c>
      <c r="B1025">
        <v>0.31929999999999997</v>
      </c>
      <c r="C1025">
        <v>0.3236</v>
      </c>
      <c r="D1025">
        <v>0.31190000000000001</v>
      </c>
      <c r="E1025">
        <v>0.31530000000000002</v>
      </c>
      <c r="F1025">
        <v>523367.22</v>
      </c>
      <c r="G1025">
        <v>0</v>
      </c>
      <c r="L1025" t="s">
        <v>8</v>
      </c>
      <c r="M1025" t="s">
        <v>7</v>
      </c>
      <c r="N1025" t="s">
        <v>8</v>
      </c>
      <c r="P1025">
        <f t="shared" si="1024"/>
        <v>-0.41880341880341582</v>
      </c>
      <c r="Q1025">
        <f t="shared" si="1025"/>
        <v>-219187.98102563946</v>
      </c>
      <c r="R1025">
        <f t="shared" si="1026"/>
        <v>7321728.7133100983</v>
      </c>
      <c r="S1025">
        <f t="shared" si="1027"/>
        <v>73.217287133100982</v>
      </c>
      <c r="T1025">
        <f t="shared" si="1028"/>
        <v>7.3217287133100981E-2</v>
      </c>
    </row>
    <row r="1026" spans="1:20" x14ac:dyDescent="0.25">
      <c r="A1026" s="5">
        <v>43567</v>
      </c>
      <c r="B1026">
        <v>0.31619999999999998</v>
      </c>
      <c r="C1026">
        <v>0.3276</v>
      </c>
      <c r="D1026">
        <v>0.30030000000000001</v>
      </c>
      <c r="E1026">
        <v>0.32040000000000002</v>
      </c>
      <c r="F1026">
        <v>1145078.73</v>
      </c>
      <c r="G1026">
        <v>0</v>
      </c>
      <c r="L1026" t="s">
        <v>8</v>
      </c>
      <c r="M1026" t="s">
        <v>7</v>
      </c>
      <c r="N1026" t="s">
        <v>8</v>
      </c>
      <c r="P1026">
        <f t="shared" si="1024"/>
        <v>0.47252747252747351</v>
      </c>
      <c r="Q1026">
        <f t="shared" si="1025"/>
        <v>541081.15813186928</v>
      </c>
      <c r="R1026">
        <f t="shared" si="1026"/>
        <v>7540916.6943357382</v>
      </c>
      <c r="S1026">
        <f t="shared" si="1027"/>
        <v>75.409166943357377</v>
      </c>
      <c r="T1026">
        <f t="shared" si="1028"/>
        <v>7.5409166943357378E-2</v>
      </c>
    </row>
    <row r="1027" spans="1:20" x14ac:dyDescent="0.25">
      <c r="A1027" s="5">
        <v>43566</v>
      </c>
      <c r="B1027">
        <v>0.3498</v>
      </c>
      <c r="C1027">
        <v>0.3498</v>
      </c>
      <c r="D1027">
        <v>0.30409999999999998</v>
      </c>
      <c r="E1027">
        <v>0.31619999999999998</v>
      </c>
      <c r="F1027">
        <v>1994234.27</v>
      </c>
      <c r="G1027">
        <v>0</v>
      </c>
      <c r="L1027" t="s">
        <v>7</v>
      </c>
      <c r="M1027" t="s">
        <v>7</v>
      </c>
      <c r="N1027" t="s">
        <v>8</v>
      </c>
      <c r="P1027">
        <f t="shared" si="1024"/>
        <v>-0.47045951859956259</v>
      </c>
      <c r="Q1027">
        <f t="shared" si="1025"/>
        <v>-938206.4946389501</v>
      </c>
      <c r="R1027">
        <f t="shared" si="1026"/>
        <v>6999835.5362038687</v>
      </c>
      <c r="S1027">
        <f t="shared" si="1027"/>
        <v>69.99835536203868</v>
      </c>
      <c r="T1027">
        <f t="shared" si="1028"/>
        <v>6.9998355362038675E-2</v>
      </c>
    </row>
    <row r="1028" spans="1:20" x14ac:dyDescent="0.25">
      <c r="A1028" s="5">
        <v>43565</v>
      </c>
      <c r="B1028">
        <v>0.35539999999999999</v>
      </c>
      <c r="C1028">
        <v>0.35680000000000001</v>
      </c>
      <c r="D1028">
        <v>0.34379999999999999</v>
      </c>
      <c r="E1028">
        <v>0.3498</v>
      </c>
      <c r="F1028">
        <v>1925538.46</v>
      </c>
      <c r="G1028">
        <v>0</v>
      </c>
      <c r="L1028" t="s">
        <v>8</v>
      </c>
      <c r="M1028" t="s">
        <v>7</v>
      </c>
      <c r="N1028" t="s">
        <v>8</v>
      </c>
      <c r="P1028">
        <f t="shared" si="1024"/>
        <v>-7.6923076923076927E-2</v>
      </c>
      <c r="Q1028">
        <f t="shared" si="1025"/>
        <v>-148118.34307692308</v>
      </c>
      <c r="R1028">
        <f t="shared" si="1026"/>
        <v>7938042.0308428193</v>
      </c>
      <c r="S1028">
        <f t="shared" si="1027"/>
        <v>79.380420308428199</v>
      </c>
      <c r="T1028">
        <f t="shared" si="1028"/>
        <v>7.9380420308428193E-2</v>
      </c>
    </row>
    <row r="1029" spans="1:20" x14ac:dyDescent="0.25">
      <c r="A1029" s="5">
        <v>43564</v>
      </c>
      <c r="B1029">
        <v>0.34599999999999997</v>
      </c>
      <c r="C1029">
        <v>0.36809999999999998</v>
      </c>
      <c r="D1029">
        <v>0.33450000000000002</v>
      </c>
      <c r="E1029">
        <v>0.35570000000000002</v>
      </c>
      <c r="F1029">
        <v>1868281.54</v>
      </c>
      <c r="G1029">
        <v>0</v>
      </c>
      <c r="L1029" t="s">
        <v>8</v>
      </c>
      <c r="M1029" t="s">
        <v>7</v>
      </c>
      <c r="N1029" t="s">
        <v>8</v>
      </c>
      <c r="P1029">
        <f t="shared" si="1024"/>
        <v>0.26190476190476308</v>
      </c>
      <c r="Q1029">
        <f t="shared" si="1025"/>
        <v>489311.83190476411</v>
      </c>
      <c r="R1029">
        <f t="shared" si="1026"/>
        <v>8086160.3739197422</v>
      </c>
      <c r="S1029">
        <f t="shared" si="1027"/>
        <v>80.86160373919742</v>
      </c>
      <c r="T1029">
        <f t="shared" si="1028"/>
        <v>8.0861603739197416E-2</v>
      </c>
    </row>
    <row r="1030" spans="1:20" x14ac:dyDescent="0.25">
      <c r="A1030" s="5">
        <v>43563</v>
      </c>
      <c r="B1030">
        <v>0.35399999999999998</v>
      </c>
      <c r="C1030">
        <v>0.36859999999999998</v>
      </c>
      <c r="D1030">
        <v>0.33150000000000002</v>
      </c>
      <c r="E1030">
        <v>0.34599999999999997</v>
      </c>
      <c r="F1030">
        <v>1479290.01</v>
      </c>
      <c r="G1030">
        <v>0</v>
      </c>
      <c r="L1030" t="s">
        <v>7</v>
      </c>
      <c r="M1030" t="s">
        <v>7</v>
      </c>
      <c r="N1030" t="s">
        <v>8</v>
      </c>
      <c r="P1030">
        <f t="shared" si="1024"/>
        <v>-0.21832884097035199</v>
      </c>
      <c r="Q1030">
        <f t="shared" si="1025"/>
        <v>-322971.67334232043</v>
      </c>
      <c r="R1030">
        <f t="shared" si="1026"/>
        <v>7596848.5420149779</v>
      </c>
      <c r="S1030">
        <f t="shared" si="1027"/>
        <v>75.968485420149776</v>
      </c>
      <c r="T1030">
        <f t="shared" si="1028"/>
        <v>7.5968485420149778E-2</v>
      </c>
    </row>
    <row r="1031" spans="1:20" x14ac:dyDescent="0.25">
      <c r="A1031" s="5">
        <v>43562</v>
      </c>
      <c r="B1031">
        <v>0.35320000000000001</v>
      </c>
      <c r="C1031">
        <v>0.37</v>
      </c>
      <c r="D1031">
        <v>0.34539999999999998</v>
      </c>
      <c r="E1031">
        <v>0.35370000000000001</v>
      </c>
      <c r="F1031">
        <v>2107292.38</v>
      </c>
      <c r="G1031">
        <v>0</v>
      </c>
      <c r="L1031" t="s">
        <v>8</v>
      </c>
      <c r="M1031" t="s">
        <v>7</v>
      </c>
      <c r="N1031" t="s">
        <v>8</v>
      </c>
      <c r="P1031">
        <f t="shared" si="1024"/>
        <v>-0.32520325203251821</v>
      </c>
      <c r="Q1031">
        <f t="shared" si="1025"/>
        <v>-685298.33495934505</v>
      </c>
      <c r="R1031">
        <f t="shared" si="1026"/>
        <v>7919820.215357298</v>
      </c>
      <c r="S1031">
        <f t="shared" si="1027"/>
        <v>79.198202153572979</v>
      </c>
      <c r="T1031">
        <f t="shared" si="1028"/>
        <v>7.9198202153572983E-2</v>
      </c>
    </row>
    <row r="1032" spans="1:20" x14ac:dyDescent="0.25">
      <c r="A1032" s="5">
        <v>43561</v>
      </c>
      <c r="B1032">
        <v>0.35780000000000001</v>
      </c>
      <c r="C1032">
        <v>0.36359999999999998</v>
      </c>
      <c r="D1032">
        <v>0.34749999999999998</v>
      </c>
      <c r="E1032">
        <v>0.35270000000000001</v>
      </c>
      <c r="F1032">
        <v>1292454.1599999999</v>
      </c>
      <c r="G1032">
        <v>0</v>
      </c>
      <c r="L1032" t="s">
        <v>8</v>
      </c>
      <c r="M1032" t="s">
        <v>7</v>
      </c>
      <c r="N1032" t="s">
        <v>8</v>
      </c>
      <c r="P1032">
        <f t="shared" si="1024"/>
        <v>-0.35403726708074074</v>
      </c>
      <c r="Q1032">
        <f t="shared" si="1025"/>
        <v>-457576.93863353442</v>
      </c>
      <c r="R1032">
        <f t="shared" si="1026"/>
        <v>8605118.550316643</v>
      </c>
      <c r="S1032">
        <f t="shared" si="1027"/>
        <v>86.051185503166437</v>
      </c>
      <c r="T1032">
        <f t="shared" si="1028"/>
        <v>8.6051185503166441E-2</v>
      </c>
    </row>
    <row r="1033" spans="1:20" x14ac:dyDescent="0.25">
      <c r="A1033" s="5">
        <v>43560</v>
      </c>
      <c r="B1033">
        <v>0.33650000000000002</v>
      </c>
      <c r="C1033">
        <v>0.35749999999999998</v>
      </c>
      <c r="D1033">
        <v>0.33589999999999998</v>
      </c>
      <c r="E1033">
        <v>0.35699999999999998</v>
      </c>
      <c r="F1033">
        <v>1414997.59</v>
      </c>
      <c r="G1033">
        <v>0</v>
      </c>
      <c r="L1033" t="s">
        <v>8</v>
      </c>
      <c r="M1033" t="s">
        <v>7</v>
      </c>
      <c r="N1033" t="s">
        <v>8</v>
      </c>
      <c r="P1033">
        <f t="shared" si="1024"/>
        <v>0.95370370370370372</v>
      </c>
      <c r="Q1033">
        <f t="shared" si="1025"/>
        <v>1349488.442314815</v>
      </c>
      <c r="R1033">
        <f t="shared" si="1026"/>
        <v>9062695.488950178</v>
      </c>
      <c r="S1033">
        <f t="shared" si="1027"/>
        <v>90.626954889501775</v>
      </c>
      <c r="T1033">
        <f t="shared" si="1028"/>
        <v>9.0626954889501773E-2</v>
      </c>
    </row>
    <row r="1034" spans="1:20" x14ac:dyDescent="0.25">
      <c r="A1034" s="5">
        <v>43559</v>
      </c>
      <c r="B1034">
        <v>0.35149999999999998</v>
      </c>
      <c r="C1034">
        <v>0.35970000000000002</v>
      </c>
      <c r="D1034">
        <v>0.32479999999999998</v>
      </c>
      <c r="E1034">
        <v>0.3362</v>
      </c>
      <c r="F1034">
        <v>2904962.84</v>
      </c>
      <c r="G1034">
        <v>0</v>
      </c>
      <c r="L1034" t="s">
        <v>7</v>
      </c>
      <c r="M1034" t="s">
        <v>7</v>
      </c>
      <c r="N1034" t="s">
        <v>8</v>
      </c>
      <c r="P1034">
        <f t="shared" si="1024"/>
        <v>-0.3467048710601715</v>
      </c>
      <c r="Q1034">
        <f t="shared" si="1025"/>
        <v>-1007164.7668767896</v>
      </c>
      <c r="R1034">
        <f t="shared" si="1026"/>
        <v>7713207.0466353623</v>
      </c>
      <c r="S1034">
        <f t="shared" si="1027"/>
        <v>77.132070466353625</v>
      </c>
      <c r="T1034">
        <f t="shared" si="1028"/>
        <v>7.7132070466353619E-2</v>
      </c>
    </row>
    <row r="1035" spans="1:20" x14ac:dyDescent="0.25">
      <c r="A1035" s="5">
        <v>43558</v>
      </c>
      <c r="B1035">
        <v>0.376</v>
      </c>
      <c r="C1035">
        <v>0.38950000000000001</v>
      </c>
      <c r="D1035">
        <v>0.3201</v>
      </c>
      <c r="E1035">
        <v>0.35039999999999999</v>
      </c>
      <c r="F1035">
        <v>5170588.51</v>
      </c>
      <c r="G1035">
        <v>0</v>
      </c>
      <c r="L1035" t="s">
        <v>8</v>
      </c>
      <c r="M1035" t="s">
        <v>7</v>
      </c>
      <c r="N1035" t="s">
        <v>8</v>
      </c>
      <c r="P1035">
        <f t="shared" si="1024"/>
        <v>-0.12680115273775255</v>
      </c>
      <c r="Q1035">
        <f t="shared" si="1025"/>
        <v>-655636.58340057835</v>
      </c>
      <c r="R1035">
        <f t="shared" si="1026"/>
        <v>8720371.8135121521</v>
      </c>
      <c r="S1035">
        <f t="shared" si="1027"/>
        <v>87.20371813512152</v>
      </c>
      <c r="T1035">
        <f t="shared" si="1028"/>
        <v>8.7203718135121525E-2</v>
      </c>
    </row>
    <row r="1036" spans="1:20" x14ac:dyDescent="0.25">
      <c r="A1036" s="5">
        <v>43557</v>
      </c>
      <c r="B1036">
        <v>0.3327</v>
      </c>
      <c r="C1036">
        <v>0.38140000000000002</v>
      </c>
      <c r="D1036">
        <v>0.32</v>
      </c>
      <c r="E1036">
        <v>0.37430000000000002</v>
      </c>
      <c r="F1036">
        <v>5394853.04</v>
      </c>
      <c r="G1036">
        <v>0</v>
      </c>
      <c r="L1036" t="s">
        <v>8</v>
      </c>
      <c r="M1036" t="s">
        <v>8</v>
      </c>
      <c r="N1036" t="s">
        <v>8</v>
      </c>
      <c r="P1036">
        <f t="shared" si="1024"/>
        <v>0.76872964169381131</v>
      </c>
      <c r="Q1036">
        <f t="shared" si="1025"/>
        <v>4147183.4444299685</v>
      </c>
      <c r="R1036">
        <f t="shared" si="1026"/>
        <v>9376008.3969127312</v>
      </c>
      <c r="S1036">
        <f t="shared" si="1027"/>
        <v>93.760083969127308</v>
      </c>
      <c r="T1036">
        <f t="shared" si="1028"/>
        <v>9.3760083969127314E-2</v>
      </c>
    </row>
    <row r="1037" spans="1:20" x14ac:dyDescent="0.25">
      <c r="A1037" s="5">
        <v>43556</v>
      </c>
      <c r="B1037">
        <v>0.32400000000000001</v>
      </c>
      <c r="C1037">
        <v>0.34139999999999998</v>
      </c>
      <c r="D1037">
        <v>0.31590000000000001</v>
      </c>
      <c r="E1037">
        <v>0.3327</v>
      </c>
      <c r="F1037">
        <v>2050047.46</v>
      </c>
      <c r="G1037">
        <v>0</v>
      </c>
      <c r="L1037" t="s">
        <v>8</v>
      </c>
      <c r="M1037" t="s">
        <v>8</v>
      </c>
      <c r="N1037" t="s">
        <v>8</v>
      </c>
      <c r="P1037">
        <f t="shared" si="1024"/>
        <v>0.31764705882352967</v>
      </c>
      <c r="Q1037">
        <f t="shared" si="1025"/>
        <v>651191.54611764755</v>
      </c>
      <c r="R1037">
        <f t="shared" si="1026"/>
        <v>5228824.9524827627</v>
      </c>
      <c r="S1037">
        <f t="shared" si="1027"/>
        <v>52.288249524827627</v>
      </c>
      <c r="T1037">
        <f t="shared" si="1028"/>
        <v>5.2288249524827628E-2</v>
      </c>
    </row>
    <row r="1038" spans="1:20" x14ac:dyDescent="0.25">
      <c r="A1038" s="5">
        <v>43555</v>
      </c>
      <c r="B1038">
        <v>0.31169999999999998</v>
      </c>
      <c r="C1038">
        <v>0.32769999999999999</v>
      </c>
      <c r="D1038">
        <v>0.30940000000000001</v>
      </c>
      <c r="E1038">
        <v>0.32450000000000001</v>
      </c>
      <c r="F1038">
        <v>1523279.73</v>
      </c>
      <c r="G1038">
        <v>0</v>
      </c>
      <c r="L1038" t="s">
        <v>8</v>
      </c>
      <c r="M1038" t="s">
        <v>8</v>
      </c>
      <c r="N1038" t="s">
        <v>8</v>
      </c>
      <c r="P1038">
        <f t="shared" si="1024"/>
        <v>0.65027322404371768</v>
      </c>
      <c r="Q1038">
        <f t="shared" si="1025"/>
        <v>990548.0211475438</v>
      </c>
      <c r="R1038">
        <f t="shared" si="1026"/>
        <v>4577633.4063651152</v>
      </c>
      <c r="S1038">
        <f t="shared" si="1027"/>
        <v>45.776334063651149</v>
      </c>
      <c r="T1038">
        <f t="shared" si="1028"/>
        <v>4.5776334063651149E-2</v>
      </c>
    </row>
    <row r="1039" spans="1:20" x14ac:dyDescent="0.25">
      <c r="A1039" s="5">
        <v>43554</v>
      </c>
      <c r="B1039">
        <v>0.30649999999999999</v>
      </c>
      <c r="C1039">
        <v>0.32390000000000002</v>
      </c>
      <c r="D1039">
        <v>0.30359999999999998</v>
      </c>
      <c r="E1039">
        <v>0.31090000000000001</v>
      </c>
      <c r="F1039">
        <v>2028996.97</v>
      </c>
      <c r="G1039">
        <v>0</v>
      </c>
      <c r="L1039" t="s">
        <v>8</v>
      </c>
      <c r="M1039" t="s">
        <v>8</v>
      </c>
      <c r="N1039" t="s">
        <v>8</v>
      </c>
      <c r="P1039">
        <f t="shared" si="1024"/>
        <v>-0.28078817733990008</v>
      </c>
      <c r="Q1039">
        <f t="shared" si="1025"/>
        <v>-569718.36103447992</v>
      </c>
      <c r="R1039">
        <f t="shared" si="1026"/>
        <v>3587085.3852175716</v>
      </c>
      <c r="S1039">
        <f t="shared" si="1027"/>
        <v>35.870853852175713</v>
      </c>
      <c r="T1039">
        <f t="shared" si="1028"/>
        <v>3.5870853852175713E-2</v>
      </c>
    </row>
    <row r="1040" spans="1:20" x14ac:dyDescent="0.25">
      <c r="A1040" s="5">
        <v>43553</v>
      </c>
      <c r="B1040">
        <v>0.30549999999999999</v>
      </c>
      <c r="C1040">
        <v>0.30780000000000002</v>
      </c>
      <c r="D1040">
        <v>0.3</v>
      </c>
      <c r="E1040">
        <v>0.30630000000000002</v>
      </c>
      <c r="F1040">
        <v>1392299.95</v>
      </c>
      <c r="G1040">
        <v>0</v>
      </c>
      <c r="L1040" t="s">
        <v>8</v>
      </c>
      <c r="M1040" t="s">
        <v>8</v>
      </c>
      <c r="N1040" t="s">
        <v>8</v>
      </c>
      <c r="P1040">
        <f t="shared" si="1024"/>
        <v>0.61538461538461653</v>
      </c>
      <c r="Q1040">
        <f t="shared" si="1025"/>
        <v>856799.96923077083</v>
      </c>
      <c r="R1040">
        <f t="shared" si="1026"/>
        <v>4156803.7462520516</v>
      </c>
      <c r="S1040">
        <f t="shared" si="1027"/>
        <v>41.568037462520515</v>
      </c>
      <c r="T1040">
        <f t="shared" si="1028"/>
        <v>4.1568037462520517E-2</v>
      </c>
    </row>
    <row r="1041" spans="1:20" x14ac:dyDescent="0.25">
      <c r="A1041" s="5">
        <v>43552</v>
      </c>
      <c r="B1041">
        <v>0.30480000000000002</v>
      </c>
      <c r="C1041">
        <v>0.30669999999999997</v>
      </c>
      <c r="D1041">
        <v>0.29380000000000001</v>
      </c>
      <c r="E1041">
        <v>0.30549999999999999</v>
      </c>
      <c r="F1041">
        <v>1664731.11</v>
      </c>
      <c r="G1041">
        <v>0</v>
      </c>
      <c r="L1041" t="s">
        <v>8</v>
      </c>
      <c r="M1041" t="s">
        <v>8</v>
      </c>
      <c r="N1041" t="s">
        <v>8</v>
      </c>
      <c r="P1041">
        <f t="shared" si="1024"/>
        <v>0.8139534883720958</v>
      </c>
      <c r="Q1041">
        <f t="shared" si="1025"/>
        <v>1355013.6941860511</v>
      </c>
      <c r="R1041">
        <f t="shared" si="1026"/>
        <v>3300003.777021281</v>
      </c>
      <c r="S1041">
        <f t="shared" si="1027"/>
        <v>33.000037770212806</v>
      </c>
      <c r="T1041">
        <f t="shared" si="1028"/>
        <v>3.3000037770212806E-2</v>
      </c>
    </row>
    <row r="1042" spans="1:20" x14ac:dyDescent="0.25">
      <c r="A1042" s="5">
        <v>43551</v>
      </c>
      <c r="B1042">
        <v>0.29139999999999999</v>
      </c>
      <c r="C1042">
        <v>0.30980000000000002</v>
      </c>
      <c r="D1042">
        <v>0.28749999999999998</v>
      </c>
      <c r="E1042">
        <v>0.30480000000000002</v>
      </c>
      <c r="F1042">
        <v>3013840.57</v>
      </c>
      <c r="G1042">
        <v>0</v>
      </c>
      <c r="L1042" t="s">
        <v>8</v>
      </c>
      <c r="M1042" t="s">
        <v>8</v>
      </c>
      <c r="N1042" t="s">
        <v>8</v>
      </c>
      <c r="P1042">
        <f t="shared" si="1024"/>
        <v>0.55156950672645788</v>
      </c>
      <c r="Q1042">
        <f t="shared" si="1025"/>
        <v>1662342.5565470865</v>
      </c>
      <c r="R1042">
        <f t="shared" si="1026"/>
        <v>1944990.0828352298</v>
      </c>
      <c r="S1042">
        <f t="shared" si="1027"/>
        <v>19.449900828352298</v>
      </c>
      <c r="T1042">
        <f t="shared" si="1028"/>
        <v>1.9449900828352299E-2</v>
      </c>
    </row>
    <row r="1043" spans="1:20" x14ac:dyDescent="0.25">
      <c r="A1043" s="5">
        <v>43550</v>
      </c>
      <c r="B1043">
        <v>0.27639999999999998</v>
      </c>
      <c r="C1043">
        <v>0.29520000000000002</v>
      </c>
      <c r="D1043">
        <v>0.2707</v>
      </c>
      <c r="E1043">
        <v>0.29139999999999999</v>
      </c>
      <c r="F1043">
        <v>3696062.34</v>
      </c>
      <c r="G1043">
        <v>0</v>
      </c>
      <c r="L1043" t="s">
        <v>7</v>
      </c>
      <c r="M1043" t="s">
        <v>8</v>
      </c>
      <c r="N1043" t="s">
        <v>8</v>
      </c>
      <c r="P1043">
        <f t="shared" si="1024"/>
        <v>0.68979591836734511</v>
      </c>
      <c r="Q1043">
        <f t="shared" si="1025"/>
        <v>2549528.7161632585</v>
      </c>
      <c r="R1043">
        <f t="shared" si="1026"/>
        <v>282647.52628814336</v>
      </c>
      <c r="S1043">
        <f t="shared" si="1027"/>
        <v>2.8264752628814338</v>
      </c>
      <c r="T1043">
        <f t="shared" si="1028"/>
        <v>2.8264752628814338E-3</v>
      </c>
    </row>
    <row r="1044" spans="1:20" x14ac:dyDescent="0.25">
      <c r="A1044" s="5">
        <v>43549</v>
      </c>
      <c r="B1044">
        <v>0.2908</v>
      </c>
      <c r="C1044">
        <v>0.309</v>
      </c>
      <c r="D1044">
        <v>0.26939999999999997</v>
      </c>
      <c r="E1044">
        <v>0.2757</v>
      </c>
      <c r="F1044">
        <v>5549435.8799999999</v>
      </c>
      <c r="G1044">
        <v>0</v>
      </c>
      <c r="L1044" t="s">
        <v>8</v>
      </c>
      <c r="M1044" t="s">
        <v>8</v>
      </c>
      <c r="N1044" t="s">
        <v>8</v>
      </c>
      <c r="P1044">
        <f t="shared" si="1024"/>
        <v>-0.68181818181818066</v>
      </c>
      <c r="Q1044">
        <f t="shared" si="1025"/>
        <v>-3783706.2818181752</v>
      </c>
      <c r="R1044">
        <f t="shared" si="1026"/>
        <v>-2266881.1898751152</v>
      </c>
      <c r="S1044">
        <f t="shared" si="1027"/>
        <v>-22.668811898751152</v>
      </c>
      <c r="T1044">
        <f t="shared" si="1028"/>
        <v>-2.266881189875115E-2</v>
      </c>
    </row>
    <row r="1045" spans="1:20" x14ac:dyDescent="0.25">
      <c r="A1045" s="5">
        <v>43548</v>
      </c>
      <c r="B1045">
        <v>0.26850000000000002</v>
      </c>
      <c r="C1045">
        <v>0.29870000000000002</v>
      </c>
      <c r="D1045">
        <v>0.26479999999999998</v>
      </c>
      <c r="E1045">
        <v>0.2908</v>
      </c>
      <c r="F1045">
        <v>3488922.33</v>
      </c>
      <c r="G1045">
        <v>0</v>
      </c>
      <c r="L1045" t="s">
        <v>8</v>
      </c>
      <c r="M1045" t="s">
        <v>8</v>
      </c>
      <c r="N1045" t="s">
        <v>8</v>
      </c>
      <c r="P1045">
        <f t="shared" si="1024"/>
        <v>0.53392330383480779</v>
      </c>
      <c r="Q1045">
        <f t="shared" si="1025"/>
        <v>1862816.9372566356</v>
      </c>
      <c r="R1045">
        <f t="shared" si="1026"/>
        <v>1516825.09194306</v>
      </c>
      <c r="S1045">
        <f t="shared" si="1027"/>
        <v>15.1682509194306</v>
      </c>
      <c r="T1045">
        <f t="shared" si="1028"/>
        <v>1.5168250919430599E-2</v>
      </c>
    </row>
    <row r="1046" spans="1:20" x14ac:dyDescent="0.25">
      <c r="A1046" s="5">
        <v>43547</v>
      </c>
      <c r="B1046">
        <v>0.27250000000000002</v>
      </c>
      <c r="C1046">
        <v>0.27689999999999998</v>
      </c>
      <c r="D1046">
        <v>0.26690000000000003</v>
      </c>
      <c r="E1046">
        <v>0.26989999999999997</v>
      </c>
      <c r="F1046">
        <v>1434949.26</v>
      </c>
      <c r="G1046">
        <v>0</v>
      </c>
      <c r="L1046" t="s">
        <v>8</v>
      </c>
      <c r="M1046" t="s">
        <v>8</v>
      </c>
      <c r="N1046" t="s">
        <v>7</v>
      </c>
      <c r="P1046">
        <f t="shared" si="1024"/>
        <v>-0.40000000000000779</v>
      </c>
      <c r="Q1046">
        <f t="shared" si="1025"/>
        <v>-573979.7040000112</v>
      </c>
      <c r="R1046">
        <f t="shared" si="1026"/>
        <v>-345991.8453135757</v>
      </c>
      <c r="S1046">
        <f t="shared" si="1027"/>
        <v>-3.459918453135757</v>
      </c>
      <c r="T1046">
        <f t="shared" si="1028"/>
        <v>-3.459918453135757E-3</v>
      </c>
    </row>
    <row r="1047" spans="1:20" x14ac:dyDescent="0.25">
      <c r="A1047" s="5">
        <v>43546</v>
      </c>
      <c r="B1047">
        <v>0.25790000000000002</v>
      </c>
      <c r="C1047">
        <v>0.27400000000000002</v>
      </c>
      <c r="D1047">
        <v>0.25700000000000001</v>
      </c>
      <c r="E1047">
        <v>0.27250000000000002</v>
      </c>
      <c r="F1047">
        <v>1566261.22</v>
      </c>
      <c r="G1047">
        <v>0</v>
      </c>
      <c r="L1047" t="s">
        <v>8</v>
      </c>
      <c r="M1047" t="s">
        <v>8</v>
      </c>
      <c r="N1047" t="s">
        <v>7</v>
      </c>
      <c r="P1047">
        <f t="shared" si="1024"/>
        <v>0.82352941176470584</v>
      </c>
      <c r="Q1047">
        <f t="shared" si="1025"/>
        <v>1289862.1811764706</v>
      </c>
      <c r="R1047">
        <f t="shared" si="1026"/>
        <v>227987.8586864355</v>
      </c>
      <c r="S1047">
        <f t="shared" si="1027"/>
        <v>2.279878586864355</v>
      </c>
      <c r="T1047">
        <f t="shared" si="1028"/>
        <v>2.2798785868643548E-3</v>
      </c>
    </row>
    <row r="1048" spans="1:20" x14ac:dyDescent="0.25">
      <c r="A1048" s="5">
        <v>43545</v>
      </c>
      <c r="B1048">
        <v>0.27139999999999997</v>
      </c>
      <c r="C1048">
        <v>0.27450000000000002</v>
      </c>
      <c r="D1048">
        <v>0.251</v>
      </c>
      <c r="E1048">
        <v>0.2591</v>
      </c>
      <c r="F1048">
        <v>2029823.6</v>
      </c>
      <c r="G1048">
        <v>0</v>
      </c>
      <c r="L1048" t="s">
        <v>7</v>
      </c>
      <c r="M1048" t="s">
        <v>8</v>
      </c>
      <c r="N1048" t="s">
        <v>7</v>
      </c>
      <c r="P1048">
        <f t="shared" si="1024"/>
        <v>-0.31063829787234137</v>
      </c>
      <c r="Q1048">
        <f t="shared" si="1025"/>
        <v>-630540.94808510831</v>
      </c>
      <c r="R1048">
        <f t="shared" si="1026"/>
        <v>-1061874.3224900351</v>
      </c>
      <c r="S1048">
        <f t="shared" si="1027"/>
        <v>-10.618743224900351</v>
      </c>
      <c r="T1048">
        <f t="shared" si="1028"/>
        <v>-1.0618743224900352E-2</v>
      </c>
    </row>
    <row r="1049" spans="1:20" x14ac:dyDescent="0.25">
      <c r="A1049" s="5">
        <v>43544</v>
      </c>
      <c r="B1049">
        <v>0.26729999999999998</v>
      </c>
      <c r="C1049">
        <v>0.27329999999999999</v>
      </c>
      <c r="D1049">
        <v>0.26669999999999999</v>
      </c>
      <c r="E1049">
        <v>0.27139999999999997</v>
      </c>
      <c r="F1049">
        <v>1091238.8700000001</v>
      </c>
      <c r="G1049">
        <v>0</v>
      </c>
      <c r="L1049" t="s">
        <v>7</v>
      </c>
      <c r="M1049" t="s">
        <v>8</v>
      </c>
      <c r="N1049" t="s">
        <v>7</v>
      </c>
      <c r="P1049">
        <f t="shared" si="1024"/>
        <v>0.42424242424241992</v>
      </c>
      <c r="Q1049">
        <f t="shared" si="1025"/>
        <v>462949.82363635895</v>
      </c>
      <c r="R1049">
        <f t="shared" si="1026"/>
        <v>-431333.37440492667</v>
      </c>
      <c r="S1049">
        <f t="shared" si="1027"/>
        <v>-4.3133337440492667</v>
      </c>
      <c r="T1049">
        <f t="shared" si="1028"/>
        <v>-4.3133337440492666E-3</v>
      </c>
    </row>
    <row r="1050" spans="1:20" x14ac:dyDescent="0.25">
      <c r="A1050" s="5">
        <v>43543</v>
      </c>
      <c r="B1050">
        <v>0.25979999999999998</v>
      </c>
      <c r="C1050">
        <v>0.26989999999999997</v>
      </c>
      <c r="D1050">
        <v>0.25929999999999997</v>
      </c>
      <c r="E1050">
        <v>0.26679999999999998</v>
      </c>
      <c r="F1050">
        <v>1080614.8400000001</v>
      </c>
      <c r="G1050">
        <v>0</v>
      </c>
      <c r="L1050" t="s">
        <v>7</v>
      </c>
      <c r="M1050" t="s">
        <v>8</v>
      </c>
      <c r="N1050" t="s">
        <v>7</v>
      </c>
      <c r="P1050">
        <f t="shared" si="1024"/>
        <v>0.41509433962264297</v>
      </c>
      <c r="Q1050">
        <f t="shared" si="1025"/>
        <v>448557.10339622805</v>
      </c>
      <c r="R1050">
        <f t="shared" si="1026"/>
        <v>-894283.19804128562</v>
      </c>
      <c r="S1050">
        <f t="shared" si="1027"/>
        <v>-8.9428319804128567</v>
      </c>
      <c r="T1050">
        <f t="shared" si="1028"/>
        <v>-8.9428319804128568E-3</v>
      </c>
    </row>
    <row r="1051" spans="1:20" x14ac:dyDescent="0.25">
      <c r="A1051" s="5">
        <v>43542</v>
      </c>
      <c r="B1051">
        <v>0.26390000000000002</v>
      </c>
      <c r="C1051">
        <v>0.27100000000000002</v>
      </c>
      <c r="D1051">
        <v>0.2571</v>
      </c>
      <c r="E1051">
        <v>0.25969999999999999</v>
      </c>
      <c r="F1051">
        <v>1037903.61</v>
      </c>
      <c r="G1051">
        <v>0</v>
      </c>
      <c r="L1051" t="s">
        <v>7</v>
      </c>
      <c r="M1051" t="s">
        <v>8</v>
      </c>
      <c r="N1051" t="s">
        <v>7</v>
      </c>
      <c r="P1051">
        <f t="shared" si="1024"/>
        <v>-0.62589928057554145</v>
      </c>
      <c r="Q1051">
        <f t="shared" si="1025"/>
        <v>-649623.12280575733</v>
      </c>
      <c r="R1051">
        <f t="shared" si="1026"/>
        <v>-1342840.3014375137</v>
      </c>
      <c r="S1051">
        <f t="shared" si="1027"/>
        <v>-13.428403014375137</v>
      </c>
      <c r="T1051">
        <f t="shared" si="1028"/>
        <v>-1.3428403014375137E-2</v>
      </c>
    </row>
    <row r="1052" spans="1:20" x14ac:dyDescent="0.25">
      <c r="A1052" s="5">
        <v>43541</v>
      </c>
      <c r="B1052">
        <v>0.26929999999999998</v>
      </c>
      <c r="C1052">
        <v>0.26950000000000002</v>
      </c>
      <c r="D1052">
        <v>0.2611</v>
      </c>
      <c r="E1052">
        <v>0.26390000000000002</v>
      </c>
      <c r="F1052">
        <v>1074534.3899999999</v>
      </c>
      <c r="G1052">
        <v>0</v>
      </c>
      <c r="L1052" t="s">
        <v>8</v>
      </c>
      <c r="M1052" t="s">
        <v>8</v>
      </c>
      <c r="N1052" t="s">
        <v>7</v>
      </c>
      <c r="P1052">
        <f t="shared" si="1024"/>
        <v>-0.33333333333332893</v>
      </c>
      <c r="Q1052">
        <f t="shared" si="1025"/>
        <v>-358178.12999999523</v>
      </c>
      <c r="R1052">
        <f t="shared" si="1026"/>
        <v>-693217.17863175634</v>
      </c>
      <c r="S1052">
        <f t="shared" si="1027"/>
        <v>-6.9321717863175634</v>
      </c>
      <c r="T1052">
        <f t="shared" si="1028"/>
        <v>-6.9321717863175631E-3</v>
      </c>
    </row>
    <row r="1053" spans="1:20" x14ac:dyDescent="0.25">
      <c r="A1053" s="5">
        <v>43540</v>
      </c>
      <c r="B1053">
        <v>0.27189999999999998</v>
      </c>
      <c r="C1053">
        <v>0.27579999999999999</v>
      </c>
      <c r="D1053">
        <v>0.26600000000000001</v>
      </c>
      <c r="E1053">
        <v>0.26939999999999997</v>
      </c>
      <c r="F1053">
        <v>2161823.98</v>
      </c>
      <c r="G1053">
        <v>0</v>
      </c>
      <c r="L1053" t="s">
        <v>8</v>
      </c>
      <c r="M1053" t="s">
        <v>8</v>
      </c>
      <c r="N1053" t="s">
        <v>7</v>
      </c>
      <c r="P1053">
        <f t="shared" si="1024"/>
        <v>-0.30612244897959856</v>
      </c>
      <c r="Q1053">
        <f t="shared" si="1025"/>
        <v>-661782.85102042265</v>
      </c>
      <c r="R1053">
        <f t="shared" si="1026"/>
        <v>-335039.04863176111</v>
      </c>
      <c r="S1053">
        <f t="shared" si="1027"/>
        <v>-3.350390486317611</v>
      </c>
      <c r="T1053">
        <f t="shared" si="1028"/>
        <v>-3.3503904863176111E-3</v>
      </c>
    </row>
    <row r="1054" spans="1:20" x14ac:dyDescent="0.25">
      <c r="A1054" s="5">
        <v>43539</v>
      </c>
      <c r="B1054">
        <v>0.26590000000000003</v>
      </c>
      <c r="C1054">
        <v>0.28089999999999998</v>
      </c>
      <c r="D1054">
        <v>0.2656</v>
      </c>
      <c r="E1054">
        <v>0.2717</v>
      </c>
      <c r="F1054">
        <v>2037155.9</v>
      </c>
      <c r="G1054">
        <v>0</v>
      </c>
      <c r="L1054" t="s">
        <v>8</v>
      </c>
      <c r="M1054" t="s">
        <v>8</v>
      </c>
      <c r="N1054" t="s">
        <v>7</v>
      </c>
      <c r="P1054">
        <f t="shared" si="1024"/>
        <v>-0.20261437908496704</v>
      </c>
      <c r="Q1054">
        <f t="shared" si="1025"/>
        <v>-412757.07777777722</v>
      </c>
      <c r="R1054">
        <f t="shared" si="1026"/>
        <v>326743.80238866154</v>
      </c>
      <c r="S1054">
        <f t="shared" si="1027"/>
        <v>3.2674380238866152</v>
      </c>
      <c r="T1054">
        <f t="shared" si="1028"/>
        <v>3.267438023886615E-3</v>
      </c>
    </row>
    <row r="1055" spans="1:20" x14ac:dyDescent="0.25">
      <c r="A1055" s="5">
        <v>43538</v>
      </c>
      <c r="B1055">
        <v>0.26800000000000002</v>
      </c>
      <c r="C1055">
        <v>0.26889999999999997</v>
      </c>
      <c r="D1055">
        <v>0.24809999999999999</v>
      </c>
      <c r="E1055">
        <v>0.26540000000000002</v>
      </c>
      <c r="F1055">
        <v>2124131.0299999998</v>
      </c>
      <c r="G1055">
        <v>0</v>
      </c>
      <c r="L1055" t="s">
        <v>7</v>
      </c>
      <c r="M1055" t="s">
        <v>8</v>
      </c>
      <c r="N1055" t="s">
        <v>7</v>
      </c>
      <c r="P1055">
        <f t="shared" si="1024"/>
        <v>0.66346153846154321</v>
      </c>
      <c r="Q1055">
        <f t="shared" si="1025"/>
        <v>1409279.2410577023</v>
      </c>
      <c r="R1055">
        <f t="shared" si="1026"/>
        <v>739500.88016643876</v>
      </c>
      <c r="S1055">
        <f t="shared" si="1027"/>
        <v>7.395008801664388</v>
      </c>
      <c r="T1055">
        <f t="shared" si="1028"/>
        <v>7.3950088016643883E-3</v>
      </c>
    </row>
    <row r="1056" spans="1:20" x14ac:dyDescent="0.25">
      <c r="A1056" s="5">
        <v>43537</v>
      </c>
      <c r="B1056">
        <v>0.27100000000000002</v>
      </c>
      <c r="C1056">
        <v>0.28339999999999999</v>
      </c>
      <c r="D1056">
        <v>0.26040000000000002</v>
      </c>
      <c r="E1056">
        <v>0.26869999999999999</v>
      </c>
      <c r="F1056">
        <v>2902930.73</v>
      </c>
      <c r="G1056">
        <v>0</v>
      </c>
      <c r="L1056" t="s">
        <v>8</v>
      </c>
      <c r="M1056" t="s">
        <v>8</v>
      </c>
      <c r="N1056" t="s">
        <v>7</v>
      </c>
      <c r="P1056">
        <f t="shared" si="1024"/>
        <v>-0.27826086956521856</v>
      </c>
      <c r="Q1056">
        <f t="shared" si="1025"/>
        <v>-807772.02921739465</v>
      </c>
      <c r="R1056">
        <f t="shared" si="1026"/>
        <v>-669778.36089126358</v>
      </c>
      <c r="S1056">
        <f t="shared" si="1027"/>
        <v>-6.6977836089126361</v>
      </c>
      <c r="T1056">
        <f t="shared" si="1028"/>
        <v>-6.6977836089126361E-3</v>
      </c>
    </row>
    <row r="1057" spans="1:20" x14ac:dyDescent="0.25">
      <c r="A1057" s="5">
        <v>43536</v>
      </c>
      <c r="B1057">
        <v>0.25669999999999998</v>
      </c>
      <c r="C1057">
        <v>0.27850000000000003</v>
      </c>
      <c r="D1057">
        <v>0.25</v>
      </c>
      <c r="E1057">
        <v>0.27079999999999999</v>
      </c>
      <c r="F1057">
        <v>2582512.37</v>
      </c>
      <c r="G1057">
        <v>0</v>
      </c>
      <c r="L1057" t="s">
        <v>7</v>
      </c>
      <c r="M1057" t="s">
        <v>8</v>
      </c>
      <c r="N1057" t="s">
        <v>7</v>
      </c>
      <c r="P1057">
        <f t="shared" si="1024"/>
        <v>0.4596491228070152</v>
      </c>
      <c r="Q1057">
        <f t="shared" si="1025"/>
        <v>1187049.5455087658</v>
      </c>
      <c r="R1057">
        <f t="shared" si="1026"/>
        <v>137993.66832613107</v>
      </c>
      <c r="S1057">
        <f t="shared" si="1027"/>
        <v>1.3799366832613107</v>
      </c>
      <c r="T1057">
        <f t="shared" si="1028"/>
        <v>1.3799366832613106E-3</v>
      </c>
    </row>
    <row r="1058" spans="1:20" x14ac:dyDescent="0.25">
      <c r="A1058" s="5">
        <v>43535</v>
      </c>
      <c r="B1058">
        <v>0.26960000000000001</v>
      </c>
      <c r="C1058">
        <v>0.28000000000000003</v>
      </c>
      <c r="D1058">
        <v>0.2477</v>
      </c>
      <c r="E1058">
        <v>0.25629999999999997</v>
      </c>
      <c r="F1058">
        <v>4482131.91</v>
      </c>
      <c r="G1058">
        <v>0</v>
      </c>
      <c r="L1058" t="s">
        <v>8</v>
      </c>
      <c r="M1058" t="s">
        <v>8</v>
      </c>
      <c r="N1058" t="s">
        <v>7</v>
      </c>
      <c r="P1058">
        <f t="shared" si="1024"/>
        <v>-0.46749226006192179</v>
      </c>
      <c r="Q1058">
        <f t="shared" si="1025"/>
        <v>-2095361.9765015582</v>
      </c>
      <c r="R1058">
        <f t="shared" si="1026"/>
        <v>-1049055.8771826348</v>
      </c>
      <c r="S1058">
        <f t="shared" si="1027"/>
        <v>-10.490558771826349</v>
      </c>
      <c r="T1058">
        <f t="shared" si="1028"/>
        <v>-1.0490558771826348E-2</v>
      </c>
    </row>
    <row r="1059" spans="1:20" x14ac:dyDescent="0.25">
      <c r="A1059" s="5">
        <v>43534</v>
      </c>
      <c r="B1059">
        <v>0.25090000000000001</v>
      </c>
      <c r="C1059">
        <v>0.27400000000000002</v>
      </c>
      <c r="D1059">
        <v>0.24909999999999999</v>
      </c>
      <c r="E1059">
        <v>0.26960000000000001</v>
      </c>
      <c r="F1059">
        <v>5546916.1500000004</v>
      </c>
      <c r="G1059">
        <v>0</v>
      </c>
      <c r="L1059" t="s">
        <v>8</v>
      </c>
      <c r="M1059" t="s">
        <v>8</v>
      </c>
      <c r="N1059" t="s">
        <v>7</v>
      </c>
      <c r="P1059">
        <f t="shared" si="1024"/>
        <v>0.64658634538152537</v>
      </c>
      <c r="Q1059">
        <f t="shared" si="1025"/>
        <v>3586560.2415662613</v>
      </c>
      <c r="R1059">
        <f t="shared" si="1026"/>
        <v>1046306.0993189234</v>
      </c>
      <c r="S1059">
        <f t="shared" si="1027"/>
        <v>10.463060993189234</v>
      </c>
      <c r="T1059">
        <f t="shared" si="1028"/>
        <v>1.0463060993189234E-2</v>
      </c>
    </row>
    <row r="1060" spans="1:20" x14ac:dyDescent="0.25">
      <c r="A1060" s="5">
        <v>43533</v>
      </c>
      <c r="B1060">
        <v>0.23480000000000001</v>
      </c>
      <c r="C1060">
        <v>0.26190000000000002</v>
      </c>
      <c r="D1060">
        <v>0.2339</v>
      </c>
      <c r="E1060">
        <v>0.25090000000000001</v>
      </c>
      <c r="F1060">
        <v>3672140.17</v>
      </c>
      <c r="G1060">
        <v>0</v>
      </c>
      <c r="L1060" t="s">
        <v>8</v>
      </c>
      <c r="M1060" t="s">
        <v>8</v>
      </c>
      <c r="N1060" t="s">
        <v>7</v>
      </c>
      <c r="P1060">
        <f t="shared" si="1024"/>
        <v>0.21428571428571427</v>
      </c>
      <c r="Q1060">
        <f t="shared" si="1025"/>
        <v>786887.17928571417</v>
      </c>
      <c r="R1060">
        <f t="shared" si="1026"/>
        <v>-2540254.1422473378</v>
      </c>
      <c r="S1060">
        <f t="shared" si="1027"/>
        <v>-25.40254142247338</v>
      </c>
      <c r="T1060">
        <f t="shared" si="1028"/>
        <v>-2.540254142247338E-2</v>
      </c>
    </row>
    <row r="1061" spans="1:20" x14ac:dyDescent="0.25">
      <c r="A1061" s="5">
        <v>43532</v>
      </c>
      <c r="B1061">
        <v>0.23910000000000001</v>
      </c>
      <c r="C1061">
        <v>0.245</v>
      </c>
      <c r="D1061">
        <v>0.23119999999999999</v>
      </c>
      <c r="E1061">
        <v>0.23480000000000001</v>
      </c>
      <c r="F1061">
        <v>2512437.6800000002</v>
      </c>
      <c r="G1061">
        <v>0</v>
      </c>
      <c r="L1061" t="s">
        <v>8</v>
      </c>
      <c r="M1061" t="s">
        <v>7</v>
      </c>
      <c r="N1061" t="s">
        <v>7</v>
      </c>
      <c r="P1061">
        <f t="shared" si="1024"/>
        <v>-0.47826086956521474</v>
      </c>
      <c r="Q1061">
        <f t="shared" si="1025"/>
        <v>-1201600.6295652108</v>
      </c>
      <c r="R1061">
        <f t="shared" si="1026"/>
        <v>-3327141.3215330523</v>
      </c>
      <c r="S1061">
        <f t="shared" si="1027"/>
        <v>-33.271413215330526</v>
      </c>
      <c r="T1061">
        <f t="shared" si="1028"/>
        <v>-3.3271413215330524E-2</v>
      </c>
    </row>
    <row r="1062" spans="1:20" x14ac:dyDescent="0.25">
      <c r="A1062" s="5">
        <v>43531</v>
      </c>
      <c r="B1062">
        <v>0.24490000000000001</v>
      </c>
      <c r="C1062">
        <v>0.24729999999999999</v>
      </c>
      <c r="D1062">
        <v>0.2361</v>
      </c>
      <c r="E1062">
        <v>0.2387</v>
      </c>
      <c r="F1062">
        <v>1943239.83</v>
      </c>
      <c r="G1062">
        <v>0</v>
      </c>
      <c r="L1062" t="s">
        <v>8</v>
      </c>
      <c r="M1062" t="s">
        <v>7</v>
      </c>
      <c r="N1062" t="s">
        <v>7</v>
      </c>
      <c r="P1062">
        <f t="shared" si="1024"/>
        <v>-0.53571428571428681</v>
      </c>
      <c r="Q1062">
        <f t="shared" si="1025"/>
        <v>-1041021.3375000021</v>
      </c>
      <c r="R1062">
        <f t="shared" si="1026"/>
        <v>-2125540.6919678417</v>
      </c>
      <c r="S1062">
        <f t="shared" si="1027"/>
        <v>-21.255406919678418</v>
      </c>
      <c r="T1062">
        <f t="shared" si="1028"/>
        <v>-2.1255406919678418E-2</v>
      </c>
    </row>
    <row r="1063" spans="1:20" x14ac:dyDescent="0.25">
      <c r="A1063" s="5">
        <v>43530</v>
      </c>
      <c r="B1063">
        <v>0.23710000000000001</v>
      </c>
      <c r="C1063">
        <v>0.25</v>
      </c>
      <c r="D1063">
        <v>0.23139999999999999</v>
      </c>
      <c r="E1063">
        <v>0.24429999999999999</v>
      </c>
      <c r="F1063">
        <v>1012343.66</v>
      </c>
      <c r="G1063">
        <v>0</v>
      </c>
      <c r="L1063" t="s">
        <v>8</v>
      </c>
      <c r="M1063" t="s">
        <v>7</v>
      </c>
      <c r="N1063" t="s">
        <v>7</v>
      </c>
      <c r="P1063">
        <f t="shared" si="1024"/>
        <v>0.38709677419354743</v>
      </c>
      <c r="Q1063">
        <f t="shared" si="1025"/>
        <v>391874.96516128938</v>
      </c>
      <c r="R1063">
        <f t="shared" si="1026"/>
        <v>-1084519.3544678397</v>
      </c>
      <c r="S1063">
        <f t="shared" si="1027"/>
        <v>-10.845193544678397</v>
      </c>
      <c r="T1063">
        <f t="shared" si="1028"/>
        <v>-1.0845193544678397E-2</v>
      </c>
    </row>
    <row r="1064" spans="1:20" x14ac:dyDescent="0.25">
      <c r="A1064" s="5">
        <v>43529</v>
      </c>
      <c r="B1064">
        <v>0.22639999999999999</v>
      </c>
      <c r="C1064">
        <v>0.2407</v>
      </c>
      <c r="D1064">
        <v>0.22120000000000001</v>
      </c>
      <c r="E1064">
        <v>0.23710000000000001</v>
      </c>
      <c r="F1064">
        <v>959113.49</v>
      </c>
      <c r="G1064">
        <v>0</v>
      </c>
      <c r="L1064" t="s">
        <v>8</v>
      </c>
      <c r="M1064" t="s">
        <v>7</v>
      </c>
      <c r="N1064" t="s">
        <v>7</v>
      </c>
      <c r="P1064">
        <f t="shared" si="1024"/>
        <v>0.63076923076923141</v>
      </c>
      <c r="Q1064">
        <f t="shared" si="1025"/>
        <v>604979.27830769296</v>
      </c>
      <c r="R1064">
        <f t="shared" si="1026"/>
        <v>-1476394.319629129</v>
      </c>
      <c r="S1064">
        <f t="shared" si="1027"/>
        <v>-14.76394319629129</v>
      </c>
      <c r="T1064">
        <f t="shared" si="1028"/>
        <v>-1.476394319629129E-2</v>
      </c>
    </row>
    <row r="1065" spans="1:20" x14ac:dyDescent="0.25">
      <c r="A1065" s="5">
        <v>43528</v>
      </c>
      <c r="B1065">
        <v>0.24030000000000001</v>
      </c>
      <c r="C1065">
        <v>0.24160000000000001</v>
      </c>
      <c r="D1065">
        <v>0.21709999999999999</v>
      </c>
      <c r="E1065">
        <v>0.22639999999999999</v>
      </c>
      <c r="F1065">
        <v>1203714.29</v>
      </c>
      <c r="G1065">
        <v>0</v>
      </c>
      <c r="L1065" t="s">
        <v>7</v>
      </c>
      <c r="M1065" t="s">
        <v>7</v>
      </c>
      <c r="N1065" t="s">
        <v>7</v>
      </c>
      <c r="P1065">
        <f t="shared" si="1024"/>
        <v>-0.24081632653061269</v>
      </c>
      <c r="Q1065">
        <f t="shared" si="1025"/>
        <v>-289874.0535102046</v>
      </c>
      <c r="R1065">
        <f t="shared" si="1026"/>
        <v>-2081373.5979368221</v>
      </c>
      <c r="S1065">
        <f t="shared" si="1027"/>
        <v>-20.813735979368222</v>
      </c>
      <c r="T1065">
        <f t="shared" si="1028"/>
        <v>-2.0813735979368222E-2</v>
      </c>
    </row>
    <row r="1066" spans="1:20" x14ac:dyDescent="0.25">
      <c r="A1066" s="5">
        <v>43527</v>
      </c>
      <c r="B1066">
        <v>0.2432</v>
      </c>
      <c r="C1066">
        <v>0.245</v>
      </c>
      <c r="D1066">
        <v>0.23719999999999999</v>
      </c>
      <c r="E1066">
        <v>0.2402</v>
      </c>
      <c r="F1066">
        <v>675001.66</v>
      </c>
      <c r="G1066">
        <v>0</v>
      </c>
      <c r="L1066" t="s">
        <v>7</v>
      </c>
      <c r="M1066" t="s">
        <v>7</v>
      </c>
      <c r="N1066" t="s">
        <v>7</v>
      </c>
      <c r="P1066">
        <f t="shared" si="1024"/>
        <v>-0.23076923076923023</v>
      </c>
      <c r="Q1066">
        <f t="shared" si="1025"/>
        <v>-155769.61384615349</v>
      </c>
      <c r="R1066">
        <f t="shared" si="1026"/>
        <v>-1791499.5444266174</v>
      </c>
      <c r="S1066">
        <f t="shared" si="1027"/>
        <v>-17.914995444266175</v>
      </c>
      <c r="T1066">
        <f t="shared" si="1028"/>
        <v>-1.7914995444266175E-2</v>
      </c>
    </row>
    <row r="1067" spans="1:20" x14ac:dyDescent="0.25">
      <c r="A1067" s="5">
        <v>43526</v>
      </c>
      <c r="B1067">
        <v>0.2477</v>
      </c>
      <c r="C1067">
        <v>0.25879999999999997</v>
      </c>
      <c r="D1067">
        <v>0.24030000000000001</v>
      </c>
      <c r="E1067">
        <v>0.2432</v>
      </c>
      <c r="F1067">
        <v>901096.63</v>
      </c>
      <c r="G1067">
        <v>0</v>
      </c>
      <c r="L1067" t="s">
        <v>7</v>
      </c>
      <c r="M1067" t="s">
        <v>7</v>
      </c>
      <c r="N1067" t="s">
        <v>7</v>
      </c>
      <c r="P1067">
        <f t="shared" si="1024"/>
        <v>-0.68648648648648736</v>
      </c>
      <c r="Q1067">
        <f t="shared" si="1025"/>
        <v>-618590.65951351426</v>
      </c>
      <c r="R1067">
        <f t="shared" si="1026"/>
        <v>-1635729.930580464</v>
      </c>
      <c r="S1067">
        <f t="shared" si="1027"/>
        <v>-16.357299305804638</v>
      </c>
      <c r="T1067">
        <f t="shared" si="1028"/>
        <v>-1.6357299305804637E-2</v>
      </c>
    </row>
    <row r="1068" spans="1:20" x14ac:dyDescent="0.25">
      <c r="A1068" s="5">
        <v>43525</v>
      </c>
      <c r="B1068">
        <v>0.24779999999999999</v>
      </c>
      <c r="C1068">
        <v>0.25090000000000001</v>
      </c>
      <c r="D1068">
        <v>0.245</v>
      </c>
      <c r="E1068">
        <v>0.24829999999999999</v>
      </c>
      <c r="F1068">
        <v>589241.56999999995</v>
      </c>
      <c r="G1068">
        <v>0</v>
      </c>
      <c r="L1068" t="s">
        <v>7</v>
      </c>
      <c r="M1068" t="s">
        <v>7</v>
      </c>
      <c r="N1068" t="s">
        <v>7</v>
      </c>
      <c r="P1068">
        <f t="shared" si="1024"/>
        <v>0.11864406779660619</v>
      </c>
      <c r="Q1068">
        <f t="shared" si="1025"/>
        <v>69910.016779658661</v>
      </c>
      <c r="R1068">
        <f t="shared" si="1026"/>
        <v>-1017139.2710669497</v>
      </c>
      <c r="S1068">
        <f t="shared" si="1027"/>
        <v>-10.171392710669497</v>
      </c>
      <c r="T1068">
        <f t="shared" si="1028"/>
        <v>-1.0171392710669497E-2</v>
      </c>
    </row>
    <row r="1069" spans="1:20" x14ac:dyDescent="0.25">
      <c r="A1069" s="5">
        <v>43524</v>
      </c>
      <c r="B1069">
        <v>0.26500000000000001</v>
      </c>
      <c r="C1069">
        <v>0.27700000000000002</v>
      </c>
      <c r="D1069">
        <v>0.24310000000000001</v>
      </c>
      <c r="E1069">
        <v>0.2477</v>
      </c>
      <c r="F1069">
        <v>1491942.14</v>
      </c>
      <c r="G1069">
        <v>0</v>
      </c>
      <c r="P1069">
        <f t="shared" si="1024"/>
        <v>-0.72861356932153443</v>
      </c>
      <c r="Q1069">
        <f t="shared" si="1025"/>
        <v>-1087049.2878466083</v>
      </c>
      <c r="R1069">
        <f t="shared" si="1026"/>
        <v>-1087049.2878466083</v>
      </c>
      <c r="S1069">
        <f t="shared" si="1027"/>
        <v>-10.870492878466083</v>
      </c>
      <c r="T1069">
        <f t="shared" si="1028"/>
        <v>-1.0870492878466082E-2</v>
      </c>
    </row>
    <row r="1070" spans="1:20" x14ac:dyDescent="0.25">
      <c r="A1070" s="5"/>
      <c r="C1070"/>
      <c r="D1070"/>
    </row>
    <row r="1071" spans="1:20" x14ac:dyDescent="0.25">
      <c r="A1071" s="5"/>
      <c r="C1071"/>
      <c r="D1071"/>
    </row>
    <row r="1072" spans="1:20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QV620" sqref="QV620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$A$619</v>
      </c>
      <c r="D111" s="1" t="str">
        <f>ADDRESS(C121-1,D121,1,1)</f>
        <v>$QV$619</v>
      </c>
      <c r="E111"/>
    </row>
    <row r="112" spans="1:5" x14ac:dyDescent="0.25">
      <c r="A112" s="7">
        <v>12164.144957890772</v>
      </c>
      <c r="C112" s="1" t="str">
        <f>ADDRESS(C121,1,1,1)</f>
        <v>$A$620</v>
      </c>
      <c r="D112" s="1" t="str">
        <f>ADDRESS(C121,D121-1,1,1)</f>
        <v>$QU$620</v>
      </c>
      <c r="E112"/>
    </row>
    <row r="113" spans="1:5" x14ac:dyDescent="0.25">
      <c r="A113" s="7">
        <v>11925.63231165762</v>
      </c>
      <c r="C113" s="1" t="str">
        <f>ADDRESS(C121+1,1,1,1)</f>
        <v>$A$621</v>
      </c>
      <c r="D113" s="1" t="str">
        <f>ADDRESS(C121-1,D121+1,1,1)</f>
        <v>$QW$619</v>
      </c>
    </row>
    <row r="114" spans="1:5" x14ac:dyDescent="0.25">
      <c r="A114" s="7">
        <v>11691.796383978059</v>
      </c>
      <c r="C114" s="1" t="str">
        <f>ADDRESS(C121,D121,1,1)</f>
        <v>$QV$620</v>
      </c>
      <c r="D114" s="1" t="str">
        <f>ADDRESS(C121+1,D121+1,1,1)</f>
        <v>$QW$621</v>
      </c>
    </row>
    <row r="115" spans="1:5" x14ac:dyDescent="0.25">
      <c r="A115" s="7">
        <v>11462.545474488292</v>
      </c>
      <c r="C115" s="1" t="str">
        <f>ADDRESS(C121+1,D121,1,1)</f>
        <v>$QV$621</v>
      </c>
    </row>
    <row r="116" spans="1:5" x14ac:dyDescent="0.25">
      <c r="A116" s="7">
        <v>11237.789680870874</v>
      </c>
      <c r="C116" s="1">
        <f>C117-1</f>
        <v>619</v>
      </c>
    </row>
    <row r="117" spans="1:5" x14ac:dyDescent="0.25">
      <c r="A117" s="7">
        <v>11017.440863598895</v>
      </c>
      <c r="C117" s="1">
        <f>C121</f>
        <v>620</v>
      </c>
      <c r="D117" s="1">
        <f>D121</f>
        <v>464</v>
      </c>
    </row>
    <row r="118" spans="1:5" x14ac:dyDescent="0.25">
      <c r="A118" s="7">
        <v>10801.412611371465</v>
      </c>
      <c r="C118" s="1">
        <f>C117+1</f>
        <v>621</v>
      </c>
      <c r="D118" s="1">
        <f>D117+1</f>
        <v>465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620</v>
      </c>
      <c r="D121" s="19">
        <v>464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R620</v>
      </c>
      <c r="D123" s="1" t="str">
        <f>"C"&amp;D121</f>
        <v>C464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0.52022872893901284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322" x14ac:dyDescent="0.25">
      <c r="A529" s="7">
        <v>3.1536243640574906</v>
      </c>
      <c r="B529"/>
      <c r="C529"/>
      <c r="D529"/>
      <c r="E529"/>
    </row>
    <row r="530" spans="1:322" x14ac:dyDescent="0.25">
      <c r="A530" s="7">
        <v>3.0917885922132262</v>
      </c>
      <c r="B530"/>
      <c r="C530"/>
      <c r="D530"/>
      <c r="E530"/>
    </row>
    <row r="531" spans="1:322" x14ac:dyDescent="0.25">
      <c r="A531" s="7">
        <v>3.0311652864835552</v>
      </c>
      <c r="B531"/>
      <c r="C531"/>
      <c r="D531"/>
      <c r="E531"/>
    </row>
    <row r="532" spans="1:322" x14ac:dyDescent="0.25">
      <c r="A532" s="7">
        <v>2.9717306730230932</v>
      </c>
      <c r="B532"/>
      <c r="C532"/>
      <c r="D532"/>
      <c r="E532"/>
    </row>
    <row r="533" spans="1:322" x14ac:dyDescent="0.25">
      <c r="A533" s="7">
        <v>2.9134614441402875</v>
      </c>
      <c r="B533"/>
      <c r="C533"/>
      <c r="D533"/>
      <c r="E533"/>
    </row>
    <row r="534" spans="1:322" x14ac:dyDescent="0.25">
      <c r="A534" s="7">
        <v>2.8563347491571447</v>
      </c>
      <c r="B534"/>
      <c r="C534"/>
      <c r="D534"/>
      <c r="E534"/>
    </row>
    <row r="535" spans="1:322" x14ac:dyDescent="0.25">
      <c r="A535" s="7">
        <v>2.8003281854481812</v>
      </c>
      <c r="B535"/>
      <c r="C535"/>
      <c r="D535"/>
      <c r="E535"/>
    </row>
    <row r="536" spans="1:322" x14ac:dyDescent="0.25">
      <c r="A536" s="7">
        <v>2.7454197896550796</v>
      </c>
      <c r="B536"/>
      <c r="C536"/>
      <c r="D536"/>
      <c r="E536"/>
    </row>
    <row r="537" spans="1:322" x14ac:dyDescent="0.25">
      <c r="A537" s="7">
        <v>2.6915880290736074</v>
      </c>
      <c r="B537"/>
      <c r="C537"/>
      <c r="D537"/>
      <c r="E537"/>
    </row>
    <row r="538" spans="1:322" x14ac:dyDescent="0.25">
      <c r="A538" s="7">
        <v>2.6388117932094191</v>
      </c>
      <c r="B538"/>
      <c r="C538"/>
      <c r="D538"/>
      <c r="E538"/>
    </row>
    <row r="539" spans="1:322" x14ac:dyDescent="0.25">
      <c r="A539" s="7">
        <v>2.5870703854994304</v>
      </c>
      <c r="B539"/>
      <c r="C539"/>
      <c r="D539"/>
      <c r="E539"/>
    </row>
    <row r="540" spans="1:322" x14ac:dyDescent="0.25">
      <c r="A540" s="7">
        <v>2.53634351519552</v>
      </c>
      <c r="B540"/>
      <c r="C540"/>
      <c r="D540"/>
      <c r="E540"/>
    </row>
    <row r="541" spans="1:322" x14ac:dyDescent="0.25">
      <c r="A541" s="7">
        <v>2.4866112894073726</v>
      </c>
      <c r="B541"/>
      <c r="C541"/>
      <c r="D541"/>
      <c r="E541"/>
    </row>
    <row r="542" spans="1:322" x14ac:dyDescent="0.25">
      <c r="A542" s="7">
        <v>2.4378542053013459</v>
      </c>
      <c r="B542"/>
      <c r="C542"/>
      <c r="D542"/>
      <c r="E542"/>
    </row>
    <row r="543" spans="1:322" x14ac:dyDescent="0.25">
      <c r="A543" s="7">
        <v>2.3900531424522997</v>
      </c>
      <c r="B543"/>
      <c r="C543"/>
      <c r="D543"/>
      <c r="E543"/>
      <c r="LI543" s="27" t="s">
        <v>8</v>
      </c>
    </row>
    <row r="544" spans="1:322" x14ac:dyDescent="0.25">
      <c r="A544" s="7">
        <v>2.343189355345392</v>
      </c>
      <c r="B544"/>
      <c r="C544"/>
      <c r="D544"/>
      <c r="E544"/>
      <c r="LG544" s="27" t="s">
        <v>8</v>
      </c>
      <c r="LI544" s="27" t="s">
        <v>8</v>
      </c>
      <c r="LJ544" s="27" t="s">
        <v>7</v>
      </c>
    </row>
    <row r="545" spans="1:344" x14ac:dyDescent="0.25">
      <c r="A545" s="7">
        <v>2.2972444660248938</v>
      </c>
      <c r="B545"/>
      <c r="C545"/>
      <c r="D545"/>
      <c r="E545"/>
      <c r="LG545" s="27" t="s">
        <v>8</v>
      </c>
      <c r="LH545" s="27" t="s">
        <v>7</v>
      </c>
      <c r="LI545" s="27" t="s">
        <v>8</v>
      </c>
      <c r="LJ545" s="27" t="s">
        <v>7</v>
      </c>
    </row>
    <row r="546" spans="1:344" x14ac:dyDescent="0.25">
      <c r="A546" s="7">
        <v>2.252200456887151</v>
      </c>
      <c r="B546"/>
      <c r="C546"/>
      <c r="D546"/>
      <c r="E546"/>
      <c r="LG546" s="27" t="s">
        <v>8</v>
      </c>
      <c r="LH546" s="27" t="s">
        <v>7</v>
      </c>
      <c r="LI546" s="27" t="s">
        <v>8</v>
      </c>
      <c r="LJ546" s="27" t="s">
        <v>7</v>
      </c>
    </row>
    <row r="547" spans="1:344" x14ac:dyDescent="0.25">
      <c r="A547" s="7">
        <v>2.208039663614854</v>
      </c>
      <c r="B547"/>
      <c r="C547"/>
      <c r="D547"/>
      <c r="E547"/>
      <c r="LG547" s="27" t="s">
        <v>8</v>
      </c>
      <c r="LH547" s="27" t="s">
        <v>7</v>
      </c>
      <c r="LI547" s="27" t="s">
        <v>8</v>
      </c>
      <c r="LJ547" s="27" t="s">
        <v>7</v>
      </c>
      <c r="LK547" s="27" t="s">
        <v>8</v>
      </c>
      <c r="MA547" s="27" t="s">
        <v>8</v>
      </c>
    </row>
    <row r="548" spans="1:344" x14ac:dyDescent="0.25">
      <c r="A548" s="7">
        <v>2.1647447682498568</v>
      </c>
      <c r="B548"/>
      <c r="C548"/>
      <c r="D548"/>
      <c r="E548"/>
      <c r="LG548" s="27" t="s">
        <v>8</v>
      </c>
      <c r="LH548" s="27" t="s">
        <v>7</v>
      </c>
      <c r="LI548" s="27" t="s">
        <v>8</v>
      </c>
      <c r="LJ548" s="27" t="s">
        <v>7</v>
      </c>
      <c r="LK548" s="27" t="s">
        <v>8</v>
      </c>
      <c r="LL548" s="27" t="s">
        <v>7</v>
      </c>
      <c r="LM548" s="27" t="s">
        <v>8</v>
      </c>
      <c r="MA548" s="27" t="s">
        <v>8</v>
      </c>
      <c r="MB548" s="27" t="s">
        <v>7</v>
      </c>
    </row>
    <row r="549" spans="1:344" x14ac:dyDescent="0.25">
      <c r="A549" s="7">
        <v>2.1222987924018204</v>
      </c>
      <c r="B549"/>
      <c r="C549"/>
      <c r="D549"/>
      <c r="E549"/>
      <c r="LG549" s="27" t="s">
        <v>8</v>
      </c>
      <c r="LH549" s="27" t="s">
        <v>7</v>
      </c>
      <c r="LI549" s="27" t="s">
        <v>8</v>
      </c>
      <c r="LJ549" s="27" t="s">
        <v>7</v>
      </c>
      <c r="LK549" s="27" t="s">
        <v>8</v>
      </c>
      <c r="LL549" s="27" t="s">
        <v>7</v>
      </c>
      <c r="LM549" s="27" t="s">
        <v>8</v>
      </c>
      <c r="LN549" s="27" t="s">
        <v>7</v>
      </c>
      <c r="MA549" s="27" t="s">
        <v>8</v>
      </c>
      <c r="MB549" s="27" t="s">
        <v>7</v>
      </c>
    </row>
    <row r="550" spans="1:344" x14ac:dyDescent="0.25">
      <c r="A550" s="7">
        <v>2.0806850905900198</v>
      </c>
      <c r="B550"/>
      <c r="C550"/>
      <c r="D550"/>
      <c r="E550"/>
      <c r="LC550" s="27" t="s">
        <v>8</v>
      </c>
      <c r="LG550" s="27" t="s">
        <v>8</v>
      </c>
      <c r="LH550" s="27" t="s">
        <v>7</v>
      </c>
      <c r="LI550" s="27" t="s">
        <v>8</v>
      </c>
      <c r="LJ550" s="27" t="s">
        <v>7</v>
      </c>
      <c r="LL550" s="27" t="s">
        <v>7</v>
      </c>
      <c r="LM550" s="27" t="s">
        <v>8</v>
      </c>
      <c r="LN550" s="27" t="s">
        <v>7</v>
      </c>
      <c r="MA550" s="27" t="s">
        <v>8</v>
      </c>
      <c r="MB550" s="27" t="s">
        <v>7</v>
      </c>
    </row>
    <row r="551" spans="1:344" x14ac:dyDescent="0.25">
      <c r="A551" s="7">
        <v>2.0398873437157055</v>
      </c>
      <c r="B551"/>
      <c r="C551"/>
      <c r="D551"/>
      <c r="E551"/>
      <c r="LC551" s="27" t="s">
        <v>8</v>
      </c>
      <c r="LD551" s="27" t="s">
        <v>7</v>
      </c>
      <c r="LG551" s="27" t="s">
        <v>8</v>
      </c>
      <c r="LH551" s="27" t="s">
        <v>7</v>
      </c>
      <c r="LL551" s="27" t="s">
        <v>7</v>
      </c>
      <c r="LM551" s="27" t="s">
        <v>8</v>
      </c>
      <c r="LN551" s="27" t="s">
        <v>7</v>
      </c>
      <c r="MA551" s="27" t="s">
        <v>8</v>
      </c>
      <c r="MB551" s="27" t="s">
        <v>7</v>
      </c>
      <c r="MC551" s="27" t="s">
        <v>8</v>
      </c>
    </row>
    <row r="552" spans="1:344" x14ac:dyDescent="0.25">
      <c r="A552" s="7">
        <v>1.9998895526624565</v>
      </c>
      <c r="B552"/>
      <c r="C552"/>
      <c r="D552"/>
      <c r="E552"/>
      <c r="KC552" s="27" t="s">
        <v>8</v>
      </c>
      <c r="KE552" s="27" t="s">
        <v>8</v>
      </c>
      <c r="LC552" s="27" t="s">
        <v>8</v>
      </c>
      <c r="LD552" s="27" t="s">
        <v>7</v>
      </c>
      <c r="LG552" s="27" t="s">
        <v>8</v>
      </c>
      <c r="LL552" s="27" t="s">
        <v>7</v>
      </c>
      <c r="LN552" s="27" t="s">
        <v>7</v>
      </c>
      <c r="LW552" s="27" t="s">
        <v>8</v>
      </c>
      <c r="MA552" s="27" t="s">
        <v>8</v>
      </c>
      <c r="MB552" s="27" t="s">
        <v>7</v>
      </c>
      <c r="MC552" s="27" t="s">
        <v>8</v>
      </c>
      <c r="MD552" s="27" t="s">
        <v>7</v>
      </c>
    </row>
    <row r="553" spans="1:344" x14ac:dyDescent="0.25">
      <c r="A553" s="7">
        <v>1.9606760320220162</v>
      </c>
      <c r="B553"/>
      <c r="C553"/>
      <c r="D553"/>
      <c r="E553"/>
      <c r="JY553" s="27" t="s">
        <v>8</v>
      </c>
      <c r="KC553" s="27" t="s">
        <v>8</v>
      </c>
      <c r="KD553" s="27" t="s">
        <v>7</v>
      </c>
      <c r="KE553" s="27" t="s">
        <v>8</v>
      </c>
      <c r="KF553" s="27" t="s">
        <v>7</v>
      </c>
      <c r="LC553" s="27" t="s">
        <v>8</v>
      </c>
      <c r="LD553" s="27" t="s">
        <v>7</v>
      </c>
      <c r="LG553" s="27" t="s">
        <v>8</v>
      </c>
      <c r="LN553" s="27" t="s">
        <v>7</v>
      </c>
      <c r="LW553" s="27" t="s">
        <v>8</v>
      </c>
      <c r="LX553" s="27" t="s">
        <v>7</v>
      </c>
      <c r="LY553" s="27" t="s">
        <v>8</v>
      </c>
      <c r="MA553" s="27" t="s">
        <v>8</v>
      </c>
      <c r="MB553" s="27" t="s">
        <v>7</v>
      </c>
      <c r="MC553" s="27" t="s">
        <v>8</v>
      </c>
      <c r="MD553" s="27" t="s">
        <v>7</v>
      </c>
    </row>
    <row r="554" spans="1:344" x14ac:dyDescent="0.25">
      <c r="A554" s="7">
        <v>1.9222314039431532</v>
      </c>
      <c r="B554"/>
      <c r="C554"/>
      <c r="D554"/>
      <c r="E554"/>
      <c r="JY554" s="27" t="s">
        <v>8</v>
      </c>
      <c r="JZ554" s="27" t="s">
        <v>7</v>
      </c>
      <c r="KC554" s="27" t="s">
        <v>8</v>
      </c>
      <c r="KD554" s="27" t="s">
        <v>7</v>
      </c>
      <c r="KE554" s="27" t="s">
        <v>8</v>
      </c>
      <c r="KF554" s="27" t="s">
        <v>7</v>
      </c>
      <c r="LC554" s="27" t="s">
        <v>8</v>
      </c>
      <c r="LD554" s="27" t="s">
        <v>7</v>
      </c>
      <c r="LE554" s="27" t="s">
        <v>8</v>
      </c>
      <c r="LG554" s="27" t="s">
        <v>8</v>
      </c>
      <c r="LN554" s="27" t="s">
        <v>7</v>
      </c>
      <c r="LW554" s="27" t="s">
        <v>8</v>
      </c>
      <c r="LX554" s="27" t="s">
        <v>7</v>
      </c>
      <c r="LY554" s="27" t="s">
        <v>8</v>
      </c>
      <c r="LZ554" s="27" t="s">
        <v>7</v>
      </c>
      <c r="MA554" s="27" t="s">
        <v>8</v>
      </c>
      <c r="MB554" s="27" t="s">
        <v>7</v>
      </c>
      <c r="MC554" s="27" t="s">
        <v>8</v>
      </c>
      <c r="MD554" s="27" t="s">
        <v>7</v>
      </c>
    </row>
    <row r="555" spans="1:344" x14ac:dyDescent="0.25">
      <c r="A555" s="7">
        <v>1.8845405921011305</v>
      </c>
      <c r="B555"/>
      <c r="C555"/>
      <c r="D555"/>
      <c r="E555"/>
      <c r="JY555" s="27" t="s">
        <v>8</v>
      </c>
      <c r="JZ555" s="27" t="s">
        <v>7</v>
      </c>
      <c r="KC555" s="27" t="s">
        <v>8</v>
      </c>
      <c r="KD555" s="27" t="s">
        <v>7</v>
      </c>
      <c r="KE555" s="27" t="s">
        <v>8</v>
      </c>
      <c r="KF555" s="27" t="s">
        <v>7</v>
      </c>
      <c r="KK555" s="27" t="s">
        <v>8</v>
      </c>
      <c r="LC555" s="27" t="s">
        <v>8</v>
      </c>
      <c r="LD555" s="27" t="s">
        <v>7</v>
      </c>
      <c r="LE555" s="27" t="s">
        <v>8</v>
      </c>
      <c r="LF555" s="27" t="s">
        <v>7</v>
      </c>
      <c r="LG555" s="27" t="s">
        <v>8</v>
      </c>
      <c r="LN555" s="27" t="s">
        <v>7</v>
      </c>
      <c r="LW555" s="27" t="s">
        <v>8</v>
      </c>
      <c r="LX555" s="27" t="s">
        <v>7</v>
      </c>
      <c r="LY555" s="27" t="s">
        <v>8</v>
      </c>
      <c r="LZ555" s="27" t="s">
        <v>7</v>
      </c>
      <c r="MA555" s="27" t="s">
        <v>8</v>
      </c>
      <c r="MB555" s="27" t="s">
        <v>7</v>
      </c>
      <c r="MC555" s="27" t="s">
        <v>8</v>
      </c>
      <c r="MD555" s="27" t="s">
        <v>7</v>
      </c>
    </row>
    <row r="556" spans="1:344" x14ac:dyDescent="0.25">
      <c r="A556" s="7">
        <v>1.8475888157854219</v>
      </c>
      <c r="B556"/>
      <c r="C556"/>
      <c r="D556"/>
      <c r="E556"/>
      <c r="JY556" s="27" t="s">
        <v>8</v>
      </c>
      <c r="JZ556" s="27" t="s">
        <v>7</v>
      </c>
      <c r="KC556" s="27" t="s">
        <v>8</v>
      </c>
      <c r="KD556" s="27" t="s">
        <v>7</v>
      </c>
      <c r="KE556" s="27" t="s">
        <v>8</v>
      </c>
      <c r="KF556" s="27" t="s">
        <v>7</v>
      </c>
      <c r="KK556" s="27" t="s">
        <v>8</v>
      </c>
      <c r="KL556" s="27" t="s">
        <v>7</v>
      </c>
      <c r="LC556" s="27" t="s">
        <v>8</v>
      </c>
      <c r="LD556" s="27" t="s">
        <v>7</v>
      </c>
      <c r="LE556" s="27" t="s">
        <v>8</v>
      </c>
      <c r="LF556" s="27" t="s">
        <v>7</v>
      </c>
      <c r="LG556" s="27" t="s">
        <v>8</v>
      </c>
      <c r="LN556" s="27" t="s">
        <v>7</v>
      </c>
      <c r="LO556" s="27" t="s">
        <v>8</v>
      </c>
      <c r="LU556" s="27" t="s">
        <v>8</v>
      </c>
      <c r="LW556" s="27" t="s">
        <v>8</v>
      </c>
      <c r="LX556" s="27" t="s">
        <v>7</v>
      </c>
      <c r="LY556" s="27" t="s">
        <v>8</v>
      </c>
      <c r="LZ556" s="27" t="s">
        <v>7</v>
      </c>
      <c r="MA556" s="27" t="s">
        <v>8</v>
      </c>
      <c r="MB556" s="27" t="s">
        <v>7</v>
      </c>
      <c r="MC556" s="27" t="s">
        <v>8</v>
      </c>
      <c r="MD556" s="27" t="s">
        <v>7</v>
      </c>
    </row>
    <row r="557" spans="1:344" x14ac:dyDescent="0.25">
      <c r="A557" s="7">
        <v>1.8113615841033548</v>
      </c>
      <c r="B557"/>
      <c r="C557"/>
      <c r="D557"/>
      <c r="E557"/>
      <c r="JY557" s="27" t="s">
        <v>8</v>
      </c>
      <c r="JZ557" s="27" t="s">
        <v>7</v>
      </c>
      <c r="KC557" s="27" t="s">
        <v>8</v>
      </c>
      <c r="KD557" s="27" t="s">
        <v>7</v>
      </c>
      <c r="KE557" s="27" t="s">
        <v>8</v>
      </c>
      <c r="KF557" s="27" t="s">
        <v>7</v>
      </c>
      <c r="KK557" s="27" t="s">
        <v>8</v>
      </c>
      <c r="KL557" s="27" t="s">
        <v>7</v>
      </c>
      <c r="LC557" s="27" t="s">
        <v>8</v>
      </c>
      <c r="LD557" s="27" t="s">
        <v>7</v>
      </c>
      <c r="LE557" s="27" t="s">
        <v>8</v>
      </c>
      <c r="LF557" s="27" t="s">
        <v>7</v>
      </c>
      <c r="LG557" s="27" t="s">
        <v>8</v>
      </c>
      <c r="LN557" s="27" t="s">
        <v>7</v>
      </c>
      <c r="LO557" s="27" t="s">
        <v>8</v>
      </c>
      <c r="LP557" s="27" t="s">
        <v>7</v>
      </c>
      <c r="LU557" s="27" t="s">
        <v>8</v>
      </c>
      <c r="LV557" s="27" t="s">
        <v>7</v>
      </c>
      <c r="LW557" s="27" t="s">
        <v>8</v>
      </c>
      <c r="LX557" s="27" t="s">
        <v>7</v>
      </c>
      <c r="LY557" s="27" t="s">
        <v>8</v>
      </c>
      <c r="LZ557" s="27" t="s">
        <v>7</v>
      </c>
      <c r="MA557" s="27" t="s">
        <v>8</v>
      </c>
      <c r="MB557" s="27" t="s">
        <v>7</v>
      </c>
      <c r="MC557" s="27" t="s">
        <v>8</v>
      </c>
      <c r="MD557" s="27" t="s">
        <v>7</v>
      </c>
    </row>
    <row r="558" spans="1:344" x14ac:dyDescent="0.25">
      <c r="A558" s="7">
        <v>1.7758446902974065</v>
      </c>
      <c r="B558"/>
      <c r="C558"/>
      <c r="D558"/>
      <c r="E558"/>
      <c r="JY558" s="27" t="s">
        <v>8</v>
      </c>
      <c r="JZ558" s="27" t="s">
        <v>7</v>
      </c>
      <c r="KC558" s="27" t="s">
        <v>8</v>
      </c>
      <c r="KD558" s="27" t="s">
        <v>7</v>
      </c>
      <c r="KE558" s="27" t="s">
        <v>8</v>
      </c>
      <c r="KF558" s="27" t="s">
        <v>7</v>
      </c>
      <c r="KK558" s="27" t="s">
        <v>8</v>
      </c>
      <c r="KL558" s="27" t="s">
        <v>7</v>
      </c>
      <c r="LC558" s="27" t="s">
        <v>8</v>
      </c>
      <c r="LD558" s="27" t="s">
        <v>7</v>
      </c>
      <c r="LE558" s="27" t="s">
        <v>8</v>
      </c>
      <c r="LF558" s="27" t="s">
        <v>7</v>
      </c>
      <c r="LG558" s="27" t="s">
        <v>8</v>
      </c>
      <c r="LN558" s="27" t="s">
        <v>7</v>
      </c>
      <c r="LO558" s="27" t="s">
        <v>8</v>
      </c>
      <c r="LP558" s="27" t="s">
        <v>7</v>
      </c>
      <c r="LQ558" s="27" t="s">
        <v>8</v>
      </c>
      <c r="LU558" s="27" t="s">
        <v>8</v>
      </c>
      <c r="LV558" s="27" t="s">
        <v>7</v>
      </c>
      <c r="LW558" s="27" t="s">
        <v>8</v>
      </c>
      <c r="LX558" s="27" t="s">
        <v>7</v>
      </c>
      <c r="LZ558" s="27" t="s">
        <v>7</v>
      </c>
      <c r="MA558" s="27" t="s">
        <v>8</v>
      </c>
      <c r="MB558" s="27" t="s">
        <v>7</v>
      </c>
      <c r="MC558" s="27" t="s">
        <v>8</v>
      </c>
      <c r="MD558" s="27" t="s">
        <v>7</v>
      </c>
    </row>
    <row r="559" spans="1:344" x14ac:dyDescent="0.25">
      <c r="A559" s="7">
        <v>1.7410242061739281</v>
      </c>
      <c r="B559"/>
      <c r="C559"/>
      <c r="D559"/>
      <c r="E559"/>
      <c r="JY559" s="27" t="s">
        <v>8</v>
      </c>
      <c r="JZ559" s="27" t="s">
        <v>7</v>
      </c>
      <c r="KC559" s="27" t="s">
        <v>8</v>
      </c>
      <c r="KD559" s="27" t="s">
        <v>7</v>
      </c>
      <c r="KE559" s="27" t="s">
        <v>8</v>
      </c>
      <c r="KF559" s="27" t="s">
        <v>7</v>
      </c>
      <c r="KK559" s="27" t="s">
        <v>8</v>
      </c>
      <c r="KL559" s="27" t="s">
        <v>7</v>
      </c>
      <c r="KY559" s="27" t="s">
        <v>8</v>
      </c>
      <c r="LC559" s="27" t="s">
        <v>8</v>
      </c>
      <c r="LD559" s="27" t="s">
        <v>7</v>
      </c>
      <c r="LE559" s="27" t="s">
        <v>8</v>
      </c>
      <c r="LF559" s="27" t="s">
        <v>7</v>
      </c>
      <c r="LG559" s="27" t="s">
        <v>8</v>
      </c>
      <c r="LN559" s="27" t="s">
        <v>7</v>
      </c>
      <c r="LO559" s="27" t="s">
        <v>8</v>
      </c>
      <c r="LP559" s="27" t="s">
        <v>7</v>
      </c>
      <c r="LQ559" s="27" t="s">
        <v>8</v>
      </c>
      <c r="LR559" s="27" t="s">
        <v>7</v>
      </c>
      <c r="LU559" s="27" t="s">
        <v>8</v>
      </c>
      <c r="LV559" s="27" t="s">
        <v>7</v>
      </c>
      <c r="LW559" s="27" t="s">
        <v>8</v>
      </c>
      <c r="LZ559" s="27" t="s">
        <v>7</v>
      </c>
      <c r="MA559" s="27" t="s">
        <v>8</v>
      </c>
      <c r="MB559" s="27" t="s">
        <v>7</v>
      </c>
      <c r="MC559" s="27" t="s">
        <v>8</v>
      </c>
      <c r="MD559" s="27" t="s">
        <v>7</v>
      </c>
      <c r="ME559" s="27" t="s">
        <v>8</v>
      </c>
    </row>
    <row r="560" spans="1:344" x14ac:dyDescent="0.25">
      <c r="A560" s="7">
        <v>1.7068864766411058</v>
      </c>
      <c r="B560"/>
      <c r="C560"/>
      <c r="D560"/>
      <c r="E560"/>
      <c r="JY560" s="27" t="s">
        <v>8</v>
      </c>
      <c r="JZ560" s="27" t="s">
        <v>7</v>
      </c>
      <c r="KC560" s="27" t="s">
        <v>8</v>
      </c>
      <c r="KD560" s="27" t="s">
        <v>7</v>
      </c>
      <c r="KE560" s="27" t="s">
        <v>8</v>
      </c>
      <c r="KF560" s="27" t="s">
        <v>7</v>
      </c>
      <c r="KG560" s="27" t="s">
        <v>8</v>
      </c>
      <c r="KK560" s="27" t="s">
        <v>8</v>
      </c>
      <c r="KL560" s="27" t="s">
        <v>7</v>
      </c>
      <c r="KY560" s="27" t="s">
        <v>8</v>
      </c>
      <c r="KZ560" s="27" t="s">
        <v>7</v>
      </c>
      <c r="LC560" s="27" t="s">
        <v>8</v>
      </c>
      <c r="LD560" s="27" t="s">
        <v>7</v>
      </c>
      <c r="LF560" s="27" t="s">
        <v>7</v>
      </c>
      <c r="LG560" s="27" t="s">
        <v>8</v>
      </c>
      <c r="LN560" s="27" t="s">
        <v>7</v>
      </c>
      <c r="LO560" s="27" t="s">
        <v>8</v>
      </c>
      <c r="LP560" s="27" t="s">
        <v>7</v>
      </c>
      <c r="LQ560" s="27" t="s">
        <v>8</v>
      </c>
      <c r="LR560" s="27" t="s">
        <v>7</v>
      </c>
      <c r="LU560" s="27" t="s">
        <v>8</v>
      </c>
      <c r="LV560" s="27" t="s">
        <v>7</v>
      </c>
      <c r="LW560" s="27" t="s">
        <v>8</v>
      </c>
      <c r="LZ560" s="27" t="s">
        <v>7</v>
      </c>
      <c r="MA560" s="27" t="s">
        <v>8</v>
      </c>
      <c r="MB560" s="27" t="s">
        <v>7</v>
      </c>
      <c r="MC560" s="27" t="s">
        <v>8</v>
      </c>
      <c r="MD560" s="27" t="s">
        <v>7</v>
      </c>
      <c r="ME560" s="27" t="s">
        <v>8</v>
      </c>
      <c r="MF560" s="27" t="s">
        <v>7</v>
      </c>
    </row>
    <row r="561" spans="1:433" x14ac:dyDescent="0.25">
      <c r="A561" s="7">
        <v>1.6734181143540252</v>
      </c>
      <c r="B561"/>
      <c r="C561"/>
      <c r="D561"/>
      <c r="E561"/>
      <c r="JY561" s="27" t="s">
        <v>8</v>
      </c>
      <c r="JZ561" s="27" t="s">
        <v>7</v>
      </c>
      <c r="KC561" s="27" t="s">
        <v>8</v>
      </c>
      <c r="KD561" s="27" t="s">
        <v>7</v>
      </c>
      <c r="KF561" s="27" t="s">
        <v>7</v>
      </c>
      <c r="KG561" s="27" t="s">
        <v>8</v>
      </c>
      <c r="KH561" s="27" t="s">
        <v>7</v>
      </c>
      <c r="KK561" s="27" t="s">
        <v>8</v>
      </c>
      <c r="KL561" s="27" t="s">
        <v>7</v>
      </c>
      <c r="KY561" s="27" t="s">
        <v>8</v>
      </c>
      <c r="KZ561" s="27" t="s">
        <v>7</v>
      </c>
      <c r="LC561" s="27" t="s">
        <v>8</v>
      </c>
      <c r="LF561" s="27" t="s">
        <v>7</v>
      </c>
      <c r="LG561" s="27" t="s">
        <v>8</v>
      </c>
      <c r="LN561" s="27" t="s">
        <v>7</v>
      </c>
      <c r="LO561" s="27" t="s">
        <v>8</v>
      </c>
      <c r="LP561" s="27" t="s">
        <v>7</v>
      </c>
      <c r="LQ561" s="27" t="s">
        <v>8</v>
      </c>
      <c r="LR561" s="27" t="s">
        <v>7</v>
      </c>
      <c r="LU561" s="27" t="s">
        <v>8</v>
      </c>
      <c r="LV561" s="27" t="s">
        <v>7</v>
      </c>
      <c r="LW561" s="27" t="s">
        <v>8</v>
      </c>
      <c r="LZ561" s="27" t="s">
        <v>7</v>
      </c>
      <c r="MB561" s="27" t="s">
        <v>7</v>
      </c>
      <c r="MC561" s="27" t="s">
        <v>8</v>
      </c>
      <c r="MD561" s="27" t="s">
        <v>7</v>
      </c>
      <c r="ME561" s="27" t="s">
        <v>8</v>
      </c>
      <c r="MF561" s="27" t="s">
        <v>7</v>
      </c>
      <c r="MG561" s="27" t="s">
        <v>8</v>
      </c>
      <c r="PE561" s="27" t="s">
        <v>8</v>
      </c>
    </row>
    <row r="562" spans="1:433" x14ac:dyDescent="0.25">
      <c r="A562" s="7">
        <v>1.6406059944647307</v>
      </c>
      <c r="B562"/>
      <c r="C562"/>
      <c r="D562"/>
      <c r="E562"/>
      <c r="JY562" s="27" t="s">
        <v>8</v>
      </c>
      <c r="JZ562" s="27" t="s">
        <v>7</v>
      </c>
      <c r="KA562" s="27" t="s">
        <v>8</v>
      </c>
      <c r="KC562" s="27" t="s">
        <v>8</v>
      </c>
      <c r="KF562" s="27" t="s">
        <v>7</v>
      </c>
      <c r="KG562" s="27" t="s">
        <v>8</v>
      </c>
      <c r="KH562" s="27" t="s">
        <v>7</v>
      </c>
      <c r="KK562" s="27" t="s">
        <v>8</v>
      </c>
      <c r="KL562" s="27" t="s">
        <v>7</v>
      </c>
      <c r="KM562" s="27" t="s">
        <v>8</v>
      </c>
      <c r="KY562" s="27" t="s">
        <v>8</v>
      </c>
      <c r="KZ562" s="27" t="s">
        <v>7</v>
      </c>
      <c r="LC562" s="27" t="s">
        <v>8</v>
      </c>
      <c r="LF562" s="27" t="s">
        <v>7</v>
      </c>
      <c r="LG562" s="27" t="s">
        <v>8</v>
      </c>
      <c r="LN562" s="27" t="s">
        <v>7</v>
      </c>
      <c r="LO562" s="27" t="s">
        <v>8</v>
      </c>
      <c r="LP562" s="27" t="s">
        <v>7</v>
      </c>
      <c r="LQ562" s="27" t="s">
        <v>8</v>
      </c>
      <c r="LR562" s="27" t="s">
        <v>7</v>
      </c>
      <c r="LU562" s="27" t="s">
        <v>8</v>
      </c>
      <c r="LV562" s="27" t="s">
        <v>7</v>
      </c>
      <c r="LW562" s="27" t="s">
        <v>8</v>
      </c>
      <c r="MB562" s="27" t="s">
        <v>7</v>
      </c>
      <c r="MD562" s="27" t="s">
        <v>7</v>
      </c>
      <c r="ME562" s="27" t="s">
        <v>8</v>
      </c>
      <c r="MF562" s="27" t="s">
        <v>7</v>
      </c>
      <c r="MG562" s="27" t="s">
        <v>8</v>
      </c>
      <c r="MH562" s="27" t="s">
        <v>7</v>
      </c>
      <c r="PE562" s="27" t="s">
        <v>8</v>
      </c>
      <c r="PF562" s="27" t="s">
        <v>7</v>
      </c>
    </row>
    <row r="563" spans="1:433" x14ac:dyDescent="0.25">
      <c r="A563" s="7">
        <v>1.6084372494752261</v>
      </c>
      <c r="B563"/>
      <c r="C563"/>
      <c r="D563"/>
      <c r="E563"/>
      <c r="JY563" s="27" t="s">
        <v>8</v>
      </c>
      <c r="JZ563" s="27" t="s">
        <v>7</v>
      </c>
      <c r="KA563" s="27" t="s">
        <v>8</v>
      </c>
      <c r="KB563" s="27" t="s">
        <v>7</v>
      </c>
      <c r="KC563" s="27" t="s">
        <v>8</v>
      </c>
      <c r="KF563" s="27" t="s">
        <v>7</v>
      </c>
      <c r="KG563" s="27" t="s">
        <v>8</v>
      </c>
      <c r="KH563" s="27" t="s">
        <v>7</v>
      </c>
      <c r="KI563" s="27" t="s">
        <v>8</v>
      </c>
      <c r="KK563" s="27" t="s">
        <v>8</v>
      </c>
      <c r="KL563" s="27" t="s">
        <v>7</v>
      </c>
      <c r="KM563" s="27" t="s">
        <v>8</v>
      </c>
      <c r="KN563" s="27" t="s">
        <v>7</v>
      </c>
      <c r="KY563" s="27" t="s">
        <v>8</v>
      </c>
      <c r="KZ563" s="27" t="s">
        <v>7</v>
      </c>
      <c r="LA563" s="27" t="s">
        <v>8</v>
      </c>
      <c r="LC563" s="27" t="s">
        <v>8</v>
      </c>
      <c r="LF563" s="27" t="s">
        <v>7</v>
      </c>
      <c r="LN563" s="27" t="s">
        <v>7</v>
      </c>
      <c r="LO563" s="27" t="s">
        <v>8</v>
      </c>
      <c r="LP563" s="27" t="s">
        <v>7</v>
      </c>
      <c r="LQ563" s="27" t="s">
        <v>8</v>
      </c>
      <c r="LR563" s="27" t="s">
        <v>7</v>
      </c>
      <c r="LU563" s="27" t="s">
        <v>8</v>
      </c>
      <c r="LV563" s="27" t="s">
        <v>7</v>
      </c>
      <c r="MD563" s="27" t="s">
        <v>7</v>
      </c>
      <c r="ME563" s="27" t="s">
        <v>8</v>
      </c>
      <c r="MF563" s="27" t="s">
        <v>7</v>
      </c>
      <c r="MG563" s="27" t="s">
        <v>8</v>
      </c>
      <c r="MH563" s="27" t="s">
        <v>7</v>
      </c>
      <c r="PE563" s="27" t="s">
        <v>8</v>
      </c>
      <c r="PF563" s="27" t="s">
        <v>7</v>
      </c>
    </row>
    <row r="564" spans="1:433" x14ac:dyDescent="0.25">
      <c r="A564" s="7">
        <v>1.5768992641913981</v>
      </c>
      <c r="B564"/>
      <c r="C564"/>
      <c r="D564"/>
      <c r="E564"/>
      <c r="JY564" s="27" t="s">
        <v>8</v>
      </c>
      <c r="JZ564" s="27" t="s">
        <v>7</v>
      </c>
      <c r="KA564" s="27" t="s">
        <v>8</v>
      </c>
      <c r="KB564" s="27" t="s">
        <v>7</v>
      </c>
      <c r="KC564" s="27" t="s">
        <v>8</v>
      </c>
      <c r="KF564" s="27" t="s">
        <v>7</v>
      </c>
      <c r="KG564" s="27" t="s">
        <v>8</v>
      </c>
      <c r="KH564" s="27" t="s">
        <v>7</v>
      </c>
      <c r="KI564" s="27" t="s">
        <v>8</v>
      </c>
      <c r="KJ564" s="27" t="s">
        <v>7</v>
      </c>
      <c r="KK564" s="27" t="s">
        <v>8</v>
      </c>
      <c r="KL564" s="27" t="s">
        <v>7</v>
      </c>
      <c r="KM564" s="27" t="s">
        <v>8</v>
      </c>
      <c r="KN564" s="27" t="s">
        <v>7</v>
      </c>
      <c r="KY564" s="27" t="s">
        <v>8</v>
      </c>
      <c r="KZ564" s="27" t="s">
        <v>7</v>
      </c>
      <c r="LA564" s="27" t="s">
        <v>8</v>
      </c>
      <c r="LB564" s="27" t="s">
        <v>7</v>
      </c>
      <c r="LC564" s="27" t="s">
        <v>8</v>
      </c>
      <c r="LN564" s="27" t="s">
        <v>7</v>
      </c>
      <c r="LO564" s="27" t="s">
        <v>8</v>
      </c>
      <c r="LP564" s="27" t="s">
        <v>7</v>
      </c>
      <c r="LQ564" s="27" t="s">
        <v>8</v>
      </c>
      <c r="LR564" s="27" t="s">
        <v>7</v>
      </c>
      <c r="LU564" s="27" t="s">
        <v>8</v>
      </c>
      <c r="MD564" s="27" t="s">
        <v>7</v>
      </c>
      <c r="ME564" s="27" t="s">
        <v>8</v>
      </c>
      <c r="MF564" s="27" t="s">
        <v>7</v>
      </c>
      <c r="MG564" s="27" t="s">
        <v>8</v>
      </c>
      <c r="MH564" s="27" t="s">
        <v>7</v>
      </c>
      <c r="PE564" s="27" t="s">
        <v>8</v>
      </c>
      <c r="PF564" s="27" t="s">
        <v>7</v>
      </c>
    </row>
    <row r="565" spans="1:433" x14ac:dyDescent="0.25">
      <c r="A565" s="7">
        <v>1.5459796707758806</v>
      </c>
      <c r="B565"/>
      <c r="C565"/>
      <c r="D565"/>
      <c r="E565"/>
      <c r="JY565" s="27" t="s">
        <v>8</v>
      </c>
      <c r="JZ565" s="27" t="s">
        <v>7</v>
      </c>
      <c r="KA565" s="27" t="s">
        <v>8</v>
      </c>
      <c r="KB565" s="27" t="s">
        <v>7</v>
      </c>
      <c r="KC565" s="27" t="s">
        <v>8</v>
      </c>
      <c r="KF565" s="27" t="s">
        <v>7</v>
      </c>
      <c r="KG565" s="27" t="s">
        <v>8</v>
      </c>
      <c r="KH565" s="27" t="s">
        <v>7</v>
      </c>
      <c r="KI565" s="27" t="s">
        <v>8</v>
      </c>
      <c r="KJ565" s="27" t="s">
        <v>7</v>
      </c>
      <c r="KK565" s="27" t="s">
        <v>8</v>
      </c>
      <c r="KL565" s="27" t="s">
        <v>7</v>
      </c>
      <c r="KM565" s="27" t="s">
        <v>8</v>
      </c>
      <c r="KN565" s="27" t="s">
        <v>7</v>
      </c>
      <c r="KY565" s="27" t="s">
        <v>8</v>
      </c>
      <c r="KZ565" s="27" t="s">
        <v>7</v>
      </c>
      <c r="LA565" s="27" t="s">
        <v>8</v>
      </c>
      <c r="LB565" s="27" t="s">
        <v>7</v>
      </c>
      <c r="LC565" s="27" t="s">
        <v>8</v>
      </c>
      <c r="LN565" s="27" t="s">
        <v>7</v>
      </c>
      <c r="LO565" s="27" t="s">
        <v>8</v>
      </c>
      <c r="LP565" s="27" t="s">
        <v>7</v>
      </c>
      <c r="LQ565" s="27" t="s">
        <v>8</v>
      </c>
      <c r="LR565" s="27" t="s">
        <v>7</v>
      </c>
      <c r="LU565" s="27" t="s">
        <v>8</v>
      </c>
      <c r="MD565" s="27" t="s">
        <v>7</v>
      </c>
      <c r="ME565" s="27" t="s">
        <v>8</v>
      </c>
      <c r="MF565" s="27" t="s">
        <v>7</v>
      </c>
      <c r="MG565" s="27" t="s">
        <v>8</v>
      </c>
      <c r="MH565" s="27" t="s">
        <v>7</v>
      </c>
      <c r="PE565" s="27" t="s">
        <v>8</v>
      </c>
      <c r="PF565" s="27" t="s">
        <v>7</v>
      </c>
    </row>
    <row r="566" spans="1:433" x14ac:dyDescent="0.25">
      <c r="A566" s="7">
        <v>1.5156663438979221</v>
      </c>
      <c r="B566"/>
      <c r="C566"/>
      <c r="D566"/>
      <c r="E566"/>
      <c r="JY566" s="27" t="s">
        <v>8</v>
      </c>
      <c r="JZ566" s="27" t="s">
        <v>7</v>
      </c>
      <c r="KA566" s="27" t="s">
        <v>8</v>
      </c>
      <c r="KB566" s="27" t="s">
        <v>7</v>
      </c>
      <c r="KC566" s="27" t="s">
        <v>8</v>
      </c>
      <c r="KF566" s="27" t="s">
        <v>7</v>
      </c>
      <c r="KG566" s="27" t="s">
        <v>8</v>
      </c>
      <c r="KH566" s="27" t="s">
        <v>7</v>
      </c>
      <c r="KI566" s="27" t="s">
        <v>8</v>
      </c>
      <c r="KJ566" s="27" t="s">
        <v>7</v>
      </c>
      <c r="KK566" s="27" t="s">
        <v>8</v>
      </c>
      <c r="KL566" s="27" t="s">
        <v>7</v>
      </c>
      <c r="KM566" s="27" t="s">
        <v>8</v>
      </c>
      <c r="KN566" s="27" t="s">
        <v>7</v>
      </c>
      <c r="KQ566" s="27" t="s">
        <v>8</v>
      </c>
      <c r="KY566" s="27" t="s">
        <v>8</v>
      </c>
      <c r="KZ566" s="27" t="s">
        <v>7</v>
      </c>
      <c r="LA566" s="27" t="s">
        <v>8</v>
      </c>
      <c r="LB566" s="27" t="s">
        <v>7</v>
      </c>
      <c r="LC566" s="27" t="s">
        <v>8</v>
      </c>
      <c r="LN566" s="27" t="s">
        <v>7</v>
      </c>
      <c r="LO566" s="27" t="s">
        <v>8</v>
      </c>
      <c r="LP566" s="27" t="s">
        <v>7</v>
      </c>
      <c r="LQ566" s="27" t="s">
        <v>8</v>
      </c>
      <c r="LR566" s="27" t="s">
        <v>7</v>
      </c>
      <c r="LU566" s="27" t="s">
        <v>8</v>
      </c>
      <c r="MD566" s="27" t="s">
        <v>7</v>
      </c>
      <c r="MF566" s="27" t="s">
        <v>7</v>
      </c>
      <c r="MG566" s="27" t="s">
        <v>8</v>
      </c>
      <c r="MH566" s="27" t="s">
        <v>7</v>
      </c>
      <c r="PE566" s="27" t="s">
        <v>8</v>
      </c>
      <c r="PF566" s="27" t="s">
        <v>7</v>
      </c>
    </row>
    <row r="567" spans="1:433" x14ac:dyDescent="0.25">
      <c r="A567" s="7">
        <v>1.4859473959783549</v>
      </c>
      <c r="B567"/>
      <c r="C567"/>
      <c r="D567"/>
      <c r="E567"/>
      <c r="JY567" s="27" t="s">
        <v>8</v>
      </c>
      <c r="JZ567" s="27" t="s">
        <v>7</v>
      </c>
      <c r="KA567" s="27" t="s">
        <v>8</v>
      </c>
      <c r="KB567" s="27" t="s">
        <v>7</v>
      </c>
      <c r="KC567" s="27" t="s">
        <v>8</v>
      </c>
      <c r="KF567" s="27" t="s">
        <v>7</v>
      </c>
      <c r="KG567" s="27" t="s">
        <v>8</v>
      </c>
      <c r="KH567" s="27" t="s">
        <v>7</v>
      </c>
      <c r="KI567" s="27" t="s">
        <v>8</v>
      </c>
      <c r="KJ567" s="27" t="s">
        <v>7</v>
      </c>
      <c r="KK567" s="27" t="s">
        <v>8</v>
      </c>
      <c r="KL567" s="27" t="s">
        <v>7</v>
      </c>
      <c r="KM567" s="27" t="s">
        <v>8</v>
      </c>
      <c r="KN567" s="27" t="s">
        <v>7</v>
      </c>
      <c r="KQ567" s="27" t="s">
        <v>8</v>
      </c>
      <c r="KR567" s="27" t="s">
        <v>7</v>
      </c>
      <c r="KS567" s="27" t="s">
        <v>8</v>
      </c>
      <c r="KY567" s="27" t="s">
        <v>8</v>
      </c>
      <c r="KZ567" s="27" t="s">
        <v>7</v>
      </c>
      <c r="LA567" s="27" t="s">
        <v>8</v>
      </c>
      <c r="LB567" s="27" t="s">
        <v>7</v>
      </c>
      <c r="LC567" s="27" t="s">
        <v>8</v>
      </c>
      <c r="LN567" s="27" t="s">
        <v>7</v>
      </c>
      <c r="LO567" s="27" t="s">
        <v>8</v>
      </c>
      <c r="LP567" s="27" t="s">
        <v>7</v>
      </c>
      <c r="LQ567" s="27" t="s">
        <v>8</v>
      </c>
      <c r="LR567" s="27" t="s">
        <v>7</v>
      </c>
      <c r="LU567" s="27" t="s">
        <v>8</v>
      </c>
      <c r="MF567" s="27" t="s">
        <v>7</v>
      </c>
      <c r="MG567" s="27" t="s">
        <v>8</v>
      </c>
      <c r="MH567" s="27" t="s">
        <v>7</v>
      </c>
      <c r="PE567" s="27" t="s">
        <v>8</v>
      </c>
      <c r="PF567" s="27" t="s">
        <v>7</v>
      </c>
    </row>
    <row r="568" spans="1:433" x14ac:dyDescent="0.25">
      <c r="A568" s="7">
        <v>1.4568111725277988</v>
      </c>
      <c r="B568"/>
      <c r="C568"/>
      <c r="D568"/>
      <c r="E568"/>
      <c r="JY568" s="27" t="s">
        <v>8</v>
      </c>
      <c r="JZ568" s="27" t="s">
        <v>7</v>
      </c>
      <c r="KA568" s="27" t="s">
        <v>8</v>
      </c>
      <c r="KB568" s="27" t="s">
        <v>7</v>
      </c>
      <c r="KC568" s="27" t="s">
        <v>8</v>
      </c>
      <c r="KF568" s="27" t="s">
        <v>7</v>
      </c>
      <c r="KG568" s="27" t="s">
        <v>8</v>
      </c>
      <c r="KH568" s="27" t="s">
        <v>7</v>
      </c>
      <c r="KI568" s="27" t="s">
        <v>8</v>
      </c>
      <c r="KJ568" s="27" t="s">
        <v>7</v>
      </c>
      <c r="KL568" s="27" t="s">
        <v>7</v>
      </c>
      <c r="KM568" s="27" t="s">
        <v>8</v>
      </c>
      <c r="KN568" s="27" t="s">
        <v>7</v>
      </c>
      <c r="KQ568" s="27" t="s">
        <v>8</v>
      </c>
      <c r="KR568" s="27" t="s">
        <v>7</v>
      </c>
      <c r="KS568" s="27" t="s">
        <v>8</v>
      </c>
      <c r="KT568" s="27" t="s">
        <v>7</v>
      </c>
      <c r="KY568" s="27" t="s">
        <v>8</v>
      </c>
      <c r="KZ568" s="27" t="s">
        <v>7</v>
      </c>
      <c r="LB568" s="27" t="s">
        <v>7</v>
      </c>
      <c r="LC568" s="27" t="s">
        <v>8</v>
      </c>
      <c r="LN568" s="27" t="s">
        <v>7</v>
      </c>
      <c r="LP568" s="27" t="s">
        <v>7</v>
      </c>
      <c r="LR568" s="27" t="s">
        <v>7</v>
      </c>
      <c r="LS568" s="27" t="s">
        <v>8</v>
      </c>
      <c r="LU568" s="27" t="s">
        <v>8</v>
      </c>
      <c r="MF568" s="27" t="s">
        <v>7</v>
      </c>
      <c r="MG568" s="27" t="s">
        <v>8</v>
      </c>
      <c r="MH568" s="27" t="s">
        <v>7</v>
      </c>
      <c r="PE568" s="27" t="s">
        <v>8</v>
      </c>
      <c r="PF568" s="27" t="s">
        <v>7</v>
      </c>
      <c r="PG568" s="27" t="s">
        <v>8</v>
      </c>
      <c r="PI568" s="27" t="s">
        <v>8</v>
      </c>
    </row>
    <row r="569" spans="1:433" x14ac:dyDescent="0.25">
      <c r="A569" s="7">
        <v>1.4282462475762734</v>
      </c>
      <c r="B569"/>
      <c r="C569"/>
      <c r="D569"/>
      <c r="E569"/>
      <c r="JY569" s="27" t="s">
        <v>8</v>
      </c>
      <c r="JZ569" s="27" t="s">
        <v>7</v>
      </c>
      <c r="KA569" s="27" t="s">
        <v>8</v>
      </c>
      <c r="KB569" s="27" t="s">
        <v>7</v>
      </c>
      <c r="KC569" s="27" t="s">
        <v>8</v>
      </c>
      <c r="KF569" s="27" t="s">
        <v>7</v>
      </c>
      <c r="KH569" s="27" t="s">
        <v>7</v>
      </c>
      <c r="KL569" s="27" t="s">
        <v>7</v>
      </c>
      <c r="KM569" s="27" t="s">
        <v>8</v>
      </c>
      <c r="KN569" s="27" t="s">
        <v>7</v>
      </c>
      <c r="KQ569" s="27" t="s">
        <v>8</v>
      </c>
      <c r="KR569" s="27" t="s">
        <v>7</v>
      </c>
      <c r="KS569" s="27" t="s">
        <v>8</v>
      </c>
      <c r="KT569" s="27" t="s">
        <v>7</v>
      </c>
      <c r="KW569" s="27" t="s">
        <v>8</v>
      </c>
      <c r="KY569" s="27" t="s">
        <v>8</v>
      </c>
      <c r="LB569" s="27" t="s">
        <v>7</v>
      </c>
      <c r="LC569" s="27" t="s">
        <v>8</v>
      </c>
      <c r="LR569" s="27" t="s">
        <v>7</v>
      </c>
      <c r="LS569" s="27" t="s">
        <v>8</v>
      </c>
      <c r="LT569" s="27" t="s">
        <v>7</v>
      </c>
      <c r="LU569" s="27" t="s">
        <v>8</v>
      </c>
      <c r="MF569" s="27" t="s">
        <v>7</v>
      </c>
      <c r="MG569" s="27" t="s">
        <v>8</v>
      </c>
      <c r="MH569" s="27" t="s">
        <v>7</v>
      </c>
      <c r="PE569" s="27" t="s">
        <v>8</v>
      </c>
      <c r="PF569" s="27" t="s">
        <v>7</v>
      </c>
      <c r="PG569" s="27" t="s">
        <v>8</v>
      </c>
      <c r="PH569" s="27" t="s">
        <v>7</v>
      </c>
      <c r="PI569" s="27" t="s">
        <v>8</v>
      </c>
      <c r="PJ569" s="27" t="s">
        <v>7</v>
      </c>
      <c r="PK569" s="27" t="s">
        <v>8</v>
      </c>
    </row>
    <row r="570" spans="1:433" x14ac:dyDescent="0.25">
      <c r="A570" s="7">
        <v>1.4002414191924248</v>
      </c>
      <c r="B570"/>
      <c r="C570"/>
      <c r="D570"/>
      <c r="E570"/>
      <c r="JY570" s="27" t="s">
        <v>8</v>
      </c>
      <c r="JZ570" s="27" t="s">
        <v>7</v>
      </c>
      <c r="KA570" s="27" t="s">
        <v>8</v>
      </c>
      <c r="KB570" s="27" t="s">
        <v>7</v>
      </c>
      <c r="KC570" s="27" t="s">
        <v>8</v>
      </c>
      <c r="KL570" s="27" t="s">
        <v>7</v>
      </c>
      <c r="KM570" s="27" t="s">
        <v>8</v>
      </c>
      <c r="KN570" s="27" t="s">
        <v>7</v>
      </c>
      <c r="KQ570" s="27" t="s">
        <v>8</v>
      </c>
      <c r="KR570" s="27" t="s">
        <v>7</v>
      </c>
      <c r="KS570" s="27" t="s">
        <v>8</v>
      </c>
      <c r="KT570" s="27" t="s">
        <v>7</v>
      </c>
      <c r="KU570" s="27" t="s">
        <v>8</v>
      </c>
      <c r="KW570" s="27" t="s">
        <v>8</v>
      </c>
      <c r="KX570" s="27" t="s">
        <v>7</v>
      </c>
      <c r="KY570" s="27" t="s">
        <v>8</v>
      </c>
      <c r="LB570" s="27" t="s">
        <v>7</v>
      </c>
      <c r="LC570" s="27" t="s">
        <v>8</v>
      </c>
      <c r="LR570" s="27" t="s">
        <v>7</v>
      </c>
      <c r="LS570" s="27" t="s">
        <v>8</v>
      </c>
      <c r="LT570" s="27" t="s">
        <v>7</v>
      </c>
      <c r="LU570" s="27" t="s">
        <v>8</v>
      </c>
      <c r="MF570" s="27" t="s">
        <v>7</v>
      </c>
      <c r="MH570" s="27" t="s">
        <v>7</v>
      </c>
      <c r="PE570" s="27" t="s">
        <v>8</v>
      </c>
      <c r="PF570" s="27" t="s">
        <v>7</v>
      </c>
      <c r="PG570" s="27" t="s">
        <v>8</v>
      </c>
      <c r="PH570" s="27" t="s">
        <v>7</v>
      </c>
      <c r="PI570" s="27" t="s">
        <v>8</v>
      </c>
      <c r="PJ570" s="27" t="s">
        <v>7</v>
      </c>
      <c r="PK570" s="27" t="s">
        <v>8</v>
      </c>
      <c r="PL570" s="27" t="s">
        <v>7</v>
      </c>
    </row>
    <row r="571" spans="1:433" x14ac:dyDescent="0.25">
      <c r="A571" s="7">
        <v>1.3727857050906125</v>
      </c>
      <c r="B571"/>
      <c r="C571"/>
      <c r="D571"/>
      <c r="E571"/>
      <c r="JY571" s="27" t="s">
        <v>8</v>
      </c>
      <c r="JZ571" s="27" t="s">
        <v>7</v>
      </c>
      <c r="KA571" s="27" t="s">
        <v>8</v>
      </c>
      <c r="KB571" s="27" t="s">
        <v>7</v>
      </c>
      <c r="KL571" s="27" t="s">
        <v>7</v>
      </c>
      <c r="KM571" s="27" t="s">
        <v>8</v>
      </c>
      <c r="KN571" s="27" t="s">
        <v>7</v>
      </c>
      <c r="KO571" s="27" t="s">
        <v>8</v>
      </c>
      <c r="KQ571" s="27" t="s">
        <v>8</v>
      </c>
      <c r="KR571" s="27" t="s">
        <v>7</v>
      </c>
      <c r="KS571" s="27" t="s">
        <v>8</v>
      </c>
      <c r="KT571" s="27" t="s">
        <v>7</v>
      </c>
      <c r="KU571" s="27" t="s">
        <v>8</v>
      </c>
      <c r="KV571" s="27" t="s">
        <v>7</v>
      </c>
      <c r="KW571" s="27" t="s">
        <v>8</v>
      </c>
      <c r="KX571" s="27" t="s">
        <v>7</v>
      </c>
      <c r="KY571" s="27" t="s">
        <v>8</v>
      </c>
      <c r="LB571" s="27" t="s">
        <v>7</v>
      </c>
      <c r="LC571" s="27" t="s">
        <v>8</v>
      </c>
      <c r="LR571" s="27" t="s">
        <v>7</v>
      </c>
      <c r="LS571" s="27" t="s">
        <v>8</v>
      </c>
      <c r="LT571" s="27" t="s">
        <v>7</v>
      </c>
      <c r="LU571" s="27" t="s">
        <v>8</v>
      </c>
      <c r="MH571" s="27" t="s">
        <v>7</v>
      </c>
      <c r="PE571" s="27" t="s">
        <v>8</v>
      </c>
      <c r="PF571" s="27" t="s">
        <v>7</v>
      </c>
      <c r="PG571" s="27" t="s">
        <v>8</v>
      </c>
      <c r="PH571" s="27" t="s">
        <v>7</v>
      </c>
      <c r="PI571" s="27" t="s">
        <v>8</v>
      </c>
      <c r="PJ571" s="27" t="s">
        <v>7</v>
      </c>
      <c r="PK571" s="27" t="s">
        <v>8</v>
      </c>
      <c r="PL571" s="27" t="s">
        <v>7</v>
      </c>
    </row>
    <row r="572" spans="1:433" x14ac:dyDescent="0.25">
      <c r="A572" s="7">
        <v>1.3458683383241299</v>
      </c>
      <c r="B572"/>
      <c r="C572"/>
      <c r="D572"/>
      <c r="E572"/>
      <c r="JY572" s="27" t="s">
        <v>8</v>
      </c>
      <c r="JZ572" s="27" t="s">
        <v>7</v>
      </c>
      <c r="KA572" s="27" t="s">
        <v>8</v>
      </c>
      <c r="KL572" s="27" t="s">
        <v>7</v>
      </c>
      <c r="KM572" s="27" t="s">
        <v>8</v>
      </c>
      <c r="KN572" s="27" t="s">
        <v>7</v>
      </c>
      <c r="KO572" s="27" t="s">
        <v>8</v>
      </c>
      <c r="KP572" s="27" t="s">
        <v>7</v>
      </c>
      <c r="KQ572" s="27" t="s">
        <v>8</v>
      </c>
      <c r="KR572" s="27" t="s">
        <v>7</v>
      </c>
      <c r="KS572" s="27" t="s">
        <v>8</v>
      </c>
      <c r="KT572" s="27" t="s">
        <v>7</v>
      </c>
      <c r="KU572" s="27" t="s">
        <v>8</v>
      </c>
      <c r="KV572" s="27" t="s">
        <v>7</v>
      </c>
      <c r="KW572" s="27" t="s">
        <v>8</v>
      </c>
      <c r="KX572" s="27" t="s">
        <v>7</v>
      </c>
      <c r="LB572" s="27" t="s">
        <v>7</v>
      </c>
      <c r="LC572" s="27" t="s">
        <v>8</v>
      </c>
      <c r="LR572" s="27" t="s">
        <v>7</v>
      </c>
      <c r="LS572" s="27" t="s">
        <v>8</v>
      </c>
      <c r="LT572" s="27" t="s">
        <v>7</v>
      </c>
      <c r="LU572" s="27" t="s">
        <v>8</v>
      </c>
      <c r="MH572" s="27" t="s">
        <v>7</v>
      </c>
      <c r="PE572" s="27" t="s">
        <v>8</v>
      </c>
      <c r="PF572" s="27" t="s">
        <v>7</v>
      </c>
      <c r="PG572" s="27" t="s">
        <v>8</v>
      </c>
      <c r="PH572" s="27" t="s">
        <v>7</v>
      </c>
      <c r="PI572" s="27" t="s">
        <v>8</v>
      </c>
      <c r="PJ572" s="27" t="s">
        <v>7</v>
      </c>
      <c r="PK572" s="27" t="s">
        <v>8</v>
      </c>
      <c r="PL572" s="27" t="s">
        <v>7</v>
      </c>
    </row>
    <row r="573" spans="1:433" x14ac:dyDescent="0.25">
      <c r="A573" s="7">
        <v>1.3194787630628724</v>
      </c>
      <c r="B573"/>
      <c r="C573"/>
      <c r="D573"/>
      <c r="E573"/>
      <c r="JY573" s="27" t="s">
        <v>8</v>
      </c>
      <c r="JZ573" s="27" t="s">
        <v>7</v>
      </c>
      <c r="KA573" s="27" t="s">
        <v>8</v>
      </c>
      <c r="KL573" s="27" t="s">
        <v>7</v>
      </c>
      <c r="KM573" s="27" t="s">
        <v>8</v>
      </c>
      <c r="KN573" s="27" t="s">
        <v>7</v>
      </c>
      <c r="KO573" s="27" t="s">
        <v>8</v>
      </c>
      <c r="KP573" s="27" t="s">
        <v>7</v>
      </c>
      <c r="KQ573" s="27" t="s">
        <v>8</v>
      </c>
      <c r="KR573" s="27" t="s">
        <v>7</v>
      </c>
      <c r="KS573" s="27" t="s">
        <v>8</v>
      </c>
      <c r="KT573" s="27" t="s">
        <v>7</v>
      </c>
      <c r="KU573" s="27" t="s">
        <v>8</v>
      </c>
      <c r="KV573" s="27" t="s">
        <v>7</v>
      </c>
      <c r="KW573" s="27" t="s">
        <v>8</v>
      </c>
      <c r="LB573" s="27" t="s">
        <v>7</v>
      </c>
      <c r="LC573" s="27" t="s">
        <v>8</v>
      </c>
      <c r="LR573" s="27" t="s">
        <v>7</v>
      </c>
      <c r="LS573" s="27" t="s">
        <v>8</v>
      </c>
      <c r="LT573" s="27" t="s">
        <v>7</v>
      </c>
      <c r="LU573" s="27" t="s">
        <v>8</v>
      </c>
      <c r="MH573" s="27" t="s">
        <v>7</v>
      </c>
      <c r="PE573" s="27" t="s">
        <v>8</v>
      </c>
      <c r="PF573" s="27" t="s">
        <v>7</v>
      </c>
      <c r="PG573" s="27" t="s">
        <v>8</v>
      </c>
      <c r="PH573" s="27" t="s">
        <v>7</v>
      </c>
      <c r="PI573" s="27" t="s">
        <v>8</v>
      </c>
      <c r="PJ573" s="27" t="s">
        <v>7</v>
      </c>
      <c r="PK573" s="27" t="s">
        <v>8</v>
      </c>
      <c r="PL573" s="27" t="s">
        <v>7</v>
      </c>
    </row>
    <row r="574" spans="1:433" x14ac:dyDescent="0.25">
      <c r="A574" s="7">
        <v>1.2936066304537963</v>
      </c>
      <c r="B574"/>
      <c r="C574"/>
      <c r="D574"/>
      <c r="E574"/>
      <c r="JY574" s="27" t="s">
        <v>8</v>
      </c>
      <c r="JZ574" s="27" t="s">
        <v>7</v>
      </c>
      <c r="KA574" s="27" t="s">
        <v>8</v>
      </c>
      <c r="KL574" s="27" t="s">
        <v>7</v>
      </c>
      <c r="KM574" s="27" t="s">
        <v>8</v>
      </c>
      <c r="KN574" s="27" t="s">
        <v>7</v>
      </c>
      <c r="KO574" s="27" t="s">
        <v>8</v>
      </c>
      <c r="KP574" s="27" t="s">
        <v>7</v>
      </c>
      <c r="KQ574" s="27" t="s">
        <v>8</v>
      </c>
      <c r="KR574" s="27" t="s">
        <v>7</v>
      </c>
      <c r="KT574" s="27" t="s">
        <v>7</v>
      </c>
      <c r="KV574" s="27" t="s">
        <v>7</v>
      </c>
      <c r="KW574" s="27" t="s">
        <v>8</v>
      </c>
      <c r="LB574" s="27" t="s">
        <v>7</v>
      </c>
      <c r="LC574" s="27" t="s">
        <v>8</v>
      </c>
      <c r="LR574" s="27" t="s">
        <v>7</v>
      </c>
      <c r="LS574" s="27" t="s">
        <v>8</v>
      </c>
      <c r="LT574" s="27" t="s">
        <v>7</v>
      </c>
      <c r="LU574" s="27" t="s">
        <v>8</v>
      </c>
      <c r="MH574" s="27" t="s">
        <v>7</v>
      </c>
      <c r="OE574" s="27" t="s">
        <v>8</v>
      </c>
      <c r="PE574" s="27" t="s">
        <v>8</v>
      </c>
      <c r="PF574" s="27" t="s">
        <v>7</v>
      </c>
      <c r="PG574" s="27" t="s">
        <v>8</v>
      </c>
      <c r="PH574" s="27" t="s">
        <v>7</v>
      </c>
      <c r="PI574" s="27" t="s">
        <v>8</v>
      </c>
      <c r="PJ574" s="27" t="s">
        <v>7</v>
      </c>
      <c r="PK574" s="27" t="s">
        <v>8</v>
      </c>
      <c r="PL574" s="27" t="s">
        <v>7</v>
      </c>
    </row>
    <row r="575" spans="1:433" x14ac:dyDescent="0.25">
      <c r="A575" s="7">
        <v>1.2682417945625455</v>
      </c>
      <c r="B575"/>
      <c r="C575"/>
      <c r="D575"/>
      <c r="E575"/>
      <c r="JY575" s="27" t="s">
        <v>8</v>
      </c>
      <c r="JZ575" s="27" t="s">
        <v>7</v>
      </c>
      <c r="KL575" s="27" t="s">
        <v>7</v>
      </c>
      <c r="KM575" s="27" t="s">
        <v>8</v>
      </c>
      <c r="KN575" s="27" t="s">
        <v>7</v>
      </c>
      <c r="KO575" s="27" t="s">
        <v>8</v>
      </c>
      <c r="KP575" s="27" t="s">
        <v>7</v>
      </c>
      <c r="KQ575" s="27" t="s">
        <v>8</v>
      </c>
      <c r="KV575" s="27" t="s">
        <v>7</v>
      </c>
      <c r="LB575" s="27" t="s">
        <v>7</v>
      </c>
      <c r="LR575" s="27" t="s">
        <v>7</v>
      </c>
      <c r="LS575" s="27" t="s">
        <v>8</v>
      </c>
      <c r="LT575" s="27" t="s">
        <v>7</v>
      </c>
      <c r="MH575" s="27" t="s">
        <v>7</v>
      </c>
      <c r="OE575" s="27" t="s">
        <v>8</v>
      </c>
      <c r="OF575" s="27" t="s">
        <v>7</v>
      </c>
      <c r="PE575" s="27" t="s">
        <v>8</v>
      </c>
      <c r="PF575" s="27" t="s">
        <v>7</v>
      </c>
      <c r="PG575" s="27" t="s">
        <v>8</v>
      </c>
      <c r="PH575" s="27" t="s">
        <v>7</v>
      </c>
      <c r="PI575" s="27" t="s">
        <v>8</v>
      </c>
      <c r="PJ575" s="27" t="s">
        <v>7</v>
      </c>
      <c r="PK575" s="27" t="s">
        <v>8</v>
      </c>
      <c r="PL575" s="27" t="s">
        <v>7</v>
      </c>
    </row>
    <row r="576" spans="1:433" x14ac:dyDescent="0.25">
      <c r="A576" s="7">
        <v>1.2433743083946525</v>
      </c>
      <c r="B576"/>
      <c r="C576"/>
      <c r="D576"/>
      <c r="E576"/>
      <c r="JY576" s="27" t="s">
        <v>8</v>
      </c>
      <c r="KL576" s="27" t="s">
        <v>7</v>
      </c>
      <c r="KM576" s="27" t="s">
        <v>8</v>
      </c>
      <c r="KN576" s="27" t="s">
        <v>7</v>
      </c>
      <c r="KP576" s="27" t="s">
        <v>7</v>
      </c>
      <c r="KQ576" s="27" t="s">
        <v>8</v>
      </c>
      <c r="LR576" s="27" t="s">
        <v>7</v>
      </c>
      <c r="MH576" s="27" t="s">
        <v>7</v>
      </c>
      <c r="MM576" s="27" t="s">
        <v>8</v>
      </c>
      <c r="OE576" s="27" t="s">
        <v>8</v>
      </c>
      <c r="OF576" s="27" t="s">
        <v>7</v>
      </c>
      <c r="OK576" s="27" t="s">
        <v>8</v>
      </c>
      <c r="PE576" s="27" t="s">
        <v>8</v>
      </c>
      <c r="PF576" s="27" t="s">
        <v>7</v>
      </c>
      <c r="PG576" s="27" t="s">
        <v>8</v>
      </c>
      <c r="PH576" s="27" t="s">
        <v>7</v>
      </c>
      <c r="PI576" s="27" t="s">
        <v>8</v>
      </c>
      <c r="PJ576" s="27" t="s">
        <v>7</v>
      </c>
      <c r="PK576" s="27" t="s">
        <v>8</v>
      </c>
      <c r="PL576" s="27" t="s">
        <v>7</v>
      </c>
      <c r="PQ576" s="27" t="s">
        <v>8</v>
      </c>
    </row>
    <row r="577" spans="1:454" x14ac:dyDescent="0.25">
      <c r="A577" s="7">
        <v>1.2189944199947573</v>
      </c>
      <c r="B577"/>
      <c r="C577"/>
      <c r="D577"/>
      <c r="E577"/>
      <c r="JY577" s="27" t="s">
        <v>8</v>
      </c>
      <c r="KL577" s="27" t="s">
        <v>7</v>
      </c>
      <c r="KM577" s="27" t="s">
        <v>8</v>
      </c>
      <c r="KP577" s="27" t="s">
        <v>7</v>
      </c>
      <c r="KQ577" s="27" t="s">
        <v>8</v>
      </c>
      <c r="MH577" s="27" t="s">
        <v>7</v>
      </c>
      <c r="MI577" s="27" t="s">
        <v>8</v>
      </c>
      <c r="MM577" s="27" t="s">
        <v>8</v>
      </c>
      <c r="MN577" s="27" t="s">
        <v>7</v>
      </c>
      <c r="OE577" s="27" t="s">
        <v>8</v>
      </c>
      <c r="OF577" s="27" t="s">
        <v>7</v>
      </c>
      <c r="OK577" s="27" t="s">
        <v>8</v>
      </c>
      <c r="OL577" s="27" t="s">
        <v>7</v>
      </c>
      <c r="PE577" s="27" t="s">
        <v>8</v>
      </c>
      <c r="PF577" s="27" t="s">
        <v>7</v>
      </c>
      <c r="PG577" s="27" t="s">
        <v>8</v>
      </c>
      <c r="PH577" s="27" t="s">
        <v>7</v>
      </c>
      <c r="PI577" s="27" t="s">
        <v>8</v>
      </c>
      <c r="PJ577" s="27" t="s">
        <v>7</v>
      </c>
      <c r="PK577" s="27" t="s">
        <v>8</v>
      </c>
      <c r="PL577" s="27" t="s">
        <v>7</v>
      </c>
      <c r="PQ577" s="27" t="s">
        <v>8</v>
      </c>
      <c r="PR577" s="27" t="s">
        <v>7</v>
      </c>
      <c r="PS577" s="27" t="s">
        <v>8</v>
      </c>
    </row>
    <row r="578" spans="1:454" x14ac:dyDescent="0.25">
      <c r="A578" s="7">
        <v>1.1950925686223111</v>
      </c>
      <c r="B578"/>
      <c r="C578"/>
      <c r="D578"/>
      <c r="E578"/>
      <c r="JY578" s="27" t="s">
        <v>8</v>
      </c>
      <c r="KL578" s="27" t="s">
        <v>7</v>
      </c>
      <c r="KP578" s="27" t="s">
        <v>7</v>
      </c>
      <c r="KQ578" s="27" t="s">
        <v>8</v>
      </c>
      <c r="MH578" s="27" t="s">
        <v>7</v>
      </c>
      <c r="MI578" s="27" t="s">
        <v>8</v>
      </c>
      <c r="MJ578" s="27" t="s">
        <v>7</v>
      </c>
      <c r="MM578" s="27" t="s">
        <v>8</v>
      </c>
      <c r="MN578" s="27" t="s">
        <v>7</v>
      </c>
      <c r="OE578" s="27" t="s">
        <v>8</v>
      </c>
      <c r="OF578" s="27" t="s">
        <v>7</v>
      </c>
      <c r="OK578" s="27" t="s">
        <v>8</v>
      </c>
      <c r="OL578" s="27" t="s">
        <v>7</v>
      </c>
      <c r="PE578" s="27" t="s">
        <v>8</v>
      </c>
      <c r="PF578" s="27" t="s">
        <v>7</v>
      </c>
      <c r="PG578" s="27" t="s">
        <v>8</v>
      </c>
      <c r="PH578" s="27" t="s">
        <v>7</v>
      </c>
      <c r="PI578" s="27" t="s">
        <v>8</v>
      </c>
      <c r="PJ578" s="27" t="s">
        <v>7</v>
      </c>
      <c r="PL578" s="27" t="s">
        <v>7</v>
      </c>
      <c r="PQ578" s="27" t="s">
        <v>8</v>
      </c>
      <c r="PR578" s="27" t="s">
        <v>7</v>
      </c>
      <c r="PS578" s="27" t="s">
        <v>8</v>
      </c>
      <c r="PT578" s="27" t="s">
        <v>7</v>
      </c>
    </row>
    <row r="579" spans="1:454" x14ac:dyDescent="0.25">
      <c r="A579" s="7">
        <v>1.1716593810022657</v>
      </c>
      <c r="B579"/>
      <c r="C579"/>
      <c r="D579"/>
      <c r="E579"/>
      <c r="JY579" s="27" t="s">
        <v>8</v>
      </c>
      <c r="KP579" s="27" t="s">
        <v>7</v>
      </c>
      <c r="KQ579" s="27" t="s">
        <v>8</v>
      </c>
      <c r="MH579" s="27" t="s">
        <v>7</v>
      </c>
      <c r="MI579" s="27" t="s">
        <v>8</v>
      </c>
      <c r="MJ579" s="27" t="s">
        <v>7</v>
      </c>
      <c r="MK579" s="27" t="s">
        <v>8</v>
      </c>
      <c r="MM579" s="27" t="s">
        <v>8</v>
      </c>
      <c r="MN579" s="27" t="s">
        <v>7</v>
      </c>
      <c r="NY579" s="27" t="s">
        <v>8</v>
      </c>
      <c r="OE579" s="27" t="s">
        <v>8</v>
      </c>
      <c r="OF579" s="27" t="s">
        <v>7</v>
      </c>
      <c r="OK579" s="27" t="s">
        <v>8</v>
      </c>
      <c r="OL579" s="27" t="s">
        <v>7</v>
      </c>
      <c r="PE579" s="27" t="s">
        <v>8</v>
      </c>
      <c r="PF579" s="27" t="s">
        <v>7</v>
      </c>
      <c r="PG579" s="27" t="s">
        <v>8</v>
      </c>
      <c r="PH579" s="27" t="s">
        <v>7</v>
      </c>
      <c r="PL579" s="27" t="s">
        <v>7</v>
      </c>
      <c r="PM579" s="27" t="s">
        <v>8</v>
      </c>
      <c r="PQ579" s="27" t="s">
        <v>8</v>
      </c>
      <c r="PR579" s="27" t="s">
        <v>7</v>
      </c>
      <c r="PS579" s="27" t="s">
        <v>8</v>
      </c>
      <c r="PT579" s="27" t="s">
        <v>7</v>
      </c>
    </row>
    <row r="580" spans="1:454" x14ac:dyDescent="0.25">
      <c r="A580" s="7">
        <v>1.14868566764928</v>
      </c>
      <c r="B580"/>
      <c r="C580"/>
      <c r="D580"/>
      <c r="E580"/>
      <c r="JY580" s="27" t="s">
        <v>8</v>
      </c>
      <c r="KP580" s="27" t="s">
        <v>7</v>
      </c>
      <c r="MH580" s="27" t="s">
        <v>7</v>
      </c>
      <c r="MI580" s="27" t="s">
        <v>8</v>
      </c>
      <c r="MJ580" s="27" t="s">
        <v>7</v>
      </c>
      <c r="MK580" s="27" t="s">
        <v>8</v>
      </c>
      <c r="ML580" s="27" t="s">
        <v>7</v>
      </c>
      <c r="MM580" s="27" t="s">
        <v>8</v>
      </c>
      <c r="MN580" s="27" t="s">
        <v>7</v>
      </c>
      <c r="NY580" s="27" t="s">
        <v>8</v>
      </c>
      <c r="NZ580" s="27" t="s">
        <v>7</v>
      </c>
      <c r="OA580" s="27" t="s">
        <v>8</v>
      </c>
      <c r="OE580" s="27" t="s">
        <v>8</v>
      </c>
      <c r="OF580" s="27" t="s">
        <v>7</v>
      </c>
      <c r="OK580" s="27" t="s">
        <v>8</v>
      </c>
      <c r="OL580" s="27" t="s">
        <v>7</v>
      </c>
      <c r="PE580" s="27" t="s">
        <v>8</v>
      </c>
      <c r="PF580" s="27" t="s">
        <v>7</v>
      </c>
      <c r="PG580" s="27" t="s">
        <v>8</v>
      </c>
      <c r="PL580" s="27" t="s">
        <v>7</v>
      </c>
      <c r="PM580" s="27" t="s">
        <v>8</v>
      </c>
      <c r="PN580" s="27" t="s">
        <v>7</v>
      </c>
      <c r="PO580" s="27" t="s">
        <v>8</v>
      </c>
      <c r="PQ580" s="27" t="s">
        <v>8</v>
      </c>
      <c r="PR580" s="27" t="s">
        <v>7</v>
      </c>
      <c r="PS580" s="27" t="s">
        <v>8</v>
      </c>
      <c r="PT580" s="27" t="s">
        <v>7</v>
      </c>
    </row>
    <row r="581" spans="1:454" x14ac:dyDescent="0.25">
      <c r="A581" s="7">
        <v>1.1261624192640001</v>
      </c>
      <c r="B581"/>
      <c r="C581"/>
      <c r="D581"/>
      <c r="E581"/>
      <c r="JY581" s="27" t="s">
        <v>8</v>
      </c>
      <c r="MH581" s="27" t="s">
        <v>7</v>
      </c>
      <c r="MI581" s="27" t="s">
        <v>8</v>
      </c>
      <c r="MJ581" s="27" t="s">
        <v>7</v>
      </c>
      <c r="MK581" s="27" t="s">
        <v>8</v>
      </c>
      <c r="ML581" s="27" t="s">
        <v>7</v>
      </c>
      <c r="MM581" s="27" t="s">
        <v>8</v>
      </c>
      <c r="MN581" s="27" t="s">
        <v>7</v>
      </c>
      <c r="MO581" s="27" t="s">
        <v>8</v>
      </c>
      <c r="NY581" s="27" t="s">
        <v>8</v>
      </c>
      <c r="NZ581" s="27" t="s">
        <v>7</v>
      </c>
      <c r="OA581" s="27" t="s">
        <v>8</v>
      </c>
      <c r="OB581" s="27" t="s">
        <v>7</v>
      </c>
      <c r="OC581" s="27" t="s">
        <v>8</v>
      </c>
      <c r="OE581" s="27" t="s">
        <v>8</v>
      </c>
      <c r="OF581" s="27" t="s">
        <v>7</v>
      </c>
      <c r="OK581" s="27" t="s">
        <v>8</v>
      </c>
      <c r="OL581" s="27" t="s">
        <v>7</v>
      </c>
      <c r="OM581" s="27" t="s">
        <v>8</v>
      </c>
      <c r="OW581" s="27" t="s">
        <v>8</v>
      </c>
      <c r="PE581" s="27" t="s">
        <v>8</v>
      </c>
      <c r="PF581" s="27" t="s">
        <v>7</v>
      </c>
      <c r="PG581" s="27" t="s">
        <v>8</v>
      </c>
      <c r="PL581" s="27" t="s">
        <v>7</v>
      </c>
      <c r="PM581" s="27" t="s">
        <v>8</v>
      </c>
      <c r="PN581" s="27" t="s">
        <v>7</v>
      </c>
      <c r="PO581" s="27" t="s">
        <v>8</v>
      </c>
      <c r="PP581" s="27" t="s">
        <v>7</v>
      </c>
      <c r="PQ581" s="27" t="s">
        <v>8</v>
      </c>
      <c r="PR581" s="27" t="s">
        <v>7</v>
      </c>
      <c r="PS581" s="27" t="s">
        <v>8</v>
      </c>
      <c r="PT581" s="27" t="s">
        <v>7</v>
      </c>
    </row>
    <row r="582" spans="1:454" x14ac:dyDescent="0.25">
      <c r="A582" s="7">
        <v>1.1040808032</v>
      </c>
      <c r="B582"/>
      <c r="C582"/>
      <c r="D582"/>
      <c r="E582"/>
      <c r="JY582" s="27" t="s">
        <v>8</v>
      </c>
      <c r="MH582" s="27" t="s">
        <v>7</v>
      </c>
      <c r="MI582" s="27" t="s">
        <v>8</v>
      </c>
      <c r="MJ582" s="27" t="s">
        <v>7</v>
      </c>
      <c r="MK582" s="27" t="s">
        <v>8</v>
      </c>
      <c r="ML582" s="27" t="s">
        <v>7</v>
      </c>
      <c r="MM582" s="27" t="s">
        <v>8</v>
      </c>
      <c r="MN582" s="27" t="s">
        <v>7</v>
      </c>
      <c r="MO582" s="27" t="s">
        <v>8</v>
      </c>
      <c r="MP582" s="27" t="s">
        <v>7</v>
      </c>
      <c r="NU582" s="27" t="s">
        <v>8</v>
      </c>
      <c r="NW582" s="27" t="s">
        <v>8</v>
      </c>
      <c r="NY582" s="27" t="s">
        <v>8</v>
      </c>
      <c r="NZ582" s="27" t="s">
        <v>7</v>
      </c>
      <c r="OA582" s="27" t="s">
        <v>8</v>
      </c>
      <c r="OB582" s="27" t="s">
        <v>7</v>
      </c>
      <c r="OC582" s="27" t="s">
        <v>8</v>
      </c>
      <c r="OD582" s="27" t="s">
        <v>7</v>
      </c>
      <c r="OE582" s="27" t="s">
        <v>8</v>
      </c>
      <c r="OF582" s="27" t="s">
        <v>7</v>
      </c>
      <c r="OG582" s="27" t="s">
        <v>8</v>
      </c>
      <c r="OK582" s="27" t="s">
        <v>8</v>
      </c>
      <c r="OL582" s="27" t="s">
        <v>7</v>
      </c>
      <c r="OM582" s="27" t="s">
        <v>8</v>
      </c>
      <c r="ON582" s="27" t="s">
        <v>7</v>
      </c>
      <c r="OW582" s="27" t="s">
        <v>8</v>
      </c>
      <c r="OX582" s="27" t="s">
        <v>7</v>
      </c>
      <c r="PE582" s="27" t="s">
        <v>8</v>
      </c>
      <c r="PF582" s="27" t="s">
        <v>7</v>
      </c>
      <c r="PL582" s="27" t="s">
        <v>7</v>
      </c>
      <c r="PM582" s="27" t="s">
        <v>8</v>
      </c>
      <c r="PN582" s="27" t="s">
        <v>7</v>
      </c>
      <c r="PO582" s="27" t="s">
        <v>8</v>
      </c>
      <c r="PP582" s="27" t="s">
        <v>7</v>
      </c>
      <c r="PQ582" s="27" t="s">
        <v>8</v>
      </c>
      <c r="PR582" s="27" t="s">
        <v>7</v>
      </c>
      <c r="PS582" s="27" t="s">
        <v>8</v>
      </c>
      <c r="PT582" s="27" t="s">
        <v>7</v>
      </c>
    </row>
    <row r="583" spans="1:454" x14ac:dyDescent="0.25">
      <c r="A583" s="7">
        <v>1.08243216</v>
      </c>
      <c r="B583"/>
      <c r="C583"/>
      <c r="D583"/>
      <c r="E583"/>
      <c r="JY583" s="27" t="s">
        <v>8</v>
      </c>
      <c r="MH583" s="27" t="s">
        <v>7</v>
      </c>
      <c r="MI583" s="27" t="s">
        <v>8</v>
      </c>
      <c r="MJ583" s="27" t="s">
        <v>7</v>
      </c>
      <c r="MK583" s="27" t="s">
        <v>8</v>
      </c>
      <c r="ML583" s="27" t="s">
        <v>7</v>
      </c>
      <c r="MM583" s="27" t="s">
        <v>8</v>
      </c>
      <c r="MN583" s="27" t="s">
        <v>7</v>
      </c>
      <c r="MO583" s="27" t="s">
        <v>8</v>
      </c>
      <c r="MP583" s="27" t="s">
        <v>7</v>
      </c>
      <c r="NU583" s="27" t="s">
        <v>8</v>
      </c>
      <c r="NV583" s="27" t="s">
        <v>7</v>
      </c>
      <c r="NW583" s="27" t="s">
        <v>8</v>
      </c>
      <c r="NX583" s="27" t="s">
        <v>7</v>
      </c>
      <c r="NY583" s="27" t="s">
        <v>8</v>
      </c>
      <c r="NZ583" s="27" t="s">
        <v>7</v>
      </c>
      <c r="OA583" s="27" t="s">
        <v>8</v>
      </c>
      <c r="OB583" s="27" t="s">
        <v>7</v>
      </c>
      <c r="OC583" s="27" t="s">
        <v>8</v>
      </c>
      <c r="OD583" s="27" t="s">
        <v>7</v>
      </c>
      <c r="OE583" s="27" t="s">
        <v>8</v>
      </c>
      <c r="OF583" s="27" t="s">
        <v>7</v>
      </c>
      <c r="OG583" s="27" t="s">
        <v>8</v>
      </c>
      <c r="OH583" s="27" t="s">
        <v>7</v>
      </c>
      <c r="OK583" s="27" t="s">
        <v>8</v>
      </c>
      <c r="OL583" s="27" t="s">
        <v>7</v>
      </c>
      <c r="OM583" s="27" t="s">
        <v>8</v>
      </c>
      <c r="ON583" s="27" t="s">
        <v>7</v>
      </c>
      <c r="OW583" s="27" t="s">
        <v>8</v>
      </c>
      <c r="OX583" s="27" t="s">
        <v>7</v>
      </c>
      <c r="PA583" s="27" t="s">
        <v>8</v>
      </c>
      <c r="PC583" s="27" t="s">
        <v>8</v>
      </c>
      <c r="PE583" s="27" t="s">
        <v>8</v>
      </c>
      <c r="PL583" s="27" t="s">
        <v>7</v>
      </c>
      <c r="PM583" s="27" t="s">
        <v>8</v>
      </c>
      <c r="PN583" s="27" t="s">
        <v>7</v>
      </c>
      <c r="PO583" s="27" t="s">
        <v>8</v>
      </c>
      <c r="PP583" s="27" t="s">
        <v>7</v>
      </c>
      <c r="PR583" s="27" t="s">
        <v>7</v>
      </c>
      <c r="PT583" s="27" t="s">
        <v>7</v>
      </c>
    </row>
    <row r="584" spans="1:454" x14ac:dyDescent="0.25">
      <c r="A584" s="7">
        <v>1.0612079999999999</v>
      </c>
      <c r="B584"/>
      <c r="C584"/>
      <c r="D584"/>
      <c r="E584"/>
      <c r="JY584" s="27" t="s">
        <v>8</v>
      </c>
      <c r="MH584" s="27" t="s">
        <v>7</v>
      </c>
      <c r="MI584" s="27" t="s">
        <v>8</v>
      </c>
      <c r="MJ584" s="27" t="s">
        <v>7</v>
      </c>
      <c r="MK584" s="27" t="s">
        <v>8</v>
      </c>
      <c r="ML584" s="27" t="s">
        <v>7</v>
      </c>
      <c r="MM584" s="27" t="s">
        <v>8</v>
      </c>
      <c r="MN584" s="27" t="s">
        <v>7</v>
      </c>
      <c r="MO584" s="27" t="s">
        <v>8</v>
      </c>
      <c r="MP584" s="27" t="s">
        <v>7</v>
      </c>
      <c r="NU584" s="27" t="s">
        <v>8</v>
      </c>
      <c r="NV584" s="27" t="s">
        <v>7</v>
      </c>
      <c r="NW584" s="27" t="s">
        <v>8</v>
      </c>
      <c r="NX584" s="27" t="s">
        <v>7</v>
      </c>
      <c r="NY584" s="27" t="s">
        <v>8</v>
      </c>
      <c r="NZ584" s="27" t="s">
        <v>7</v>
      </c>
      <c r="OA584" s="27" t="s">
        <v>8</v>
      </c>
      <c r="OB584" s="27" t="s">
        <v>7</v>
      </c>
      <c r="OC584" s="27" t="s">
        <v>8</v>
      </c>
      <c r="OD584" s="27" t="s">
        <v>7</v>
      </c>
      <c r="OE584" s="27" t="s">
        <v>8</v>
      </c>
      <c r="OF584" s="27" t="s">
        <v>7</v>
      </c>
      <c r="OG584" s="27" t="s">
        <v>8</v>
      </c>
      <c r="OH584" s="27" t="s">
        <v>7</v>
      </c>
      <c r="OI584" s="27" t="s">
        <v>8</v>
      </c>
      <c r="OK584" s="27" t="s">
        <v>8</v>
      </c>
      <c r="OL584" s="27" t="s">
        <v>7</v>
      </c>
      <c r="ON584" s="27" t="s">
        <v>7</v>
      </c>
      <c r="OU584" s="27" t="s">
        <v>8</v>
      </c>
      <c r="OW584" s="27" t="s">
        <v>8</v>
      </c>
      <c r="OX584" s="27" t="s">
        <v>7</v>
      </c>
      <c r="PA584" s="27" t="s">
        <v>8</v>
      </c>
      <c r="PB584" s="27" t="s">
        <v>7</v>
      </c>
      <c r="PC584" s="27" t="s">
        <v>8</v>
      </c>
      <c r="PD584" s="27" t="s">
        <v>7</v>
      </c>
      <c r="PE584" s="27" t="s">
        <v>8</v>
      </c>
      <c r="PL584" s="27" t="s">
        <v>7</v>
      </c>
      <c r="PN584" s="27" t="s">
        <v>7</v>
      </c>
      <c r="PO584" s="27" t="s">
        <v>8</v>
      </c>
      <c r="PT584" s="27" t="s">
        <v>7</v>
      </c>
    </row>
    <row r="585" spans="1:454" x14ac:dyDescent="0.25">
      <c r="A585" s="7">
        <v>1.0404</v>
      </c>
      <c r="B585"/>
      <c r="C585"/>
      <c r="D585"/>
      <c r="E585"/>
      <c r="JY585" s="27" t="s">
        <v>8</v>
      </c>
      <c r="MH585" s="27" t="s">
        <v>7</v>
      </c>
      <c r="MI585" s="27" t="s">
        <v>8</v>
      </c>
      <c r="MJ585" s="27" t="s">
        <v>7</v>
      </c>
      <c r="MK585" s="27" t="s">
        <v>8</v>
      </c>
      <c r="ML585" s="27" t="s">
        <v>7</v>
      </c>
      <c r="MM585" s="27" t="s">
        <v>8</v>
      </c>
      <c r="MN585" s="27" t="s">
        <v>7</v>
      </c>
      <c r="MO585" s="27" t="s">
        <v>8</v>
      </c>
      <c r="MP585" s="27" t="s">
        <v>7</v>
      </c>
      <c r="NQ585" s="27" t="s">
        <v>8</v>
      </c>
      <c r="NS585" s="27" t="s">
        <v>8</v>
      </c>
      <c r="NU585" s="27" t="s">
        <v>8</v>
      </c>
      <c r="NV585" s="27" t="s">
        <v>7</v>
      </c>
      <c r="NW585" s="27" t="s">
        <v>8</v>
      </c>
      <c r="NX585" s="27" t="s">
        <v>7</v>
      </c>
      <c r="NY585" s="27" t="s">
        <v>8</v>
      </c>
      <c r="NZ585" s="27" t="s">
        <v>7</v>
      </c>
      <c r="OA585" s="27" t="s">
        <v>8</v>
      </c>
      <c r="OB585" s="27" t="s">
        <v>7</v>
      </c>
      <c r="OC585" s="27" t="s">
        <v>8</v>
      </c>
      <c r="OD585" s="27" t="s">
        <v>7</v>
      </c>
      <c r="OE585" s="27" t="s">
        <v>8</v>
      </c>
      <c r="OF585" s="27" t="s">
        <v>7</v>
      </c>
      <c r="OG585" s="27" t="s">
        <v>8</v>
      </c>
      <c r="OH585" s="27" t="s">
        <v>7</v>
      </c>
      <c r="OI585" s="27" t="s">
        <v>8</v>
      </c>
      <c r="OJ585" s="27" t="s">
        <v>7</v>
      </c>
      <c r="OK585" s="27" t="s">
        <v>8</v>
      </c>
      <c r="ON585" s="27" t="s">
        <v>7</v>
      </c>
      <c r="OS585" s="27" t="s">
        <v>8</v>
      </c>
      <c r="OU585" s="27" t="s">
        <v>8</v>
      </c>
      <c r="OV585" s="27" t="s">
        <v>7</v>
      </c>
      <c r="OW585" s="27" t="s">
        <v>8</v>
      </c>
      <c r="OX585" s="27" t="s">
        <v>7</v>
      </c>
      <c r="OY585" s="27" t="s">
        <v>8</v>
      </c>
      <c r="PA585" s="27" t="s">
        <v>8</v>
      </c>
      <c r="PB585" s="27" t="s">
        <v>7</v>
      </c>
      <c r="PC585" s="27" t="s">
        <v>8</v>
      </c>
      <c r="PD585" s="27" t="s">
        <v>7</v>
      </c>
      <c r="PE585" s="27" t="s">
        <v>8</v>
      </c>
      <c r="PN585" s="27" t="s">
        <v>7</v>
      </c>
      <c r="PT585" s="27" t="s">
        <v>7</v>
      </c>
    </row>
    <row r="586" spans="1:454" x14ac:dyDescent="0.25">
      <c r="A586" s="7">
        <v>1.02</v>
      </c>
      <c r="B586"/>
      <c r="C586"/>
      <c r="D586"/>
      <c r="E586"/>
      <c r="JY586" s="27" t="s">
        <v>8</v>
      </c>
      <c r="MH586" s="27" t="s">
        <v>7</v>
      </c>
      <c r="MI586" s="27" t="s">
        <v>8</v>
      </c>
      <c r="MJ586" s="27" t="s">
        <v>7</v>
      </c>
      <c r="MK586" s="27" t="s">
        <v>8</v>
      </c>
      <c r="ML586" s="27" t="s">
        <v>7</v>
      </c>
      <c r="MM586" s="27" t="s">
        <v>8</v>
      </c>
      <c r="MN586" s="27" t="s">
        <v>7</v>
      </c>
      <c r="MP586" s="27" t="s">
        <v>7</v>
      </c>
      <c r="NQ586" s="27" t="s">
        <v>8</v>
      </c>
      <c r="NR586" s="27" t="s">
        <v>7</v>
      </c>
      <c r="NS586" s="27" t="s">
        <v>8</v>
      </c>
      <c r="NT586" s="27" t="s">
        <v>7</v>
      </c>
      <c r="NU586" s="27" t="s">
        <v>8</v>
      </c>
      <c r="NV586" s="27" t="s">
        <v>7</v>
      </c>
      <c r="NX586" s="27" t="s">
        <v>7</v>
      </c>
      <c r="NY586" s="27" t="s">
        <v>8</v>
      </c>
      <c r="NZ586" s="27" t="s">
        <v>7</v>
      </c>
      <c r="OB586" s="27" t="s">
        <v>7</v>
      </c>
      <c r="OD586" s="27" t="s">
        <v>7</v>
      </c>
      <c r="OF586" s="27" t="s">
        <v>7</v>
      </c>
      <c r="OG586" s="27" t="s">
        <v>8</v>
      </c>
      <c r="OH586" s="27" t="s">
        <v>7</v>
      </c>
      <c r="OI586" s="27" t="s">
        <v>8</v>
      </c>
      <c r="OJ586" s="27" t="s">
        <v>7</v>
      </c>
      <c r="OK586" s="27" t="s">
        <v>8</v>
      </c>
      <c r="ON586" s="27" t="s">
        <v>7</v>
      </c>
      <c r="OS586" s="27" t="s">
        <v>8</v>
      </c>
      <c r="OT586" s="27" t="s">
        <v>7</v>
      </c>
      <c r="OU586" s="27" t="s">
        <v>8</v>
      </c>
      <c r="OV586" s="27" t="s">
        <v>7</v>
      </c>
      <c r="OW586" s="27" t="s">
        <v>8</v>
      </c>
      <c r="OX586" s="27" t="s">
        <v>7</v>
      </c>
      <c r="OY586" s="27" t="s">
        <v>8</v>
      </c>
      <c r="OZ586" s="27" t="s">
        <v>7</v>
      </c>
      <c r="PA586" s="27" t="s">
        <v>8</v>
      </c>
      <c r="PB586" s="27" t="s">
        <v>7</v>
      </c>
      <c r="PC586" s="27" t="s">
        <v>8</v>
      </c>
      <c r="PD586" s="27" t="s">
        <v>7</v>
      </c>
      <c r="PE586" s="27" t="s">
        <v>8</v>
      </c>
      <c r="PT586" s="27" t="s">
        <v>7</v>
      </c>
    </row>
    <row r="587" spans="1:454" x14ac:dyDescent="0.25">
      <c r="A587" s="7">
        <v>1</v>
      </c>
      <c r="B587"/>
      <c r="C587"/>
      <c r="D587"/>
      <c r="E587" s="29" t="s">
        <v>8</v>
      </c>
      <c r="JY587" s="27" t="s">
        <v>8</v>
      </c>
      <c r="MH587" s="27" t="s">
        <v>7</v>
      </c>
      <c r="MI587" s="27" t="s">
        <v>8</v>
      </c>
      <c r="MJ587" s="27" t="s">
        <v>7</v>
      </c>
      <c r="MK587" s="27" t="s">
        <v>8</v>
      </c>
      <c r="ML587" s="27" t="s">
        <v>7</v>
      </c>
      <c r="MM587" s="27" t="s">
        <v>8</v>
      </c>
      <c r="MP587" s="27" t="s">
        <v>7</v>
      </c>
      <c r="NQ587" s="27" t="s">
        <v>8</v>
      </c>
      <c r="NR587" s="27" t="s">
        <v>7</v>
      </c>
      <c r="NS587" s="27" t="s">
        <v>8</v>
      </c>
      <c r="NT587" s="27" t="s">
        <v>7</v>
      </c>
      <c r="NU587" s="27" t="s">
        <v>8</v>
      </c>
      <c r="NX587" s="27" t="s">
        <v>7</v>
      </c>
      <c r="NY587" s="27" t="s">
        <v>8</v>
      </c>
      <c r="OF587" s="27" t="s">
        <v>7</v>
      </c>
      <c r="OG587" s="27" t="s">
        <v>8</v>
      </c>
      <c r="OH587" s="27" t="s">
        <v>7</v>
      </c>
      <c r="OJ587" s="27" t="s">
        <v>7</v>
      </c>
      <c r="OK587" s="27" t="s">
        <v>8</v>
      </c>
      <c r="ON587" s="27" t="s">
        <v>7</v>
      </c>
      <c r="OS587" s="27" t="s">
        <v>8</v>
      </c>
      <c r="OT587" s="27" t="s">
        <v>7</v>
      </c>
      <c r="OU587" s="27" t="s">
        <v>8</v>
      </c>
      <c r="OV587" s="27" t="s">
        <v>7</v>
      </c>
      <c r="OX587" s="27" t="s">
        <v>7</v>
      </c>
      <c r="OY587" s="27" t="s">
        <v>8</v>
      </c>
      <c r="OZ587" s="27" t="s">
        <v>7</v>
      </c>
      <c r="PA587" s="27" t="s">
        <v>8</v>
      </c>
      <c r="PB587" s="27" t="s">
        <v>7</v>
      </c>
      <c r="PC587" s="27" t="s">
        <v>8</v>
      </c>
      <c r="PD587" s="27" t="s">
        <v>7</v>
      </c>
      <c r="PE587" s="27" t="s">
        <v>8</v>
      </c>
      <c r="PT587" s="27" t="s">
        <v>7</v>
      </c>
    </row>
    <row r="588" spans="1:454" x14ac:dyDescent="0.25">
      <c r="A588" s="7">
        <v>0.98039215686274506</v>
      </c>
      <c r="B588"/>
      <c r="C588"/>
      <c r="D588"/>
      <c r="E588"/>
      <c r="F588" s="27" t="s">
        <v>7</v>
      </c>
      <c r="JY588" s="27" t="s">
        <v>8</v>
      </c>
      <c r="MH588" s="27" t="s">
        <v>7</v>
      </c>
      <c r="MI588" s="27" t="s">
        <v>8</v>
      </c>
      <c r="MJ588" s="27" t="s">
        <v>7</v>
      </c>
      <c r="MK588" s="27" t="s">
        <v>8</v>
      </c>
      <c r="ML588" s="27" t="s">
        <v>7</v>
      </c>
      <c r="MM588" s="27" t="s">
        <v>8</v>
      </c>
      <c r="MP588" s="27" t="s">
        <v>7</v>
      </c>
      <c r="MQ588" s="27" t="s">
        <v>8</v>
      </c>
      <c r="NQ588" s="27" t="s">
        <v>8</v>
      </c>
      <c r="NR588" s="27" t="s">
        <v>7</v>
      </c>
      <c r="NS588" s="27" t="s">
        <v>8</v>
      </c>
      <c r="NT588" s="27" t="s">
        <v>7</v>
      </c>
      <c r="NU588" s="27" t="s">
        <v>8</v>
      </c>
      <c r="NX588" s="27" t="s">
        <v>7</v>
      </c>
      <c r="NY588" s="27" t="s">
        <v>8</v>
      </c>
      <c r="OF588" s="27" t="s">
        <v>7</v>
      </c>
      <c r="OG588" s="27" t="s">
        <v>8</v>
      </c>
      <c r="OJ588" s="27" t="s">
        <v>7</v>
      </c>
      <c r="OK588" s="27" t="s">
        <v>8</v>
      </c>
      <c r="ON588" s="27" t="s">
        <v>7</v>
      </c>
      <c r="OO588" s="27" t="s">
        <v>8</v>
      </c>
      <c r="OS588" s="27" t="s">
        <v>8</v>
      </c>
      <c r="OT588" s="27" t="s">
        <v>7</v>
      </c>
      <c r="OU588" s="27" t="s">
        <v>8</v>
      </c>
      <c r="OX588" s="27" t="s">
        <v>7</v>
      </c>
      <c r="OY588" s="27" t="s">
        <v>8</v>
      </c>
      <c r="OZ588" s="27" t="s">
        <v>7</v>
      </c>
      <c r="PA588" s="27" t="s">
        <v>8</v>
      </c>
      <c r="PB588" s="27" t="s">
        <v>7</v>
      </c>
      <c r="PD588" s="27" t="s">
        <v>7</v>
      </c>
      <c r="PE588" s="27" t="s">
        <v>8</v>
      </c>
      <c r="PT588" s="27" t="s">
        <v>7</v>
      </c>
      <c r="QK588" s="27" t="s">
        <v>8</v>
      </c>
    </row>
    <row r="589" spans="1:454" x14ac:dyDescent="0.25">
      <c r="A589" s="7">
        <v>0.96116878123798544</v>
      </c>
      <c r="B589"/>
      <c r="C589"/>
      <c r="D589"/>
      <c r="E589"/>
      <c r="F589" s="27" t="s">
        <v>7</v>
      </c>
      <c r="JY589" s="27" t="s">
        <v>8</v>
      </c>
      <c r="MH589" s="27" t="s">
        <v>7</v>
      </c>
      <c r="MI589" s="27" t="s">
        <v>8</v>
      </c>
      <c r="MJ589" s="27" t="s">
        <v>7</v>
      </c>
      <c r="MK589" s="27" t="s">
        <v>8</v>
      </c>
      <c r="ML589" s="27" t="s">
        <v>7</v>
      </c>
      <c r="MM589" s="27" t="s">
        <v>8</v>
      </c>
      <c r="MP589" s="27" t="s">
        <v>7</v>
      </c>
      <c r="MQ589" s="27" t="s">
        <v>8</v>
      </c>
      <c r="MR589" s="27" t="s">
        <v>7</v>
      </c>
      <c r="NQ589" s="27" t="s">
        <v>8</v>
      </c>
      <c r="NR589" s="27" t="s">
        <v>7</v>
      </c>
      <c r="NS589" s="27" t="s">
        <v>8</v>
      </c>
      <c r="NT589" s="27" t="s">
        <v>7</v>
      </c>
      <c r="NU589" s="27" t="s">
        <v>8</v>
      </c>
      <c r="NX589" s="27" t="s">
        <v>7</v>
      </c>
      <c r="NY589" s="27" t="s">
        <v>8</v>
      </c>
      <c r="OF589" s="27" t="s">
        <v>7</v>
      </c>
      <c r="OG589" s="27" t="s">
        <v>8</v>
      </c>
      <c r="OJ589" s="27" t="s">
        <v>7</v>
      </c>
      <c r="OK589" s="27" t="s">
        <v>8</v>
      </c>
      <c r="ON589" s="27" t="s">
        <v>7</v>
      </c>
      <c r="OO589" s="27" t="s">
        <v>8</v>
      </c>
      <c r="OP589" s="27" t="s">
        <v>7</v>
      </c>
      <c r="OQ589" s="27" t="s">
        <v>8</v>
      </c>
      <c r="OS589" s="27" t="s">
        <v>8</v>
      </c>
      <c r="OT589" s="27" t="s">
        <v>7</v>
      </c>
      <c r="OU589" s="27" t="s">
        <v>8</v>
      </c>
      <c r="OX589" s="27" t="s">
        <v>7</v>
      </c>
      <c r="OY589" s="27" t="s">
        <v>8</v>
      </c>
      <c r="OZ589" s="27" t="s">
        <v>7</v>
      </c>
      <c r="PA589" s="27" t="s">
        <v>8</v>
      </c>
      <c r="PD589" s="27" t="s">
        <v>7</v>
      </c>
      <c r="PE589" s="27" t="s">
        <v>8</v>
      </c>
      <c r="PT589" s="27" t="s">
        <v>7</v>
      </c>
      <c r="PW589" s="27" t="s">
        <v>8</v>
      </c>
      <c r="QK589" s="27" t="s">
        <v>8</v>
      </c>
      <c r="QL589" s="27" t="s">
        <v>7</v>
      </c>
    </row>
    <row r="590" spans="1:454" x14ac:dyDescent="0.25">
      <c r="A590" s="7">
        <v>0.94232233454704462</v>
      </c>
      <c r="B590"/>
      <c r="C590"/>
      <c r="D590"/>
      <c r="E590"/>
      <c r="F590" s="27" t="s">
        <v>7</v>
      </c>
      <c r="HG590" s="27" t="s">
        <v>8</v>
      </c>
      <c r="JY590" s="27" t="s">
        <v>8</v>
      </c>
      <c r="MH590" s="27" t="s">
        <v>7</v>
      </c>
      <c r="MI590" s="27" t="s">
        <v>8</v>
      </c>
      <c r="MJ590" s="27" t="s">
        <v>7</v>
      </c>
      <c r="MK590" s="27" t="s">
        <v>8</v>
      </c>
      <c r="ML590" s="27" t="s">
        <v>7</v>
      </c>
      <c r="MM590" s="27" t="s">
        <v>8</v>
      </c>
      <c r="MP590" s="27" t="s">
        <v>7</v>
      </c>
      <c r="MQ590" s="27" t="s">
        <v>8</v>
      </c>
      <c r="MR590" s="27" t="s">
        <v>7</v>
      </c>
      <c r="MS590" s="27" t="s">
        <v>8</v>
      </c>
      <c r="NQ590" s="27" t="s">
        <v>8</v>
      </c>
      <c r="NR590" s="27" t="s">
        <v>7</v>
      </c>
      <c r="NS590" s="27" t="s">
        <v>8</v>
      </c>
      <c r="NT590" s="27" t="s">
        <v>7</v>
      </c>
      <c r="NU590" s="27" t="s">
        <v>8</v>
      </c>
      <c r="NX590" s="27" t="s">
        <v>7</v>
      </c>
      <c r="NY590" s="27" t="s">
        <v>8</v>
      </c>
      <c r="OF590" s="27" t="s">
        <v>7</v>
      </c>
      <c r="OG590" s="27" t="s">
        <v>8</v>
      </c>
      <c r="OJ590" s="27" t="s">
        <v>7</v>
      </c>
      <c r="ON590" s="27" t="s">
        <v>7</v>
      </c>
      <c r="OO590" s="27" t="s">
        <v>8</v>
      </c>
      <c r="OP590" s="27" t="s">
        <v>7</v>
      </c>
      <c r="OQ590" s="27" t="s">
        <v>8</v>
      </c>
      <c r="OR590" s="27" t="s">
        <v>7</v>
      </c>
      <c r="OS590" s="27" t="s">
        <v>8</v>
      </c>
      <c r="OT590" s="27" t="s">
        <v>7</v>
      </c>
      <c r="OX590" s="27" t="s">
        <v>7</v>
      </c>
      <c r="OZ590" s="27" t="s">
        <v>7</v>
      </c>
      <c r="PD590" s="27" t="s">
        <v>7</v>
      </c>
      <c r="PE590" s="27" t="s">
        <v>8</v>
      </c>
      <c r="PT590" s="27" t="s">
        <v>7</v>
      </c>
      <c r="PW590" s="27" t="s">
        <v>8</v>
      </c>
      <c r="PX590" s="27" t="s">
        <v>7</v>
      </c>
      <c r="PY590" s="27" t="s">
        <v>8</v>
      </c>
      <c r="QK590" s="27" t="s">
        <v>8</v>
      </c>
      <c r="QL590" s="27" t="s">
        <v>7</v>
      </c>
    </row>
    <row r="591" spans="1:454" x14ac:dyDescent="0.25">
      <c r="A591" s="7">
        <v>0.92384542602651432</v>
      </c>
      <c r="B591"/>
      <c r="C591"/>
      <c r="D591"/>
      <c r="E591"/>
      <c r="F591" s="27" t="s">
        <v>7</v>
      </c>
      <c r="HG591" s="27" t="s">
        <v>8</v>
      </c>
      <c r="HH591" s="27" t="s">
        <v>7</v>
      </c>
      <c r="JY591" s="27" t="s">
        <v>8</v>
      </c>
      <c r="MH591" s="27" t="s">
        <v>7</v>
      </c>
      <c r="MI591" s="27" t="s">
        <v>8</v>
      </c>
      <c r="MJ591" s="27" t="s">
        <v>7</v>
      </c>
      <c r="MK591" s="27" t="s">
        <v>8</v>
      </c>
      <c r="ML591" s="27" t="s">
        <v>7</v>
      </c>
      <c r="MM591" s="27" t="s">
        <v>8</v>
      </c>
      <c r="MP591" s="27" t="s">
        <v>7</v>
      </c>
      <c r="MQ591" s="27" t="s">
        <v>8</v>
      </c>
      <c r="MR591" s="27" t="s">
        <v>7</v>
      </c>
      <c r="MS591" s="27" t="s">
        <v>8</v>
      </c>
      <c r="MT591" s="27" t="s">
        <v>7</v>
      </c>
      <c r="NQ591" s="27" t="s">
        <v>8</v>
      </c>
      <c r="NR591" s="27" t="s">
        <v>7</v>
      </c>
      <c r="NS591" s="27" t="s">
        <v>8</v>
      </c>
      <c r="NT591" s="27" t="s">
        <v>7</v>
      </c>
      <c r="NX591" s="27" t="s">
        <v>7</v>
      </c>
      <c r="OF591" s="27" t="s">
        <v>7</v>
      </c>
      <c r="OG591" s="27" t="s">
        <v>8</v>
      </c>
      <c r="ON591" s="27" t="s">
        <v>7</v>
      </c>
      <c r="OO591" s="27" t="s">
        <v>8</v>
      </c>
      <c r="OP591" s="27" t="s">
        <v>7</v>
      </c>
      <c r="OQ591" s="27" t="s">
        <v>8</v>
      </c>
      <c r="OR591" s="27" t="s">
        <v>7</v>
      </c>
      <c r="OS591" s="27" t="s">
        <v>8</v>
      </c>
      <c r="PD591" s="27" t="s">
        <v>7</v>
      </c>
      <c r="PE591" s="27" t="s">
        <v>8</v>
      </c>
      <c r="PT591" s="27" t="s">
        <v>7</v>
      </c>
      <c r="PW591" s="27" t="s">
        <v>8</v>
      </c>
      <c r="PX591" s="27" t="s">
        <v>7</v>
      </c>
      <c r="PY591" s="27" t="s">
        <v>8</v>
      </c>
      <c r="PZ591" s="27" t="s">
        <v>7</v>
      </c>
      <c r="QK591" s="27" t="s">
        <v>8</v>
      </c>
      <c r="QL591" s="27" t="s">
        <v>7</v>
      </c>
    </row>
    <row r="592" spans="1:454" x14ac:dyDescent="0.25">
      <c r="A592" s="7">
        <v>0.90573080982991594</v>
      </c>
      <c r="B592"/>
      <c r="C592"/>
      <c r="D592"/>
      <c r="E592"/>
      <c r="F592" s="27" t="s">
        <v>7</v>
      </c>
      <c r="HG592" s="27" t="s">
        <v>8</v>
      </c>
      <c r="HH592" s="27" t="s">
        <v>7</v>
      </c>
      <c r="JY592" s="27" t="s">
        <v>8</v>
      </c>
      <c r="MH592" s="27" t="s">
        <v>7</v>
      </c>
      <c r="MI592" s="27" t="s">
        <v>8</v>
      </c>
      <c r="MJ592" s="27" t="s">
        <v>7</v>
      </c>
      <c r="MK592" s="27" t="s">
        <v>8</v>
      </c>
      <c r="ML592" s="27" t="s">
        <v>7</v>
      </c>
      <c r="MM592" s="27" t="s">
        <v>8</v>
      </c>
      <c r="MP592" s="27" t="s">
        <v>7</v>
      </c>
      <c r="MQ592" s="27" t="s">
        <v>8</v>
      </c>
      <c r="MR592" s="27" t="s">
        <v>7</v>
      </c>
      <c r="MS592" s="27" t="s">
        <v>8</v>
      </c>
      <c r="MT592" s="27" t="s">
        <v>7</v>
      </c>
      <c r="NQ592" s="27" t="s">
        <v>8</v>
      </c>
      <c r="NR592" s="27" t="s">
        <v>7</v>
      </c>
      <c r="NS592" s="27" t="s">
        <v>8</v>
      </c>
      <c r="OF592" s="27" t="s">
        <v>7</v>
      </c>
      <c r="OG592" s="27" t="s">
        <v>8</v>
      </c>
      <c r="ON592" s="27" t="s">
        <v>7</v>
      </c>
      <c r="OO592" s="27" t="s">
        <v>8</v>
      </c>
      <c r="OP592" s="27" t="s">
        <v>7</v>
      </c>
      <c r="OQ592" s="27" t="s">
        <v>8</v>
      </c>
      <c r="OR592" s="27" t="s">
        <v>7</v>
      </c>
      <c r="OS592" s="27" t="s">
        <v>8</v>
      </c>
      <c r="PD592" s="27" t="s">
        <v>7</v>
      </c>
      <c r="PT592" s="27" t="s">
        <v>7</v>
      </c>
      <c r="PU592" s="27" t="s">
        <v>8</v>
      </c>
      <c r="PW592" s="27" t="s">
        <v>8</v>
      </c>
      <c r="PX592" s="27" t="s">
        <v>7</v>
      </c>
      <c r="PY592" s="27" t="s">
        <v>8</v>
      </c>
      <c r="PZ592" s="27" t="s">
        <v>7</v>
      </c>
      <c r="QG592" s="27" t="s">
        <v>8</v>
      </c>
      <c r="QI592" s="27" t="s">
        <v>8</v>
      </c>
      <c r="QK592" s="27" t="s">
        <v>8</v>
      </c>
      <c r="QL592" s="27" t="s">
        <v>7</v>
      </c>
    </row>
    <row r="593" spans="1:460" x14ac:dyDescent="0.25">
      <c r="A593" s="7">
        <v>0.8879713821861922</v>
      </c>
      <c r="B593"/>
      <c r="C593"/>
      <c r="D593"/>
      <c r="E593"/>
      <c r="F593" s="27" t="s">
        <v>7</v>
      </c>
      <c r="HG593" s="27" t="s">
        <v>8</v>
      </c>
      <c r="HH593" s="27" t="s">
        <v>7</v>
      </c>
      <c r="JY593" s="27" t="s">
        <v>8</v>
      </c>
      <c r="MH593" s="27" t="s">
        <v>7</v>
      </c>
      <c r="MI593" s="27" t="s">
        <v>8</v>
      </c>
      <c r="MJ593" s="27" t="s">
        <v>7</v>
      </c>
      <c r="MK593" s="27" t="s">
        <v>8</v>
      </c>
      <c r="ML593" s="27" t="s">
        <v>7</v>
      </c>
      <c r="MM593" s="27" t="s">
        <v>8</v>
      </c>
      <c r="MP593" s="27" t="s">
        <v>7</v>
      </c>
      <c r="MQ593" s="27" t="s">
        <v>8</v>
      </c>
      <c r="MR593" s="27" t="s">
        <v>7</v>
      </c>
      <c r="MS593" s="27" t="s">
        <v>8</v>
      </c>
      <c r="MT593" s="27" t="s">
        <v>7</v>
      </c>
      <c r="NC593" s="27" t="s">
        <v>8</v>
      </c>
      <c r="NQ593" s="27" t="s">
        <v>8</v>
      </c>
      <c r="NR593" s="27" t="s">
        <v>7</v>
      </c>
      <c r="OF593" s="27" t="s">
        <v>7</v>
      </c>
      <c r="ON593" s="27" t="s">
        <v>7</v>
      </c>
      <c r="OO593" s="27" t="s">
        <v>8</v>
      </c>
      <c r="OP593" s="27" t="s">
        <v>7</v>
      </c>
      <c r="OQ593" s="27" t="s">
        <v>8</v>
      </c>
      <c r="OR593" s="27" t="s">
        <v>7</v>
      </c>
      <c r="OS593" s="27" t="s">
        <v>8</v>
      </c>
      <c r="PT593" s="27" t="s">
        <v>7</v>
      </c>
      <c r="PU593" s="27" t="s">
        <v>8</v>
      </c>
      <c r="PV593" s="27" t="s">
        <v>7</v>
      </c>
      <c r="PW593" s="27" t="s">
        <v>8</v>
      </c>
      <c r="PX593" s="27" t="s">
        <v>7</v>
      </c>
      <c r="PY593" s="27" t="s">
        <v>8</v>
      </c>
      <c r="PZ593" s="27" t="s">
        <v>7</v>
      </c>
      <c r="QG593" s="27" t="s">
        <v>8</v>
      </c>
      <c r="QH593" s="27" t="s">
        <v>7</v>
      </c>
      <c r="QI593" s="27" t="s">
        <v>8</v>
      </c>
      <c r="QJ593" s="27" t="s">
        <v>7</v>
      </c>
      <c r="QK593" s="27" t="s">
        <v>8</v>
      </c>
      <c r="QL593" s="27" t="s">
        <v>7</v>
      </c>
    </row>
    <row r="594" spans="1:460" x14ac:dyDescent="0.25">
      <c r="A594" s="7">
        <v>0.87056017861391399</v>
      </c>
      <c r="B594"/>
      <c r="C594"/>
      <c r="D594"/>
      <c r="E594"/>
      <c r="F594" s="27" t="s">
        <v>7</v>
      </c>
      <c r="HG594" s="27" t="s">
        <v>8</v>
      </c>
      <c r="HH594" s="27" t="s">
        <v>7</v>
      </c>
      <c r="JY594" s="27" t="s">
        <v>8</v>
      </c>
      <c r="MH594" s="27" t="s">
        <v>7</v>
      </c>
      <c r="MI594" s="27" t="s">
        <v>8</v>
      </c>
      <c r="MJ594" s="27" t="s">
        <v>7</v>
      </c>
      <c r="MK594" s="27" t="s">
        <v>8</v>
      </c>
      <c r="ML594" s="27" t="s">
        <v>7</v>
      </c>
      <c r="MM594" s="27" t="s">
        <v>8</v>
      </c>
      <c r="MP594" s="27" t="s">
        <v>7</v>
      </c>
      <c r="MQ594" s="27" t="s">
        <v>8</v>
      </c>
      <c r="MR594" s="27" t="s">
        <v>7</v>
      </c>
      <c r="MS594" s="27" t="s">
        <v>8</v>
      </c>
      <c r="MT594" s="27" t="s">
        <v>7</v>
      </c>
      <c r="NC594" s="27" t="s">
        <v>8</v>
      </c>
      <c r="ND594" s="27" t="s">
        <v>7</v>
      </c>
      <c r="NQ594" s="27" t="s">
        <v>8</v>
      </c>
      <c r="ON594" s="27" t="s">
        <v>7</v>
      </c>
      <c r="OO594" s="27" t="s">
        <v>8</v>
      </c>
      <c r="OP594" s="27" t="s">
        <v>7</v>
      </c>
      <c r="OQ594" s="27" t="s">
        <v>8</v>
      </c>
      <c r="OR594" s="27" t="s">
        <v>7</v>
      </c>
      <c r="OS594" s="27" t="s">
        <v>8</v>
      </c>
      <c r="PT594" s="27" t="s">
        <v>7</v>
      </c>
      <c r="PU594" s="27" t="s">
        <v>8</v>
      </c>
      <c r="PV594" s="27" t="s">
        <v>7</v>
      </c>
      <c r="PW594" s="27" t="s">
        <v>8</v>
      </c>
      <c r="PX594" s="27" t="s">
        <v>7</v>
      </c>
      <c r="PY594" s="27" t="s">
        <v>8</v>
      </c>
      <c r="PZ594" s="27" t="s">
        <v>7</v>
      </c>
      <c r="QG594" s="27" t="s">
        <v>8</v>
      </c>
      <c r="QH594" s="27" t="s">
        <v>7</v>
      </c>
      <c r="QI594" s="27" t="s">
        <v>8</v>
      </c>
      <c r="QJ594" s="27" t="s">
        <v>7</v>
      </c>
      <c r="QK594" s="27" t="s">
        <v>8</v>
      </c>
      <c r="QL594" s="27" t="s">
        <v>7</v>
      </c>
    </row>
    <row r="595" spans="1:460" x14ac:dyDescent="0.25">
      <c r="A595" s="7">
        <v>0.85349037119011173</v>
      </c>
      <c r="B595"/>
      <c r="C595"/>
      <c r="D595"/>
      <c r="E595"/>
      <c r="F595" s="27" t="s">
        <v>7</v>
      </c>
      <c r="HG595" s="27" t="s">
        <v>8</v>
      </c>
      <c r="HH595" s="27" t="s">
        <v>7</v>
      </c>
      <c r="JY595" s="27" t="s">
        <v>8</v>
      </c>
      <c r="MH595" s="27" t="s">
        <v>7</v>
      </c>
      <c r="MI595" s="27" t="s">
        <v>8</v>
      </c>
      <c r="MJ595" s="27" t="s">
        <v>7</v>
      </c>
      <c r="MK595" s="27" t="s">
        <v>8</v>
      </c>
      <c r="ML595" s="27" t="s">
        <v>7</v>
      </c>
      <c r="MP595" s="27" t="s">
        <v>7</v>
      </c>
      <c r="MQ595" s="27" t="s">
        <v>8</v>
      </c>
      <c r="MR595" s="27" t="s">
        <v>7</v>
      </c>
      <c r="MS595" s="27" t="s">
        <v>8</v>
      </c>
      <c r="MT595" s="27" t="s">
        <v>7</v>
      </c>
      <c r="NC595" s="27" t="s">
        <v>8</v>
      </c>
      <c r="ND595" s="27" t="s">
        <v>7</v>
      </c>
      <c r="NO595" s="27" t="s">
        <v>8</v>
      </c>
      <c r="NQ595" s="27" t="s">
        <v>8</v>
      </c>
      <c r="ON595" s="27" t="s">
        <v>7</v>
      </c>
      <c r="OO595" s="27" t="s">
        <v>8</v>
      </c>
      <c r="OP595" s="27" t="s">
        <v>7</v>
      </c>
      <c r="OR595" s="27" t="s">
        <v>7</v>
      </c>
      <c r="OS595" s="27" t="s">
        <v>8</v>
      </c>
      <c r="PT595" s="27" t="s">
        <v>7</v>
      </c>
      <c r="PU595" s="27" t="s">
        <v>8</v>
      </c>
      <c r="PV595" s="27" t="s">
        <v>7</v>
      </c>
      <c r="PW595" s="27" t="s">
        <v>8</v>
      </c>
      <c r="PX595" s="27" t="s">
        <v>7</v>
      </c>
      <c r="PZ595" s="27" t="s">
        <v>7</v>
      </c>
      <c r="QG595" s="27" t="s">
        <v>8</v>
      </c>
      <c r="QH595" s="27" t="s">
        <v>7</v>
      </c>
      <c r="QJ595" s="27" t="s">
        <v>7</v>
      </c>
      <c r="QK595" s="27" t="s">
        <v>8</v>
      </c>
      <c r="QL595" s="27" t="s">
        <v>7</v>
      </c>
    </row>
    <row r="596" spans="1:460" x14ac:dyDescent="0.25">
      <c r="A596" s="7">
        <v>0.83675526587265858</v>
      </c>
      <c r="B596"/>
      <c r="C596"/>
      <c r="D596"/>
      <c r="E596"/>
      <c r="F596" s="27" t="s">
        <v>7</v>
      </c>
      <c r="HG596" s="27" t="s">
        <v>8</v>
      </c>
      <c r="HH596" s="27" t="s">
        <v>7</v>
      </c>
      <c r="JY596" s="27" t="s">
        <v>8</v>
      </c>
      <c r="MH596" s="27" t="s">
        <v>7</v>
      </c>
      <c r="MI596" s="27" t="s">
        <v>8</v>
      </c>
      <c r="MJ596" s="27" t="s">
        <v>7</v>
      </c>
      <c r="MK596" s="27" t="s">
        <v>8</v>
      </c>
      <c r="MP596" s="27" t="s">
        <v>7</v>
      </c>
      <c r="MR596" s="27" t="s">
        <v>7</v>
      </c>
      <c r="MS596" s="27" t="s">
        <v>8</v>
      </c>
      <c r="MT596" s="27" t="s">
        <v>7</v>
      </c>
      <c r="NC596" s="27" t="s">
        <v>8</v>
      </c>
      <c r="ND596" s="27" t="s">
        <v>7</v>
      </c>
      <c r="NO596" s="27" t="s">
        <v>8</v>
      </c>
      <c r="NP596" s="27" t="s">
        <v>7</v>
      </c>
      <c r="NQ596" s="27" t="s">
        <v>8</v>
      </c>
      <c r="ON596" s="27" t="s">
        <v>7</v>
      </c>
      <c r="OR596" s="27" t="s">
        <v>7</v>
      </c>
      <c r="OS596" s="27" t="s">
        <v>8</v>
      </c>
      <c r="PT596" s="27" t="s">
        <v>7</v>
      </c>
      <c r="PU596" s="27" t="s">
        <v>8</v>
      </c>
      <c r="PV596" s="27" t="s">
        <v>7</v>
      </c>
      <c r="PW596" s="27" t="s">
        <v>8</v>
      </c>
      <c r="PZ596" s="27" t="s">
        <v>7</v>
      </c>
      <c r="QA596" s="27" t="s">
        <v>8</v>
      </c>
      <c r="QG596" s="27" t="s">
        <v>8</v>
      </c>
      <c r="QJ596" s="27" t="s">
        <v>7</v>
      </c>
      <c r="QK596" s="27" t="s">
        <v>8</v>
      </c>
      <c r="QL596" s="27" t="s">
        <v>7</v>
      </c>
    </row>
    <row r="597" spans="1:460" x14ac:dyDescent="0.25">
      <c r="A597" s="7">
        <v>0.82034829987515545</v>
      </c>
      <c r="B597"/>
      <c r="C597"/>
      <c r="D597"/>
      <c r="E597"/>
      <c r="F597" s="27" t="s">
        <v>7</v>
      </c>
      <c r="HG597" s="27" t="s">
        <v>8</v>
      </c>
      <c r="HH597" s="27" t="s">
        <v>7</v>
      </c>
      <c r="JY597" s="27" t="s">
        <v>8</v>
      </c>
      <c r="MH597" s="27" t="s">
        <v>7</v>
      </c>
      <c r="MI597" s="27" t="s">
        <v>8</v>
      </c>
      <c r="MJ597" s="27" t="s">
        <v>7</v>
      </c>
      <c r="MK597" s="27" t="s">
        <v>8</v>
      </c>
      <c r="MR597" s="27" t="s">
        <v>7</v>
      </c>
      <c r="MS597" s="27" t="s">
        <v>8</v>
      </c>
      <c r="MT597" s="27" t="s">
        <v>7</v>
      </c>
      <c r="NC597" s="27" t="s">
        <v>8</v>
      </c>
      <c r="ND597" s="27" t="s">
        <v>7</v>
      </c>
      <c r="NO597" s="27" t="s">
        <v>8</v>
      </c>
      <c r="NP597" s="27" t="s">
        <v>7</v>
      </c>
      <c r="NQ597" s="27" t="s">
        <v>8</v>
      </c>
      <c r="OR597" s="27" t="s">
        <v>7</v>
      </c>
      <c r="PT597" s="27" t="s">
        <v>7</v>
      </c>
      <c r="PU597" s="27" t="s">
        <v>8</v>
      </c>
      <c r="PV597" s="27" t="s">
        <v>7</v>
      </c>
      <c r="PW597" s="27" t="s">
        <v>8</v>
      </c>
      <c r="PZ597" s="27" t="s">
        <v>7</v>
      </c>
      <c r="QA597" s="27" t="s">
        <v>8</v>
      </c>
      <c r="QB597" s="27" t="s">
        <v>7</v>
      </c>
      <c r="QC597" s="27" t="s">
        <v>8</v>
      </c>
      <c r="QG597" s="27" t="s">
        <v>8</v>
      </c>
      <c r="QJ597" s="27" t="s">
        <v>7</v>
      </c>
      <c r="QK597" s="27" t="s">
        <v>8</v>
      </c>
      <c r="QL597" s="27" t="s">
        <v>7</v>
      </c>
    </row>
    <row r="598" spans="1:460" x14ac:dyDescent="0.25">
      <c r="A598" s="7">
        <v>0.80426303909328967</v>
      </c>
      <c r="B598"/>
      <c r="C598"/>
      <c r="D598"/>
      <c r="E598"/>
      <c r="F598" s="27" t="s">
        <v>7</v>
      </c>
      <c r="HG598" s="27" t="s">
        <v>8</v>
      </c>
      <c r="HH598" s="27" t="s">
        <v>7</v>
      </c>
      <c r="JY598" s="27" t="s">
        <v>8</v>
      </c>
      <c r="MH598" s="27" t="s">
        <v>7</v>
      </c>
      <c r="MI598" s="27" t="s">
        <v>8</v>
      </c>
      <c r="MJ598" s="27" t="s">
        <v>7</v>
      </c>
      <c r="MK598" s="27" t="s">
        <v>8</v>
      </c>
      <c r="MR598" s="27" t="s">
        <v>7</v>
      </c>
      <c r="MT598" s="27" t="s">
        <v>7</v>
      </c>
      <c r="NC598" s="27" t="s">
        <v>8</v>
      </c>
      <c r="ND598" s="27" t="s">
        <v>7</v>
      </c>
      <c r="NO598" s="27" t="s">
        <v>8</v>
      </c>
      <c r="NP598" s="27" t="s">
        <v>7</v>
      </c>
      <c r="NQ598" s="27" t="s">
        <v>8</v>
      </c>
      <c r="PT598" s="27" t="s">
        <v>7</v>
      </c>
      <c r="PU598" s="27" t="s">
        <v>8</v>
      </c>
      <c r="PV598" s="27" t="s">
        <v>7</v>
      </c>
      <c r="PW598" s="27" t="s">
        <v>8</v>
      </c>
      <c r="PZ598" s="27" t="s">
        <v>7</v>
      </c>
      <c r="QA598" s="27" t="s">
        <v>8</v>
      </c>
      <c r="QB598" s="27" t="s">
        <v>7</v>
      </c>
      <c r="QC598" s="27" t="s">
        <v>8</v>
      </c>
      <c r="QD598" s="27" t="s">
        <v>7</v>
      </c>
      <c r="QG598" s="27" t="s">
        <v>8</v>
      </c>
      <c r="QJ598" s="27" t="s">
        <v>7</v>
      </c>
      <c r="QK598" s="27" t="s">
        <v>8</v>
      </c>
      <c r="QL598" s="27" t="s">
        <v>7</v>
      </c>
      <c r="QO598" s="27" t="s">
        <v>8</v>
      </c>
    </row>
    <row r="599" spans="1:460" x14ac:dyDescent="0.25">
      <c r="A599" s="7">
        <v>0.78849317558165644</v>
      </c>
      <c r="B599"/>
      <c r="C599"/>
      <c r="D599"/>
      <c r="E599"/>
      <c r="F599" s="27" t="s">
        <v>7</v>
      </c>
      <c r="HG599" s="27" t="s">
        <v>8</v>
      </c>
      <c r="HH599" s="27" t="s">
        <v>7</v>
      </c>
      <c r="HI599" s="27" t="s">
        <v>8</v>
      </c>
      <c r="JW599" s="27" t="s">
        <v>8</v>
      </c>
      <c r="JY599" s="27" t="s">
        <v>8</v>
      </c>
      <c r="MH599" s="27" t="s">
        <v>7</v>
      </c>
      <c r="MJ599" s="27" t="s">
        <v>7</v>
      </c>
      <c r="MK599" s="27" t="s">
        <v>8</v>
      </c>
      <c r="MT599" s="27" t="s">
        <v>7</v>
      </c>
      <c r="NC599" s="27" t="s">
        <v>8</v>
      </c>
      <c r="ND599" s="27" t="s">
        <v>7</v>
      </c>
      <c r="NO599" s="27" t="s">
        <v>8</v>
      </c>
      <c r="NP599" s="27" t="s">
        <v>7</v>
      </c>
      <c r="NQ599" s="27" t="s">
        <v>8</v>
      </c>
      <c r="PT599" s="27" t="s">
        <v>7</v>
      </c>
      <c r="PU599" s="27" t="s">
        <v>8</v>
      </c>
      <c r="PV599" s="27" t="s">
        <v>7</v>
      </c>
      <c r="PW599" s="27" t="s">
        <v>8</v>
      </c>
      <c r="PZ599" s="27" t="s">
        <v>7</v>
      </c>
      <c r="QB599" s="27" t="s">
        <v>7</v>
      </c>
      <c r="QC599" s="27" t="s">
        <v>8</v>
      </c>
      <c r="QD599" s="27" t="s">
        <v>7</v>
      </c>
      <c r="QE599" s="27" t="s">
        <v>8</v>
      </c>
      <c r="QG599" s="27" t="s">
        <v>8</v>
      </c>
      <c r="QJ599" s="27" t="s">
        <v>7</v>
      </c>
      <c r="QK599" s="27" t="s">
        <v>8</v>
      </c>
      <c r="QL599" s="27" t="s">
        <v>7</v>
      </c>
      <c r="QO599" s="27" t="s">
        <v>8</v>
      </c>
      <c r="QP599" s="27" t="s">
        <v>7</v>
      </c>
    </row>
    <row r="600" spans="1:460" x14ac:dyDescent="0.25">
      <c r="A600" s="7">
        <v>0.77303252508005538</v>
      </c>
      <c r="B600"/>
      <c r="C600"/>
      <c r="D600"/>
      <c r="E600"/>
      <c r="F600" s="27" t="s">
        <v>7</v>
      </c>
      <c r="HG600" s="27" t="s">
        <v>8</v>
      </c>
      <c r="HH600" s="27" t="s">
        <v>7</v>
      </c>
      <c r="HI600" s="27" t="s">
        <v>8</v>
      </c>
      <c r="HJ600" s="27" t="s">
        <v>7</v>
      </c>
      <c r="JW600" s="27" t="s">
        <v>8</v>
      </c>
      <c r="JX600" s="27" t="s">
        <v>7</v>
      </c>
      <c r="JY600" s="27" t="s">
        <v>8</v>
      </c>
      <c r="MJ600" s="27" t="s">
        <v>7</v>
      </c>
      <c r="MK600" s="27" t="s">
        <v>8</v>
      </c>
      <c r="MT600" s="27" t="s">
        <v>7</v>
      </c>
      <c r="NC600" s="27" t="s">
        <v>8</v>
      </c>
      <c r="ND600" s="27" t="s">
        <v>7</v>
      </c>
      <c r="NM600" s="27" t="s">
        <v>8</v>
      </c>
      <c r="NO600" s="27" t="s">
        <v>8</v>
      </c>
      <c r="NP600" s="27" t="s">
        <v>7</v>
      </c>
      <c r="NQ600" s="27" t="s">
        <v>8</v>
      </c>
      <c r="PT600" s="27" t="s">
        <v>7</v>
      </c>
      <c r="PU600" s="27" t="s">
        <v>8</v>
      </c>
      <c r="PV600" s="27" t="s">
        <v>7</v>
      </c>
      <c r="QB600" s="27" t="s">
        <v>7</v>
      </c>
      <c r="QC600" s="27" t="s">
        <v>8</v>
      </c>
      <c r="QD600" s="27" t="s">
        <v>7</v>
      </c>
      <c r="QE600" s="27" t="s">
        <v>8</v>
      </c>
      <c r="QF600" s="27" t="s">
        <v>7</v>
      </c>
      <c r="QG600" s="27" t="s">
        <v>8</v>
      </c>
      <c r="QJ600" s="27" t="s">
        <v>7</v>
      </c>
      <c r="QK600" s="27" t="s">
        <v>8</v>
      </c>
      <c r="QL600" s="27" t="s">
        <v>7</v>
      </c>
      <c r="QO600" s="27" t="s">
        <v>8</v>
      </c>
      <c r="QP600" s="27" t="s">
        <v>7</v>
      </c>
      <c r="QQ600" s="27" t="s">
        <v>8</v>
      </c>
    </row>
    <row r="601" spans="1:460" x14ac:dyDescent="0.25">
      <c r="A601" s="7">
        <v>0.75787502458828959</v>
      </c>
      <c r="B601"/>
      <c r="C601"/>
      <c r="D601"/>
      <c r="E601"/>
      <c r="F601" s="27" t="s">
        <v>7</v>
      </c>
      <c r="HG601" s="27" t="s">
        <v>8</v>
      </c>
      <c r="HH601" s="27" t="s">
        <v>7</v>
      </c>
      <c r="HI601" s="27" t="s">
        <v>8</v>
      </c>
      <c r="HJ601" s="27" t="s">
        <v>7</v>
      </c>
      <c r="JW601" s="27" t="s">
        <v>8</v>
      </c>
      <c r="JX601" s="27" t="s">
        <v>7</v>
      </c>
      <c r="JY601" s="27" t="s">
        <v>8</v>
      </c>
      <c r="MJ601" s="27" t="s">
        <v>7</v>
      </c>
      <c r="MK601" s="27" t="s">
        <v>8</v>
      </c>
      <c r="MT601" s="27" t="s">
        <v>7</v>
      </c>
      <c r="MY601" s="27" t="s">
        <v>8</v>
      </c>
      <c r="NC601" s="27" t="s">
        <v>8</v>
      </c>
      <c r="ND601" s="27" t="s">
        <v>7</v>
      </c>
      <c r="NM601" s="27" t="s">
        <v>8</v>
      </c>
      <c r="NN601" s="27" t="s">
        <v>7</v>
      </c>
      <c r="NO601" s="27" t="s">
        <v>8</v>
      </c>
      <c r="NP601" s="27" t="s">
        <v>7</v>
      </c>
      <c r="PT601" s="27" t="s">
        <v>7</v>
      </c>
      <c r="PU601" s="27" t="s">
        <v>8</v>
      </c>
      <c r="QB601" s="27" t="s">
        <v>7</v>
      </c>
      <c r="QC601" s="27" t="s">
        <v>8</v>
      </c>
      <c r="QD601" s="27" t="s">
        <v>7</v>
      </c>
      <c r="QE601" s="27" t="s">
        <v>8</v>
      </c>
      <c r="QF601" s="27" t="s">
        <v>7</v>
      </c>
      <c r="QG601" s="27" t="s">
        <v>8</v>
      </c>
      <c r="QJ601" s="27" t="s">
        <v>7</v>
      </c>
      <c r="QL601" s="27" t="s">
        <v>7</v>
      </c>
      <c r="QO601" s="27" t="s">
        <v>8</v>
      </c>
      <c r="QP601" s="27" t="s">
        <v>7</v>
      </c>
      <c r="QQ601" s="27" t="s">
        <v>8</v>
      </c>
      <c r="QR601" s="27" t="s">
        <v>7</v>
      </c>
    </row>
    <row r="602" spans="1:460" x14ac:dyDescent="0.25">
      <c r="A602" s="7">
        <v>0.74301472998851925</v>
      </c>
      <c r="B602"/>
      <c r="C602"/>
      <c r="D602"/>
      <c r="E602"/>
      <c r="F602" s="27" t="s">
        <v>7</v>
      </c>
      <c r="HG602" s="27" t="s">
        <v>8</v>
      </c>
      <c r="HH602" s="27" t="s">
        <v>7</v>
      </c>
      <c r="HI602" s="27" t="s">
        <v>8</v>
      </c>
      <c r="HJ602" s="27" t="s">
        <v>7</v>
      </c>
      <c r="JW602" s="27" t="s">
        <v>8</v>
      </c>
      <c r="JX602" s="27" t="s">
        <v>7</v>
      </c>
      <c r="JY602" s="27" t="s">
        <v>8</v>
      </c>
      <c r="MJ602" s="27" t="s">
        <v>7</v>
      </c>
      <c r="MK602" s="27" t="s">
        <v>8</v>
      </c>
      <c r="MT602" s="27" t="s">
        <v>7</v>
      </c>
      <c r="MW602" s="27" t="s">
        <v>8</v>
      </c>
      <c r="MY602" s="27" t="s">
        <v>8</v>
      </c>
      <c r="MZ602" s="27" t="s">
        <v>7</v>
      </c>
      <c r="NC602" s="27" t="s">
        <v>8</v>
      </c>
      <c r="ND602" s="27" t="s">
        <v>7</v>
      </c>
      <c r="NK602" s="27" t="s">
        <v>8</v>
      </c>
      <c r="NM602" s="27" t="s">
        <v>8</v>
      </c>
      <c r="NN602" s="27" t="s">
        <v>7</v>
      </c>
      <c r="NO602" s="27" t="s">
        <v>8</v>
      </c>
      <c r="PT602" s="27" t="s">
        <v>7</v>
      </c>
      <c r="PU602" s="27" t="s">
        <v>8</v>
      </c>
      <c r="QB602" s="27" t="s">
        <v>7</v>
      </c>
      <c r="QC602" s="27" t="s">
        <v>8</v>
      </c>
      <c r="QD602" s="27" t="s">
        <v>7</v>
      </c>
      <c r="QF602" s="27" t="s">
        <v>7</v>
      </c>
      <c r="QG602" s="27" t="s">
        <v>8</v>
      </c>
      <c r="QL602" s="27" t="s">
        <v>7</v>
      </c>
      <c r="QM602" s="27" t="s">
        <v>8</v>
      </c>
      <c r="QO602" s="27" t="s">
        <v>8</v>
      </c>
      <c r="QP602" s="27" t="s">
        <v>7</v>
      </c>
      <c r="QQ602" s="27" t="s">
        <v>8</v>
      </c>
      <c r="QR602" s="27" t="s">
        <v>7</v>
      </c>
    </row>
    <row r="603" spans="1:460" x14ac:dyDescent="0.25">
      <c r="A603" s="7">
        <v>0.72844581371423456</v>
      </c>
      <c r="B603"/>
      <c r="C603"/>
      <c r="D603"/>
      <c r="E603"/>
      <c r="F603" s="27" t="s">
        <v>7</v>
      </c>
      <c r="HG603" s="27" t="s">
        <v>8</v>
      </c>
      <c r="HH603" s="27" t="s">
        <v>7</v>
      </c>
      <c r="HI603" s="27" t="s">
        <v>8</v>
      </c>
      <c r="HJ603" s="27" t="s">
        <v>7</v>
      </c>
      <c r="JW603" s="27" t="s">
        <v>8</v>
      </c>
      <c r="JX603" s="27" t="s">
        <v>7</v>
      </c>
      <c r="JY603" s="27" t="s">
        <v>8</v>
      </c>
      <c r="MJ603" s="27" t="s">
        <v>7</v>
      </c>
      <c r="MK603" s="27" t="s">
        <v>8</v>
      </c>
      <c r="MT603" s="27" t="s">
        <v>7</v>
      </c>
      <c r="MW603" s="27" t="s">
        <v>8</v>
      </c>
      <c r="MX603" s="27" t="s">
        <v>7</v>
      </c>
      <c r="MY603" s="27" t="s">
        <v>8</v>
      </c>
      <c r="MZ603" s="27" t="s">
        <v>7</v>
      </c>
      <c r="NA603" s="27" t="s">
        <v>8</v>
      </c>
      <c r="NC603" s="27" t="s">
        <v>8</v>
      </c>
      <c r="ND603" s="27" t="s">
        <v>7</v>
      </c>
      <c r="NK603" s="27" t="s">
        <v>8</v>
      </c>
      <c r="NL603" s="27" t="s">
        <v>7</v>
      </c>
      <c r="NM603" s="27" t="s">
        <v>8</v>
      </c>
      <c r="NN603" s="27" t="s">
        <v>7</v>
      </c>
      <c r="PT603" s="27" t="s">
        <v>7</v>
      </c>
      <c r="PU603" s="27" t="s">
        <v>8</v>
      </c>
      <c r="QB603" s="27" t="s">
        <v>7</v>
      </c>
      <c r="QF603" s="27" t="s">
        <v>7</v>
      </c>
      <c r="QL603" s="27" t="s">
        <v>7</v>
      </c>
      <c r="QM603" s="27" t="s">
        <v>8</v>
      </c>
      <c r="QN603" s="27" t="s">
        <v>7</v>
      </c>
      <c r="QO603" s="27" t="s">
        <v>8</v>
      </c>
      <c r="QP603" s="27" t="s">
        <v>7</v>
      </c>
      <c r="QQ603" s="27" t="s">
        <v>8</v>
      </c>
      <c r="QR603" s="27" t="s">
        <v>7</v>
      </c>
    </row>
    <row r="604" spans="1:460" x14ac:dyDescent="0.25">
      <c r="A604" s="7">
        <v>0.71416256246493581</v>
      </c>
      <c r="B604"/>
      <c r="C604"/>
      <c r="D604"/>
      <c r="E604"/>
      <c r="F604" s="27" t="s">
        <v>7</v>
      </c>
      <c r="HG604" s="27" t="s">
        <v>8</v>
      </c>
      <c r="HH604" s="27" t="s">
        <v>7</v>
      </c>
      <c r="HI604" s="27" t="s">
        <v>8</v>
      </c>
      <c r="HJ604" s="27" t="s">
        <v>7</v>
      </c>
      <c r="JW604" s="27" t="s">
        <v>8</v>
      </c>
      <c r="JX604" s="27" t="s">
        <v>7</v>
      </c>
      <c r="JY604" s="27" t="s">
        <v>8</v>
      </c>
      <c r="MJ604" s="27" t="s">
        <v>7</v>
      </c>
      <c r="MK604" s="27" t="s">
        <v>8</v>
      </c>
      <c r="MT604" s="27" t="s">
        <v>7</v>
      </c>
      <c r="MW604" s="27" t="s">
        <v>8</v>
      </c>
      <c r="MX604" s="27" t="s">
        <v>7</v>
      </c>
      <c r="MY604" s="27" t="s">
        <v>8</v>
      </c>
      <c r="MZ604" s="27" t="s">
        <v>7</v>
      </c>
      <c r="NA604" s="27" t="s">
        <v>8</v>
      </c>
      <c r="NB604" s="27" t="s">
        <v>7</v>
      </c>
      <c r="NC604" s="27" t="s">
        <v>8</v>
      </c>
      <c r="ND604" s="27" t="s">
        <v>7</v>
      </c>
      <c r="NK604" s="27" t="s">
        <v>8</v>
      </c>
      <c r="NL604" s="27" t="s">
        <v>7</v>
      </c>
      <c r="NM604" s="27" t="s">
        <v>8</v>
      </c>
      <c r="PT604" s="27" t="s">
        <v>7</v>
      </c>
      <c r="QL604" s="27" t="s">
        <v>7</v>
      </c>
      <c r="QM604" s="27" t="s">
        <v>8</v>
      </c>
      <c r="QN604" s="27" t="s">
        <v>7</v>
      </c>
      <c r="QO604" s="27" t="s">
        <v>8</v>
      </c>
      <c r="QP604" s="27" t="s">
        <v>7</v>
      </c>
      <c r="QR604" s="27" t="s">
        <v>7</v>
      </c>
    </row>
    <row r="605" spans="1:460" x14ac:dyDescent="0.25">
      <c r="A605" s="7">
        <v>0.7001593749656233</v>
      </c>
      <c r="B605"/>
      <c r="C605"/>
      <c r="D605"/>
      <c r="E605"/>
      <c r="F605" s="27" t="s">
        <v>7</v>
      </c>
      <c r="HG605" s="27" t="s">
        <v>8</v>
      </c>
      <c r="HH605" s="27" t="s">
        <v>7</v>
      </c>
      <c r="HI605" s="27" t="s">
        <v>8</v>
      </c>
      <c r="HJ605" s="27" t="s">
        <v>7</v>
      </c>
      <c r="JW605" s="27" t="s">
        <v>8</v>
      </c>
      <c r="JX605" s="27" t="s">
        <v>7</v>
      </c>
      <c r="JY605" s="27" t="s">
        <v>8</v>
      </c>
      <c r="MJ605" s="27" t="s">
        <v>7</v>
      </c>
      <c r="MK605" s="27" t="s">
        <v>8</v>
      </c>
      <c r="MT605" s="27" t="s">
        <v>7</v>
      </c>
      <c r="MW605" s="27" t="s">
        <v>8</v>
      </c>
      <c r="MX605" s="27" t="s">
        <v>7</v>
      </c>
      <c r="MY605" s="27" t="s">
        <v>8</v>
      </c>
      <c r="MZ605" s="27" t="s">
        <v>7</v>
      </c>
      <c r="NA605" s="27" t="s">
        <v>8</v>
      </c>
      <c r="NB605" s="27" t="s">
        <v>7</v>
      </c>
      <c r="NC605" s="27" t="s">
        <v>8</v>
      </c>
      <c r="ND605" s="27" t="s">
        <v>7</v>
      </c>
      <c r="NK605" s="27" t="s">
        <v>8</v>
      </c>
      <c r="NL605" s="27" t="s">
        <v>7</v>
      </c>
      <c r="QL605" s="27" t="s">
        <v>7</v>
      </c>
      <c r="QM605" s="27" t="s">
        <v>8</v>
      </c>
      <c r="QN605" s="27" t="s">
        <v>7</v>
      </c>
      <c r="QO605" s="27" t="s">
        <v>8</v>
      </c>
      <c r="QR605" s="27" t="s">
        <v>7</v>
      </c>
    </row>
    <row r="606" spans="1:460" x14ac:dyDescent="0.25">
      <c r="A606" s="7">
        <v>0.68643075977021883</v>
      </c>
      <c r="B606"/>
      <c r="C606"/>
      <c r="D606"/>
      <c r="E606"/>
      <c r="F606" s="27" t="s">
        <v>7</v>
      </c>
      <c r="HG606" s="27" t="s">
        <v>8</v>
      </c>
      <c r="HH606" s="27" t="s">
        <v>7</v>
      </c>
      <c r="HI606" s="27" t="s">
        <v>8</v>
      </c>
      <c r="HJ606" s="27" t="s">
        <v>7</v>
      </c>
      <c r="HK606" s="27" t="s">
        <v>8</v>
      </c>
      <c r="JW606" s="27" t="s">
        <v>8</v>
      </c>
      <c r="JX606" s="27" t="s">
        <v>7</v>
      </c>
      <c r="JY606" s="27" t="s">
        <v>8</v>
      </c>
      <c r="MJ606" s="27" t="s">
        <v>7</v>
      </c>
      <c r="MK606" s="27" t="s">
        <v>8</v>
      </c>
      <c r="MT606" s="27" t="s">
        <v>7</v>
      </c>
      <c r="MW606" s="27" t="s">
        <v>8</v>
      </c>
      <c r="MX606" s="27" t="s">
        <v>7</v>
      </c>
      <c r="MY606" s="27" t="s">
        <v>8</v>
      </c>
      <c r="MZ606" s="27" t="s">
        <v>7</v>
      </c>
      <c r="NA606" s="27" t="s">
        <v>8</v>
      </c>
      <c r="NB606" s="27" t="s">
        <v>7</v>
      </c>
      <c r="NC606" s="27" t="s">
        <v>8</v>
      </c>
      <c r="ND606" s="27" t="s">
        <v>7</v>
      </c>
      <c r="NK606" s="27" t="s">
        <v>8</v>
      </c>
      <c r="QL606" s="27" t="s">
        <v>7</v>
      </c>
      <c r="QN606" s="27" t="s">
        <v>7</v>
      </c>
      <c r="QO606" s="27" t="s">
        <v>8</v>
      </c>
      <c r="QR606" s="27" t="s">
        <v>7</v>
      </c>
    </row>
    <row r="607" spans="1:460" x14ac:dyDescent="0.25">
      <c r="A607" s="7">
        <v>0.67297133310805768</v>
      </c>
      <c r="B607"/>
      <c r="C607"/>
      <c r="D607"/>
      <c r="E607"/>
      <c r="F607" s="27" t="s">
        <v>7</v>
      </c>
      <c r="HG607" s="27" t="s">
        <v>8</v>
      </c>
      <c r="HH607" s="27" t="s">
        <v>7</v>
      </c>
      <c r="HI607" s="27" t="s">
        <v>8</v>
      </c>
      <c r="HJ607" s="27" t="s">
        <v>7</v>
      </c>
      <c r="HK607" s="27" t="s">
        <v>8</v>
      </c>
      <c r="HL607" s="27" t="s">
        <v>7</v>
      </c>
      <c r="JU607" s="27" t="s">
        <v>8</v>
      </c>
      <c r="JW607" s="27" t="s">
        <v>8</v>
      </c>
      <c r="JX607" s="27" t="s">
        <v>7</v>
      </c>
      <c r="JY607" s="27" t="s">
        <v>8</v>
      </c>
      <c r="MJ607" s="27" t="s">
        <v>7</v>
      </c>
      <c r="MK607" s="27" t="s">
        <v>8</v>
      </c>
      <c r="MT607" s="27" t="s">
        <v>7</v>
      </c>
      <c r="MU607" s="27" t="s">
        <v>8</v>
      </c>
      <c r="MW607" s="27" t="s">
        <v>8</v>
      </c>
      <c r="MX607" s="27" t="s">
        <v>7</v>
      </c>
      <c r="MZ607" s="27" t="s">
        <v>7</v>
      </c>
      <c r="NA607" s="27" t="s">
        <v>8</v>
      </c>
      <c r="NB607" s="27" t="s">
        <v>7</v>
      </c>
      <c r="ND607" s="27" t="s">
        <v>7</v>
      </c>
      <c r="NI607" s="27" t="s">
        <v>8</v>
      </c>
      <c r="NK607" s="27" t="s">
        <v>8</v>
      </c>
      <c r="QN607" s="27" t="s">
        <v>7</v>
      </c>
      <c r="QO607" s="27" t="s">
        <v>8</v>
      </c>
      <c r="QR607" s="27" t="s">
        <v>7</v>
      </c>
    </row>
    <row r="608" spans="1:460" x14ac:dyDescent="0.25">
      <c r="A608" s="7">
        <v>0.65977581677260566</v>
      </c>
      <c r="B608"/>
      <c r="C608"/>
      <c r="D608"/>
      <c r="E608"/>
      <c r="F608" s="27" t="s">
        <v>7</v>
      </c>
      <c r="HG608" s="27" t="s">
        <v>8</v>
      </c>
      <c r="HH608" s="27" t="s">
        <v>7</v>
      </c>
      <c r="HI608" s="27" t="s">
        <v>8</v>
      </c>
      <c r="HJ608" s="27" t="s">
        <v>7</v>
      </c>
      <c r="HK608" s="27" t="s">
        <v>8</v>
      </c>
      <c r="HL608" s="27" t="s">
        <v>7</v>
      </c>
      <c r="HM608" s="27" t="s">
        <v>8</v>
      </c>
      <c r="JU608" s="27" t="s">
        <v>8</v>
      </c>
      <c r="JV608" s="27" t="s">
        <v>7</v>
      </c>
      <c r="JW608" s="27" t="s">
        <v>8</v>
      </c>
      <c r="JX608" s="27" t="s">
        <v>7</v>
      </c>
      <c r="JY608" s="27" t="s">
        <v>8</v>
      </c>
      <c r="MJ608" s="27" t="s">
        <v>7</v>
      </c>
      <c r="MK608" s="27" t="s">
        <v>8</v>
      </c>
      <c r="MT608" s="27" t="s">
        <v>7</v>
      </c>
      <c r="MU608" s="27" t="s">
        <v>8</v>
      </c>
      <c r="MV608" s="27" t="s">
        <v>7</v>
      </c>
      <c r="MW608" s="27" t="s">
        <v>8</v>
      </c>
      <c r="MZ608" s="27" t="s">
        <v>7</v>
      </c>
      <c r="ND608" s="27" t="s">
        <v>7</v>
      </c>
      <c r="NI608" s="27" t="s">
        <v>8</v>
      </c>
      <c r="NJ608" s="27" t="s">
        <v>7</v>
      </c>
      <c r="NK608" s="27" t="s">
        <v>8</v>
      </c>
      <c r="QN608" s="27" t="s">
        <v>7</v>
      </c>
      <c r="QR608" s="27" t="s">
        <v>7</v>
      </c>
    </row>
    <row r="609" spans="1:464" x14ac:dyDescent="0.25">
      <c r="A609" s="7">
        <v>0.64683903605157422</v>
      </c>
      <c r="B609"/>
      <c r="C609"/>
      <c r="D609"/>
      <c r="E609"/>
      <c r="F609" s="27" t="s">
        <v>7</v>
      </c>
      <c r="HG609" s="27" t="s">
        <v>8</v>
      </c>
      <c r="HH609" s="27" t="s">
        <v>7</v>
      </c>
      <c r="HI609" s="27" t="s">
        <v>8</v>
      </c>
      <c r="HJ609" s="27" t="s">
        <v>7</v>
      </c>
      <c r="HK609" s="27" t="s">
        <v>8</v>
      </c>
      <c r="HL609" s="27" t="s">
        <v>7</v>
      </c>
      <c r="HM609" s="27" t="s">
        <v>8</v>
      </c>
      <c r="HN609" s="27" t="s">
        <v>7</v>
      </c>
      <c r="JU609" s="27" t="s">
        <v>8</v>
      </c>
      <c r="JV609" s="27" t="s">
        <v>7</v>
      </c>
      <c r="JW609" s="27" t="s">
        <v>8</v>
      </c>
      <c r="JX609" s="27" t="s">
        <v>7</v>
      </c>
      <c r="MJ609" s="27" t="s">
        <v>7</v>
      </c>
      <c r="MK609" s="27" t="s">
        <v>8</v>
      </c>
      <c r="MT609" s="27" t="s">
        <v>7</v>
      </c>
      <c r="MU609" s="27" t="s">
        <v>8</v>
      </c>
      <c r="MV609" s="27" t="s">
        <v>7</v>
      </c>
      <c r="MW609" s="27" t="s">
        <v>8</v>
      </c>
      <c r="ND609" s="27" t="s">
        <v>7</v>
      </c>
      <c r="NE609" s="27" t="s">
        <v>8</v>
      </c>
      <c r="NG609" s="27" t="s">
        <v>8</v>
      </c>
      <c r="NI609" s="27" t="s">
        <v>8</v>
      </c>
      <c r="NJ609" s="27" t="s">
        <v>7</v>
      </c>
      <c r="NK609" s="27" t="s">
        <v>8</v>
      </c>
      <c r="QR609" s="27" t="s">
        <v>7</v>
      </c>
    </row>
    <row r="610" spans="1:464" x14ac:dyDescent="0.25">
      <c r="A610" s="7">
        <v>0.63415591769762181</v>
      </c>
      <c r="B610"/>
      <c r="C610"/>
      <c r="D610"/>
      <c r="E610"/>
      <c r="F610" s="27" t="s">
        <v>7</v>
      </c>
      <c r="HE610" s="27" t="s">
        <v>8</v>
      </c>
      <c r="HG610" s="27" t="s">
        <v>8</v>
      </c>
      <c r="HH610" s="27" t="s">
        <v>7</v>
      </c>
      <c r="HJ610" s="27" t="s">
        <v>7</v>
      </c>
      <c r="HK610" s="27" t="s">
        <v>8</v>
      </c>
      <c r="HL610" s="27" t="s">
        <v>7</v>
      </c>
      <c r="HM610" s="27" t="s">
        <v>8</v>
      </c>
      <c r="HN610" s="27" t="s">
        <v>7</v>
      </c>
      <c r="JU610" s="27" t="s">
        <v>8</v>
      </c>
      <c r="JV610" s="27" t="s">
        <v>7</v>
      </c>
      <c r="JW610" s="27" t="s">
        <v>8</v>
      </c>
      <c r="MJ610" s="27" t="s">
        <v>7</v>
      </c>
      <c r="MT610" s="27" t="s">
        <v>7</v>
      </c>
      <c r="MU610" s="27" t="s">
        <v>8</v>
      </c>
      <c r="MV610" s="27" t="s">
        <v>7</v>
      </c>
      <c r="MW610" s="27" t="s">
        <v>8</v>
      </c>
      <c r="ND610" s="27" t="s">
        <v>7</v>
      </c>
      <c r="NE610" s="27" t="s">
        <v>8</v>
      </c>
      <c r="NF610" s="27" t="s">
        <v>7</v>
      </c>
      <c r="NG610" s="27" t="s">
        <v>8</v>
      </c>
      <c r="NH610" s="27" t="s">
        <v>7</v>
      </c>
      <c r="NI610" s="27" t="s">
        <v>8</v>
      </c>
      <c r="NJ610" s="27" t="s">
        <v>7</v>
      </c>
      <c r="QR610" s="27" t="s">
        <v>7</v>
      </c>
    </row>
    <row r="611" spans="1:464" x14ac:dyDescent="0.25">
      <c r="A611" s="7">
        <v>0.62172148793884496</v>
      </c>
      <c r="B611"/>
      <c r="C611"/>
      <c r="D611"/>
      <c r="E611"/>
      <c r="F611" s="27" t="s">
        <v>7</v>
      </c>
      <c r="HE611" s="27" t="s">
        <v>8</v>
      </c>
      <c r="HF611" s="27" t="s">
        <v>7</v>
      </c>
      <c r="HG611" s="27" t="s">
        <v>8</v>
      </c>
      <c r="HJ611" s="27" t="s">
        <v>7</v>
      </c>
      <c r="HK611" s="27" t="s">
        <v>8</v>
      </c>
      <c r="HL611" s="27" t="s">
        <v>7</v>
      </c>
      <c r="HM611" s="27" t="s">
        <v>8</v>
      </c>
      <c r="HN611" s="27" t="s">
        <v>7</v>
      </c>
      <c r="JQ611" s="27" t="s">
        <v>8</v>
      </c>
      <c r="JU611" s="27" t="s">
        <v>8</v>
      </c>
      <c r="JV611" s="27" t="s">
        <v>7</v>
      </c>
      <c r="JW611" s="27" t="s">
        <v>8</v>
      </c>
      <c r="MT611" s="27" t="s">
        <v>7</v>
      </c>
      <c r="MU611" s="27" t="s">
        <v>8</v>
      </c>
      <c r="MV611" s="27" t="s">
        <v>7</v>
      </c>
      <c r="MW611" s="27" t="s">
        <v>8</v>
      </c>
      <c r="ND611" s="27" t="s">
        <v>7</v>
      </c>
      <c r="NE611" s="27" t="s">
        <v>8</v>
      </c>
      <c r="NF611" s="27" t="s">
        <v>7</v>
      </c>
      <c r="NG611" s="27" t="s">
        <v>8</v>
      </c>
      <c r="NH611" s="27" t="s">
        <v>7</v>
      </c>
      <c r="NI611" s="27" t="s">
        <v>8</v>
      </c>
      <c r="QR611" s="27" t="s">
        <v>7</v>
      </c>
    </row>
    <row r="612" spans="1:464" x14ac:dyDescent="0.25">
      <c r="A612" s="7">
        <v>0.60953087052827937</v>
      </c>
      <c r="B612"/>
      <c r="C612"/>
      <c r="D612"/>
      <c r="E612"/>
      <c r="F612" s="27" t="s">
        <v>7</v>
      </c>
      <c r="HE612" s="27" t="s">
        <v>8</v>
      </c>
      <c r="HF612" s="27" t="s">
        <v>7</v>
      </c>
      <c r="HG612" s="27" t="s">
        <v>8</v>
      </c>
      <c r="HJ612" s="27" t="s">
        <v>7</v>
      </c>
      <c r="HL612" s="27" t="s">
        <v>7</v>
      </c>
      <c r="HM612" s="27" t="s">
        <v>8</v>
      </c>
      <c r="HN612" s="27" t="s">
        <v>7</v>
      </c>
      <c r="JM612" s="27" t="s">
        <v>8</v>
      </c>
      <c r="JQ612" s="27" t="s">
        <v>8</v>
      </c>
      <c r="JR612" s="27" t="s">
        <v>7</v>
      </c>
      <c r="JU612" s="27" t="s">
        <v>8</v>
      </c>
      <c r="JV612" s="27" t="s">
        <v>7</v>
      </c>
      <c r="JW612" s="27" t="s">
        <v>8</v>
      </c>
      <c r="MT612" s="27" t="s">
        <v>7</v>
      </c>
      <c r="MU612" s="27" t="s">
        <v>8</v>
      </c>
      <c r="MV612" s="27" t="s">
        <v>7</v>
      </c>
      <c r="MW612" s="27" t="s">
        <v>8</v>
      </c>
      <c r="ND612" s="27" t="s">
        <v>7</v>
      </c>
      <c r="NF612" s="27" t="s">
        <v>7</v>
      </c>
      <c r="NG612" s="27" t="s">
        <v>8</v>
      </c>
      <c r="NH612" s="27" t="s">
        <v>7</v>
      </c>
      <c r="QR612" s="27" t="s">
        <v>7</v>
      </c>
    </row>
    <row r="613" spans="1:464" x14ac:dyDescent="0.25">
      <c r="A613" s="7">
        <v>0.59757928483164646</v>
      </c>
      <c r="B613"/>
      <c r="C613"/>
      <c r="D613"/>
      <c r="E613"/>
      <c r="F613" s="27" t="s">
        <v>7</v>
      </c>
      <c r="HE613" s="27" t="s">
        <v>8</v>
      </c>
      <c r="HF613" s="27" t="s">
        <v>7</v>
      </c>
      <c r="HG613" s="27" t="s">
        <v>8</v>
      </c>
      <c r="HL613" s="27" t="s">
        <v>7</v>
      </c>
      <c r="HM613" s="27" t="s">
        <v>8</v>
      </c>
      <c r="HN613" s="27" t="s">
        <v>7</v>
      </c>
      <c r="JM613" s="27" t="s">
        <v>8</v>
      </c>
      <c r="JN613" s="27" t="s">
        <v>7</v>
      </c>
      <c r="JQ613" s="27" t="s">
        <v>8</v>
      </c>
      <c r="JR613" s="27" t="s">
        <v>7</v>
      </c>
      <c r="JU613" s="27" t="s">
        <v>8</v>
      </c>
      <c r="JV613" s="27" t="s">
        <v>7</v>
      </c>
      <c r="JW613" s="27" t="s">
        <v>8</v>
      </c>
      <c r="MT613" s="27" t="s">
        <v>7</v>
      </c>
      <c r="MU613" s="27" t="s">
        <v>8</v>
      </c>
      <c r="MV613" s="27" t="s">
        <v>7</v>
      </c>
      <c r="MW613" s="27" t="s">
        <v>8</v>
      </c>
      <c r="NF613" s="27" t="s">
        <v>7</v>
      </c>
      <c r="NG613" s="27" t="s">
        <v>8</v>
      </c>
      <c r="QR613" s="27" t="s">
        <v>7</v>
      </c>
    </row>
    <row r="614" spans="1:464" x14ac:dyDescent="0.25">
      <c r="A614" s="7">
        <v>0.58586204395259456</v>
      </c>
      <c r="B614"/>
      <c r="C614"/>
      <c r="D614"/>
      <c r="E614"/>
      <c r="F614" s="27" t="s">
        <v>7</v>
      </c>
      <c r="HE614" s="27" t="s">
        <v>8</v>
      </c>
      <c r="HF614" s="27" t="s">
        <v>7</v>
      </c>
      <c r="HG614" s="27" t="s">
        <v>8</v>
      </c>
      <c r="HL614" s="27" t="s">
        <v>7</v>
      </c>
      <c r="HN614" s="27" t="s">
        <v>7</v>
      </c>
      <c r="JM614" s="27" t="s">
        <v>8</v>
      </c>
      <c r="JN614" s="27" t="s">
        <v>7</v>
      </c>
      <c r="JQ614" s="27" t="s">
        <v>8</v>
      </c>
      <c r="JR614" s="27" t="s">
        <v>7</v>
      </c>
      <c r="JU614" s="27" t="s">
        <v>8</v>
      </c>
      <c r="JV614" s="27" t="s">
        <v>7</v>
      </c>
      <c r="JW614" s="27" t="s">
        <v>8</v>
      </c>
      <c r="MT614" s="27" t="s">
        <v>7</v>
      </c>
      <c r="MU614" s="27" t="s">
        <v>8</v>
      </c>
      <c r="MV614" s="27" t="s">
        <v>7</v>
      </c>
      <c r="MW614" s="27" t="s">
        <v>8</v>
      </c>
      <c r="NF614" s="18" t="s">
        <v>7</v>
      </c>
      <c r="NG614" s="27" t="s">
        <v>8</v>
      </c>
      <c r="QR614" s="27" t="s">
        <v>7</v>
      </c>
    </row>
    <row r="615" spans="1:464" x14ac:dyDescent="0.25">
      <c r="A615" s="7">
        <v>0.57437455289470052</v>
      </c>
      <c r="B615"/>
      <c r="C615"/>
      <c r="D615"/>
      <c r="E615"/>
      <c r="F615" s="27" t="s">
        <v>7</v>
      </c>
      <c r="HE615" s="27" t="s">
        <v>8</v>
      </c>
      <c r="HF615" s="27" t="s">
        <v>7</v>
      </c>
      <c r="HG615" s="27" t="s">
        <v>8</v>
      </c>
      <c r="HN615" s="27" t="s">
        <v>7</v>
      </c>
      <c r="JM615" s="27" t="s">
        <v>8</v>
      </c>
      <c r="JN615" s="27" t="s">
        <v>7</v>
      </c>
      <c r="JQ615" s="27" t="s">
        <v>8</v>
      </c>
      <c r="JR615" s="27" t="s">
        <v>7</v>
      </c>
      <c r="JS615" s="27" t="s">
        <v>8</v>
      </c>
      <c r="JU615" s="27" t="s">
        <v>8</v>
      </c>
      <c r="JV615" s="27" t="s">
        <v>7</v>
      </c>
      <c r="MT615" s="27" t="s">
        <v>7</v>
      </c>
      <c r="MU615" s="27" t="s">
        <v>8</v>
      </c>
      <c r="MV615" s="27" t="s">
        <v>7</v>
      </c>
      <c r="NF615" s="27" t="s">
        <v>7</v>
      </c>
      <c r="NG615" s="27" t="s">
        <v>8</v>
      </c>
      <c r="QR615" s="27" t="s">
        <v>7</v>
      </c>
      <c r="QU615" s="27" t="s">
        <v>8</v>
      </c>
    </row>
    <row r="616" spans="1:464" x14ac:dyDescent="0.25">
      <c r="A616" s="7">
        <v>0.56311230675951029</v>
      </c>
      <c r="B616"/>
      <c r="C616"/>
      <c r="D616"/>
      <c r="E616"/>
      <c r="F616" s="27" t="s">
        <v>7</v>
      </c>
      <c r="HE616" s="27" t="s">
        <v>8</v>
      </c>
      <c r="HF616" s="27" t="s">
        <v>7</v>
      </c>
      <c r="HG616" s="27" t="s">
        <v>8</v>
      </c>
      <c r="HN616" s="27" t="s">
        <v>7</v>
      </c>
      <c r="JM616" s="27" t="s">
        <v>8</v>
      </c>
      <c r="JN616" s="27" t="s">
        <v>7</v>
      </c>
      <c r="JQ616" s="27" t="s">
        <v>8</v>
      </c>
      <c r="JR616" s="27" t="s">
        <v>7</v>
      </c>
      <c r="JS616" s="27" t="s">
        <v>8</v>
      </c>
      <c r="JT616" s="27" t="s">
        <v>7</v>
      </c>
      <c r="JU616" s="27" t="s">
        <v>8</v>
      </c>
      <c r="MT616" s="27" t="s">
        <v>7</v>
      </c>
      <c r="MU616" s="27" t="s">
        <v>8</v>
      </c>
      <c r="NF616" s="27" t="s">
        <v>7</v>
      </c>
      <c r="NG616" s="27" t="s">
        <v>8</v>
      </c>
      <c r="QR616" s="27" t="s">
        <v>7</v>
      </c>
      <c r="QU616" s="27" t="s">
        <v>8</v>
      </c>
      <c r="QV616" s="27" t="s">
        <v>7</v>
      </c>
    </row>
    <row r="617" spans="1:464" x14ac:dyDescent="0.25">
      <c r="A617" s="7">
        <v>0.55207088897991208</v>
      </c>
      <c r="B617"/>
      <c r="C617"/>
      <c r="D617"/>
      <c r="E617"/>
      <c r="F617" s="27" t="s">
        <v>7</v>
      </c>
      <c r="HE617" s="27" t="s">
        <v>8</v>
      </c>
      <c r="HF617" s="27" t="s">
        <v>7</v>
      </c>
      <c r="HG617" s="27" t="s">
        <v>8</v>
      </c>
      <c r="HN617" s="27" t="s">
        <v>7</v>
      </c>
      <c r="JM617" s="27" t="s">
        <v>8</v>
      </c>
      <c r="JN617" s="27" t="s">
        <v>7</v>
      </c>
      <c r="JQ617" s="27" t="s">
        <v>8</v>
      </c>
      <c r="JR617" s="27" t="s">
        <v>7</v>
      </c>
      <c r="JS617" s="27" t="s">
        <v>8</v>
      </c>
      <c r="JT617" s="27" t="s">
        <v>7</v>
      </c>
      <c r="JU617" s="27" t="s">
        <v>8</v>
      </c>
      <c r="MT617" s="27" t="s">
        <v>7</v>
      </c>
      <c r="MU617" s="27" t="s">
        <v>8</v>
      </c>
      <c r="NF617" s="27" t="s">
        <v>7</v>
      </c>
      <c r="NG617" s="27" t="s">
        <v>8</v>
      </c>
      <c r="QR617" s="27" t="s">
        <v>7</v>
      </c>
      <c r="QS617" s="27" t="s">
        <v>8</v>
      </c>
      <c r="QU617" s="27" t="s">
        <v>8</v>
      </c>
      <c r="QV617" s="27" t="s">
        <v>7</v>
      </c>
    </row>
    <row r="618" spans="1:464" x14ac:dyDescent="0.25">
      <c r="A618" s="7">
        <v>0.54124596958814908</v>
      </c>
      <c r="B618"/>
      <c r="C618"/>
      <c r="D618"/>
      <c r="E618"/>
      <c r="F618" s="27" t="s">
        <v>7</v>
      </c>
      <c r="HE618" s="27" t="s">
        <v>8</v>
      </c>
      <c r="HF618" s="27" t="s">
        <v>7</v>
      </c>
      <c r="HG618" s="27" t="s">
        <v>8</v>
      </c>
      <c r="HN618" s="27" t="s">
        <v>7</v>
      </c>
      <c r="JM618" s="27" t="s">
        <v>8</v>
      </c>
      <c r="JN618" s="27" t="s">
        <v>7</v>
      </c>
      <c r="JQ618" s="27" t="s">
        <v>8</v>
      </c>
      <c r="JR618" s="27" t="s">
        <v>7</v>
      </c>
      <c r="JS618" s="27" t="s">
        <v>8</v>
      </c>
      <c r="JT618" s="27" t="s">
        <v>7</v>
      </c>
      <c r="JU618" s="27" t="s">
        <v>8</v>
      </c>
      <c r="MT618" s="27" t="s">
        <v>7</v>
      </c>
      <c r="MU618" s="27" t="s">
        <v>8</v>
      </c>
      <c r="NF618" s="27" t="s">
        <v>7</v>
      </c>
      <c r="NG618" s="27" t="s">
        <v>8</v>
      </c>
      <c r="QR618" s="27" t="s">
        <v>7</v>
      </c>
      <c r="QS618" s="27" t="s">
        <v>8</v>
      </c>
      <c r="QT618" s="27" t="s">
        <v>7</v>
      </c>
      <c r="QU618" s="27" t="s">
        <v>8</v>
      </c>
      <c r="QV618" s="27" t="s">
        <v>7</v>
      </c>
    </row>
    <row r="619" spans="1:464" x14ac:dyDescent="0.25">
      <c r="A619" s="7">
        <v>0.53063330351779314</v>
      </c>
      <c r="B619"/>
      <c r="C619"/>
      <c r="D619"/>
      <c r="E619"/>
      <c r="F619" s="27" t="s">
        <v>7</v>
      </c>
      <c r="HE619" s="27" t="s">
        <v>8</v>
      </c>
      <c r="HF619" s="27" t="s">
        <v>7</v>
      </c>
      <c r="HG619" s="27" t="s">
        <v>8</v>
      </c>
      <c r="HN619" s="27" t="s">
        <v>7</v>
      </c>
      <c r="HQ619" s="27" t="s">
        <v>8</v>
      </c>
      <c r="JM619" s="27" t="s">
        <v>8</v>
      </c>
      <c r="JN619" s="27" t="s">
        <v>7</v>
      </c>
      <c r="JO619" s="27" t="s">
        <v>8</v>
      </c>
      <c r="JQ619" s="27" t="s">
        <v>8</v>
      </c>
      <c r="JR619" s="27" t="s">
        <v>7</v>
      </c>
      <c r="JS619" s="27" t="s">
        <v>8</v>
      </c>
      <c r="JT619" s="27" t="s">
        <v>7</v>
      </c>
      <c r="JU619" s="27" t="s">
        <v>8</v>
      </c>
      <c r="MT619" s="27" t="s">
        <v>7</v>
      </c>
      <c r="MU619" s="27" t="s">
        <v>8</v>
      </c>
      <c r="NF619" s="27" t="s">
        <v>7</v>
      </c>
      <c r="QR619" s="27" t="s">
        <v>7</v>
      </c>
      <c r="QS619" s="27" t="s">
        <v>8</v>
      </c>
      <c r="QT619" s="27" t="s">
        <v>7</v>
      </c>
      <c r="QU619" s="27" t="s">
        <v>8</v>
      </c>
      <c r="QV619" s="27" t="s">
        <v>7</v>
      </c>
    </row>
    <row r="620" spans="1:464" x14ac:dyDescent="0.25">
      <c r="A620" s="7">
        <v>0.52022872893901284</v>
      </c>
      <c r="B620"/>
      <c r="C620"/>
      <c r="D620"/>
      <c r="E620"/>
      <c r="F620" s="27" t="s">
        <v>7</v>
      </c>
      <c r="HE620" s="27" t="s">
        <v>8</v>
      </c>
      <c r="HF620" s="27" t="s">
        <v>7</v>
      </c>
      <c r="HG620" s="27" t="s">
        <v>8</v>
      </c>
      <c r="HN620" s="27" t="s">
        <v>7</v>
      </c>
      <c r="HQ620" s="27" t="s">
        <v>8</v>
      </c>
      <c r="HR620" s="27" t="s">
        <v>7</v>
      </c>
      <c r="IS620" s="27" t="s">
        <v>8</v>
      </c>
      <c r="JM620" s="27" t="s">
        <v>8</v>
      </c>
      <c r="JN620" s="27" t="s">
        <v>7</v>
      </c>
      <c r="JO620" s="27" t="s">
        <v>8</v>
      </c>
      <c r="JP620" s="27" t="s">
        <v>7</v>
      </c>
      <c r="JQ620" s="27" t="s">
        <v>8</v>
      </c>
      <c r="JR620" s="27" t="s">
        <v>7</v>
      </c>
      <c r="JS620" s="27" t="s">
        <v>8</v>
      </c>
      <c r="JT620" s="27" t="s">
        <v>7</v>
      </c>
      <c r="JU620" s="27" t="s">
        <v>8</v>
      </c>
      <c r="MT620" s="27" t="s">
        <v>7</v>
      </c>
      <c r="MU620" s="27" t="s">
        <v>8</v>
      </c>
      <c r="QR620" s="27" t="s">
        <v>7</v>
      </c>
      <c r="QS620" s="27" t="s">
        <v>8</v>
      </c>
      <c r="QT620" s="27" t="s">
        <v>7</v>
      </c>
      <c r="QU620" s="27" t="s">
        <v>8</v>
      </c>
      <c r="QV620" s="27" t="s">
        <v>7</v>
      </c>
    </row>
    <row r="621" spans="1:464" x14ac:dyDescent="0.25">
      <c r="A621" s="7">
        <v>0.51002816562648323</v>
      </c>
      <c r="B621"/>
      <c r="C621"/>
      <c r="D621"/>
      <c r="E621"/>
      <c r="F621" s="27" t="s">
        <v>7</v>
      </c>
      <c r="HE621" s="27" t="s">
        <v>8</v>
      </c>
      <c r="HF621" s="27" t="s">
        <v>7</v>
      </c>
      <c r="HG621" s="27" t="s">
        <v>8</v>
      </c>
      <c r="HN621" s="27" t="s">
        <v>7</v>
      </c>
      <c r="HQ621" s="27" t="s">
        <v>8</v>
      </c>
      <c r="HR621" s="27" t="s">
        <v>7</v>
      </c>
      <c r="IS621" s="27" t="s">
        <v>8</v>
      </c>
      <c r="IT621" s="27" t="s">
        <v>7</v>
      </c>
      <c r="JM621" s="27" t="s">
        <v>8</v>
      </c>
      <c r="JN621" s="27" t="s">
        <v>7</v>
      </c>
      <c r="JO621" s="27" t="s">
        <v>8</v>
      </c>
      <c r="JP621" s="27" t="s">
        <v>7</v>
      </c>
      <c r="JQ621" s="27" t="s">
        <v>8</v>
      </c>
      <c r="JR621" s="27" t="s">
        <v>7</v>
      </c>
      <c r="JS621" s="27" t="s">
        <v>8</v>
      </c>
      <c r="JT621" s="27" t="s">
        <v>7</v>
      </c>
      <c r="JU621" s="27" t="s">
        <v>8</v>
      </c>
      <c r="MT621" s="27" t="s">
        <v>7</v>
      </c>
      <c r="MU621" s="27" t="s">
        <v>8</v>
      </c>
      <c r="QR621" s="27" t="s">
        <v>7</v>
      </c>
      <c r="QS621" s="27" t="s">
        <v>8</v>
      </c>
      <c r="QT621" s="27" t="s">
        <v>7</v>
      </c>
      <c r="QU621" s="27" t="s">
        <v>8</v>
      </c>
    </row>
    <row r="622" spans="1:464" x14ac:dyDescent="0.25">
      <c r="A622" s="7">
        <v>0.50002761335929735</v>
      </c>
      <c r="B622"/>
      <c r="C622"/>
      <c r="D622"/>
      <c r="E622"/>
      <c r="F622" s="27" t="s">
        <v>7</v>
      </c>
      <c r="HE622" s="27" t="s">
        <v>8</v>
      </c>
      <c r="HF622" s="27" t="s">
        <v>7</v>
      </c>
      <c r="HN622" s="27" t="s">
        <v>7</v>
      </c>
      <c r="HQ622" s="27" t="s">
        <v>8</v>
      </c>
      <c r="HR622" s="27" t="s">
        <v>7</v>
      </c>
      <c r="IS622" s="27" t="s">
        <v>8</v>
      </c>
      <c r="IT622" s="27" t="s">
        <v>7</v>
      </c>
      <c r="JM622" s="27" t="s">
        <v>8</v>
      </c>
      <c r="JN622" s="27" t="s">
        <v>7</v>
      </c>
      <c r="JO622" s="27" t="s">
        <v>8</v>
      </c>
      <c r="JP622" s="27" t="s">
        <v>7</v>
      </c>
      <c r="JQ622" s="27" t="s">
        <v>8</v>
      </c>
      <c r="JR622" s="27" t="s">
        <v>7</v>
      </c>
      <c r="JS622" s="27" t="s">
        <v>8</v>
      </c>
      <c r="JT622" s="27" t="s">
        <v>7</v>
      </c>
      <c r="MT622" s="27" t="s">
        <v>7</v>
      </c>
      <c r="QR622" s="27" t="s">
        <v>7</v>
      </c>
      <c r="QS622" s="27" t="s">
        <v>8</v>
      </c>
      <c r="QT622" s="27" t="s">
        <v>7</v>
      </c>
      <c r="QU622" s="27" t="s">
        <v>8</v>
      </c>
    </row>
    <row r="623" spans="1:464" x14ac:dyDescent="0.25">
      <c r="A623" s="7">
        <v>0.49022315035225228</v>
      </c>
      <c r="B623"/>
      <c r="C623"/>
      <c r="D623"/>
      <c r="E623"/>
      <c r="F623" s="27" t="s">
        <v>7</v>
      </c>
      <c r="FO623" s="27" t="s">
        <v>8</v>
      </c>
      <c r="HC623" s="27" t="s">
        <v>8</v>
      </c>
      <c r="HE623" s="27" t="s">
        <v>8</v>
      </c>
      <c r="HN623" s="27" t="s">
        <v>7</v>
      </c>
      <c r="HQ623" s="27" t="s">
        <v>8</v>
      </c>
      <c r="HR623" s="27" t="s">
        <v>7</v>
      </c>
      <c r="IS623" s="27" t="s">
        <v>8</v>
      </c>
      <c r="IT623" s="27" t="s">
        <v>7</v>
      </c>
      <c r="JK623" s="27" t="s">
        <v>8</v>
      </c>
      <c r="JM623" s="27" t="s">
        <v>8</v>
      </c>
      <c r="JN623" s="27" t="s">
        <v>7</v>
      </c>
      <c r="JO623" s="27" t="s">
        <v>8</v>
      </c>
      <c r="JP623" s="27" t="s">
        <v>7</v>
      </c>
      <c r="JQ623" s="27" t="s">
        <v>8</v>
      </c>
      <c r="JR623" s="27" t="s">
        <v>7</v>
      </c>
      <c r="JS623" s="27" t="s">
        <v>8</v>
      </c>
      <c r="QR623" s="27" t="s">
        <v>7</v>
      </c>
      <c r="QS623" s="27" t="s">
        <v>8</v>
      </c>
      <c r="QT623" s="27" t="s">
        <v>7</v>
      </c>
      <c r="QU623" s="27" t="s">
        <v>8</v>
      </c>
    </row>
    <row r="624" spans="1:464" x14ac:dyDescent="0.25">
      <c r="A624" s="7">
        <v>0.48061093171789437</v>
      </c>
      <c r="B624"/>
      <c r="C624"/>
      <c r="D624"/>
      <c r="E624"/>
      <c r="F624" s="27" t="s">
        <v>7</v>
      </c>
      <c r="FO624" s="27" t="s">
        <v>8</v>
      </c>
      <c r="FP624" s="27" t="s">
        <v>7</v>
      </c>
      <c r="HC624" s="27" t="s">
        <v>8</v>
      </c>
      <c r="HD624" s="27" t="s">
        <v>7</v>
      </c>
      <c r="HE624" s="27" t="s">
        <v>8</v>
      </c>
      <c r="HN624" s="27" t="s">
        <v>7</v>
      </c>
      <c r="HO624" s="27" t="s">
        <v>8</v>
      </c>
      <c r="HQ624" s="27" t="s">
        <v>8</v>
      </c>
      <c r="HR624" s="27" t="s">
        <v>7</v>
      </c>
      <c r="IS624" s="27" t="s">
        <v>8</v>
      </c>
      <c r="IT624" s="27" t="s">
        <v>7</v>
      </c>
      <c r="JK624" s="27" t="s">
        <v>8</v>
      </c>
      <c r="JL624" s="27" t="s">
        <v>7</v>
      </c>
      <c r="JM624" s="27" t="s">
        <v>8</v>
      </c>
      <c r="JN624" s="27" t="s">
        <v>7</v>
      </c>
      <c r="JO624" s="27" t="s">
        <v>8</v>
      </c>
      <c r="JP624" s="27" t="s">
        <v>7</v>
      </c>
      <c r="JQ624" s="27" t="s">
        <v>8</v>
      </c>
      <c r="JR624" s="27" t="s">
        <v>7</v>
      </c>
      <c r="JS624" s="27" t="s">
        <v>8</v>
      </c>
      <c r="QR624" s="27" t="s">
        <v>7</v>
      </c>
      <c r="QS624" s="27" t="s">
        <v>8</v>
      </c>
      <c r="QT624" s="27" t="s">
        <v>7</v>
      </c>
      <c r="QU624" s="27" t="s">
        <v>8</v>
      </c>
    </row>
    <row r="625" spans="1:463" x14ac:dyDescent="0.25">
      <c r="A625" s="7">
        <v>0.47118718795871994</v>
      </c>
      <c r="B625"/>
      <c r="C625"/>
      <c r="D625"/>
      <c r="E625"/>
      <c r="F625" s="27" t="s">
        <v>7</v>
      </c>
      <c r="FO625" s="27" t="s">
        <v>8</v>
      </c>
      <c r="FP625" s="27" t="s">
        <v>7</v>
      </c>
      <c r="GM625" s="27" t="s">
        <v>8</v>
      </c>
      <c r="HC625" s="27" t="s">
        <v>8</v>
      </c>
      <c r="HD625" s="27" t="s">
        <v>7</v>
      </c>
      <c r="HE625" s="27" t="s">
        <v>8</v>
      </c>
      <c r="HN625" s="27" t="s">
        <v>7</v>
      </c>
      <c r="HO625" s="27" t="s">
        <v>8</v>
      </c>
      <c r="HP625" s="27" t="s">
        <v>7</v>
      </c>
      <c r="HQ625" s="27" t="s">
        <v>8</v>
      </c>
      <c r="HR625" s="27" t="s">
        <v>7</v>
      </c>
      <c r="IS625" s="27" t="s">
        <v>8</v>
      </c>
      <c r="IT625" s="27" t="s">
        <v>7</v>
      </c>
      <c r="JK625" s="27" t="s">
        <v>8</v>
      </c>
      <c r="JL625" s="27" t="s">
        <v>7</v>
      </c>
      <c r="JM625" s="27" t="s">
        <v>8</v>
      </c>
      <c r="JN625" s="27" t="s">
        <v>7</v>
      </c>
      <c r="JO625" s="27" t="s">
        <v>8</v>
      </c>
      <c r="JP625" s="27" t="s">
        <v>7</v>
      </c>
      <c r="JQ625" s="27" t="s">
        <v>8</v>
      </c>
      <c r="JR625" s="27" t="s">
        <v>7</v>
      </c>
      <c r="JS625" s="27" t="s">
        <v>8</v>
      </c>
      <c r="QR625" s="27" t="s">
        <v>7</v>
      </c>
      <c r="QT625" s="27" t="s">
        <v>7</v>
      </c>
      <c r="QU625" s="27" t="s">
        <v>8</v>
      </c>
    </row>
    <row r="626" spans="1:463" x14ac:dyDescent="0.25">
      <c r="A626" s="7">
        <v>0.46194822348894116</v>
      </c>
      <c r="B626"/>
      <c r="C626"/>
      <c r="D626"/>
      <c r="E626"/>
      <c r="F626" s="27" t="s">
        <v>7</v>
      </c>
      <c r="FO626" s="27" t="s">
        <v>8</v>
      </c>
      <c r="FP626" s="27" t="s">
        <v>7</v>
      </c>
      <c r="GM626" s="27" t="s">
        <v>8</v>
      </c>
      <c r="GN626" s="27" t="s">
        <v>7</v>
      </c>
      <c r="HC626" s="27" t="s">
        <v>8</v>
      </c>
      <c r="HD626" s="27" t="s">
        <v>7</v>
      </c>
      <c r="HE626" s="27" t="s">
        <v>8</v>
      </c>
      <c r="HN626" s="27" t="s">
        <v>7</v>
      </c>
      <c r="HO626" s="27" t="s">
        <v>8</v>
      </c>
      <c r="HP626" s="27" t="s">
        <v>7</v>
      </c>
      <c r="HQ626" s="27" t="s">
        <v>8</v>
      </c>
      <c r="HR626" s="27" t="s">
        <v>7</v>
      </c>
      <c r="IS626" s="27" t="s">
        <v>8</v>
      </c>
      <c r="IT626" s="27" t="s">
        <v>7</v>
      </c>
      <c r="JK626" s="27" t="s">
        <v>8</v>
      </c>
      <c r="JL626" s="27" t="s">
        <v>7</v>
      </c>
      <c r="JM626" s="27" t="s">
        <v>8</v>
      </c>
      <c r="JN626" s="27" t="s">
        <v>7</v>
      </c>
      <c r="JO626" s="27" t="s">
        <v>8</v>
      </c>
      <c r="JP626" s="27" t="s">
        <v>7</v>
      </c>
      <c r="JR626" s="27" t="s">
        <v>7</v>
      </c>
      <c r="JS626" s="27" t="s">
        <v>8</v>
      </c>
      <c r="QT626" s="27" t="s">
        <v>7</v>
      </c>
      <c r="QU626" s="27" t="s">
        <v>8</v>
      </c>
    </row>
    <row r="627" spans="1:463" x14ac:dyDescent="0.25">
      <c r="A627" s="7">
        <v>0.45289041518523643</v>
      </c>
      <c r="B627"/>
      <c r="C627"/>
      <c r="D627"/>
      <c r="E627"/>
      <c r="F627" s="27" t="s">
        <v>7</v>
      </c>
      <c r="FO627" s="27" t="s">
        <v>8</v>
      </c>
      <c r="FP627" s="27" t="s">
        <v>7</v>
      </c>
      <c r="GM627" s="27" t="s">
        <v>8</v>
      </c>
      <c r="GN627" s="27" t="s">
        <v>7</v>
      </c>
      <c r="HC627" s="27" t="s">
        <v>8</v>
      </c>
      <c r="HD627" s="27" t="s">
        <v>7</v>
      </c>
      <c r="HE627" s="27" t="s">
        <v>8</v>
      </c>
      <c r="HN627" s="27" t="s">
        <v>7</v>
      </c>
      <c r="HO627" s="27" t="s">
        <v>8</v>
      </c>
      <c r="HP627" s="27" t="s">
        <v>7</v>
      </c>
      <c r="HQ627" s="27" t="s">
        <v>8</v>
      </c>
      <c r="HR627" s="27" t="s">
        <v>7</v>
      </c>
      <c r="IS627" s="27" t="s">
        <v>8</v>
      </c>
      <c r="IT627" s="27" t="s">
        <v>7</v>
      </c>
      <c r="JK627" s="27" t="s">
        <v>8</v>
      </c>
      <c r="JL627" s="27" t="s">
        <v>7</v>
      </c>
      <c r="JM627" s="27" t="s">
        <v>8</v>
      </c>
      <c r="JN627" s="27" t="s">
        <v>7</v>
      </c>
      <c r="JO627" s="27" t="s">
        <v>8</v>
      </c>
      <c r="JR627" s="27" t="s">
        <v>7</v>
      </c>
      <c r="JS627" s="27" t="s">
        <v>8</v>
      </c>
      <c r="QT627" s="27" t="s">
        <v>7</v>
      </c>
    </row>
    <row r="628" spans="1:463" x14ac:dyDescent="0.25">
      <c r="A628" s="7">
        <v>0.44401021096591808</v>
      </c>
      <c r="B628"/>
      <c r="C628"/>
      <c r="D628"/>
      <c r="E628"/>
      <c r="F628" s="27" t="s">
        <v>7</v>
      </c>
      <c r="FO628" s="27" t="s">
        <v>8</v>
      </c>
      <c r="FP628" s="27" t="s">
        <v>7</v>
      </c>
      <c r="GM628" s="27" t="s">
        <v>8</v>
      </c>
      <c r="GN628" s="27" t="s">
        <v>7</v>
      </c>
      <c r="HC628" s="27" t="s">
        <v>8</v>
      </c>
      <c r="HD628" s="27" t="s">
        <v>7</v>
      </c>
      <c r="HE628" s="27" t="s">
        <v>8</v>
      </c>
      <c r="HN628" s="27" t="s">
        <v>7</v>
      </c>
      <c r="HO628" s="27" t="s">
        <v>8</v>
      </c>
      <c r="HP628" s="27" t="s">
        <v>7</v>
      </c>
      <c r="HQ628" s="27" t="s">
        <v>8</v>
      </c>
      <c r="HR628" s="27" t="s">
        <v>7</v>
      </c>
      <c r="IS628" s="27" t="s">
        <v>8</v>
      </c>
      <c r="IT628" s="27" t="s">
        <v>7</v>
      </c>
      <c r="IU628" s="27" t="s">
        <v>8</v>
      </c>
      <c r="JK628" s="27" t="s">
        <v>8</v>
      </c>
      <c r="JL628" s="27" t="s">
        <v>7</v>
      </c>
      <c r="JM628" s="27" t="s">
        <v>8</v>
      </c>
      <c r="JN628" s="27" t="s">
        <v>7</v>
      </c>
      <c r="JO628" s="27" t="s">
        <v>8</v>
      </c>
      <c r="JR628" s="27" t="s">
        <v>7</v>
      </c>
      <c r="JS628" s="27" t="s">
        <v>8</v>
      </c>
    </row>
    <row r="629" spans="1:463" x14ac:dyDescent="0.25">
      <c r="A629" s="7">
        <v>0.4353041283979589</v>
      </c>
      <c r="B629"/>
      <c r="C629"/>
      <c r="D629"/>
      <c r="E629"/>
      <c r="F629" s="27" t="s">
        <v>7</v>
      </c>
      <c r="FO629" s="27" t="s">
        <v>8</v>
      </c>
      <c r="FP629" s="27" t="s">
        <v>7</v>
      </c>
      <c r="GM629" s="27" t="s">
        <v>8</v>
      </c>
      <c r="GN629" s="27" t="s">
        <v>7</v>
      </c>
      <c r="GO629" s="27" t="s">
        <v>8</v>
      </c>
      <c r="HC629" s="27" t="s">
        <v>8</v>
      </c>
      <c r="HD629" s="27" t="s">
        <v>7</v>
      </c>
      <c r="HE629" s="27" t="s">
        <v>8</v>
      </c>
      <c r="HN629" s="27" t="s">
        <v>7</v>
      </c>
      <c r="HO629" s="27" t="s">
        <v>8</v>
      </c>
      <c r="HP629" s="27" t="s">
        <v>7</v>
      </c>
      <c r="HQ629" s="27" t="s">
        <v>8</v>
      </c>
      <c r="HR629" s="27" t="s">
        <v>7</v>
      </c>
      <c r="HW629" s="27" t="s">
        <v>8</v>
      </c>
      <c r="IS629" s="27" t="s">
        <v>8</v>
      </c>
      <c r="IT629" s="27" t="s">
        <v>7</v>
      </c>
      <c r="IU629" s="27" t="s">
        <v>8</v>
      </c>
      <c r="IV629" s="27" t="s">
        <v>7</v>
      </c>
      <c r="IW629" s="27" t="s">
        <v>8</v>
      </c>
      <c r="JK629" s="27" t="s">
        <v>8</v>
      </c>
      <c r="JL629" s="27" t="s">
        <v>7</v>
      </c>
      <c r="JM629" s="27" t="s">
        <v>8</v>
      </c>
      <c r="JN629" s="27" t="s">
        <v>7</v>
      </c>
      <c r="JO629" s="27" t="s">
        <v>8</v>
      </c>
      <c r="JR629" s="27" t="s">
        <v>7</v>
      </c>
    </row>
    <row r="630" spans="1:463" x14ac:dyDescent="0.25">
      <c r="A630" s="7">
        <v>0.4267687533313323</v>
      </c>
      <c r="B630"/>
      <c r="C630"/>
      <c r="D630"/>
      <c r="E630"/>
      <c r="F630" s="27" t="s">
        <v>7</v>
      </c>
      <c r="FO630" s="27" t="s">
        <v>8</v>
      </c>
      <c r="FP630" s="27" t="s">
        <v>7</v>
      </c>
      <c r="GA630" s="27" t="s">
        <v>8</v>
      </c>
      <c r="GK630" s="27" t="s">
        <v>8</v>
      </c>
      <c r="GM630" s="27" t="s">
        <v>8</v>
      </c>
      <c r="GN630" s="27" t="s">
        <v>7</v>
      </c>
      <c r="GO630" s="27" t="s">
        <v>8</v>
      </c>
      <c r="GP630" s="27" t="s">
        <v>7</v>
      </c>
      <c r="GS630" s="27" t="s">
        <v>8</v>
      </c>
      <c r="HA630" s="27" t="s">
        <v>8</v>
      </c>
      <c r="HC630" s="27" t="s">
        <v>8</v>
      </c>
      <c r="HD630" s="27" t="s">
        <v>7</v>
      </c>
      <c r="HE630" s="27" t="s">
        <v>8</v>
      </c>
      <c r="HN630" s="27" t="s">
        <v>7</v>
      </c>
      <c r="HO630" s="27" t="s">
        <v>8</v>
      </c>
      <c r="HP630" s="27" t="s">
        <v>7</v>
      </c>
      <c r="HQ630" s="27" t="s">
        <v>8</v>
      </c>
      <c r="HR630" s="27" t="s">
        <v>7</v>
      </c>
      <c r="HW630" s="27" t="s">
        <v>8</v>
      </c>
      <c r="HX630" s="27" t="s">
        <v>7</v>
      </c>
      <c r="HY630" s="27" t="s">
        <v>8</v>
      </c>
      <c r="IC630" s="27" t="s">
        <v>8</v>
      </c>
      <c r="IS630" s="27" t="s">
        <v>8</v>
      </c>
      <c r="IT630" s="27" t="s">
        <v>7</v>
      </c>
      <c r="IU630" s="27" t="s">
        <v>8</v>
      </c>
      <c r="IV630" s="27" t="s">
        <v>7</v>
      </c>
      <c r="IW630" s="27" t="s">
        <v>8</v>
      </c>
      <c r="IX630" s="27" t="s">
        <v>7</v>
      </c>
      <c r="JA630" s="27" t="s">
        <v>8</v>
      </c>
      <c r="JE630" s="27" t="s">
        <v>8</v>
      </c>
      <c r="JK630" s="27" t="s">
        <v>8</v>
      </c>
      <c r="JL630" s="27" t="s">
        <v>7</v>
      </c>
      <c r="JM630" s="27" t="s">
        <v>8</v>
      </c>
      <c r="JN630" s="27" t="s">
        <v>7</v>
      </c>
      <c r="JO630" s="27" t="s">
        <v>8</v>
      </c>
    </row>
    <row r="631" spans="1:463" x14ac:dyDescent="0.25">
      <c r="A631" s="7">
        <v>0.41840073856012971</v>
      </c>
      <c r="B631"/>
      <c r="C631"/>
      <c r="D631"/>
      <c r="E631"/>
      <c r="F631" s="27" t="s">
        <v>7</v>
      </c>
      <c r="FO631" s="27" t="s">
        <v>8</v>
      </c>
      <c r="FP631" s="27" t="s">
        <v>7</v>
      </c>
      <c r="FS631" s="27" t="s">
        <v>8</v>
      </c>
      <c r="GA631" s="27" t="s">
        <v>8</v>
      </c>
      <c r="GB631" s="27" t="s">
        <v>7</v>
      </c>
      <c r="GK631" s="27" t="s">
        <v>8</v>
      </c>
      <c r="GL631" s="27" t="s">
        <v>7</v>
      </c>
      <c r="GM631" s="27" t="s">
        <v>8</v>
      </c>
      <c r="GN631" s="27" t="s">
        <v>7</v>
      </c>
      <c r="GO631" s="27" t="s">
        <v>8</v>
      </c>
      <c r="GP631" s="27" t="s">
        <v>7</v>
      </c>
      <c r="GS631" s="27" t="s">
        <v>8</v>
      </c>
      <c r="GT631" s="27" t="s">
        <v>7</v>
      </c>
      <c r="HA631" s="27" t="s">
        <v>8</v>
      </c>
      <c r="HB631" s="27" t="s">
        <v>7</v>
      </c>
      <c r="HC631" s="27" t="s">
        <v>8</v>
      </c>
      <c r="HD631" s="27" t="s">
        <v>7</v>
      </c>
      <c r="HE631" s="27" t="s">
        <v>8</v>
      </c>
      <c r="HN631" s="27" t="s">
        <v>7</v>
      </c>
      <c r="HO631" s="27" t="s">
        <v>8</v>
      </c>
      <c r="HP631" s="27" t="s">
        <v>7</v>
      </c>
      <c r="HR631" s="27" t="s">
        <v>7</v>
      </c>
      <c r="HW631" s="27" t="s">
        <v>8</v>
      </c>
      <c r="HX631" s="27" t="s">
        <v>7</v>
      </c>
      <c r="HY631" s="27" t="s">
        <v>8</v>
      </c>
      <c r="HZ631" s="27" t="s">
        <v>7</v>
      </c>
      <c r="IC631" s="27" t="s">
        <v>8</v>
      </c>
      <c r="ID631" s="27" t="s">
        <v>7</v>
      </c>
      <c r="IS631" s="27" t="s">
        <v>8</v>
      </c>
      <c r="IT631" s="27" t="s">
        <v>7</v>
      </c>
      <c r="IU631" s="27" t="s">
        <v>8</v>
      </c>
      <c r="IV631" s="27" t="s">
        <v>7</v>
      </c>
      <c r="IW631" s="27" t="s">
        <v>8</v>
      </c>
      <c r="IX631" s="27" t="s">
        <v>7</v>
      </c>
      <c r="JA631" s="27" t="s">
        <v>8</v>
      </c>
      <c r="JB631" s="27" t="s">
        <v>7</v>
      </c>
      <c r="JE631" s="27" t="s">
        <v>8</v>
      </c>
      <c r="JF631" s="27" t="s">
        <v>7</v>
      </c>
      <c r="JK631" s="27" t="s">
        <v>8</v>
      </c>
      <c r="JL631" s="27" t="s">
        <v>7</v>
      </c>
      <c r="JM631" s="27" t="s">
        <v>8</v>
      </c>
      <c r="JN631" s="27" t="s">
        <v>7</v>
      </c>
      <c r="JO631" s="27" t="s">
        <v>8</v>
      </c>
    </row>
    <row r="632" spans="1:463" x14ac:dyDescent="0.25">
      <c r="A632" s="7">
        <v>0.41019680250993112</v>
      </c>
      <c r="B632"/>
      <c r="C632"/>
      <c r="D632"/>
      <c r="E632"/>
      <c r="F632" s="27" t="s">
        <v>7</v>
      </c>
      <c r="FO632" s="27" t="s">
        <v>8</v>
      </c>
      <c r="FP632" s="27" t="s">
        <v>7</v>
      </c>
      <c r="FS632" s="27" t="s">
        <v>8</v>
      </c>
      <c r="FT632" s="27" t="s">
        <v>7</v>
      </c>
      <c r="GA632" s="27" t="s">
        <v>8</v>
      </c>
      <c r="GB632" s="27" t="s">
        <v>7</v>
      </c>
      <c r="GK632" s="27" t="s">
        <v>8</v>
      </c>
      <c r="GL632" s="27" t="s">
        <v>7</v>
      </c>
      <c r="GM632" s="27" t="s">
        <v>8</v>
      </c>
      <c r="GN632" s="27" t="s">
        <v>7</v>
      </c>
      <c r="GO632" s="27" t="s">
        <v>8</v>
      </c>
      <c r="GP632" s="27" t="s">
        <v>7</v>
      </c>
      <c r="GQ632" s="27" t="s">
        <v>8</v>
      </c>
      <c r="GS632" s="27" t="s">
        <v>8</v>
      </c>
      <c r="GT632" s="27" t="s">
        <v>7</v>
      </c>
      <c r="GU632" s="27" t="s">
        <v>8</v>
      </c>
      <c r="GY632" s="27" t="s">
        <v>8</v>
      </c>
      <c r="HA632" s="27" t="s">
        <v>8</v>
      </c>
      <c r="HB632" s="27" t="s">
        <v>7</v>
      </c>
      <c r="HC632" s="27" t="s">
        <v>8</v>
      </c>
      <c r="HD632" s="27" t="s">
        <v>7</v>
      </c>
      <c r="HE632" s="27" t="s">
        <v>8</v>
      </c>
      <c r="HN632" s="27" t="s">
        <v>7</v>
      </c>
      <c r="HR632" s="27" t="s">
        <v>7</v>
      </c>
      <c r="HU632" s="27" t="s">
        <v>8</v>
      </c>
      <c r="HW632" s="27" t="s">
        <v>8</v>
      </c>
      <c r="HX632" s="27" t="s">
        <v>7</v>
      </c>
      <c r="HY632" s="27" t="s">
        <v>8</v>
      </c>
      <c r="HZ632" s="27" t="s">
        <v>7</v>
      </c>
      <c r="IC632" s="27" t="s">
        <v>8</v>
      </c>
      <c r="ID632" s="27" t="s">
        <v>7</v>
      </c>
      <c r="IE632" s="27" t="s">
        <v>8</v>
      </c>
      <c r="IS632" s="27" t="s">
        <v>8</v>
      </c>
      <c r="IT632" s="27" t="s">
        <v>7</v>
      </c>
      <c r="IU632" s="27" t="s">
        <v>8</v>
      </c>
      <c r="IV632" s="27" t="s">
        <v>7</v>
      </c>
      <c r="IW632" s="27" t="s">
        <v>8</v>
      </c>
      <c r="IX632" s="27" t="s">
        <v>7</v>
      </c>
      <c r="JA632" s="27" t="s">
        <v>8</v>
      </c>
      <c r="JB632" s="27" t="s">
        <v>7</v>
      </c>
      <c r="JE632" s="27" t="s">
        <v>8</v>
      </c>
      <c r="JF632" s="27" t="s">
        <v>7</v>
      </c>
      <c r="JK632" s="27" t="s">
        <v>8</v>
      </c>
      <c r="JL632" s="27" t="s">
        <v>7</v>
      </c>
      <c r="JM632" s="27" t="s">
        <v>8</v>
      </c>
      <c r="JN632" s="27" t="s">
        <v>7</v>
      </c>
      <c r="JO632" s="27" t="s">
        <v>8</v>
      </c>
    </row>
    <row r="633" spans="1:463" x14ac:dyDescent="0.25">
      <c r="A633" s="7">
        <v>0.40215372795091286</v>
      </c>
      <c r="B633"/>
      <c r="C633"/>
      <c r="D633"/>
      <c r="E633"/>
      <c r="F633" s="27" t="s">
        <v>7</v>
      </c>
      <c r="FO633" s="27" t="s">
        <v>8</v>
      </c>
      <c r="FP633" s="27" t="s">
        <v>7</v>
      </c>
      <c r="FS633" s="27" t="s">
        <v>8</v>
      </c>
      <c r="FT633" s="27" t="s">
        <v>7</v>
      </c>
      <c r="GA633" s="27" t="s">
        <v>8</v>
      </c>
      <c r="GB633" s="27" t="s">
        <v>7</v>
      </c>
      <c r="GK633" s="27" t="s">
        <v>8</v>
      </c>
      <c r="GL633" s="27" t="s">
        <v>7</v>
      </c>
      <c r="GM633" s="27" t="s">
        <v>8</v>
      </c>
      <c r="GN633" s="27" t="s">
        <v>7</v>
      </c>
      <c r="GP633" s="27" t="s">
        <v>7</v>
      </c>
      <c r="GQ633" s="27" t="s">
        <v>8</v>
      </c>
      <c r="GR633" s="27" t="s">
        <v>7</v>
      </c>
      <c r="GS633" s="27" t="s">
        <v>8</v>
      </c>
      <c r="GT633" s="27" t="s">
        <v>7</v>
      </c>
      <c r="GU633" s="27" t="s">
        <v>8</v>
      </c>
      <c r="GV633" s="27" t="s">
        <v>7</v>
      </c>
      <c r="GW633" s="27" t="s">
        <v>8</v>
      </c>
      <c r="GY633" s="27" t="s">
        <v>8</v>
      </c>
      <c r="GZ633" s="27" t="s">
        <v>7</v>
      </c>
      <c r="HA633" s="27" t="s">
        <v>8</v>
      </c>
      <c r="HB633" s="27" t="s">
        <v>7</v>
      </c>
      <c r="HC633" s="27" t="s">
        <v>8</v>
      </c>
      <c r="HD633" s="27" t="s">
        <v>7</v>
      </c>
      <c r="HR633" s="27" t="s">
        <v>7</v>
      </c>
      <c r="HU633" s="27" t="s">
        <v>8</v>
      </c>
      <c r="HV633" s="27" t="s">
        <v>7</v>
      </c>
      <c r="HW633" s="27" t="s">
        <v>8</v>
      </c>
      <c r="HX633" s="27" t="s">
        <v>7</v>
      </c>
      <c r="HY633" s="27" t="s">
        <v>8</v>
      </c>
      <c r="HZ633" s="27" t="s">
        <v>7</v>
      </c>
      <c r="IC633" s="27" t="s">
        <v>8</v>
      </c>
      <c r="ID633" s="27" t="s">
        <v>7</v>
      </c>
      <c r="IE633" s="27" t="s">
        <v>8</v>
      </c>
      <c r="IF633" s="27" t="s">
        <v>7</v>
      </c>
      <c r="IS633" s="27" t="s">
        <v>8</v>
      </c>
      <c r="IT633" s="27" t="s">
        <v>7</v>
      </c>
      <c r="IU633" s="27" t="s">
        <v>8</v>
      </c>
      <c r="IV633" s="27" t="s">
        <v>7</v>
      </c>
      <c r="IW633" s="27" t="s">
        <v>8</v>
      </c>
      <c r="IX633" s="27" t="s">
        <v>7</v>
      </c>
      <c r="JA633" s="27" t="s">
        <v>8</v>
      </c>
      <c r="JB633" s="27" t="s">
        <v>7</v>
      </c>
      <c r="JE633" s="27" t="s">
        <v>8</v>
      </c>
      <c r="JF633" s="27" t="s">
        <v>7</v>
      </c>
      <c r="JK633" s="27" t="s">
        <v>8</v>
      </c>
      <c r="JL633" s="27" t="s">
        <v>7</v>
      </c>
      <c r="JN633" s="27" t="s">
        <v>7</v>
      </c>
      <c r="JO633" s="27" t="s">
        <v>8</v>
      </c>
    </row>
    <row r="634" spans="1:463" x14ac:dyDescent="0.25">
      <c r="A634" s="7">
        <v>0.39426836073618904</v>
      </c>
      <c r="B634"/>
      <c r="C634"/>
      <c r="D634"/>
      <c r="E634"/>
      <c r="F634" s="27" t="s">
        <v>7</v>
      </c>
      <c r="FO634" s="27" t="s">
        <v>8</v>
      </c>
      <c r="FP634" s="27" t="s">
        <v>7</v>
      </c>
      <c r="FS634" s="27" t="s">
        <v>8</v>
      </c>
      <c r="FT634" s="27" t="s">
        <v>7</v>
      </c>
      <c r="GA634" s="27" t="s">
        <v>8</v>
      </c>
      <c r="GB634" s="27" t="s">
        <v>7</v>
      </c>
      <c r="GK634" s="27" t="s">
        <v>8</v>
      </c>
      <c r="GL634" s="27" t="s">
        <v>7</v>
      </c>
      <c r="GM634" s="27" t="s">
        <v>8</v>
      </c>
      <c r="GP634" s="27" t="s">
        <v>7</v>
      </c>
      <c r="GQ634" s="27" t="s">
        <v>8</v>
      </c>
      <c r="GR634" s="27" t="s">
        <v>7</v>
      </c>
      <c r="GS634" s="27" t="s">
        <v>8</v>
      </c>
      <c r="GT634" s="27" t="s">
        <v>7</v>
      </c>
      <c r="GU634" s="27" t="s">
        <v>8</v>
      </c>
      <c r="GV634" s="27" t="s">
        <v>7</v>
      </c>
      <c r="GW634" s="27" t="s">
        <v>8</v>
      </c>
      <c r="GX634" s="27" t="s">
        <v>7</v>
      </c>
      <c r="GY634" s="27" t="s">
        <v>8</v>
      </c>
      <c r="GZ634" s="27" t="s">
        <v>7</v>
      </c>
      <c r="HA634" s="27" t="s">
        <v>8</v>
      </c>
      <c r="HB634" s="27" t="s">
        <v>7</v>
      </c>
      <c r="HR634" s="27" t="s">
        <v>7</v>
      </c>
      <c r="HU634" s="27" t="s">
        <v>8</v>
      </c>
      <c r="HV634" s="27" t="s">
        <v>7</v>
      </c>
      <c r="HW634" s="27" t="s">
        <v>8</v>
      </c>
      <c r="HX634" s="27" t="s">
        <v>7</v>
      </c>
      <c r="HY634" s="27" t="s">
        <v>8</v>
      </c>
      <c r="HZ634" s="27" t="s">
        <v>7</v>
      </c>
      <c r="IC634" s="27" t="s">
        <v>8</v>
      </c>
      <c r="ID634" s="27" t="s">
        <v>7</v>
      </c>
      <c r="IE634" s="27" t="s">
        <v>8</v>
      </c>
      <c r="IF634" s="27" t="s">
        <v>7</v>
      </c>
      <c r="IK634" s="27" t="s">
        <v>8</v>
      </c>
      <c r="IM634" s="27" t="s">
        <v>8</v>
      </c>
      <c r="IS634" s="27" t="s">
        <v>8</v>
      </c>
      <c r="IT634" s="27" t="s">
        <v>7</v>
      </c>
      <c r="IU634" s="27" t="s">
        <v>8</v>
      </c>
      <c r="IV634" s="27" t="s">
        <v>7</v>
      </c>
      <c r="IX634" s="27" t="s">
        <v>7</v>
      </c>
      <c r="JA634" s="27" t="s">
        <v>8</v>
      </c>
      <c r="JB634" s="27" t="s">
        <v>7</v>
      </c>
      <c r="JE634" s="27" t="s">
        <v>8</v>
      </c>
      <c r="JF634" s="27" t="s">
        <v>7</v>
      </c>
      <c r="JI634" s="27" t="s">
        <v>8</v>
      </c>
      <c r="JK634" s="27" t="s">
        <v>8</v>
      </c>
      <c r="JN634" s="27" t="s">
        <v>7</v>
      </c>
      <c r="JO634" s="27" t="s">
        <v>8</v>
      </c>
    </row>
    <row r="635" spans="1:463" x14ac:dyDescent="0.25">
      <c r="A635" s="7">
        <v>0.38653760856489122</v>
      </c>
      <c r="B635"/>
      <c r="C635"/>
      <c r="D635"/>
      <c r="E635"/>
      <c r="F635" s="27" t="s">
        <v>7</v>
      </c>
      <c r="O635" s="27" t="s">
        <v>8</v>
      </c>
      <c r="FO635" s="27" t="s">
        <v>8</v>
      </c>
      <c r="FP635" s="27" t="s">
        <v>7</v>
      </c>
      <c r="FS635" s="27" t="s">
        <v>8</v>
      </c>
      <c r="FT635" s="27" t="s">
        <v>7</v>
      </c>
      <c r="GA635" s="27" t="s">
        <v>8</v>
      </c>
      <c r="GB635" s="27" t="s">
        <v>7</v>
      </c>
      <c r="GK635" s="27" t="s">
        <v>8</v>
      </c>
      <c r="GL635" s="27" t="s">
        <v>7</v>
      </c>
      <c r="GM635" s="27" t="s">
        <v>8</v>
      </c>
      <c r="GP635" s="27" t="s">
        <v>7</v>
      </c>
      <c r="GQ635" s="27" t="s">
        <v>8</v>
      </c>
      <c r="GR635" s="27" t="s">
        <v>7</v>
      </c>
      <c r="GS635" s="27" t="s">
        <v>8</v>
      </c>
      <c r="GT635" s="27" t="s">
        <v>7</v>
      </c>
      <c r="GU635" s="27" t="s">
        <v>8</v>
      </c>
      <c r="GV635" s="27" t="s">
        <v>7</v>
      </c>
      <c r="GW635" s="27" t="s">
        <v>8</v>
      </c>
      <c r="GX635" s="27" t="s">
        <v>7</v>
      </c>
      <c r="GY635" s="27" t="s">
        <v>8</v>
      </c>
      <c r="GZ635" s="27" t="s">
        <v>7</v>
      </c>
      <c r="HR635" s="27" t="s">
        <v>7</v>
      </c>
      <c r="HS635" s="27" t="s">
        <v>8</v>
      </c>
      <c r="HU635" s="27" t="s">
        <v>8</v>
      </c>
      <c r="HV635" s="27" t="s">
        <v>7</v>
      </c>
      <c r="HW635" s="27" t="s">
        <v>8</v>
      </c>
      <c r="HX635" s="27" t="s">
        <v>7</v>
      </c>
      <c r="HZ635" s="27" t="s">
        <v>7</v>
      </c>
      <c r="IA635" s="27" t="s">
        <v>8</v>
      </c>
      <c r="IC635" s="27" t="s">
        <v>8</v>
      </c>
      <c r="ID635" s="27" t="s">
        <v>7</v>
      </c>
      <c r="IE635" s="27" t="s">
        <v>8</v>
      </c>
      <c r="IF635" s="27" t="s">
        <v>7</v>
      </c>
      <c r="IG635" s="27" t="s">
        <v>8</v>
      </c>
      <c r="IK635" s="27" t="s">
        <v>8</v>
      </c>
      <c r="IL635" s="27" t="s">
        <v>7</v>
      </c>
      <c r="IM635" s="27" t="s">
        <v>8</v>
      </c>
      <c r="IN635" s="27" t="s">
        <v>7</v>
      </c>
      <c r="IO635" s="27" t="s">
        <v>8</v>
      </c>
      <c r="IQ635" s="27" t="s">
        <v>8</v>
      </c>
      <c r="IS635" s="27" t="s">
        <v>8</v>
      </c>
      <c r="IT635" s="27" t="s">
        <v>7</v>
      </c>
      <c r="IU635" s="27" t="s">
        <v>8</v>
      </c>
      <c r="IX635" s="27" t="s">
        <v>7</v>
      </c>
      <c r="JA635" s="27" t="s">
        <v>8</v>
      </c>
      <c r="JB635" s="27" t="s">
        <v>7</v>
      </c>
      <c r="JE635" s="27" t="s">
        <v>8</v>
      </c>
      <c r="JF635" s="27" t="s">
        <v>7</v>
      </c>
      <c r="JI635" s="27" t="s">
        <v>8</v>
      </c>
      <c r="JJ635" s="27" t="s">
        <v>7</v>
      </c>
      <c r="JK635" s="27" t="s">
        <v>8</v>
      </c>
      <c r="JN635" s="27" t="s">
        <v>7</v>
      </c>
    </row>
    <row r="636" spans="1:463" x14ac:dyDescent="0.25">
      <c r="A636" s="7">
        <v>0.37895843976950117</v>
      </c>
      <c r="B636"/>
      <c r="C636"/>
      <c r="D636"/>
      <c r="E636"/>
      <c r="F636" s="27" t="s">
        <v>7</v>
      </c>
      <c r="O636" s="27" t="s">
        <v>8</v>
      </c>
      <c r="P636" s="27" t="s">
        <v>7</v>
      </c>
      <c r="FO636" s="27" t="s">
        <v>8</v>
      </c>
      <c r="FP636" s="27" t="s">
        <v>7</v>
      </c>
      <c r="FQ636" s="27" t="s">
        <v>8</v>
      </c>
      <c r="FS636" s="27" t="s">
        <v>8</v>
      </c>
      <c r="FT636" s="27" t="s">
        <v>7</v>
      </c>
      <c r="GA636" s="27" t="s">
        <v>8</v>
      </c>
      <c r="GB636" s="27" t="s">
        <v>7</v>
      </c>
      <c r="GC636" s="27" t="s">
        <v>8</v>
      </c>
      <c r="GK636" s="27" t="s">
        <v>8</v>
      </c>
      <c r="GL636" s="27" t="s">
        <v>7</v>
      </c>
      <c r="GM636" s="27" t="s">
        <v>8</v>
      </c>
      <c r="GP636" s="27" t="s">
        <v>7</v>
      </c>
      <c r="GR636" s="27" t="s">
        <v>7</v>
      </c>
      <c r="GS636" s="27" t="s">
        <v>8</v>
      </c>
      <c r="GT636" s="27" t="s">
        <v>7</v>
      </c>
      <c r="GU636" s="27" t="s">
        <v>8</v>
      </c>
      <c r="GV636" s="27" t="s">
        <v>7</v>
      </c>
      <c r="GX636" s="27" t="s">
        <v>7</v>
      </c>
      <c r="GY636" s="27" t="s">
        <v>8</v>
      </c>
      <c r="HR636" s="27" t="s">
        <v>7</v>
      </c>
      <c r="HS636" s="27" t="s">
        <v>8</v>
      </c>
      <c r="HT636" s="27" t="s">
        <v>7</v>
      </c>
      <c r="HU636" s="27" t="s">
        <v>8</v>
      </c>
      <c r="HV636" s="27" t="s">
        <v>7</v>
      </c>
      <c r="HZ636" s="27" t="s">
        <v>7</v>
      </c>
      <c r="IA636" s="27" t="s">
        <v>8</v>
      </c>
      <c r="IB636" s="27" t="s">
        <v>7</v>
      </c>
      <c r="IC636" s="27" t="s">
        <v>8</v>
      </c>
      <c r="ID636" s="27" t="s">
        <v>7</v>
      </c>
      <c r="IE636" s="27" t="s">
        <v>8</v>
      </c>
      <c r="IF636" s="27" t="s">
        <v>7</v>
      </c>
      <c r="IG636" s="27" t="s">
        <v>8</v>
      </c>
      <c r="IH636" s="27" t="s">
        <v>7</v>
      </c>
      <c r="IK636" s="27" t="s">
        <v>8</v>
      </c>
      <c r="IL636" s="27" t="s">
        <v>7</v>
      </c>
      <c r="IM636" s="27" t="s">
        <v>8</v>
      </c>
      <c r="IN636" s="27" t="s">
        <v>7</v>
      </c>
      <c r="IO636" s="27" t="s">
        <v>8</v>
      </c>
      <c r="IP636" s="27" t="s">
        <v>7</v>
      </c>
      <c r="IQ636" s="27" t="s">
        <v>8</v>
      </c>
      <c r="IR636" s="27" t="s">
        <v>7</v>
      </c>
      <c r="IS636" s="27" t="s">
        <v>8</v>
      </c>
      <c r="IT636" s="27" t="s">
        <v>7</v>
      </c>
      <c r="IU636" s="27" t="s">
        <v>8</v>
      </c>
      <c r="IX636" s="27" t="s">
        <v>7</v>
      </c>
      <c r="IY636" s="27" t="s">
        <v>8</v>
      </c>
      <c r="JA636" s="27" t="s">
        <v>8</v>
      </c>
      <c r="JB636" s="27" t="s">
        <v>7</v>
      </c>
      <c r="JE636" s="27" t="s">
        <v>8</v>
      </c>
      <c r="JF636" s="27" t="s">
        <v>7</v>
      </c>
      <c r="JI636" s="27" t="s">
        <v>8</v>
      </c>
      <c r="JJ636" s="27" t="s">
        <v>7</v>
      </c>
      <c r="JK636" s="27" t="s">
        <v>8</v>
      </c>
    </row>
    <row r="637" spans="1:463" x14ac:dyDescent="0.25">
      <c r="A637" s="7">
        <v>0.37152788212696197</v>
      </c>
      <c r="B637"/>
      <c r="C637"/>
      <c r="D637"/>
      <c r="E637"/>
      <c r="F637" s="27" t="s">
        <v>7</v>
      </c>
      <c r="O637" s="27" t="s">
        <v>8</v>
      </c>
      <c r="P637" s="27" t="s">
        <v>7</v>
      </c>
      <c r="AG637" s="27" t="s">
        <v>8</v>
      </c>
      <c r="AO637" s="27" t="s">
        <v>8</v>
      </c>
      <c r="AS637" s="27" t="s">
        <v>8</v>
      </c>
      <c r="FO637" s="27" t="s">
        <v>8</v>
      </c>
      <c r="FP637" s="27" t="s">
        <v>7</v>
      </c>
      <c r="FQ637" s="27" t="s">
        <v>8</v>
      </c>
      <c r="FR637" s="27" t="s">
        <v>7</v>
      </c>
      <c r="FS637" s="27" t="s">
        <v>8</v>
      </c>
      <c r="FT637" s="27" t="s">
        <v>7</v>
      </c>
      <c r="GA637" s="27" t="s">
        <v>8</v>
      </c>
      <c r="GB637" s="27" t="s">
        <v>7</v>
      </c>
      <c r="GC637" s="27" t="s">
        <v>8</v>
      </c>
      <c r="GD637" s="27" t="s">
        <v>7</v>
      </c>
      <c r="GG637" s="27" t="s">
        <v>8</v>
      </c>
      <c r="GK637" s="27" t="s">
        <v>8</v>
      </c>
      <c r="GL637" s="27" t="s">
        <v>7</v>
      </c>
      <c r="GM637" s="27" t="s">
        <v>8</v>
      </c>
      <c r="GR637" s="27" t="s">
        <v>7</v>
      </c>
      <c r="GT637" s="27" t="s">
        <v>7</v>
      </c>
      <c r="GU637" s="27" t="s">
        <v>8</v>
      </c>
      <c r="GX637" s="27" t="s">
        <v>7</v>
      </c>
      <c r="GY637" s="27" t="s">
        <v>8</v>
      </c>
      <c r="HR637" s="27" t="s">
        <v>7</v>
      </c>
      <c r="HS637" s="27" t="s">
        <v>8</v>
      </c>
      <c r="HT637" s="27" t="s">
        <v>7</v>
      </c>
      <c r="HU637" s="27" t="s">
        <v>8</v>
      </c>
      <c r="HZ637" s="27" t="s">
        <v>7</v>
      </c>
      <c r="IA637" s="27" t="s">
        <v>8</v>
      </c>
      <c r="IB637" s="27" t="s">
        <v>7</v>
      </c>
      <c r="IC637" s="27" t="s">
        <v>8</v>
      </c>
      <c r="ID637" s="27" t="s">
        <v>7</v>
      </c>
      <c r="IF637" s="27" t="s">
        <v>7</v>
      </c>
      <c r="IG637" s="27" t="s">
        <v>8</v>
      </c>
      <c r="IH637" s="27" t="s">
        <v>7</v>
      </c>
      <c r="IK637" s="27" t="s">
        <v>8</v>
      </c>
      <c r="IL637" s="27" t="s">
        <v>7</v>
      </c>
      <c r="IM637" s="27" t="s">
        <v>8</v>
      </c>
      <c r="IN637" s="27" t="s">
        <v>7</v>
      </c>
      <c r="IO637" s="27" t="s">
        <v>8</v>
      </c>
      <c r="IP637" s="27" t="s">
        <v>7</v>
      </c>
      <c r="IQ637" s="27" t="s">
        <v>8</v>
      </c>
      <c r="IR637" s="27" t="s">
        <v>7</v>
      </c>
      <c r="IS637" s="27" t="s">
        <v>8</v>
      </c>
      <c r="IT637" s="27" t="s">
        <v>7</v>
      </c>
      <c r="IX637" s="27" t="s">
        <v>7</v>
      </c>
      <c r="IY637" s="27" t="s">
        <v>8</v>
      </c>
      <c r="IZ637" s="27" t="s">
        <v>7</v>
      </c>
      <c r="JA637" s="27" t="s">
        <v>8</v>
      </c>
      <c r="JB637" s="27" t="s">
        <v>7</v>
      </c>
      <c r="JC637" s="27" t="s">
        <v>8</v>
      </c>
      <c r="JE637" s="27" t="s">
        <v>8</v>
      </c>
      <c r="JF637" s="27" t="s">
        <v>7</v>
      </c>
      <c r="JG637" s="27" t="s">
        <v>8</v>
      </c>
      <c r="JI637" s="27" t="s">
        <v>8</v>
      </c>
      <c r="JJ637" s="27" t="s">
        <v>7</v>
      </c>
      <c r="JK637" s="27" t="s">
        <v>8</v>
      </c>
    </row>
    <row r="638" spans="1:463" x14ac:dyDescent="0.25">
      <c r="A638" s="7">
        <v>0.36424302169310002</v>
      </c>
      <c r="B638"/>
      <c r="C638"/>
      <c r="D638"/>
      <c r="E638"/>
      <c r="F638" s="27" t="s">
        <v>7</v>
      </c>
      <c r="O638" s="27" t="s">
        <v>8</v>
      </c>
      <c r="P638" s="27" t="s">
        <v>7</v>
      </c>
      <c r="Q638" s="27" t="s">
        <v>8</v>
      </c>
      <c r="S638" s="27" t="s">
        <v>8</v>
      </c>
      <c r="AG638" s="27" t="s">
        <v>8</v>
      </c>
      <c r="AH638" s="27" t="s">
        <v>7</v>
      </c>
      <c r="AO638" s="27" t="s">
        <v>8</v>
      </c>
      <c r="AP638" s="27" t="s">
        <v>7</v>
      </c>
      <c r="AS638" s="27" t="s">
        <v>8</v>
      </c>
      <c r="AT638" s="27" t="s">
        <v>7</v>
      </c>
      <c r="AU638" s="27" t="s">
        <v>8</v>
      </c>
      <c r="FO638" s="27" t="s">
        <v>8</v>
      </c>
      <c r="FP638" s="27" t="s">
        <v>7</v>
      </c>
      <c r="FQ638" s="27" t="s">
        <v>8</v>
      </c>
      <c r="FR638" s="27" t="s">
        <v>7</v>
      </c>
      <c r="FS638" s="27" t="s">
        <v>8</v>
      </c>
      <c r="FT638" s="27" t="s">
        <v>7</v>
      </c>
      <c r="GA638" s="27" t="s">
        <v>8</v>
      </c>
      <c r="GB638" s="27" t="s">
        <v>7</v>
      </c>
      <c r="GC638" s="27" t="s">
        <v>8</v>
      </c>
      <c r="GD638" s="27" t="s">
        <v>7</v>
      </c>
      <c r="GG638" s="27" t="s">
        <v>8</v>
      </c>
      <c r="GH638" s="27" t="s">
        <v>7</v>
      </c>
      <c r="GI638" s="27" t="s">
        <v>8</v>
      </c>
      <c r="GK638" s="27" t="s">
        <v>8</v>
      </c>
      <c r="GL638" s="27" t="s">
        <v>7</v>
      </c>
      <c r="GT638" s="27" t="s">
        <v>7</v>
      </c>
      <c r="GU638" s="27" t="s">
        <v>8</v>
      </c>
      <c r="GX638" s="27" t="s">
        <v>7</v>
      </c>
      <c r="GY638" s="27" t="s">
        <v>8</v>
      </c>
      <c r="HR638" s="27" t="s">
        <v>7</v>
      </c>
      <c r="HS638" s="27" t="s">
        <v>8</v>
      </c>
      <c r="HT638" s="27" t="s">
        <v>7</v>
      </c>
      <c r="HU638" s="27" t="s">
        <v>8</v>
      </c>
      <c r="HZ638" s="27" t="s">
        <v>7</v>
      </c>
      <c r="IA638" s="27" t="s">
        <v>8</v>
      </c>
      <c r="IB638" s="27" t="s">
        <v>7</v>
      </c>
      <c r="IC638" s="27" t="s">
        <v>8</v>
      </c>
      <c r="IF638" s="27" t="s">
        <v>7</v>
      </c>
      <c r="IG638" s="27" t="s">
        <v>8</v>
      </c>
      <c r="IH638" s="27" t="s">
        <v>7</v>
      </c>
      <c r="IK638" s="27" t="s">
        <v>8</v>
      </c>
      <c r="IL638" s="27" t="s">
        <v>7</v>
      </c>
      <c r="IM638" s="27" t="s">
        <v>8</v>
      </c>
      <c r="IN638" s="27" t="s">
        <v>7</v>
      </c>
      <c r="IP638" s="27" t="s">
        <v>7</v>
      </c>
      <c r="IQ638" s="27" t="s">
        <v>8</v>
      </c>
      <c r="IR638" s="27" t="s">
        <v>7</v>
      </c>
      <c r="IS638" s="27" t="s">
        <v>8</v>
      </c>
      <c r="IX638" s="27" t="s">
        <v>7</v>
      </c>
      <c r="IY638" s="27" t="s">
        <v>8</v>
      </c>
      <c r="IZ638" s="27" t="s">
        <v>7</v>
      </c>
      <c r="JA638" s="27" t="s">
        <v>8</v>
      </c>
      <c r="JB638" s="27" t="s">
        <v>7</v>
      </c>
      <c r="JC638" s="27" t="s">
        <v>8</v>
      </c>
      <c r="JD638" s="27" t="s">
        <v>7</v>
      </c>
      <c r="JE638" s="27" t="s">
        <v>8</v>
      </c>
      <c r="JF638" s="27" t="s">
        <v>7</v>
      </c>
      <c r="JG638" s="27" t="s">
        <v>8</v>
      </c>
      <c r="JH638" s="27" t="s">
        <v>7</v>
      </c>
      <c r="JI638" s="27" t="s">
        <v>8</v>
      </c>
      <c r="JJ638" s="27" t="s">
        <v>7</v>
      </c>
    </row>
    <row r="639" spans="1:463" x14ac:dyDescent="0.25">
      <c r="A639" s="7">
        <v>0.35710100165990194</v>
      </c>
      <c r="B639"/>
      <c r="C639"/>
      <c r="D639"/>
      <c r="E639"/>
      <c r="F639" s="27" t="s">
        <v>7</v>
      </c>
      <c r="O639" s="27" t="s">
        <v>8</v>
      </c>
      <c r="P639" s="27" t="s">
        <v>7</v>
      </c>
      <c r="Q639" s="27" t="s">
        <v>8</v>
      </c>
      <c r="R639" s="27" t="s">
        <v>7</v>
      </c>
      <c r="S639" s="27" t="s">
        <v>8</v>
      </c>
      <c r="T639" s="27" t="s">
        <v>7</v>
      </c>
      <c r="AG639" s="27" t="s">
        <v>8</v>
      </c>
      <c r="AH639" s="27" t="s">
        <v>7</v>
      </c>
      <c r="AO639" s="27" t="s">
        <v>8</v>
      </c>
      <c r="AP639" s="27" t="s">
        <v>7</v>
      </c>
      <c r="AS639" s="27" t="s">
        <v>8</v>
      </c>
      <c r="AT639" s="27" t="s">
        <v>7</v>
      </c>
      <c r="AU639" s="27" t="s">
        <v>8</v>
      </c>
      <c r="AV639" s="27" t="s">
        <v>7</v>
      </c>
      <c r="AY639" s="27" t="s">
        <v>8</v>
      </c>
      <c r="BA639" s="27" t="s">
        <v>8</v>
      </c>
      <c r="EE639" s="27" t="s">
        <v>8</v>
      </c>
      <c r="FO639" s="27" t="s">
        <v>8</v>
      </c>
      <c r="FP639" s="27" t="s">
        <v>7</v>
      </c>
      <c r="FQ639" s="27" t="s">
        <v>8</v>
      </c>
      <c r="FR639" s="27" t="s">
        <v>7</v>
      </c>
      <c r="FS639" s="27" t="s">
        <v>8</v>
      </c>
      <c r="FT639" s="27" t="s">
        <v>7</v>
      </c>
      <c r="FW639" s="27" t="s">
        <v>8</v>
      </c>
      <c r="FY639" s="27" t="s">
        <v>8</v>
      </c>
      <c r="GA639" s="27" t="s">
        <v>8</v>
      </c>
      <c r="GB639" s="27" t="s">
        <v>7</v>
      </c>
      <c r="GC639" s="27" t="s">
        <v>8</v>
      </c>
      <c r="GD639" s="27" t="s">
        <v>7</v>
      </c>
      <c r="GG639" s="27" t="s">
        <v>8</v>
      </c>
      <c r="GH639" s="27" t="s">
        <v>7</v>
      </c>
      <c r="GI639" s="27" t="s">
        <v>8</v>
      </c>
      <c r="GJ639" s="27" t="s">
        <v>7</v>
      </c>
      <c r="GK639" s="27" t="s">
        <v>8</v>
      </c>
      <c r="GT639" s="27" t="s">
        <v>7</v>
      </c>
      <c r="GU639" s="27" t="s">
        <v>8</v>
      </c>
      <c r="GX639" s="27" t="s">
        <v>7</v>
      </c>
      <c r="GY639" s="27" t="s">
        <v>8</v>
      </c>
      <c r="HR639" s="27" t="s">
        <v>7</v>
      </c>
      <c r="HS639" s="27" t="s">
        <v>8</v>
      </c>
      <c r="HT639" s="27" t="s">
        <v>7</v>
      </c>
      <c r="HU639" s="27" t="s">
        <v>8</v>
      </c>
      <c r="HZ639" s="27" t="s">
        <v>7</v>
      </c>
      <c r="IB639" s="27" t="s">
        <v>7</v>
      </c>
      <c r="IC639" s="27" t="s">
        <v>8</v>
      </c>
      <c r="IF639" s="27" t="s">
        <v>7</v>
      </c>
      <c r="IH639" s="27" t="s">
        <v>7</v>
      </c>
      <c r="IK639" s="27" t="s">
        <v>8</v>
      </c>
      <c r="IL639" s="27" t="s">
        <v>7</v>
      </c>
      <c r="IM639" s="27" t="s">
        <v>8</v>
      </c>
      <c r="IP639" s="27" t="s">
        <v>7</v>
      </c>
      <c r="IQ639" s="27" t="s">
        <v>8</v>
      </c>
      <c r="IR639" s="27" t="s">
        <v>7</v>
      </c>
      <c r="IX639" s="27" t="s">
        <v>7</v>
      </c>
      <c r="IZ639" s="27" t="s">
        <v>7</v>
      </c>
      <c r="JA639" s="27" t="s">
        <v>8</v>
      </c>
      <c r="JB639" s="27" t="s">
        <v>7</v>
      </c>
      <c r="JC639" s="27" t="s">
        <v>8</v>
      </c>
      <c r="JD639" s="27" t="s">
        <v>7</v>
      </c>
      <c r="JE639" s="27" t="s">
        <v>8</v>
      </c>
      <c r="JF639" s="27" t="s">
        <v>7</v>
      </c>
      <c r="JG639" s="27" t="s">
        <v>8</v>
      </c>
      <c r="JH639" s="27" t="s">
        <v>7</v>
      </c>
      <c r="JI639" s="27" t="s">
        <v>8</v>
      </c>
    </row>
    <row r="640" spans="1:463" x14ac:dyDescent="0.25">
      <c r="A640" s="7">
        <v>0.35009902123519804</v>
      </c>
      <c r="B640"/>
      <c r="C640"/>
      <c r="D640"/>
      <c r="E640"/>
      <c r="F640" s="27" t="s">
        <v>7</v>
      </c>
      <c r="O640" s="27" t="s">
        <v>8</v>
      </c>
      <c r="P640" s="27" t="s">
        <v>7</v>
      </c>
      <c r="Q640" s="27" t="s">
        <v>8</v>
      </c>
      <c r="R640" s="27" t="s">
        <v>7</v>
      </c>
      <c r="S640" s="27" t="s">
        <v>8</v>
      </c>
      <c r="T640" s="27" t="s">
        <v>7</v>
      </c>
      <c r="AG640" s="27" t="s">
        <v>8</v>
      </c>
      <c r="AH640" s="27" t="s">
        <v>7</v>
      </c>
      <c r="AO640" s="27" t="s">
        <v>8</v>
      </c>
      <c r="AP640" s="27" t="s">
        <v>7</v>
      </c>
      <c r="AS640" s="27" t="s">
        <v>8</v>
      </c>
      <c r="AT640" s="27" t="s">
        <v>7</v>
      </c>
      <c r="AU640" s="27" t="s">
        <v>8</v>
      </c>
      <c r="AV640" s="27" t="s">
        <v>7</v>
      </c>
      <c r="AW640" s="27" t="s">
        <v>8</v>
      </c>
      <c r="AY640" s="27" t="s">
        <v>8</v>
      </c>
      <c r="AZ640" s="27" t="s">
        <v>7</v>
      </c>
      <c r="BA640" s="27" t="s">
        <v>8</v>
      </c>
      <c r="BB640" s="27" t="s">
        <v>7</v>
      </c>
      <c r="EE640" s="27" t="s">
        <v>8</v>
      </c>
      <c r="EF640" s="27" t="s">
        <v>7</v>
      </c>
      <c r="FO640" s="27" t="s">
        <v>8</v>
      </c>
      <c r="FP640" s="27" t="s">
        <v>7</v>
      </c>
      <c r="FQ640" s="27" t="s">
        <v>8</v>
      </c>
      <c r="FR640" s="27" t="s">
        <v>7</v>
      </c>
      <c r="FS640" s="27" t="s">
        <v>8</v>
      </c>
      <c r="FT640" s="27" t="s">
        <v>7</v>
      </c>
      <c r="FW640" s="27" t="s">
        <v>8</v>
      </c>
      <c r="FX640" s="27" t="s">
        <v>7</v>
      </c>
      <c r="FY640" s="27" t="s">
        <v>8</v>
      </c>
      <c r="FZ640" s="27" t="s">
        <v>7</v>
      </c>
      <c r="GA640" s="27" t="s">
        <v>8</v>
      </c>
      <c r="GB640" s="27" t="s">
        <v>7</v>
      </c>
      <c r="GC640" s="27" t="s">
        <v>8</v>
      </c>
      <c r="GD640" s="27" t="s">
        <v>7</v>
      </c>
      <c r="GE640" s="27" t="s">
        <v>8</v>
      </c>
      <c r="GG640" s="27" t="s">
        <v>8</v>
      </c>
      <c r="GH640" s="27" t="s">
        <v>7</v>
      </c>
      <c r="GI640" s="27" t="s">
        <v>8</v>
      </c>
      <c r="GJ640" s="27" t="s">
        <v>7</v>
      </c>
      <c r="GK640" s="27" t="s">
        <v>8</v>
      </c>
      <c r="GT640" s="27" t="s">
        <v>7</v>
      </c>
      <c r="GU640" s="27" t="s">
        <v>8</v>
      </c>
      <c r="GX640" s="27" t="s">
        <v>7</v>
      </c>
      <c r="HR640" s="27" t="s">
        <v>7</v>
      </c>
      <c r="HS640" s="27" t="s">
        <v>8</v>
      </c>
      <c r="HT640" s="27" t="s">
        <v>7</v>
      </c>
      <c r="HU640" s="27" t="s">
        <v>8</v>
      </c>
      <c r="IB640" s="27" t="s">
        <v>7</v>
      </c>
      <c r="IC640" s="27" t="s">
        <v>8</v>
      </c>
      <c r="IH640" s="27" t="s">
        <v>7</v>
      </c>
      <c r="II640" s="27" t="s">
        <v>8</v>
      </c>
      <c r="IK640" s="27" t="s">
        <v>8</v>
      </c>
      <c r="IL640" s="27" t="s">
        <v>7</v>
      </c>
      <c r="IM640" s="27" t="s">
        <v>8</v>
      </c>
      <c r="IP640" s="27" t="s">
        <v>7</v>
      </c>
      <c r="IZ640" s="27" t="s">
        <v>7</v>
      </c>
      <c r="JB640" s="27" t="s">
        <v>7</v>
      </c>
      <c r="JC640" s="27" t="s">
        <v>8</v>
      </c>
      <c r="JD640" s="27" t="s">
        <v>7</v>
      </c>
      <c r="JF640" s="27" t="s">
        <v>7</v>
      </c>
      <c r="JH640" s="27" t="s">
        <v>7</v>
      </c>
    </row>
    <row r="641" spans="1:263" x14ac:dyDescent="0.25">
      <c r="A641" s="7">
        <v>0.34323433454431179</v>
      </c>
      <c r="B641"/>
      <c r="C641"/>
      <c r="D641"/>
      <c r="E641"/>
      <c r="F641" s="27" t="s">
        <v>7</v>
      </c>
      <c r="O641" s="27" t="s">
        <v>8</v>
      </c>
      <c r="P641" s="27" t="s">
        <v>7</v>
      </c>
      <c r="Q641" s="27" t="s">
        <v>8</v>
      </c>
      <c r="R641" s="27" t="s">
        <v>7</v>
      </c>
      <c r="S641" s="27" t="s">
        <v>8</v>
      </c>
      <c r="T641" s="27" t="s">
        <v>7</v>
      </c>
      <c r="AG641" s="27" t="s">
        <v>8</v>
      </c>
      <c r="AH641" s="27" t="s">
        <v>7</v>
      </c>
      <c r="AO641" s="27" t="s">
        <v>8</v>
      </c>
      <c r="AP641" s="27" t="s">
        <v>7</v>
      </c>
      <c r="AQ641" s="27" t="s">
        <v>8</v>
      </c>
      <c r="AS641" s="27" t="s">
        <v>8</v>
      </c>
      <c r="AT641" s="27" t="s">
        <v>7</v>
      </c>
      <c r="AU641" s="27" t="s">
        <v>8</v>
      </c>
      <c r="AV641" s="27" t="s">
        <v>7</v>
      </c>
      <c r="AW641" s="27" t="s">
        <v>8</v>
      </c>
      <c r="AX641" s="27" t="s">
        <v>7</v>
      </c>
      <c r="AY641" s="27" t="s">
        <v>8</v>
      </c>
      <c r="AZ641" s="27" t="s">
        <v>7</v>
      </c>
      <c r="BA641" s="27" t="s">
        <v>8</v>
      </c>
      <c r="BB641" s="27" t="s">
        <v>7</v>
      </c>
      <c r="CM641" s="27" t="s">
        <v>8</v>
      </c>
      <c r="CQ641" s="27" t="s">
        <v>8</v>
      </c>
      <c r="EE641" s="27" t="s">
        <v>8</v>
      </c>
      <c r="EF641" s="27" t="s">
        <v>7</v>
      </c>
      <c r="FO641" s="27" t="s">
        <v>8</v>
      </c>
      <c r="FP641" s="27" t="s">
        <v>7</v>
      </c>
      <c r="FQ641" s="27" t="s">
        <v>8</v>
      </c>
      <c r="FR641" s="27" t="s">
        <v>7</v>
      </c>
      <c r="FS641" s="27" t="s">
        <v>8</v>
      </c>
      <c r="FT641" s="27" t="s">
        <v>7</v>
      </c>
      <c r="FU641" s="27" t="s">
        <v>8</v>
      </c>
      <c r="FW641" s="27" t="s">
        <v>8</v>
      </c>
      <c r="FX641" s="27" t="s">
        <v>7</v>
      </c>
      <c r="FY641" s="27" t="s">
        <v>8</v>
      </c>
      <c r="FZ641" s="27" t="s">
        <v>7</v>
      </c>
      <c r="GA641" s="27" t="s">
        <v>8</v>
      </c>
      <c r="GB641" s="27" t="s">
        <v>7</v>
      </c>
      <c r="GC641" s="27" t="s">
        <v>8</v>
      </c>
      <c r="GD641" s="27" t="s">
        <v>7</v>
      </c>
      <c r="GE641" s="27" t="s">
        <v>8</v>
      </c>
      <c r="GF641" s="27" t="s">
        <v>7</v>
      </c>
      <c r="GG641" s="27" t="s">
        <v>8</v>
      </c>
      <c r="GH641" s="27" t="s">
        <v>7</v>
      </c>
      <c r="GI641" s="27" t="s">
        <v>8</v>
      </c>
      <c r="GJ641" s="27" t="s">
        <v>7</v>
      </c>
      <c r="GK641" s="27" t="s">
        <v>8</v>
      </c>
      <c r="GT641" s="27" t="s">
        <v>7</v>
      </c>
      <c r="GU641" s="27" t="s">
        <v>8</v>
      </c>
      <c r="HR641" s="27" t="s">
        <v>7</v>
      </c>
      <c r="HT641" s="27" t="s">
        <v>7</v>
      </c>
      <c r="HU641" s="27" t="s">
        <v>8</v>
      </c>
      <c r="IB641" s="27" t="s">
        <v>7</v>
      </c>
      <c r="IC641" s="27" t="s">
        <v>8</v>
      </c>
      <c r="IH641" s="27" t="s">
        <v>7</v>
      </c>
      <c r="II641" s="27" t="s">
        <v>8</v>
      </c>
      <c r="IJ641" s="27" t="s">
        <v>7</v>
      </c>
      <c r="IK641" s="27" t="s">
        <v>8</v>
      </c>
      <c r="IL641" s="27" t="s">
        <v>7</v>
      </c>
      <c r="JB641" s="27" t="s">
        <v>7</v>
      </c>
      <c r="JC641" s="27" t="s">
        <v>8</v>
      </c>
    </row>
    <row r="642" spans="1:263" x14ac:dyDescent="0.25">
      <c r="A642" s="7">
        <v>0.33650424955324681</v>
      </c>
      <c r="B642"/>
      <c r="C642"/>
      <c r="D642"/>
      <c r="E642"/>
      <c r="F642" s="27" t="s">
        <v>7</v>
      </c>
      <c r="O642" s="27" t="s">
        <v>8</v>
      </c>
      <c r="P642" s="27" t="s">
        <v>7</v>
      </c>
      <c r="Q642" s="27" t="s">
        <v>8</v>
      </c>
      <c r="R642" s="27" t="s">
        <v>7</v>
      </c>
      <c r="T642" s="27" t="s">
        <v>7</v>
      </c>
      <c r="W642" s="27" t="s">
        <v>8</v>
      </c>
      <c r="AG642" s="27" t="s">
        <v>8</v>
      </c>
      <c r="AH642" s="27" t="s">
        <v>7</v>
      </c>
      <c r="AI642" s="27" t="s">
        <v>8</v>
      </c>
      <c r="AM642" s="27" t="s">
        <v>8</v>
      </c>
      <c r="AO642" s="27" t="s">
        <v>8</v>
      </c>
      <c r="AP642" s="27" t="s">
        <v>7</v>
      </c>
      <c r="AQ642" s="27" t="s">
        <v>8</v>
      </c>
      <c r="AR642" s="27" t="s">
        <v>7</v>
      </c>
      <c r="AS642" s="27" t="s">
        <v>8</v>
      </c>
      <c r="AT642" s="27" t="s">
        <v>7</v>
      </c>
      <c r="AU642" s="27" t="s">
        <v>8</v>
      </c>
      <c r="AV642" s="27" t="s">
        <v>7</v>
      </c>
      <c r="AW642" s="27" t="s">
        <v>8</v>
      </c>
      <c r="AX642" s="27" t="s">
        <v>7</v>
      </c>
      <c r="AY642" s="27" t="s">
        <v>8</v>
      </c>
      <c r="AZ642" s="27" t="s">
        <v>7</v>
      </c>
      <c r="BA642" s="27" t="s">
        <v>8</v>
      </c>
      <c r="BB642" s="27" t="s">
        <v>7</v>
      </c>
      <c r="CM642" s="27" t="s">
        <v>8</v>
      </c>
      <c r="CN642" s="27" t="s">
        <v>7</v>
      </c>
      <c r="CQ642" s="27" t="s">
        <v>8</v>
      </c>
      <c r="CR642" s="27" t="s">
        <v>7</v>
      </c>
      <c r="EE642" s="27" t="s">
        <v>8</v>
      </c>
      <c r="EF642" s="27" t="s">
        <v>7</v>
      </c>
      <c r="FO642" s="27" t="s">
        <v>8</v>
      </c>
      <c r="FP642" s="27" t="s">
        <v>7</v>
      </c>
      <c r="FR642" s="27" t="s">
        <v>7</v>
      </c>
      <c r="FT642" s="27" t="s">
        <v>7</v>
      </c>
      <c r="FU642" s="27" t="s">
        <v>8</v>
      </c>
      <c r="FV642" s="27" t="s">
        <v>7</v>
      </c>
      <c r="FW642" s="27" t="s">
        <v>8</v>
      </c>
      <c r="FX642" s="27" t="s">
        <v>7</v>
      </c>
      <c r="FY642" s="27" t="s">
        <v>8</v>
      </c>
      <c r="FZ642" s="27" t="s">
        <v>7</v>
      </c>
      <c r="GA642" s="27" t="s">
        <v>8</v>
      </c>
      <c r="GB642" s="27" t="s">
        <v>7</v>
      </c>
      <c r="GC642" s="27" t="s">
        <v>8</v>
      </c>
      <c r="GD642" s="27" t="s">
        <v>7</v>
      </c>
      <c r="GE642" s="27" t="s">
        <v>8</v>
      </c>
      <c r="GF642" s="27" t="s">
        <v>7</v>
      </c>
      <c r="GG642" s="27" t="s">
        <v>8</v>
      </c>
      <c r="GH642" s="27" t="s">
        <v>7</v>
      </c>
      <c r="GJ642" s="27" t="s">
        <v>7</v>
      </c>
      <c r="GK642" s="27" t="s">
        <v>8</v>
      </c>
      <c r="GT642" s="27" t="s">
        <v>7</v>
      </c>
      <c r="HT642" s="27" t="s">
        <v>7</v>
      </c>
      <c r="IB642" s="27" t="s">
        <v>7</v>
      </c>
      <c r="IH642" s="27" t="s">
        <v>7</v>
      </c>
      <c r="II642" s="27" t="s">
        <v>8</v>
      </c>
      <c r="IJ642" s="27" t="s">
        <v>7</v>
      </c>
      <c r="IK642" s="27" t="s">
        <v>8</v>
      </c>
      <c r="JB642" s="27" t="s">
        <v>7</v>
      </c>
      <c r="JC642" s="27" t="s">
        <v>8</v>
      </c>
    </row>
    <row r="643" spans="1:263" x14ac:dyDescent="0.25">
      <c r="A643" s="7">
        <v>0.3299061270129871</v>
      </c>
      <c r="B643"/>
      <c r="C643"/>
      <c r="D643"/>
      <c r="E643"/>
      <c r="F643" s="27" t="s">
        <v>7</v>
      </c>
      <c r="O643" s="27" t="s">
        <v>8</v>
      </c>
      <c r="P643" s="27" t="s">
        <v>7</v>
      </c>
      <c r="T643" s="27" t="s">
        <v>7</v>
      </c>
      <c r="U643" s="27" t="s">
        <v>8</v>
      </c>
      <c r="W643" s="27" t="s">
        <v>8</v>
      </c>
      <c r="X643" s="27" t="s">
        <v>7</v>
      </c>
      <c r="AG643" s="27" t="s">
        <v>8</v>
      </c>
      <c r="AH643" s="27" t="s">
        <v>7</v>
      </c>
      <c r="AI643" s="27" t="s">
        <v>8</v>
      </c>
      <c r="AJ643" s="27" t="s">
        <v>7</v>
      </c>
      <c r="AK643" s="27" t="s">
        <v>8</v>
      </c>
      <c r="AM643" s="27" t="s">
        <v>8</v>
      </c>
      <c r="AN643" s="27" t="s">
        <v>7</v>
      </c>
      <c r="AO643" s="27" t="s">
        <v>8</v>
      </c>
      <c r="AP643" s="27" t="s">
        <v>7</v>
      </c>
      <c r="AQ643" s="27" t="s">
        <v>8</v>
      </c>
      <c r="AR643" s="27" t="s">
        <v>7</v>
      </c>
      <c r="AS643" s="27" t="s">
        <v>8</v>
      </c>
      <c r="AT643" s="27" t="s">
        <v>7</v>
      </c>
      <c r="AU643" s="27" t="s">
        <v>8</v>
      </c>
      <c r="AV643" s="27" t="s">
        <v>7</v>
      </c>
      <c r="AW643" s="27" t="s">
        <v>8</v>
      </c>
      <c r="AX643" s="27" t="s">
        <v>7</v>
      </c>
      <c r="AZ643" s="27" t="s">
        <v>7</v>
      </c>
      <c r="BA643" s="27" t="s">
        <v>8</v>
      </c>
      <c r="BB643" s="27" t="s">
        <v>7</v>
      </c>
      <c r="CM643" s="27" t="s">
        <v>8</v>
      </c>
      <c r="CN643" s="27" t="s">
        <v>7</v>
      </c>
      <c r="CQ643" s="27" t="s">
        <v>8</v>
      </c>
      <c r="CR643" s="27" t="s">
        <v>7</v>
      </c>
      <c r="EE643" s="27" t="s">
        <v>8</v>
      </c>
      <c r="EF643" s="27" t="s">
        <v>7</v>
      </c>
      <c r="FO643" s="27" t="s">
        <v>8</v>
      </c>
      <c r="FT643" s="27" t="s">
        <v>7</v>
      </c>
      <c r="FU643" s="27" t="s">
        <v>8</v>
      </c>
      <c r="FV643" s="27" t="s">
        <v>7</v>
      </c>
      <c r="FW643" s="27" t="s">
        <v>8</v>
      </c>
      <c r="FX643" s="27" t="s">
        <v>7</v>
      </c>
      <c r="FY643" s="27" t="s">
        <v>8</v>
      </c>
      <c r="FZ643" s="27" t="s">
        <v>7</v>
      </c>
      <c r="GA643" s="27" t="s">
        <v>8</v>
      </c>
      <c r="GB643" s="27" t="s">
        <v>7</v>
      </c>
      <c r="GD643" s="27" t="s">
        <v>7</v>
      </c>
      <c r="GE643" s="27" t="s">
        <v>8</v>
      </c>
      <c r="GF643" s="27" t="s">
        <v>7</v>
      </c>
      <c r="GJ643" s="27" t="s">
        <v>7</v>
      </c>
      <c r="GK643" s="27" t="s">
        <v>8</v>
      </c>
      <c r="IH643" s="27" t="s">
        <v>7</v>
      </c>
      <c r="II643" s="27" t="s">
        <v>8</v>
      </c>
      <c r="IJ643" s="27" t="s">
        <v>7</v>
      </c>
      <c r="IK643" s="27" t="s">
        <v>8</v>
      </c>
      <c r="JB643" s="27" t="s">
        <v>7</v>
      </c>
      <c r="JC643" s="27" t="s">
        <v>8</v>
      </c>
    </row>
    <row r="644" spans="1:263" x14ac:dyDescent="0.25">
      <c r="A644" s="7">
        <v>0.32343737942449713</v>
      </c>
      <c r="B644"/>
      <c r="C644"/>
      <c r="D644"/>
      <c r="E644"/>
      <c r="F644" s="27" t="s">
        <v>7</v>
      </c>
      <c r="O644" s="27" t="s">
        <v>8</v>
      </c>
      <c r="T644" s="27" t="s">
        <v>7</v>
      </c>
      <c r="U644" s="27" t="s">
        <v>8</v>
      </c>
      <c r="V644" s="27" t="s">
        <v>7</v>
      </c>
      <c r="W644" s="27" t="s">
        <v>8</v>
      </c>
      <c r="X644" s="27" t="s">
        <v>7</v>
      </c>
      <c r="AG644" s="27" t="s">
        <v>8</v>
      </c>
      <c r="AH644" s="27" t="s">
        <v>7</v>
      </c>
      <c r="AI644" s="27" t="s">
        <v>8</v>
      </c>
      <c r="AJ644" s="27" t="s">
        <v>7</v>
      </c>
      <c r="AK644" s="27" t="s">
        <v>8</v>
      </c>
      <c r="AL644" s="27" t="s">
        <v>7</v>
      </c>
      <c r="AM644" s="27" t="s">
        <v>8</v>
      </c>
      <c r="AN644" s="27" t="s">
        <v>7</v>
      </c>
      <c r="AO644" s="27" t="s">
        <v>8</v>
      </c>
      <c r="AP644" s="27" t="s">
        <v>7</v>
      </c>
      <c r="AQ644" s="27" t="s">
        <v>8</v>
      </c>
      <c r="AR644" s="27" t="s">
        <v>7</v>
      </c>
      <c r="AS644" s="27" t="s">
        <v>8</v>
      </c>
      <c r="AT644" s="27" t="s">
        <v>7</v>
      </c>
      <c r="AU644" s="27" t="s">
        <v>8</v>
      </c>
      <c r="AV644" s="27" t="s">
        <v>7</v>
      </c>
      <c r="AW644" s="27" t="s">
        <v>8</v>
      </c>
      <c r="AZ644" s="27" t="s">
        <v>7</v>
      </c>
      <c r="BA644" s="27" t="s">
        <v>8</v>
      </c>
      <c r="BB644" s="27" t="s">
        <v>7</v>
      </c>
      <c r="CM644" s="27" t="s">
        <v>8</v>
      </c>
      <c r="CN644" s="27" t="s">
        <v>7</v>
      </c>
      <c r="CO644" s="27" t="s">
        <v>8</v>
      </c>
      <c r="CQ644" s="27" t="s">
        <v>8</v>
      </c>
      <c r="CR644" s="27" t="s">
        <v>7</v>
      </c>
      <c r="EE644" s="27" t="s">
        <v>8</v>
      </c>
      <c r="EF644" s="27" t="s">
        <v>7</v>
      </c>
      <c r="FO644" s="27" t="s">
        <v>8</v>
      </c>
      <c r="FT644" s="27" t="s">
        <v>7</v>
      </c>
      <c r="FU644" s="27" t="s">
        <v>8</v>
      </c>
      <c r="FV644" s="27" t="s">
        <v>7</v>
      </c>
      <c r="FW644" s="27" t="s">
        <v>8</v>
      </c>
      <c r="FX644" s="27" t="s">
        <v>7</v>
      </c>
      <c r="FY644" s="27" t="s">
        <v>8</v>
      </c>
      <c r="FZ644" s="27" t="s">
        <v>7</v>
      </c>
      <c r="GA644" s="27" t="s">
        <v>8</v>
      </c>
      <c r="GD644" s="27" t="s">
        <v>7</v>
      </c>
      <c r="GJ644" s="27" t="s">
        <v>7</v>
      </c>
      <c r="IH644" s="27" t="s">
        <v>7</v>
      </c>
      <c r="II644" s="27" t="s">
        <v>8</v>
      </c>
      <c r="IJ644" s="27" t="s">
        <v>7</v>
      </c>
      <c r="IK644" s="27" t="s">
        <v>8</v>
      </c>
      <c r="JB644" s="27" t="s">
        <v>7</v>
      </c>
      <c r="JC644" s="27" t="s">
        <v>8</v>
      </c>
    </row>
    <row r="645" spans="1:263" x14ac:dyDescent="0.25">
      <c r="A645" s="7">
        <v>0.31709547002401678</v>
      </c>
      <c r="B645"/>
      <c r="C645"/>
      <c r="D645"/>
      <c r="E645"/>
      <c r="F645" s="27" t="s">
        <v>7</v>
      </c>
      <c r="O645" s="27" t="s">
        <v>8</v>
      </c>
      <c r="T645" s="27" t="s">
        <v>7</v>
      </c>
      <c r="U645" s="27" t="s">
        <v>8</v>
      </c>
      <c r="V645" s="27" t="s">
        <v>7</v>
      </c>
      <c r="W645" s="27" t="s">
        <v>8</v>
      </c>
      <c r="X645" s="27" t="s">
        <v>7</v>
      </c>
      <c r="AG645" s="27" t="s">
        <v>8</v>
      </c>
      <c r="AH645" s="27" t="s">
        <v>7</v>
      </c>
      <c r="AI645" s="27" t="s">
        <v>8</v>
      </c>
      <c r="AJ645" s="27" t="s">
        <v>7</v>
      </c>
      <c r="AK645" s="27" t="s">
        <v>8</v>
      </c>
      <c r="AL645" s="27" t="s">
        <v>7</v>
      </c>
      <c r="AM645" s="27" t="s">
        <v>8</v>
      </c>
      <c r="AN645" s="27" t="s">
        <v>7</v>
      </c>
      <c r="AO645" s="27" t="s">
        <v>8</v>
      </c>
      <c r="AP645" s="27" t="s">
        <v>7</v>
      </c>
      <c r="AR645" s="27" t="s">
        <v>7</v>
      </c>
      <c r="AS645" s="27" t="s">
        <v>8</v>
      </c>
      <c r="AT645" s="27" t="s">
        <v>7</v>
      </c>
      <c r="AU645" s="27" t="s">
        <v>8</v>
      </c>
      <c r="AV645" s="27" t="s">
        <v>7</v>
      </c>
      <c r="AW645" s="27" t="s">
        <v>8</v>
      </c>
      <c r="AZ645" s="27" t="s">
        <v>7</v>
      </c>
      <c r="BA645" s="27" t="s">
        <v>8</v>
      </c>
      <c r="BB645" s="27" t="s">
        <v>7</v>
      </c>
      <c r="CM645" s="27" t="s">
        <v>8</v>
      </c>
      <c r="CN645" s="27" t="s">
        <v>7</v>
      </c>
      <c r="CO645" s="27" t="s">
        <v>8</v>
      </c>
      <c r="CP645" s="27" t="s">
        <v>7</v>
      </c>
      <c r="CQ645" s="27" t="s">
        <v>8</v>
      </c>
      <c r="CR645" s="27" t="s">
        <v>7</v>
      </c>
      <c r="CS645" s="27" t="s">
        <v>8</v>
      </c>
      <c r="CY645" s="27" t="s">
        <v>8</v>
      </c>
      <c r="DA645" s="27" t="s">
        <v>8</v>
      </c>
      <c r="EE645" s="27" t="s">
        <v>8</v>
      </c>
      <c r="EF645" s="27" t="s">
        <v>7</v>
      </c>
      <c r="FO645" s="27" t="s">
        <v>8</v>
      </c>
      <c r="FT645" s="27" t="s">
        <v>7</v>
      </c>
      <c r="FU645" s="27" t="s">
        <v>8</v>
      </c>
      <c r="FV645" s="27" t="s">
        <v>7</v>
      </c>
      <c r="FW645" s="27" t="s">
        <v>8</v>
      </c>
      <c r="FX645" s="27" t="s">
        <v>7</v>
      </c>
      <c r="FY645" s="27" t="s">
        <v>8</v>
      </c>
      <c r="FZ645" s="27" t="s">
        <v>7</v>
      </c>
      <c r="GA645" s="27" t="s">
        <v>8</v>
      </c>
      <c r="IH645" s="27" t="s">
        <v>7</v>
      </c>
      <c r="IJ645" s="27" t="s">
        <v>7</v>
      </c>
      <c r="IK645" s="27" t="s">
        <v>8</v>
      </c>
      <c r="JB645" s="27" t="s">
        <v>7</v>
      </c>
      <c r="JC645" s="27" t="s">
        <v>8</v>
      </c>
    </row>
    <row r="646" spans="1:263" x14ac:dyDescent="0.25">
      <c r="A646" s="7">
        <v>0.31087791178825175</v>
      </c>
      <c r="B646"/>
      <c r="C646"/>
      <c r="D646"/>
      <c r="E646"/>
      <c r="F646" s="27" t="s">
        <v>7</v>
      </c>
      <c r="O646" s="27" t="s">
        <v>8</v>
      </c>
      <c r="T646" s="27" t="s">
        <v>7</v>
      </c>
      <c r="U646" s="27" t="s">
        <v>8</v>
      </c>
      <c r="V646" s="27" t="s">
        <v>7</v>
      </c>
      <c r="X646" s="27" t="s">
        <v>7</v>
      </c>
      <c r="AG646" s="27" t="s">
        <v>8</v>
      </c>
      <c r="AH646" s="27" t="s">
        <v>7</v>
      </c>
      <c r="AI646" s="27" t="s">
        <v>8</v>
      </c>
      <c r="AJ646" s="27" t="s">
        <v>7</v>
      </c>
      <c r="AK646" s="27" t="s">
        <v>8</v>
      </c>
      <c r="AL646" s="27" t="s">
        <v>7</v>
      </c>
      <c r="AM646" s="27" t="s">
        <v>8</v>
      </c>
      <c r="AN646" s="27" t="s">
        <v>7</v>
      </c>
      <c r="AR646" s="27" t="s">
        <v>7</v>
      </c>
      <c r="AS646" s="27" t="s">
        <v>8</v>
      </c>
      <c r="AT646" s="27" t="s">
        <v>7</v>
      </c>
      <c r="AV646" s="27" t="s">
        <v>7</v>
      </c>
      <c r="AZ646" s="27" t="s">
        <v>7</v>
      </c>
      <c r="BA646" s="27" t="s">
        <v>8</v>
      </c>
      <c r="BB646" s="27" t="s">
        <v>7</v>
      </c>
      <c r="BE646" s="27" t="s">
        <v>8</v>
      </c>
      <c r="CM646" s="27" t="s">
        <v>8</v>
      </c>
      <c r="CN646" s="27" t="s">
        <v>7</v>
      </c>
      <c r="CO646" s="27" t="s">
        <v>8</v>
      </c>
      <c r="CP646" s="27" t="s">
        <v>7</v>
      </c>
      <c r="CQ646" s="27" t="s">
        <v>8</v>
      </c>
      <c r="CR646" s="27" t="s">
        <v>7</v>
      </c>
      <c r="CS646" s="27" t="s">
        <v>8</v>
      </c>
      <c r="CT646" s="27" t="s">
        <v>7</v>
      </c>
      <c r="CY646" s="27" t="s">
        <v>8</v>
      </c>
      <c r="CZ646" s="27" t="s">
        <v>7</v>
      </c>
      <c r="DA646" s="27" t="s">
        <v>8</v>
      </c>
      <c r="DB646" s="27" t="s">
        <v>7</v>
      </c>
      <c r="EE646" s="27" t="s">
        <v>8</v>
      </c>
      <c r="EF646" s="27" t="s">
        <v>7</v>
      </c>
      <c r="EG646" s="27" t="s">
        <v>8</v>
      </c>
      <c r="FO646" s="27" t="s">
        <v>8</v>
      </c>
      <c r="FT646" s="27" t="s">
        <v>7</v>
      </c>
      <c r="FV646" s="27" t="s">
        <v>7</v>
      </c>
      <c r="FW646" s="27" t="s">
        <v>8</v>
      </c>
      <c r="FX646" s="27" t="s">
        <v>7</v>
      </c>
      <c r="FZ646" s="27" t="s">
        <v>7</v>
      </c>
      <c r="IJ646" s="27" t="s">
        <v>7</v>
      </c>
      <c r="JB646" s="27" t="s">
        <v>7</v>
      </c>
    </row>
    <row r="647" spans="1:263" x14ac:dyDescent="0.25">
      <c r="A647" s="7">
        <v>0.30478226645907036</v>
      </c>
      <c r="B647"/>
      <c r="C647"/>
      <c r="D647"/>
      <c r="E647"/>
      <c r="F647" s="27" t="s">
        <v>7</v>
      </c>
      <c r="M647" s="27" t="s">
        <v>8</v>
      </c>
      <c r="O647" s="27" t="s">
        <v>8</v>
      </c>
      <c r="T647" s="27" t="s">
        <v>7</v>
      </c>
      <c r="X647" s="27" t="s">
        <v>7</v>
      </c>
      <c r="AE647" s="27" t="s">
        <v>8</v>
      </c>
      <c r="AG647" s="27" t="s">
        <v>8</v>
      </c>
      <c r="AH647" s="27" t="s">
        <v>7</v>
      </c>
      <c r="AI647" s="27" t="s">
        <v>8</v>
      </c>
      <c r="AJ647" s="27" t="s">
        <v>7</v>
      </c>
      <c r="AL647" s="27" t="s">
        <v>7</v>
      </c>
      <c r="AM647" s="27" t="s">
        <v>8</v>
      </c>
      <c r="AR647" s="27" t="s">
        <v>7</v>
      </c>
      <c r="AS647" s="27" t="s">
        <v>8</v>
      </c>
      <c r="AZ647" s="27" t="s">
        <v>7</v>
      </c>
      <c r="BA647" s="27" t="s">
        <v>8</v>
      </c>
      <c r="BB647" s="27" t="s">
        <v>7</v>
      </c>
      <c r="BC647" s="27" t="s">
        <v>8</v>
      </c>
      <c r="BE647" s="27" t="s">
        <v>8</v>
      </c>
      <c r="BF647" s="27" t="s">
        <v>7</v>
      </c>
      <c r="CM647" s="27" t="s">
        <v>8</v>
      </c>
      <c r="CN647" s="27" t="s">
        <v>7</v>
      </c>
      <c r="CO647" s="27" t="s">
        <v>8</v>
      </c>
      <c r="CP647" s="27" t="s">
        <v>7</v>
      </c>
      <c r="CQ647" s="27" t="s">
        <v>8</v>
      </c>
      <c r="CR647" s="27" t="s">
        <v>7</v>
      </c>
      <c r="CS647" s="27" t="s">
        <v>8</v>
      </c>
      <c r="CT647" s="27" t="s">
        <v>7</v>
      </c>
      <c r="CW647" s="27" t="s">
        <v>8</v>
      </c>
      <c r="CY647" s="27" t="s">
        <v>8</v>
      </c>
      <c r="CZ647" s="27" t="s">
        <v>7</v>
      </c>
      <c r="DA647" s="27" t="s">
        <v>8</v>
      </c>
      <c r="DB647" s="27" t="s">
        <v>7</v>
      </c>
      <c r="EE647" s="27" t="s">
        <v>8</v>
      </c>
      <c r="EF647" s="27" t="s">
        <v>7</v>
      </c>
      <c r="EG647" s="27" t="s">
        <v>8</v>
      </c>
      <c r="EH647" s="27" t="s">
        <v>7</v>
      </c>
      <c r="FO647" s="27" t="s">
        <v>8</v>
      </c>
      <c r="FV647" s="27" t="s">
        <v>7</v>
      </c>
    </row>
    <row r="648" spans="1:263" x14ac:dyDescent="0.25">
      <c r="A648" s="7">
        <v>0.29880614358732388</v>
      </c>
      <c r="B648"/>
      <c r="C648"/>
      <c r="D648"/>
      <c r="E648"/>
      <c r="F648" s="27" t="s">
        <v>7</v>
      </c>
      <c r="M648" s="27" t="s">
        <v>8</v>
      </c>
      <c r="N648" s="27" t="s">
        <v>7</v>
      </c>
      <c r="O648" s="27" t="s">
        <v>8</v>
      </c>
      <c r="X648" s="27" t="s">
        <v>7</v>
      </c>
      <c r="AE648" s="27" t="s">
        <v>8</v>
      </c>
      <c r="AF648" s="27" t="s">
        <v>7</v>
      </c>
      <c r="AG648" s="27" t="s">
        <v>8</v>
      </c>
      <c r="AH648" s="27" t="s">
        <v>7</v>
      </c>
      <c r="AI648" s="27" t="s">
        <v>8</v>
      </c>
      <c r="AL648" s="27" t="s">
        <v>7</v>
      </c>
      <c r="AM648" s="27" t="s">
        <v>8</v>
      </c>
      <c r="AR648" s="27" t="s">
        <v>7</v>
      </c>
      <c r="AS648" s="27" t="s">
        <v>8</v>
      </c>
      <c r="AZ648" s="27" t="s">
        <v>7</v>
      </c>
      <c r="BB648" s="27" t="s">
        <v>7</v>
      </c>
      <c r="BC648" s="27" t="s">
        <v>8</v>
      </c>
      <c r="BD648" s="27" t="s">
        <v>7</v>
      </c>
      <c r="BE648" s="27" t="s">
        <v>8</v>
      </c>
      <c r="BF648" s="27" t="s">
        <v>7</v>
      </c>
      <c r="CM648" s="27" t="s">
        <v>8</v>
      </c>
      <c r="CN648" s="27" t="s">
        <v>7</v>
      </c>
      <c r="CO648" s="27" t="s">
        <v>8</v>
      </c>
      <c r="CP648" s="27" t="s">
        <v>7</v>
      </c>
      <c r="CQ648" s="27" t="s">
        <v>8</v>
      </c>
      <c r="CR648" s="27" t="s">
        <v>7</v>
      </c>
      <c r="CS648" s="27" t="s">
        <v>8</v>
      </c>
      <c r="CT648" s="27" t="s">
        <v>7</v>
      </c>
      <c r="CU648" s="27" t="s">
        <v>8</v>
      </c>
      <c r="CW648" s="27" t="s">
        <v>8</v>
      </c>
      <c r="CX648" s="27" t="s">
        <v>7</v>
      </c>
      <c r="CY648" s="27" t="s">
        <v>8</v>
      </c>
      <c r="CZ648" s="27" t="s">
        <v>7</v>
      </c>
      <c r="DA648" s="27" t="s">
        <v>8</v>
      </c>
      <c r="DB648" s="27" t="s">
        <v>7</v>
      </c>
      <c r="EE648" s="27" t="s">
        <v>8</v>
      </c>
      <c r="EF648" s="27" t="s">
        <v>7</v>
      </c>
      <c r="EG648" s="27" t="s">
        <v>8</v>
      </c>
      <c r="EH648" s="27" t="s">
        <v>7</v>
      </c>
      <c r="FO648" s="27" t="s">
        <v>8</v>
      </c>
    </row>
    <row r="649" spans="1:263" x14ac:dyDescent="0.25">
      <c r="A649" s="7">
        <v>0.2929471995954156</v>
      </c>
      <c r="B649"/>
      <c r="C649"/>
      <c r="D649"/>
      <c r="E649"/>
      <c r="F649" s="27" t="s">
        <v>7</v>
      </c>
      <c r="M649" s="27" t="s">
        <v>8</v>
      </c>
      <c r="N649" s="27" t="s">
        <v>7</v>
      </c>
      <c r="O649" s="27" t="s">
        <v>8</v>
      </c>
      <c r="X649" s="27" t="s">
        <v>7</v>
      </c>
      <c r="AE649" s="27" t="s">
        <v>8</v>
      </c>
      <c r="AF649" s="27" t="s">
        <v>7</v>
      </c>
      <c r="AG649" s="27" t="s">
        <v>8</v>
      </c>
      <c r="AH649" s="27" t="s">
        <v>7</v>
      </c>
      <c r="AL649" s="27" t="s">
        <v>7</v>
      </c>
      <c r="AR649" s="27" t="s">
        <v>7</v>
      </c>
      <c r="BB649" s="27" t="s">
        <v>7</v>
      </c>
      <c r="BC649" s="27" t="s">
        <v>8</v>
      </c>
      <c r="BD649" s="27" t="s">
        <v>7</v>
      </c>
      <c r="BE649" s="27" t="s">
        <v>8</v>
      </c>
      <c r="BF649" s="27" t="s">
        <v>7</v>
      </c>
      <c r="CM649" s="27" t="s">
        <v>8</v>
      </c>
      <c r="CN649" s="27" t="s">
        <v>7</v>
      </c>
      <c r="CO649" s="27" t="s">
        <v>8</v>
      </c>
      <c r="CP649" s="27" t="s">
        <v>7</v>
      </c>
      <c r="CR649" s="27" t="s">
        <v>7</v>
      </c>
      <c r="CS649" s="27" t="s">
        <v>8</v>
      </c>
      <c r="CT649" s="27" t="s">
        <v>7</v>
      </c>
      <c r="CU649" s="27" t="s">
        <v>8</v>
      </c>
      <c r="CV649" s="27" t="s">
        <v>7</v>
      </c>
      <c r="CW649" s="27" t="s">
        <v>8</v>
      </c>
      <c r="CX649" s="27" t="s">
        <v>7</v>
      </c>
      <c r="CY649" s="27" t="s">
        <v>8</v>
      </c>
      <c r="CZ649" s="27" t="s">
        <v>7</v>
      </c>
      <c r="DB649" s="27" t="s">
        <v>7</v>
      </c>
      <c r="EE649" s="27" t="s">
        <v>8</v>
      </c>
      <c r="EF649" s="27" t="s">
        <v>7</v>
      </c>
      <c r="EG649" s="27" t="s">
        <v>8</v>
      </c>
      <c r="EH649" s="27" t="s">
        <v>7</v>
      </c>
      <c r="EI649" s="27" t="s">
        <v>8</v>
      </c>
      <c r="FO649" s="27" t="s">
        <v>8</v>
      </c>
    </row>
    <row r="650" spans="1:263" x14ac:dyDescent="0.25">
      <c r="A650" s="7">
        <v>0.28720313685825055</v>
      </c>
      <c r="B650"/>
      <c r="C650"/>
      <c r="D650"/>
      <c r="E650"/>
      <c r="F650" s="27" t="s">
        <v>7</v>
      </c>
      <c r="M650" s="27" t="s">
        <v>8</v>
      </c>
      <c r="N650" s="27" t="s">
        <v>7</v>
      </c>
      <c r="O650" s="27" t="s">
        <v>8</v>
      </c>
      <c r="X650" s="27" t="s">
        <v>7</v>
      </c>
      <c r="Y650" s="27" t="s">
        <v>8</v>
      </c>
      <c r="AE650" s="27" t="s">
        <v>8</v>
      </c>
      <c r="AF650" s="27" t="s">
        <v>7</v>
      </c>
      <c r="AG650" s="27" t="s">
        <v>8</v>
      </c>
      <c r="BB650" s="27" t="s">
        <v>7</v>
      </c>
      <c r="BC650" s="27" t="s">
        <v>8</v>
      </c>
      <c r="BD650" s="27" t="s">
        <v>7</v>
      </c>
      <c r="BF650" s="27" t="s">
        <v>7</v>
      </c>
      <c r="CM650" s="27" t="s">
        <v>8</v>
      </c>
      <c r="CN650" s="27" t="s">
        <v>7</v>
      </c>
      <c r="CO650" s="27" t="s">
        <v>8</v>
      </c>
      <c r="CR650" s="27" t="s">
        <v>7</v>
      </c>
      <c r="CS650" s="27" t="s">
        <v>8</v>
      </c>
      <c r="CT650" s="27" t="s">
        <v>7</v>
      </c>
      <c r="CU650" s="27" t="s">
        <v>8</v>
      </c>
      <c r="CV650" s="27" t="s">
        <v>7</v>
      </c>
      <c r="CW650" s="27" t="s">
        <v>8</v>
      </c>
      <c r="CX650" s="27" t="s">
        <v>7</v>
      </c>
      <c r="DB650" s="27" t="s">
        <v>7</v>
      </c>
      <c r="EC650" s="27" t="s">
        <v>8</v>
      </c>
      <c r="EE650" s="27" t="s">
        <v>8</v>
      </c>
      <c r="EF650" s="27" t="s">
        <v>7</v>
      </c>
      <c r="EG650" s="27" t="s">
        <v>8</v>
      </c>
      <c r="EH650" s="27" t="s">
        <v>7</v>
      </c>
      <c r="EI650" s="27" t="s">
        <v>8</v>
      </c>
      <c r="EJ650" s="27" t="s">
        <v>7</v>
      </c>
      <c r="EO650" s="27" t="s">
        <v>8</v>
      </c>
      <c r="FO650" s="27" t="s">
        <v>8</v>
      </c>
    </row>
    <row r="651" spans="1:263" x14ac:dyDescent="0.25">
      <c r="A651" s="7">
        <v>0.28157170280220645</v>
      </c>
      <c r="B651"/>
      <c r="C651"/>
      <c r="D651"/>
      <c r="E651"/>
      <c r="F651" s="27" t="s">
        <v>7</v>
      </c>
      <c r="I651" s="27" t="s">
        <v>8</v>
      </c>
      <c r="M651" s="27" t="s">
        <v>8</v>
      </c>
      <c r="N651" s="27" t="s">
        <v>7</v>
      </c>
      <c r="O651" s="27" t="s">
        <v>8</v>
      </c>
      <c r="X651" s="27" t="s">
        <v>7</v>
      </c>
      <c r="Y651" s="27" t="s">
        <v>8</v>
      </c>
      <c r="Z651" s="27" t="s">
        <v>7</v>
      </c>
      <c r="AA651" s="27" t="s">
        <v>8</v>
      </c>
      <c r="AC651" s="27" t="s">
        <v>8</v>
      </c>
      <c r="AE651" s="27" t="s">
        <v>8</v>
      </c>
      <c r="AF651" s="27" t="s">
        <v>7</v>
      </c>
      <c r="AG651" s="27" t="s">
        <v>8</v>
      </c>
      <c r="BB651" s="27" t="s">
        <v>7</v>
      </c>
      <c r="BF651" s="27" t="s">
        <v>7</v>
      </c>
      <c r="CM651" s="27" t="s">
        <v>8</v>
      </c>
      <c r="CN651" s="27" t="s">
        <v>7</v>
      </c>
      <c r="CO651" s="27" t="s">
        <v>8</v>
      </c>
      <c r="CR651" s="27" t="s">
        <v>7</v>
      </c>
      <c r="CT651" s="27" t="s">
        <v>7</v>
      </c>
      <c r="CV651" s="27" t="s">
        <v>7</v>
      </c>
      <c r="CW651" s="27" t="s">
        <v>8</v>
      </c>
      <c r="DB651" s="27" t="s">
        <v>7</v>
      </c>
      <c r="EC651" s="27" t="s">
        <v>8</v>
      </c>
      <c r="ED651" s="27" t="s">
        <v>7</v>
      </c>
      <c r="EE651" s="27" t="s">
        <v>8</v>
      </c>
      <c r="EF651" s="27" t="s">
        <v>7</v>
      </c>
      <c r="EG651" s="27" t="s">
        <v>8</v>
      </c>
      <c r="EH651" s="27" t="s">
        <v>7</v>
      </c>
      <c r="EI651" s="27" t="s">
        <v>8</v>
      </c>
      <c r="EJ651" s="27" t="s">
        <v>7</v>
      </c>
      <c r="EO651" s="27" t="s">
        <v>8</v>
      </c>
      <c r="EP651" s="27" t="s">
        <v>7</v>
      </c>
      <c r="FO651" s="27" t="s">
        <v>8</v>
      </c>
    </row>
    <row r="652" spans="1:263" x14ac:dyDescent="0.25">
      <c r="A652" s="7">
        <v>0.27605068902177105</v>
      </c>
      <c r="B652"/>
      <c r="C652"/>
      <c r="D652"/>
      <c r="E652"/>
      <c r="F652" s="27" t="s">
        <v>7</v>
      </c>
      <c r="G652" s="27" t="s">
        <v>8</v>
      </c>
      <c r="I652" s="27" t="s">
        <v>8</v>
      </c>
      <c r="J652" s="27" t="s">
        <v>7</v>
      </c>
      <c r="K652" s="27" t="s">
        <v>8</v>
      </c>
      <c r="M652" s="27" t="s">
        <v>8</v>
      </c>
      <c r="N652" s="27" t="s">
        <v>7</v>
      </c>
      <c r="X652" s="27" t="s">
        <v>7</v>
      </c>
      <c r="Y652" s="27" t="s">
        <v>8</v>
      </c>
      <c r="Z652" s="27" t="s">
        <v>7</v>
      </c>
      <c r="AA652" s="27" t="s">
        <v>8</v>
      </c>
      <c r="AB652" s="27" t="s">
        <v>7</v>
      </c>
      <c r="AC652" s="27" t="s">
        <v>8</v>
      </c>
      <c r="AD652" s="27" t="s">
        <v>7</v>
      </c>
      <c r="AE652" s="27" t="s">
        <v>8</v>
      </c>
      <c r="AF652" s="27" t="s">
        <v>7</v>
      </c>
      <c r="AG652" s="27" t="s">
        <v>8</v>
      </c>
      <c r="BF652" s="27" t="s">
        <v>7</v>
      </c>
      <c r="BI652" s="27" t="s">
        <v>8</v>
      </c>
      <c r="CI652" s="27" t="s">
        <v>8</v>
      </c>
      <c r="CK652" s="27" t="s">
        <v>8</v>
      </c>
      <c r="CM652" s="27" t="s">
        <v>8</v>
      </c>
      <c r="CN652" s="27" t="s">
        <v>7</v>
      </c>
      <c r="CV652" s="27" t="s">
        <v>7</v>
      </c>
      <c r="CW652" s="27" t="s">
        <v>8</v>
      </c>
      <c r="DB652" s="27" t="s">
        <v>7</v>
      </c>
      <c r="DG652" s="27" t="s">
        <v>8</v>
      </c>
      <c r="EC652" s="27" t="s">
        <v>8</v>
      </c>
      <c r="ED652" s="27" t="s">
        <v>7</v>
      </c>
      <c r="EE652" s="27" t="s">
        <v>8</v>
      </c>
      <c r="EF652" s="27" t="s">
        <v>7</v>
      </c>
      <c r="EG652" s="27" t="s">
        <v>8</v>
      </c>
      <c r="EH652" s="27" t="s">
        <v>7</v>
      </c>
      <c r="EI652" s="27" t="s">
        <v>8</v>
      </c>
      <c r="EJ652" s="27" t="s">
        <v>7</v>
      </c>
      <c r="EO652" s="27" t="s">
        <v>8</v>
      </c>
      <c r="EP652" s="27" t="s">
        <v>7</v>
      </c>
      <c r="FO652" s="27" t="s">
        <v>8</v>
      </c>
    </row>
    <row r="653" spans="1:263" x14ac:dyDescent="0.25">
      <c r="A653" s="7">
        <v>0.27063793041350104</v>
      </c>
      <c r="B653"/>
      <c r="C653"/>
      <c r="D653"/>
      <c r="E653"/>
      <c r="F653" s="27" t="s">
        <v>7</v>
      </c>
      <c r="G653" s="27" t="s">
        <v>8</v>
      </c>
      <c r="H653" s="27" t="s">
        <v>7</v>
      </c>
      <c r="I653" s="27" t="s">
        <v>8</v>
      </c>
      <c r="J653" s="27" t="s">
        <v>7</v>
      </c>
      <c r="K653" s="27" t="s">
        <v>8</v>
      </c>
      <c r="L653" s="27" t="s">
        <v>7</v>
      </c>
      <c r="M653" s="27" t="s">
        <v>8</v>
      </c>
      <c r="X653" s="27" t="s">
        <v>7</v>
      </c>
      <c r="Y653" s="27" t="s">
        <v>8</v>
      </c>
      <c r="Z653" s="27" t="s">
        <v>7</v>
      </c>
      <c r="AA653" s="27" t="s">
        <v>8</v>
      </c>
      <c r="AB653" s="27" t="s">
        <v>7</v>
      </c>
      <c r="AC653" s="27" t="s">
        <v>8</v>
      </c>
      <c r="AD653" s="27" t="s">
        <v>7</v>
      </c>
      <c r="AE653" s="27" t="s">
        <v>8</v>
      </c>
      <c r="AF653" s="27" t="s">
        <v>7</v>
      </c>
      <c r="AG653" s="27" t="s">
        <v>8</v>
      </c>
      <c r="BF653" s="27" t="s">
        <v>7</v>
      </c>
      <c r="BG653" s="27" t="s">
        <v>8</v>
      </c>
      <c r="BI653" s="27" t="s">
        <v>8</v>
      </c>
      <c r="BJ653" s="27" t="s">
        <v>7</v>
      </c>
      <c r="CI653" s="27" t="s">
        <v>8</v>
      </c>
      <c r="CJ653" s="27" t="s">
        <v>7</v>
      </c>
      <c r="CK653" s="27" t="s">
        <v>8</v>
      </c>
      <c r="CL653" s="27" t="s">
        <v>7</v>
      </c>
      <c r="CM653" s="27" t="s">
        <v>8</v>
      </c>
      <c r="CV653" s="27" t="s">
        <v>7</v>
      </c>
      <c r="CW653" s="27" t="s">
        <v>8</v>
      </c>
      <c r="DB653" s="27" t="s">
        <v>7</v>
      </c>
      <c r="DC653" s="27" t="s">
        <v>8</v>
      </c>
      <c r="DG653" s="27" t="s">
        <v>8</v>
      </c>
      <c r="DH653" s="27" t="s">
        <v>7</v>
      </c>
      <c r="EC653" s="27" t="s">
        <v>8</v>
      </c>
      <c r="ED653" s="27" t="s">
        <v>7</v>
      </c>
      <c r="EE653" s="27" t="s">
        <v>8</v>
      </c>
      <c r="EF653" s="27" t="s">
        <v>7</v>
      </c>
      <c r="EG653" s="27" t="s">
        <v>8</v>
      </c>
      <c r="EH653" s="27" t="s">
        <v>7</v>
      </c>
      <c r="EI653" s="27" t="s">
        <v>8</v>
      </c>
      <c r="EJ653" s="27" t="s">
        <v>7</v>
      </c>
      <c r="EO653" s="27" t="s">
        <v>8</v>
      </c>
      <c r="EP653" s="27" t="s">
        <v>7</v>
      </c>
      <c r="FO653" s="27" t="s">
        <v>8</v>
      </c>
    </row>
    <row r="654" spans="1:263" x14ac:dyDescent="0.25">
      <c r="A654" s="7">
        <v>0.26533130432696184</v>
      </c>
      <c r="B654"/>
      <c r="C654"/>
      <c r="D654"/>
      <c r="E654"/>
      <c r="F654" s="27" t="s">
        <v>7</v>
      </c>
      <c r="G654" s="27" t="s">
        <v>8</v>
      </c>
      <c r="H654" s="27" t="s">
        <v>7</v>
      </c>
      <c r="I654" s="27" t="s">
        <v>8</v>
      </c>
      <c r="J654" s="27" t="s">
        <v>7</v>
      </c>
      <c r="K654" s="27" t="s">
        <v>8</v>
      </c>
      <c r="L654" s="27" t="s">
        <v>7</v>
      </c>
      <c r="M654" s="27" t="s">
        <v>8</v>
      </c>
      <c r="X654" s="27" t="s">
        <v>7</v>
      </c>
      <c r="Y654" s="27" t="s">
        <v>8</v>
      </c>
      <c r="Z654" s="27" t="s">
        <v>7</v>
      </c>
      <c r="AB654" s="27" t="s">
        <v>7</v>
      </c>
      <c r="AD654" s="27" t="s">
        <v>7</v>
      </c>
      <c r="AE654" s="27" t="s">
        <v>8</v>
      </c>
      <c r="AF654" s="27" t="s">
        <v>7</v>
      </c>
      <c r="BF654" s="27" t="s">
        <v>7</v>
      </c>
      <c r="BG654" s="27" t="s">
        <v>8</v>
      </c>
      <c r="BH654" s="27" t="s">
        <v>7</v>
      </c>
      <c r="BI654" s="27" t="s">
        <v>8</v>
      </c>
      <c r="BJ654" s="27" t="s">
        <v>7</v>
      </c>
      <c r="BY654" s="27" t="s">
        <v>8</v>
      </c>
      <c r="CI654" s="27" t="s">
        <v>8</v>
      </c>
      <c r="CJ654" s="27" t="s">
        <v>7</v>
      </c>
      <c r="CK654" s="27" t="s">
        <v>8</v>
      </c>
      <c r="CL654" s="27" t="s">
        <v>7</v>
      </c>
      <c r="CM654" s="27" t="s">
        <v>8</v>
      </c>
      <c r="CV654" s="27" t="s">
        <v>7</v>
      </c>
      <c r="DB654" s="27" t="s">
        <v>7</v>
      </c>
      <c r="DC654" s="27" t="s">
        <v>8</v>
      </c>
      <c r="DD654" s="27" t="s">
        <v>7</v>
      </c>
      <c r="DG654" s="27" t="s">
        <v>8</v>
      </c>
      <c r="DH654" s="27" t="s">
        <v>7</v>
      </c>
      <c r="EC654" s="27" t="s">
        <v>8</v>
      </c>
      <c r="ED654" s="27" t="s">
        <v>7</v>
      </c>
      <c r="EF654" s="27" t="s">
        <v>7</v>
      </c>
      <c r="EG654" s="27" t="s">
        <v>8</v>
      </c>
      <c r="EH654" s="27" t="s">
        <v>7</v>
      </c>
      <c r="EJ654" s="27" t="s">
        <v>7</v>
      </c>
      <c r="EO654" s="27" t="s">
        <v>8</v>
      </c>
      <c r="EP654" s="27" t="s">
        <v>7</v>
      </c>
      <c r="FO654" s="27" t="s">
        <v>8</v>
      </c>
    </row>
    <row r="655" spans="1:263" x14ac:dyDescent="0.25">
      <c r="A655" s="7">
        <v>0.26012872973231554</v>
      </c>
      <c r="B655"/>
      <c r="C655"/>
      <c r="D655"/>
      <c r="E655"/>
      <c r="F655" s="27" t="s">
        <v>7</v>
      </c>
      <c r="G655" s="27" t="s">
        <v>8</v>
      </c>
      <c r="H655" s="27" t="s">
        <v>7</v>
      </c>
      <c r="I655" s="27" t="s">
        <v>8</v>
      </c>
      <c r="J655" s="27" t="s">
        <v>7</v>
      </c>
      <c r="K655" s="27" t="s">
        <v>8</v>
      </c>
      <c r="L655" s="27" t="s">
        <v>7</v>
      </c>
      <c r="M655" s="27" t="s">
        <v>8</v>
      </c>
      <c r="X655" s="27" t="s">
        <v>7</v>
      </c>
      <c r="AD655" s="27" t="s">
        <v>7</v>
      </c>
      <c r="AE655" s="27" t="s">
        <v>8</v>
      </c>
      <c r="BF655" s="27" t="s">
        <v>7</v>
      </c>
      <c r="BG655" s="27" t="s">
        <v>8</v>
      </c>
      <c r="BH655" s="27" t="s">
        <v>7</v>
      </c>
      <c r="BI655" s="27" t="s">
        <v>8</v>
      </c>
      <c r="BJ655" s="27" t="s">
        <v>7</v>
      </c>
      <c r="BM655" s="27" t="s">
        <v>8</v>
      </c>
      <c r="BY655" s="27" t="s">
        <v>8</v>
      </c>
      <c r="BZ655" s="27" t="s">
        <v>7</v>
      </c>
      <c r="CI655" s="27" t="s">
        <v>8</v>
      </c>
      <c r="CJ655" s="27" t="s">
        <v>7</v>
      </c>
      <c r="CK655" s="27" t="s">
        <v>8</v>
      </c>
      <c r="CL655" s="27" t="s">
        <v>7</v>
      </c>
      <c r="CM655" s="27" t="s">
        <v>8</v>
      </c>
      <c r="DB655" s="27" t="s">
        <v>7</v>
      </c>
      <c r="DC655" s="27" t="s">
        <v>8</v>
      </c>
      <c r="DD655" s="27" t="s">
        <v>7</v>
      </c>
      <c r="DE655" s="27" t="s">
        <v>8</v>
      </c>
      <c r="DG655" s="27" t="s">
        <v>8</v>
      </c>
      <c r="DH655" s="27" t="s">
        <v>7</v>
      </c>
      <c r="DI655" s="27" t="s">
        <v>8</v>
      </c>
      <c r="DY655" s="27" t="s">
        <v>8</v>
      </c>
      <c r="EC655" s="27" t="s">
        <v>8</v>
      </c>
      <c r="EF655" s="27" t="s">
        <v>7</v>
      </c>
      <c r="EJ655" s="27" t="s">
        <v>7</v>
      </c>
      <c r="EO655" s="27" t="s">
        <v>8</v>
      </c>
      <c r="EP655" s="27" t="s">
        <v>7</v>
      </c>
      <c r="FO655" s="27" t="s">
        <v>8</v>
      </c>
    </row>
    <row r="656" spans="1:263" x14ac:dyDescent="0.25">
      <c r="A656" s="7">
        <v>0.25502816640423093</v>
      </c>
      <c r="B656"/>
      <c r="C656"/>
      <c r="D656"/>
      <c r="E656"/>
      <c r="F656" s="27" t="s">
        <v>7</v>
      </c>
      <c r="G656" s="27" t="s">
        <v>8</v>
      </c>
      <c r="H656" s="27" t="s">
        <v>7</v>
      </c>
      <c r="I656" s="27" t="s">
        <v>8</v>
      </c>
      <c r="J656" s="27" t="s">
        <v>7</v>
      </c>
      <c r="K656" s="27" t="s">
        <v>8</v>
      </c>
      <c r="L656" s="27" t="s">
        <v>7</v>
      </c>
      <c r="AD656" s="27" t="s">
        <v>7</v>
      </c>
      <c r="BF656" s="27" t="s">
        <v>7</v>
      </c>
      <c r="BG656" s="27" t="s">
        <v>8</v>
      </c>
      <c r="BH656" s="27" t="s">
        <v>7</v>
      </c>
      <c r="BI656" s="27" t="s">
        <v>8</v>
      </c>
      <c r="BJ656" s="27" t="s">
        <v>7</v>
      </c>
      <c r="BK656" s="27" t="s">
        <v>8</v>
      </c>
      <c r="BM656" s="27" t="s">
        <v>8</v>
      </c>
      <c r="BN656" s="27" t="s">
        <v>7</v>
      </c>
      <c r="BY656" s="27" t="s">
        <v>8</v>
      </c>
      <c r="BZ656" s="27" t="s">
        <v>7</v>
      </c>
      <c r="CA656" s="27" t="s">
        <v>8</v>
      </c>
      <c r="CI656" s="27" t="s">
        <v>8</v>
      </c>
      <c r="CJ656" s="27" t="s">
        <v>7</v>
      </c>
      <c r="CK656" s="27" t="s">
        <v>8</v>
      </c>
      <c r="CL656" s="27" t="s">
        <v>7</v>
      </c>
      <c r="DB656" s="27" t="s">
        <v>7</v>
      </c>
      <c r="DC656" s="27" t="s">
        <v>8</v>
      </c>
      <c r="DD656" s="27" t="s">
        <v>7</v>
      </c>
      <c r="DE656" s="27" t="s">
        <v>8</v>
      </c>
      <c r="DF656" s="27" t="s">
        <v>7</v>
      </c>
      <c r="DG656" s="27" t="s">
        <v>8</v>
      </c>
      <c r="DH656" s="27" t="s">
        <v>7</v>
      </c>
      <c r="DI656" s="27" t="s">
        <v>8</v>
      </c>
      <c r="DJ656" s="27" t="s">
        <v>7</v>
      </c>
      <c r="DY656" s="27" t="s">
        <v>8</v>
      </c>
      <c r="DZ656" s="27" t="s">
        <v>7</v>
      </c>
      <c r="EC656" s="27" t="s">
        <v>8</v>
      </c>
      <c r="EJ656" s="27" t="s">
        <v>7</v>
      </c>
      <c r="EK656" s="27" t="s">
        <v>8</v>
      </c>
      <c r="EO656" s="27" t="s">
        <v>8</v>
      </c>
      <c r="EP656" s="27" t="s">
        <v>7</v>
      </c>
      <c r="FO656" s="27" t="s">
        <v>8</v>
      </c>
    </row>
    <row r="657" spans="1:171" x14ac:dyDescent="0.25">
      <c r="A657" s="7">
        <v>0.25002761412179503</v>
      </c>
      <c r="B657"/>
      <c r="C657"/>
      <c r="D657"/>
      <c r="E657"/>
      <c r="F657" s="27" t="s">
        <v>7</v>
      </c>
      <c r="G657" s="27" t="s">
        <v>8</v>
      </c>
      <c r="H657" s="27" t="s">
        <v>7</v>
      </c>
      <c r="J657" s="27" t="s">
        <v>7</v>
      </c>
      <c r="BF657" s="27" t="s">
        <v>7</v>
      </c>
      <c r="BH657" s="27" t="s">
        <v>7</v>
      </c>
      <c r="BI657" s="27" t="s">
        <v>8</v>
      </c>
      <c r="BJ657" s="27" t="s">
        <v>7</v>
      </c>
      <c r="BK657" s="27" t="s">
        <v>8</v>
      </c>
      <c r="BL657" s="27" t="s">
        <v>7</v>
      </c>
      <c r="BM657" s="27" t="s">
        <v>8</v>
      </c>
      <c r="BN657" s="27" t="s">
        <v>7</v>
      </c>
      <c r="BY657" s="27" t="s">
        <v>8</v>
      </c>
      <c r="BZ657" s="27" t="s">
        <v>7</v>
      </c>
      <c r="CA657" s="27" t="s">
        <v>8</v>
      </c>
      <c r="CB657" s="27" t="s">
        <v>7</v>
      </c>
      <c r="CI657" s="27" t="s">
        <v>8</v>
      </c>
      <c r="CJ657" s="27" t="s">
        <v>7</v>
      </c>
      <c r="DB657" s="27" t="s">
        <v>7</v>
      </c>
      <c r="DC657" s="27" t="s">
        <v>8</v>
      </c>
      <c r="DD657" s="27" t="s">
        <v>7</v>
      </c>
      <c r="DE657" s="27" t="s">
        <v>8</v>
      </c>
      <c r="DF657" s="27" t="s">
        <v>7</v>
      </c>
      <c r="DG657" s="27" t="s">
        <v>8</v>
      </c>
      <c r="DH657" s="27" t="s">
        <v>7</v>
      </c>
      <c r="DI657" s="27" t="s">
        <v>8</v>
      </c>
      <c r="DJ657" s="27" t="s">
        <v>7</v>
      </c>
      <c r="DY657" s="27" t="s">
        <v>8</v>
      </c>
      <c r="DZ657" s="27" t="s">
        <v>7</v>
      </c>
      <c r="EC657" s="27" t="s">
        <v>8</v>
      </c>
      <c r="EJ657" s="27" t="s">
        <v>7</v>
      </c>
      <c r="EK657" s="27" t="s">
        <v>8</v>
      </c>
      <c r="EL657" s="27" t="s">
        <v>7</v>
      </c>
      <c r="EO657" s="27" t="s">
        <v>8</v>
      </c>
      <c r="EP657" s="27" t="s">
        <v>7</v>
      </c>
      <c r="FO657" s="27" t="s">
        <v>8</v>
      </c>
    </row>
    <row r="658" spans="1:171" x14ac:dyDescent="0.25">
      <c r="A658" s="7">
        <v>0.24512511188411276</v>
      </c>
      <c r="B658"/>
      <c r="C658"/>
      <c r="D658"/>
      <c r="E658"/>
      <c r="F658" s="27" t="s">
        <v>7</v>
      </c>
      <c r="G658" s="27" t="s">
        <v>8</v>
      </c>
      <c r="BH658" s="27" t="s">
        <v>7</v>
      </c>
      <c r="BI658" s="27" t="s">
        <v>8</v>
      </c>
      <c r="BJ658" s="27" t="s">
        <v>7</v>
      </c>
      <c r="BK658" s="27" t="s">
        <v>8</v>
      </c>
      <c r="BL658" s="27" t="s">
        <v>7</v>
      </c>
      <c r="BM658" s="27" t="s">
        <v>8</v>
      </c>
      <c r="BN658" s="27" t="s">
        <v>7</v>
      </c>
      <c r="BY658" s="27" t="s">
        <v>8</v>
      </c>
      <c r="BZ658" s="27" t="s">
        <v>7</v>
      </c>
      <c r="CA658" s="27" t="s">
        <v>8</v>
      </c>
      <c r="CB658" s="27" t="s">
        <v>7</v>
      </c>
      <c r="CI658" s="27" t="s">
        <v>8</v>
      </c>
      <c r="DB658" s="27" t="s">
        <v>7</v>
      </c>
      <c r="DC658" s="27" t="s">
        <v>8</v>
      </c>
      <c r="DD658" s="27" t="s">
        <v>7</v>
      </c>
      <c r="DE658" s="27" t="s">
        <v>8</v>
      </c>
      <c r="DF658" s="27" t="s">
        <v>7</v>
      </c>
      <c r="DG658" s="27" t="s">
        <v>8</v>
      </c>
      <c r="DH658" s="27" t="s">
        <v>7</v>
      </c>
      <c r="DJ658" s="27" t="s">
        <v>7</v>
      </c>
      <c r="DK658" s="27" t="s">
        <v>8</v>
      </c>
      <c r="DY658" s="27" t="s">
        <v>8</v>
      </c>
      <c r="DZ658" s="27" t="s">
        <v>7</v>
      </c>
      <c r="EC658" s="27" t="s">
        <v>8</v>
      </c>
      <c r="EJ658" s="27" t="s">
        <v>7</v>
      </c>
      <c r="EK658" s="27" t="s">
        <v>8</v>
      </c>
      <c r="EL658" s="27" t="s">
        <v>7</v>
      </c>
      <c r="EO658" s="27" t="s">
        <v>8</v>
      </c>
      <c r="EP658" s="27" t="s">
        <v>7</v>
      </c>
      <c r="EQ658" s="27" t="s">
        <v>8</v>
      </c>
      <c r="FO658" s="27" t="s">
        <v>8</v>
      </c>
    </row>
    <row r="659" spans="1:171" x14ac:dyDescent="0.25">
      <c r="A659" s="7">
        <v>0.24031873714128701</v>
      </c>
      <c r="B659"/>
      <c r="C659"/>
      <c r="D659"/>
      <c r="E659"/>
      <c r="F659" s="27" t="s">
        <v>7</v>
      </c>
      <c r="G659" s="27" t="s">
        <v>8</v>
      </c>
      <c r="BH659" s="27" t="s">
        <v>7</v>
      </c>
      <c r="BI659" s="27" t="s">
        <v>8</v>
      </c>
      <c r="BJ659" s="27" t="s">
        <v>7</v>
      </c>
      <c r="BK659" s="27" t="s">
        <v>8</v>
      </c>
      <c r="BL659" s="27" t="s">
        <v>7</v>
      </c>
      <c r="BM659" s="27" t="s">
        <v>8</v>
      </c>
      <c r="BN659" s="27" t="s">
        <v>7</v>
      </c>
      <c r="BY659" s="27" t="s">
        <v>8</v>
      </c>
      <c r="BZ659" s="27" t="s">
        <v>7</v>
      </c>
      <c r="CA659" s="27" t="s">
        <v>8</v>
      </c>
      <c r="CB659" s="27" t="s">
        <v>7</v>
      </c>
      <c r="CI659" s="27" t="s">
        <v>8</v>
      </c>
      <c r="DB659" s="27" t="s">
        <v>7</v>
      </c>
      <c r="DD659" s="27" t="s">
        <v>7</v>
      </c>
      <c r="DE659" s="27" t="s">
        <v>8</v>
      </c>
      <c r="DF659" s="27" t="s">
        <v>7</v>
      </c>
      <c r="DG659" s="27" t="s">
        <v>8</v>
      </c>
      <c r="DJ659" s="27" t="s">
        <v>7</v>
      </c>
      <c r="DK659" s="27" t="s">
        <v>8</v>
      </c>
      <c r="DL659" s="27" t="s">
        <v>7</v>
      </c>
      <c r="DY659" s="27" t="s">
        <v>8</v>
      </c>
      <c r="DZ659" s="27" t="s">
        <v>7</v>
      </c>
      <c r="EA659" s="27" t="s">
        <v>8</v>
      </c>
      <c r="EC659" s="27" t="s">
        <v>8</v>
      </c>
      <c r="EJ659" s="27" t="s">
        <v>7</v>
      </c>
      <c r="EK659" s="27" t="s">
        <v>8</v>
      </c>
      <c r="EL659" s="27" t="s">
        <v>7</v>
      </c>
      <c r="EM659" s="27" t="s">
        <v>8</v>
      </c>
      <c r="EO659" s="27" t="s">
        <v>8</v>
      </c>
      <c r="EP659" s="27" t="s">
        <v>7</v>
      </c>
      <c r="EQ659" s="27" t="s">
        <v>8</v>
      </c>
      <c r="ER659" s="27" t="s">
        <v>7</v>
      </c>
      <c r="FO659" s="27" t="s">
        <v>8</v>
      </c>
    </row>
    <row r="660" spans="1:171" x14ac:dyDescent="0.25">
      <c r="A660" s="7">
        <v>0.23560660504047748</v>
      </c>
      <c r="B660"/>
      <c r="C660"/>
      <c r="D660"/>
      <c r="E660"/>
      <c r="F660" s="27" t="s">
        <v>7</v>
      </c>
      <c r="G660" s="27" t="s">
        <v>8</v>
      </c>
      <c r="BH660" s="27" t="s">
        <v>7</v>
      </c>
      <c r="BI660" s="27" t="s">
        <v>8</v>
      </c>
      <c r="BJ660" s="27" t="s">
        <v>7</v>
      </c>
      <c r="BK660" s="27" t="s">
        <v>8</v>
      </c>
      <c r="BL660" s="27" t="s">
        <v>7</v>
      </c>
      <c r="BM660" s="27" t="s">
        <v>8</v>
      </c>
      <c r="BN660" s="27" t="s">
        <v>7</v>
      </c>
      <c r="BY660" s="27" t="s">
        <v>8</v>
      </c>
      <c r="BZ660" s="27" t="s">
        <v>7</v>
      </c>
      <c r="CA660" s="27" t="s">
        <v>8</v>
      </c>
      <c r="CB660" s="27" t="s">
        <v>7</v>
      </c>
      <c r="CI660" s="27" t="s">
        <v>8</v>
      </c>
      <c r="DD660" s="27" t="s">
        <v>7</v>
      </c>
      <c r="DE660" s="27" t="s">
        <v>8</v>
      </c>
      <c r="DF660" s="27" t="s">
        <v>7</v>
      </c>
      <c r="DG660" s="27" t="s">
        <v>8</v>
      </c>
      <c r="DJ660" s="27" t="s">
        <v>7</v>
      </c>
      <c r="DK660" s="27" t="s">
        <v>8</v>
      </c>
      <c r="DL660" s="27" t="s">
        <v>7</v>
      </c>
      <c r="DY660" s="27" t="s">
        <v>8</v>
      </c>
      <c r="DZ660" s="27" t="s">
        <v>7</v>
      </c>
      <c r="EA660" s="27" t="s">
        <v>8</v>
      </c>
      <c r="EB660" s="27" t="s">
        <v>7</v>
      </c>
      <c r="EC660" s="27" t="s">
        <v>8</v>
      </c>
      <c r="EJ660" s="27" t="s">
        <v>7</v>
      </c>
      <c r="EK660" s="27" t="s">
        <v>8</v>
      </c>
      <c r="EL660" s="27" t="s">
        <v>7</v>
      </c>
      <c r="EM660" s="27" t="s">
        <v>8</v>
      </c>
      <c r="EN660" s="27" t="s">
        <v>7</v>
      </c>
      <c r="EO660" s="27" t="s">
        <v>8</v>
      </c>
      <c r="EP660" s="27" t="s">
        <v>7</v>
      </c>
      <c r="EQ660" s="27" t="s">
        <v>8</v>
      </c>
      <c r="ER660" s="27" t="s">
        <v>7</v>
      </c>
      <c r="FO660" s="27" t="s">
        <v>8</v>
      </c>
    </row>
    <row r="661" spans="1:171" x14ac:dyDescent="0.25">
      <c r="A661" s="7">
        <v>0.23098686768674265</v>
      </c>
      <c r="B661"/>
      <c r="C661"/>
      <c r="D661"/>
      <c r="E661"/>
      <c r="F661" s="27" t="s">
        <v>7</v>
      </c>
      <c r="G661" s="27" t="s">
        <v>8</v>
      </c>
      <c r="BH661" s="27" t="s">
        <v>7</v>
      </c>
      <c r="BI661" s="27" t="s">
        <v>8</v>
      </c>
      <c r="BJ661" s="27" t="s">
        <v>7</v>
      </c>
      <c r="BK661" s="27" t="s">
        <v>8</v>
      </c>
      <c r="BL661" s="27" t="s">
        <v>7</v>
      </c>
      <c r="BM661" s="27" t="s">
        <v>8</v>
      </c>
      <c r="BN661" s="27" t="s">
        <v>7</v>
      </c>
      <c r="BY661" s="27" t="s">
        <v>8</v>
      </c>
      <c r="BZ661" s="27" t="s">
        <v>7</v>
      </c>
      <c r="CA661" s="27" t="s">
        <v>8</v>
      </c>
      <c r="CB661" s="27" t="s">
        <v>7</v>
      </c>
      <c r="CC661" s="27" t="s">
        <v>8</v>
      </c>
      <c r="CI661" s="27" t="s">
        <v>8</v>
      </c>
      <c r="DD661" s="27" t="s">
        <v>7</v>
      </c>
      <c r="DE661" s="27" t="s">
        <v>8</v>
      </c>
      <c r="DF661" s="27" t="s">
        <v>7</v>
      </c>
      <c r="DG661" s="27" t="s">
        <v>8</v>
      </c>
      <c r="DJ661" s="27" t="s">
        <v>7</v>
      </c>
      <c r="DK661" s="27" t="s">
        <v>8</v>
      </c>
      <c r="DL661" s="27" t="s">
        <v>7</v>
      </c>
      <c r="DY661" s="27" t="s">
        <v>8</v>
      </c>
      <c r="DZ661" s="27" t="s">
        <v>7</v>
      </c>
      <c r="EA661" s="27" t="s">
        <v>8</v>
      </c>
      <c r="EB661" s="27" t="s">
        <v>7</v>
      </c>
      <c r="EC661" s="27" t="s">
        <v>8</v>
      </c>
      <c r="EJ661" s="27" t="s">
        <v>7</v>
      </c>
      <c r="EK661" s="27" t="s">
        <v>8</v>
      </c>
      <c r="EL661" s="27" t="s">
        <v>7</v>
      </c>
      <c r="EM661" s="27" t="s">
        <v>8</v>
      </c>
      <c r="EN661" s="27" t="s">
        <v>7</v>
      </c>
      <c r="EO661" s="27" t="s">
        <v>8</v>
      </c>
      <c r="EP661" s="27" t="s">
        <v>7</v>
      </c>
      <c r="EQ661" s="27" t="s">
        <v>8</v>
      </c>
      <c r="ER661" s="27" t="s">
        <v>7</v>
      </c>
      <c r="FO661" s="27" t="s">
        <v>8</v>
      </c>
    </row>
    <row r="662" spans="1:171" x14ac:dyDescent="0.25">
      <c r="A662" s="7">
        <v>0.22645771341837515</v>
      </c>
      <c r="B662"/>
      <c r="C662"/>
      <c r="D662"/>
      <c r="E662"/>
      <c r="F662" s="27" t="s">
        <v>7</v>
      </c>
      <c r="G662" s="27" t="s">
        <v>8</v>
      </c>
      <c r="BH662" s="27" t="s">
        <v>7</v>
      </c>
      <c r="BI662" s="27" t="s">
        <v>8</v>
      </c>
      <c r="BJ662" s="27" t="s">
        <v>7</v>
      </c>
      <c r="BK662" s="27" t="s">
        <v>8</v>
      </c>
      <c r="BL662" s="27" t="s">
        <v>7</v>
      </c>
      <c r="BM662" s="27" t="s">
        <v>8</v>
      </c>
      <c r="BN662" s="27" t="s">
        <v>7</v>
      </c>
      <c r="BY662" s="27" t="s">
        <v>8</v>
      </c>
      <c r="BZ662" s="27" t="s">
        <v>7</v>
      </c>
      <c r="CB662" s="27" t="s">
        <v>7</v>
      </c>
      <c r="CC662" s="27" t="s">
        <v>8</v>
      </c>
      <c r="CD662" s="27" t="s">
        <v>7</v>
      </c>
      <c r="CG662" s="27" t="s">
        <v>8</v>
      </c>
      <c r="CI662" s="27" t="s">
        <v>8</v>
      </c>
      <c r="DD662" s="27" t="s">
        <v>7</v>
      </c>
      <c r="DE662" s="27" t="s">
        <v>8</v>
      </c>
      <c r="DF662" s="27" t="s">
        <v>7</v>
      </c>
      <c r="DG662" s="27" t="s">
        <v>8</v>
      </c>
      <c r="DJ662" s="27" t="s">
        <v>7</v>
      </c>
      <c r="DL662" s="27" t="s">
        <v>7</v>
      </c>
      <c r="DW662" s="27" t="s">
        <v>8</v>
      </c>
      <c r="DY662" s="27" t="s">
        <v>8</v>
      </c>
      <c r="DZ662" s="27" t="s">
        <v>7</v>
      </c>
      <c r="EA662" s="27" t="s">
        <v>8</v>
      </c>
      <c r="EB662" s="27" t="s">
        <v>7</v>
      </c>
      <c r="EC662" s="27" t="s">
        <v>8</v>
      </c>
      <c r="EJ662" s="27" t="s">
        <v>7</v>
      </c>
      <c r="EK662" s="27" t="s">
        <v>8</v>
      </c>
      <c r="EL662" s="27" t="s">
        <v>7</v>
      </c>
      <c r="EN662" s="27" t="s">
        <v>7</v>
      </c>
      <c r="EP662" s="27" t="s">
        <v>7</v>
      </c>
      <c r="EQ662" s="27" t="s">
        <v>8</v>
      </c>
      <c r="ER662" s="27" t="s">
        <v>7</v>
      </c>
      <c r="FO662" s="27" t="s">
        <v>8</v>
      </c>
    </row>
    <row r="663" spans="1:171" x14ac:dyDescent="0.25">
      <c r="A663" s="7">
        <v>0.22201736609644623</v>
      </c>
      <c r="B663"/>
      <c r="C663"/>
      <c r="D663"/>
      <c r="E663"/>
      <c r="F663" s="27" t="s">
        <v>7</v>
      </c>
      <c r="G663" s="27" t="s">
        <v>8</v>
      </c>
      <c r="BH663" s="27" t="s">
        <v>7</v>
      </c>
      <c r="BI663" s="27" t="s">
        <v>8</v>
      </c>
      <c r="BJ663" s="27" t="s">
        <v>7</v>
      </c>
      <c r="BK663" s="27" t="s">
        <v>8</v>
      </c>
      <c r="BL663" s="27" t="s">
        <v>7</v>
      </c>
      <c r="BM663" s="27" t="s">
        <v>8</v>
      </c>
      <c r="BN663" s="27" t="s">
        <v>7</v>
      </c>
      <c r="BY663" s="27" t="s">
        <v>8</v>
      </c>
      <c r="CB663" s="27" t="s">
        <v>7</v>
      </c>
      <c r="CC663" s="27" t="s">
        <v>8</v>
      </c>
      <c r="CD663" s="27" t="s">
        <v>7</v>
      </c>
      <c r="CE663" s="27" t="s">
        <v>8</v>
      </c>
      <c r="CG663" s="27" t="s">
        <v>8</v>
      </c>
      <c r="CH663" s="27" t="s">
        <v>7</v>
      </c>
      <c r="CI663" s="27" t="s">
        <v>8</v>
      </c>
      <c r="DD663" s="27" t="s">
        <v>7</v>
      </c>
      <c r="DF663" s="27" t="s">
        <v>7</v>
      </c>
      <c r="DG663" s="27" t="s">
        <v>8</v>
      </c>
      <c r="DL663" s="27" t="s">
        <v>7</v>
      </c>
      <c r="DS663" s="27" t="s">
        <v>8</v>
      </c>
      <c r="DW663" s="27" t="s">
        <v>8</v>
      </c>
      <c r="DX663" s="27" t="s">
        <v>7</v>
      </c>
      <c r="DY663" s="27" t="s">
        <v>8</v>
      </c>
      <c r="DZ663" s="27" t="s">
        <v>7</v>
      </c>
      <c r="EB663" s="27" t="s">
        <v>7</v>
      </c>
      <c r="EJ663" s="27" t="s">
        <v>7</v>
      </c>
      <c r="EK663" s="27" t="s">
        <v>8</v>
      </c>
      <c r="EP663" s="27" t="s">
        <v>7</v>
      </c>
      <c r="EQ663" s="27" t="s">
        <v>8</v>
      </c>
      <c r="ER663" s="27" t="s">
        <v>7</v>
      </c>
      <c r="FO663" s="27" t="s">
        <v>8</v>
      </c>
    </row>
    <row r="664" spans="1:171" x14ac:dyDescent="0.25">
      <c r="A664" s="7">
        <v>0.21766408440828061</v>
      </c>
      <c r="B664"/>
      <c r="C664"/>
      <c r="D664"/>
      <c r="E664"/>
      <c r="F664" s="27" t="s">
        <v>7</v>
      </c>
      <c r="BH664" s="27" t="s">
        <v>7</v>
      </c>
      <c r="BI664" s="27" t="s">
        <v>8</v>
      </c>
      <c r="BJ664" s="27" t="s">
        <v>7</v>
      </c>
      <c r="BK664" s="27" t="s">
        <v>8</v>
      </c>
      <c r="BL664" s="27" t="s">
        <v>7</v>
      </c>
      <c r="BN664" s="27" t="s">
        <v>7</v>
      </c>
      <c r="BY664" s="27" t="s">
        <v>8</v>
      </c>
      <c r="CB664" s="27" t="s">
        <v>7</v>
      </c>
      <c r="CC664" s="27" t="s">
        <v>8</v>
      </c>
      <c r="CD664" s="27" t="s">
        <v>7</v>
      </c>
      <c r="CE664" s="27" t="s">
        <v>8</v>
      </c>
      <c r="CF664" s="27" t="s">
        <v>7</v>
      </c>
      <c r="CG664" s="27" t="s">
        <v>8</v>
      </c>
      <c r="CH664" s="27" t="s">
        <v>7</v>
      </c>
      <c r="CI664" s="27" t="s">
        <v>8</v>
      </c>
      <c r="DF664" s="27" t="s">
        <v>7</v>
      </c>
      <c r="DL664" s="27" t="s">
        <v>7</v>
      </c>
      <c r="DS664" s="27" t="s">
        <v>8</v>
      </c>
      <c r="DT664" s="27" t="s">
        <v>7</v>
      </c>
      <c r="DU664" s="27" t="s">
        <v>8</v>
      </c>
      <c r="DW664" s="27" t="s">
        <v>8</v>
      </c>
      <c r="DX664" s="27" t="s">
        <v>7</v>
      </c>
      <c r="DY664" s="27" t="s">
        <v>8</v>
      </c>
      <c r="EJ664" s="27" t="s">
        <v>7</v>
      </c>
      <c r="EP664" s="27" t="s">
        <v>7</v>
      </c>
      <c r="EQ664" s="27" t="s">
        <v>8</v>
      </c>
      <c r="ER664" s="27" t="s">
        <v>7</v>
      </c>
      <c r="FK664" s="27" t="s">
        <v>8</v>
      </c>
      <c r="FM664" s="27" t="s">
        <v>8</v>
      </c>
      <c r="FO664" s="27" t="s">
        <v>8</v>
      </c>
    </row>
    <row r="665" spans="1:171" x14ac:dyDescent="0.25">
      <c r="A665" s="7">
        <v>0.21339616118458882</v>
      </c>
      <c r="B665"/>
      <c r="C665"/>
      <c r="D665"/>
      <c r="E665"/>
      <c r="BH665" s="27" t="s">
        <v>7</v>
      </c>
      <c r="BI665" s="27" t="s">
        <v>8</v>
      </c>
      <c r="BJ665" s="27" t="s">
        <v>7</v>
      </c>
      <c r="BK665" s="27" t="s">
        <v>8</v>
      </c>
      <c r="BN665" s="27" t="s">
        <v>7</v>
      </c>
      <c r="BY665" s="27" t="s">
        <v>8</v>
      </c>
      <c r="CB665" s="27" t="s">
        <v>7</v>
      </c>
      <c r="CC665" s="27" t="s">
        <v>8</v>
      </c>
      <c r="CD665" s="27" t="s">
        <v>7</v>
      </c>
      <c r="CE665" s="27" t="s">
        <v>8</v>
      </c>
      <c r="CF665" s="27" t="s">
        <v>7</v>
      </c>
      <c r="CG665" s="27" t="s">
        <v>8</v>
      </c>
      <c r="CH665" s="27" t="s">
        <v>7</v>
      </c>
      <c r="CI665" s="27" t="s">
        <v>8</v>
      </c>
      <c r="DL665" s="27" t="s">
        <v>7</v>
      </c>
      <c r="DS665" s="27" t="s">
        <v>8</v>
      </c>
      <c r="DT665" s="27" t="s">
        <v>7</v>
      </c>
      <c r="DU665" s="27" t="s">
        <v>8</v>
      </c>
      <c r="DV665" s="27" t="s">
        <v>7</v>
      </c>
      <c r="DW665" s="27" t="s">
        <v>8</v>
      </c>
      <c r="DX665" s="27" t="s">
        <v>7</v>
      </c>
      <c r="DY665" s="27" t="s">
        <v>8</v>
      </c>
      <c r="EP665" s="27" t="s">
        <v>7</v>
      </c>
      <c r="EQ665" s="27" t="s">
        <v>8</v>
      </c>
      <c r="ER665" s="27" t="s">
        <v>7</v>
      </c>
      <c r="FI665" s="27" t="s">
        <v>8</v>
      </c>
      <c r="FK665" s="27" t="s">
        <v>8</v>
      </c>
      <c r="FL665" s="27" t="s">
        <v>7</v>
      </c>
      <c r="FM665" s="27" t="s">
        <v>8</v>
      </c>
      <c r="FN665" s="27" t="s">
        <v>7</v>
      </c>
      <c r="FO665" s="27" t="s">
        <v>8</v>
      </c>
    </row>
    <row r="666" spans="1:171" x14ac:dyDescent="0.25">
      <c r="A666" s="7">
        <v>0.20921192272998904</v>
      </c>
      <c r="B666"/>
      <c r="C666"/>
      <c r="D666"/>
      <c r="E666"/>
      <c r="BH666" s="27" t="s">
        <v>7</v>
      </c>
      <c r="BI666" s="27" t="s">
        <v>8</v>
      </c>
      <c r="BJ666" s="27" t="s">
        <v>7</v>
      </c>
      <c r="BN666" s="27" t="s">
        <v>7</v>
      </c>
      <c r="BY666" s="27" t="s">
        <v>8</v>
      </c>
      <c r="CB666" s="27" t="s">
        <v>7</v>
      </c>
      <c r="CC666" s="27" t="s">
        <v>8</v>
      </c>
      <c r="CD666" s="27" t="s">
        <v>7</v>
      </c>
      <c r="CE666" s="27" t="s">
        <v>8</v>
      </c>
      <c r="CF666" s="27" t="s">
        <v>7</v>
      </c>
      <c r="CG666" s="27" t="s">
        <v>8</v>
      </c>
      <c r="CH666" s="27" t="s">
        <v>7</v>
      </c>
      <c r="DL666" s="27" t="s">
        <v>7</v>
      </c>
      <c r="DS666" s="27" t="s">
        <v>8</v>
      </c>
      <c r="DT666" s="27" t="s">
        <v>7</v>
      </c>
      <c r="DU666" s="27" t="s">
        <v>8</v>
      </c>
      <c r="DV666" s="27" t="s">
        <v>7</v>
      </c>
      <c r="DW666" s="27" t="s">
        <v>8</v>
      </c>
      <c r="DX666" s="27" t="s">
        <v>7</v>
      </c>
      <c r="EP666" s="27" t="s">
        <v>7</v>
      </c>
      <c r="ER666" s="27" t="s">
        <v>7</v>
      </c>
      <c r="FI666" s="27" t="s">
        <v>8</v>
      </c>
      <c r="FJ666" s="27" t="s">
        <v>7</v>
      </c>
      <c r="FK666" s="27" t="s">
        <v>8</v>
      </c>
      <c r="FL666" s="27" t="s">
        <v>7</v>
      </c>
      <c r="FM666" s="27" t="s">
        <v>8</v>
      </c>
      <c r="FN666" s="27" t="s">
        <v>7</v>
      </c>
      <c r="FO666" s="27" t="s">
        <v>8</v>
      </c>
    </row>
    <row r="667" spans="1:171" x14ac:dyDescent="0.25">
      <c r="A667" s="7">
        <v>0.20510972816665593</v>
      </c>
      <c r="B667"/>
      <c r="C667"/>
      <c r="D667"/>
      <c r="E667"/>
      <c r="BH667" s="27" t="s">
        <v>7</v>
      </c>
      <c r="BI667" s="27" t="s">
        <v>8</v>
      </c>
      <c r="BN667" s="27" t="s">
        <v>7</v>
      </c>
      <c r="BY667" s="27" t="s">
        <v>8</v>
      </c>
      <c r="CB667" s="27" t="s">
        <v>7</v>
      </c>
      <c r="CC667" s="27" t="s">
        <v>8</v>
      </c>
      <c r="CD667" s="27" t="s">
        <v>7</v>
      </c>
      <c r="CE667" s="27" t="s">
        <v>8</v>
      </c>
      <c r="CF667" s="27" t="s">
        <v>7</v>
      </c>
      <c r="DL667" s="27" t="s">
        <v>7</v>
      </c>
      <c r="DS667" s="27" t="s">
        <v>8</v>
      </c>
      <c r="DT667" s="27" t="s">
        <v>7</v>
      </c>
      <c r="DU667" s="27" t="s">
        <v>8</v>
      </c>
      <c r="DV667" s="27" t="s">
        <v>7</v>
      </c>
      <c r="ER667" s="27" t="s">
        <v>7</v>
      </c>
      <c r="FI667" s="27" t="s">
        <v>8</v>
      </c>
      <c r="FJ667" s="27" t="s">
        <v>7</v>
      </c>
      <c r="FK667" s="27" t="s">
        <v>8</v>
      </c>
      <c r="FL667" s="27" t="s">
        <v>7</v>
      </c>
      <c r="FM667" s="27" t="s">
        <v>8</v>
      </c>
      <c r="FN667" s="27" t="s">
        <v>7</v>
      </c>
      <c r="FO667" s="27" t="s">
        <v>8</v>
      </c>
    </row>
    <row r="668" spans="1:171" x14ac:dyDescent="0.25">
      <c r="A668" s="7">
        <v>0.20108796879083912</v>
      </c>
      <c r="B668"/>
      <c r="C668"/>
      <c r="D668"/>
      <c r="E668"/>
      <c r="BH668" s="27" t="s">
        <v>7</v>
      </c>
      <c r="BN668" s="27" t="s">
        <v>7</v>
      </c>
      <c r="BO668" s="27" t="s">
        <v>8</v>
      </c>
      <c r="BS668" s="27" t="s">
        <v>8</v>
      </c>
      <c r="BY668" s="27" t="s">
        <v>8</v>
      </c>
      <c r="CB668" s="27" t="s">
        <v>7</v>
      </c>
      <c r="CC668" s="27" t="s">
        <v>8</v>
      </c>
      <c r="CD668" s="27" t="s">
        <v>7</v>
      </c>
      <c r="CE668" s="27" t="s">
        <v>8</v>
      </c>
      <c r="DL668" s="27" t="s">
        <v>7</v>
      </c>
      <c r="DM668" s="27" t="s">
        <v>8</v>
      </c>
      <c r="DS668" s="27" t="s">
        <v>8</v>
      </c>
      <c r="DT668" s="27" t="s">
        <v>7</v>
      </c>
      <c r="ER668" s="27" t="s">
        <v>7</v>
      </c>
      <c r="FI668" s="27" t="s">
        <v>8</v>
      </c>
      <c r="FJ668" s="27" t="s">
        <v>7</v>
      </c>
      <c r="FL668" s="27" t="s">
        <v>7</v>
      </c>
      <c r="FN668" s="27" t="s">
        <v>7</v>
      </c>
      <c r="FO668" s="27" t="s">
        <v>8</v>
      </c>
    </row>
    <row r="669" spans="1:171" x14ac:dyDescent="0.25">
      <c r="A669" s="7">
        <v>0.19714506744199917</v>
      </c>
      <c r="B669"/>
      <c r="C669"/>
      <c r="D669"/>
      <c r="E669"/>
      <c r="BN669" s="27" t="s">
        <v>7</v>
      </c>
      <c r="BO669" s="27" t="s">
        <v>8</v>
      </c>
      <c r="BP669" s="27" t="s">
        <v>7</v>
      </c>
      <c r="BS669" s="27" t="s">
        <v>8</v>
      </c>
      <c r="BT669" s="27" t="s">
        <v>7</v>
      </c>
      <c r="BY669" s="27" t="s">
        <v>8</v>
      </c>
      <c r="CB669" s="27" t="s">
        <v>7</v>
      </c>
      <c r="CC669" s="27" t="s">
        <v>8</v>
      </c>
      <c r="CD669" s="27" t="s">
        <v>7</v>
      </c>
      <c r="CE669" s="27" t="s">
        <v>8</v>
      </c>
      <c r="DL669" s="27" t="s">
        <v>7</v>
      </c>
      <c r="DM669" s="27" t="s">
        <v>8</v>
      </c>
      <c r="DN669" s="27" t="s">
        <v>7</v>
      </c>
      <c r="DO669" s="27" t="s">
        <v>8</v>
      </c>
      <c r="DQ669" s="27" t="s">
        <v>8</v>
      </c>
      <c r="DS669" s="27" t="s">
        <v>8</v>
      </c>
      <c r="ER669" s="27" t="s">
        <v>7</v>
      </c>
      <c r="FI669" s="27" t="s">
        <v>8</v>
      </c>
      <c r="FN669" s="27" t="s">
        <v>7</v>
      </c>
      <c r="FO669" s="27" t="s">
        <v>8</v>
      </c>
    </row>
    <row r="670" spans="1:171" x14ac:dyDescent="0.25">
      <c r="A670" s="7">
        <v>0.19327947788431293</v>
      </c>
      <c r="B670"/>
      <c r="C670"/>
      <c r="D670"/>
      <c r="E670"/>
      <c r="BN670" s="27" t="s">
        <v>7</v>
      </c>
      <c r="BO670" s="27" t="s">
        <v>8</v>
      </c>
      <c r="BP670" s="27" t="s">
        <v>7</v>
      </c>
      <c r="BS670" s="27" t="s">
        <v>8</v>
      </c>
      <c r="BT670" s="27" t="s">
        <v>7</v>
      </c>
      <c r="BY670" s="27" t="s">
        <v>8</v>
      </c>
      <c r="CB670" s="27" t="s">
        <v>7</v>
      </c>
      <c r="CC670" s="27" t="s">
        <v>8</v>
      </c>
      <c r="CD670" s="27" t="s">
        <v>7</v>
      </c>
      <c r="CE670" s="27" t="s">
        <v>8</v>
      </c>
      <c r="DL670" s="27" t="s">
        <v>7</v>
      </c>
      <c r="DM670" s="27" t="s">
        <v>8</v>
      </c>
      <c r="DN670" s="27" t="s">
        <v>7</v>
      </c>
      <c r="DO670" s="27" t="s">
        <v>8</v>
      </c>
      <c r="DP670" s="27" t="s">
        <v>7</v>
      </c>
      <c r="DQ670" s="27" t="s">
        <v>8</v>
      </c>
      <c r="DR670" s="27" t="s">
        <v>7</v>
      </c>
      <c r="DS670" s="27" t="s">
        <v>8</v>
      </c>
      <c r="ER670" s="27" t="s">
        <v>7</v>
      </c>
      <c r="FI670" s="27" t="s">
        <v>8</v>
      </c>
      <c r="FN670" s="27" t="s">
        <v>7</v>
      </c>
    </row>
    <row r="671" spans="1:171" x14ac:dyDescent="0.25">
      <c r="A671" s="7">
        <v>0.18948968420030682</v>
      </c>
      <c r="B671"/>
      <c r="C671"/>
      <c r="D671"/>
      <c r="E671"/>
      <c r="BN671" s="27" t="s">
        <v>7</v>
      </c>
      <c r="BO671" s="27" t="s">
        <v>8</v>
      </c>
      <c r="BP671" s="27" t="s">
        <v>7</v>
      </c>
      <c r="BQ671" s="27" t="s">
        <v>8</v>
      </c>
      <c r="BS671" s="27" t="s">
        <v>8</v>
      </c>
      <c r="BT671" s="27" t="s">
        <v>7</v>
      </c>
      <c r="BY671" s="27" t="s">
        <v>8</v>
      </c>
      <c r="CB671" s="27" t="s">
        <v>7</v>
      </c>
      <c r="CC671" s="27" t="s">
        <v>8</v>
      </c>
      <c r="CD671" s="27" t="s">
        <v>7</v>
      </c>
      <c r="DL671" s="27" t="s">
        <v>7</v>
      </c>
      <c r="DM671" s="27" t="s">
        <v>8</v>
      </c>
      <c r="DN671" s="27" t="s">
        <v>7</v>
      </c>
      <c r="DO671" s="27" t="s">
        <v>8</v>
      </c>
      <c r="DP671" s="27" t="s">
        <v>7</v>
      </c>
      <c r="DQ671" s="27" t="s">
        <v>8</v>
      </c>
      <c r="DR671" s="27" t="s">
        <v>7</v>
      </c>
      <c r="DS671" s="27" t="s">
        <v>8</v>
      </c>
      <c r="ER671" s="27" t="s">
        <v>7</v>
      </c>
      <c r="FC671" s="27" t="s">
        <v>8</v>
      </c>
      <c r="FI671" s="27" t="s">
        <v>8</v>
      </c>
    </row>
    <row r="672" spans="1:171" x14ac:dyDescent="0.25">
      <c r="A672" s="7">
        <v>0.18577420019637925</v>
      </c>
      <c r="B672"/>
      <c r="C672"/>
      <c r="D672"/>
      <c r="E672"/>
      <c r="BN672" s="27" t="s">
        <v>7</v>
      </c>
      <c r="BO672" s="27" t="s">
        <v>8</v>
      </c>
      <c r="BP672" s="27" t="s">
        <v>7</v>
      </c>
      <c r="BQ672" s="27" t="s">
        <v>8</v>
      </c>
      <c r="BR672" s="27" t="s">
        <v>7</v>
      </c>
      <c r="BS672" s="27" t="s">
        <v>8</v>
      </c>
      <c r="BT672" s="27" t="s">
        <v>7</v>
      </c>
      <c r="BY672" s="27" t="s">
        <v>8</v>
      </c>
      <c r="CB672" s="27" t="s">
        <v>7</v>
      </c>
      <c r="CC672" s="27" t="s">
        <v>8</v>
      </c>
      <c r="DL672" s="27" t="s">
        <v>7</v>
      </c>
      <c r="DM672" s="27" t="s">
        <v>8</v>
      </c>
      <c r="DN672" s="27" t="s">
        <v>7</v>
      </c>
      <c r="DO672" s="27" t="s">
        <v>8</v>
      </c>
      <c r="DP672" s="27" t="s">
        <v>7</v>
      </c>
      <c r="DQ672" s="27" t="s">
        <v>8</v>
      </c>
      <c r="DR672" s="27" t="s">
        <v>7</v>
      </c>
      <c r="ER672" s="27" t="s">
        <v>7</v>
      </c>
      <c r="FC672" s="27" t="s">
        <v>8</v>
      </c>
      <c r="FD672" s="27" t="s">
        <v>7</v>
      </c>
      <c r="FI672" s="27" t="s">
        <v>8</v>
      </c>
    </row>
    <row r="673" spans="1:165" x14ac:dyDescent="0.25">
      <c r="A673" s="7">
        <v>0.18213156881997963</v>
      </c>
      <c r="B673"/>
      <c r="C673"/>
      <c r="D673"/>
      <c r="E673"/>
      <c r="BN673" s="27" t="s">
        <v>7</v>
      </c>
      <c r="BP673" s="27" t="s">
        <v>7</v>
      </c>
      <c r="BQ673" s="27" t="s">
        <v>8</v>
      </c>
      <c r="BR673" s="27" t="s">
        <v>7</v>
      </c>
      <c r="BS673" s="27" t="s">
        <v>8</v>
      </c>
      <c r="BT673" s="27" t="s">
        <v>7</v>
      </c>
      <c r="BY673" s="27" t="s">
        <v>8</v>
      </c>
      <c r="CB673" s="27" t="s">
        <v>7</v>
      </c>
      <c r="CC673" s="27" t="s">
        <v>8</v>
      </c>
      <c r="DL673" s="27" t="s">
        <v>7</v>
      </c>
      <c r="DM673" s="27" t="s">
        <v>8</v>
      </c>
      <c r="DN673" s="27" t="s">
        <v>7</v>
      </c>
      <c r="DP673" s="27" t="s">
        <v>7</v>
      </c>
      <c r="DQ673" s="27" t="s">
        <v>8</v>
      </c>
      <c r="ER673" s="27" t="s">
        <v>7</v>
      </c>
      <c r="FC673" s="27" t="s">
        <v>8</v>
      </c>
      <c r="FD673" s="27" t="s">
        <v>7</v>
      </c>
      <c r="FI673" s="27" t="s">
        <v>8</v>
      </c>
    </row>
    <row r="674" spans="1:165" x14ac:dyDescent="0.25">
      <c r="A674" s="7">
        <v>0.17856036158821534</v>
      </c>
      <c r="B674"/>
      <c r="C674"/>
      <c r="D674"/>
      <c r="E674"/>
      <c r="BP674" s="27" t="s">
        <v>7</v>
      </c>
      <c r="BQ674" s="27" t="s">
        <v>8</v>
      </c>
      <c r="BR674" s="27" t="s">
        <v>7</v>
      </c>
      <c r="BS674" s="27" t="s">
        <v>8</v>
      </c>
      <c r="BT674" s="27" t="s">
        <v>7</v>
      </c>
      <c r="BY674" s="27" t="s">
        <v>8</v>
      </c>
      <c r="CB674" s="27" t="s">
        <v>7</v>
      </c>
      <c r="CC674" s="27" t="s">
        <v>8</v>
      </c>
      <c r="DL674" s="27" t="s">
        <v>7</v>
      </c>
      <c r="DM674" s="27" t="s">
        <v>8</v>
      </c>
      <c r="DP674" s="27" t="s">
        <v>7</v>
      </c>
      <c r="DQ674" s="27" t="s">
        <v>8</v>
      </c>
      <c r="ER674" s="27" t="s">
        <v>7</v>
      </c>
      <c r="FA674" s="27" t="s">
        <v>8</v>
      </c>
      <c r="FC674" s="27" t="s">
        <v>8</v>
      </c>
      <c r="FD674" s="27" t="s">
        <v>7</v>
      </c>
      <c r="FG674" s="27" t="s">
        <v>8</v>
      </c>
      <c r="FI674" s="27" t="s">
        <v>8</v>
      </c>
    </row>
    <row r="675" spans="1:165" x14ac:dyDescent="0.25">
      <c r="A675" s="7">
        <v>0.17505917802766208</v>
      </c>
      <c r="B675"/>
      <c r="C675"/>
      <c r="D675"/>
      <c r="E675"/>
      <c r="BP675" s="27" t="s">
        <v>7</v>
      </c>
      <c r="BQ675" s="27" t="s">
        <v>8</v>
      </c>
      <c r="BR675" s="27" t="s">
        <v>7</v>
      </c>
      <c r="BS675" s="27" t="s">
        <v>8</v>
      </c>
      <c r="BT675" s="27" t="s">
        <v>7</v>
      </c>
      <c r="BY675" s="27" t="s">
        <v>8</v>
      </c>
      <c r="CB675" s="27" t="s">
        <v>7</v>
      </c>
      <c r="DL675" s="27" t="s">
        <v>7</v>
      </c>
      <c r="DM675" s="27" t="s">
        <v>8</v>
      </c>
      <c r="DP675" s="27" t="s">
        <v>7</v>
      </c>
      <c r="ER675" s="27" t="s">
        <v>7</v>
      </c>
      <c r="EW675" s="27" t="s">
        <v>8</v>
      </c>
      <c r="FA675" s="27" t="s">
        <v>8</v>
      </c>
      <c r="FB675" s="27" t="s">
        <v>7</v>
      </c>
      <c r="FC675" s="27" t="s">
        <v>8</v>
      </c>
      <c r="FD675" s="27" t="s">
        <v>7</v>
      </c>
      <c r="FE675" s="27" t="s">
        <v>8</v>
      </c>
      <c r="FG675" s="27" t="s">
        <v>8</v>
      </c>
      <c r="FH675" s="27" t="s">
        <v>7</v>
      </c>
      <c r="FI675" s="27" t="s">
        <v>8</v>
      </c>
    </row>
    <row r="676" spans="1:165" x14ac:dyDescent="0.25">
      <c r="A676" s="7">
        <v>0.17162664512515888</v>
      </c>
      <c r="B676"/>
      <c r="C676"/>
      <c r="D676"/>
      <c r="E676"/>
      <c r="BP676" s="27" t="s">
        <v>7</v>
      </c>
      <c r="BQ676" s="27" t="s">
        <v>8</v>
      </c>
      <c r="BR676" s="27" t="s">
        <v>7</v>
      </c>
      <c r="BS676" s="27" t="s">
        <v>8</v>
      </c>
      <c r="BT676" s="27" t="s">
        <v>7</v>
      </c>
      <c r="BU676" s="27" t="s">
        <v>8</v>
      </c>
      <c r="BY676" s="27" t="s">
        <v>8</v>
      </c>
      <c r="DL676" s="27" t="s">
        <v>7</v>
      </c>
      <c r="ER676" s="27" t="s">
        <v>7</v>
      </c>
      <c r="ES676" s="27" t="s">
        <v>8</v>
      </c>
      <c r="EW676" s="27" t="s">
        <v>8</v>
      </c>
      <c r="EX676" s="27" t="s">
        <v>7</v>
      </c>
      <c r="FA676" s="27" t="s">
        <v>8</v>
      </c>
      <c r="FB676" s="27" t="s">
        <v>7</v>
      </c>
      <c r="FC676" s="27" t="s">
        <v>8</v>
      </c>
      <c r="FD676" s="27" t="s">
        <v>7</v>
      </c>
      <c r="FE676" s="27" t="s">
        <v>8</v>
      </c>
      <c r="FF676" s="27" t="s">
        <v>7</v>
      </c>
      <c r="FG676" s="27" t="s">
        <v>8</v>
      </c>
      <c r="FH676" s="27" t="s">
        <v>7</v>
      </c>
      <c r="FI676" s="27" t="s">
        <v>8</v>
      </c>
    </row>
    <row r="677" spans="1:165" x14ac:dyDescent="0.25">
      <c r="A677" s="7">
        <v>0.16826141678937145</v>
      </c>
      <c r="B677"/>
      <c r="C677"/>
      <c r="D677"/>
      <c r="E677"/>
      <c r="BP677" s="27" t="s">
        <v>7</v>
      </c>
      <c r="BQ677" s="27" t="s">
        <v>8</v>
      </c>
      <c r="BR677" s="27" t="s">
        <v>7</v>
      </c>
      <c r="BS677" s="27" t="s">
        <v>8</v>
      </c>
      <c r="BT677" s="27" t="s">
        <v>7</v>
      </c>
      <c r="BU677" s="27" t="s">
        <v>8</v>
      </c>
      <c r="BV677" s="27" t="s">
        <v>7</v>
      </c>
      <c r="BY677" s="27" t="s">
        <v>8</v>
      </c>
      <c r="ER677" s="27" t="s">
        <v>7</v>
      </c>
      <c r="ES677" s="27" t="s">
        <v>8</v>
      </c>
      <c r="ET677" s="27" t="s">
        <v>7</v>
      </c>
      <c r="EW677" s="27" t="s">
        <v>8</v>
      </c>
      <c r="EX677" s="27" t="s">
        <v>7</v>
      </c>
      <c r="FA677" s="27" t="s">
        <v>8</v>
      </c>
      <c r="FB677" s="27" t="s">
        <v>7</v>
      </c>
      <c r="FD677" s="27" t="s">
        <v>7</v>
      </c>
      <c r="FE677" s="27" t="s">
        <v>8</v>
      </c>
      <c r="FF677" s="27" t="s">
        <v>7</v>
      </c>
      <c r="FG677" s="27" t="s">
        <v>8</v>
      </c>
      <c r="FH677" s="27" t="s">
        <v>7</v>
      </c>
      <c r="FI677" s="27" t="s">
        <v>8</v>
      </c>
    </row>
    <row r="678" spans="1:165" x14ac:dyDescent="0.25">
      <c r="A678" s="7">
        <v>0.16496217332291319</v>
      </c>
      <c r="B678"/>
      <c r="C678"/>
      <c r="D678"/>
      <c r="E678"/>
      <c r="BP678" s="27" t="s">
        <v>7</v>
      </c>
      <c r="BQ678" s="27" t="s">
        <v>8</v>
      </c>
      <c r="BR678" s="27" t="s">
        <v>7</v>
      </c>
      <c r="BS678" s="27" t="s">
        <v>8</v>
      </c>
      <c r="BT678" s="27" t="s">
        <v>7</v>
      </c>
      <c r="BU678" s="27" t="s">
        <v>8</v>
      </c>
      <c r="BV678" s="27" t="s">
        <v>7</v>
      </c>
      <c r="BW678" s="27" t="s">
        <v>8</v>
      </c>
      <c r="BY678" s="27" t="s">
        <v>8</v>
      </c>
      <c r="ER678" s="27" t="s">
        <v>7</v>
      </c>
      <c r="ES678" s="27" t="s">
        <v>8</v>
      </c>
      <c r="ET678" s="27" t="s">
        <v>7</v>
      </c>
      <c r="EW678" s="27" t="s">
        <v>8</v>
      </c>
      <c r="EX678" s="27" t="s">
        <v>7</v>
      </c>
      <c r="FA678" s="27" t="s">
        <v>8</v>
      </c>
      <c r="FD678" s="27" t="s">
        <v>7</v>
      </c>
      <c r="FE678" s="27" t="s">
        <v>8</v>
      </c>
      <c r="FF678" s="27" t="s">
        <v>7</v>
      </c>
      <c r="FG678" s="27" t="s">
        <v>8</v>
      </c>
      <c r="FH678" s="27" t="s">
        <v>7</v>
      </c>
    </row>
    <row r="679" spans="1:165" x14ac:dyDescent="0.25">
      <c r="A679" s="7">
        <v>0.16172762090481685</v>
      </c>
      <c r="B679"/>
      <c r="C679"/>
      <c r="D679"/>
      <c r="E679"/>
      <c r="BP679" s="27" t="s">
        <v>7</v>
      </c>
      <c r="BR679" s="27" t="s">
        <v>7</v>
      </c>
      <c r="BT679" s="27" t="s">
        <v>7</v>
      </c>
      <c r="BU679" s="27" t="s">
        <v>8</v>
      </c>
      <c r="BV679" s="27" t="s">
        <v>7</v>
      </c>
      <c r="BW679" s="27" t="s">
        <v>8</v>
      </c>
      <c r="BX679" s="27" t="s">
        <v>7</v>
      </c>
      <c r="BY679" s="27" t="s">
        <v>8</v>
      </c>
      <c r="ER679" s="27" t="s">
        <v>7</v>
      </c>
      <c r="ES679" s="27" t="s">
        <v>8</v>
      </c>
      <c r="ET679" s="27" t="s">
        <v>7</v>
      </c>
      <c r="EW679" s="27" t="s">
        <v>8</v>
      </c>
      <c r="EX679" s="27" t="s">
        <v>7</v>
      </c>
      <c r="FA679" s="27" t="s">
        <v>8</v>
      </c>
      <c r="FD679" s="27" t="s">
        <v>7</v>
      </c>
      <c r="FF679" s="27" t="s">
        <v>7</v>
      </c>
    </row>
    <row r="680" spans="1:165" x14ac:dyDescent="0.25">
      <c r="A680" s="7">
        <v>0.15855649108315376</v>
      </c>
      <c r="B680"/>
      <c r="C680"/>
      <c r="D680"/>
      <c r="E680"/>
      <c r="BT680" s="27" t="s">
        <v>7</v>
      </c>
      <c r="BU680" s="27" t="s">
        <v>8</v>
      </c>
      <c r="BV680" s="27" t="s">
        <v>7</v>
      </c>
      <c r="BW680" s="27" t="s">
        <v>8</v>
      </c>
      <c r="BX680" s="27" t="s">
        <v>7</v>
      </c>
      <c r="BY680" s="27" t="s">
        <v>8</v>
      </c>
      <c r="ER680" s="27" t="s">
        <v>7</v>
      </c>
      <c r="ES680" s="27" t="s">
        <v>8</v>
      </c>
      <c r="ET680" s="27" t="s">
        <v>7</v>
      </c>
      <c r="EW680" s="27" t="s">
        <v>8</v>
      </c>
      <c r="EX680" s="27" t="s">
        <v>7</v>
      </c>
      <c r="EY680" s="27" t="s">
        <v>8</v>
      </c>
      <c r="FA680" s="27" t="s">
        <v>8</v>
      </c>
    </row>
    <row r="681" spans="1:165" x14ac:dyDescent="0.25">
      <c r="A681" s="7">
        <v>0.15544754027760171</v>
      </c>
      <c r="B681"/>
      <c r="C681"/>
      <c r="D681"/>
      <c r="E681"/>
      <c r="BT681" s="27" t="s">
        <v>7</v>
      </c>
      <c r="BU681" s="27" t="s">
        <v>8</v>
      </c>
      <c r="BV681" s="27" t="s">
        <v>7</v>
      </c>
      <c r="BX681" s="27" t="s">
        <v>7</v>
      </c>
      <c r="ER681" s="27" t="s">
        <v>7</v>
      </c>
      <c r="ES681" s="27" t="s">
        <v>8</v>
      </c>
      <c r="ET681" s="27" t="s">
        <v>7</v>
      </c>
      <c r="EW681" s="27" t="s">
        <v>8</v>
      </c>
      <c r="EX681" s="27" t="s">
        <v>7</v>
      </c>
      <c r="EY681" s="27" t="s">
        <v>8</v>
      </c>
      <c r="EZ681" s="27" t="s">
        <v>7</v>
      </c>
      <c r="FA681" s="27" t="s">
        <v>8</v>
      </c>
    </row>
    <row r="682" spans="1:165" x14ac:dyDescent="0.25">
      <c r="A682" s="7">
        <v>0.15239954929176638</v>
      </c>
      <c r="B682"/>
      <c r="C682"/>
      <c r="D682"/>
      <c r="E682"/>
      <c r="BT682" s="27" t="s">
        <v>7</v>
      </c>
      <c r="ER682" s="27" t="s">
        <v>7</v>
      </c>
      <c r="ES682" s="27" t="s">
        <v>8</v>
      </c>
      <c r="ET682" s="27" t="s">
        <v>7</v>
      </c>
      <c r="EW682" s="27" t="s">
        <v>8</v>
      </c>
      <c r="EX682" s="27" t="s">
        <v>7</v>
      </c>
      <c r="EY682" s="27" t="s">
        <v>8</v>
      </c>
      <c r="EZ682" s="27" t="s">
        <v>7</v>
      </c>
      <c r="FA682" s="27" t="s">
        <v>8</v>
      </c>
    </row>
    <row r="683" spans="1:165" x14ac:dyDescent="0.25">
      <c r="A683" s="7">
        <v>0.14941132283506509</v>
      </c>
      <c r="B683"/>
      <c r="C683"/>
      <c r="D683"/>
      <c r="E683"/>
      <c r="ER683" s="27" t="s">
        <v>7</v>
      </c>
      <c r="ES683" s="27" t="s">
        <v>8</v>
      </c>
      <c r="ET683" s="27" t="s">
        <v>7</v>
      </c>
      <c r="EU683" s="27" t="s">
        <v>8</v>
      </c>
      <c r="EW683" s="27" t="s">
        <v>8</v>
      </c>
      <c r="EX683" s="27" t="s">
        <v>7</v>
      </c>
      <c r="EY683" s="27" t="s">
        <v>8</v>
      </c>
      <c r="EZ683" s="27" t="s">
        <v>7</v>
      </c>
      <c r="FA683" s="27" t="s">
        <v>8</v>
      </c>
    </row>
    <row r="684" spans="1:165" x14ac:dyDescent="0.25">
      <c r="A684" s="7">
        <v>0.14648168905398537</v>
      </c>
      <c r="B684"/>
      <c r="C684"/>
      <c r="D684"/>
      <c r="E684"/>
      <c r="ER684" s="27" t="s">
        <v>7</v>
      </c>
      <c r="ES684" s="27" t="s">
        <v>8</v>
      </c>
      <c r="ET684" s="27" t="s">
        <v>7</v>
      </c>
      <c r="EU684" s="27" t="s">
        <v>8</v>
      </c>
      <c r="EV684" s="27" t="s">
        <v>7</v>
      </c>
      <c r="EW684" s="27" t="s">
        <v>8</v>
      </c>
      <c r="EX684" s="27" t="s">
        <v>7</v>
      </c>
      <c r="EY684" s="27" t="s">
        <v>8</v>
      </c>
      <c r="EZ684" s="27" t="s">
        <v>7</v>
      </c>
      <c r="FA684" s="27" t="s">
        <v>8</v>
      </c>
    </row>
    <row r="685" spans="1:165" x14ac:dyDescent="0.25">
      <c r="A685" s="7">
        <v>0.14360949907253467</v>
      </c>
      <c r="B685"/>
      <c r="C685"/>
      <c r="D685"/>
      <c r="E685"/>
      <c r="ER685" s="27" t="s">
        <v>7</v>
      </c>
      <c r="ES685" s="27" t="s">
        <v>8</v>
      </c>
      <c r="ET685" s="27" t="s">
        <v>7</v>
      </c>
      <c r="EU685" s="27" t="s">
        <v>8</v>
      </c>
      <c r="EV685" s="27" t="s">
        <v>7</v>
      </c>
      <c r="EW685" s="27" t="s">
        <v>8</v>
      </c>
      <c r="EX685" s="27" t="s">
        <v>7</v>
      </c>
      <c r="EY685" s="27" t="s">
        <v>8</v>
      </c>
      <c r="EZ685" s="27" t="s">
        <v>7</v>
      </c>
    </row>
    <row r="686" spans="1:165" x14ac:dyDescent="0.25">
      <c r="A686" s="7">
        <v>0.14079362654170066</v>
      </c>
      <c r="B686"/>
      <c r="C686"/>
      <c r="D686"/>
      <c r="E686"/>
      <c r="ER686" s="27" t="s">
        <v>7</v>
      </c>
      <c r="ES686" s="27" t="s">
        <v>8</v>
      </c>
      <c r="ET686" s="27" t="s">
        <v>7</v>
      </c>
      <c r="EU686" s="27" t="s">
        <v>8</v>
      </c>
      <c r="EV686" s="27" t="s">
        <v>7</v>
      </c>
      <c r="EW686" s="27" t="s">
        <v>8</v>
      </c>
      <c r="EX686" s="27" t="s">
        <v>7</v>
      </c>
      <c r="EY686" s="27" t="s">
        <v>8</v>
      </c>
    </row>
    <row r="687" spans="1:165" x14ac:dyDescent="0.25">
      <c r="A687" s="7">
        <v>0.13803296719774574</v>
      </c>
      <c r="B687"/>
      <c r="C687"/>
      <c r="D687"/>
      <c r="E687"/>
      <c r="ER687" s="27" t="s">
        <v>7</v>
      </c>
      <c r="ES687" s="27" t="s">
        <v>8</v>
      </c>
      <c r="ET687" s="27" t="s">
        <v>7</v>
      </c>
      <c r="EU687" s="27" t="s">
        <v>8</v>
      </c>
      <c r="EV687" s="27" t="s">
        <v>7</v>
      </c>
      <c r="EW687" s="27" t="s">
        <v>8</v>
      </c>
      <c r="EX687" s="27" t="s">
        <v>7</v>
      </c>
    </row>
    <row r="688" spans="1:165" x14ac:dyDescent="0.25">
      <c r="A688" s="7">
        <v>0.1353264384291625</v>
      </c>
      <c r="B688"/>
      <c r="C688"/>
      <c r="D688"/>
      <c r="E688"/>
      <c r="ER688" s="27" t="s">
        <v>7</v>
      </c>
      <c r="ES688" s="27" t="s">
        <v>8</v>
      </c>
      <c r="ET688" s="27" t="s">
        <v>7</v>
      </c>
      <c r="EU688" s="27" t="s">
        <v>8</v>
      </c>
      <c r="EV688" s="27" t="s">
        <v>7</v>
      </c>
      <c r="EW688" s="27" t="s">
        <v>8</v>
      </c>
    </row>
    <row r="689" spans="1:153" x14ac:dyDescent="0.25">
      <c r="A689" s="7">
        <v>0.13267297885212009</v>
      </c>
      <c r="B689"/>
      <c r="C689"/>
      <c r="D689"/>
      <c r="E689"/>
      <c r="ER689" s="27" t="s">
        <v>7</v>
      </c>
      <c r="ES689" s="27" t="s">
        <v>8</v>
      </c>
      <c r="ET689" s="27" t="s">
        <v>7</v>
      </c>
      <c r="EU689" s="27" t="s">
        <v>8</v>
      </c>
      <c r="EV689" s="27" t="s">
        <v>7</v>
      </c>
      <c r="EW689" s="27" t="s">
        <v>8</v>
      </c>
    </row>
    <row r="690" spans="1:153" x14ac:dyDescent="0.25">
      <c r="A690" s="7">
        <v>0.13007154789423539</v>
      </c>
      <c r="B690"/>
      <c r="C690"/>
      <c r="D690"/>
      <c r="E690"/>
      <c r="ER690" s="27" t="s">
        <v>7</v>
      </c>
      <c r="ES690" s="27" t="s">
        <v>8</v>
      </c>
      <c r="ET690" s="27" t="s">
        <v>7</v>
      </c>
      <c r="EU690" s="27" t="s">
        <v>8</v>
      </c>
      <c r="EV690" s="27" t="s">
        <v>7</v>
      </c>
    </row>
    <row r="691" spans="1:153" x14ac:dyDescent="0.25">
      <c r="A691" s="7">
        <v>0.12752112538650529</v>
      </c>
      <c r="B691"/>
      <c r="C691"/>
      <c r="D691"/>
      <c r="E691"/>
      <c r="ER691" s="27" t="s">
        <v>7</v>
      </c>
      <c r="ES691" s="27" t="s">
        <v>8</v>
      </c>
      <c r="ET691" s="27" t="s">
        <v>7</v>
      </c>
      <c r="EU691" s="27" t="s">
        <v>8</v>
      </c>
    </row>
    <row r="692" spans="1:153" x14ac:dyDescent="0.25">
      <c r="A692" s="7">
        <v>0.12502071116324048</v>
      </c>
      <c r="B692"/>
      <c r="C692"/>
      <c r="D692"/>
      <c r="E692"/>
      <c r="ER692" s="27" t="s">
        <v>7</v>
      </c>
      <c r="ES692" s="27" t="s">
        <v>8</v>
      </c>
      <c r="ET692" s="27" t="s">
        <v>7</v>
      </c>
    </row>
    <row r="693" spans="1:153" x14ac:dyDescent="0.25">
      <c r="A693" s="7">
        <v>0.1225693246698436</v>
      </c>
      <c r="B693"/>
      <c r="C693"/>
      <c r="D693"/>
      <c r="E693"/>
      <c r="ER693" s="27" t="s">
        <v>7</v>
      </c>
      <c r="ES693" s="27" t="s">
        <v>8</v>
      </c>
    </row>
    <row r="694" spans="1:153" x14ac:dyDescent="0.25">
      <c r="A694" s="7">
        <v>0.12016600457827803</v>
      </c>
      <c r="B694"/>
      <c r="C694"/>
      <c r="D694"/>
      <c r="E694"/>
      <c r="ER694" s="27" t="s">
        <v>7</v>
      </c>
      <c r="ES694" s="27" t="s">
        <v>8</v>
      </c>
    </row>
    <row r="695" spans="1:153" x14ac:dyDescent="0.25">
      <c r="A695" s="7">
        <v>0.1178098084100765</v>
      </c>
      <c r="B695"/>
      <c r="C695"/>
      <c r="D695"/>
      <c r="E695"/>
      <c r="ER695" s="27" t="s">
        <v>7</v>
      </c>
      <c r="ES695" s="27" t="s">
        <v>8</v>
      </c>
    </row>
    <row r="696" spans="1:153" x14ac:dyDescent="0.25">
      <c r="A696" s="7">
        <v>0.11549981216674166</v>
      </c>
      <c r="B696"/>
      <c r="C696"/>
      <c r="D696"/>
      <c r="E696"/>
      <c r="ER696" s="27" t="s">
        <v>7</v>
      </c>
      <c r="ES696" s="27" t="s">
        <v>8</v>
      </c>
    </row>
    <row r="697" spans="1:153" x14ac:dyDescent="0.25">
      <c r="A697" s="7">
        <v>0.11323510996739378</v>
      </c>
      <c r="B697"/>
      <c r="C697"/>
      <c r="D697"/>
      <c r="E697"/>
      <c r="ER697" s="27" t="s">
        <v>7</v>
      </c>
      <c r="ES697" s="27" t="s">
        <v>8</v>
      </c>
    </row>
    <row r="698" spans="1:153" x14ac:dyDescent="0.25">
      <c r="A698" s="7">
        <v>0.11101481369352331</v>
      </c>
      <c r="B698"/>
      <c r="C698"/>
      <c r="D698"/>
      <c r="E698"/>
      <c r="ER698" s="27" t="s">
        <v>7</v>
      </c>
    </row>
    <row r="699" spans="1:153" x14ac:dyDescent="0.25">
      <c r="A699" s="7">
        <v>0.10883805264070913</v>
      </c>
      <c r="B699"/>
      <c r="C699"/>
      <c r="D699"/>
      <c r="E699"/>
    </row>
    <row r="700" spans="1:153" x14ac:dyDescent="0.25">
      <c r="A700" s="7">
        <v>0.10670397317716582</v>
      </c>
      <c r="B700"/>
      <c r="C700"/>
      <c r="D700"/>
      <c r="E700"/>
    </row>
    <row r="701" spans="1:153" x14ac:dyDescent="0.25">
      <c r="A701" s="7">
        <v>0.1046117384089861</v>
      </c>
      <c r="B701"/>
      <c r="C701"/>
      <c r="D701"/>
      <c r="E701"/>
    </row>
    <row r="702" spans="1:153" x14ac:dyDescent="0.25">
      <c r="A702" s="7">
        <v>0.10256052785194716</v>
      </c>
      <c r="B702"/>
      <c r="C702"/>
      <c r="D702"/>
      <c r="E702"/>
    </row>
    <row r="703" spans="1:153" x14ac:dyDescent="0.25">
      <c r="A703" s="7">
        <v>0.10054953710975212</v>
      </c>
      <c r="B703"/>
      <c r="C703"/>
      <c r="D703"/>
      <c r="E703"/>
    </row>
    <row r="704" spans="1:153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1470" operator="equal">
      <formula>$U$1</formula>
    </cfRule>
    <cfRule type="cellIs" dxfId="89" priority="1471" operator="equal">
      <formula>$S$1</formula>
    </cfRule>
  </conditionalFormatting>
  <conditionalFormatting sqref="D27">
    <cfRule type="cellIs" dxfId="88" priority="1468" operator="equal">
      <formula>$S$1</formula>
    </cfRule>
    <cfRule type="cellIs" dxfId="87" priority="1469" operator="equal">
      <formula>$U$1</formula>
    </cfRule>
  </conditionalFormatting>
  <conditionalFormatting sqref="C164">
    <cfRule type="cellIs" dxfId="86" priority="1466" operator="equal">
      <formula>$U$1</formula>
    </cfRule>
    <cfRule type="cellIs" dxfId="85" priority="1467" operator="equal">
      <formula>$S$1</formula>
    </cfRule>
  </conditionalFormatting>
  <conditionalFormatting sqref="D164">
    <cfRule type="cellIs" dxfId="84" priority="1464" operator="equal">
      <formula>$S$1</formula>
    </cfRule>
    <cfRule type="cellIs" dxfId="83" priority="1465" operator="equal">
      <formula>$U$1</formula>
    </cfRule>
  </conditionalFormatting>
  <conditionalFormatting sqref="C55">
    <cfRule type="cellIs" dxfId="82" priority="1462" operator="equal">
      <formula>$U$1</formula>
    </cfRule>
    <cfRule type="cellIs" dxfId="81" priority="1463" operator="equal">
      <formula>$S$1</formula>
    </cfRule>
  </conditionalFormatting>
  <conditionalFormatting sqref="D55">
    <cfRule type="cellIs" dxfId="80" priority="1460" operator="equal">
      <formula>$S$1</formula>
    </cfRule>
    <cfRule type="cellIs" dxfId="79" priority="1461" operator="equal">
      <formula>$U$1</formula>
    </cfRule>
  </conditionalFormatting>
  <conditionalFormatting sqref="C89">
    <cfRule type="cellIs" dxfId="78" priority="1458" operator="equal">
      <formula>$U$1</formula>
    </cfRule>
    <cfRule type="cellIs" dxfId="77" priority="1459" operator="equal">
      <formula>$S$1</formula>
    </cfRule>
  </conditionalFormatting>
  <conditionalFormatting sqref="D89">
    <cfRule type="cellIs" dxfId="76" priority="1456" operator="equal">
      <formula>$S$1</formula>
    </cfRule>
    <cfRule type="cellIs" dxfId="75" priority="1457" operator="equal">
      <formula>$U$1</formula>
    </cfRule>
  </conditionalFormatting>
  <conditionalFormatting sqref="C136">
    <cfRule type="cellIs" dxfId="74" priority="1454" operator="equal">
      <formula>$U$1</formula>
    </cfRule>
    <cfRule type="cellIs" dxfId="73" priority="1455" operator="equal">
      <formula>$S$1</formula>
    </cfRule>
  </conditionalFormatting>
  <conditionalFormatting sqref="D136">
    <cfRule type="cellIs" dxfId="72" priority="1452" operator="equal">
      <formula>$S$1</formula>
    </cfRule>
    <cfRule type="cellIs" dxfId="71" priority="1453" operator="equal">
      <formula>$U$1</formula>
    </cfRule>
  </conditionalFormatting>
  <conditionalFormatting sqref="C1">
    <cfRule type="cellIs" dxfId="70" priority="1451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75"/>
  <sheetViews>
    <sheetView topLeftCell="A287" zoomScale="90" zoomScaleNormal="90" workbookViewId="0">
      <pane xSplit="4" topLeftCell="DO1" activePane="topRight" state="frozen"/>
      <selection activeCell="A109" sqref="A109"/>
      <selection pane="topRight" activeCell="GC320" sqref="GC320"/>
    </sheetView>
  </sheetViews>
  <sheetFormatPr defaultRowHeight="15" x14ac:dyDescent="0.25"/>
  <cols>
    <col min="1" max="1" width="12.5703125" style="30" customWidth="1"/>
    <col min="2" max="5" width="10.7109375" style="1" hidden="1" customWidth="1"/>
    <col min="6" max="7" width="10.7109375" style="27" hidden="1" customWidth="1"/>
    <col min="8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1">
        <v>2632434.7683733804</v>
      </c>
    </row>
    <row r="6" spans="1:21" x14ac:dyDescent="0.25">
      <c r="A6" s="31">
        <v>2507080.7317841719</v>
      </c>
    </row>
    <row r="7" spans="1:21" x14ac:dyDescent="0.25">
      <c r="A7" s="31">
        <v>2387695.9350325447</v>
      </c>
    </row>
    <row r="8" spans="1:21" x14ac:dyDescent="0.25">
      <c r="A8" s="31">
        <v>2273996.1286024232</v>
      </c>
    </row>
    <row r="9" spans="1:21" x14ac:dyDescent="0.25">
      <c r="A9" s="31">
        <v>2165710.5986689744</v>
      </c>
    </row>
    <row r="10" spans="1:21" x14ac:dyDescent="0.25">
      <c r="A10" s="31">
        <v>2062581.5225418801</v>
      </c>
    </row>
    <row r="11" spans="1:21" x14ac:dyDescent="0.25">
      <c r="A11" s="31">
        <v>1964363.3548017906</v>
      </c>
    </row>
    <row r="12" spans="1:21" x14ac:dyDescent="0.25">
      <c r="A12" s="31">
        <v>1870822.2426683719</v>
      </c>
    </row>
    <row r="13" spans="1:21" x14ac:dyDescent="0.25">
      <c r="A13" s="31">
        <v>1781735.4692079732</v>
      </c>
    </row>
    <row r="14" spans="1:21" x14ac:dyDescent="0.25">
      <c r="A14" s="31">
        <v>1696890.9230552125</v>
      </c>
    </row>
    <row r="15" spans="1:21" x14ac:dyDescent="0.25">
      <c r="A15" s="31">
        <v>1616086.5933859167</v>
      </c>
    </row>
    <row r="16" spans="1:21" x14ac:dyDescent="0.25">
      <c r="A16" s="31">
        <v>1539130.0889389683</v>
      </c>
    </row>
    <row r="17" spans="1:7" x14ac:dyDescent="0.25">
      <c r="A17" s="31">
        <v>1465838.1799418745</v>
      </c>
    </row>
    <row r="18" spans="1:7" x14ac:dyDescent="0.25">
      <c r="A18" s="31">
        <v>1396036.3618494042</v>
      </c>
    </row>
    <row r="19" spans="1:7" x14ac:dyDescent="0.25">
      <c r="A19" s="31">
        <v>1329558.4398565753</v>
      </c>
    </row>
    <row r="20" spans="1:7" x14ac:dyDescent="0.25">
      <c r="A20" s="31">
        <v>1266246.1331967383</v>
      </c>
    </row>
    <row r="21" spans="1:7" x14ac:dyDescent="0.25">
      <c r="A21" s="31">
        <v>1205948.6982826078</v>
      </c>
      <c r="C21" s="1" t="s">
        <v>15</v>
      </c>
      <c r="G21" s="11"/>
    </row>
    <row r="22" spans="1:7" x14ac:dyDescent="0.25">
      <c r="A22" s="31">
        <v>1148522.5697929598</v>
      </c>
      <c r="C22" s="7">
        <v>0.11686133436193799</v>
      </c>
      <c r="D22"/>
    </row>
    <row r="23" spans="1:7" x14ac:dyDescent="0.25">
      <c r="A23" s="31">
        <v>1093831.0188504378</v>
      </c>
    </row>
    <row r="24" spans="1:7" x14ac:dyDescent="0.25">
      <c r="A24" s="31">
        <v>1041743.8274766075</v>
      </c>
      <c r="C24" s="1" t="s">
        <v>11</v>
      </c>
      <c r="D24" s="1" t="s">
        <v>12</v>
      </c>
    </row>
    <row r="25" spans="1:7" x14ac:dyDescent="0.25">
      <c r="A25" s="31">
        <v>992136.97854914994</v>
      </c>
      <c r="C25"/>
      <c r="D25"/>
    </row>
    <row r="26" spans="1:7" x14ac:dyDescent="0.25">
      <c r="A26" s="31">
        <v>944892.36052299989</v>
      </c>
    </row>
    <row r="27" spans="1:7" x14ac:dyDescent="0.25">
      <c r="A27" s="31">
        <v>899897.48621238081</v>
      </c>
      <c r="C27" s="1" t="s">
        <v>13</v>
      </c>
    </row>
    <row r="28" spans="1:7" x14ac:dyDescent="0.25">
      <c r="A28" s="31">
        <v>857045.22496417211</v>
      </c>
      <c r="C28" s="1">
        <f>C17</f>
        <v>0</v>
      </c>
    </row>
    <row r="29" spans="1:7" x14ac:dyDescent="0.25">
      <c r="A29" s="31">
        <v>816233.54758492578</v>
      </c>
      <c r="C29"/>
    </row>
    <row r="30" spans="1:7" x14ac:dyDescent="0.25">
      <c r="A30" s="31">
        <v>777365.28341421497</v>
      </c>
      <c r="C30" s="1" t="s">
        <v>14</v>
      </c>
    </row>
    <row r="31" spans="1:7" x14ac:dyDescent="0.25">
      <c r="A31" s="31">
        <v>740347.88896591903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1">
        <v>705093.22758658952</v>
      </c>
    </row>
    <row r="33" spans="1:5" x14ac:dyDescent="0.25">
      <c r="A33" s="31">
        <v>671517.35960627568</v>
      </c>
      <c r="E33"/>
    </row>
    <row r="34" spans="1:5" x14ac:dyDescent="0.25">
      <c r="A34" s="31">
        <v>639540.3424821673</v>
      </c>
      <c r="E34"/>
    </row>
    <row r="35" spans="1:5" x14ac:dyDescent="0.25">
      <c r="A35" s="31">
        <v>609086.04045920691</v>
      </c>
      <c r="E35"/>
    </row>
    <row r="36" spans="1:5" x14ac:dyDescent="0.25">
      <c r="A36" s="31">
        <v>580081.94329448277</v>
      </c>
      <c r="E36"/>
    </row>
    <row r="37" spans="1:5" x14ac:dyDescent="0.25">
      <c r="A37" s="31">
        <v>552458.99361379305</v>
      </c>
      <c r="E37"/>
    </row>
    <row r="38" spans="1:5" x14ac:dyDescent="0.25">
      <c r="A38" s="31">
        <v>526151.42248932668</v>
      </c>
      <c r="E38"/>
    </row>
    <row r="39" spans="1:5" x14ac:dyDescent="0.25">
      <c r="A39" s="31">
        <v>501096.59284697776</v>
      </c>
      <c r="E39"/>
    </row>
    <row r="40" spans="1:5" x14ac:dyDescent="0.25">
      <c r="A40" s="31">
        <v>477234.850330455</v>
      </c>
      <c r="E40"/>
    </row>
    <row r="41" spans="1:5" x14ac:dyDescent="0.25">
      <c r="A41" s="31">
        <v>454509.38126709999</v>
      </c>
      <c r="E41"/>
    </row>
    <row r="42" spans="1:5" x14ac:dyDescent="0.25">
      <c r="A42" s="31">
        <v>432866.07739723806</v>
      </c>
      <c r="E42"/>
    </row>
    <row r="43" spans="1:5" x14ac:dyDescent="0.25">
      <c r="A43" s="31">
        <v>412253.40704498859</v>
      </c>
      <c r="E43"/>
    </row>
    <row r="44" spans="1:5" x14ac:dyDescent="0.25">
      <c r="A44" s="31">
        <v>392622.29242379864</v>
      </c>
      <c r="E44"/>
    </row>
    <row r="45" spans="1:5" x14ac:dyDescent="0.25">
      <c r="A45" s="31">
        <v>373925.99278457015</v>
      </c>
      <c r="E45"/>
    </row>
    <row r="46" spans="1:5" x14ac:dyDescent="0.25">
      <c r="A46" s="31">
        <v>356119.99312816205</v>
      </c>
      <c r="C46" s="1" t="s">
        <v>15</v>
      </c>
      <c r="E46"/>
    </row>
    <row r="47" spans="1:5" x14ac:dyDescent="0.25">
      <c r="A47" s="31">
        <v>339161.89821729716</v>
      </c>
      <c r="C47" s="7">
        <v>0.11686133436193799</v>
      </c>
      <c r="D47"/>
      <c r="E47"/>
    </row>
    <row r="48" spans="1:5" x14ac:dyDescent="0.25">
      <c r="A48" s="31">
        <v>323011.33163552108</v>
      </c>
      <c r="E48"/>
    </row>
    <row r="49" spans="1:5" x14ac:dyDescent="0.25">
      <c r="A49" s="31">
        <v>307629.83965287718</v>
      </c>
      <c r="C49" s="1" t="s">
        <v>11</v>
      </c>
      <c r="D49" s="1" t="s">
        <v>12</v>
      </c>
      <c r="E49"/>
    </row>
    <row r="50" spans="1:5" x14ac:dyDescent="0.25">
      <c r="A50" s="31">
        <v>292980.79966940684</v>
      </c>
      <c r="C50"/>
      <c r="D50"/>
      <c r="E50"/>
    </row>
    <row r="51" spans="1:5" x14ac:dyDescent="0.25">
      <c r="A51" s="31">
        <v>279029.33301848272</v>
      </c>
      <c r="E51"/>
    </row>
    <row r="52" spans="1:5" x14ac:dyDescent="0.25">
      <c r="A52" s="31">
        <v>265742.22192236449</v>
      </c>
      <c r="C52" s="1" t="s">
        <v>13</v>
      </c>
      <c r="E52"/>
    </row>
    <row r="53" spans="1:5" x14ac:dyDescent="0.25">
      <c r="A53" s="31">
        <v>253087.83040225189</v>
      </c>
      <c r="C53" s="1">
        <f>C42</f>
        <v>0</v>
      </c>
      <c r="E53"/>
    </row>
    <row r="54" spans="1:5" x14ac:dyDescent="0.25">
      <c r="A54" s="31">
        <v>241036.02895452559</v>
      </c>
      <c r="C54"/>
      <c r="E54"/>
    </row>
    <row r="55" spans="1:5" x14ac:dyDescent="0.25">
      <c r="A55" s="31">
        <v>229558.12281383388</v>
      </c>
      <c r="C55" s="1" t="s">
        <v>14</v>
      </c>
      <c r="E55"/>
    </row>
    <row r="56" spans="1:5" x14ac:dyDescent="0.25">
      <c r="A56" s="31">
        <v>218626.78363222274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1">
        <v>208215.9844116407</v>
      </c>
      <c r="E57"/>
    </row>
    <row r="58" spans="1:5" x14ac:dyDescent="0.25">
      <c r="A58" s="31">
        <v>198300.9375348959</v>
      </c>
      <c r="E58"/>
    </row>
    <row r="59" spans="1:5" x14ac:dyDescent="0.25">
      <c r="A59" s="31">
        <v>188858.0357475199</v>
      </c>
      <c r="E59"/>
    </row>
    <row r="60" spans="1:5" x14ac:dyDescent="0.25">
      <c r="A60" s="31">
        <v>179864.79595001895</v>
      </c>
      <c r="E60"/>
    </row>
    <row r="61" spans="1:5" x14ac:dyDescent="0.25">
      <c r="A61" s="31">
        <v>171299.8056666847</v>
      </c>
      <c r="E61"/>
    </row>
    <row r="62" spans="1:5" x14ac:dyDescent="0.25">
      <c r="A62" s="31">
        <v>163142.67206350924</v>
      </c>
      <c r="E62"/>
    </row>
    <row r="63" spans="1:5" x14ac:dyDescent="0.25">
      <c r="A63" s="31">
        <v>155373.97339381831</v>
      </c>
      <c r="E63"/>
    </row>
    <row r="64" spans="1:5" x14ac:dyDescent="0.25">
      <c r="A64" s="31">
        <v>147975.21275601743</v>
      </c>
      <c r="E64"/>
    </row>
    <row r="65" spans="1:5" x14ac:dyDescent="0.25">
      <c r="A65" s="31">
        <v>140928.77405334992</v>
      </c>
      <c r="E65"/>
    </row>
    <row r="66" spans="1:5" x14ac:dyDescent="0.25">
      <c r="A66" s="31">
        <v>134217.88005080944</v>
      </c>
      <c r="E66"/>
    </row>
    <row r="67" spans="1:5" x14ac:dyDescent="0.25">
      <c r="A67" s="31">
        <v>127826.55242934231</v>
      </c>
      <c r="E67"/>
    </row>
    <row r="68" spans="1:5" x14ac:dyDescent="0.25">
      <c r="A68" s="31">
        <v>121739.57374223076</v>
      </c>
      <c r="E68"/>
    </row>
    <row r="69" spans="1:5" x14ac:dyDescent="0.25">
      <c r="A69" s="31">
        <v>115942.4511830769</v>
      </c>
      <c r="E69"/>
    </row>
    <row r="70" spans="1:5" x14ac:dyDescent="0.25">
      <c r="A70" s="31">
        <v>110421.38207912086</v>
      </c>
      <c r="E70"/>
    </row>
    <row r="71" spans="1:5" x14ac:dyDescent="0.25">
      <c r="A71" s="31">
        <v>105163.22102773415</v>
      </c>
      <c r="C71" s="1" t="s">
        <v>15</v>
      </c>
      <c r="E71"/>
    </row>
    <row r="72" spans="1:5" x14ac:dyDescent="0.25">
      <c r="A72" s="30">
        <v>100155.44859784204</v>
      </c>
      <c r="C72" s="7">
        <v>0.11686133436193799</v>
      </c>
      <c r="D72"/>
      <c r="E72"/>
    </row>
    <row r="73" spans="1:5" x14ac:dyDescent="0.25">
      <c r="A73" s="30">
        <v>95386.141521754325</v>
      </c>
      <c r="E73"/>
    </row>
    <row r="74" spans="1:5" x14ac:dyDescent="0.25">
      <c r="A74" s="30">
        <v>90843.944306432692</v>
      </c>
      <c r="C74" s="1" t="s">
        <v>11</v>
      </c>
      <c r="D74" s="1" t="s">
        <v>12</v>
      </c>
      <c r="E74"/>
    </row>
    <row r="75" spans="1:5" x14ac:dyDescent="0.25">
      <c r="A75" s="30">
        <v>86518.042196602561</v>
      </c>
      <c r="C75"/>
      <c r="D75"/>
      <c r="E75"/>
    </row>
    <row r="76" spans="1:5" x14ac:dyDescent="0.25">
      <c r="A76" s="30">
        <v>82398.135425335771</v>
      </c>
      <c r="E76"/>
    </row>
    <row r="77" spans="1:5" x14ac:dyDescent="0.25">
      <c r="A77" s="30">
        <v>78474.414690795966</v>
      </c>
      <c r="C77" s="1" t="s">
        <v>13</v>
      </c>
      <c r="E77"/>
    </row>
    <row r="78" spans="1:5" x14ac:dyDescent="0.25">
      <c r="A78" s="30">
        <v>74737.537800758058</v>
      </c>
      <c r="C78" s="1">
        <f>C67</f>
        <v>0</v>
      </c>
      <c r="E78"/>
    </row>
    <row r="79" spans="1:5" x14ac:dyDescent="0.25">
      <c r="A79" s="30">
        <v>71178.607429293392</v>
      </c>
      <c r="C79"/>
      <c r="E79"/>
    </row>
    <row r="80" spans="1:5" x14ac:dyDescent="0.25">
      <c r="A80" s="30">
        <v>67789.149932660366</v>
      </c>
      <c r="C80" s="1" t="s">
        <v>14</v>
      </c>
      <c r="E80"/>
    </row>
    <row r="81" spans="1:5" x14ac:dyDescent="0.25">
      <c r="A81" s="30">
        <v>64561.095173962254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61486.757308535474</v>
      </c>
      <c r="E82"/>
    </row>
    <row r="83" spans="1:5" x14ac:dyDescent="0.25">
      <c r="A83" s="30">
        <v>58558.816484319497</v>
      </c>
      <c r="E83"/>
    </row>
    <row r="84" spans="1:5" x14ac:dyDescent="0.25">
      <c r="A84" s="30">
        <v>55770.301413637615</v>
      </c>
      <c r="E84"/>
    </row>
    <row r="85" spans="1:5" x14ac:dyDescent="0.25">
      <c r="A85" s="30">
        <v>53114.572774892964</v>
      </c>
      <c r="E85"/>
    </row>
    <row r="86" spans="1:5" x14ac:dyDescent="0.25">
      <c r="A86" s="30">
        <v>50585.307404659965</v>
      </c>
      <c r="E86"/>
    </row>
    <row r="87" spans="1:5" x14ac:dyDescent="0.25">
      <c r="A87" s="30">
        <v>48176.483242533301</v>
      </c>
      <c r="E87"/>
    </row>
    <row r="88" spans="1:5" x14ac:dyDescent="0.25">
      <c r="A88" s="30">
        <v>45882.364992888855</v>
      </c>
      <c r="E88"/>
    </row>
    <row r="89" spans="1:5" x14ac:dyDescent="0.25">
      <c r="A89" s="30">
        <v>43697.490469417957</v>
      </c>
      <c r="E89"/>
    </row>
    <row r="90" spans="1:5" x14ac:dyDescent="0.25">
      <c r="A90" s="30">
        <v>41616.657589921859</v>
      </c>
      <c r="E90"/>
    </row>
    <row r="91" spans="1:5" x14ac:dyDescent="0.25">
      <c r="A91" s="30">
        <v>39634.911990401772</v>
      </c>
      <c r="E91"/>
    </row>
    <row r="92" spans="1:5" x14ac:dyDescent="0.25">
      <c r="A92" s="30">
        <v>37747.535228954068</v>
      </c>
      <c r="E92"/>
    </row>
    <row r="93" spans="1:5" x14ac:dyDescent="0.25">
      <c r="A93" s="30">
        <v>35950.033551384826</v>
      </c>
      <c r="E93"/>
    </row>
    <row r="94" spans="1:5" x14ac:dyDescent="0.25">
      <c r="A94" s="30">
        <v>34238.127191795073</v>
      </c>
      <c r="E94"/>
    </row>
    <row r="95" spans="1:5" x14ac:dyDescent="0.25">
      <c r="A95" s="30">
        <v>32607.740182661972</v>
      </c>
      <c r="E95"/>
    </row>
    <row r="96" spans="1:5" x14ac:dyDescent="0.25">
      <c r="A96" s="30">
        <v>31054.990650154257</v>
      </c>
      <c r="C96" s="1" t="s">
        <v>15</v>
      </c>
      <c r="E96"/>
    </row>
    <row r="97" spans="1:5" x14ac:dyDescent="0.25">
      <c r="A97" s="30">
        <v>29576.181571575482</v>
      </c>
      <c r="C97" s="7">
        <v>0.11686133436193799</v>
      </c>
      <c r="D97"/>
      <c r="E97"/>
    </row>
    <row r="98" spans="1:5" x14ac:dyDescent="0.25">
      <c r="A98" s="30">
        <v>28167.79197292903</v>
      </c>
      <c r="E98"/>
    </row>
    <row r="99" spans="1:5" x14ac:dyDescent="0.25">
      <c r="A99" s="30">
        <v>26826.468545646694</v>
      </c>
      <c r="C99" s="1" t="s">
        <v>11</v>
      </c>
      <c r="D99" s="1" t="s">
        <v>12</v>
      </c>
      <c r="E99"/>
    </row>
    <row r="100" spans="1:5" x14ac:dyDescent="0.25">
      <c r="A100" s="30">
        <v>25549.017662520659</v>
      </c>
      <c r="C100"/>
      <c r="D100"/>
      <c r="E100"/>
    </row>
    <row r="101" spans="1:5" x14ac:dyDescent="0.25">
      <c r="A101" s="30">
        <v>24332.397773829198</v>
      </c>
      <c r="E101"/>
    </row>
    <row r="102" spans="1:5" x14ac:dyDescent="0.25">
      <c r="A102" s="30">
        <v>23173.712165551617</v>
      </c>
      <c r="C102" s="1" t="s">
        <v>13</v>
      </c>
      <c r="E102"/>
    </row>
    <row r="103" spans="1:5" x14ac:dyDescent="0.25">
      <c r="A103" s="30">
        <v>22070.202062430111</v>
      </c>
      <c r="C103" s="1">
        <f>C92</f>
        <v>0</v>
      </c>
      <c r="E103"/>
    </row>
    <row r="104" spans="1:5" x14ac:dyDescent="0.25">
      <c r="A104" s="30">
        <v>21019.240059457246</v>
      </c>
      <c r="C104"/>
      <c r="E104"/>
    </row>
    <row r="105" spans="1:5" x14ac:dyDescent="0.25">
      <c r="A105" s="30">
        <v>20018.323866149756</v>
      </c>
      <c r="C105" s="1" t="s">
        <v>14</v>
      </c>
      <c r="E105"/>
    </row>
    <row r="106" spans="1:5" x14ac:dyDescent="0.25">
      <c r="A106" s="30">
        <v>19065.070348714053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18157.209855918143</v>
      </c>
      <c r="E107"/>
    </row>
    <row r="108" spans="1:5" x14ac:dyDescent="0.25">
      <c r="A108" s="30">
        <v>17292.580815160134</v>
      </c>
      <c r="E108"/>
    </row>
    <row r="109" spans="1:5" x14ac:dyDescent="0.25">
      <c r="A109" s="30">
        <v>16469.124585866793</v>
      </c>
      <c r="E109"/>
    </row>
    <row r="110" spans="1:5" x14ac:dyDescent="0.25">
      <c r="A110" s="30">
        <v>15684.880557968376</v>
      </c>
      <c r="E110"/>
    </row>
    <row r="111" spans="1:5" x14ac:dyDescent="0.25">
      <c r="A111" s="30">
        <v>14937.981483779406</v>
      </c>
      <c r="C111" s="1" t="str">
        <f>ADDRESS(C121-1,1,1,1)</f>
        <v>$A$319</v>
      </c>
      <c r="D111" s="1" t="str">
        <f>ADDRESS(C121-1,D121,1,1)</f>
        <v>$GC$319</v>
      </c>
      <c r="E111"/>
    </row>
    <row r="112" spans="1:5" x14ac:dyDescent="0.25">
      <c r="A112" s="30">
        <v>14226.649032170862</v>
      </c>
      <c r="C112" s="1" t="str">
        <f>ADDRESS(C121,1,1,1)</f>
        <v>$A$320</v>
      </c>
      <c r="D112" s="1" t="str">
        <f>ADDRESS(C121,D121-1,1,1)</f>
        <v>$GB$320</v>
      </c>
      <c r="E112"/>
    </row>
    <row r="113" spans="1:5" x14ac:dyDescent="0.25">
      <c r="A113" s="30">
        <v>13549.18955444844</v>
      </c>
      <c r="C113" s="1" t="str">
        <f>ADDRESS(C121+1,1,1,1)</f>
        <v>$A$321</v>
      </c>
      <c r="D113" s="1" t="str">
        <f>ADDRESS(C121-1,D121+1,1,1)</f>
        <v>$GD$319</v>
      </c>
    </row>
    <row r="114" spans="1:5" x14ac:dyDescent="0.25">
      <c r="A114" s="30">
        <v>12903.990051855657</v>
      </c>
      <c r="C114" s="1" t="str">
        <f>ADDRESS(C121,D121,1,1)</f>
        <v>$GC$320</v>
      </c>
      <c r="D114" s="1" t="str">
        <f>ADDRESS(C121+1,D121+1,1,1)</f>
        <v>$GD$321</v>
      </c>
    </row>
    <row r="115" spans="1:5" x14ac:dyDescent="0.25">
      <c r="A115" s="30">
        <v>12289.514335100625</v>
      </c>
      <c r="C115" s="1" t="str">
        <f>ADDRESS(C121+1,D121,1,1)</f>
        <v>$GC$321</v>
      </c>
    </row>
    <row r="116" spans="1:5" x14ac:dyDescent="0.25">
      <c r="A116" s="30">
        <v>11704.2993667625</v>
      </c>
      <c r="C116" s="1">
        <f>C117-1</f>
        <v>319</v>
      </c>
    </row>
    <row r="117" spans="1:5" x14ac:dyDescent="0.25">
      <c r="A117" s="30">
        <v>11146.951777869046</v>
      </c>
      <c r="C117" s="1">
        <f>C121</f>
        <v>320</v>
      </c>
      <c r="D117" s="1">
        <f>D121</f>
        <v>185</v>
      </c>
    </row>
    <row r="118" spans="1:5" x14ac:dyDescent="0.25">
      <c r="A118" s="30">
        <v>10616.144550351471</v>
      </c>
      <c r="C118" s="1">
        <f>C117+1</f>
        <v>321</v>
      </c>
      <c r="D118" s="1">
        <f>D117+1</f>
        <v>186</v>
      </c>
    </row>
    <row r="119" spans="1:5" x14ac:dyDescent="0.25">
      <c r="A119" s="30">
        <v>10110.613857477592</v>
      </c>
    </row>
    <row r="120" spans="1:5" x14ac:dyDescent="0.25">
      <c r="A120" s="30">
        <v>9629.1560547405643</v>
      </c>
      <c r="C120" s="1" t="s">
        <v>9</v>
      </c>
    </row>
    <row r="121" spans="1:5" x14ac:dyDescent="0.25">
      <c r="A121" s="30">
        <v>9170.6248140386324</v>
      </c>
      <c r="C121" s="18">
        <v>320</v>
      </c>
      <c r="D121" s="19">
        <v>185</v>
      </c>
      <c r="E121" s="19"/>
    </row>
    <row r="122" spans="1:5" x14ac:dyDescent="0.25">
      <c r="A122" s="30">
        <v>8733.9283943225073</v>
      </c>
      <c r="C122" s="1" t="str">
        <f>INDEX(1:1048576,C117,D117)</f>
        <v>X</v>
      </c>
    </row>
    <row r="123" spans="1:5" x14ac:dyDescent="0.25">
      <c r="A123" s="30">
        <v>8318.027042211912</v>
      </c>
      <c r="C123" s="1" t="str">
        <f>"R"&amp;C121</f>
        <v>R320</v>
      </c>
      <c r="D123" s="1" t="str">
        <f>"C"&amp;D121</f>
        <v>C185</v>
      </c>
    </row>
    <row r="124" spans="1:5" x14ac:dyDescent="0.25">
      <c r="A124" s="30">
        <v>7921.9305163922963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7544.6957298974248</v>
      </c>
    </row>
    <row r="126" spans="1:5" x14ac:dyDescent="0.25">
      <c r="A126" s="30">
        <v>7185.4245046642136</v>
      </c>
      <c r="C126" s="1" t="s">
        <v>10</v>
      </c>
    </row>
    <row r="127" spans="1:5" x14ac:dyDescent="0.25">
      <c r="A127" s="30">
        <v>6843.2614330135366</v>
      </c>
      <c r="C127" s="30">
        <v>0.55683741817755672</v>
      </c>
      <c r="D127"/>
    </row>
    <row r="128" spans="1:5" x14ac:dyDescent="0.25">
      <c r="A128" s="30">
        <v>6517.3918409652724</v>
      </c>
    </row>
    <row r="129" spans="1:5" x14ac:dyDescent="0.25">
      <c r="A129" s="30">
        <v>6207.0398485383548</v>
      </c>
      <c r="C129" s="1" t="s">
        <v>11</v>
      </c>
      <c r="D129" s="1" t="s">
        <v>12</v>
      </c>
      <c r="E129"/>
    </row>
    <row r="130" spans="1:5" x14ac:dyDescent="0.25">
      <c r="A130" s="30">
        <v>5911.4665224174805</v>
      </c>
      <c r="C130" s="6"/>
      <c r="D130" s="6"/>
      <c r="E130"/>
    </row>
    <row r="131" spans="1:5" x14ac:dyDescent="0.25">
      <c r="A131" s="30">
        <v>5629.9681165880766</v>
      </c>
      <c r="E131"/>
    </row>
    <row r="132" spans="1:5" x14ac:dyDescent="0.25">
      <c r="A132" s="30">
        <v>5361.8743967505488</v>
      </c>
      <c r="C132" s="1" t="s">
        <v>13</v>
      </c>
      <c r="E132"/>
    </row>
    <row r="133" spans="1:5" x14ac:dyDescent="0.25">
      <c r="A133" s="30">
        <v>5106.5470445243318</v>
      </c>
      <c r="C133" s="1" t="str">
        <f>C122</f>
        <v>X</v>
      </c>
      <c r="E133"/>
    </row>
    <row r="134" spans="1:5" x14ac:dyDescent="0.25">
      <c r="A134" s="30">
        <v>4863.3781376422203</v>
      </c>
      <c r="C134"/>
      <c r="E134"/>
    </row>
    <row r="135" spans="1:5" x14ac:dyDescent="0.25">
      <c r="A135" s="30">
        <v>4631.7887025164</v>
      </c>
      <c r="C135" s="1" t="s">
        <v>14</v>
      </c>
      <c r="E135"/>
    </row>
    <row r="136" spans="1:5" x14ac:dyDescent="0.25">
      <c r="A136" s="30">
        <v>4411.2273357299046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4201.1688911713372</v>
      </c>
      <c r="E137"/>
    </row>
    <row r="138" spans="1:5" x14ac:dyDescent="0.25">
      <c r="A138" s="30">
        <v>4001.1132296869878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3810.5840282733216</v>
      </c>
      <c r="E139"/>
    </row>
    <row r="140" spans="1:5" x14ac:dyDescent="0.25">
      <c r="A140" s="30">
        <v>3629.1276459745918</v>
      </c>
      <c r="C140" s="1">
        <v>0</v>
      </c>
      <c r="E140"/>
    </row>
    <row r="141" spans="1:5" x14ac:dyDescent="0.25">
      <c r="A141" s="30">
        <v>3456.3120437853254</v>
      </c>
      <c r="C141" s="1">
        <v>1</v>
      </c>
      <c r="E141"/>
    </row>
    <row r="142" spans="1:5" x14ac:dyDescent="0.25">
      <c r="A142" s="30">
        <v>3291.7257559860241</v>
      </c>
      <c r="C142" s="1">
        <v>2</v>
      </c>
      <c r="E142"/>
    </row>
    <row r="143" spans="1:5" x14ac:dyDescent="0.25">
      <c r="A143" s="30">
        <v>3134.9769104628799</v>
      </c>
      <c r="C143" s="1">
        <v>3</v>
      </c>
      <c r="E143"/>
    </row>
    <row r="144" spans="1:5" x14ac:dyDescent="0.25">
      <c r="A144" s="30">
        <v>2985.6922956789331</v>
      </c>
      <c r="C144" s="1">
        <v>4</v>
      </c>
      <c r="E144"/>
    </row>
    <row r="145" spans="1:5" x14ac:dyDescent="0.25">
      <c r="A145" s="30">
        <v>2843.5164720751741</v>
      </c>
      <c r="E145"/>
    </row>
    <row r="146" spans="1:5" x14ac:dyDescent="0.25">
      <c r="A146" s="30">
        <v>2708.1109257858798</v>
      </c>
      <c r="E146"/>
    </row>
    <row r="147" spans="1:5" x14ac:dyDescent="0.25">
      <c r="A147" s="30">
        <v>2579.1532626532189</v>
      </c>
      <c r="E147"/>
    </row>
    <row r="148" spans="1:5" x14ac:dyDescent="0.25">
      <c r="A148" s="30">
        <v>2456.3364406221131</v>
      </c>
      <c r="E148"/>
    </row>
    <row r="149" spans="1:5" x14ac:dyDescent="0.25">
      <c r="A149" s="30">
        <v>2339.3680386877268</v>
      </c>
      <c r="E149"/>
    </row>
    <row r="150" spans="1:5" x14ac:dyDescent="0.25">
      <c r="A150" s="30">
        <v>2227.9695606549776</v>
      </c>
      <c r="E150"/>
    </row>
    <row r="151" spans="1:5" x14ac:dyDescent="0.25">
      <c r="A151" s="30">
        <v>2121.8757720523595</v>
      </c>
      <c r="E151"/>
    </row>
    <row r="152" spans="1:5" x14ac:dyDescent="0.25">
      <c r="A152" s="30">
        <v>2020.8340686212948</v>
      </c>
      <c r="E152"/>
    </row>
    <row r="153" spans="1:5" x14ac:dyDescent="0.25">
      <c r="A153" s="30">
        <v>1924.6038748774236</v>
      </c>
      <c r="C153" s="7"/>
      <c r="D153"/>
      <c r="E153"/>
    </row>
    <row r="154" spans="1:5" x14ac:dyDescent="0.25">
      <c r="A154" s="30">
        <v>1832.9560713118319</v>
      </c>
      <c r="E154"/>
    </row>
    <row r="155" spans="1:5" x14ac:dyDescent="0.25">
      <c r="A155" s="30">
        <v>1745.6724488684113</v>
      </c>
      <c r="E155"/>
    </row>
    <row r="156" spans="1:5" x14ac:dyDescent="0.25">
      <c r="A156" s="30">
        <v>1662.5451893984869</v>
      </c>
      <c r="C156"/>
      <c r="D156"/>
      <c r="E156"/>
    </row>
    <row r="157" spans="1:5" x14ac:dyDescent="0.25">
      <c r="A157" s="30">
        <v>1583.3763708557017</v>
      </c>
      <c r="E157"/>
    </row>
    <row r="158" spans="1:5" x14ac:dyDescent="0.25">
      <c r="A158" s="30">
        <v>1507.9774960530492</v>
      </c>
      <c r="E158"/>
    </row>
    <row r="159" spans="1:5" x14ac:dyDescent="0.25">
      <c r="A159" s="30">
        <v>1436.1690438600467</v>
      </c>
      <c r="E159"/>
    </row>
    <row r="160" spans="1:5" x14ac:dyDescent="0.25">
      <c r="A160" s="30">
        <v>1367.780041771473</v>
      </c>
      <c r="C160"/>
      <c r="E160"/>
    </row>
    <row r="161" spans="1:5" x14ac:dyDescent="0.25">
      <c r="A161" s="30">
        <v>1302.6476588299743</v>
      </c>
      <c r="E161"/>
    </row>
    <row r="162" spans="1:5" x14ac:dyDescent="0.25">
      <c r="A162" s="30">
        <v>1240.6168179333088</v>
      </c>
      <c r="E162"/>
    </row>
    <row r="163" spans="1:5" x14ac:dyDescent="0.25">
      <c r="A163" s="30">
        <v>1181.5398266031511</v>
      </c>
      <c r="E163"/>
    </row>
    <row r="164" spans="1:5" x14ac:dyDescent="0.25">
      <c r="A164" s="30">
        <v>1125.2760253363344</v>
      </c>
      <c r="E164"/>
    </row>
    <row r="165" spans="1:5" x14ac:dyDescent="0.25">
      <c r="A165" s="30">
        <v>1071.6914527012709</v>
      </c>
      <c r="E165"/>
    </row>
    <row r="166" spans="1:5" x14ac:dyDescent="0.25">
      <c r="A166" s="30">
        <v>1020.6585263821628</v>
      </c>
      <c r="E166"/>
    </row>
    <row r="167" spans="1:5" x14ac:dyDescent="0.25">
      <c r="A167" s="30">
        <v>972.05573941158355</v>
      </c>
      <c r="E167"/>
    </row>
    <row r="168" spans="1:5" x14ac:dyDescent="0.25">
      <c r="A168" s="30">
        <v>925.76737086817479</v>
      </c>
      <c r="E168"/>
    </row>
    <row r="169" spans="1:5" x14ac:dyDescent="0.25">
      <c r="A169" s="30">
        <v>881.68321035064264</v>
      </c>
      <c r="E169"/>
    </row>
    <row r="170" spans="1:5" x14ac:dyDescent="0.25">
      <c r="A170" s="30">
        <v>839.69829557204059</v>
      </c>
      <c r="E170"/>
    </row>
    <row r="171" spans="1:5" x14ac:dyDescent="0.25">
      <c r="A171" s="30">
        <v>799.71266244956246</v>
      </c>
      <c r="E171"/>
    </row>
    <row r="172" spans="1:5" x14ac:dyDescent="0.25">
      <c r="A172" s="30">
        <v>761.63110709482135</v>
      </c>
      <c r="E172"/>
    </row>
    <row r="173" spans="1:5" x14ac:dyDescent="0.25">
      <c r="A173" s="30">
        <v>725.36295913792503</v>
      </c>
      <c r="E173"/>
    </row>
    <row r="174" spans="1:5" x14ac:dyDescent="0.25">
      <c r="A174" s="30">
        <v>690.82186584564283</v>
      </c>
      <c r="E174"/>
    </row>
    <row r="175" spans="1:5" x14ac:dyDescent="0.25">
      <c r="A175" s="30">
        <v>657.92558651965976</v>
      </c>
      <c r="E175"/>
    </row>
    <row r="176" spans="1:5" x14ac:dyDescent="0.25">
      <c r="A176" s="30">
        <v>626.59579668539027</v>
      </c>
      <c r="E176"/>
    </row>
    <row r="177" spans="1:5" x14ac:dyDescent="0.25">
      <c r="A177" s="30">
        <v>596.75790160513361</v>
      </c>
      <c r="E177"/>
    </row>
    <row r="178" spans="1:5" x14ac:dyDescent="0.25">
      <c r="A178" s="30">
        <v>568.34085867155579</v>
      </c>
      <c r="C178" s="7"/>
      <c r="D178"/>
      <c r="E178"/>
    </row>
    <row r="179" spans="1:5" x14ac:dyDescent="0.25">
      <c r="A179" s="30">
        <v>541.27700825862451</v>
      </c>
      <c r="E179"/>
    </row>
    <row r="180" spans="1:5" x14ac:dyDescent="0.25">
      <c r="A180" s="30">
        <v>515.50191262726139</v>
      </c>
      <c r="E180"/>
    </row>
    <row r="181" spans="1:5" x14ac:dyDescent="0.25">
      <c r="A181" s="30">
        <v>490.95420250215363</v>
      </c>
      <c r="C181"/>
      <c r="D181"/>
      <c r="E181"/>
    </row>
    <row r="182" spans="1:5" x14ac:dyDescent="0.25">
      <c r="A182" s="30">
        <v>467.57543095443202</v>
      </c>
      <c r="E182"/>
    </row>
    <row r="183" spans="1:5" x14ac:dyDescent="0.25">
      <c r="A183" s="30">
        <v>445.30993424231622</v>
      </c>
      <c r="E183"/>
    </row>
    <row r="184" spans="1:5" x14ac:dyDescent="0.25">
      <c r="A184" s="30">
        <v>424.10469927839637</v>
      </c>
      <c r="E184"/>
    </row>
    <row r="185" spans="1:5" x14ac:dyDescent="0.25">
      <c r="A185" s="30">
        <v>403.9092374079965</v>
      </c>
      <c r="C185"/>
      <c r="E185"/>
    </row>
    <row r="186" spans="1:5" x14ac:dyDescent="0.25">
      <c r="A186" s="30">
        <v>384.6754641980919</v>
      </c>
      <c r="E186"/>
    </row>
    <row r="187" spans="1:5" x14ac:dyDescent="0.25">
      <c r="A187" s="30">
        <v>366.35758495056371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348.91198566720351</v>
      </c>
      <c r="E188"/>
    </row>
    <row r="189" spans="1:5" x14ac:dyDescent="0.25">
      <c r="A189" s="30">
        <v>332.29712920686046</v>
      </c>
      <c r="E189"/>
    </row>
    <row r="190" spans="1:5" x14ac:dyDescent="0.25">
      <c r="A190" s="30">
        <v>316.47345638748612</v>
      </c>
      <c r="E190"/>
    </row>
    <row r="191" spans="1:5" x14ac:dyDescent="0.25">
      <c r="A191" s="30">
        <v>301.40329179760585</v>
      </c>
      <c r="E191"/>
    </row>
    <row r="192" spans="1:5" x14ac:dyDescent="0.25">
      <c r="A192" s="30">
        <v>287.05075409295796</v>
      </c>
      <c r="E192"/>
    </row>
    <row r="193" spans="1:5" x14ac:dyDescent="0.25">
      <c r="A193" s="30">
        <v>273.38167056472184</v>
      </c>
      <c r="E193"/>
    </row>
    <row r="194" spans="1:5" x14ac:dyDescent="0.25">
      <c r="A194" s="30">
        <v>260.36349577592557</v>
      </c>
      <c r="E194"/>
    </row>
    <row r="195" spans="1:5" x14ac:dyDescent="0.25">
      <c r="A195" s="30">
        <v>247.96523407231004</v>
      </c>
      <c r="E195"/>
    </row>
    <row r="196" spans="1:5" x14ac:dyDescent="0.25">
      <c r="A196" s="30">
        <v>236.15736578315241</v>
      </c>
      <c r="E196"/>
    </row>
    <row r="197" spans="1:5" x14ac:dyDescent="0.25">
      <c r="A197" s="30">
        <v>224.91177693633563</v>
      </c>
      <c r="E197"/>
    </row>
    <row r="198" spans="1:5" x14ac:dyDescent="0.25">
      <c r="A198" s="30">
        <v>214.20169232031964</v>
      </c>
      <c r="E198"/>
    </row>
    <row r="199" spans="1:5" x14ac:dyDescent="0.25">
      <c r="A199" s="30">
        <v>204.00161173363773</v>
      </c>
      <c r="E199"/>
    </row>
    <row r="200" spans="1:5" x14ac:dyDescent="0.25">
      <c r="A200" s="30">
        <v>194.28724927013116</v>
      </c>
      <c r="E200"/>
    </row>
    <row r="201" spans="1:5" x14ac:dyDescent="0.25">
      <c r="A201" s="30">
        <v>185.03547549536299</v>
      </c>
      <c r="E201"/>
    </row>
    <row r="202" spans="1:5" x14ac:dyDescent="0.25">
      <c r="A202" s="30">
        <v>176.22426237653616</v>
      </c>
      <c r="E202"/>
    </row>
    <row r="203" spans="1:5" x14ac:dyDescent="0.25">
      <c r="A203" s="30">
        <v>167.83263083479633</v>
      </c>
      <c r="C203" s="7"/>
      <c r="D203"/>
      <c r="E203"/>
    </row>
    <row r="204" spans="1:5" x14ac:dyDescent="0.25">
      <c r="A204" s="30">
        <v>159.84060079504411</v>
      </c>
      <c r="E204"/>
    </row>
    <row r="205" spans="1:5" x14ac:dyDescent="0.25">
      <c r="A205" s="30">
        <v>152.22914361432771</v>
      </c>
      <c r="E205"/>
    </row>
    <row r="206" spans="1:5" x14ac:dyDescent="0.25">
      <c r="A206" s="30">
        <v>144.98013677555019</v>
      </c>
      <c r="C206"/>
      <c r="D206"/>
      <c r="E206"/>
    </row>
    <row r="207" spans="1:5" x14ac:dyDescent="0.25">
      <c r="A207" s="30">
        <v>138.07632073861922</v>
      </c>
      <c r="E207"/>
    </row>
    <row r="208" spans="1:5" x14ac:dyDescent="0.25">
      <c r="A208" s="30">
        <v>131.50125784630401</v>
      </c>
      <c r="E208"/>
    </row>
    <row r="209" spans="1:5" x14ac:dyDescent="0.25">
      <c r="A209" s="30">
        <v>125.23929318695619</v>
      </c>
      <c r="E209"/>
    </row>
    <row r="210" spans="1:5" x14ac:dyDescent="0.25">
      <c r="A210" s="30">
        <v>119.27551732091065</v>
      </c>
      <c r="C210"/>
      <c r="E210"/>
    </row>
    <row r="211" spans="1:5" x14ac:dyDescent="0.25">
      <c r="A211" s="30">
        <v>113.59573078181967</v>
      </c>
      <c r="E211"/>
    </row>
    <row r="212" spans="1:5" x14ac:dyDescent="0.25">
      <c r="A212" s="30">
        <v>108.18641026839968</v>
      </c>
      <c r="E212"/>
    </row>
    <row r="213" spans="1:5" x14ac:dyDescent="0.25">
      <c r="A213" s="30">
        <v>103.03467644609493</v>
      </c>
      <c r="E213"/>
    </row>
    <row r="214" spans="1:5" x14ac:dyDescent="0.25">
      <c r="A214" s="30">
        <v>98.128263281995174</v>
      </c>
      <c r="E214"/>
    </row>
    <row r="215" spans="1:5" x14ac:dyDescent="0.25">
      <c r="A215" s="30">
        <v>93.455488839995397</v>
      </c>
      <c r="E215"/>
    </row>
    <row r="216" spans="1:5" x14ac:dyDescent="0.25">
      <c r="A216" s="30">
        <v>89.005227466662276</v>
      </c>
      <c r="E216"/>
    </row>
    <row r="217" spans="1:5" x14ac:dyDescent="0.25">
      <c r="A217" s="30">
        <v>84.766883301583121</v>
      </c>
      <c r="E217"/>
    </row>
    <row r="218" spans="1:5" x14ac:dyDescent="0.25">
      <c r="A218" s="30">
        <v>80.730365049126775</v>
      </c>
      <c r="E218"/>
    </row>
    <row r="219" spans="1:5" x14ac:dyDescent="0.25">
      <c r="A219" s="30">
        <v>76.886061951549308</v>
      </c>
      <c r="E219"/>
    </row>
    <row r="220" spans="1:5" x14ac:dyDescent="0.25">
      <c r="A220" s="30">
        <v>73.22482090623744</v>
      </c>
      <c r="E220"/>
    </row>
    <row r="221" spans="1:5" x14ac:dyDescent="0.25">
      <c r="A221" s="30">
        <v>69.737924672607079</v>
      </c>
      <c r="E221"/>
    </row>
    <row r="222" spans="1:5" x14ac:dyDescent="0.25">
      <c r="A222" s="30">
        <v>66.417071116768639</v>
      </c>
      <c r="E222"/>
    </row>
    <row r="223" spans="1:5" x14ac:dyDescent="0.25">
      <c r="A223" s="30">
        <v>63.254353444541557</v>
      </c>
      <c r="E223"/>
    </row>
    <row r="224" spans="1:5" x14ac:dyDescent="0.25">
      <c r="A224" s="30">
        <v>60.242241375753864</v>
      </c>
      <c r="E224"/>
    </row>
    <row r="225" spans="1:5" x14ac:dyDescent="0.25">
      <c r="A225" s="30">
        <v>57.373563215003678</v>
      </c>
      <c r="E225"/>
    </row>
    <row r="226" spans="1:5" x14ac:dyDescent="0.25">
      <c r="A226" s="30">
        <v>54.641488776193974</v>
      </c>
      <c r="E226"/>
    </row>
    <row r="227" spans="1:5" x14ac:dyDescent="0.25">
      <c r="A227" s="30">
        <v>52.039513120184736</v>
      </c>
      <c r="E227"/>
    </row>
    <row r="228" spans="1:5" x14ac:dyDescent="0.25">
      <c r="A228" s="30">
        <v>49.561441066842605</v>
      </c>
      <c r="C228" s="7"/>
      <c r="D228"/>
      <c r="E228"/>
    </row>
    <row r="229" spans="1:5" x14ac:dyDescent="0.25">
      <c r="A229" s="30">
        <v>47.201372444612005</v>
      </c>
      <c r="E229"/>
    </row>
    <row r="230" spans="1:5" x14ac:dyDescent="0.25">
      <c r="A230" s="30">
        <v>44.95368804248762</v>
      </c>
      <c r="E230"/>
    </row>
    <row r="231" spans="1:5" x14ac:dyDescent="0.25">
      <c r="A231" s="30">
        <v>42.81303623094059</v>
      </c>
      <c r="C231"/>
      <c r="D231"/>
      <c r="E231"/>
    </row>
    <row r="232" spans="1:5" x14ac:dyDescent="0.25">
      <c r="A232" s="30">
        <v>40.774320219943419</v>
      </c>
      <c r="E232"/>
    </row>
    <row r="233" spans="1:5" x14ac:dyDescent="0.25">
      <c r="A233" s="30">
        <v>38.832685923755633</v>
      </c>
      <c r="E233"/>
    </row>
    <row r="234" spans="1:5" x14ac:dyDescent="0.25">
      <c r="A234" s="30">
        <v>36.983510403576794</v>
      </c>
      <c r="E234"/>
    </row>
    <row r="235" spans="1:5" x14ac:dyDescent="0.25">
      <c r="A235" s="30">
        <v>35.222390860549325</v>
      </c>
      <c r="C235"/>
      <c r="E235"/>
    </row>
    <row r="236" spans="1:5" x14ac:dyDescent="0.25">
      <c r="A236" s="30">
        <v>33.545134152904119</v>
      </c>
      <c r="E236"/>
    </row>
    <row r="237" spans="1:5" x14ac:dyDescent="0.25">
      <c r="A237" s="30">
        <v>31.947746812289637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</row>
    <row r="238" spans="1:5" x14ac:dyDescent="0.25">
      <c r="A238" s="30">
        <v>30.426425535513939</v>
      </c>
      <c r="E238"/>
    </row>
    <row r="239" spans="1:5" x14ac:dyDescent="0.25">
      <c r="A239" s="30">
        <v>28.977548129060892</v>
      </c>
      <c r="E239"/>
    </row>
    <row r="240" spans="1:5" x14ac:dyDescent="0.25">
      <c r="A240" s="30">
        <v>27.597664884819896</v>
      </c>
      <c r="E240" s="29"/>
    </row>
    <row r="241" spans="1:5" x14ac:dyDescent="0.25">
      <c r="A241" s="30">
        <v>26.283490366495137</v>
      </c>
      <c r="B241"/>
      <c r="C241"/>
      <c r="D241"/>
      <c r="E241"/>
    </row>
    <row r="242" spans="1:5" x14ac:dyDescent="0.25">
      <c r="A242" s="30">
        <v>25.031895587138223</v>
      </c>
      <c r="B242"/>
      <c r="C242"/>
      <c r="D242"/>
      <c r="E242"/>
    </row>
    <row r="243" spans="1:5" x14ac:dyDescent="0.25">
      <c r="A243" s="30">
        <v>23.839900559179259</v>
      </c>
      <c r="B243"/>
      <c r="C243"/>
      <c r="D243"/>
      <c r="E243"/>
    </row>
    <row r="244" spans="1:5" x14ac:dyDescent="0.25">
      <c r="A244" s="30">
        <v>22.704667199218342</v>
      </c>
      <c r="B244"/>
      <c r="C244"/>
      <c r="D244"/>
      <c r="E244"/>
    </row>
    <row r="245" spans="1:5" x14ac:dyDescent="0.25">
      <c r="A245" s="30">
        <v>21.623492570684135</v>
      </c>
      <c r="B245"/>
      <c r="C245"/>
      <c r="D245"/>
      <c r="E245"/>
    </row>
    <row r="246" spans="1:5" x14ac:dyDescent="0.25">
      <c r="A246" s="30">
        <v>20.593802448270605</v>
      </c>
      <c r="B246"/>
      <c r="C246"/>
      <c r="D246"/>
      <c r="E246"/>
    </row>
    <row r="247" spans="1:5" x14ac:dyDescent="0.25">
      <c r="A247" s="30">
        <v>19.613145188829147</v>
      </c>
      <c r="B247"/>
      <c r="C247"/>
      <c r="D247"/>
      <c r="E247"/>
    </row>
    <row r="248" spans="1:5" x14ac:dyDescent="0.25">
      <c r="A248" s="30">
        <v>18.679185894122998</v>
      </c>
      <c r="B248"/>
      <c r="C248"/>
      <c r="D248"/>
      <c r="E248"/>
    </row>
    <row r="249" spans="1:5" x14ac:dyDescent="0.25">
      <c r="A249" s="30">
        <v>17.78970085154571</v>
      </c>
      <c r="B249"/>
      <c r="C249"/>
      <c r="D249"/>
      <c r="E249"/>
    </row>
    <row r="250" spans="1:5" x14ac:dyDescent="0.25">
      <c r="A250" s="30">
        <v>16.942572239567344</v>
      </c>
      <c r="B250"/>
      <c r="C250"/>
      <c r="D250"/>
      <c r="E250"/>
    </row>
    <row r="251" spans="1:5" x14ac:dyDescent="0.25">
      <c r="A251" s="30">
        <v>16.135783085302233</v>
      </c>
      <c r="B251"/>
      <c r="C251"/>
      <c r="D251"/>
      <c r="E251"/>
    </row>
    <row r="252" spans="1:5" x14ac:dyDescent="0.25">
      <c r="A252" s="30">
        <v>15.367412462192602</v>
      </c>
      <c r="B252"/>
      <c r="C252"/>
      <c r="D252"/>
      <c r="E252"/>
    </row>
    <row r="253" spans="1:5" x14ac:dyDescent="0.25">
      <c r="A253" s="30">
        <v>14.635630916373906</v>
      </c>
      <c r="B253"/>
      <c r="C253"/>
      <c r="D253"/>
      <c r="E253"/>
    </row>
    <row r="254" spans="1:5" x14ac:dyDescent="0.25">
      <c r="A254" s="30">
        <v>13.938696110832291</v>
      </c>
      <c r="B254"/>
      <c r="C254"/>
      <c r="D254"/>
      <c r="E254"/>
    </row>
    <row r="255" spans="1:5" x14ac:dyDescent="0.25">
      <c r="A255" s="30">
        <v>13.274948676983135</v>
      </c>
      <c r="E255"/>
    </row>
    <row r="256" spans="1:5" x14ac:dyDescent="0.25">
      <c r="A256" s="30">
        <v>12.64280826379346</v>
      </c>
      <c r="E256"/>
    </row>
    <row r="257" spans="1:5" x14ac:dyDescent="0.25">
      <c r="A257" s="30">
        <v>12.04076977504139</v>
      </c>
      <c r="B257"/>
      <c r="C257"/>
      <c r="D257"/>
      <c r="E257"/>
    </row>
    <row r="258" spans="1:5" x14ac:dyDescent="0.25">
      <c r="A258" s="30">
        <v>11.467399785753704</v>
      </c>
      <c r="B258"/>
      <c r="C258"/>
      <c r="D258"/>
      <c r="E258"/>
    </row>
    <row r="259" spans="1:5" x14ac:dyDescent="0.25">
      <c r="A259" s="30">
        <v>10.921333129289241</v>
      </c>
      <c r="B259"/>
      <c r="C259"/>
      <c r="D259"/>
      <c r="E259"/>
    </row>
    <row r="260" spans="1:5" x14ac:dyDescent="0.25">
      <c r="A260" s="30">
        <v>10.401269646942135</v>
      </c>
      <c r="B260"/>
      <c r="C260"/>
      <c r="D260"/>
      <c r="E260"/>
    </row>
    <row r="261" spans="1:5" x14ac:dyDescent="0.25">
      <c r="A261" s="30">
        <v>9.9059710923258422</v>
      </c>
      <c r="B261"/>
      <c r="C261"/>
      <c r="D261"/>
      <c r="E261"/>
    </row>
    <row r="262" spans="1:5" x14ac:dyDescent="0.25">
      <c r="A262" s="30">
        <v>9.4342581831674686</v>
      </c>
      <c r="B262"/>
      <c r="C262"/>
      <c r="D262"/>
      <c r="E262"/>
    </row>
    <row r="263" spans="1:5" x14ac:dyDescent="0.25">
      <c r="A263" s="30">
        <v>8.9850077934928265</v>
      </c>
      <c r="B263"/>
      <c r="C263"/>
      <c r="D263"/>
      <c r="E263"/>
    </row>
    <row r="264" spans="1:5" x14ac:dyDescent="0.25">
      <c r="A264" s="30">
        <v>8.5571502795169767</v>
      </c>
      <c r="B264"/>
      <c r="C264"/>
      <c r="D264"/>
      <c r="E264"/>
    </row>
    <row r="265" spans="1:5" x14ac:dyDescent="0.25">
      <c r="A265" s="30">
        <v>8.1496669328733109</v>
      </c>
      <c r="B265"/>
      <c r="C265"/>
      <c r="D265"/>
      <c r="E265"/>
    </row>
    <row r="266" spans="1:5" x14ac:dyDescent="0.25">
      <c r="A266" s="30">
        <v>7.7615875551174378</v>
      </c>
      <c r="B266"/>
      <c r="C266"/>
      <c r="D266"/>
      <c r="E266"/>
    </row>
    <row r="267" spans="1:5" x14ac:dyDescent="0.25">
      <c r="A267" s="30">
        <v>7.3919881477308929</v>
      </c>
      <c r="B267"/>
      <c r="C267"/>
      <c r="D267"/>
      <c r="E267"/>
    </row>
    <row r="268" spans="1:5" x14ac:dyDescent="0.25">
      <c r="A268" s="30">
        <v>7.0399887121246598</v>
      </c>
      <c r="B268"/>
      <c r="C268"/>
      <c r="D268"/>
      <c r="E268"/>
    </row>
    <row r="269" spans="1:5" x14ac:dyDescent="0.25">
      <c r="A269" s="30">
        <v>6.7047511544044376</v>
      </c>
      <c r="B269"/>
      <c r="C269"/>
      <c r="D269"/>
      <c r="E269"/>
    </row>
    <row r="270" spans="1:5" x14ac:dyDescent="0.25">
      <c r="A270" s="30">
        <v>6.3854772899089882</v>
      </c>
      <c r="B270"/>
      <c r="C270"/>
      <c r="D270"/>
      <c r="E270"/>
    </row>
    <row r="271" spans="1:5" x14ac:dyDescent="0.25">
      <c r="A271" s="30">
        <v>6.0814069427704647</v>
      </c>
      <c r="B271"/>
      <c r="C271"/>
      <c r="D271"/>
      <c r="E271"/>
    </row>
    <row r="272" spans="1:5" x14ac:dyDescent="0.25">
      <c r="A272" s="30">
        <v>5.7918161359718709</v>
      </c>
      <c r="B272"/>
      <c r="C272"/>
      <c r="D272"/>
      <c r="E272"/>
    </row>
    <row r="273" spans="1:5" x14ac:dyDescent="0.25">
      <c r="A273" s="30">
        <v>5.5160153675922574</v>
      </c>
      <c r="B273"/>
      <c r="C273"/>
      <c r="D273"/>
      <c r="E273"/>
    </row>
    <row r="274" spans="1:5" x14ac:dyDescent="0.25">
      <c r="A274" s="30">
        <v>5.2533479691354827</v>
      </c>
      <c r="B274"/>
      <c r="C274"/>
      <c r="D274"/>
      <c r="E274"/>
    </row>
    <row r="275" spans="1:5" x14ac:dyDescent="0.25">
      <c r="A275" s="30">
        <v>5.0031885420337927</v>
      </c>
      <c r="B275"/>
      <c r="C275"/>
      <c r="D275"/>
      <c r="E275"/>
    </row>
    <row r="276" spans="1:5" x14ac:dyDescent="0.25">
      <c r="A276" s="30">
        <v>4.7649414686036122</v>
      </c>
      <c r="B276"/>
      <c r="C276"/>
      <c r="D276"/>
      <c r="E276"/>
    </row>
    <row r="277" spans="1:5" x14ac:dyDescent="0.25">
      <c r="A277" s="30">
        <v>4.5380394939082018</v>
      </c>
      <c r="B277"/>
      <c r="C277"/>
      <c r="D277"/>
      <c r="E277"/>
    </row>
    <row r="278" spans="1:5" x14ac:dyDescent="0.25">
      <c r="A278" s="30">
        <v>4.3219423751506678</v>
      </c>
      <c r="B278"/>
      <c r="C278"/>
      <c r="D278"/>
      <c r="E278"/>
    </row>
    <row r="279" spans="1:5" x14ac:dyDescent="0.25">
      <c r="A279" s="30">
        <v>4.1161355953815884</v>
      </c>
      <c r="B279"/>
      <c r="C279"/>
      <c r="D279"/>
      <c r="E279"/>
    </row>
    <row r="280" spans="1:5" x14ac:dyDescent="0.25">
      <c r="A280" s="30">
        <v>3.9201291384586554</v>
      </c>
      <c r="B280"/>
      <c r="C280"/>
      <c r="D280"/>
      <c r="E280"/>
    </row>
    <row r="281" spans="1:5" x14ac:dyDescent="0.25">
      <c r="A281" s="30">
        <v>3.7334563223415764</v>
      </c>
      <c r="B281"/>
      <c r="C281"/>
      <c r="D281"/>
      <c r="E281"/>
    </row>
    <row r="282" spans="1:5" x14ac:dyDescent="0.25">
      <c r="A282" s="30">
        <v>3.5556726879443583</v>
      </c>
      <c r="B282"/>
      <c r="C282"/>
      <c r="D282"/>
      <c r="E282"/>
    </row>
    <row r="283" spans="1:5" x14ac:dyDescent="0.25">
      <c r="A283" s="30">
        <v>3.3863549408993889</v>
      </c>
      <c r="B283"/>
      <c r="C283"/>
      <c r="D283"/>
      <c r="E283"/>
    </row>
    <row r="284" spans="1:5" x14ac:dyDescent="0.25">
      <c r="A284" s="30">
        <v>3.2250999437137038</v>
      </c>
      <c r="B284"/>
      <c r="C284"/>
      <c r="D284"/>
      <c r="E284"/>
    </row>
    <row r="285" spans="1:5" x14ac:dyDescent="0.25">
      <c r="A285" s="30">
        <v>3.0715237559178128</v>
      </c>
      <c r="B285"/>
      <c r="C285"/>
      <c r="D285"/>
      <c r="E285"/>
    </row>
    <row r="286" spans="1:5" x14ac:dyDescent="0.25">
      <c r="A286" s="30">
        <v>2.9252607199217264</v>
      </c>
      <c r="B286"/>
      <c r="C286"/>
      <c r="D286"/>
      <c r="E286"/>
    </row>
    <row r="287" spans="1:5" x14ac:dyDescent="0.25">
      <c r="A287" s="30">
        <v>2.7859625904016441</v>
      </c>
      <c r="B287"/>
      <c r="C287"/>
      <c r="D287"/>
      <c r="E287"/>
    </row>
    <row r="288" spans="1:5" x14ac:dyDescent="0.25">
      <c r="A288" s="30">
        <v>2.6532977051444226</v>
      </c>
      <c r="B288"/>
      <c r="C288"/>
      <c r="D288"/>
      <c r="E288"/>
    </row>
    <row r="289" spans="1:171" x14ac:dyDescent="0.25">
      <c r="A289" s="30">
        <v>2.5269501953756404</v>
      </c>
      <c r="B289"/>
      <c r="C289"/>
      <c r="D289"/>
      <c r="E289"/>
    </row>
    <row r="290" spans="1:171" x14ac:dyDescent="0.25">
      <c r="A290" s="30">
        <v>2.4066192336910861</v>
      </c>
      <c r="B290"/>
      <c r="C290"/>
      <c r="D290"/>
      <c r="E290"/>
    </row>
    <row r="291" spans="1:171" x14ac:dyDescent="0.25">
      <c r="A291" s="30">
        <v>2.2920183178010345</v>
      </c>
      <c r="B291"/>
      <c r="C291"/>
      <c r="D291"/>
      <c r="E291"/>
      <c r="DW291" s="27" t="s">
        <v>8</v>
      </c>
    </row>
    <row r="292" spans="1:171" x14ac:dyDescent="0.25">
      <c r="A292" s="30">
        <v>2.1828745883819374</v>
      </c>
      <c r="B292"/>
      <c r="C292"/>
      <c r="D292"/>
      <c r="E292"/>
      <c r="DW292" s="27" t="s">
        <v>8</v>
      </c>
      <c r="DX292" s="27" t="s">
        <v>7</v>
      </c>
      <c r="EE292" s="32" t="s">
        <v>8</v>
      </c>
    </row>
    <row r="293" spans="1:171" x14ac:dyDescent="0.25">
      <c r="A293" s="30">
        <v>2.0789281794113688</v>
      </c>
      <c r="B293"/>
      <c r="C293"/>
      <c r="D293"/>
      <c r="E293"/>
      <c r="DU293" s="27" t="s">
        <v>8</v>
      </c>
      <c r="DW293" s="27" t="s">
        <v>8</v>
      </c>
      <c r="DX293" s="27" t="s">
        <v>7</v>
      </c>
      <c r="EE293" s="27" t="s">
        <v>8</v>
      </c>
      <c r="EF293" s="32" t="s">
        <v>7</v>
      </c>
    </row>
    <row r="294" spans="1:171" x14ac:dyDescent="0.25">
      <c r="A294" s="30">
        <v>1.9799315994393987</v>
      </c>
      <c r="B294"/>
      <c r="C294"/>
      <c r="D294"/>
      <c r="E294"/>
      <c r="DC294" s="27" t="s">
        <v>8</v>
      </c>
      <c r="DG294" s="35" t="s">
        <v>8</v>
      </c>
      <c r="DI294" s="35" t="s">
        <v>8</v>
      </c>
      <c r="DU294" s="27" t="s">
        <v>8</v>
      </c>
      <c r="DV294" s="27" t="s">
        <v>7</v>
      </c>
      <c r="DW294" s="27" t="s">
        <v>8</v>
      </c>
      <c r="DX294" s="27" t="s">
        <v>7</v>
      </c>
      <c r="EC294" s="27" t="s">
        <v>8</v>
      </c>
      <c r="EE294" s="27" t="s">
        <v>8</v>
      </c>
      <c r="EF294" s="27" t="s">
        <v>7</v>
      </c>
      <c r="EG294" s="32"/>
    </row>
    <row r="295" spans="1:171" x14ac:dyDescent="0.25">
      <c r="A295" s="30">
        <v>1.8856491423232367</v>
      </c>
      <c r="B295"/>
      <c r="C295"/>
      <c r="D295"/>
      <c r="E295"/>
      <c r="DC295" s="27" t="s">
        <v>8</v>
      </c>
      <c r="DD295" s="27" t="s">
        <v>7</v>
      </c>
      <c r="DG295" s="27" t="s">
        <v>8</v>
      </c>
      <c r="DH295" s="27" t="s">
        <v>7</v>
      </c>
      <c r="DI295" s="27" t="s">
        <v>8</v>
      </c>
      <c r="DJ295" s="27" t="s">
        <v>7</v>
      </c>
      <c r="DM295" s="27" t="s">
        <v>8</v>
      </c>
      <c r="DU295" s="27" t="s">
        <v>8</v>
      </c>
      <c r="DV295" s="27" t="s">
        <v>7</v>
      </c>
      <c r="DW295" s="27" t="s">
        <v>8</v>
      </c>
      <c r="DX295" s="27" t="s">
        <v>7</v>
      </c>
      <c r="EC295" s="33" t="s">
        <v>8</v>
      </c>
      <c r="ED295" s="27" t="s">
        <v>7</v>
      </c>
      <c r="EE295" s="27" t="s">
        <v>8</v>
      </c>
      <c r="EF295" s="27" t="s">
        <v>7</v>
      </c>
      <c r="EH295" s="32"/>
    </row>
    <row r="296" spans="1:171" x14ac:dyDescent="0.25">
      <c r="A296" s="30">
        <v>1.7958563260221301</v>
      </c>
      <c r="B296"/>
      <c r="C296"/>
      <c r="D296"/>
      <c r="E296"/>
      <c r="DC296" s="27" t="s">
        <v>8</v>
      </c>
      <c r="DD296" s="27" t="s">
        <v>7</v>
      </c>
      <c r="DG296" s="27" t="s">
        <v>8</v>
      </c>
      <c r="DH296" s="27" t="s">
        <v>7</v>
      </c>
      <c r="DI296" s="27" t="s">
        <v>8</v>
      </c>
      <c r="DJ296" s="27" t="s">
        <v>7</v>
      </c>
      <c r="DM296" s="33" t="s">
        <v>8</v>
      </c>
      <c r="DN296" s="27" t="s">
        <v>7</v>
      </c>
      <c r="DU296" s="27" t="s">
        <v>8</v>
      </c>
      <c r="DV296" s="27" t="s">
        <v>7</v>
      </c>
      <c r="DW296" s="27" t="s">
        <v>8</v>
      </c>
      <c r="DX296" s="27" t="s">
        <v>7</v>
      </c>
      <c r="DY296" s="35" t="s">
        <v>8</v>
      </c>
      <c r="EA296" s="35" t="s">
        <v>8</v>
      </c>
      <c r="EC296" s="27" t="s">
        <v>8</v>
      </c>
      <c r="ED296" s="27" t="s">
        <v>7</v>
      </c>
      <c r="EE296" s="27" t="s">
        <v>8</v>
      </c>
      <c r="EF296" s="27" t="s">
        <v>7</v>
      </c>
      <c r="EI296" s="32"/>
    </row>
    <row r="297" spans="1:171" x14ac:dyDescent="0.25">
      <c r="A297" s="30">
        <v>1.7103393581163142</v>
      </c>
      <c r="B297"/>
      <c r="C297"/>
      <c r="D297"/>
      <c r="E297"/>
      <c r="DC297" s="27" t="s">
        <v>8</v>
      </c>
      <c r="DD297" s="27" t="s">
        <v>7</v>
      </c>
      <c r="DG297" s="27" t="s">
        <v>8</v>
      </c>
      <c r="DH297" s="27" t="s">
        <v>7</v>
      </c>
      <c r="DJ297" s="27" t="s">
        <v>7</v>
      </c>
      <c r="DK297" s="27" t="s">
        <v>8</v>
      </c>
      <c r="DM297" s="27" t="s">
        <v>8</v>
      </c>
      <c r="DN297" s="27" t="s">
        <v>7</v>
      </c>
      <c r="DS297" s="27" t="s">
        <v>8</v>
      </c>
      <c r="DU297" s="27" t="s">
        <v>8</v>
      </c>
      <c r="DV297" s="27" t="s">
        <v>7</v>
      </c>
      <c r="DW297" s="27" t="s">
        <v>8</v>
      </c>
      <c r="DX297" s="27" t="s">
        <v>7</v>
      </c>
      <c r="DY297" s="27" t="s">
        <v>8</v>
      </c>
      <c r="DZ297" s="27" t="s">
        <v>7</v>
      </c>
      <c r="EA297" s="27" t="s">
        <v>8</v>
      </c>
      <c r="EB297" s="27" t="s">
        <v>7</v>
      </c>
      <c r="EC297" s="27" t="s">
        <v>8</v>
      </c>
      <c r="ED297" s="27" t="s">
        <v>7</v>
      </c>
      <c r="EF297" s="27" t="s">
        <v>7</v>
      </c>
      <c r="EJ297" s="32"/>
    </row>
    <row r="298" spans="1:171" x14ac:dyDescent="0.25">
      <c r="A298" s="30">
        <v>1.628894626777442</v>
      </c>
      <c r="B298"/>
      <c r="C298"/>
      <c r="D298"/>
      <c r="E298"/>
      <c r="DC298" s="27" t="s">
        <v>8</v>
      </c>
      <c r="DD298" s="27" t="s">
        <v>7</v>
      </c>
      <c r="DE298" s="27" t="s">
        <v>8</v>
      </c>
      <c r="DG298" s="27" t="s">
        <v>8</v>
      </c>
      <c r="DJ298" s="34" t="s">
        <v>7</v>
      </c>
      <c r="DK298" s="27" t="s">
        <v>8</v>
      </c>
      <c r="DL298" s="27" t="s">
        <v>7</v>
      </c>
      <c r="DM298" s="27" t="s">
        <v>8</v>
      </c>
      <c r="DN298" s="27" t="s">
        <v>7</v>
      </c>
      <c r="DO298" s="27" t="s">
        <v>8</v>
      </c>
      <c r="DS298" s="27" t="s">
        <v>8</v>
      </c>
      <c r="DT298" s="27" t="s">
        <v>7</v>
      </c>
      <c r="DU298" s="27" t="s">
        <v>8</v>
      </c>
      <c r="DV298" s="27" t="s">
        <v>7</v>
      </c>
      <c r="DX298" s="27" t="s">
        <v>7</v>
      </c>
      <c r="DY298" s="27" t="s">
        <v>8</v>
      </c>
      <c r="DZ298" s="27" t="s">
        <v>7</v>
      </c>
      <c r="EA298" s="27" t="s">
        <v>8</v>
      </c>
      <c r="EB298" s="27" t="s">
        <v>7</v>
      </c>
      <c r="EC298" s="27" t="s">
        <v>8</v>
      </c>
      <c r="EF298" s="34" t="s">
        <v>7</v>
      </c>
      <c r="EG298" s="27" t="s">
        <v>8</v>
      </c>
      <c r="EK298" s="32"/>
      <c r="FG298" s="27" t="s">
        <v>8</v>
      </c>
    </row>
    <row r="299" spans="1:171" x14ac:dyDescent="0.25">
      <c r="A299" s="30">
        <v>1.5513282159785162</v>
      </c>
      <c r="B299"/>
      <c r="C299"/>
      <c r="D299"/>
      <c r="E299"/>
      <c r="DC299" s="27" t="s">
        <v>8</v>
      </c>
      <c r="DD299" s="27" t="s">
        <v>7</v>
      </c>
      <c r="DE299" s="27" t="s">
        <v>8</v>
      </c>
      <c r="DF299" s="27" t="s">
        <v>7</v>
      </c>
      <c r="DG299" s="27" t="s">
        <v>8</v>
      </c>
      <c r="DJ299" s="27" t="s">
        <v>7</v>
      </c>
      <c r="DK299" s="27" t="s">
        <v>8</v>
      </c>
      <c r="DL299" s="27" t="s">
        <v>7</v>
      </c>
      <c r="DM299" s="27" t="s">
        <v>8</v>
      </c>
      <c r="DN299" s="27" t="s">
        <v>7</v>
      </c>
      <c r="DO299" s="27" t="s">
        <v>8</v>
      </c>
      <c r="DP299" s="27" t="s">
        <v>7</v>
      </c>
      <c r="DS299" s="33" t="s">
        <v>8</v>
      </c>
      <c r="DT299" s="27" t="s">
        <v>7</v>
      </c>
      <c r="DU299" s="27" t="s">
        <v>8</v>
      </c>
      <c r="DX299" s="34" t="s">
        <v>7</v>
      </c>
      <c r="DY299" s="27" t="s">
        <v>8</v>
      </c>
      <c r="DZ299" s="27" t="s">
        <v>7</v>
      </c>
      <c r="EA299" s="27" t="s">
        <v>8</v>
      </c>
      <c r="EB299" s="27" t="s">
        <v>7</v>
      </c>
      <c r="EC299" s="27" t="s">
        <v>8</v>
      </c>
      <c r="EF299" s="27" t="s">
        <v>7</v>
      </c>
      <c r="EG299" s="27" t="s">
        <v>8</v>
      </c>
      <c r="EH299" s="27" t="s">
        <v>7</v>
      </c>
      <c r="EL299" s="32"/>
      <c r="FG299" s="27" t="s">
        <v>8</v>
      </c>
      <c r="FH299" s="27" t="s">
        <v>7</v>
      </c>
    </row>
    <row r="300" spans="1:171" x14ac:dyDescent="0.25">
      <c r="A300" s="30">
        <v>1.477455443789063</v>
      </c>
      <c r="B300"/>
      <c r="C300"/>
      <c r="D300"/>
      <c r="E300"/>
      <c r="DC300" s="27" t="s">
        <v>8</v>
      </c>
      <c r="DD300" s="27" t="s">
        <v>7</v>
      </c>
      <c r="DE300" s="27" t="s">
        <v>8</v>
      </c>
      <c r="DF300" s="27" t="s">
        <v>7</v>
      </c>
      <c r="DG300" s="27" t="s">
        <v>8</v>
      </c>
      <c r="DJ300" s="35" t="s">
        <v>7</v>
      </c>
      <c r="DL300" s="35" t="s">
        <v>7</v>
      </c>
      <c r="DN300" s="27" t="s">
        <v>7</v>
      </c>
      <c r="DO300" s="27" t="s">
        <v>8</v>
      </c>
      <c r="DP300" s="27" t="s">
        <v>7</v>
      </c>
      <c r="DQ300" s="27" t="s">
        <v>8</v>
      </c>
      <c r="DS300" s="27" t="s">
        <v>8</v>
      </c>
      <c r="DT300" s="27" t="s">
        <v>7</v>
      </c>
      <c r="DU300" s="27" t="s">
        <v>8</v>
      </c>
      <c r="DW300" s="32"/>
      <c r="DX300" s="35" t="s">
        <v>7</v>
      </c>
      <c r="DZ300" s="35" t="s">
        <v>7</v>
      </c>
      <c r="EB300" s="27" t="s">
        <v>7</v>
      </c>
      <c r="EC300" s="27" t="s">
        <v>8</v>
      </c>
      <c r="EF300" s="27" t="s">
        <v>7</v>
      </c>
      <c r="EG300" s="27" t="s">
        <v>8</v>
      </c>
      <c r="EH300" s="27" t="s">
        <v>7</v>
      </c>
      <c r="EM300" s="32"/>
      <c r="FG300" s="27" t="s">
        <v>8</v>
      </c>
      <c r="FH300" s="27" t="s">
        <v>7</v>
      </c>
    </row>
    <row r="301" spans="1:171" x14ac:dyDescent="0.25">
      <c r="A301" s="30">
        <v>1.4071004226562505</v>
      </c>
      <c r="B301"/>
      <c r="C301"/>
      <c r="D301"/>
      <c r="E301"/>
      <c r="DC301" s="27" t="s">
        <v>8</v>
      </c>
      <c r="DD301" s="27" t="s">
        <v>7</v>
      </c>
      <c r="DE301" s="27" t="s">
        <v>8</v>
      </c>
      <c r="DF301" s="27" t="s">
        <v>7</v>
      </c>
      <c r="DN301" s="34" t="s">
        <v>7</v>
      </c>
      <c r="DO301" s="27" t="s">
        <v>8</v>
      </c>
      <c r="DP301" s="27" t="s">
        <v>7</v>
      </c>
      <c r="DQ301" s="27" t="s">
        <v>8</v>
      </c>
      <c r="DR301" s="27" t="s">
        <v>7</v>
      </c>
      <c r="DS301" s="27" t="s">
        <v>8</v>
      </c>
      <c r="DT301" s="27" t="s">
        <v>7</v>
      </c>
      <c r="DU301" s="27" t="s">
        <v>8</v>
      </c>
      <c r="DV301" s="32"/>
      <c r="EB301" s="27" t="s">
        <v>7</v>
      </c>
      <c r="EC301" s="27" t="s">
        <v>8</v>
      </c>
      <c r="EF301" s="27" t="s">
        <v>7</v>
      </c>
      <c r="EH301" s="27" t="s">
        <v>7</v>
      </c>
      <c r="EN301" s="32"/>
      <c r="FG301" s="27" t="s">
        <v>8</v>
      </c>
      <c r="FH301" s="27" t="s">
        <v>7</v>
      </c>
      <c r="FI301" s="35" t="s">
        <v>8</v>
      </c>
      <c r="FK301" s="35" t="s">
        <v>8</v>
      </c>
      <c r="FM301" s="35" t="s">
        <v>8</v>
      </c>
    </row>
    <row r="302" spans="1:171" x14ac:dyDescent="0.25">
      <c r="A302" s="30">
        <v>1.3400956406250004</v>
      </c>
      <c r="B302"/>
      <c r="C302"/>
      <c r="D302"/>
      <c r="E302"/>
      <c r="DC302" s="27" t="s">
        <v>8</v>
      </c>
      <c r="DD302" s="27" t="s">
        <v>7</v>
      </c>
      <c r="DE302" s="27" t="s">
        <v>8</v>
      </c>
      <c r="DN302" s="27" t="s">
        <v>7</v>
      </c>
      <c r="DO302" s="27" t="s">
        <v>8</v>
      </c>
      <c r="DP302" s="27" t="s">
        <v>7</v>
      </c>
      <c r="DQ302" s="27" t="s">
        <v>8</v>
      </c>
      <c r="DR302" s="27" t="s">
        <v>7</v>
      </c>
      <c r="DS302" s="27" t="s">
        <v>8</v>
      </c>
      <c r="DT302" s="27" t="s">
        <v>7</v>
      </c>
      <c r="DU302" s="32" t="s">
        <v>8</v>
      </c>
      <c r="EB302" s="27" t="s">
        <v>7</v>
      </c>
      <c r="EC302" s="27" t="s">
        <v>8</v>
      </c>
      <c r="EH302" s="27" t="s">
        <v>7</v>
      </c>
      <c r="EO302" s="32"/>
      <c r="FG302" s="27" t="s">
        <v>8</v>
      </c>
      <c r="FH302" s="27" t="s">
        <v>7</v>
      </c>
      <c r="FI302" s="27" t="s">
        <v>8</v>
      </c>
      <c r="FJ302" s="27" t="s">
        <v>7</v>
      </c>
      <c r="FK302" s="27" t="s">
        <v>8</v>
      </c>
      <c r="FL302" s="27" t="s">
        <v>7</v>
      </c>
      <c r="FM302" s="27" t="s">
        <v>8</v>
      </c>
      <c r="FN302" s="27" t="s">
        <v>7</v>
      </c>
    </row>
    <row r="303" spans="1:171" x14ac:dyDescent="0.25">
      <c r="A303" s="30">
        <v>1.2762815625000004</v>
      </c>
      <c r="B303"/>
      <c r="C303"/>
      <c r="D303"/>
      <c r="E303"/>
      <c r="DC303" s="27" t="s">
        <v>8</v>
      </c>
      <c r="DD303" s="27" t="s">
        <v>7</v>
      </c>
      <c r="DN303" s="27" t="s">
        <v>7</v>
      </c>
      <c r="DO303" s="27" t="s">
        <v>8</v>
      </c>
      <c r="DP303" s="27" t="s">
        <v>7</v>
      </c>
      <c r="DQ303" s="27" t="s">
        <v>8</v>
      </c>
      <c r="DR303" s="27" t="s">
        <v>7</v>
      </c>
      <c r="DT303" s="32" t="s">
        <v>7</v>
      </c>
      <c r="EB303" s="27" t="s">
        <v>7</v>
      </c>
      <c r="EH303" s="27" t="s">
        <v>7</v>
      </c>
      <c r="EP303" s="32"/>
      <c r="EY303" s="27" t="s">
        <v>8</v>
      </c>
      <c r="FG303" s="27" t="s">
        <v>8</v>
      </c>
      <c r="FH303" s="27" t="s">
        <v>7</v>
      </c>
      <c r="FI303" s="27" t="s">
        <v>8</v>
      </c>
      <c r="FJ303" s="27" t="s">
        <v>7</v>
      </c>
      <c r="FK303" s="27" t="s">
        <v>8</v>
      </c>
      <c r="FL303" s="27" t="s">
        <v>7</v>
      </c>
      <c r="FM303" s="27" t="s">
        <v>8</v>
      </c>
      <c r="FN303" s="32" t="s">
        <v>7</v>
      </c>
    </row>
    <row r="304" spans="1:171" x14ac:dyDescent="0.25">
      <c r="A304" s="30">
        <v>1.2155062500000002</v>
      </c>
      <c r="B304"/>
      <c r="C304"/>
      <c r="D304"/>
      <c r="E304"/>
      <c r="DC304" s="27" t="s">
        <v>8</v>
      </c>
      <c r="DN304" s="27" t="s">
        <v>7</v>
      </c>
      <c r="DP304" s="27" t="s">
        <v>7</v>
      </c>
      <c r="DQ304" s="27" t="s">
        <v>8</v>
      </c>
      <c r="DS304" s="32"/>
      <c r="EH304" s="27" t="s">
        <v>7</v>
      </c>
      <c r="EI304" s="27" t="s">
        <v>8</v>
      </c>
      <c r="EM304" s="33" t="s">
        <v>8</v>
      </c>
      <c r="EQ304" s="32"/>
      <c r="EY304" s="27" t="s">
        <v>8</v>
      </c>
      <c r="EZ304" s="27" t="s">
        <v>7</v>
      </c>
      <c r="FC304" s="27" t="s">
        <v>8</v>
      </c>
      <c r="FG304" s="27" t="s">
        <v>8</v>
      </c>
      <c r="FH304" s="27" t="s">
        <v>7</v>
      </c>
      <c r="FI304" s="27" t="s">
        <v>8</v>
      </c>
      <c r="FJ304" s="27" t="s">
        <v>7</v>
      </c>
      <c r="FK304" s="27" t="s">
        <v>8</v>
      </c>
      <c r="FL304" s="27" t="s">
        <v>7</v>
      </c>
      <c r="FM304" s="32"/>
      <c r="FN304" s="27" t="s">
        <v>7</v>
      </c>
      <c r="FO304" s="27" t="s">
        <v>8</v>
      </c>
    </row>
    <row r="305" spans="1:185" x14ac:dyDescent="0.25">
      <c r="A305" s="30">
        <v>1.1576249999999999</v>
      </c>
      <c r="B305"/>
      <c r="C305"/>
      <c r="D305"/>
      <c r="E305"/>
      <c r="DC305" s="27" t="s">
        <v>8</v>
      </c>
      <c r="DP305" s="27" t="s">
        <v>7</v>
      </c>
      <c r="DR305" s="32"/>
      <c r="EH305" s="27" t="s">
        <v>7</v>
      </c>
      <c r="EI305" s="27" t="s">
        <v>8</v>
      </c>
      <c r="EJ305" s="27" t="s">
        <v>7</v>
      </c>
      <c r="EK305" s="27" t="s">
        <v>8</v>
      </c>
      <c r="EM305" s="27" t="s">
        <v>8</v>
      </c>
      <c r="EN305" s="27" t="s">
        <v>7</v>
      </c>
      <c r="ER305" s="32"/>
      <c r="EY305" s="27" t="s">
        <v>8</v>
      </c>
      <c r="EZ305" s="27" t="s">
        <v>7</v>
      </c>
      <c r="FC305" s="27" t="s">
        <v>8</v>
      </c>
      <c r="FD305" s="27" t="s">
        <v>7</v>
      </c>
      <c r="FG305" s="27" t="s">
        <v>8</v>
      </c>
      <c r="FH305" s="35" t="s">
        <v>7</v>
      </c>
      <c r="FJ305" s="35" t="s">
        <v>7</v>
      </c>
      <c r="FL305" s="32"/>
      <c r="FN305" s="27" t="s">
        <v>7</v>
      </c>
      <c r="FO305" s="27" t="s">
        <v>8</v>
      </c>
      <c r="FP305" s="27" t="s">
        <v>7</v>
      </c>
    </row>
    <row r="306" spans="1:185" x14ac:dyDescent="0.25">
      <c r="A306" s="30">
        <v>1.1025</v>
      </c>
      <c r="B306"/>
      <c r="C306"/>
      <c r="D306"/>
      <c r="E306"/>
      <c r="DC306" s="27" t="s">
        <v>8</v>
      </c>
      <c r="DQ306" s="32"/>
      <c r="EH306" s="27" t="s">
        <v>7</v>
      </c>
      <c r="EI306" s="27" t="s">
        <v>8</v>
      </c>
      <c r="EJ306" s="27" t="s">
        <v>7</v>
      </c>
      <c r="EK306" s="27" t="s">
        <v>8</v>
      </c>
      <c r="EL306" s="27" t="s">
        <v>7</v>
      </c>
      <c r="EM306" s="27" t="s">
        <v>8</v>
      </c>
      <c r="EN306" s="27" t="s">
        <v>7</v>
      </c>
      <c r="ES306" s="32"/>
      <c r="EW306" s="27" t="s">
        <v>8</v>
      </c>
      <c r="EY306" s="27" t="s">
        <v>8</v>
      </c>
      <c r="EZ306" s="27" t="s">
        <v>7</v>
      </c>
      <c r="FA306" s="27" t="s">
        <v>8</v>
      </c>
      <c r="FC306" s="27" t="s">
        <v>8</v>
      </c>
      <c r="FD306" s="27" t="s">
        <v>7</v>
      </c>
      <c r="FE306" s="27" t="s">
        <v>8</v>
      </c>
      <c r="FG306" s="27" t="s">
        <v>8</v>
      </c>
      <c r="FK306" s="32"/>
      <c r="FN306" s="27" t="s">
        <v>7</v>
      </c>
      <c r="FO306" s="27" t="s">
        <v>8</v>
      </c>
      <c r="FP306" s="27" t="s">
        <v>7</v>
      </c>
    </row>
    <row r="307" spans="1:185" x14ac:dyDescent="0.25">
      <c r="A307" s="30">
        <v>1.05</v>
      </c>
      <c r="B307"/>
      <c r="C307"/>
      <c r="D307"/>
      <c r="E307"/>
      <c r="DC307" s="27" t="s">
        <v>8</v>
      </c>
      <c r="DP307" s="32"/>
      <c r="EH307" s="27" t="s">
        <v>7</v>
      </c>
      <c r="EI307" s="27" t="s">
        <v>8</v>
      </c>
      <c r="EJ307" s="27" t="s">
        <v>7</v>
      </c>
      <c r="EK307" s="27" t="s">
        <v>8</v>
      </c>
      <c r="EL307" s="27" t="s">
        <v>7</v>
      </c>
      <c r="EM307" s="27" t="s">
        <v>8</v>
      </c>
      <c r="EN307" s="27" t="s">
        <v>7</v>
      </c>
      <c r="ET307" s="32"/>
      <c r="EW307" s="27" t="s">
        <v>8</v>
      </c>
      <c r="EX307" s="27" t="s">
        <v>7</v>
      </c>
      <c r="EY307" s="27" t="s">
        <v>8</v>
      </c>
      <c r="EZ307" s="27" t="s">
        <v>7</v>
      </c>
      <c r="FA307" s="27" t="s">
        <v>8</v>
      </c>
      <c r="FB307" s="27" t="s">
        <v>7</v>
      </c>
      <c r="FC307" s="27" t="s">
        <v>8</v>
      </c>
      <c r="FD307" s="27" t="s">
        <v>7</v>
      </c>
      <c r="FE307" s="27" t="s">
        <v>8</v>
      </c>
      <c r="FF307" s="27" t="s">
        <v>7</v>
      </c>
      <c r="FG307" s="27" t="s">
        <v>8</v>
      </c>
      <c r="FJ307" s="32"/>
      <c r="FN307" s="27" t="s">
        <v>7</v>
      </c>
      <c r="FP307" s="27" t="s">
        <v>7</v>
      </c>
    </row>
    <row r="308" spans="1:185" x14ac:dyDescent="0.25">
      <c r="A308" s="30">
        <v>1</v>
      </c>
      <c r="B308"/>
      <c r="C308"/>
      <c r="D308"/>
      <c r="E308" t="s">
        <v>8</v>
      </c>
      <c r="DC308" s="27" t="s">
        <v>8</v>
      </c>
      <c r="DO308" s="32"/>
      <c r="EH308" s="27" t="s">
        <v>7</v>
      </c>
      <c r="EI308" s="27" t="s">
        <v>8</v>
      </c>
      <c r="EJ308" s="27" t="s">
        <v>7</v>
      </c>
      <c r="EK308" s="27" t="s">
        <v>8</v>
      </c>
      <c r="EL308" s="27" t="s">
        <v>7</v>
      </c>
      <c r="EM308" s="27" t="s">
        <v>8</v>
      </c>
      <c r="EN308" s="27" t="s">
        <v>7</v>
      </c>
      <c r="EU308" s="32"/>
      <c r="EW308" s="27" t="s">
        <v>8</v>
      </c>
      <c r="EX308" s="27" t="s">
        <v>7</v>
      </c>
      <c r="EY308" s="27" t="s">
        <v>8</v>
      </c>
      <c r="EZ308" s="27" t="s">
        <v>7</v>
      </c>
      <c r="FA308" s="27" t="s">
        <v>8</v>
      </c>
      <c r="FB308" s="27" t="s">
        <v>7</v>
      </c>
      <c r="FC308" s="27" t="s">
        <v>8</v>
      </c>
      <c r="FD308" s="27" t="s">
        <v>7</v>
      </c>
      <c r="FE308" s="27" t="s">
        <v>8</v>
      </c>
      <c r="FF308" s="27" t="s">
        <v>7</v>
      </c>
      <c r="FG308" s="27" t="s">
        <v>8</v>
      </c>
      <c r="FI308" s="32"/>
      <c r="FP308" s="27" t="s">
        <v>7</v>
      </c>
    </row>
    <row r="309" spans="1:185" x14ac:dyDescent="0.25">
      <c r="A309" s="30">
        <v>0.952380952380952</v>
      </c>
      <c r="B309"/>
      <c r="C309"/>
      <c r="D309"/>
      <c r="E309"/>
      <c r="F309" s="27" t="s">
        <v>7</v>
      </c>
      <c r="BW309" s="27" t="s">
        <v>8</v>
      </c>
      <c r="DC309" s="27" t="s">
        <v>8</v>
      </c>
      <c r="DN309" s="32"/>
      <c r="EH309" s="27" t="s">
        <v>7</v>
      </c>
      <c r="EI309" s="27" t="s">
        <v>8</v>
      </c>
      <c r="EJ309" s="27" t="s">
        <v>7</v>
      </c>
      <c r="EK309" s="27" t="s">
        <v>8</v>
      </c>
      <c r="EL309" s="27" t="s">
        <v>7</v>
      </c>
      <c r="EM309" s="27" t="s">
        <v>8</v>
      </c>
      <c r="EN309" s="27" t="s">
        <v>7</v>
      </c>
      <c r="EO309" s="27" t="s">
        <v>8</v>
      </c>
      <c r="EV309" s="32"/>
      <c r="EW309" s="27" t="s">
        <v>8</v>
      </c>
      <c r="EX309" s="27" t="s">
        <v>7</v>
      </c>
      <c r="EZ309" s="27" t="s">
        <v>7</v>
      </c>
      <c r="FA309" s="27" t="s">
        <v>8</v>
      </c>
      <c r="FB309" s="27" t="s">
        <v>7</v>
      </c>
      <c r="FD309" s="27" t="s">
        <v>7</v>
      </c>
      <c r="FE309" s="27" t="s">
        <v>8</v>
      </c>
      <c r="FF309" s="27" t="s">
        <v>7</v>
      </c>
      <c r="FG309" s="27" t="s">
        <v>8</v>
      </c>
      <c r="FH309" s="32"/>
      <c r="FP309" s="27" t="s">
        <v>7</v>
      </c>
      <c r="FS309" s="27" t="s">
        <v>8</v>
      </c>
      <c r="FW309" s="27" t="s">
        <v>8</v>
      </c>
    </row>
    <row r="310" spans="1:185" x14ac:dyDescent="0.25">
      <c r="A310" s="30">
        <v>0.90702947845804915</v>
      </c>
      <c r="B310"/>
      <c r="C310"/>
      <c r="D310"/>
      <c r="E310"/>
      <c r="F310" s="27" t="s">
        <v>7</v>
      </c>
      <c r="BW310" s="27" t="s">
        <v>8</v>
      </c>
      <c r="BX310" s="27" t="s">
        <v>7</v>
      </c>
      <c r="DC310" s="27" t="s">
        <v>8</v>
      </c>
      <c r="DM310" s="32"/>
      <c r="EH310" s="27" t="s">
        <v>7</v>
      </c>
      <c r="EI310" s="27" t="s">
        <v>8</v>
      </c>
      <c r="EJ310" s="27" t="s">
        <v>7</v>
      </c>
      <c r="EK310" s="27" t="s">
        <v>8</v>
      </c>
      <c r="EL310" s="27" t="s">
        <v>7</v>
      </c>
      <c r="EM310" s="27" t="s">
        <v>8</v>
      </c>
      <c r="EN310" s="27" t="s">
        <v>7</v>
      </c>
      <c r="EO310" s="27" t="s">
        <v>8</v>
      </c>
      <c r="EP310" s="27" t="s">
        <v>7</v>
      </c>
      <c r="EW310" s="33" t="s">
        <v>8</v>
      </c>
      <c r="EZ310" s="27" t="s">
        <v>7</v>
      </c>
      <c r="FD310" s="27" t="s">
        <v>7</v>
      </c>
      <c r="FE310" s="27" t="s">
        <v>8</v>
      </c>
      <c r="FF310" s="27" t="s">
        <v>7</v>
      </c>
      <c r="FG310" s="32"/>
      <c r="FP310" s="27" t="s">
        <v>7</v>
      </c>
      <c r="FQ310" s="27" t="s">
        <v>8</v>
      </c>
      <c r="FS310" s="27" t="s">
        <v>8</v>
      </c>
      <c r="FT310" s="27" t="s">
        <v>7</v>
      </c>
      <c r="FU310" s="27" t="s">
        <v>8</v>
      </c>
      <c r="FW310" s="27" t="s">
        <v>8</v>
      </c>
      <c r="FX310" s="27" t="s">
        <v>7</v>
      </c>
    </row>
    <row r="311" spans="1:185" x14ac:dyDescent="0.25">
      <c r="A311" s="30">
        <v>0.86383759853147501</v>
      </c>
      <c r="B311"/>
      <c r="C311"/>
      <c r="D311"/>
      <c r="E311"/>
      <c r="F311" s="27" t="s">
        <v>7</v>
      </c>
      <c r="BW311" s="27" t="s">
        <v>8</v>
      </c>
      <c r="BX311" s="27" t="s">
        <v>7</v>
      </c>
      <c r="DC311" s="27" t="s">
        <v>8</v>
      </c>
      <c r="DL311" s="32"/>
      <c r="EH311" s="27" t="s">
        <v>7</v>
      </c>
      <c r="EI311" s="27" t="s">
        <v>8</v>
      </c>
      <c r="EJ311" s="27" t="s">
        <v>7</v>
      </c>
      <c r="EK311" s="27" t="s">
        <v>8</v>
      </c>
      <c r="EL311" s="27" t="s">
        <v>7</v>
      </c>
      <c r="EN311" s="27" t="s">
        <v>7</v>
      </c>
      <c r="EO311" s="27" t="s">
        <v>8</v>
      </c>
      <c r="EP311" s="27" t="s">
        <v>7</v>
      </c>
      <c r="EU311" s="27" t="s">
        <v>8</v>
      </c>
      <c r="EW311" s="27" t="s">
        <v>8</v>
      </c>
      <c r="EX311" s="32"/>
      <c r="FD311" s="27" t="s">
        <v>7</v>
      </c>
      <c r="FE311" s="27" t="s">
        <v>8</v>
      </c>
      <c r="FF311" s="32"/>
      <c r="FP311" s="27" t="s">
        <v>7</v>
      </c>
      <c r="FQ311" s="27" t="s">
        <v>8</v>
      </c>
      <c r="FR311" s="27" t="s">
        <v>7</v>
      </c>
      <c r="FS311" s="27" t="s">
        <v>8</v>
      </c>
      <c r="FT311" s="27" t="s">
        <v>7</v>
      </c>
      <c r="FU311" s="27" t="s">
        <v>8</v>
      </c>
      <c r="FV311" s="27" t="s">
        <v>7</v>
      </c>
      <c r="FW311" s="27" t="s">
        <v>8</v>
      </c>
      <c r="FX311" s="27" t="s">
        <v>7</v>
      </c>
    </row>
    <row r="312" spans="1:185" x14ac:dyDescent="0.25">
      <c r="A312" s="30">
        <v>0.82270247479188063</v>
      </c>
      <c r="B312"/>
      <c r="C312"/>
      <c r="D312"/>
      <c r="E312"/>
      <c r="F312" s="27" t="s">
        <v>7</v>
      </c>
      <c r="BW312" s="27" t="s">
        <v>8</v>
      </c>
      <c r="BX312" s="27" t="s">
        <v>7</v>
      </c>
      <c r="DC312" s="27" t="s">
        <v>8</v>
      </c>
      <c r="DK312" s="32"/>
      <c r="EH312" s="27" t="s">
        <v>7</v>
      </c>
      <c r="EJ312" s="27" t="s">
        <v>7</v>
      </c>
      <c r="EK312" s="27" t="s">
        <v>8</v>
      </c>
      <c r="EN312" s="34" t="s">
        <v>7</v>
      </c>
      <c r="EP312" s="27" t="s">
        <v>7</v>
      </c>
      <c r="ES312" s="27" t="s">
        <v>8</v>
      </c>
      <c r="EU312" s="27" t="s">
        <v>8</v>
      </c>
      <c r="EV312" s="27" t="s">
        <v>7</v>
      </c>
      <c r="EW312" s="27" t="s">
        <v>8</v>
      </c>
      <c r="EY312" s="32"/>
      <c r="FD312" s="27" t="s">
        <v>7</v>
      </c>
      <c r="FE312" s="32"/>
      <c r="FP312" s="27" t="s">
        <v>7</v>
      </c>
      <c r="FQ312" s="27" t="s">
        <v>8</v>
      </c>
      <c r="FR312" s="27" t="s">
        <v>7</v>
      </c>
      <c r="FS312" s="27" t="s">
        <v>8</v>
      </c>
      <c r="FT312" s="27" t="s">
        <v>7</v>
      </c>
      <c r="FU312" s="27" t="s">
        <v>8</v>
      </c>
      <c r="FV312" s="27" t="s">
        <v>7</v>
      </c>
      <c r="FW312" s="27" t="s">
        <v>8</v>
      </c>
      <c r="FX312" s="27" t="s">
        <v>7</v>
      </c>
    </row>
    <row r="313" spans="1:185" x14ac:dyDescent="0.25">
      <c r="A313" s="30">
        <v>0.78352616646845741</v>
      </c>
      <c r="B313"/>
      <c r="C313"/>
      <c r="D313"/>
      <c r="E313"/>
      <c r="F313" s="27" t="s">
        <v>7</v>
      </c>
      <c r="BW313" s="27" t="s">
        <v>8</v>
      </c>
      <c r="BX313" s="27" t="s">
        <v>7</v>
      </c>
      <c r="BY313" s="27" t="s">
        <v>8</v>
      </c>
      <c r="DA313" s="27" t="s">
        <v>8</v>
      </c>
      <c r="DC313" s="27" t="s">
        <v>8</v>
      </c>
      <c r="DJ313" s="32"/>
      <c r="EJ313" s="27" t="s">
        <v>7</v>
      </c>
      <c r="EK313" s="27" t="s">
        <v>8</v>
      </c>
      <c r="EP313" s="27" t="s">
        <v>7</v>
      </c>
      <c r="ES313" s="27" t="s">
        <v>8</v>
      </c>
      <c r="ET313" s="27" t="s">
        <v>7</v>
      </c>
      <c r="EU313" s="27" t="s">
        <v>8</v>
      </c>
      <c r="EV313" s="27" t="s">
        <v>7</v>
      </c>
      <c r="EW313" s="27" t="s">
        <v>8</v>
      </c>
      <c r="FD313" s="32"/>
      <c r="FP313" s="27" t="s">
        <v>7</v>
      </c>
      <c r="FQ313" s="27" t="s">
        <v>8</v>
      </c>
      <c r="FR313" s="27" t="s">
        <v>7</v>
      </c>
      <c r="FT313" s="27" t="s">
        <v>7</v>
      </c>
      <c r="FU313" s="27" t="s">
        <v>8</v>
      </c>
      <c r="FV313" s="27" t="s">
        <v>7</v>
      </c>
      <c r="FW313" s="27" t="s">
        <v>8</v>
      </c>
      <c r="FX313" s="27" t="s">
        <v>7</v>
      </c>
      <c r="FY313" s="27" t="s">
        <v>8</v>
      </c>
    </row>
    <row r="314" spans="1:185" x14ac:dyDescent="0.25">
      <c r="A314" s="30">
        <v>0.74621539663662584</v>
      </c>
      <c r="B314"/>
      <c r="C314"/>
      <c r="D314"/>
      <c r="E314"/>
      <c r="F314" s="27" t="s">
        <v>7</v>
      </c>
      <c r="BW314" s="27" t="s">
        <v>8</v>
      </c>
      <c r="BX314" s="27" t="s">
        <v>7</v>
      </c>
      <c r="BY314" s="27" t="s">
        <v>8</v>
      </c>
      <c r="BZ314" s="27" t="s">
        <v>7</v>
      </c>
      <c r="DA314" s="27" t="s">
        <v>8</v>
      </c>
      <c r="DB314" s="27" t="s">
        <v>7</v>
      </c>
      <c r="DC314" s="27" t="s">
        <v>8</v>
      </c>
      <c r="DI314" s="32"/>
      <c r="EJ314" s="27" t="s">
        <v>7</v>
      </c>
      <c r="EK314" s="27" t="s">
        <v>8</v>
      </c>
      <c r="EP314" s="27" t="s">
        <v>7</v>
      </c>
      <c r="ES314" s="27" t="s">
        <v>8</v>
      </c>
      <c r="ET314" s="27" t="s">
        <v>7</v>
      </c>
      <c r="EU314" s="27" t="s">
        <v>8</v>
      </c>
      <c r="EV314" s="27" t="s">
        <v>7</v>
      </c>
      <c r="EW314" s="27" t="s">
        <v>8</v>
      </c>
      <c r="FC314" s="32"/>
      <c r="FP314" s="27" t="s">
        <v>7</v>
      </c>
      <c r="FQ314" s="27" t="s">
        <v>8</v>
      </c>
      <c r="FT314" s="27" t="s">
        <v>7</v>
      </c>
      <c r="FV314" s="27" t="s">
        <v>7</v>
      </c>
      <c r="FX314" s="27" t="s">
        <v>7</v>
      </c>
      <c r="FY314" s="27" t="s">
        <v>8</v>
      </c>
      <c r="FZ314" s="27" t="s">
        <v>7</v>
      </c>
    </row>
    <row r="315" spans="1:185" x14ac:dyDescent="0.25">
      <c r="A315" s="30">
        <v>0.71068133013011958</v>
      </c>
      <c r="B315"/>
      <c r="C315"/>
      <c r="D315"/>
      <c r="E315"/>
      <c r="F315" s="27" t="s">
        <v>7</v>
      </c>
      <c r="BW315" s="27" t="s">
        <v>8</v>
      </c>
      <c r="BX315" s="27" t="s">
        <v>7</v>
      </c>
      <c r="BY315" s="27" t="s">
        <v>8</v>
      </c>
      <c r="BZ315" s="27" t="s">
        <v>7</v>
      </c>
      <c r="DA315" s="27" t="s">
        <v>8</v>
      </c>
      <c r="DB315" s="27" t="s">
        <v>7</v>
      </c>
      <c r="DC315" s="27" t="s">
        <v>8</v>
      </c>
      <c r="DH315" s="32"/>
      <c r="EJ315" s="27" t="s">
        <v>7</v>
      </c>
      <c r="EK315" s="27" t="s">
        <v>8</v>
      </c>
      <c r="EP315" s="27" t="s">
        <v>7</v>
      </c>
      <c r="ES315" s="33" t="s">
        <v>8</v>
      </c>
      <c r="ET315" s="27" t="s">
        <v>7</v>
      </c>
      <c r="EV315" s="27" t="s">
        <v>7</v>
      </c>
      <c r="EW315" s="27" t="s">
        <v>8</v>
      </c>
      <c r="FB315" s="32"/>
      <c r="FP315" s="27" t="s">
        <v>7</v>
      </c>
      <c r="FX315" s="27" t="s">
        <v>7</v>
      </c>
      <c r="FY315" s="27" t="s">
        <v>8</v>
      </c>
      <c r="FZ315" s="27" t="s">
        <v>7</v>
      </c>
    </row>
    <row r="316" spans="1:185" x14ac:dyDescent="0.25">
      <c r="A316" s="30">
        <v>0.676839362028685</v>
      </c>
      <c r="B316"/>
      <c r="C316"/>
      <c r="D316"/>
      <c r="E316"/>
      <c r="F316" s="27" t="s">
        <v>7</v>
      </c>
      <c r="BW316" s="27" t="s">
        <v>8</v>
      </c>
      <c r="BX316" s="27" t="s">
        <v>7</v>
      </c>
      <c r="BY316" s="27" t="s">
        <v>8</v>
      </c>
      <c r="BZ316" s="27" t="s">
        <v>7</v>
      </c>
      <c r="CY316" s="27" t="s">
        <v>8</v>
      </c>
      <c r="DA316" s="27" t="s">
        <v>8</v>
      </c>
      <c r="DB316" s="27" t="s">
        <v>7</v>
      </c>
      <c r="DC316" s="27" t="s">
        <v>8</v>
      </c>
      <c r="DG316" s="32"/>
      <c r="EJ316" s="27" t="s">
        <v>7</v>
      </c>
      <c r="EK316" s="27" t="s">
        <v>8</v>
      </c>
      <c r="EP316" s="27" t="s">
        <v>7</v>
      </c>
      <c r="EQ316" s="27" t="s">
        <v>8</v>
      </c>
      <c r="ES316" s="27" t="s">
        <v>8</v>
      </c>
      <c r="EV316" s="34" t="s">
        <v>7</v>
      </c>
      <c r="EW316" s="27" t="s">
        <v>8</v>
      </c>
      <c r="FA316" s="32"/>
      <c r="FX316" s="27" t="s">
        <v>7</v>
      </c>
      <c r="FZ316" s="27" t="s">
        <v>7</v>
      </c>
    </row>
    <row r="317" spans="1:185" x14ac:dyDescent="0.25">
      <c r="A317" s="30">
        <v>0.64460891621779492</v>
      </c>
      <c r="B317"/>
      <c r="C317"/>
      <c r="D317"/>
      <c r="E317"/>
      <c r="F317" s="27" t="s">
        <v>7</v>
      </c>
      <c r="BW317" s="27" t="s">
        <v>8</v>
      </c>
      <c r="BX317" s="27" t="s">
        <v>7</v>
      </c>
      <c r="BZ317" s="27" t="s">
        <v>7</v>
      </c>
      <c r="CY317" s="33" t="s">
        <v>8</v>
      </c>
      <c r="CZ317" s="27" t="s">
        <v>7</v>
      </c>
      <c r="DA317" s="27" t="s">
        <v>8</v>
      </c>
      <c r="DB317" s="27" t="s">
        <v>7</v>
      </c>
      <c r="DF317" s="32"/>
      <c r="EJ317" s="27" t="s">
        <v>7</v>
      </c>
      <c r="EP317" s="27" t="s">
        <v>7</v>
      </c>
      <c r="EQ317" s="27" t="s">
        <v>8</v>
      </c>
      <c r="ER317" s="27" t="s">
        <v>7</v>
      </c>
      <c r="ES317" s="27" t="s">
        <v>8</v>
      </c>
      <c r="EV317" s="27" t="s">
        <v>7</v>
      </c>
      <c r="EW317" s="27" t="s">
        <v>8</v>
      </c>
      <c r="EZ317" s="32"/>
      <c r="FZ317" s="27" t="s">
        <v>7</v>
      </c>
    </row>
    <row r="318" spans="1:185" x14ac:dyDescent="0.25">
      <c r="A318" s="30">
        <v>0.61391325354075688</v>
      </c>
      <c r="B318"/>
      <c r="C318"/>
      <c r="D318"/>
      <c r="E318"/>
      <c r="F318" s="27" t="s">
        <v>7</v>
      </c>
      <c r="BU318" s="27" t="s">
        <v>8</v>
      </c>
      <c r="BW318" s="27" t="s">
        <v>8</v>
      </c>
      <c r="BZ318" s="27" t="s">
        <v>7</v>
      </c>
      <c r="CU318" s="27" t="s">
        <v>8</v>
      </c>
      <c r="CV318" s="35"/>
      <c r="CW318" s="35" t="s">
        <v>8</v>
      </c>
      <c r="CY318" s="27" t="s">
        <v>8</v>
      </c>
      <c r="CZ318" s="27" t="s">
        <v>7</v>
      </c>
      <c r="DA318" s="27" t="s">
        <v>8</v>
      </c>
      <c r="DE318" s="32"/>
      <c r="EP318" s="27" t="s">
        <v>7</v>
      </c>
      <c r="EQ318" s="27" t="s">
        <v>8</v>
      </c>
      <c r="ER318" s="27" t="s">
        <v>7</v>
      </c>
      <c r="ES318" s="27" t="s">
        <v>8</v>
      </c>
      <c r="EV318" s="27" t="s">
        <v>7</v>
      </c>
      <c r="EW318" s="27" t="s">
        <v>8</v>
      </c>
      <c r="EY318" s="32"/>
      <c r="FZ318" s="27" t="s">
        <v>7</v>
      </c>
    </row>
    <row r="319" spans="1:185" x14ac:dyDescent="0.25">
      <c r="A319" s="30">
        <v>0.58467928908643485</v>
      </c>
      <c r="B319"/>
      <c r="C319"/>
      <c r="D319"/>
      <c r="E319"/>
      <c r="F319" s="27" t="s">
        <v>7</v>
      </c>
      <c r="BU319" s="27" t="s">
        <v>8</v>
      </c>
      <c r="BV319" s="27" t="s">
        <v>7</v>
      </c>
      <c r="BW319" s="27" t="s">
        <v>8</v>
      </c>
      <c r="BZ319" s="27" t="s">
        <v>7</v>
      </c>
      <c r="CU319" s="27" t="s">
        <v>8</v>
      </c>
      <c r="CV319" s="27" t="s">
        <v>7</v>
      </c>
      <c r="CW319" s="27" t="s">
        <v>8</v>
      </c>
      <c r="CX319" s="27" t="s">
        <v>7</v>
      </c>
      <c r="CY319" s="27" t="s">
        <v>8</v>
      </c>
      <c r="CZ319" s="27" t="s">
        <v>7</v>
      </c>
      <c r="DD319" s="32"/>
      <c r="EP319" s="27" t="s">
        <v>7</v>
      </c>
      <c r="EQ319" s="27" t="s">
        <v>8</v>
      </c>
      <c r="ER319" s="27" t="s">
        <v>7</v>
      </c>
      <c r="EV319" s="18" t="s">
        <v>7</v>
      </c>
      <c r="EW319" s="27" t="s">
        <v>8</v>
      </c>
      <c r="EX319" s="32"/>
      <c r="FZ319" s="27" t="s">
        <v>7</v>
      </c>
    </row>
    <row r="320" spans="1:185" x14ac:dyDescent="0.25">
      <c r="A320" s="30">
        <v>0.55683741817755672</v>
      </c>
      <c r="B320"/>
      <c r="C320"/>
      <c r="D320"/>
      <c r="E320"/>
      <c r="F320" s="27" t="s">
        <v>7</v>
      </c>
      <c r="BU320" s="27" t="s">
        <v>8</v>
      </c>
      <c r="BV320" s="27" t="s">
        <v>7</v>
      </c>
      <c r="BW320" s="27" t="s">
        <v>8</v>
      </c>
      <c r="BZ320" s="27" t="s">
        <v>7</v>
      </c>
      <c r="CU320" s="27" t="s">
        <v>8</v>
      </c>
      <c r="CV320" s="27" t="s">
        <v>7</v>
      </c>
      <c r="CW320" s="27" t="s">
        <v>8</v>
      </c>
      <c r="CX320" s="27" t="s">
        <v>7</v>
      </c>
      <c r="CY320" s="27" t="s">
        <v>8</v>
      </c>
      <c r="DC320" s="32"/>
      <c r="EP320" s="27" t="s">
        <v>7</v>
      </c>
      <c r="EQ320" s="27" t="s">
        <v>8</v>
      </c>
      <c r="EV320" s="27" t="s">
        <v>7</v>
      </c>
      <c r="EW320" s="32" t="s">
        <v>8</v>
      </c>
      <c r="FZ320" s="27" t="s">
        <v>7</v>
      </c>
      <c r="GA320" s="27" t="s">
        <v>8</v>
      </c>
      <c r="GC320" s="27" t="s">
        <v>8</v>
      </c>
    </row>
    <row r="321" spans="1:185" x14ac:dyDescent="0.25">
      <c r="A321" s="30">
        <v>0.53032135064529184</v>
      </c>
      <c r="B321"/>
      <c r="C321"/>
      <c r="D321"/>
      <c r="E321"/>
      <c r="F321" s="27" t="s">
        <v>7</v>
      </c>
      <c r="BU321" s="27" t="s">
        <v>8</v>
      </c>
      <c r="BV321" s="27" t="s">
        <v>7</v>
      </c>
      <c r="BW321" s="27" t="s">
        <v>8</v>
      </c>
      <c r="BZ321" s="27" t="s">
        <v>7</v>
      </c>
      <c r="CE321" s="27" t="s">
        <v>8</v>
      </c>
      <c r="CU321" s="27" t="s">
        <v>8</v>
      </c>
      <c r="CV321" s="27" t="s">
        <v>7</v>
      </c>
      <c r="CW321" s="27" t="s">
        <v>8</v>
      </c>
      <c r="CX321" s="27" t="s">
        <v>7</v>
      </c>
      <c r="CY321" s="27" t="s">
        <v>8</v>
      </c>
      <c r="DB321" s="32"/>
      <c r="EP321" s="27" t="s">
        <v>7</v>
      </c>
      <c r="EQ321" s="27" t="s">
        <v>8</v>
      </c>
      <c r="EV321" s="32" t="s">
        <v>7</v>
      </c>
      <c r="FZ321" s="27" t="s">
        <v>7</v>
      </c>
      <c r="GA321" s="27" t="s">
        <v>8</v>
      </c>
      <c r="GB321" s="27" t="s">
        <v>7</v>
      </c>
      <c r="GC321" s="27" t="s">
        <v>8</v>
      </c>
    </row>
    <row r="322" spans="1:185" x14ac:dyDescent="0.25">
      <c r="A322" s="30">
        <v>0.50506795299551588</v>
      </c>
      <c r="B322"/>
      <c r="C322"/>
      <c r="D322"/>
      <c r="E322"/>
      <c r="F322" s="27" t="s">
        <v>7</v>
      </c>
      <c r="BU322" s="27" t="s">
        <v>8</v>
      </c>
      <c r="BV322" s="27" t="s">
        <v>7</v>
      </c>
      <c r="BZ322" s="27" t="s">
        <v>7</v>
      </c>
      <c r="CA322" s="27" t="s">
        <v>8</v>
      </c>
      <c r="CE322" s="27" t="s">
        <v>8</v>
      </c>
      <c r="CF322" s="27" t="s">
        <v>7</v>
      </c>
      <c r="CK322" s="27" t="s">
        <v>8</v>
      </c>
      <c r="CU322" s="27" t="s">
        <v>8</v>
      </c>
      <c r="CV322" s="27" t="s">
        <v>7</v>
      </c>
      <c r="CW322" s="27" t="s">
        <v>8</v>
      </c>
      <c r="CX322" s="27" t="s">
        <v>7</v>
      </c>
      <c r="CY322" s="27" t="s">
        <v>8</v>
      </c>
      <c r="DA322" s="32"/>
      <c r="EP322" s="27" t="s">
        <v>7</v>
      </c>
      <c r="FZ322" s="27" t="s">
        <v>7</v>
      </c>
      <c r="GA322" s="27" t="s">
        <v>8</v>
      </c>
      <c r="GB322" s="27" t="s">
        <v>7</v>
      </c>
      <c r="GC322" s="27" t="s">
        <v>8</v>
      </c>
    </row>
    <row r="323" spans="1:185" x14ac:dyDescent="0.25">
      <c r="A323" s="30">
        <v>0.48101709809096732</v>
      </c>
      <c r="B323"/>
      <c r="C323"/>
      <c r="D323"/>
      <c r="E323"/>
      <c r="F323" s="27" t="s">
        <v>7</v>
      </c>
      <c r="BG323" s="27" t="s">
        <v>8</v>
      </c>
      <c r="BS323" s="27" t="s">
        <v>8</v>
      </c>
      <c r="BU323" s="27" t="s">
        <v>8</v>
      </c>
      <c r="BZ323" s="27" t="s">
        <v>7</v>
      </c>
      <c r="CA323" s="27" t="s">
        <v>8</v>
      </c>
      <c r="CB323" s="27" t="s">
        <v>7</v>
      </c>
      <c r="CC323" s="27" t="s">
        <v>8</v>
      </c>
      <c r="CE323" s="27" t="s">
        <v>8</v>
      </c>
      <c r="CF323" s="27" t="s">
        <v>7</v>
      </c>
      <c r="CK323" s="27" t="s">
        <v>8</v>
      </c>
      <c r="CL323" s="27" t="s">
        <v>7</v>
      </c>
      <c r="CS323" s="27" t="s">
        <v>8</v>
      </c>
      <c r="CU323" s="27" t="s">
        <v>8</v>
      </c>
      <c r="CV323" s="27" t="s">
        <v>7</v>
      </c>
      <c r="CW323" s="27" t="s">
        <v>8</v>
      </c>
      <c r="CX323" s="27" t="s">
        <v>7</v>
      </c>
      <c r="CY323" s="27" t="s">
        <v>8</v>
      </c>
      <c r="CZ323" s="32"/>
      <c r="FZ323" s="27" t="s">
        <v>7</v>
      </c>
      <c r="GB323" s="27" t="s">
        <v>7</v>
      </c>
      <c r="GC323" s="27" t="s">
        <v>8</v>
      </c>
    </row>
    <row r="324" spans="1:185" x14ac:dyDescent="0.25">
      <c r="A324" s="30">
        <v>0.45811152199139726</v>
      </c>
      <c r="B324"/>
      <c r="C324"/>
      <c r="D324"/>
      <c r="E324"/>
      <c r="F324" s="27" t="s">
        <v>7</v>
      </c>
      <c r="BG324" s="27" t="s">
        <v>8</v>
      </c>
      <c r="BH324" s="27" t="s">
        <v>7</v>
      </c>
      <c r="BQ324" s="27" t="s">
        <v>8</v>
      </c>
      <c r="BS324" s="27" t="s">
        <v>8</v>
      </c>
      <c r="BT324" s="27" t="s">
        <v>7</v>
      </c>
      <c r="BU324" s="27" t="s">
        <v>8</v>
      </c>
      <c r="BZ324" s="27" t="s">
        <v>7</v>
      </c>
      <c r="CA324" s="27" t="s">
        <v>8</v>
      </c>
      <c r="CB324" s="27" t="s">
        <v>7</v>
      </c>
      <c r="CC324" s="27" t="s">
        <v>8</v>
      </c>
      <c r="CD324" s="27" t="s">
        <v>7</v>
      </c>
      <c r="CE324" s="27" t="s">
        <v>8</v>
      </c>
      <c r="CF324" s="27" t="s">
        <v>7</v>
      </c>
      <c r="CK324" s="27" t="s">
        <v>8</v>
      </c>
      <c r="CL324" s="27" t="s">
        <v>7</v>
      </c>
      <c r="CS324" s="27" t="s">
        <v>8</v>
      </c>
      <c r="CT324" s="27" t="s">
        <v>7</v>
      </c>
      <c r="CU324" s="27" t="s">
        <v>8</v>
      </c>
      <c r="CV324" s="27" t="s">
        <v>7</v>
      </c>
      <c r="CW324" s="27" t="s">
        <v>8</v>
      </c>
      <c r="CX324" s="27" t="s">
        <v>7</v>
      </c>
      <c r="CY324" s="32" t="s">
        <v>8</v>
      </c>
      <c r="GB324" s="27" t="s">
        <v>7</v>
      </c>
    </row>
    <row r="325" spans="1:185" x14ac:dyDescent="0.25">
      <c r="A325" s="30">
        <v>0.43629668761085438</v>
      </c>
      <c r="B325"/>
      <c r="C325"/>
      <c r="D325"/>
      <c r="E325"/>
      <c r="F325" s="27" t="s">
        <v>7</v>
      </c>
      <c r="BG325" s="27" t="s">
        <v>8</v>
      </c>
      <c r="BH325" s="27" t="s">
        <v>7</v>
      </c>
      <c r="BQ325" s="27" t="s">
        <v>8</v>
      </c>
      <c r="BR325" s="27" t="s">
        <v>7</v>
      </c>
      <c r="BS325" s="27" t="s">
        <v>8</v>
      </c>
      <c r="BT325" s="27" t="s">
        <v>7</v>
      </c>
      <c r="BU325" s="27" t="s">
        <v>8</v>
      </c>
      <c r="BZ325" s="27" t="s">
        <v>7</v>
      </c>
      <c r="CB325" s="27" t="s">
        <v>7</v>
      </c>
      <c r="CC325" s="27" t="s">
        <v>8</v>
      </c>
      <c r="CD325" s="27" t="s">
        <v>7</v>
      </c>
      <c r="CE325" s="27" t="s">
        <v>8</v>
      </c>
      <c r="CF325" s="27" t="s">
        <v>7</v>
      </c>
      <c r="CG325" s="27" t="s">
        <v>8</v>
      </c>
      <c r="CK325" s="27" t="s">
        <v>8</v>
      </c>
      <c r="CL325" s="27" t="s">
        <v>7</v>
      </c>
      <c r="CM325" s="27" t="s">
        <v>8</v>
      </c>
      <c r="CS325" s="33" t="s">
        <v>8</v>
      </c>
      <c r="CT325" s="27" t="s">
        <v>7</v>
      </c>
      <c r="CU325" s="27" t="s">
        <v>8</v>
      </c>
      <c r="CV325" s="27" t="s">
        <v>7</v>
      </c>
      <c r="CW325" s="27" t="s">
        <v>8</v>
      </c>
      <c r="CX325" s="32" t="s">
        <v>7</v>
      </c>
    </row>
    <row r="326" spans="1:185" x14ac:dyDescent="0.25">
      <c r="A326" s="30">
        <v>0.41552065486748019</v>
      </c>
      <c r="B326"/>
      <c r="C326"/>
      <c r="D326"/>
      <c r="E326"/>
      <c r="F326" s="27" t="s">
        <v>7</v>
      </c>
      <c r="BG326" s="27" t="s">
        <v>8</v>
      </c>
      <c r="BH326" s="27" t="s">
        <v>7</v>
      </c>
      <c r="BI326" s="27" t="s">
        <v>8</v>
      </c>
      <c r="BM326" s="27" t="s">
        <v>8</v>
      </c>
      <c r="BQ326" s="27" t="s">
        <v>8</v>
      </c>
      <c r="BR326" s="27" t="s">
        <v>7</v>
      </c>
      <c r="BS326" s="27" t="s">
        <v>8</v>
      </c>
      <c r="BT326" s="27" t="s">
        <v>7</v>
      </c>
      <c r="CB326" s="27" t="s">
        <v>7</v>
      </c>
      <c r="CD326" s="27" t="s">
        <v>7</v>
      </c>
      <c r="CF326" s="27" t="s">
        <v>7</v>
      </c>
      <c r="CG326" s="27" t="s">
        <v>8</v>
      </c>
      <c r="CH326" s="27" t="s">
        <v>7</v>
      </c>
      <c r="CI326" s="27" t="s">
        <v>8</v>
      </c>
      <c r="CK326" s="27" t="s">
        <v>8</v>
      </c>
      <c r="CL326" s="27" t="s">
        <v>7</v>
      </c>
      <c r="CM326" s="27" t="s">
        <v>8</v>
      </c>
      <c r="CN326" s="27" t="s">
        <v>7</v>
      </c>
      <c r="CO326" s="35" t="s">
        <v>8</v>
      </c>
      <c r="CQ326" s="35" t="s">
        <v>8</v>
      </c>
      <c r="CS326" s="27" t="s">
        <v>8</v>
      </c>
      <c r="CT326" s="27" t="s">
        <v>7</v>
      </c>
      <c r="CV326" s="32" t="s">
        <v>7</v>
      </c>
      <c r="CW326" s="32" t="s">
        <v>8</v>
      </c>
    </row>
    <row r="327" spans="1:185" x14ac:dyDescent="0.25">
      <c r="A327" s="30">
        <v>0.39573395701664765</v>
      </c>
      <c r="B327"/>
      <c r="C327"/>
      <c r="D327"/>
      <c r="E327"/>
      <c r="F327" s="27" t="s">
        <v>7</v>
      </c>
      <c r="BG327" s="27" t="s">
        <v>8</v>
      </c>
      <c r="BH327" s="27" t="s">
        <v>7</v>
      </c>
      <c r="BI327" s="27" t="s">
        <v>8</v>
      </c>
      <c r="BJ327" s="27" t="s">
        <v>7</v>
      </c>
      <c r="BM327" s="27" t="s">
        <v>8</v>
      </c>
      <c r="BN327" s="27" t="s">
        <v>7</v>
      </c>
      <c r="BQ327" s="27" t="s">
        <v>8</v>
      </c>
      <c r="BR327" s="27" t="s">
        <v>7</v>
      </c>
      <c r="BS327" s="27" t="s">
        <v>8</v>
      </c>
      <c r="CF327" s="27" t="s">
        <v>7</v>
      </c>
      <c r="CG327" s="27" t="s">
        <v>8</v>
      </c>
      <c r="CH327" s="27" t="s">
        <v>7</v>
      </c>
      <c r="CI327" s="27" t="s">
        <v>8</v>
      </c>
      <c r="CJ327" s="27" t="s">
        <v>7</v>
      </c>
      <c r="CK327" s="27" t="s">
        <v>8</v>
      </c>
      <c r="CL327" s="27" t="s">
        <v>7</v>
      </c>
      <c r="CM327" s="27" t="s">
        <v>8</v>
      </c>
      <c r="CN327" s="27" t="s">
        <v>7</v>
      </c>
      <c r="CO327" s="27" t="s">
        <v>8</v>
      </c>
      <c r="CP327" s="27" t="s">
        <v>7</v>
      </c>
      <c r="CQ327" s="27" t="s">
        <v>8</v>
      </c>
      <c r="CR327" s="27" t="s">
        <v>7</v>
      </c>
      <c r="CS327" s="27" t="s">
        <v>8</v>
      </c>
      <c r="CU327" s="32"/>
      <c r="CV327" s="34" t="s">
        <v>7</v>
      </c>
    </row>
    <row r="328" spans="1:185" x14ac:dyDescent="0.25">
      <c r="A328" s="30">
        <v>0.37688948287299762</v>
      </c>
      <c r="B328"/>
      <c r="C328"/>
      <c r="D328"/>
      <c r="E328"/>
      <c r="F328" s="27" t="s">
        <v>7</v>
      </c>
      <c r="G328" s="27" t="s">
        <v>8</v>
      </c>
      <c r="I328" s="27" t="s">
        <v>8</v>
      </c>
      <c r="BG328" s="27" t="s">
        <v>8</v>
      </c>
      <c r="BH328" s="27" t="s">
        <v>7</v>
      </c>
      <c r="BI328" s="27" t="s">
        <v>8</v>
      </c>
      <c r="BJ328" s="27" t="s">
        <v>7</v>
      </c>
      <c r="BM328" s="27" t="s">
        <v>8</v>
      </c>
      <c r="BN328" s="27" t="s">
        <v>7</v>
      </c>
      <c r="BO328" s="27" t="s">
        <v>8</v>
      </c>
      <c r="BQ328" s="27" t="s">
        <v>8</v>
      </c>
      <c r="BR328" s="27" t="s">
        <v>7</v>
      </c>
      <c r="BS328" s="27" t="s">
        <v>8</v>
      </c>
      <c r="CF328" s="27" t="s">
        <v>7</v>
      </c>
      <c r="CG328" s="27" t="s">
        <v>8</v>
      </c>
      <c r="CH328" s="27" t="s">
        <v>7</v>
      </c>
      <c r="CI328" s="27" t="s">
        <v>8</v>
      </c>
      <c r="CJ328" s="27" t="s">
        <v>7</v>
      </c>
      <c r="CK328" s="27" t="s">
        <v>8</v>
      </c>
      <c r="CL328" s="27" t="s">
        <v>7</v>
      </c>
      <c r="CN328" s="27" t="s">
        <v>7</v>
      </c>
      <c r="CO328" s="27" t="s">
        <v>8</v>
      </c>
      <c r="CP328" s="27" t="s">
        <v>7</v>
      </c>
      <c r="CQ328" s="27" t="s">
        <v>8</v>
      </c>
      <c r="CR328" s="27" t="s">
        <v>7</v>
      </c>
      <c r="CS328" s="27" t="s">
        <v>8</v>
      </c>
      <c r="CT328" s="32"/>
    </row>
    <row r="329" spans="1:185" x14ac:dyDescent="0.25">
      <c r="A329" s="30">
        <v>0.35894236464094997</v>
      </c>
      <c r="B329"/>
      <c r="C329"/>
      <c r="D329"/>
      <c r="E329"/>
      <c r="F329" s="27" t="s">
        <v>7</v>
      </c>
      <c r="G329" s="27" t="s">
        <v>8</v>
      </c>
      <c r="H329" s="27" t="s">
        <v>7</v>
      </c>
      <c r="I329" s="27" t="s">
        <v>8</v>
      </c>
      <c r="J329" s="27" t="s">
        <v>7</v>
      </c>
      <c r="K329" s="27" t="s">
        <v>8</v>
      </c>
      <c r="M329" s="27" t="s">
        <v>8</v>
      </c>
      <c r="O329" s="27" t="s">
        <v>8</v>
      </c>
      <c r="Q329" s="27" t="s">
        <v>8</v>
      </c>
      <c r="BG329" s="27" t="s">
        <v>8</v>
      </c>
      <c r="BH329" s="27" t="s">
        <v>7</v>
      </c>
      <c r="BI329" s="27" t="s">
        <v>8</v>
      </c>
      <c r="BJ329" s="27" t="s">
        <v>7</v>
      </c>
      <c r="BK329" s="27" t="s">
        <v>8</v>
      </c>
      <c r="BM329" s="27" t="s">
        <v>8</v>
      </c>
      <c r="BN329" s="27" t="s">
        <v>7</v>
      </c>
      <c r="BO329" s="27" t="s">
        <v>8</v>
      </c>
      <c r="BP329" s="27" t="s">
        <v>7</v>
      </c>
      <c r="BQ329" s="27" t="s">
        <v>8</v>
      </c>
      <c r="BR329" s="27" t="s">
        <v>7</v>
      </c>
      <c r="BS329" s="27" t="s">
        <v>8</v>
      </c>
      <c r="CF329" s="27" t="s">
        <v>7</v>
      </c>
      <c r="CG329" s="27" t="s">
        <v>8</v>
      </c>
      <c r="CH329" s="27" t="s">
        <v>7</v>
      </c>
      <c r="CI329" s="27" t="s">
        <v>8</v>
      </c>
      <c r="CJ329" s="27" t="s">
        <v>7</v>
      </c>
      <c r="CK329" s="27" t="s">
        <v>8</v>
      </c>
      <c r="CN329" s="27" t="s">
        <v>7</v>
      </c>
      <c r="CP329" s="27" t="s">
        <v>7</v>
      </c>
      <c r="CQ329" s="27" t="s">
        <v>8</v>
      </c>
      <c r="CR329" s="27" t="s">
        <v>7</v>
      </c>
      <c r="CS329" s="32"/>
    </row>
    <row r="330" spans="1:185" x14ac:dyDescent="0.25">
      <c r="A330" s="30">
        <v>0.34184987108661891</v>
      </c>
      <c r="B330"/>
      <c r="C330"/>
      <c r="D330"/>
      <c r="E330"/>
      <c r="F330" s="27" t="s">
        <v>7</v>
      </c>
      <c r="G330" s="27" t="s">
        <v>8</v>
      </c>
      <c r="H330" s="27" t="s">
        <v>7</v>
      </c>
      <c r="I330" s="27" t="s">
        <v>8</v>
      </c>
      <c r="J330" s="27" t="s">
        <v>7</v>
      </c>
      <c r="K330" s="27" t="s">
        <v>8</v>
      </c>
      <c r="L330" s="27" t="s">
        <v>7</v>
      </c>
      <c r="M330" s="27" t="s">
        <v>8</v>
      </c>
      <c r="N330" s="27" t="s">
        <v>7</v>
      </c>
      <c r="O330" s="27" t="s">
        <v>8</v>
      </c>
      <c r="P330" s="27" t="s">
        <v>7</v>
      </c>
      <c r="Q330" s="27" t="s">
        <v>8</v>
      </c>
      <c r="R330" s="27" t="s">
        <v>7</v>
      </c>
      <c r="S330" s="27" t="s">
        <v>8</v>
      </c>
      <c r="AG330" s="27" t="s">
        <v>8</v>
      </c>
      <c r="AI330" s="27" t="s">
        <v>8</v>
      </c>
      <c r="AS330" s="27" t="s">
        <v>8</v>
      </c>
      <c r="BG330" s="27" t="s">
        <v>8</v>
      </c>
      <c r="BH330" s="27" t="s">
        <v>7</v>
      </c>
      <c r="BJ330" s="27" t="s">
        <v>7</v>
      </c>
      <c r="BK330" s="27" t="s">
        <v>8</v>
      </c>
      <c r="BL330" s="27" t="s">
        <v>7</v>
      </c>
      <c r="BM330" s="27" t="s">
        <v>8</v>
      </c>
      <c r="BN330" s="27" t="s">
        <v>7</v>
      </c>
      <c r="BO330" s="27" t="s">
        <v>8</v>
      </c>
      <c r="BP330" s="27" t="s">
        <v>7</v>
      </c>
      <c r="BQ330" s="27" t="s">
        <v>8</v>
      </c>
      <c r="BR330" s="27" t="s">
        <v>7</v>
      </c>
      <c r="CF330" s="27" t="s">
        <v>7</v>
      </c>
      <c r="CH330" s="27" t="s">
        <v>7</v>
      </c>
      <c r="CJ330" s="27" t="s">
        <v>7</v>
      </c>
      <c r="CK330" s="27" t="s">
        <v>8</v>
      </c>
      <c r="CP330" s="27" t="s">
        <v>7</v>
      </c>
      <c r="CQ330" s="27" t="s">
        <v>8</v>
      </c>
      <c r="CR330" s="32"/>
    </row>
    <row r="331" spans="1:185" x14ac:dyDescent="0.25">
      <c r="A331" s="30">
        <v>0.32557130579677979</v>
      </c>
      <c r="B331"/>
      <c r="C331"/>
      <c r="D331"/>
      <c r="E331"/>
      <c r="F331" s="27" t="s">
        <v>7</v>
      </c>
      <c r="G331" s="27" t="s">
        <v>8</v>
      </c>
      <c r="H331" s="27" t="s">
        <v>7</v>
      </c>
      <c r="I331" s="27" t="s">
        <v>8</v>
      </c>
      <c r="J331" s="27" t="s">
        <v>7</v>
      </c>
      <c r="K331" s="27" t="s">
        <v>8</v>
      </c>
      <c r="L331" s="27" t="s">
        <v>7</v>
      </c>
      <c r="M331" s="27" t="s">
        <v>8</v>
      </c>
      <c r="N331" s="27" t="s">
        <v>7</v>
      </c>
      <c r="O331" s="27" t="s">
        <v>8</v>
      </c>
      <c r="P331" s="27" t="s">
        <v>7</v>
      </c>
      <c r="Q331" s="27" t="s">
        <v>8</v>
      </c>
      <c r="R331" s="27" t="s">
        <v>7</v>
      </c>
      <c r="S331" s="27" t="s">
        <v>8</v>
      </c>
      <c r="T331" s="27" t="s">
        <v>7</v>
      </c>
      <c r="AG331" s="27" t="s">
        <v>8</v>
      </c>
      <c r="AH331" s="27" t="s">
        <v>7</v>
      </c>
      <c r="AI331" s="27" t="s">
        <v>8</v>
      </c>
      <c r="AJ331" s="27" t="s">
        <v>7</v>
      </c>
      <c r="AS331" s="27" t="s">
        <v>8</v>
      </c>
      <c r="AT331" s="27" t="s">
        <v>7</v>
      </c>
      <c r="BG331" s="27" t="s">
        <v>8</v>
      </c>
      <c r="BJ331" s="27" t="s">
        <v>7</v>
      </c>
      <c r="BK331" s="27" t="s">
        <v>8</v>
      </c>
      <c r="BL331" s="27" t="s">
        <v>7</v>
      </c>
      <c r="BM331" s="27" t="s">
        <v>8</v>
      </c>
      <c r="BN331" s="27" t="s">
        <v>7</v>
      </c>
      <c r="BP331" s="27" t="s">
        <v>7</v>
      </c>
      <c r="CJ331" s="27" t="s">
        <v>7</v>
      </c>
      <c r="CK331" s="27" t="s">
        <v>8</v>
      </c>
      <c r="CP331" s="27" t="s">
        <v>7</v>
      </c>
      <c r="CQ331" s="32" t="s">
        <v>8</v>
      </c>
    </row>
    <row r="332" spans="1:185" x14ac:dyDescent="0.25">
      <c r="A332" s="30">
        <v>0.3100679102826473</v>
      </c>
      <c r="B332"/>
      <c r="C332"/>
      <c r="D332"/>
      <c r="E332"/>
      <c r="F332" s="27" t="s">
        <v>7</v>
      </c>
      <c r="G332" s="27" t="s">
        <v>8</v>
      </c>
      <c r="H332" s="27" t="s">
        <v>7</v>
      </c>
      <c r="I332" s="27" t="s">
        <v>8</v>
      </c>
      <c r="J332" s="27" t="s">
        <v>7</v>
      </c>
      <c r="K332" s="27" t="s">
        <v>8</v>
      </c>
      <c r="L332" s="27" t="s">
        <v>7</v>
      </c>
      <c r="M332" s="27" t="s">
        <v>8</v>
      </c>
      <c r="N332" s="27" t="s">
        <v>7</v>
      </c>
      <c r="P332" s="27" t="s">
        <v>7</v>
      </c>
      <c r="R332" s="27" t="s">
        <v>7</v>
      </c>
      <c r="S332" s="27" t="s">
        <v>8</v>
      </c>
      <c r="T332" s="27" t="s">
        <v>7</v>
      </c>
      <c r="AG332" s="27" t="s">
        <v>8</v>
      </c>
      <c r="AH332" s="27" t="s">
        <v>7</v>
      </c>
      <c r="AI332" s="27" t="s">
        <v>8</v>
      </c>
      <c r="AJ332" s="27" t="s">
        <v>7</v>
      </c>
      <c r="AK332" s="27" t="s">
        <v>8</v>
      </c>
      <c r="AS332" s="27" t="s">
        <v>8</v>
      </c>
      <c r="AT332" s="27" t="s">
        <v>7</v>
      </c>
      <c r="AU332" s="27" t="s">
        <v>8</v>
      </c>
      <c r="BG332" s="27" t="s">
        <v>8</v>
      </c>
      <c r="BJ332" s="27" t="s">
        <v>7</v>
      </c>
      <c r="BL332" s="27" t="s">
        <v>7</v>
      </c>
      <c r="CJ332" s="27" t="s">
        <v>7</v>
      </c>
      <c r="CP332" s="32" t="s">
        <v>7</v>
      </c>
    </row>
    <row r="333" spans="1:185" x14ac:dyDescent="0.25">
      <c r="A333" s="30">
        <v>0.2953027716977592</v>
      </c>
      <c r="B333"/>
      <c r="C333"/>
      <c r="D333"/>
      <c r="E333"/>
      <c r="F333" s="27" t="s">
        <v>7</v>
      </c>
      <c r="G333" s="27" t="s">
        <v>8</v>
      </c>
      <c r="H333" s="27" t="s">
        <v>7</v>
      </c>
      <c r="I333" s="27" t="s">
        <v>8</v>
      </c>
      <c r="J333" s="27" t="s">
        <v>7</v>
      </c>
      <c r="L333" s="27" t="s">
        <v>7</v>
      </c>
      <c r="R333" s="27" t="s">
        <v>7</v>
      </c>
      <c r="T333" s="27" t="s">
        <v>7</v>
      </c>
      <c r="AG333" s="27" t="s">
        <v>8</v>
      </c>
      <c r="AH333" s="27" t="s">
        <v>7</v>
      </c>
      <c r="AI333" s="27" t="s">
        <v>8</v>
      </c>
      <c r="AJ333" s="27" t="s">
        <v>7</v>
      </c>
      <c r="AK333" s="27" t="s">
        <v>8</v>
      </c>
      <c r="AL333" s="27" t="s">
        <v>7</v>
      </c>
      <c r="AS333" s="27" t="s">
        <v>8</v>
      </c>
      <c r="AT333" s="27" t="s">
        <v>7</v>
      </c>
      <c r="AU333" s="27" t="s">
        <v>8</v>
      </c>
      <c r="AV333" s="27" t="s">
        <v>7</v>
      </c>
      <c r="BG333" s="27" t="s">
        <v>8</v>
      </c>
    </row>
    <row r="334" spans="1:185" x14ac:dyDescent="0.25">
      <c r="A334" s="30">
        <v>0.28124073495024676</v>
      </c>
      <c r="B334"/>
      <c r="C334"/>
      <c r="D334"/>
      <c r="E334"/>
      <c r="F334" s="27" t="s">
        <v>7</v>
      </c>
      <c r="G334" s="27" t="s">
        <v>8</v>
      </c>
      <c r="H334" s="27" t="s">
        <v>7</v>
      </c>
      <c r="I334" s="27" t="s">
        <v>8</v>
      </c>
      <c r="T334" s="27" t="s">
        <v>7</v>
      </c>
      <c r="AG334" s="27" t="s">
        <v>8</v>
      </c>
      <c r="AH334" s="27" t="s">
        <v>7</v>
      </c>
      <c r="AJ334" s="27" t="s">
        <v>7</v>
      </c>
      <c r="AK334" s="27" t="s">
        <v>8</v>
      </c>
      <c r="AL334" s="27" t="s">
        <v>7</v>
      </c>
      <c r="AS334" s="27" t="s">
        <v>8</v>
      </c>
      <c r="AT334" s="27" t="s">
        <v>7</v>
      </c>
      <c r="AU334" s="27" t="s">
        <v>8</v>
      </c>
      <c r="AV334" s="27" t="s">
        <v>7</v>
      </c>
      <c r="AW334" s="27" t="s">
        <v>8</v>
      </c>
      <c r="BG334" s="27" t="s">
        <v>8</v>
      </c>
    </row>
    <row r="335" spans="1:185" x14ac:dyDescent="0.25">
      <c r="A335" s="30">
        <v>0.26784831900023492</v>
      </c>
      <c r="B335"/>
      <c r="C335"/>
      <c r="D335"/>
      <c r="E335"/>
      <c r="F335" s="27" t="s">
        <v>7</v>
      </c>
      <c r="G335" s="27" t="s">
        <v>8</v>
      </c>
      <c r="H335" s="27" t="s">
        <v>7</v>
      </c>
      <c r="I335" s="27" t="s">
        <v>8</v>
      </c>
      <c r="T335" s="27" t="s">
        <v>7</v>
      </c>
      <c r="U335" s="27" t="s">
        <v>8</v>
      </c>
      <c r="AC335" s="27" t="s">
        <v>8</v>
      </c>
      <c r="AG335" s="27" t="s">
        <v>8</v>
      </c>
      <c r="AJ335" s="27" t="s">
        <v>7</v>
      </c>
      <c r="AL335" s="27" t="s">
        <v>7</v>
      </c>
      <c r="AO335" s="27" t="s">
        <v>8</v>
      </c>
      <c r="AS335" s="27" t="s">
        <v>8</v>
      </c>
      <c r="AT335" s="27" t="s">
        <v>7</v>
      </c>
      <c r="AV335" s="27" t="s">
        <v>7</v>
      </c>
      <c r="AW335" s="27" t="s">
        <v>8</v>
      </c>
      <c r="AX335" s="27" t="s">
        <v>7</v>
      </c>
      <c r="BG335" s="27" t="s">
        <v>8</v>
      </c>
    </row>
    <row r="336" spans="1:185" x14ac:dyDescent="0.25">
      <c r="A336" s="30">
        <v>0.25509363714308075</v>
      </c>
      <c r="B336"/>
      <c r="C336"/>
      <c r="D336"/>
      <c r="E336"/>
      <c r="F336" s="27" t="s">
        <v>7</v>
      </c>
      <c r="G336" s="27" t="s">
        <v>8</v>
      </c>
      <c r="H336" s="27" t="s">
        <v>7</v>
      </c>
      <c r="T336" s="27" t="s">
        <v>7</v>
      </c>
      <c r="U336" s="27" t="s">
        <v>8</v>
      </c>
      <c r="V336" s="27" t="s">
        <v>7</v>
      </c>
      <c r="W336" s="27" t="s">
        <v>8</v>
      </c>
      <c r="Y336" s="27" t="s">
        <v>8</v>
      </c>
      <c r="AC336" s="27" t="s">
        <v>8</v>
      </c>
      <c r="AD336" s="27" t="s">
        <v>7</v>
      </c>
      <c r="AG336" s="27" t="s">
        <v>8</v>
      </c>
      <c r="AL336" s="27" t="s">
        <v>7</v>
      </c>
      <c r="AM336" s="27" t="s">
        <v>8</v>
      </c>
      <c r="AO336" s="27" t="s">
        <v>8</v>
      </c>
      <c r="AP336" s="27" t="s">
        <v>7</v>
      </c>
      <c r="AQ336" s="27" t="s">
        <v>8</v>
      </c>
      <c r="AS336" s="27" t="s">
        <v>8</v>
      </c>
      <c r="AV336" s="27" t="s">
        <v>7</v>
      </c>
      <c r="AW336" s="27" t="s">
        <v>8</v>
      </c>
      <c r="AX336" s="27" t="s">
        <v>7</v>
      </c>
      <c r="BG336" s="27" t="s">
        <v>8</v>
      </c>
    </row>
    <row r="337" spans="1:59" x14ac:dyDescent="0.25">
      <c r="A337" s="30">
        <v>0.24294632108864825</v>
      </c>
      <c r="B337"/>
      <c r="C337"/>
      <c r="D337"/>
      <c r="E337"/>
      <c r="F337" s="27" t="s">
        <v>7</v>
      </c>
      <c r="G337" s="27" t="s">
        <v>8</v>
      </c>
      <c r="T337" s="27" t="s">
        <v>7</v>
      </c>
      <c r="U337" s="27" t="s">
        <v>8</v>
      </c>
      <c r="V337" s="27" t="s">
        <v>7</v>
      </c>
      <c r="W337" s="27" t="s">
        <v>8</v>
      </c>
      <c r="X337" s="27" t="s">
        <v>7</v>
      </c>
      <c r="Y337" s="27" t="s">
        <v>8</v>
      </c>
      <c r="Z337" s="27" t="s">
        <v>7</v>
      </c>
      <c r="AC337" s="27" t="s">
        <v>8</v>
      </c>
      <c r="AD337" s="27" t="s">
        <v>7</v>
      </c>
      <c r="AG337" s="27" t="s">
        <v>8</v>
      </c>
      <c r="AL337" s="27" t="s">
        <v>7</v>
      </c>
      <c r="AM337" s="27" t="s">
        <v>8</v>
      </c>
      <c r="AN337" s="27" t="s">
        <v>7</v>
      </c>
      <c r="AO337" s="27" t="s">
        <v>8</v>
      </c>
      <c r="AP337" s="27" t="s">
        <v>7</v>
      </c>
      <c r="AQ337" s="27" t="s">
        <v>8</v>
      </c>
      <c r="AR337" s="27" t="s">
        <v>7</v>
      </c>
      <c r="AS337" s="27" t="s">
        <v>8</v>
      </c>
      <c r="AV337" s="27" t="s">
        <v>7</v>
      </c>
      <c r="AW337" s="27" t="s">
        <v>8</v>
      </c>
      <c r="AX337" s="27" t="s">
        <v>7</v>
      </c>
      <c r="AY337" s="27" t="s">
        <v>8</v>
      </c>
      <c r="BG337" s="27" t="s">
        <v>8</v>
      </c>
    </row>
    <row r="338" spans="1:59" x14ac:dyDescent="0.25">
      <c r="A338" s="30">
        <v>0.23137744865585538</v>
      </c>
      <c r="B338"/>
      <c r="C338"/>
      <c r="D338"/>
      <c r="E338"/>
      <c r="F338" s="27" t="s">
        <v>7</v>
      </c>
      <c r="G338" s="27" t="s">
        <v>8</v>
      </c>
      <c r="T338" s="27" t="s">
        <v>7</v>
      </c>
      <c r="U338" s="27" t="s">
        <v>8</v>
      </c>
      <c r="V338" s="27" t="s">
        <v>7</v>
      </c>
      <c r="W338" s="27" t="s">
        <v>8</v>
      </c>
      <c r="X338" s="27" t="s">
        <v>7</v>
      </c>
      <c r="Y338" s="27" t="s">
        <v>8</v>
      </c>
      <c r="Z338" s="27" t="s">
        <v>7</v>
      </c>
      <c r="AC338" s="27" t="s">
        <v>8</v>
      </c>
      <c r="AD338" s="27" t="s">
        <v>7</v>
      </c>
      <c r="AE338" s="27" t="s">
        <v>8</v>
      </c>
      <c r="AG338" s="27" t="s">
        <v>8</v>
      </c>
      <c r="AL338" s="27" t="s">
        <v>7</v>
      </c>
      <c r="AM338" s="27" t="s">
        <v>8</v>
      </c>
      <c r="AN338" s="27" t="s">
        <v>7</v>
      </c>
      <c r="AO338" s="27" t="s">
        <v>8</v>
      </c>
      <c r="AP338" s="27" t="s">
        <v>7</v>
      </c>
      <c r="AQ338" s="27" t="s">
        <v>8</v>
      </c>
      <c r="AR338" s="27" t="s">
        <v>7</v>
      </c>
      <c r="AS338" s="27" t="s">
        <v>8</v>
      </c>
      <c r="AV338" s="27" t="s">
        <v>7</v>
      </c>
      <c r="AW338" s="27" t="s">
        <v>8</v>
      </c>
      <c r="AX338" s="27" t="s">
        <v>7</v>
      </c>
      <c r="AY338" s="27" t="s">
        <v>8</v>
      </c>
      <c r="AZ338" s="27" t="s">
        <v>7</v>
      </c>
      <c r="BG338" s="27" t="s">
        <v>8</v>
      </c>
    </row>
    <row r="339" spans="1:59" x14ac:dyDescent="0.25">
      <c r="A339" s="30">
        <v>0.22035947491033836</v>
      </c>
      <c r="B339"/>
      <c r="C339"/>
      <c r="D339"/>
      <c r="E339"/>
      <c r="F339" s="27" t="s">
        <v>7</v>
      </c>
      <c r="T339" s="27" t="s">
        <v>7</v>
      </c>
      <c r="U339" s="27" t="s">
        <v>8</v>
      </c>
      <c r="V339" s="27" t="s">
        <v>7</v>
      </c>
      <c r="W339" s="27" t="s">
        <v>8</v>
      </c>
      <c r="X339" s="27" t="s">
        <v>7</v>
      </c>
      <c r="Z339" s="27" t="s">
        <v>7</v>
      </c>
      <c r="AC339" s="27" t="s">
        <v>8</v>
      </c>
      <c r="AD339" s="27" t="s">
        <v>7</v>
      </c>
      <c r="AE339" s="27" t="s">
        <v>8</v>
      </c>
      <c r="AF339" s="27" t="s">
        <v>7</v>
      </c>
      <c r="AG339" s="27" t="s">
        <v>8</v>
      </c>
      <c r="AL339" s="27" t="s">
        <v>7</v>
      </c>
      <c r="AN339" s="27" t="s">
        <v>7</v>
      </c>
      <c r="AP339" s="27" t="s">
        <v>7</v>
      </c>
      <c r="AQ339" s="27" t="s">
        <v>8</v>
      </c>
      <c r="AR339" s="27" t="s">
        <v>7</v>
      </c>
      <c r="AV339" s="27" t="s">
        <v>7</v>
      </c>
      <c r="AX339" s="27" t="s">
        <v>7</v>
      </c>
      <c r="AY339" s="27" t="s">
        <v>8</v>
      </c>
      <c r="AZ339" s="27" t="s">
        <v>7</v>
      </c>
      <c r="BG339" s="27" t="s">
        <v>8</v>
      </c>
    </row>
    <row r="340" spans="1:59" x14ac:dyDescent="0.25">
      <c r="A340" s="30">
        <v>0.20986616658127455</v>
      </c>
      <c r="B340"/>
      <c r="C340"/>
      <c r="D340"/>
      <c r="E340"/>
      <c r="T340" s="27" t="s">
        <v>7</v>
      </c>
      <c r="V340" s="27" t="s">
        <v>7</v>
      </c>
      <c r="Z340" s="27" t="s">
        <v>7</v>
      </c>
      <c r="AC340" s="27" t="s">
        <v>8</v>
      </c>
      <c r="AD340" s="27" t="s">
        <v>7</v>
      </c>
      <c r="AE340" s="27" t="s">
        <v>8</v>
      </c>
      <c r="AF340" s="27" t="s">
        <v>7</v>
      </c>
      <c r="AG340" s="27" t="s">
        <v>8</v>
      </c>
      <c r="AP340" s="27" t="s">
        <v>7</v>
      </c>
      <c r="AQ340" s="27" t="s">
        <v>8</v>
      </c>
      <c r="AX340" s="27" t="s">
        <v>7</v>
      </c>
      <c r="AZ340" s="27" t="s">
        <v>7</v>
      </c>
      <c r="BG340" s="27" t="s">
        <v>8</v>
      </c>
    </row>
    <row r="341" spans="1:59" x14ac:dyDescent="0.25">
      <c r="A341" s="30">
        <v>0.19987253960121379</v>
      </c>
      <c r="B341"/>
      <c r="C341"/>
      <c r="D341"/>
      <c r="E341"/>
      <c r="Z341" s="27" t="s">
        <v>7</v>
      </c>
      <c r="AA341" s="27" t="s">
        <v>8</v>
      </c>
      <c r="AC341" s="27" t="s">
        <v>8</v>
      </c>
      <c r="AD341" s="27" t="s">
        <v>7</v>
      </c>
      <c r="AE341" s="27" t="s">
        <v>8</v>
      </c>
      <c r="AF341" s="27" t="s">
        <v>7</v>
      </c>
      <c r="AG341" s="27" t="s">
        <v>8</v>
      </c>
      <c r="AP341" s="27" t="s">
        <v>7</v>
      </c>
      <c r="AQ341" s="27" t="s">
        <v>8</v>
      </c>
      <c r="AZ341" s="27" t="s">
        <v>7</v>
      </c>
      <c r="BG341" s="27" t="s">
        <v>8</v>
      </c>
    </row>
    <row r="342" spans="1:59" x14ac:dyDescent="0.25">
      <c r="A342" s="30">
        <v>0.19035479962020352</v>
      </c>
      <c r="B342"/>
      <c r="C342"/>
      <c r="D342"/>
      <c r="E342"/>
      <c r="Z342" s="27" t="s">
        <v>7</v>
      </c>
      <c r="AA342" s="27" t="s">
        <v>8</v>
      </c>
      <c r="AB342" s="27" t="s">
        <v>7</v>
      </c>
      <c r="AC342" s="27" t="s">
        <v>8</v>
      </c>
      <c r="AD342" s="27" t="s">
        <v>7</v>
      </c>
      <c r="AE342" s="27" t="s">
        <v>8</v>
      </c>
      <c r="AF342" s="27" t="s">
        <v>7</v>
      </c>
      <c r="AP342" s="27" t="s">
        <v>7</v>
      </c>
      <c r="AQ342" s="27" t="s">
        <v>8</v>
      </c>
      <c r="AZ342" s="27" t="s">
        <v>7</v>
      </c>
      <c r="BE342" s="27" t="s">
        <v>8</v>
      </c>
      <c r="BG342" s="27" t="s">
        <v>8</v>
      </c>
    </row>
    <row r="343" spans="1:59" x14ac:dyDescent="0.25">
      <c r="A343" s="30">
        <v>0.18129028535257471</v>
      </c>
      <c r="B343"/>
      <c r="C343"/>
      <c r="D343"/>
      <c r="E343"/>
      <c r="Z343" s="27" t="s">
        <v>7</v>
      </c>
      <c r="AA343" s="27" t="s">
        <v>8</v>
      </c>
      <c r="AB343" s="27" t="s">
        <v>7</v>
      </c>
      <c r="AC343" s="27" t="s">
        <v>8</v>
      </c>
      <c r="AD343" s="27" t="s">
        <v>7</v>
      </c>
      <c r="AP343" s="27" t="s">
        <v>7</v>
      </c>
      <c r="AQ343" s="27" t="s">
        <v>8</v>
      </c>
      <c r="AZ343" s="27" t="s">
        <v>7</v>
      </c>
      <c r="BE343" s="27" t="s">
        <v>8</v>
      </c>
      <c r="BF343" s="27" t="s">
        <v>7</v>
      </c>
      <c r="BG343" s="27" t="s">
        <v>8</v>
      </c>
    </row>
    <row r="344" spans="1:59" x14ac:dyDescent="0.25">
      <c r="A344" s="30">
        <v>0.17265741462149967</v>
      </c>
      <c r="B344"/>
      <c r="C344"/>
      <c r="D344"/>
      <c r="E344"/>
      <c r="Z344" s="27" t="s">
        <v>7</v>
      </c>
      <c r="AA344" s="27" t="s">
        <v>8</v>
      </c>
      <c r="AB344" s="27" t="s">
        <v>7</v>
      </c>
      <c r="AC344" s="27" t="s">
        <v>8</v>
      </c>
      <c r="AP344" s="27" t="s">
        <v>7</v>
      </c>
      <c r="AZ344" s="27" t="s">
        <v>7</v>
      </c>
      <c r="BA344" s="27" t="s">
        <v>8</v>
      </c>
      <c r="BC344" s="27" t="s">
        <v>8</v>
      </c>
      <c r="BE344" s="27" t="s">
        <v>8</v>
      </c>
      <c r="BF344" s="27" t="s">
        <v>7</v>
      </c>
      <c r="BG344" s="27" t="s">
        <v>8</v>
      </c>
    </row>
    <row r="345" spans="1:59" x14ac:dyDescent="0.25">
      <c r="A345" s="30">
        <v>0.16443563297285677</v>
      </c>
      <c r="B345"/>
      <c r="C345"/>
      <c r="D345"/>
      <c r="E345"/>
      <c r="Z345" s="27" t="s">
        <v>7</v>
      </c>
      <c r="AB345" s="27" t="s">
        <v>7</v>
      </c>
      <c r="AC345" s="27" t="s">
        <v>8</v>
      </c>
      <c r="AZ345" s="27" t="s">
        <v>7</v>
      </c>
      <c r="BA345" s="27" t="s">
        <v>8</v>
      </c>
      <c r="BB345" s="27" t="s">
        <v>7</v>
      </c>
      <c r="BC345" s="27" t="s">
        <v>8</v>
      </c>
      <c r="BD345" s="27" t="s">
        <v>7</v>
      </c>
      <c r="BE345" s="27" t="s">
        <v>8</v>
      </c>
      <c r="BF345" s="27" t="s">
        <v>7</v>
      </c>
    </row>
    <row r="346" spans="1:59" x14ac:dyDescent="0.25">
      <c r="A346" s="30">
        <v>0.15660536473605399</v>
      </c>
      <c r="B346"/>
      <c r="C346"/>
      <c r="D346"/>
      <c r="E346"/>
      <c r="AB346" s="27" t="s">
        <v>7</v>
      </c>
      <c r="AZ346" s="27" t="s">
        <v>7</v>
      </c>
      <c r="BA346" s="27" t="s">
        <v>8</v>
      </c>
      <c r="BB346" s="27" t="s">
        <v>7</v>
      </c>
      <c r="BC346" s="27" t="s">
        <v>8</v>
      </c>
      <c r="BD346" s="27" t="s">
        <v>7</v>
      </c>
      <c r="BE346" s="27" t="s">
        <v>8</v>
      </c>
    </row>
    <row r="347" spans="1:59" x14ac:dyDescent="0.25">
      <c r="A347" s="30">
        <v>0.14914796641528946</v>
      </c>
      <c r="B347"/>
      <c r="C347"/>
      <c r="D347"/>
      <c r="E347"/>
      <c r="AZ347" s="27" t="s">
        <v>7</v>
      </c>
      <c r="BA347" s="27" t="s">
        <v>8</v>
      </c>
      <c r="BB347" s="27" t="s">
        <v>7</v>
      </c>
      <c r="BC347" s="27" t="s">
        <v>8</v>
      </c>
      <c r="BD347" s="27" t="s">
        <v>7</v>
      </c>
      <c r="BE347" s="27" t="s">
        <v>8</v>
      </c>
    </row>
    <row r="348" spans="1:59" x14ac:dyDescent="0.25">
      <c r="A348" s="30">
        <v>0.14204568230027562</v>
      </c>
      <c r="B348"/>
      <c r="C348"/>
      <c r="D348"/>
      <c r="E348"/>
      <c r="AZ348" s="27" t="s">
        <v>7</v>
      </c>
      <c r="BA348" s="27" t="s">
        <v>8</v>
      </c>
      <c r="BB348" s="27" t="s">
        <v>7</v>
      </c>
      <c r="BC348" s="27" t="s">
        <v>8</v>
      </c>
      <c r="BD348" s="27" t="s">
        <v>7</v>
      </c>
    </row>
    <row r="349" spans="1:59" x14ac:dyDescent="0.25">
      <c r="A349" s="30">
        <v>0.13528160219073862</v>
      </c>
      <c r="B349"/>
      <c r="C349"/>
      <c r="D349"/>
      <c r="E349"/>
      <c r="AZ349" s="27" t="s">
        <v>7</v>
      </c>
      <c r="BA349" s="27" t="s">
        <v>8</v>
      </c>
      <c r="BB349" s="27" t="s">
        <v>7</v>
      </c>
      <c r="BC349" s="27" t="s">
        <v>8</v>
      </c>
    </row>
    <row r="350" spans="1:59" x14ac:dyDescent="0.25">
      <c r="A350" s="30">
        <v>0.12883962113403674</v>
      </c>
      <c r="B350"/>
      <c r="C350"/>
      <c r="D350"/>
      <c r="E350"/>
      <c r="AZ350" s="27" t="s">
        <v>7</v>
      </c>
      <c r="BA350" s="27" t="s">
        <v>8</v>
      </c>
      <c r="BB350" s="27" t="s">
        <v>7</v>
      </c>
    </row>
    <row r="351" spans="1:59" x14ac:dyDescent="0.25">
      <c r="A351" s="30">
        <v>0.12270440108003494</v>
      </c>
      <c r="B351"/>
      <c r="C351"/>
      <c r="D351"/>
      <c r="E351"/>
      <c r="AZ351" s="27" t="s">
        <v>7</v>
      </c>
      <c r="BA351" s="27" t="s">
        <v>8</v>
      </c>
    </row>
    <row r="352" spans="1:59" x14ac:dyDescent="0.25">
      <c r="A352" s="30">
        <v>0.11686133436193799</v>
      </c>
      <c r="B352"/>
      <c r="C352"/>
      <c r="D352"/>
      <c r="E352"/>
      <c r="AZ352" s="27" t="s">
        <v>7</v>
      </c>
      <c r="BA352" s="27" t="s">
        <v>8</v>
      </c>
    </row>
    <row r="353" spans="1:52" x14ac:dyDescent="0.25">
      <c r="A353" s="30">
        <v>0.11129650891613138</v>
      </c>
      <c r="B353"/>
      <c r="C353"/>
      <c r="D353"/>
      <c r="E353"/>
      <c r="AZ353" s="27" t="s">
        <v>7</v>
      </c>
    </row>
    <row r="354" spans="1:52" x14ac:dyDescent="0.25">
      <c r="A354" s="30">
        <v>0.10599667515822032</v>
      </c>
      <c r="B354"/>
      <c r="C354"/>
      <c r="D354"/>
      <c r="E354"/>
    </row>
    <row r="355" spans="1:52" x14ac:dyDescent="0.25">
      <c r="A355" s="30">
        <v>0.10094921443640027</v>
      </c>
      <c r="B355"/>
      <c r="C355"/>
      <c r="D355"/>
      <c r="E355"/>
    </row>
    <row r="356" spans="1:52" x14ac:dyDescent="0.25">
      <c r="A356" s="30">
        <v>9.6142108987047836E-2</v>
      </c>
      <c r="B356"/>
      <c r="C356"/>
      <c r="D356"/>
      <c r="E356"/>
    </row>
    <row r="357" spans="1:52" x14ac:dyDescent="0.25">
      <c r="A357" s="30">
        <v>9.1563913320997906E-2</v>
      </c>
      <c r="B357"/>
      <c r="C357"/>
      <c r="D357"/>
      <c r="E357"/>
    </row>
    <row r="358" spans="1:52" x14ac:dyDescent="0.25">
      <c r="A358" s="30">
        <v>8.7203726972378923E-2</v>
      </c>
      <c r="B358"/>
      <c r="C358"/>
      <c r="D358"/>
      <c r="E358"/>
    </row>
    <row r="359" spans="1:52" x14ac:dyDescent="0.25">
      <c r="A359" s="30">
        <v>8.3051168545122747E-2</v>
      </c>
      <c r="B359"/>
      <c r="C359"/>
      <c r="D359"/>
      <c r="E359"/>
    </row>
    <row r="360" spans="1:52" x14ac:dyDescent="0.25">
      <c r="A360" s="30">
        <v>7.9096350995354961E-2</v>
      </c>
      <c r="B360"/>
      <c r="C360"/>
      <c r="D360"/>
      <c r="E360"/>
    </row>
    <row r="361" spans="1:52" x14ac:dyDescent="0.25">
      <c r="A361" s="30">
        <v>7.5329858090814217E-2</v>
      </c>
      <c r="B361"/>
      <c r="C361"/>
      <c r="D361"/>
      <c r="E361"/>
    </row>
    <row r="362" spans="1:52" x14ac:dyDescent="0.25">
      <c r="A362" s="30">
        <v>7.1742721991251604E-2</v>
      </c>
      <c r="B362"/>
      <c r="C362"/>
      <c r="D362"/>
      <c r="E362"/>
    </row>
    <row r="363" spans="1:52" x14ac:dyDescent="0.25">
      <c r="A363" s="30">
        <v>6.8326401896430078E-2</v>
      </c>
      <c r="B363"/>
      <c r="C363"/>
      <c r="D363"/>
      <c r="E363"/>
    </row>
    <row r="364" spans="1:52" x14ac:dyDescent="0.25">
      <c r="A364" s="30">
        <v>6.5072763710885759E-2</v>
      </c>
      <c r="B364"/>
      <c r="C364"/>
      <c r="D364"/>
      <c r="E364"/>
    </row>
    <row r="365" spans="1:52" x14ac:dyDescent="0.25">
      <c r="A365" s="30">
        <v>6.197406067703403E-2</v>
      </c>
      <c r="B365"/>
      <c r="C365"/>
      <c r="D365"/>
      <c r="E365"/>
    </row>
    <row r="366" spans="1:52" x14ac:dyDescent="0.25">
      <c r="A366" s="30">
        <v>5.9022914930508576E-2</v>
      </c>
      <c r="B366"/>
      <c r="C366"/>
      <c r="D366"/>
      <c r="E366"/>
    </row>
    <row r="367" spans="1:52" x14ac:dyDescent="0.25">
      <c r="A367" s="30">
        <v>5.6212299933817669E-2</v>
      </c>
      <c r="B367"/>
      <c r="C367"/>
      <c r="D367"/>
      <c r="E367"/>
    </row>
    <row r="368" spans="1:52" x14ac:dyDescent="0.25">
      <c r="A368" s="30">
        <v>5.3535523746492994E-2</v>
      </c>
      <c r="B368"/>
      <c r="C368"/>
      <c r="D368"/>
      <c r="E368"/>
    </row>
    <row r="369" spans="1:5" x14ac:dyDescent="0.25">
      <c r="A369" s="30">
        <v>5.0986213091898068E-2</v>
      </c>
      <c r="B369"/>
      <c r="C369"/>
      <c r="D369"/>
      <c r="E369"/>
    </row>
    <row r="370" spans="1:5" x14ac:dyDescent="0.25">
      <c r="A370" s="30">
        <v>4.8558298182760043E-2</v>
      </c>
      <c r="B370"/>
      <c r="C370"/>
      <c r="D370"/>
      <c r="E370"/>
    </row>
    <row r="371" spans="1:5" x14ac:dyDescent="0.25">
      <c r="A371" s="30">
        <v>4.6245998269295263E-2</v>
      </c>
      <c r="B371"/>
      <c r="C371"/>
      <c r="D371"/>
      <c r="E371"/>
    </row>
    <row r="372" spans="1:5" x14ac:dyDescent="0.25">
      <c r="A372" s="30">
        <v>4.4043807875519279E-2</v>
      </c>
      <c r="B372"/>
      <c r="C372"/>
      <c r="D372"/>
      <c r="E372"/>
    </row>
    <row r="373" spans="1:5" x14ac:dyDescent="0.25">
      <c r="A373" s="30">
        <v>4.1946483690970725E-2</v>
      </c>
      <c r="B373"/>
      <c r="C373"/>
      <c r="D373"/>
      <c r="E373"/>
    </row>
    <row r="374" spans="1:5" x14ac:dyDescent="0.25">
      <c r="A374" s="30">
        <v>3.9949032086638768E-2</v>
      </c>
      <c r="B374"/>
      <c r="C374"/>
      <c r="D374"/>
      <c r="E374"/>
    </row>
    <row r="375" spans="1:5" x14ac:dyDescent="0.25">
      <c r="A375" s="30">
        <v>3.8046697225370241E-2</v>
      </c>
      <c r="B375"/>
      <c r="C375"/>
      <c r="D375"/>
      <c r="E375"/>
    </row>
    <row r="376" spans="1:5" x14ac:dyDescent="0.25">
      <c r="A376" s="30">
        <v>3.6234949738447833E-2</v>
      </c>
      <c r="B376"/>
      <c r="C376"/>
      <c r="D376"/>
      <c r="E376"/>
    </row>
    <row r="377" spans="1:5" x14ac:dyDescent="0.25">
      <c r="A377" s="30">
        <v>3.4509475941378875E-2</v>
      </c>
      <c r="B377"/>
      <c r="C377"/>
      <c r="D377"/>
      <c r="E377"/>
    </row>
    <row r="378" spans="1:5" x14ac:dyDescent="0.25">
      <c r="A378" s="30">
        <v>3.286616756321796E-2</v>
      </c>
      <c r="B378"/>
      <c r="C378"/>
      <c r="D378"/>
      <c r="E378"/>
    </row>
    <row r="379" spans="1:5" x14ac:dyDescent="0.25">
      <c r="A379" s="30">
        <v>3.1301111964969472E-2</v>
      </c>
      <c r="B379"/>
      <c r="C379"/>
      <c r="D379"/>
      <c r="E379"/>
    </row>
    <row r="380" spans="1:5" x14ac:dyDescent="0.25">
      <c r="A380" s="30">
        <v>2.9810582823780438E-2</v>
      </c>
      <c r="B380"/>
      <c r="C380"/>
      <c r="D380"/>
      <c r="E380"/>
    </row>
    <row r="381" spans="1:5" x14ac:dyDescent="0.25">
      <c r="A381" s="30">
        <v>2.8391031260743264E-2</v>
      </c>
      <c r="B381"/>
      <c r="C381"/>
      <c r="D381"/>
      <c r="E381"/>
    </row>
    <row r="382" spans="1:5" x14ac:dyDescent="0.25">
      <c r="A382" s="30">
        <v>2.7039077391184052E-2</v>
      </c>
    </row>
    <row r="383" spans="1:5" x14ac:dyDescent="0.25">
      <c r="A383" s="30">
        <v>2.5751502277318133E-2</v>
      </c>
    </row>
    <row r="384" spans="1:5" x14ac:dyDescent="0.25">
      <c r="A384" s="30">
        <v>2.4525240264112496E-2</v>
      </c>
    </row>
    <row r="385" spans="1:1" x14ac:dyDescent="0.25">
      <c r="A385" s="30">
        <v>2.3357371680107129E-2</v>
      </c>
    </row>
    <row r="386" spans="1:1" x14ac:dyDescent="0.25">
      <c r="A386" s="30">
        <v>2.2245115885816305E-2</v>
      </c>
    </row>
    <row r="387" spans="1:1" x14ac:dyDescent="0.25">
      <c r="A387" s="30">
        <v>2.1185824653158377E-2</v>
      </c>
    </row>
    <row r="388" spans="1:1" x14ac:dyDescent="0.25">
      <c r="A388" s="30">
        <v>2.0176975860150829E-2</v>
      </c>
    </row>
    <row r="389" spans="1:1" x14ac:dyDescent="0.25">
      <c r="A389" s="30">
        <v>1.9216167485857926E-2</v>
      </c>
    </row>
    <row r="390" spans="1:1" x14ac:dyDescent="0.25">
      <c r="A390" s="30">
        <v>1.8301111891293256E-2</v>
      </c>
    </row>
    <row r="391" spans="1:1" x14ac:dyDescent="0.25">
      <c r="A391" s="30">
        <v>1.7429630372660238E-2</v>
      </c>
    </row>
    <row r="392" spans="1:1" x14ac:dyDescent="0.25">
      <c r="A392" s="30">
        <v>1.6599647973962125E-2</v>
      </c>
    </row>
    <row r="393" spans="1:1" x14ac:dyDescent="0.25">
      <c r="A393" s="30">
        <v>1.580918854663059E-2</v>
      </c>
    </row>
    <row r="394" spans="1:1" x14ac:dyDescent="0.25">
      <c r="A394" s="30">
        <v>1.5056370044410079E-2</v>
      </c>
    </row>
    <row r="395" spans="1:1" x14ac:dyDescent="0.25">
      <c r="A395" s="30">
        <v>1.4339400042295308E-2</v>
      </c>
    </row>
    <row r="396" spans="1:1" x14ac:dyDescent="0.25">
      <c r="A396" s="30">
        <v>1.365657146885267E-2</v>
      </c>
    </row>
    <row r="397" spans="1:1" x14ac:dyDescent="0.25">
      <c r="A397" s="30">
        <v>1.3006258541764442E-2</v>
      </c>
    </row>
    <row r="398" spans="1:1" x14ac:dyDescent="0.25">
      <c r="A398" s="30">
        <v>1.2386912896918512E-2</v>
      </c>
    </row>
    <row r="399" spans="1:1" x14ac:dyDescent="0.25">
      <c r="A399" s="30">
        <v>1.179705990182715E-2</v>
      </c>
    </row>
    <row r="400" spans="1:1" x14ac:dyDescent="0.25">
      <c r="A400" s="30">
        <v>1.1235295144597281E-2</v>
      </c>
    </row>
    <row r="401" spans="1:1" x14ac:dyDescent="0.25">
      <c r="A401" s="30">
        <v>1.0700281090092644E-2</v>
      </c>
    </row>
    <row r="402" spans="1:1" x14ac:dyDescent="0.25">
      <c r="A402" s="30">
        <v>1.0190743895326324E-2</v>
      </c>
    </row>
    <row r="403" spans="1:1" x14ac:dyDescent="0.25">
      <c r="A403" s="30">
        <v>9.7054703765012563E-3</v>
      </c>
    </row>
    <row r="404" spans="1:1" x14ac:dyDescent="0.25">
      <c r="A404" s="30">
        <v>9.2433051204773835E-3</v>
      </c>
    </row>
    <row r="405" spans="1:1" x14ac:dyDescent="0.25">
      <c r="A405" s="30">
        <v>8.8031477337879808E-3</v>
      </c>
    </row>
    <row r="406" spans="1:1" x14ac:dyDescent="0.25">
      <c r="A406" s="30">
        <v>8.3839502226552166E-3</v>
      </c>
    </row>
    <row r="407" spans="1:1" x14ac:dyDescent="0.25">
      <c r="A407" s="30">
        <v>7.9847144977668698E-3</v>
      </c>
    </row>
    <row r="408" spans="1:1" x14ac:dyDescent="0.25">
      <c r="A408" s="30">
        <v>7.6044899978732058E-3</v>
      </c>
    </row>
    <row r="409" spans="1:1" x14ac:dyDescent="0.25">
      <c r="A409" s="30">
        <v>7.2423714265459072E-3</v>
      </c>
    </row>
    <row r="410" spans="1:1" x14ac:dyDescent="0.25">
      <c r="A410" s="30">
        <v>6.8974965967103846E-3</v>
      </c>
    </row>
    <row r="411" spans="1:1" x14ac:dyDescent="0.25">
      <c r="A411" s="30">
        <v>6.5690443778194116E-3</v>
      </c>
    </row>
    <row r="412" spans="1:1" x14ac:dyDescent="0.25">
      <c r="A412" s="30">
        <v>6.2562327407803897E-3</v>
      </c>
    </row>
    <row r="413" spans="1:1" x14ac:dyDescent="0.25">
      <c r="A413" s="30">
        <v>5.9583168959813212E-3</v>
      </c>
    </row>
    <row r="414" spans="1:1" x14ac:dyDescent="0.25">
      <c r="A414" s="30">
        <v>5.6745875199822084E-3</v>
      </c>
    </row>
    <row r="415" spans="1:1" x14ac:dyDescent="0.25">
      <c r="A415" s="30">
        <v>5.4043690666497205E-3</v>
      </c>
    </row>
    <row r="416" spans="1:1" x14ac:dyDescent="0.25">
      <c r="A416" s="30">
        <v>5.1470181587140174E-3</v>
      </c>
    </row>
    <row r="417" spans="1:1" x14ac:dyDescent="0.25">
      <c r="A417" s="30">
        <v>4.9019220559181099E-3</v>
      </c>
    </row>
    <row r="418" spans="1:1" x14ac:dyDescent="0.25">
      <c r="A418" s="30">
        <v>4.6684971961124836E-3</v>
      </c>
    </row>
    <row r="419" spans="1:1" x14ac:dyDescent="0.25">
      <c r="A419" s="30">
        <v>4.4461878058214112E-3</v>
      </c>
    </row>
    <row r="420" spans="1:1" x14ac:dyDescent="0.25">
      <c r="A420" s="30">
        <v>4.2344645769727711E-3</v>
      </c>
    </row>
    <row r="421" spans="1:1" x14ac:dyDescent="0.25">
      <c r="A421" s="30">
        <v>4.0328234066407329E-3</v>
      </c>
    </row>
    <row r="422" spans="1:1" x14ac:dyDescent="0.25">
      <c r="A422" s="30">
        <v>3.8407841968006963E-3</v>
      </c>
    </row>
    <row r="423" spans="1:1" x14ac:dyDescent="0.25">
      <c r="A423" s="30">
        <v>3.6578897112387568E-3</v>
      </c>
    </row>
    <row r="424" spans="1:1" x14ac:dyDescent="0.25">
      <c r="A424" s="30">
        <v>3.4837044868940526E-3</v>
      </c>
    </row>
    <row r="425" spans="1:1" x14ac:dyDescent="0.25">
      <c r="A425" s="30">
        <v>3.3178137970419535E-3</v>
      </c>
    </row>
    <row r="426" spans="1:1" x14ac:dyDescent="0.25">
      <c r="A426" s="30">
        <v>3.1598226638494781E-3</v>
      </c>
    </row>
    <row r="427" spans="1:1" x14ac:dyDescent="0.25">
      <c r="A427" s="30">
        <v>3.0093549179518826E-3</v>
      </c>
    </row>
    <row r="428" spans="1:1" x14ac:dyDescent="0.25">
      <c r="A428" s="30">
        <v>2.8660523028113155E-3</v>
      </c>
    </row>
    <row r="429" spans="1:1" x14ac:dyDescent="0.25">
      <c r="A429" s="30">
        <v>2.7295736217250611E-3</v>
      </c>
    </row>
    <row r="430" spans="1:1" x14ac:dyDescent="0.25">
      <c r="A430" s="30">
        <v>2.5995939254524381E-3</v>
      </c>
    </row>
    <row r="431" spans="1:1" x14ac:dyDescent="0.25">
      <c r="A431" s="30">
        <v>2.4758037385261304E-3</v>
      </c>
    </row>
    <row r="432" spans="1:1" x14ac:dyDescent="0.25">
      <c r="A432" s="30">
        <v>2.3579083224058374E-3</v>
      </c>
    </row>
    <row r="433" spans="1:1" x14ac:dyDescent="0.25">
      <c r="A433" s="30">
        <v>2.245626973719844E-3</v>
      </c>
    </row>
    <row r="434" spans="1:1" x14ac:dyDescent="0.25">
      <c r="A434" s="30">
        <v>2.1386923559236601E-3</v>
      </c>
    </row>
    <row r="435" spans="1:1" x14ac:dyDescent="0.25">
      <c r="A435" s="30">
        <v>2.0368498627844375E-3</v>
      </c>
    </row>
    <row r="436" spans="1:1" x14ac:dyDescent="0.25">
      <c r="A436" s="30">
        <v>1.9398570121756541E-3</v>
      </c>
    </row>
    <row r="437" spans="1:1" x14ac:dyDescent="0.25">
      <c r="A437" s="30">
        <v>1.8474828687387174E-3</v>
      </c>
    </row>
    <row r="438" spans="1:1" x14ac:dyDescent="0.25">
      <c r="A438" s="30">
        <v>1.759507494036873E-3</v>
      </c>
    </row>
    <row r="439" spans="1:1" x14ac:dyDescent="0.25">
      <c r="A439" s="30">
        <v>1.6757214228922594E-3</v>
      </c>
    </row>
    <row r="440" spans="1:1" x14ac:dyDescent="0.25">
      <c r="A440" s="30">
        <v>1.595925164659294E-3</v>
      </c>
    </row>
    <row r="441" spans="1:1" x14ac:dyDescent="0.25">
      <c r="A441" s="30">
        <v>1.5199287282469461E-3</v>
      </c>
    </row>
    <row r="442" spans="1:1" x14ac:dyDescent="0.25">
      <c r="A442" s="30">
        <v>1.4475511697589958E-3</v>
      </c>
    </row>
    <row r="443" spans="1:1" x14ac:dyDescent="0.25">
      <c r="A443" s="30">
        <v>1.3786201616752334E-3</v>
      </c>
    </row>
    <row r="444" spans="1:1" x14ac:dyDescent="0.25">
      <c r="A444" s="30">
        <v>1.3129715825478407E-3</v>
      </c>
    </row>
    <row r="445" spans="1:1" x14ac:dyDescent="0.25">
      <c r="A445" s="30">
        <v>1.2504491262360382E-3</v>
      </c>
    </row>
    <row r="446" spans="1:1" x14ac:dyDescent="0.25">
      <c r="A446" s="30">
        <v>1.1909039297486072E-3</v>
      </c>
    </row>
    <row r="447" spans="1:1" x14ac:dyDescent="0.25">
      <c r="A447" s="30">
        <v>1.1341942188081969E-3</v>
      </c>
    </row>
    <row r="448" spans="1:1" x14ac:dyDescent="0.25">
      <c r="A448" s="30">
        <v>1.0801849702935203E-3</v>
      </c>
    </row>
    <row r="449" spans="1:1" x14ac:dyDescent="0.25">
      <c r="A449" s="30">
        <v>1.0287475907557332E-3</v>
      </c>
    </row>
    <row r="450" spans="1:1" x14ac:dyDescent="0.25">
      <c r="A450" s="30">
        <v>9.7731021121794646E-4</v>
      </c>
    </row>
    <row r="451" spans="1:1" x14ac:dyDescent="0.25">
      <c r="A451" s="30">
        <v>9.2844470065704904E-4</v>
      </c>
    </row>
    <row r="452" spans="1:1" x14ac:dyDescent="0.25">
      <c r="A452" s="30">
        <v>8.8202246562419653E-4</v>
      </c>
    </row>
    <row r="453" spans="1:1" x14ac:dyDescent="0.25">
      <c r="A453" s="30">
        <v>8.3792134234298668E-4</v>
      </c>
    </row>
    <row r="454" spans="1:1" x14ac:dyDescent="0.25">
      <c r="A454" s="30">
        <v>7.9602527522583736E-4</v>
      </c>
    </row>
    <row r="455" spans="1:1" x14ac:dyDescent="0.25">
      <c r="A455" s="30">
        <v>7.5622401146454546E-4</v>
      </c>
    </row>
    <row r="456" spans="1:1" x14ac:dyDescent="0.25">
      <c r="A456" s="30">
        <v>7.1841281089131816E-4</v>
      </c>
    </row>
    <row r="457" spans="1:1" x14ac:dyDescent="0.25">
      <c r="A457" s="30">
        <v>6.8249217034675226E-4</v>
      </c>
    </row>
    <row r="458" spans="1:1" x14ac:dyDescent="0.25">
      <c r="A458" s="30">
        <v>6.4836756182941465E-4</v>
      </c>
    </row>
    <row r="459" spans="1:1" x14ac:dyDescent="0.25">
      <c r="A459" s="30">
        <v>6.1594918373794388E-4</v>
      </c>
    </row>
    <row r="460" spans="1:1" x14ac:dyDescent="0.25">
      <c r="A460" s="30">
        <v>5.8515172455104666E-4</v>
      </c>
    </row>
    <row r="461" spans="1:1" x14ac:dyDescent="0.25">
      <c r="A461" s="30">
        <v>5.5589413832349429E-4</v>
      </c>
    </row>
    <row r="462" spans="1:1" x14ac:dyDescent="0.25">
      <c r="A462" s="30">
        <v>5.2809943140731956E-4</v>
      </c>
    </row>
    <row r="463" spans="1:1" x14ac:dyDescent="0.25">
      <c r="A463" s="30">
        <v>5.0169445983695357E-4</v>
      </c>
    </row>
    <row r="464" spans="1:1" x14ac:dyDescent="0.25">
      <c r="A464" s="30">
        <v>4.7660973684510589E-4</v>
      </c>
    </row>
    <row r="465" spans="1:1" x14ac:dyDescent="0.25">
      <c r="A465" s="30">
        <v>4.5277925000285056E-4</v>
      </c>
    </row>
    <row r="466" spans="1:1" x14ac:dyDescent="0.25">
      <c r="A466" s="30">
        <v>4.3014028750270803E-4</v>
      </c>
    </row>
    <row r="467" spans="1:1" x14ac:dyDescent="0.25">
      <c r="A467" s="30">
        <v>4.0863327312757263E-4</v>
      </c>
    </row>
    <row r="468" spans="1:1" x14ac:dyDescent="0.25">
      <c r="A468" s="30">
        <v>3.8820160947119396E-4</v>
      </c>
    </row>
    <row r="469" spans="1:1" x14ac:dyDescent="0.25">
      <c r="A469" s="30">
        <v>3.6879152899763426E-4</v>
      </c>
    </row>
    <row r="470" spans="1:1" x14ac:dyDescent="0.25">
      <c r="A470" s="30">
        <v>3.5035195254775253E-4</v>
      </c>
    </row>
    <row r="471" spans="1:1" x14ac:dyDescent="0.25">
      <c r="A471" s="30">
        <v>3.3283435492036491E-4</v>
      </c>
    </row>
    <row r="472" spans="1:1" x14ac:dyDescent="0.25">
      <c r="A472" s="30">
        <v>3.1619263717434668E-4</v>
      </c>
    </row>
    <row r="473" spans="1:1" x14ac:dyDescent="0.25">
      <c r="A473" s="30">
        <v>3.0038300531562933E-4</v>
      </c>
    </row>
    <row r="474" spans="1:1" x14ac:dyDescent="0.25">
      <c r="A474" s="30">
        <v>2.8536385504984783E-4</v>
      </c>
    </row>
    <row r="475" spans="1:1" x14ac:dyDescent="0.25">
      <c r="A475" s="30">
        <v>2.7109566229735542E-4</v>
      </c>
    </row>
    <row r="476" spans="1:1" x14ac:dyDescent="0.25">
      <c r="A476" s="30">
        <v>2.5754087918248761E-4</v>
      </c>
    </row>
    <row r="477" spans="1:1" x14ac:dyDescent="0.25">
      <c r="A477" s="30">
        <v>2.4466383522336323E-4</v>
      </c>
    </row>
    <row r="478" spans="1:1" x14ac:dyDescent="0.25">
      <c r="A478" s="30">
        <v>2.3243064346219506E-4</v>
      </c>
    </row>
    <row r="479" spans="1:1" x14ac:dyDescent="0.25">
      <c r="A479" s="30">
        <v>2.2080911128908529E-4</v>
      </c>
    </row>
    <row r="480" spans="1:1" x14ac:dyDescent="0.25">
      <c r="A480" s="30">
        <v>2.0976865572463102E-4</v>
      </c>
    </row>
    <row r="481" spans="1:1" x14ac:dyDescent="0.25">
      <c r="A481" s="30">
        <v>1.9928022293839946E-4</v>
      </c>
    </row>
    <row r="482" spans="1:1" x14ac:dyDescent="0.25">
      <c r="A482" s="30">
        <v>1.8931621179147948E-4</v>
      </c>
    </row>
    <row r="483" spans="1:1" x14ac:dyDescent="0.25">
      <c r="A483" s="30">
        <v>1.798504012019055E-4</v>
      </c>
    </row>
    <row r="484" spans="1:1" x14ac:dyDescent="0.25">
      <c r="A484" s="30">
        <v>1.7085788114181021E-4</v>
      </c>
    </row>
    <row r="485" spans="1:1" x14ac:dyDescent="0.25">
      <c r="A485" s="30">
        <v>1.623149870847197E-4</v>
      </c>
    </row>
    <row r="486" spans="1:1" x14ac:dyDescent="0.25">
      <c r="A486" s="30">
        <v>1.541992377304837E-4</v>
      </c>
    </row>
    <row r="487" spans="1:1" x14ac:dyDescent="0.25">
      <c r="A487" s="30">
        <v>1.4648927584395952E-4</v>
      </c>
    </row>
    <row r="488" spans="1:1" x14ac:dyDescent="0.25">
      <c r="A488" s="30">
        <v>1.3916481205176153E-4</v>
      </c>
    </row>
    <row r="489" spans="1:1" x14ac:dyDescent="0.25">
      <c r="A489" s="30">
        <v>1.3220657144917344E-4</v>
      </c>
    </row>
    <row r="490" spans="1:1" x14ac:dyDescent="0.25">
      <c r="A490" s="30">
        <v>1.2559624287671476E-4</v>
      </c>
    </row>
    <row r="491" spans="1:1" x14ac:dyDescent="0.25">
      <c r="A491" s="30">
        <v>1.1931643073287902E-4</v>
      </c>
    </row>
    <row r="492" spans="1:1" x14ac:dyDescent="0.25">
      <c r="A492" s="30">
        <v>1.1335060919623506E-4</v>
      </c>
    </row>
    <row r="493" spans="1:1" x14ac:dyDescent="0.25">
      <c r="A493" s="30">
        <v>1.076830787364233E-4</v>
      </c>
    </row>
    <row r="494" spans="1:1" x14ac:dyDescent="0.25">
      <c r="A494" s="30">
        <v>1.0229892479960213E-4</v>
      </c>
    </row>
    <row r="495" spans="1:1" x14ac:dyDescent="0.25">
      <c r="A495" s="30">
        <v>9.7183978559622027E-5</v>
      </c>
    </row>
    <row r="496" spans="1:1" x14ac:dyDescent="0.25">
      <c r="A496" s="30">
        <v>9.2324779631640922E-5</v>
      </c>
    </row>
    <row r="497" spans="1:1" x14ac:dyDescent="0.25">
      <c r="A497" s="30">
        <v>8.7708540650058869E-5</v>
      </c>
    </row>
    <row r="498" spans="1:1" x14ac:dyDescent="0.25">
      <c r="A498" s="30">
        <v>8.3323113617555917E-5</v>
      </c>
    </row>
    <row r="499" spans="1:1" x14ac:dyDescent="0.25">
      <c r="A499" s="30">
        <v>7.9156957936678114E-5</v>
      </c>
    </row>
    <row r="500" spans="1:1" x14ac:dyDescent="0.25">
      <c r="A500" s="30">
        <v>7.5199110039844203E-5</v>
      </c>
    </row>
    <row r="501" spans="1:1" x14ac:dyDescent="0.25">
      <c r="A501" s="30">
        <v>7.1439154537851989E-5</v>
      </c>
    </row>
    <row r="502" spans="1:1" x14ac:dyDescent="0.25">
      <c r="A502" s="30">
        <v>6.7867196810959381E-5</v>
      </c>
    </row>
    <row r="503" spans="1:1" x14ac:dyDescent="0.25">
      <c r="A503" s="30">
        <v>6.4473836970411412E-5</v>
      </c>
    </row>
    <row r="504" spans="1:1" x14ac:dyDescent="0.25">
      <c r="A504" s="30">
        <v>6.1250145121890834E-5</v>
      </c>
    </row>
    <row r="505" spans="1:1" x14ac:dyDescent="0.25">
      <c r="A505" s="30">
        <v>5.8187637865796292E-5</v>
      </c>
    </row>
    <row r="506" spans="1:1" x14ac:dyDescent="0.25">
      <c r="A506" s="30">
        <v>5.5278255972506478E-5</v>
      </c>
    </row>
    <row r="507" spans="1:1" x14ac:dyDescent="0.25">
      <c r="A507" s="30">
        <v>5.251434317388115E-5</v>
      </c>
    </row>
    <row r="508" spans="1:1" x14ac:dyDescent="0.25">
      <c r="A508" s="30">
        <v>4.9888626015187091E-5</v>
      </c>
    </row>
    <row r="509" spans="1:1" x14ac:dyDescent="0.25">
      <c r="A509" s="30">
        <v>4.7394194714427735E-5</v>
      </c>
    </row>
    <row r="510" spans="1:1" x14ac:dyDescent="0.25">
      <c r="A510" s="30">
        <v>4.5024484978706345E-5</v>
      </c>
    </row>
    <row r="511" spans="1:1" x14ac:dyDescent="0.25">
      <c r="A511" s="30">
        <v>4.2773260729771024E-5</v>
      </c>
    </row>
    <row r="512" spans="1:1" x14ac:dyDescent="0.25">
      <c r="A512" s="30">
        <v>4.0634597693282472E-5</v>
      </c>
    </row>
    <row r="513" spans="1:1" x14ac:dyDescent="0.25">
      <c r="A513" s="30">
        <v>3.8602867808618349E-5</v>
      </c>
    </row>
    <row r="514" spans="1:1" x14ac:dyDescent="0.25">
      <c r="A514" s="30">
        <v>3.6672724418187428E-5</v>
      </c>
    </row>
    <row r="515" spans="1:1" x14ac:dyDescent="0.25">
      <c r="A515" s="30">
        <v>3.4839088197278057E-5</v>
      </c>
    </row>
    <row r="516" spans="1:1" x14ac:dyDescent="0.25">
      <c r="A516" s="30">
        <v>3.3097133787414149E-5</v>
      </c>
    </row>
    <row r="517" spans="1:1" x14ac:dyDescent="0.25">
      <c r="A517" s="30">
        <v>3.1442277098043439E-5</v>
      </c>
    </row>
    <row r="518" spans="1:1" x14ac:dyDescent="0.25">
      <c r="A518" s="30">
        <v>2.9870163243141264E-5</v>
      </c>
    </row>
    <row r="519" spans="1:1" x14ac:dyDescent="0.25">
      <c r="A519" s="30">
        <v>2.8376655080984199E-5</v>
      </c>
    </row>
    <row r="520" spans="1:1" x14ac:dyDescent="0.25">
      <c r="A520" s="30">
        <v>2.6957822326934987E-5</v>
      </c>
    </row>
    <row r="521" spans="1:1" x14ac:dyDescent="0.25">
      <c r="A521" s="30">
        <v>2.5609931210588235E-5</v>
      </c>
    </row>
    <row r="522" spans="1:1" x14ac:dyDescent="0.25">
      <c r="A522" s="30">
        <v>2.4329434650058821E-5</v>
      </c>
    </row>
    <row r="523" spans="1:1" x14ac:dyDescent="0.25">
      <c r="A523" s="30">
        <v>2.311296291755588E-5</v>
      </c>
    </row>
    <row r="524" spans="1:1" x14ac:dyDescent="0.25">
      <c r="A524" s="30">
        <v>2.1957314771678086E-5</v>
      </c>
    </row>
    <row r="525" spans="1:1" x14ac:dyDescent="0.25">
      <c r="A525" s="30">
        <v>2.085944903309418E-5</v>
      </c>
    </row>
    <row r="526" spans="1:1" x14ac:dyDescent="0.25">
      <c r="A526" s="30">
        <v>1.9816476581439472E-5</v>
      </c>
    </row>
    <row r="527" spans="1:1" x14ac:dyDescent="0.25">
      <c r="A527" s="30">
        <v>1.8825652752367499E-5</v>
      </c>
    </row>
    <row r="528" spans="1:1" x14ac:dyDescent="0.25">
      <c r="A528" s="30">
        <v>1.7884370114749124E-5</v>
      </c>
    </row>
    <row r="529" spans="1:1" x14ac:dyDescent="0.25">
      <c r="A529" s="30">
        <v>1.6990151609011666E-5</v>
      </c>
    </row>
    <row r="530" spans="1:1" x14ac:dyDescent="0.25">
      <c r="A530" s="30">
        <v>1.6140644028561083E-5</v>
      </c>
    </row>
    <row r="531" spans="1:1" x14ac:dyDescent="0.25">
      <c r="A531" s="30">
        <v>1.5333611827133028E-5</v>
      </c>
    </row>
    <row r="532" spans="1:1" x14ac:dyDescent="0.25">
      <c r="A532" s="30">
        <v>1.4566931235776375E-5</v>
      </c>
    </row>
    <row r="533" spans="1:1" x14ac:dyDescent="0.25">
      <c r="A533" s="30">
        <v>1.3838584673987556E-5</v>
      </c>
    </row>
    <row r="534" spans="1:1" x14ac:dyDescent="0.25">
      <c r="A534" s="30">
        <v>1.3146655440288178E-5</v>
      </c>
    </row>
    <row r="535" spans="1:1" x14ac:dyDescent="0.25">
      <c r="A535" s="30">
        <v>1.2489322668273768E-5</v>
      </c>
    </row>
    <row r="536" spans="1:1" x14ac:dyDescent="0.25">
      <c r="A536" s="30">
        <v>1.186485653486008E-5</v>
      </c>
    </row>
    <row r="537" spans="1:1" x14ac:dyDescent="0.25">
      <c r="A537" s="30">
        <v>1.1271613708117075E-5</v>
      </c>
    </row>
    <row r="538" spans="1:1" x14ac:dyDescent="0.25">
      <c r="A538" s="30">
        <v>1.0708033022711222E-5</v>
      </c>
    </row>
    <row r="539" spans="1:1" x14ac:dyDescent="0.25">
      <c r="A539" s="30">
        <v>1.0172631371575661E-5</v>
      </c>
    </row>
    <row r="540" spans="1:1" x14ac:dyDescent="0.25">
      <c r="A540" s="30">
        <v>9.6639998029968765E-6</v>
      </c>
    </row>
    <row r="541" spans="1:1" x14ac:dyDescent="0.25">
      <c r="A541" s="30">
        <v>9.1807998128470321E-6</v>
      </c>
    </row>
    <row r="542" spans="1:1" x14ac:dyDescent="0.25">
      <c r="A542" s="30">
        <v>8.7217598222046798E-6</v>
      </c>
    </row>
    <row r="543" spans="1:1" x14ac:dyDescent="0.25">
      <c r="A543" s="30">
        <v>8.2856718310944451E-6</v>
      </c>
    </row>
    <row r="544" spans="1:1" x14ac:dyDescent="0.25">
      <c r="A544" s="30">
        <v>7.8713882395397226E-6</v>
      </c>
    </row>
    <row r="545" spans="1:1" x14ac:dyDescent="0.25">
      <c r="A545" s="30">
        <v>7.4778188275627361E-6</v>
      </c>
    </row>
    <row r="546" spans="1:1" x14ac:dyDescent="0.25">
      <c r="A546" s="30">
        <v>7.1039278861845986E-6</v>
      </c>
    </row>
    <row r="547" spans="1:1" x14ac:dyDescent="0.25">
      <c r="A547" s="30">
        <v>6.7487314918753682E-6</v>
      </c>
    </row>
    <row r="548" spans="1:1" x14ac:dyDescent="0.25">
      <c r="A548" s="30">
        <v>6.4112949172815995E-6</v>
      </c>
    </row>
    <row r="549" spans="1:1" x14ac:dyDescent="0.25">
      <c r="A549" s="30">
        <v>6.0907301714175189E-6</v>
      </c>
    </row>
    <row r="550" spans="1:1" x14ac:dyDescent="0.25">
      <c r="A550" s="30">
        <v>5.7861936628466423E-6</v>
      </c>
    </row>
    <row r="551" spans="1:1" x14ac:dyDescent="0.25">
      <c r="A551" s="30">
        <v>5.4968839797043099E-6</v>
      </c>
    </row>
    <row r="552" spans="1:1" x14ac:dyDescent="0.25">
      <c r="A552" s="30">
        <v>5.2220397807190937E-6</v>
      </c>
    </row>
    <row r="553" spans="1:1" x14ac:dyDescent="0.25">
      <c r="A553" s="30">
        <v>4.9609377916831386E-6</v>
      </c>
    </row>
    <row r="554" spans="1:1" x14ac:dyDescent="0.25">
      <c r="A554" s="30">
        <v>4.7128909020989814E-6</v>
      </c>
    </row>
    <row r="555" spans="1:1" x14ac:dyDescent="0.25">
      <c r="A555" s="30">
        <v>4.4772463569940322E-6</v>
      </c>
    </row>
    <row r="556" spans="1:1" x14ac:dyDescent="0.25">
      <c r="A556" s="30">
        <v>4.2533840391443302E-6</v>
      </c>
    </row>
    <row r="557" spans="1:1" x14ac:dyDescent="0.25">
      <c r="A557" s="30">
        <v>4.0407148371871134E-6</v>
      </c>
    </row>
    <row r="558" spans="1:1" x14ac:dyDescent="0.25">
      <c r="A558" s="30">
        <v>3.838679095327758E-6</v>
      </c>
    </row>
    <row r="559" spans="1:1" x14ac:dyDescent="0.25">
      <c r="A559" s="30">
        <v>3.6467451405613698E-6</v>
      </c>
    </row>
    <row r="560" spans="1:1" x14ac:dyDescent="0.25">
      <c r="A560" s="30">
        <v>3.464407883533301E-6</v>
      </c>
    </row>
    <row r="561" spans="1:1" x14ac:dyDescent="0.25">
      <c r="A561" s="30">
        <v>3.2911874893566358E-6</v>
      </c>
    </row>
    <row r="562" spans="1:1" x14ac:dyDescent="0.25">
      <c r="A562" s="30">
        <v>3.1266281148888039E-6</v>
      </c>
    </row>
    <row r="563" spans="1:1" x14ac:dyDescent="0.25">
      <c r="A563" s="30">
        <v>2.9702967091443636E-6</v>
      </c>
    </row>
    <row r="564" spans="1:1" x14ac:dyDescent="0.25">
      <c r="A564" s="30">
        <v>2.8217818736871453E-6</v>
      </c>
    </row>
    <row r="565" spans="1:1" x14ac:dyDescent="0.25">
      <c r="A565" s="30">
        <v>2.6806927800027881E-6</v>
      </c>
    </row>
    <row r="566" spans="1:1" x14ac:dyDescent="0.25">
      <c r="A566" s="30">
        <v>2.5466581410026485E-6</v>
      </c>
    </row>
    <row r="567" spans="1:1" x14ac:dyDescent="0.25">
      <c r="A567" s="30">
        <v>2.4193252339525159E-6</v>
      </c>
    </row>
    <row r="568" spans="1:1" x14ac:dyDescent="0.25">
      <c r="A568" s="30">
        <v>2.2983589722548901E-6</v>
      </c>
    </row>
    <row r="569" spans="1:1" x14ac:dyDescent="0.25">
      <c r="A569" s="30">
        <v>2.1834410236421454E-6</v>
      </c>
    </row>
    <row r="570" spans="1:1" x14ac:dyDescent="0.25">
      <c r="A570" s="30">
        <v>2.0742689724600379E-6</v>
      </c>
    </row>
    <row r="571" spans="1:1" x14ac:dyDescent="0.25">
      <c r="A571" s="30">
        <v>1.9705555238370358E-6</v>
      </c>
    </row>
    <row r="572" spans="1:1" x14ac:dyDescent="0.25">
      <c r="A572" s="30">
        <v>1.8720277476451839E-6</v>
      </c>
    </row>
    <row r="573" spans="1:1" x14ac:dyDescent="0.25">
      <c r="A573" s="30">
        <v>1.7784263602629246E-6</v>
      </c>
    </row>
    <row r="574" spans="1:1" x14ac:dyDescent="0.25">
      <c r="A574" s="30">
        <v>1.6895050422497783E-6</v>
      </c>
    </row>
    <row r="575" spans="1:1" x14ac:dyDescent="0.25">
      <c r="A575" s="30">
        <v>1.6050297901372894E-6</v>
      </c>
    </row>
    <row r="576" spans="1:1" x14ac:dyDescent="0.25">
      <c r="A576" s="30">
        <v>1.5247783006304249E-6</v>
      </c>
    </row>
    <row r="577" spans="1:1" x14ac:dyDescent="0.25">
      <c r="A577" s="30">
        <v>1.4485393855989036E-6</v>
      </c>
    </row>
    <row r="578" spans="1:1" x14ac:dyDescent="0.25">
      <c r="A578" s="30">
        <v>1.3761124163189583E-6</v>
      </c>
    </row>
    <row r="579" spans="1:1" x14ac:dyDescent="0.25">
      <c r="A579" s="30">
        <v>1.3073067955030102E-6</v>
      </c>
    </row>
    <row r="580" spans="1:1" x14ac:dyDescent="0.25">
      <c r="A580" s="30">
        <v>1.2419414557278597E-6</v>
      </c>
    </row>
    <row r="581" spans="1:1" x14ac:dyDescent="0.25">
      <c r="A581" s="30">
        <v>1.1798443829414667E-6</v>
      </c>
    </row>
    <row r="582" spans="1:1" x14ac:dyDescent="0.25">
      <c r="A582" s="30">
        <v>1.1208521637943934E-6</v>
      </c>
    </row>
    <row r="583" spans="1:1" x14ac:dyDescent="0.25">
      <c r="A583" s="30">
        <v>1.0648095556046737E-6</v>
      </c>
    </row>
    <row r="584" spans="1:1" x14ac:dyDescent="0.25">
      <c r="A584" s="30">
        <v>1.01156907782444E-6</v>
      </c>
    </row>
    <row r="585" spans="1:1" x14ac:dyDescent="0.25">
      <c r="A585" s="30">
        <v>9.6099062393321788E-7</v>
      </c>
    </row>
    <row r="586" spans="1:1" x14ac:dyDescent="0.25">
      <c r="A586" s="30">
        <v>9.1294109273655694E-7</v>
      </c>
    </row>
    <row r="587" spans="1:1" x14ac:dyDescent="0.25">
      <c r="A587" s="30">
        <v>8.6729403809972904E-7</v>
      </c>
    </row>
    <row r="588" spans="1:1" x14ac:dyDescent="0.25">
      <c r="A588" s="30">
        <v>8.2392933619474258E-7</v>
      </c>
    </row>
    <row r="589" spans="1:1" x14ac:dyDescent="0.25">
      <c r="A589" s="30">
        <v>7.8273286938500543E-7</v>
      </c>
    </row>
    <row r="590" spans="1:1" x14ac:dyDescent="0.25">
      <c r="A590" s="30">
        <v>7.4359622591575509E-7</v>
      </c>
    </row>
    <row r="591" spans="1:1" x14ac:dyDescent="0.25">
      <c r="A591" s="30">
        <v>7.064164146199673E-7</v>
      </c>
    </row>
    <row r="592" spans="1:1" x14ac:dyDescent="0.25">
      <c r="A592" s="30">
        <v>6.7109559388896894E-7</v>
      </c>
    </row>
    <row r="593" spans="1:1" x14ac:dyDescent="0.25">
      <c r="A593" s="30">
        <v>6.3754081419452045E-7</v>
      </c>
    </row>
    <row r="594" spans="1:1" x14ac:dyDescent="0.25">
      <c r="A594" s="30">
        <v>6.056637734847944E-7</v>
      </c>
    </row>
    <row r="595" spans="1:1" x14ac:dyDescent="0.25">
      <c r="A595" s="30">
        <v>5.7538058481055464E-7</v>
      </c>
    </row>
    <row r="596" spans="1:1" x14ac:dyDescent="0.25">
      <c r="A596" s="30">
        <v>5.4661155557002689E-7</v>
      </c>
    </row>
    <row r="597" spans="1:1" x14ac:dyDescent="0.25">
      <c r="A597" s="30">
        <v>5.1928097779152547E-7</v>
      </c>
    </row>
    <row r="598" spans="1:1" x14ac:dyDescent="0.25">
      <c r="A598" s="30">
        <v>4.9331692890194916E-7</v>
      </c>
    </row>
    <row r="599" spans="1:1" x14ac:dyDescent="0.25">
      <c r="A599" s="30">
        <v>4.6865108245685168E-7</v>
      </c>
    </row>
    <row r="600" spans="1:1" x14ac:dyDescent="0.25">
      <c r="A600" s="30">
        <v>4.4521852833400909E-7</v>
      </c>
    </row>
    <row r="601" spans="1:1" x14ac:dyDescent="0.25">
      <c r="A601" s="30">
        <v>4.2295760191730863E-7</v>
      </c>
    </row>
    <row r="602" spans="1:1" x14ac:dyDescent="0.25">
      <c r="A602" s="30">
        <v>4.018097218214432E-7</v>
      </c>
    </row>
    <row r="603" spans="1:1" x14ac:dyDescent="0.25">
      <c r="A603" s="30">
        <v>3.8171923573037103E-7</v>
      </c>
    </row>
    <row r="604" spans="1:1" x14ac:dyDescent="0.25">
      <c r="A604" s="30">
        <v>3.6263327394385244E-7</v>
      </c>
    </row>
    <row r="605" spans="1:1" x14ac:dyDescent="0.25">
      <c r="A605" s="30">
        <v>3.4450161024665982E-7</v>
      </c>
    </row>
    <row r="606" spans="1:1" x14ac:dyDescent="0.25">
      <c r="A606" s="30">
        <v>3.2727652973432681E-7</v>
      </c>
    </row>
    <row r="607" spans="1:1" x14ac:dyDescent="0.25">
      <c r="A607" s="30">
        <v>3.1091270324761048E-7</v>
      </c>
    </row>
    <row r="608" spans="1:1" x14ac:dyDescent="0.25">
      <c r="A608" s="30">
        <v>2.9536706808522992E-7</v>
      </c>
    </row>
    <row r="609" spans="1:1" x14ac:dyDescent="0.25">
      <c r="A609" s="30">
        <v>2.8059871468096844E-7</v>
      </c>
    </row>
    <row r="610" spans="1:1" x14ac:dyDescent="0.25">
      <c r="A610" s="30">
        <v>2.6656877894691999E-7</v>
      </c>
    </row>
    <row r="611" spans="1:1" x14ac:dyDescent="0.25">
      <c r="A611" s="30">
        <v>2.5324033999957397E-7</v>
      </c>
    </row>
    <row r="612" spans="1:1" x14ac:dyDescent="0.25">
      <c r="A612" s="30">
        <v>2.4057832299959528E-7</v>
      </c>
    </row>
    <row r="613" spans="1:1" x14ac:dyDescent="0.25">
      <c r="A613" s="30">
        <v>2.2854940684961551E-7</v>
      </c>
    </row>
    <row r="614" spans="1:1" x14ac:dyDescent="0.25">
      <c r="A614" s="30">
        <v>2.1712193650713473E-7</v>
      </c>
    </row>
    <row r="615" spans="1:1" x14ac:dyDescent="0.25">
      <c r="A615" s="30">
        <v>2.0626583968177798E-7</v>
      </c>
    </row>
    <row r="616" spans="1:1" x14ac:dyDescent="0.25">
      <c r="A616" s="30">
        <v>1.9595254769768908E-7</v>
      </c>
    </row>
    <row r="617" spans="1:1" x14ac:dyDescent="0.25">
      <c r="A617" s="30">
        <v>1.8615492031280462E-7</v>
      </c>
    </row>
    <row r="618" spans="1:1" x14ac:dyDescent="0.25">
      <c r="A618" s="30">
        <v>1.7684717429716437E-7</v>
      </c>
    </row>
    <row r="619" spans="1:1" x14ac:dyDescent="0.25">
      <c r="A619" s="30">
        <v>1.6800481558230616E-7</v>
      </c>
    </row>
    <row r="620" spans="1:1" x14ac:dyDescent="0.25">
      <c r="A620" s="30">
        <v>1.5960457480319083E-7</v>
      </c>
    </row>
    <row r="621" spans="1:1" x14ac:dyDescent="0.25">
      <c r="A621" s="30">
        <v>1.5162434606303129E-7</v>
      </c>
    </row>
    <row r="622" spans="1:1" x14ac:dyDescent="0.25">
      <c r="A622" s="30">
        <v>1.4404312875987972E-7</v>
      </c>
    </row>
    <row r="623" spans="1:1" x14ac:dyDescent="0.25">
      <c r="A623" s="30">
        <v>1.3684097232188573E-7</v>
      </c>
    </row>
    <row r="624" spans="1:1" x14ac:dyDescent="0.25">
      <c r="A624" s="30">
        <v>1.2999892370579143E-7</v>
      </c>
    </row>
    <row r="625" spans="1:1" x14ac:dyDescent="0.25">
      <c r="A625" s="30">
        <v>1.2349897752050186E-7</v>
      </c>
    </row>
    <row r="626" spans="1:1" x14ac:dyDescent="0.25">
      <c r="A626" s="30">
        <v>1.1732402864447677E-7</v>
      </c>
    </row>
    <row r="627" spans="1:1" x14ac:dyDescent="0.25">
      <c r="A627" s="30">
        <v>1.1145782721225292E-7</v>
      </c>
    </row>
    <row r="628" spans="1:1" x14ac:dyDescent="0.25">
      <c r="A628" s="30">
        <v>1.0588493585164026E-7</v>
      </c>
    </row>
    <row r="629" spans="1:1" x14ac:dyDescent="0.25">
      <c r="A629" s="30">
        <v>1.0059068905905825E-7</v>
      </c>
    </row>
    <row r="630" spans="1:1" x14ac:dyDescent="0.25">
      <c r="A630" s="30">
        <v>9.5561154606105325E-8</v>
      </c>
    </row>
    <row r="631" spans="1:1" x14ac:dyDescent="0.25">
      <c r="A631" s="30">
        <v>9.0783096875800056E-8</v>
      </c>
    </row>
    <row r="632" spans="1:1" x14ac:dyDescent="0.25">
      <c r="A632" s="30">
        <v>8.6243942032010053E-8</v>
      </c>
    </row>
    <row r="633" spans="1:1" x14ac:dyDescent="0.25">
      <c r="A633" s="30">
        <v>8.1931744930409543E-8</v>
      </c>
    </row>
    <row r="634" spans="1:1" x14ac:dyDescent="0.25">
      <c r="A634" s="30">
        <v>7.7835157683889064E-8</v>
      </c>
    </row>
    <row r="635" spans="1:1" x14ac:dyDescent="0.25">
      <c r="A635" s="30">
        <v>7.3943399799694612E-8</v>
      </c>
    </row>
    <row r="636" spans="1:1" x14ac:dyDescent="0.25">
      <c r="A636" s="30">
        <v>7.0246229809709872E-8</v>
      </c>
    </row>
    <row r="637" spans="1:1" x14ac:dyDescent="0.25">
      <c r="A637" s="30">
        <v>6.6733918319224378E-8</v>
      </c>
    </row>
    <row r="638" spans="1:1" x14ac:dyDescent="0.25">
      <c r="A638" s="30">
        <v>6.3397222403263155E-8</v>
      </c>
    </row>
    <row r="639" spans="1:1" x14ac:dyDescent="0.25">
      <c r="A639" s="30">
        <v>6.0227361283099997E-8</v>
      </c>
    </row>
    <row r="640" spans="1:1" x14ac:dyDescent="0.25">
      <c r="A640" s="30">
        <v>5.7215993218944996E-8</v>
      </c>
    </row>
    <row r="641" spans="1:1" x14ac:dyDescent="0.25">
      <c r="A641" s="30">
        <v>5.4355193557997742E-8</v>
      </c>
    </row>
    <row r="642" spans="1:1" x14ac:dyDescent="0.25">
      <c r="A642" s="30">
        <v>5.1637433880097855E-8</v>
      </c>
    </row>
    <row r="643" spans="1:1" x14ac:dyDescent="0.25">
      <c r="A643" s="30">
        <v>4.9055562186092959E-8</v>
      </c>
    </row>
    <row r="644" spans="1:1" x14ac:dyDescent="0.25">
      <c r="A644" s="30">
        <v>4.6602784076788309E-8</v>
      </c>
    </row>
    <row r="645" spans="1:1" x14ac:dyDescent="0.25">
      <c r="A645" s="30">
        <v>4.4272644872948894E-8</v>
      </c>
    </row>
    <row r="646" spans="1:1" x14ac:dyDescent="0.25">
      <c r="A646" s="30">
        <v>4.2059012629301451E-8</v>
      </c>
    </row>
    <row r="647" spans="1:1" x14ac:dyDescent="0.25">
      <c r="A647" s="30">
        <v>3.9956061997836377E-8</v>
      </c>
    </row>
    <row r="648" spans="1:1" x14ac:dyDescent="0.25">
      <c r="A648" s="30">
        <v>3.7958258897944555E-8</v>
      </c>
    </row>
    <row r="649" spans="1:1" x14ac:dyDescent="0.25">
      <c r="A649" s="30">
        <v>3.6060345953047327E-8</v>
      </c>
    </row>
    <row r="650" spans="1:1" x14ac:dyDescent="0.25">
      <c r="A650" s="30">
        <v>3.4257328655394958E-8</v>
      </c>
    </row>
    <row r="651" spans="1:1" x14ac:dyDescent="0.25">
      <c r="A651" s="30">
        <v>3.2544462222625211E-8</v>
      </c>
    </row>
    <row r="652" spans="1:1" x14ac:dyDescent="0.25">
      <c r="A652" s="30">
        <v>3.0917239111493953E-8</v>
      </c>
    </row>
    <row r="653" spans="1:1" x14ac:dyDescent="0.25">
      <c r="A653" s="30">
        <v>2.9371377155919254E-8</v>
      </c>
    </row>
    <row r="654" spans="1:1" x14ac:dyDescent="0.25">
      <c r="A654" s="30">
        <v>2.7902808298123291E-8</v>
      </c>
    </row>
    <row r="655" spans="1:1" x14ac:dyDescent="0.25">
      <c r="A655" s="30">
        <v>2.6507667883217124E-8</v>
      </c>
    </row>
    <row r="656" spans="1:1" x14ac:dyDescent="0.25">
      <c r="A656" s="30">
        <v>2.5182284489056268E-8</v>
      </c>
    </row>
    <row r="657" spans="1:1" x14ac:dyDescent="0.25">
      <c r="A657" s="30">
        <v>2.3923170264603454E-8</v>
      </c>
    </row>
    <row r="658" spans="1:1" x14ac:dyDescent="0.25">
      <c r="A658" s="30">
        <v>2.2727011751373281E-8</v>
      </c>
    </row>
    <row r="659" spans="1:1" x14ac:dyDescent="0.25">
      <c r="A659" s="30">
        <v>2.1590661163804617E-8</v>
      </c>
    </row>
    <row r="660" spans="1:1" x14ac:dyDescent="0.25">
      <c r="A660" s="30">
        <v>2.0511128105614386E-8</v>
      </c>
    </row>
    <row r="661" spans="1:1" x14ac:dyDescent="0.25">
      <c r="A661" s="30">
        <v>1.9485571700333666E-8</v>
      </c>
    </row>
    <row r="662" spans="1:1" x14ac:dyDescent="0.25">
      <c r="A662" s="30">
        <v>1.8511293115316981E-8</v>
      </c>
    </row>
    <row r="663" spans="1:1" x14ac:dyDescent="0.25">
      <c r="A663" s="30">
        <v>1.758572845955113E-8</v>
      </c>
    </row>
    <row r="664" spans="1:1" x14ac:dyDescent="0.25">
      <c r="A664" s="30">
        <v>1.6706442036573572E-8</v>
      </c>
    </row>
    <row r="665" spans="1:1" x14ac:dyDescent="0.25">
      <c r="A665" s="30">
        <v>1.5871119934744892E-8</v>
      </c>
    </row>
    <row r="666" spans="1:1" x14ac:dyDescent="0.25">
      <c r="A666" s="30">
        <v>1.5077563938007645E-8</v>
      </c>
    </row>
    <row r="667" spans="1:1" x14ac:dyDescent="0.25">
      <c r="A667" s="30">
        <v>1.4323685741107262E-8</v>
      </c>
    </row>
    <row r="668" spans="1:1" x14ac:dyDescent="0.25">
      <c r="A668" s="30">
        <v>1.3607501454051899E-8</v>
      </c>
    </row>
    <row r="669" spans="1:1" x14ac:dyDescent="0.25">
      <c r="A669" s="30">
        <v>1.2927126381349303E-8</v>
      </c>
    </row>
    <row r="670" spans="1:1" x14ac:dyDescent="0.25">
      <c r="A670" s="30">
        <v>1.2280770062281838E-8</v>
      </c>
    </row>
    <row r="671" spans="1:1" x14ac:dyDescent="0.25">
      <c r="A671" s="30">
        <v>1.1666731559167746E-8</v>
      </c>
    </row>
    <row r="672" spans="1:1" x14ac:dyDescent="0.25">
      <c r="A672" s="30">
        <v>1.1083394981209357E-8</v>
      </c>
    </row>
    <row r="673" spans="1:1" x14ac:dyDescent="0.25">
      <c r="A673" s="30">
        <v>1.0529225232148889E-8</v>
      </c>
    </row>
    <row r="674" spans="1:1" x14ac:dyDescent="0.25">
      <c r="A674" s="30">
        <v>1.0002763970541444E-8</v>
      </c>
    </row>
    <row r="675" spans="1:1" x14ac:dyDescent="0.25">
      <c r="A675" s="30">
        <v>9.5026257720143712E-9</v>
      </c>
    </row>
    <row r="676" spans="1:1" x14ac:dyDescent="0.25">
      <c r="A676" s="30">
        <v>9.0274944834136515E-9</v>
      </c>
    </row>
    <row r="677" spans="1:1" x14ac:dyDescent="0.25">
      <c r="A677" s="30">
        <v>8.5761197592429686E-9</v>
      </c>
    </row>
    <row r="678" spans="1:1" x14ac:dyDescent="0.25">
      <c r="A678" s="30">
        <v>8.1473137712808194E-9</v>
      </c>
    </row>
    <row r="679" spans="1:1" x14ac:dyDescent="0.25">
      <c r="A679" s="30">
        <v>7.7399480827167776E-9</v>
      </c>
    </row>
    <row r="680" spans="1:1" x14ac:dyDescent="0.25">
      <c r="A680" s="30">
        <v>7.3529506785809386E-9</v>
      </c>
    </row>
    <row r="681" spans="1:1" x14ac:dyDescent="0.25">
      <c r="A681" s="30">
        <v>6.9853031446518911E-9</v>
      </c>
    </row>
    <row r="682" spans="1:1" x14ac:dyDescent="0.25">
      <c r="A682" s="30">
        <v>6.6360379874192963E-9</v>
      </c>
    </row>
    <row r="683" spans="1:1" x14ac:dyDescent="0.25">
      <c r="A683" s="30">
        <v>6.3042360880483309E-9</v>
      </c>
    </row>
    <row r="684" spans="1:1" x14ac:dyDescent="0.25">
      <c r="A684" s="30">
        <v>5.989024283645914E-9</v>
      </c>
    </row>
    <row r="685" spans="1:1" x14ac:dyDescent="0.25">
      <c r="A685" s="30">
        <v>5.6895730694636181E-9</v>
      </c>
    </row>
    <row r="686" spans="1:1" x14ac:dyDescent="0.25">
      <c r="A686" s="30">
        <v>5.4050944159904366E-9</v>
      </c>
    </row>
    <row r="687" spans="1:1" x14ac:dyDescent="0.25">
      <c r="A687" s="30">
        <v>5.1348396951909145E-9</v>
      </c>
    </row>
    <row r="688" spans="1:1" x14ac:dyDescent="0.25">
      <c r="A688" s="30">
        <v>4.8780977104313684E-9</v>
      </c>
    </row>
    <row r="689" spans="1:1" x14ac:dyDescent="0.25">
      <c r="A689" s="30">
        <v>4.6341928249097994E-9</v>
      </c>
    </row>
    <row r="690" spans="1:1" x14ac:dyDescent="0.25">
      <c r="A690" s="30">
        <v>4.4024831836643092E-9</v>
      </c>
    </row>
    <row r="691" spans="1:1" x14ac:dyDescent="0.25">
      <c r="A691" s="30">
        <v>4.1823590244810936E-9</v>
      </c>
    </row>
    <row r="692" spans="1:1" x14ac:dyDescent="0.25">
      <c r="A692" s="30">
        <v>3.9732410732570384E-9</v>
      </c>
    </row>
    <row r="693" spans="1:1" x14ac:dyDescent="0.25">
      <c r="A693" s="30">
        <v>3.7745790195941862E-9</v>
      </c>
    </row>
    <row r="694" spans="1:1" x14ac:dyDescent="0.25">
      <c r="A694" s="30">
        <v>3.5858500686144767E-9</v>
      </c>
    </row>
    <row r="695" spans="1:1" x14ac:dyDescent="0.25">
      <c r="A695" s="30">
        <v>3.4065575651837529E-9</v>
      </c>
    </row>
    <row r="696" spans="1:1" x14ac:dyDescent="0.25">
      <c r="A696" s="30">
        <v>3.236229686924565E-9</v>
      </c>
    </row>
    <row r="697" spans="1:1" x14ac:dyDescent="0.25">
      <c r="A697" s="30">
        <v>3.0744182025783365E-9</v>
      </c>
    </row>
    <row r="698" spans="1:1" x14ac:dyDescent="0.25">
      <c r="A698" s="30">
        <v>2.9206972924494197E-9</v>
      </c>
    </row>
    <row r="699" spans="1:1" x14ac:dyDescent="0.25">
      <c r="A699" s="30">
        <v>2.7746624278269484E-9</v>
      </c>
    </row>
    <row r="700" spans="1:1" x14ac:dyDescent="0.25">
      <c r="A700" s="30">
        <v>2.635929306435601E-9</v>
      </c>
    </row>
    <row r="701" spans="1:1" x14ac:dyDescent="0.25">
      <c r="A701" s="30">
        <v>2.504132841113821E-9</v>
      </c>
    </row>
    <row r="702" spans="1:1" x14ac:dyDescent="0.25">
      <c r="A702" s="30">
        <v>2.3789261990581298E-9</v>
      </c>
    </row>
    <row r="703" spans="1:1" x14ac:dyDescent="0.25">
      <c r="A703" s="30">
        <v>2.259979889105223E-9</v>
      </c>
    </row>
    <row r="704" spans="1:1" x14ac:dyDescent="0.25">
      <c r="A704" s="30">
        <v>2.1469808946499619E-9</v>
      </c>
    </row>
    <row r="705" spans="1:1" x14ac:dyDescent="0.25">
      <c r="A705" s="30">
        <v>2.0396318499174636E-9</v>
      </c>
    </row>
    <row r="706" spans="1:1" x14ac:dyDescent="0.25">
      <c r="A706" s="30">
        <v>1.9376502574215905E-9</v>
      </c>
    </row>
    <row r="707" spans="1:1" x14ac:dyDescent="0.25">
      <c r="A707" s="30">
        <v>1.8407677445505109E-9</v>
      </c>
    </row>
    <row r="708" spans="1:1" x14ac:dyDescent="0.25">
      <c r="A708" s="30">
        <v>1.7487293573229853E-9</v>
      </c>
    </row>
    <row r="709" spans="1:1" x14ac:dyDescent="0.25">
      <c r="A709" s="30">
        <v>1.661292889456836E-9</v>
      </c>
    </row>
    <row r="710" spans="1:1" x14ac:dyDescent="0.25">
      <c r="A710" s="30">
        <v>1.578228244983994E-9</v>
      </c>
    </row>
    <row r="711" spans="1:1" x14ac:dyDescent="0.25">
      <c r="A711" s="30">
        <v>1.4993168327347942E-9</v>
      </c>
    </row>
    <row r="712" spans="1:1" x14ac:dyDescent="0.25">
      <c r="A712" s="30">
        <v>1.4243509910980544E-9</v>
      </c>
    </row>
    <row r="713" spans="1:1" x14ac:dyDescent="0.25">
      <c r="A713" s="30">
        <v>1.3531334415431516E-9</v>
      </c>
    </row>
    <row r="714" spans="1:1" x14ac:dyDescent="0.25">
      <c r="A714" s="30">
        <v>1.285476769465994E-9</v>
      </c>
    </row>
    <row r="715" spans="1:1" x14ac:dyDescent="0.25">
      <c r="A715" s="30">
        <v>1.2212029309926942E-9</v>
      </c>
    </row>
    <row r="716" spans="1:1" x14ac:dyDescent="0.25">
      <c r="A716" s="30">
        <v>1.1601427844430595E-9</v>
      </c>
    </row>
    <row r="717" spans="1:1" x14ac:dyDescent="0.25">
      <c r="A717" s="30">
        <v>1.1021356452209065E-9</v>
      </c>
    </row>
    <row r="718" spans="1:1" x14ac:dyDescent="0.25">
      <c r="A718" s="30">
        <v>1.047028862959861E-9</v>
      </c>
    </row>
    <row r="719" spans="1:1" x14ac:dyDescent="0.25">
      <c r="A719" s="30">
        <v>9.9467741981186791E-10</v>
      </c>
    </row>
    <row r="720" spans="1:1" x14ac:dyDescent="0.25">
      <c r="A720" s="30">
        <v>9.4494354882127439E-10</v>
      </c>
    </row>
    <row r="721" spans="1:1" x14ac:dyDescent="0.25">
      <c r="A721" s="30">
        <v>8.9769637138021059E-10</v>
      </c>
    </row>
    <row r="722" spans="1:1" x14ac:dyDescent="0.25">
      <c r="A722" s="30">
        <v>8.5281155281120004E-10</v>
      </c>
    </row>
    <row r="723" spans="1:1" x14ac:dyDescent="0.25">
      <c r="A723" s="30">
        <v>8.1017097517064003E-10</v>
      </c>
    </row>
    <row r="724" spans="1:1" x14ac:dyDescent="0.25">
      <c r="A724" s="30">
        <v>7.69662426412108E-10</v>
      </c>
    </row>
    <row r="725" spans="1:1" x14ac:dyDescent="0.25">
      <c r="A725" s="30">
        <v>7.3117930509150257E-10</v>
      </c>
    </row>
    <row r="726" spans="1:1" x14ac:dyDescent="0.25">
      <c r="A726" s="30">
        <v>6.9462033983692743E-10</v>
      </c>
    </row>
    <row r="727" spans="1:1" x14ac:dyDescent="0.25">
      <c r="A727" s="30">
        <v>6.5988932284508105E-10</v>
      </c>
    </row>
    <row r="728" spans="1:1" x14ac:dyDescent="0.25">
      <c r="A728" s="30">
        <v>6.2689485670282699E-10</v>
      </c>
    </row>
    <row r="729" spans="1:1" x14ac:dyDescent="0.25">
      <c r="A729" s="30">
        <v>5.9555011386768556E-10</v>
      </c>
    </row>
    <row r="730" spans="1:1" x14ac:dyDescent="0.25">
      <c r="A730" s="30">
        <v>5.6577260817430128E-10</v>
      </c>
    </row>
    <row r="731" spans="1:1" x14ac:dyDescent="0.25">
      <c r="A731" s="30">
        <v>5.3748397776558616E-10</v>
      </c>
    </row>
    <row r="732" spans="1:1" x14ac:dyDescent="0.25">
      <c r="A732" s="30">
        <v>5.1060977887730685E-10</v>
      </c>
    </row>
    <row r="733" spans="1:1" x14ac:dyDescent="0.25">
      <c r="A733" s="30">
        <v>4.8507928993344152E-10</v>
      </c>
    </row>
    <row r="734" spans="1:1" x14ac:dyDescent="0.25">
      <c r="A734" s="30">
        <v>4.6082532543676942E-10</v>
      </c>
    </row>
    <row r="735" spans="1:1" x14ac:dyDescent="0.25">
      <c r="A735" s="30">
        <v>4.3778405916493093E-10</v>
      </c>
    </row>
    <row r="736" spans="1:1" x14ac:dyDescent="0.25">
      <c r="A736" s="30">
        <v>4.1589485620668437E-10</v>
      </c>
    </row>
    <row r="737" spans="1:1" x14ac:dyDescent="0.25">
      <c r="A737" s="30">
        <v>3.9510011339635012E-10</v>
      </c>
    </row>
    <row r="738" spans="1:1" x14ac:dyDescent="0.25">
      <c r="A738" s="30">
        <v>3.7534510772653259E-10</v>
      </c>
    </row>
    <row r="739" spans="1:1" x14ac:dyDescent="0.25">
      <c r="A739" s="30">
        <v>3.5657785234020594E-10</v>
      </c>
    </row>
    <row r="740" spans="1:1" x14ac:dyDescent="0.25">
      <c r="A740" s="30">
        <v>3.3874895972319565E-10</v>
      </c>
    </row>
    <row r="741" spans="1:1" x14ac:dyDescent="0.25">
      <c r="A741" s="30">
        <v>3.2181151173703586E-10</v>
      </c>
    </row>
    <row r="742" spans="1:1" x14ac:dyDescent="0.25">
      <c r="A742" s="30">
        <v>3.0572093615018408E-10</v>
      </c>
    </row>
    <row r="743" spans="1:1" x14ac:dyDescent="0.25">
      <c r="A743" s="30">
        <v>2.9043488934267484E-10</v>
      </c>
    </row>
    <row r="744" spans="1:1" x14ac:dyDescent="0.25">
      <c r="A744" s="30">
        <v>2.7591314487554109E-10</v>
      </c>
    </row>
    <row r="745" spans="1:1" x14ac:dyDescent="0.25">
      <c r="A745" s="30">
        <v>2.6211748763176403E-10</v>
      </c>
    </row>
    <row r="746" spans="1:1" x14ac:dyDescent="0.25">
      <c r="A746" s="30">
        <v>2.4901161325017583E-10</v>
      </c>
    </row>
    <row r="747" spans="1:1" x14ac:dyDescent="0.25">
      <c r="A747" s="30">
        <v>2.3656103258766704E-10</v>
      </c>
    </row>
    <row r="748" spans="1:1" x14ac:dyDescent="0.25">
      <c r="A748" s="30">
        <v>2.2473298095828367E-10</v>
      </c>
    </row>
    <row r="749" spans="1:1" x14ac:dyDescent="0.25">
      <c r="A749" s="30">
        <v>2.1349633191036949E-10</v>
      </c>
    </row>
    <row r="750" spans="1:1" x14ac:dyDescent="0.25">
      <c r="A750" s="30">
        <v>2.02821515314851E-10</v>
      </c>
    </row>
    <row r="751" spans="1:1" x14ac:dyDescent="0.25">
      <c r="A751" s="30">
        <v>1.9268043954910845E-10</v>
      </c>
    </row>
    <row r="752" spans="1:1" x14ac:dyDescent="0.25">
      <c r="A752" s="30">
        <v>1.8304641757165302E-10</v>
      </c>
    </row>
    <row r="753" spans="1:1" x14ac:dyDescent="0.25">
      <c r="A753" s="30">
        <v>1.7389409669307036E-10</v>
      </c>
    </row>
    <row r="754" spans="1:1" x14ac:dyDescent="0.25">
      <c r="A754" s="30">
        <v>1.6519939185841684E-10</v>
      </c>
    </row>
    <row r="755" spans="1:1" x14ac:dyDescent="0.25">
      <c r="A755" s="30">
        <v>1.5693942226549599E-10</v>
      </c>
    </row>
    <row r="756" spans="1:1" x14ac:dyDescent="0.25">
      <c r="A756" s="30">
        <v>1.4909245115222119E-10</v>
      </c>
    </row>
    <row r="757" spans="1:1" x14ac:dyDescent="0.25">
      <c r="A757" s="30">
        <v>1.4163782859461013E-10</v>
      </c>
    </row>
    <row r="758" spans="1:1" x14ac:dyDescent="0.25">
      <c r="A758" s="30">
        <v>1.3455593716487961E-10</v>
      </c>
    </row>
    <row r="759" spans="1:1" x14ac:dyDescent="0.25">
      <c r="A759" s="30">
        <v>1.2782814030663562E-10</v>
      </c>
    </row>
    <row r="760" spans="1:1" x14ac:dyDescent="0.25">
      <c r="A760" s="30">
        <v>1.2143673329130384E-10</v>
      </c>
    </row>
    <row r="761" spans="1:1" x14ac:dyDescent="0.25">
      <c r="A761" s="30">
        <v>1.1536489662673864E-10</v>
      </c>
    </row>
    <row r="762" spans="1:1" x14ac:dyDescent="0.25">
      <c r="A762" s="30">
        <v>1.095966517954017E-10</v>
      </c>
    </row>
    <row r="763" spans="1:1" x14ac:dyDescent="0.25">
      <c r="A763" s="30">
        <v>1.0411681920563161E-10</v>
      </c>
    </row>
    <row r="764" spans="1:1" x14ac:dyDescent="0.25">
      <c r="A764" s="30">
        <v>9.8910978245350022E-11</v>
      </c>
    </row>
    <row r="765" spans="1:1" x14ac:dyDescent="0.25">
      <c r="A765" s="30">
        <v>9.3965429333082514E-11</v>
      </c>
    </row>
    <row r="766" spans="1:1" x14ac:dyDescent="0.25">
      <c r="A766" s="30">
        <v>8.926715786642838E-11</v>
      </c>
    </row>
    <row r="767" spans="1:1" x14ac:dyDescent="0.25">
      <c r="A767" s="30">
        <v>8.4803799973106953E-11</v>
      </c>
    </row>
    <row r="768" spans="1:1" x14ac:dyDescent="0.25">
      <c r="A768" s="30">
        <v>8.0563609974451603E-11</v>
      </c>
    </row>
    <row r="769" spans="1:1" x14ac:dyDescent="0.25">
      <c r="A769" s="30">
        <v>7.6535429475729024E-11</v>
      </c>
    </row>
    <row r="770" spans="1:1" x14ac:dyDescent="0.25">
      <c r="A770" s="30">
        <v>7.270865800194257E-11</v>
      </c>
    </row>
    <row r="771" spans="1:1" x14ac:dyDescent="0.25">
      <c r="A771" s="30">
        <v>6.9073225101845444E-11</v>
      </c>
    </row>
    <row r="772" spans="1:1" x14ac:dyDescent="0.25">
      <c r="A772" s="30">
        <v>6.5619563846753168E-11</v>
      </c>
    </row>
    <row r="773" spans="1:1" x14ac:dyDescent="0.25">
      <c r="A773" s="30">
        <v>6.2338585654415507E-11</v>
      </c>
    </row>
    <row r="774" spans="1:1" x14ac:dyDescent="0.25">
      <c r="A774" s="30">
        <v>5.9221656371694723E-11</v>
      </c>
    </row>
    <row r="775" spans="1:1" x14ac:dyDescent="0.25">
      <c r="A775" s="30">
        <v>5.6260573553109984E-11</v>
      </c>
    </row>
    <row r="776" spans="1:1" x14ac:dyDescent="0.25">
      <c r="A776" s="30">
        <v>5.3447544875454483E-11</v>
      </c>
    </row>
    <row r="777" spans="1:1" x14ac:dyDescent="0.25">
      <c r="A777" s="30">
        <v>5.0775167631681754E-11</v>
      </c>
    </row>
    <row r="778" spans="1:1" x14ac:dyDescent="0.25">
      <c r="A778" s="30">
        <v>4.8236409250097665E-11</v>
      </c>
    </row>
    <row r="779" spans="1:1" x14ac:dyDescent="0.25">
      <c r="A779" s="30">
        <v>4.5824588787592778E-11</v>
      </c>
    </row>
    <row r="780" spans="1:1" x14ac:dyDescent="0.25">
      <c r="A780" s="30">
        <v>4.3533359348213134E-11</v>
      </c>
    </row>
    <row r="781" spans="1:1" x14ac:dyDescent="0.25">
      <c r="A781" s="30">
        <v>4.1356691380802478E-11</v>
      </c>
    </row>
    <row r="782" spans="1:1" x14ac:dyDescent="0.25">
      <c r="A782" s="30">
        <v>3.9288856811762353E-11</v>
      </c>
    </row>
    <row r="783" spans="1:1" x14ac:dyDescent="0.25">
      <c r="A783" s="30">
        <v>3.7324413971174231E-11</v>
      </c>
    </row>
    <row r="784" spans="1:1" x14ac:dyDescent="0.25">
      <c r="A784" s="30">
        <v>3.545819327261552E-11</v>
      </c>
    </row>
    <row r="785" spans="1:1" x14ac:dyDescent="0.25">
      <c r="A785" s="30">
        <v>3.3685283608984745E-11</v>
      </c>
    </row>
    <row r="786" spans="1:1" x14ac:dyDescent="0.25">
      <c r="A786" s="30">
        <v>3.2001019428535508E-11</v>
      </c>
    </row>
    <row r="787" spans="1:1" x14ac:dyDescent="0.25">
      <c r="A787" s="30">
        <v>3.0400968457108733E-11</v>
      </c>
    </row>
    <row r="788" spans="1:1" x14ac:dyDescent="0.25">
      <c r="A788" s="30">
        <v>2.8880920034253296E-11</v>
      </c>
    </row>
    <row r="789" spans="1:1" x14ac:dyDescent="0.25">
      <c r="A789" s="30">
        <v>2.7436874032540629E-11</v>
      </c>
    </row>
    <row r="790" spans="1:1" x14ac:dyDescent="0.25">
      <c r="A790" s="30">
        <v>2.6065030330913595E-11</v>
      </c>
    </row>
    <row r="791" spans="1:1" x14ac:dyDescent="0.25">
      <c r="A791" s="30">
        <v>2.4761778814367914E-11</v>
      </c>
    </row>
    <row r="792" spans="1:1" x14ac:dyDescent="0.25">
      <c r="A792" s="30">
        <v>2.3523689873649516E-11</v>
      </c>
    </row>
    <row r="793" spans="1:1" x14ac:dyDescent="0.25">
      <c r="A793" s="30">
        <v>2.234750537996704E-11</v>
      </c>
    </row>
    <row r="794" spans="1:1" x14ac:dyDescent="0.25">
      <c r="A794" s="30">
        <v>2.1230130110968688E-11</v>
      </c>
    </row>
    <row r="795" spans="1:1" x14ac:dyDescent="0.25">
      <c r="A795" s="30">
        <v>2.0168623605420253E-11</v>
      </c>
    </row>
    <row r="796" spans="1:1" x14ac:dyDescent="0.25">
      <c r="A796" s="30">
        <v>1.916019242514924E-11</v>
      </c>
    </row>
    <row r="797" spans="1:1" x14ac:dyDescent="0.25">
      <c r="A797" s="30">
        <v>1.8202182803891777E-11</v>
      </c>
    </row>
    <row r="798" spans="1:1" x14ac:dyDescent="0.25">
      <c r="A798" s="30">
        <v>1.7292073663697186E-11</v>
      </c>
    </row>
    <row r="799" spans="1:1" x14ac:dyDescent="0.25">
      <c r="A799" s="30">
        <v>1.6427469980512324E-11</v>
      </c>
    </row>
    <row r="800" spans="1:1" x14ac:dyDescent="0.25">
      <c r="A800" s="30">
        <v>1.5606096481486706E-11</v>
      </c>
    </row>
    <row r="801" spans="1:1" x14ac:dyDescent="0.25">
      <c r="A801" s="30">
        <v>1.482579165741237E-11</v>
      </c>
    </row>
    <row r="802" spans="1:1" x14ac:dyDescent="0.25">
      <c r="A802" s="30">
        <v>1.408450207454175E-11</v>
      </c>
    </row>
    <row r="803" spans="1:1" x14ac:dyDescent="0.25">
      <c r="A803" s="30">
        <v>1.3380276970814662E-11</v>
      </c>
    </row>
    <row r="804" spans="1:1" x14ac:dyDescent="0.25">
      <c r="A804" s="30">
        <v>1.2711263122273928E-11</v>
      </c>
    </row>
    <row r="805" spans="1:1" x14ac:dyDescent="0.25">
      <c r="A805" s="30">
        <v>1.2075699966160231E-11</v>
      </c>
    </row>
    <row r="806" spans="1:1" x14ac:dyDescent="0.25">
      <c r="A806" s="30">
        <v>1.1471914967852219E-11</v>
      </c>
    </row>
    <row r="807" spans="1:1" x14ac:dyDescent="0.25">
      <c r="A807" s="30">
        <v>1.0898319219459608E-11</v>
      </c>
    </row>
    <row r="808" spans="1:1" x14ac:dyDescent="0.25">
      <c r="A808" s="30">
        <v>1.0353403258486628E-11</v>
      </c>
    </row>
    <row r="809" spans="1:1" x14ac:dyDescent="0.25">
      <c r="A809" s="30">
        <v>9.8357330955622963E-12</v>
      </c>
    </row>
    <row r="810" spans="1:1" x14ac:dyDescent="0.25">
      <c r="A810" s="30">
        <v>9.3439464407841808E-12</v>
      </c>
    </row>
    <row r="811" spans="1:1" x14ac:dyDescent="0.25">
      <c r="A811" s="30">
        <v>8.8767491187449709E-12</v>
      </c>
    </row>
    <row r="812" spans="1:1" x14ac:dyDescent="0.25">
      <c r="A812" s="30">
        <v>8.4329116628077213E-12</v>
      </c>
    </row>
    <row r="813" spans="1:1" x14ac:dyDescent="0.25">
      <c r="A813" s="30">
        <v>8.0112660796673341E-12</v>
      </c>
    </row>
    <row r="814" spans="1:1" x14ac:dyDescent="0.25">
      <c r="A814" s="30">
        <v>7.6107027756839663E-12</v>
      </c>
    </row>
    <row r="815" spans="1:1" x14ac:dyDescent="0.25">
      <c r="A815" s="30">
        <v>7.2301676368997673E-12</v>
      </c>
    </row>
    <row r="816" spans="1:1" x14ac:dyDescent="0.25">
      <c r="A816" s="30">
        <v>6.8686592550547782E-12</v>
      </c>
    </row>
    <row r="817" spans="1:1" x14ac:dyDescent="0.25">
      <c r="A817" s="30">
        <v>6.5252262923020387E-12</v>
      </c>
    </row>
    <row r="818" spans="1:1" x14ac:dyDescent="0.25">
      <c r="A818" s="30">
        <v>6.1989649776869368E-12</v>
      </c>
    </row>
    <row r="819" spans="1:1" x14ac:dyDescent="0.25">
      <c r="A819" s="30">
        <v>5.8890167288025901E-12</v>
      </c>
    </row>
    <row r="820" spans="1:1" x14ac:dyDescent="0.25">
      <c r="A820" s="30">
        <v>5.5945658923624606E-12</v>
      </c>
    </row>
    <row r="821" spans="1:1" x14ac:dyDescent="0.25">
      <c r="A821" s="30">
        <v>5.3148375977443373E-12</v>
      </c>
    </row>
    <row r="822" spans="1:1" x14ac:dyDescent="0.25">
      <c r="A822" s="30">
        <v>5.0490957178571204E-12</v>
      </c>
    </row>
    <row r="823" spans="1:1" x14ac:dyDescent="0.25">
      <c r="A823" s="30">
        <v>4.796640931964264E-12</v>
      </c>
    </row>
    <row r="824" spans="1:1" x14ac:dyDescent="0.25">
      <c r="A824" s="30">
        <v>4.5568088853660509E-12</v>
      </c>
    </row>
    <row r="825" spans="1:1" x14ac:dyDescent="0.25">
      <c r="A825" s="30">
        <v>4.3289684410977484E-12</v>
      </c>
    </row>
    <row r="826" spans="1:1" x14ac:dyDescent="0.25">
      <c r="A826" s="30">
        <v>4.1125200190428609E-12</v>
      </c>
    </row>
    <row r="827" spans="1:1" x14ac:dyDescent="0.25">
      <c r="A827" s="30">
        <v>3.9068940180907175E-12</v>
      </c>
    </row>
    <row r="828" spans="1:1" x14ac:dyDescent="0.25">
      <c r="A828" s="30">
        <v>3.7115493171861816E-12</v>
      </c>
    </row>
    <row r="829" spans="1:1" x14ac:dyDescent="0.25">
      <c r="A829" s="30">
        <v>3.5259718513268725E-12</v>
      </c>
    </row>
    <row r="830" spans="1:1" x14ac:dyDescent="0.25">
      <c r="A830" s="30">
        <v>3.3496732587605286E-12</v>
      </c>
    </row>
    <row r="831" spans="1:1" x14ac:dyDescent="0.25">
      <c r="A831" s="30">
        <v>3.182189595822502E-12</v>
      </c>
    </row>
    <row r="832" spans="1:1" x14ac:dyDescent="0.25">
      <c r="A832" s="30">
        <v>3.0230801160313768E-12</v>
      </c>
    </row>
    <row r="833" spans="1:1" x14ac:dyDescent="0.25">
      <c r="A833" s="30">
        <v>2.8719261102298077E-12</v>
      </c>
    </row>
    <row r="834" spans="1:1" x14ac:dyDescent="0.25">
      <c r="A834" s="30">
        <v>2.7283298047183172E-12</v>
      </c>
    </row>
    <row r="835" spans="1:1" x14ac:dyDescent="0.25">
      <c r="A835" s="30">
        <v>2.5919133144824012E-12</v>
      </c>
    </row>
    <row r="836" spans="1:1" x14ac:dyDescent="0.25">
      <c r="A836" s="30">
        <v>2.4623176487582809E-12</v>
      </c>
    </row>
    <row r="837" spans="1:1" x14ac:dyDescent="0.25">
      <c r="A837" s="30">
        <v>2.339201766320367E-12</v>
      </c>
    </row>
    <row r="838" spans="1:1" x14ac:dyDescent="0.25">
      <c r="A838" s="30">
        <v>2.2222416780043484E-12</v>
      </c>
    </row>
    <row r="839" spans="1:1" x14ac:dyDescent="0.25">
      <c r="A839" s="30">
        <v>2.1111295941041311E-12</v>
      </c>
    </row>
    <row r="840" spans="1:1" x14ac:dyDescent="0.25">
      <c r="A840" s="30">
        <v>2.0055731143989244E-12</v>
      </c>
    </row>
    <row r="841" spans="1:1" x14ac:dyDescent="0.25">
      <c r="A841" s="30">
        <v>1.9052944586789781E-12</v>
      </c>
    </row>
    <row r="842" spans="1:1" x14ac:dyDescent="0.25">
      <c r="A842" s="30">
        <v>1.8100297357450291E-12</v>
      </c>
    </row>
    <row r="843" spans="1:1" x14ac:dyDescent="0.25">
      <c r="A843" s="30">
        <v>1.7195282489577775E-12</v>
      </c>
    </row>
    <row r="844" spans="1:1" x14ac:dyDescent="0.25">
      <c r="A844" s="30">
        <v>1.6335518365098885E-12</v>
      </c>
    </row>
    <row r="845" spans="1:1" x14ac:dyDescent="0.25">
      <c r="A845" s="30">
        <v>1.551874244684394E-12</v>
      </c>
    </row>
    <row r="846" spans="1:1" x14ac:dyDescent="0.25">
      <c r="A846" s="30">
        <v>1.4742805324501742E-12</v>
      </c>
    </row>
    <row r="847" spans="1:1" x14ac:dyDescent="0.25">
      <c r="A847" s="30">
        <v>1.4005665058276655E-12</v>
      </c>
    </row>
    <row r="848" spans="1:1" x14ac:dyDescent="0.25">
      <c r="A848" s="30">
        <v>1.3305381805362821E-12</v>
      </c>
    </row>
    <row r="849" spans="1:1" x14ac:dyDescent="0.25">
      <c r="A849" s="30">
        <v>1.264011271509468E-12</v>
      </c>
    </row>
    <row r="850" spans="1:1" x14ac:dyDescent="0.25">
      <c r="A850" s="30">
        <v>1.2008107079339945E-12</v>
      </c>
    </row>
    <row r="851" spans="1:1" x14ac:dyDescent="0.25">
      <c r="A851" s="30">
        <v>1.1407701725372948E-12</v>
      </c>
    </row>
    <row r="852" spans="1:1" x14ac:dyDescent="0.25">
      <c r="A852" s="30">
        <v>1.08373166391043E-12</v>
      </c>
    </row>
    <row r="853" spans="1:1" x14ac:dyDescent="0.25">
      <c r="A853" s="30">
        <v>1.0295450807149084E-12</v>
      </c>
    </row>
    <row r="854" spans="1:1" x14ac:dyDescent="0.25">
      <c r="A854" s="30">
        <v>9.7806782667916296E-13</v>
      </c>
    </row>
    <row r="855" spans="1:1" x14ac:dyDescent="0.25">
      <c r="A855" s="30">
        <v>9.2916443534520479E-13</v>
      </c>
    </row>
    <row r="856" spans="1:1" x14ac:dyDescent="0.25">
      <c r="A856" s="30">
        <v>8.8270621357794449E-13</v>
      </c>
    </row>
    <row r="857" spans="1:1" x14ac:dyDescent="0.25">
      <c r="A857" s="30">
        <v>8.3857090289904726E-13</v>
      </c>
    </row>
    <row r="858" spans="1:1" x14ac:dyDescent="0.25">
      <c r="A858" s="30">
        <v>7.9664235775409483E-13</v>
      </c>
    </row>
    <row r="859" spans="1:1" x14ac:dyDescent="0.25">
      <c r="A859" s="30">
        <v>7.5681023986639008E-13</v>
      </c>
    </row>
    <row r="860" spans="1:1" x14ac:dyDescent="0.25">
      <c r="A860" s="30">
        <v>7.1896972787307055E-13</v>
      </c>
    </row>
    <row r="861" spans="1:1" x14ac:dyDescent="0.25">
      <c r="A861" s="30">
        <v>6.8302124147941695E-13</v>
      </c>
    </row>
    <row r="862" spans="1:1" x14ac:dyDescent="0.25">
      <c r="A862" s="30">
        <v>6.4887017940544605E-13</v>
      </c>
    </row>
    <row r="863" spans="1:1" x14ac:dyDescent="0.25">
      <c r="A863" s="30">
        <v>6.1642667043517373E-13</v>
      </c>
    </row>
    <row r="864" spans="1:1" x14ac:dyDescent="0.25">
      <c r="A864" s="30">
        <v>5.8560533691341505E-13</v>
      </c>
    </row>
    <row r="865" spans="1:1" x14ac:dyDescent="0.25">
      <c r="A865" s="30">
        <v>5.5632507006774425E-13</v>
      </c>
    </row>
    <row r="866" spans="1:1" x14ac:dyDescent="0.25">
      <c r="A866" s="30">
        <v>5.2850881656435705E-13</v>
      </c>
    </row>
    <row r="867" spans="1:1" x14ac:dyDescent="0.25">
      <c r="A867" s="30">
        <v>5.0208337573613919E-13</v>
      </c>
    </row>
    <row r="868" spans="1:1" x14ac:dyDescent="0.25">
      <c r="A868" s="30">
        <v>4.7697920694933223E-13</v>
      </c>
    </row>
    <row r="869" spans="1:1" x14ac:dyDescent="0.25">
      <c r="A869" s="30">
        <v>4.5313024660186561E-13</v>
      </c>
    </row>
    <row r="870" spans="1:1" x14ac:dyDescent="0.25">
      <c r="A870" s="30">
        <v>4.3047373427177233E-13</v>
      </c>
    </row>
    <row r="871" spans="1:1" x14ac:dyDescent="0.25">
      <c r="A871" s="30">
        <v>4.089500475581837E-13</v>
      </c>
    </row>
    <row r="872" spans="1:1" x14ac:dyDescent="0.25">
      <c r="A872" s="30">
        <v>3.8850254518027451E-13</v>
      </c>
    </row>
    <row r="873" spans="1:1" x14ac:dyDescent="0.25">
      <c r="A873" s="30">
        <v>3.6907741792126075E-13</v>
      </c>
    </row>
    <row r="874" spans="1:1" x14ac:dyDescent="0.25">
      <c r="A874" s="30">
        <v>3.506235470251977E-13</v>
      </c>
    </row>
    <row r="875" spans="1:1" x14ac:dyDescent="0.25">
      <c r="A875" s="30">
        <v>3.3309236967393782E-13</v>
      </c>
    </row>
  </sheetData>
  <conditionalFormatting sqref="C136">
    <cfRule type="cellIs" dxfId="68" priority="1485" operator="equal">
      <formula>$U$1</formula>
    </cfRule>
    <cfRule type="cellIs" dxfId="67" priority="1486" operator="equal">
      <formula>$S$1</formula>
    </cfRule>
  </conditionalFormatting>
  <conditionalFormatting sqref="D136">
    <cfRule type="cellIs" dxfId="66" priority="1483" operator="equal">
      <formula>$S$1</formula>
    </cfRule>
    <cfRule type="cellIs" dxfId="65" priority="1484" operator="equal">
      <formula>$U$1</formula>
    </cfRule>
  </conditionalFormatting>
  <conditionalFormatting sqref="C162">
    <cfRule type="cellIs" dxfId="64" priority="1481" operator="equal">
      <formula>$U$1</formula>
    </cfRule>
    <cfRule type="cellIs" dxfId="63" priority="1482" operator="equal">
      <formula>$S$1</formula>
    </cfRule>
  </conditionalFormatting>
  <conditionalFormatting sqref="D162">
    <cfRule type="cellIs" dxfId="62" priority="1479" operator="equal">
      <formula>$S$1</formula>
    </cfRule>
    <cfRule type="cellIs" dxfId="61" priority="1480" operator="equal">
      <formula>$U$1</formula>
    </cfRule>
  </conditionalFormatting>
  <conditionalFormatting sqref="C187">
    <cfRule type="cellIs" dxfId="60" priority="1477" operator="equal">
      <formula>$U$1</formula>
    </cfRule>
    <cfRule type="cellIs" dxfId="59" priority="1478" operator="equal">
      <formula>$S$1</formula>
    </cfRule>
  </conditionalFormatting>
  <conditionalFormatting sqref="D187">
    <cfRule type="cellIs" dxfId="58" priority="1475" operator="equal">
      <formula>$S$1</formula>
    </cfRule>
    <cfRule type="cellIs" dxfId="57" priority="1476" operator="equal">
      <formula>$U$1</formula>
    </cfRule>
  </conditionalFormatting>
  <conditionalFormatting sqref="C212">
    <cfRule type="cellIs" dxfId="56" priority="1473" operator="equal">
      <formula>$U$1</formula>
    </cfRule>
    <cfRule type="cellIs" dxfId="55" priority="1474" operator="equal">
      <formula>$S$1</formula>
    </cfRule>
  </conditionalFormatting>
  <conditionalFormatting sqref="D212">
    <cfRule type="cellIs" dxfId="54" priority="1471" operator="equal">
      <formula>$S$1</formula>
    </cfRule>
    <cfRule type="cellIs" dxfId="53" priority="1472" operator="equal">
      <formula>$U$1</formula>
    </cfRule>
  </conditionalFormatting>
  <conditionalFormatting sqref="C237">
    <cfRule type="cellIs" dxfId="52" priority="1469" operator="equal">
      <formula>$U$1</formula>
    </cfRule>
    <cfRule type="cellIs" dxfId="51" priority="1470" operator="equal">
      <formula>$S$1</formula>
    </cfRule>
  </conditionalFormatting>
  <conditionalFormatting sqref="D237">
    <cfRule type="cellIs" dxfId="50" priority="1467" operator="equal">
      <formula>$S$1</formula>
    </cfRule>
    <cfRule type="cellIs" dxfId="49" priority="1468" operator="equal">
      <formula>$U$1</formula>
    </cfRule>
  </conditionalFormatting>
  <conditionalFormatting sqref="C106">
    <cfRule type="cellIs" dxfId="48" priority="1465" operator="equal">
      <formula>$U$1</formula>
    </cfRule>
    <cfRule type="cellIs" dxfId="47" priority="1466" operator="equal">
      <formula>$S$1</formula>
    </cfRule>
  </conditionalFormatting>
  <conditionalFormatting sqref="D106">
    <cfRule type="cellIs" dxfId="46" priority="1463" operator="equal">
      <formula>$S$1</formula>
    </cfRule>
    <cfRule type="cellIs" dxfId="45" priority="1464" operator="equal">
      <formula>$U$1</formula>
    </cfRule>
  </conditionalFormatting>
  <conditionalFormatting sqref="C81">
    <cfRule type="cellIs" dxfId="44" priority="1461" operator="equal">
      <formula>$U$1</formula>
    </cfRule>
    <cfRule type="cellIs" dxfId="43" priority="1462" operator="equal">
      <formula>$S$1</formula>
    </cfRule>
  </conditionalFormatting>
  <conditionalFormatting sqref="D81">
    <cfRule type="cellIs" dxfId="42" priority="1459" operator="equal">
      <formula>$S$1</formula>
    </cfRule>
    <cfRule type="cellIs" dxfId="41" priority="1460" operator="equal">
      <formula>$U$1</formula>
    </cfRule>
  </conditionalFormatting>
  <conditionalFormatting sqref="C56">
    <cfRule type="cellIs" dxfId="40" priority="1457" operator="equal">
      <formula>$U$1</formula>
    </cfRule>
    <cfRule type="cellIs" dxfId="39" priority="1458" operator="equal">
      <formula>$S$1</formula>
    </cfRule>
  </conditionalFormatting>
  <conditionalFormatting sqref="D56">
    <cfRule type="cellIs" dxfId="38" priority="1455" operator="equal">
      <formula>$S$1</formula>
    </cfRule>
    <cfRule type="cellIs" dxfId="37" priority="1456" operator="equal">
      <formula>$U$1</formula>
    </cfRule>
  </conditionalFormatting>
  <conditionalFormatting sqref="C31">
    <cfRule type="cellIs" dxfId="36" priority="1453" operator="equal">
      <formula>$U$1</formula>
    </cfRule>
    <cfRule type="cellIs" dxfId="35" priority="1454" operator="equal">
      <formula>$S$1</formula>
    </cfRule>
  </conditionalFormatting>
  <conditionalFormatting sqref="D31">
    <cfRule type="cellIs" dxfId="34" priority="1451" operator="equal">
      <formula>$S$1</formula>
    </cfRule>
    <cfRule type="cellIs" dxfId="33" priority="1452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526"/>
  <sheetViews>
    <sheetView topLeftCell="A141" zoomScale="90" zoomScaleNormal="90" workbookViewId="0">
      <pane xSplit="4" topLeftCell="E1" activePane="topRight" state="frozen"/>
      <selection activeCell="A109" sqref="A109"/>
      <selection pane="topRight" activeCell="AZ166" sqref="AZ166"/>
    </sheetView>
  </sheetViews>
  <sheetFormatPr defaultRowHeight="15" x14ac:dyDescent="0.25"/>
  <cols>
    <col min="1" max="1" width="11.5703125" style="30" customWidth="1"/>
    <col min="2" max="5" width="11.5703125" style="1" hidden="1" customWidth="1"/>
    <col min="6" max="7" width="11.5703125" style="27" hidden="1" customWidth="1"/>
    <col min="8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16">
        <v>2605350.751695944</v>
      </c>
    </row>
    <row r="4" spans="1:21" x14ac:dyDescent="0.25">
      <c r="A4" s="16">
        <v>2368500.6833599489</v>
      </c>
    </row>
    <row r="5" spans="1:21" x14ac:dyDescent="0.25">
      <c r="A5" s="16">
        <v>2153182.4394181352</v>
      </c>
    </row>
    <row r="6" spans="1:21" x14ac:dyDescent="0.25">
      <c r="A6" s="16">
        <v>1957438.5812892136</v>
      </c>
    </row>
    <row r="7" spans="1:21" x14ac:dyDescent="0.25">
      <c r="A7" s="16">
        <v>1779489.6193538303</v>
      </c>
    </row>
    <row r="8" spans="1:21" x14ac:dyDescent="0.25">
      <c r="A8" s="16">
        <v>1617717.8357762094</v>
      </c>
    </row>
    <row r="9" spans="1:21" x14ac:dyDescent="0.25">
      <c r="A9" s="16">
        <v>1470652.5779783721</v>
      </c>
    </row>
    <row r="10" spans="1:21" x14ac:dyDescent="0.25">
      <c r="A10" s="16">
        <v>1336956.8890712473</v>
      </c>
    </row>
    <row r="11" spans="1:21" x14ac:dyDescent="0.25">
      <c r="A11" s="16">
        <v>1215415.3537011337</v>
      </c>
    </row>
    <row r="12" spans="1:21" x14ac:dyDescent="0.25">
      <c r="A12" s="16">
        <v>1104923.0488192125</v>
      </c>
    </row>
    <row r="13" spans="1:21" x14ac:dyDescent="0.25">
      <c r="A13" s="16">
        <v>1004475.4989265567</v>
      </c>
    </row>
    <row r="14" spans="1:21" x14ac:dyDescent="0.25">
      <c r="A14" s="16">
        <v>913159.54447868781</v>
      </c>
    </row>
    <row r="15" spans="1:21" x14ac:dyDescent="0.25">
      <c r="A15" s="16">
        <v>830145.04043517064</v>
      </c>
    </row>
    <row r="16" spans="1:21" x14ac:dyDescent="0.25">
      <c r="A16" s="16">
        <v>754677.30948651873</v>
      </c>
      <c r="C16" s="1" t="s">
        <v>15</v>
      </c>
    </row>
    <row r="17" spans="1:5" x14ac:dyDescent="0.25">
      <c r="A17" s="16">
        <v>686070.28135138063</v>
      </c>
      <c r="C17" s="7">
        <v>0.11167815779424731</v>
      </c>
      <c r="D17"/>
      <c r="E17"/>
    </row>
    <row r="18" spans="1:5" x14ac:dyDescent="0.25">
      <c r="A18" s="16">
        <v>623700.25577398238</v>
      </c>
      <c r="E18"/>
    </row>
    <row r="19" spans="1:5" x14ac:dyDescent="0.25">
      <c r="A19" s="16">
        <v>567000.23252180207</v>
      </c>
      <c r="C19" s="1" t="s">
        <v>11</v>
      </c>
      <c r="D19" s="1" t="s">
        <v>12</v>
      </c>
      <c r="E19"/>
    </row>
    <row r="20" spans="1:5" x14ac:dyDescent="0.25">
      <c r="A20" s="16">
        <v>515454.75683800189</v>
      </c>
      <c r="C20"/>
      <c r="D20"/>
      <c r="E20"/>
    </row>
    <row r="21" spans="1:5" x14ac:dyDescent="0.25">
      <c r="A21" s="16">
        <v>468595.23348909261</v>
      </c>
      <c r="E21"/>
    </row>
    <row r="22" spans="1:5" x14ac:dyDescent="0.25">
      <c r="A22" s="16">
        <v>425995.66680826596</v>
      </c>
      <c r="C22" s="1" t="s">
        <v>13</v>
      </c>
      <c r="E22"/>
    </row>
    <row r="23" spans="1:5" x14ac:dyDescent="0.25">
      <c r="A23" s="16">
        <v>387268.78800751449</v>
      </c>
      <c r="C23" s="1">
        <f>C12</f>
        <v>0</v>
      </c>
      <c r="E23"/>
    </row>
    <row r="24" spans="1:5" x14ac:dyDescent="0.25">
      <c r="A24" s="16">
        <v>352062.53455228586</v>
      </c>
      <c r="C24"/>
      <c r="D24"/>
      <c r="E24"/>
    </row>
    <row r="25" spans="1:5" x14ac:dyDescent="0.25">
      <c r="A25" s="16">
        <v>320056.8495929871</v>
      </c>
      <c r="C25" s="1" t="s">
        <v>14</v>
      </c>
      <c r="E25"/>
    </row>
    <row r="26" spans="1:5" x14ac:dyDescent="0.25">
      <c r="A26" s="16">
        <v>290960.77235726098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16">
        <v>264509.79305205541</v>
      </c>
      <c r="E27"/>
    </row>
    <row r="28" spans="1:5" x14ac:dyDescent="0.25">
      <c r="A28" s="16">
        <v>240463.44822914127</v>
      </c>
      <c r="E28"/>
    </row>
    <row r="29" spans="1:5" x14ac:dyDescent="0.25">
      <c r="A29" s="16">
        <v>218603.13475376478</v>
      </c>
      <c r="E29"/>
    </row>
    <row r="30" spans="1:5" x14ac:dyDescent="0.25">
      <c r="A30" s="16">
        <v>198730.12250342252</v>
      </c>
      <c r="E30"/>
    </row>
    <row r="31" spans="1:5" x14ac:dyDescent="0.25">
      <c r="A31" s="16">
        <v>180663.74773038409</v>
      </c>
      <c r="E31"/>
    </row>
    <row r="32" spans="1:5" x14ac:dyDescent="0.25">
      <c r="A32" s="16">
        <v>164239.77066398552</v>
      </c>
      <c r="E32"/>
    </row>
    <row r="33" spans="1:5" x14ac:dyDescent="0.25">
      <c r="A33" s="16">
        <v>149308.882421805</v>
      </c>
      <c r="E33"/>
    </row>
    <row r="34" spans="1:5" x14ac:dyDescent="0.25">
      <c r="A34" s="16">
        <v>135735.34765618635</v>
      </c>
      <c r="E34"/>
    </row>
    <row r="35" spans="1:5" x14ac:dyDescent="0.25">
      <c r="A35" s="16">
        <v>123395.77059653302</v>
      </c>
      <c r="E35"/>
    </row>
    <row r="36" spans="1:5" x14ac:dyDescent="0.25">
      <c r="A36" s="16">
        <v>112177.97326957546</v>
      </c>
      <c r="E36"/>
    </row>
    <row r="37" spans="1:5" x14ac:dyDescent="0.25">
      <c r="A37" s="16">
        <v>101979.97569961405</v>
      </c>
      <c r="E37"/>
    </row>
    <row r="38" spans="1:5" x14ac:dyDescent="0.25">
      <c r="A38" s="16">
        <v>92709.06881783095</v>
      </c>
      <c r="E38"/>
    </row>
    <row r="39" spans="1:5" x14ac:dyDescent="0.25">
      <c r="A39" s="16">
        <v>84280.971652573586</v>
      </c>
      <c r="E39"/>
    </row>
    <row r="40" spans="1:5" x14ac:dyDescent="0.25">
      <c r="A40" s="30">
        <v>76619.065138703256</v>
      </c>
      <c r="E40"/>
    </row>
    <row r="41" spans="1:5" x14ac:dyDescent="0.25">
      <c r="A41" s="30">
        <v>69653.695580639323</v>
      </c>
      <c r="E41"/>
    </row>
    <row r="42" spans="1:5" x14ac:dyDescent="0.25">
      <c r="A42" s="30">
        <v>63321.541436944834</v>
      </c>
      <c r="C42" s="1" t="s">
        <v>15</v>
      </c>
      <c r="E42"/>
    </row>
    <row r="43" spans="1:5" x14ac:dyDescent="0.25">
      <c r="A43" s="30">
        <v>57565.037669949845</v>
      </c>
      <c r="C43" s="7">
        <v>0.11167815779424731</v>
      </c>
      <c r="D43"/>
      <c r="E43"/>
    </row>
    <row r="44" spans="1:5" x14ac:dyDescent="0.25">
      <c r="A44" s="30">
        <v>52331.852427227124</v>
      </c>
      <c r="E44"/>
    </row>
    <row r="45" spans="1:5" x14ac:dyDescent="0.25">
      <c r="A45" s="30">
        <v>47574.411297479201</v>
      </c>
      <c r="C45" s="1" t="s">
        <v>11</v>
      </c>
      <c r="D45" s="1" t="s">
        <v>12</v>
      </c>
      <c r="E45"/>
    </row>
    <row r="46" spans="1:5" x14ac:dyDescent="0.25">
      <c r="A46" s="30">
        <v>43249.464815890176</v>
      </c>
      <c r="C46"/>
      <c r="D46"/>
      <c r="E46"/>
    </row>
    <row r="47" spans="1:5" x14ac:dyDescent="0.25">
      <c r="A47" s="30">
        <v>39317.695287172886</v>
      </c>
      <c r="E47"/>
    </row>
    <row r="48" spans="1:5" x14ac:dyDescent="0.25">
      <c r="A48" s="30">
        <v>35743.359351975349</v>
      </c>
      <c r="C48" s="1" t="s">
        <v>13</v>
      </c>
      <c r="E48"/>
    </row>
    <row r="49" spans="1:5" x14ac:dyDescent="0.25">
      <c r="A49" s="30">
        <v>32493.963047250312</v>
      </c>
      <c r="C49" s="1">
        <f>C38</f>
        <v>0</v>
      </c>
      <c r="E49"/>
    </row>
    <row r="50" spans="1:5" x14ac:dyDescent="0.25">
      <c r="A50" s="30">
        <v>29539.966406591189</v>
      </c>
      <c r="C50"/>
      <c r="D50"/>
      <c r="E50"/>
    </row>
    <row r="51" spans="1:5" x14ac:dyDescent="0.25">
      <c r="A51" s="30">
        <v>26854.514915082898</v>
      </c>
      <c r="C51" s="1" t="s">
        <v>14</v>
      </c>
      <c r="E51"/>
    </row>
    <row r="52" spans="1:5" x14ac:dyDescent="0.25">
      <c r="A52" s="30">
        <v>24413.195377348089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22193.81397940735</v>
      </c>
      <c r="E53"/>
    </row>
    <row r="54" spans="1:5" x14ac:dyDescent="0.25">
      <c r="A54" s="30">
        <v>20176.194526733954</v>
      </c>
      <c r="E54"/>
    </row>
    <row r="55" spans="1:5" x14ac:dyDescent="0.25">
      <c r="A55" s="30">
        <v>18341.995024303593</v>
      </c>
      <c r="E55"/>
    </row>
    <row r="56" spans="1:5" x14ac:dyDescent="0.25">
      <c r="A56" s="30">
        <v>16674.540931185082</v>
      </c>
      <c r="E56"/>
    </row>
    <row r="57" spans="1:5" x14ac:dyDescent="0.25">
      <c r="A57" s="30">
        <v>15158.673573804617</v>
      </c>
      <c r="E57"/>
    </row>
    <row r="58" spans="1:5" x14ac:dyDescent="0.25">
      <c r="A58" s="30">
        <v>13780.612339822379</v>
      </c>
      <c r="E58"/>
    </row>
    <row r="59" spans="1:5" x14ac:dyDescent="0.25">
      <c r="A59" s="30">
        <v>12527.829399838525</v>
      </c>
      <c r="E59"/>
    </row>
    <row r="60" spans="1:5" x14ac:dyDescent="0.25">
      <c r="A60" s="30">
        <v>11388.935818035023</v>
      </c>
      <c r="E60"/>
    </row>
    <row r="61" spans="1:5" x14ac:dyDescent="0.25">
      <c r="A61" s="30">
        <v>10353.578016395475</v>
      </c>
      <c r="E61"/>
    </row>
    <row r="62" spans="1:5" x14ac:dyDescent="0.25">
      <c r="A62" s="30">
        <v>9412.343651268613</v>
      </c>
      <c r="E62"/>
    </row>
    <row r="63" spans="1:5" x14ac:dyDescent="0.25">
      <c r="A63" s="30">
        <v>8556.6760466078285</v>
      </c>
      <c r="E63"/>
    </row>
    <row r="64" spans="1:5" x14ac:dyDescent="0.25">
      <c r="A64" s="30">
        <v>7778.7964060071163</v>
      </c>
      <c r="E64"/>
    </row>
    <row r="65" spans="1:5" x14ac:dyDescent="0.25">
      <c r="A65" s="30">
        <v>7071.6330963701048</v>
      </c>
      <c r="E65"/>
    </row>
    <row r="66" spans="1:5" x14ac:dyDescent="0.25">
      <c r="A66" s="30">
        <v>6428.7573603364581</v>
      </c>
      <c r="E66"/>
    </row>
    <row r="67" spans="1:5" x14ac:dyDescent="0.25">
      <c r="A67" s="30">
        <v>5844.3248730331434</v>
      </c>
      <c r="C67" s="1" t="s">
        <v>15</v>
      </c>
      <c r="E67"/>
    </row>
    <row r="68" spans="1:5" x14ac:dyDescent="0.25">
      <c r="A68" s="30">
        <v>5313.0226118483115</v>
      </c>
      <c r="C68" s="7">
        <v>0.11167815779424731</v>
      </c>
      <c r="D68"/>
      <c r="E68"/>
    </row>
    <row r="69" spans="1:5" x14ac:dyDescent="0.25">
      <c r="A69" s="30">
        <v>4830.020556225737</v>
      </c>
      <c r="E69"/>
    </row>
    <row r="70" spans="1:5" x14ac:dyDescent="0.25">
      <c r="A70" s="30">
        <v>4390.927778387033</v>
      </c>
      <c r="C70" s="1" t="s">
        <v>11</v>
      </c>
      <c r="D70" s="1" t="s">
        <v>12</v>
      </c>
      <c r="E70"/>
    </row>
    <row r="71" spans="1:5" x14ac:dyDescent="0.25">
      <c r="A71" s="30">
        <v>3991.7525258063934</v>
      </c>
      <c r="C71"/>
      <c r="D71"/>
      <c r="E71"/>
    </row>
    <row r="72" spans="1:5" x14ac:dyDescent="0.25">
      <c r="A72" s="30">
        <v>3628.8659325512663</v>
      </c>
      <c r="E72"/>
    </row>
    <row r="73" spans="1:5" x14ac:dyDescent="0.25">
      <c r="A73" s="30">
        <v>3298.96902959206</v>
      </c>
      <c r="C73" s="1" t="s">
        <v>13</v>
      </c>
      <c r="E73"/>
    </row>
    <row r="74" spans="1:5" x14ac:dyDescent="0.25">
      <c r="A74" s="30">
        <v>2999.0627541745998</v>
      </c>
      <c r="C74" s="1">
        <f>C63</f>
        <v>0</v>
      </c>
      <c r="E74"/>
    </row>
    <row r="75" spans="1:5" x14ac:dyDescent="0.25">
      <c r="A75" s="30">
        <v>2726.4206856132723</v>
      </c>
      <c r="C75"/>
      <c r="D75"/>
      <c r="E75"/>
    </row>
    <row r="76" spans="1:5" x14ac:dyDescent="0.25">
      <c r="A76" s="30">
        <v>2478.564259648429</v>
      </c>
      <c r="C76" s="1" t="s">
        <v>14</v>
      </c>
      <c r="E76"/>
    </row>
    <row r="77" spans="1:5" x14ac:dyDescent="0.25">
      <c r="A77" s="30">
        <v>2253.240236044026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2048.4002145854779</v>
      </c>
      <c r="E78"/>
    </row>
    <row r="79" spans="1:5" x14ac:dyDescent="0.25">
      <c r="A79" s="30">
        <v>1862.1820132595253</v>
      </c>
      <c r="E79"/>
    </row>
    <row r="80" spans="1:5" x14ac:dyDescent="0.25">
      <c r="A80" s="30">
        <v>1692.8927393268411</v>
      </c>
      <c r="E80"/>
    </row>
    <row r="81" spans="1:5" x14ac:dyDescent="0.25">
      <c r="A81" s="30">
        <v>1538.9933993880372</v>
      </c>
      <c r="E81"/>
    </row>
    <row r="82" spans="1:5" x14ac:dyDescent="0.25">
      <c r="A82" s="30">
        <v>1399.0849085345792</v>
      </c>
      <c r="E82"/>
    </row>
    <row r="83" spans="1:5" x14ac:dyDescent="0.25">
      <c r="A83" s="30">
        <v>1271.8953713950718</v>
      </c>
      <c r="E83"/>
    </row>
    <row r="84" spans="1:5" x14ac:dyDescent="0.25">
      <c r="A84" s="30">
        <v>1156.2685194500652</v>
      </c>
      <c r="E84"/>
    </row>
    <row r="85" spans="1:5" x14ac:dyDescent="0.25">
      <c r="A85" s="30">
        <v>1051.1531995000591</v>
      </c>
      <c r="E85"/>
    </row>
    <row r="86" spans="1:5" x14ac:dyDescent="0.25">
      <c r="A86" s="30">
        <v>955.59381772732638</v>
      </c>
      <c r="E86"/>
    </row>
    <row r="87" spans="1:5" x14ac:dyDescent="0.25">
      <c r="A87" s="30">
        <v>868.72165247938756</v>
      </c>
      <c r="E87"/>
    </row>
    <row r="88" spans="1:5" x14ac:dyDescent="0.25">
      <c r="A88" s="30">
        <v>789.74695679944318</v>
      </c>
      <c r="E88"/>
    </row>
    <row r="89" spans="1:5" x14ac:dyDescent="0.25">
      <c r="A89" s="30">
        <v>717.95177890858463</v>
      </c>
      <c r="E89"/>
    </row>
    <row r="90" spans="1:5" x14ac:dyDescent="0.25">
      <c r="A90" s="30">
        <v>652.68343537144051</v>
      </c>
      <c r="E90"/>
    </row>
    <row r="91" spans="1:5" x14ac:dyDescent="0.25">
      <c r="A91" s="30">
        <v>593.34857761040041</v>
      </c>
      <c r="E91"/>
    </row>
    <row r="92" spans="1:5" x14ac:dyDescent="0.25">
      <c r="A92" s="30">
        <v>539.40779782763673</v>
      </c>
      <c r="C92" s="1" t="s">
        <v>15</v>
      </c>
      <c r="E92"/>
    </row>
    <row r="93" spans="1:5" x14ac:dyDescent="0.25">
      <c r="A93" s="30">
        <v>490.37072529785149</v>
      </c>
      <c r="C93" s="7">
        <v>0.11167815779424731</v>
      </c>
      <c r="D93"/>
      <c r="E93"/>
    </row>
    <row r="94" spans="1:5" x14ac:dyDescent="0.25">
      <c r="A94" s="30">
        <v>445.79156845259223</v>
      </c>
      <c r="E94"/>
    </row>
    <row r="95" spans="1:5" x14ac:dyDescent="0.25">
      <c r="A95" s="30">
        <v>405.26506222962928</v>
      </c>
      <c r="C95" s="1" t="s">
        <v>11</v>
      </c>
      <c r="D95" s="1" t="s">
        <v>12</v>
      </c>
      <c r="E95"/>
    </row>
    <row r="96" spans="1:5" x14ac:dyDescent="0.25">
      <c r="A96" s="30">
        <v>368.42278384511752</v>
      </c>
      <c r="C96"/>
      <c r="D96"/>
      <c r="E96"/>
    </row>
    <row r="97" spans="1:5" x14ac:dyDescent="0.25">
      <c r="A97" s="30">
        <v>334.92980349556137</v>
      </c>
      <c r="E97"/>
    </row>
    <row r="98" spans="1:5" x14ac:dyDescent="0.25">
      <c r="A98" s="30">
        <v>304.48163954141938</v>
      </c>
      <c r="C98" s="1" t="s">
        <v>13</v>
      </c>
      <c r="E98"/>
    </row>
    <row r="99" spans="1:5" x14ac:dyDescent="0.25">
      <c r="A99" s="30">
        <v>276.80149049219943</v>
      </c>
      <c r="C99" s="1">
        <f>C88</f>
        <v>0</v>
      </c>
      <c r="E99"/>
    </row>
    <row r="100" spans="1:5" x14ac:dyDescent="0.25">
      <c r="A100" s="30">
        <v>251.63771862927217</v>
      </c>
      <c r="C100"/>
      <c r="D100"/>
      <c r="E100"/>
    </row>
    <row r="101" spans="1:5" x14ac:dyDescent="0.25">
      <c r="A101" s="30">
        <v>228.76156239024741</v>
      </c>
      <c r="C101" s="1" t="s">
        <v>14</v>
      </c>
      <c r="E101"/>
    </row>
    <row r="102" spans="1:5" x14ac:dyDescent="0.25">
      <c r="A102" s="30">
        <v>207.96505671840671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189.05914247127882</v>
      </c>
      <c r="E103"/>
    </row>
    <row r="104" spans="1:5" x14ac:dyDescent="0.25">
      <c r="A104" s="30">
        <v>171.87194770116255</v>
      </c>
      <c r="E104"/>
    </row>
    <row r="105" spans="1:5" x14ac:dyDescent="0.25">
      <c r="A105" s="30">
        <v>156.24722518287504</v>
      </c>
      <c r="E105"/>
    </row>
    <row r="106" spans="1:5" x14ac:dyDescent="0.25">
      <c r="A106" s="30">
        <v>142.04293198443185</v>
      </c>
      <c r="E106"/>
    </row>
    <row r="107" spans="1:5" x14ac:dyDescent="0.25">
      <c r="A107" s="30">
        <v>129.1299381676653</v>
      </c>
      <c r="E107"/>
    </row>
    <row r="108" spans="1:5" x14ac:dyDescent="0.25">
      <c r="A108" s="30">
        <v>117.39085287969573</v>
      </c>
      <c r="E108"/>
    </row>
    <row r="109" spans="1:5" x14ac:dyDescent="0.25">
      <c r="A109" s="30">
        <v>106.71895716335975</v>
      </c>
      <c r="E109"/>
    </row>
    <row r="110" spans="1:5" x14ac:dyDescent="0.25">
      <c r="A110" s="30">
        <v>97.017233784872488</v>
      </c>
      <c r="E110"/>
    </row>
    <row r="111" spans="1:5" x14ac:dyDescent="0.25">
      <c r="A111" s="30">
        <v>88.197485258974979</v>
      </c>
      <c r="C111" s="1" t="str">
        <f>ADDRESS(C121-1,1,1,1)</f>
        <v>$A$165</v>
      </c>
      <c r="D111" s="1" t="str">
        <f>ADDRESS(C121-1,D121,1,1)</f>
        <v>$AZ$165</v>
      </c>
      <c r="E111"/>
    </row>
    <row r="112" spans="1:5" x14ac:dyDescent="0.25">
      <c r="A112" s="30">
        <v>80.179532053613613</v>
      </c>
      <c r="C112" s="1" t="str">
        <f>ADDRESS(C121,1,1,1)</f>
        <v>$A$166</v>
      </c>
      <c r="D112" s="1" t="str">
        <f>ADDRESS(C121,D121-1,1,1)</f>
        <v>$AY$166</v>
      </c>
      <c r="E112"/>
    </row>
    <row r="113" spans="1:5" x14ac:dyDescent="0.25">
      <c r="A113" s="30">
        <v>72.890483685103277</v>
      </c>
      <c r="C113" s="1" t="str">
        <f>ADDRESS(C121+1,1,1,1)</f>
        <v>$A$167</v>
      </c>
      <c r="D113" s="1" t="str">
        <f>ADDRESS(C121-1,D121+1,1,1)</f>
        <v>$BA$165</v>
      </c>
    </row>
    <row r="114" spans="1:5" x14ac:dyDescent="0.25">
      <c r="A114" s="30">
        <v>66.26407607736661</v>
      </c>
      <c r="C114" s="1" t="str">
        <f>ADDRESS(C121,D121,1,1)</f>
        <v>$AZ$166</v>
      </c>
      <c r="D114" s="1" t="str">
        <f>ADDRESS(C121+1,D121+1,1,1)</f>
        <v>$BA$167</v>
      </c>
    </row>
    <row r="115" spans="1:5" x14ac:dyDescent="0.25">
      <c r="A115" s="30">
        <v>60.240069161242367</v>
      </c>
      <c r="C115" s="1" t="str">
        <f>ADDRESS(C121+1,D121,1,1)</f>
        <v>$AZ$167</v>
      </c>
    </row>
    <row r="116" spans="1:5" x14ac:dyDescent="0.25">
      <c r="A116" s="30">
        <v>54.763699237493057</v>
      </c>
      <c r="C116" s="1">
        <f>C117-1</f>
        <v>165</v>
      </c>
    </row>
    <row r="117" spans="1:5" x14ac:dyDescent="0.25">
      <c r="A117" s="30">
        <v>49.785181124993684</v>
      </c>
      <c r="C117" s="1">
        <f>C121</f>
        <v>166</v>
      </c>
      <c r="D117" s="1">
        <f>D121</f>
        <v>52</v>
      </c>
    </row>
    <row r="118" spans="1:5" x14ac:dyDescent="0.25">
      <c r="A118" s="30">
        <v>45.259255568176073</v>
      </c>
      <c r="C118" s="1">
        <f>C117+1</f>
        <v>167</v>
      </c>
      <c r="D118" s="1">
        <f>D117+1</f>
        <v>53</v>
      </c>
    </row>
    <row r="119" spans="1:5" x14ac:dyDescent="0.25">
      <c r="A119" s="30">
        <v>41.144777789250973</v>
      </c>
    </row>
    <row r="120" spans="1:5" x14ac:dyDescent="0.25">
      <c r="A120" s="30">
        <v>37.404343444773609</v>
      </c>
      <c r="C120" s="1" t="s">
        <v>9</v>
      </c>
    </row>
    <row r="121" spans="1:5" x14ac:dyDescent="0.25">
      <c r="A121" s="30">
        <v>34.003948586157826</v>
      </c>
      <c r="C121" s="18">
        <v>166</v>
      </c>
      <c r="D121" s="19">
        <v>52</v>
      </c>
      <c r="E121" s="18"/>
    </row>
    <row r="122" spans="1:5" x14ac:dyDescent="0.25">
      <c r="A122" s="30">
        <v>30.912680532870748</v>
      </c>
      <c r="C122" s="1" t="str">
        <f>INDEX(1:1048576,C117,D117)</f>
        <v>O</v>
      </c>
    </row>
    <row r="123" spans="1:5" x14ac:dyDescent="0.25">
      <c r="A123" s="30">
        <v>28.102436848064315</v>
      </c>
      <c r="C123" s="1" t="str">
        <f>"R"&amp;C121</f>
        <v>R166</v>
      </c>
      <c r="D123" s="1" t="str">
        <f>"C"&amp;D121</f>
        <v>C52</v>
      </c>
    </row>
    <row r="124" spans="1:5" x14ac:dyDescent="0.25">
      <c r="A124" s="30">
        <v>25.547669861876649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23.225154419887861</v>
      </c>
    </row>
    <row r="126" spans="1:5" x14ac:dyDescent="0.25">
      <c r="A126" s="30">
        <v>21.113776745352599</v>
      </c>
      <c r="C126" s="1" t="s">
        <v>10</v>
      </c>
    </row>
    <row r="127" spans="1:5" x14ac:dyDescent="0.25">
      <c r="A127" s="30">
        <v>19.194342495775089</v>
      </c>
      <c r="C127" s="30">
        <v>0.46650738020973276</v>
      </c>
      <c r="D127"/>
    </row>
    <row r="128" spans="1:5" x14ac:dyDescent="0.25">
      <c r="A128" s="30">
        <v>17.449402268886445</v>
      </c>
    </row>
    <row r="129" spans="1:5" x14ac:dyDescent="0.25">
      <c r="A129" s="30">
        <v>15.863092971714948</v>
      </c>
      <c r="C129" s="1" t="s">
        <v>11</v>
      </c>
      <c r="D129" s="1" t="s">
        <v>12</v>
      </c>
      <c r="E129"/>
    </row>
    <row r="130" spans="1:5" x14ac:dyDescent="0.25">
      <c r="A130" s="30">
        <v>14.420993610649951</v>
      </c>
      <c r="C130" s="6"/>
      <c r="D130" s="6"/>
      <c r="E130"/>
    </row>
    <row r="131" spans="1:5" x14ac:dyDescent="0.25">
      <c r="A131" s="30">
        <v>13.109994191499954</v>
      </c>
      <c r="E131"/>
    </row>
    <row r="132" spans="1:5" x14ac:dyDescent="0.25">
      <c r="A132" s="30">
        <v>11.918176537727231</v>
      </c>
      <c r="C132" s="1" t="s">
        <v>13</v>
      </c>
      <c r="E132"/>
    </row>
    <row r="133" spans="1:5" x14ac:dyDescent="0.25">
      <c r="A133" s="30">
        <v>10.834705943388391</v>
      </c>
      <c r="C133" s="1" t="str">
        <f>C122</f>
        <v>O</v>
      </c>
      <c r="E133"/>
    </row>
    <row r="134" spans="1:5" x14ac:dyDescent="0.25">
      <c r="A134" s="30">
        <v>9.849732675807628</v>
      </c>
      <c r="C134"/>
      <c r="D134"/>
      <c r="E134"/>
    </row>
    <row r="135" spans="1:5" x14ac:dyDescent="0.25">
      <c r="A135" s="30">
        <v>8.9543024325523888</v>
      </c>
      <c r="C135" s="1" t="s">
        <v>14</v>
      </c>
      <c r="E135"/>
    </row>
    <row r="136" spans="1:5" x14ac:dyDescent="0.25">
      <c r="A136" s="30">
        <v>8.140274938683989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5" x14ac:dyDescent="0.25">
      <c r="A137" s="30">
        <v>7.4002499442581717</v>
      </c>
      <c r="E137"/>
    </row>
    <row r="138" spans="1:5" x14ac:dyDescent="0.25">
      <c r="A138" s="30">
        <v>6.72749994932561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6.1159090448414632</v>
      </c>
      <c r="E139"/>
    </row>
    <row r="140" spans="1:5" x14ac:dyDescent="0.25">
      <c r="A140" s="30">
        <v>5.5599173134922388</v>
      </c>
      <c r="C140" s="1">
        <v>0</v>
      </c>
      <c r="E140"/>
    </row>
    <row r="141" spans="1:5" x14ac:dyDescent="0.25">
      <c r="A141" s="30">
        <v>5.0544702849929442</v>
      </c>
      <c r="C141" s="1">
        <v>1</v>
      </c>
      <c r="E141"/>
    </row>
    <row r="142" spans="1:5" x14ac:dyDescent="0.25">
      <c r="A142" s="30">
        <v>4.594972986357222</v>
      </c>
      <c r="C142" s="1">
        <v>2</v>
      </c>
      <c r="E142"/>
    </row>
    <row r="143" spans="1:5" x14ac:dyDescent="0.25">
      <c r="A143" s="30">
        <v>4.1772481694156562</v>
      </c>
      <c r="C143" s="1">
        <v>3</v>
      </c>
      <c r="E143"/>
    </row>
    <row r="144" spans="1:5" x14ac:dyDescent="0.25">
      <c r="A144" s="30">
        <v>3.7974983358324148</v>
      </c>
      <c r="C144" s="1">
        <v>4</v>
      </c>
      <c r="E144"/>
    </row>
    <row r="145" spans="1:52" x14ac:dyDescent="0.25">
      <c r="A145" s="30">
        <v>3.4522712143931042</v>
      </c>
      <c r="B145"/>
      <c r="C145"/>
      <c r="D145"/>
      <c r="E145"/>
    </row>
    <row r="146" spans="1:52" x14ac:dyDescent="0.25">
      <c r="A146" s="30">
        <v>3.1384283767210035</v>
      </c>
      <c r="B146"/>
      <c r="C146"/>
      <c r="D146"/>
      <c r="E146"/>
    </row>
    <row r="147" spans="1:52" x14ac:dyDescent="0.25">
      <c r="A147" s="30">
        <v>2.8531167061100029</v>
      </c>
      <c r="B147"/>
      <c r="C147"/>
      <c r="D147"/>
      <c r="E147"/>
    </row>
    <row r="148" spans="1:52" x14ac:dyDescent="0.25">
      <c r="A148" s="30">
        <v>2.5937424601000023</v>
      </c>
      <c r="B148"/>
      <c r="C148"/>
      <c r="D148"/>
      <c r="E148"/>
    </row>
    <row r="149" spans="1:52" x14ac:dyDescent="0.25">
      <c r="A149" s="30">
        <v>2.3579476910000019</v>
      </c>
      <c r="B149"/>
      <c r="C149"/>
      <c r="D149"/>
      <c r="E149"/>
      <c r="AK149" s="27" t="s">
        <v>8</v>
      </c>
    </row>
    <row r="150" spans="1:52" x14ac:dyDescent="0.25">
      <c r="A150" s="30">
        <v>2.1435888100000016</v>
      </c>
      <c r="B150"/>
      <c r="C150"/>
      <c r="D150"/>
      <c r="E150"/>
      <c r="AK150" s="27" t="s">
        <v>8</v>
      </c>
      <c r="AL150" s="27" t="s">
        <v>7</v>
      </c>
      <c r="AM150" s="32" t="s">
        <v>8</v>
      </c>
    </row>
    <row r="151" spans="1:52" x14ac:dyDescent="0.25">
      <c r="A151" s="30">
        <v>1.9487171000000014</v>
      </c>
      <c r="B151"/>
      <c r="C151"/>
      <c r="D151"/>
      <c r="E151"/>
      <c r="AE151" s="35" t="s">
        <v>8</v>
      </c>
      <c r="AG151" s="35" t="s">
        <v>8</v>
      </c>
      <c r="AK151" s="27" t="s">
        <v>8</v>
      </c>
      <c r="AL151" s="27" t="s">
        <v>7</v>
      </c>
      <c r="AM151" s="27" t="s">
        <v>8</v>
      </c>
      <c r="AN151" s="32" t="s">
        <v>7</v>
      </c>
    </row>
    <row r="152" spans="1:52" x14ac:dyDescent="0.25">
      <c r="A152" s="30">
        <v>1.7715610000000011</v>
      </c>
      <c r="B152"/>
      <c r="C152"/>
      <c r="D152"/>
      <c r="E152"/>
      <c r="AE152" s="27" t="s">
        <v>8</v>
      </c>
      <c r="AF152" s="27" t="s">
        <v>7</v>
      </c>
      <c r="AG152" s="27" t="s">
        <v>8</v>
      </c>
      <c r="AH152" s="27" t="s">
        <v>7</v>
      </c>
      <c r="AK152" s="27" t="s">
        <v>8</v>
      </c>
      <c r="AL152" s="27" t="s">
        <v>7</v>
      </c>
      <c r="AM152" s="27" t="s">
        <v>8</v>
      </c>
      <c r="AN152" s="27" t="s">
        <v>7</v>
      </c>
      <c r="AO152" s="32"/>
    </row>
    <row r="153" spans="1:52" x14ac:dyDescent="0.25">
      <c r="A153" s="30">
        <v>1.6105100000000008</v>
      </c>
      <c r="B153"/>
      <c r="C153"/>
      <c r="D153"/>
      <c r="E153"/>
      <c r="AE153" s="27" t="s">
        <v>8</v>
      </c>
      <c r="AF153" s="27" t="s">
        <v>7</v>
      </c>
      <c r="AG153" s="27" t="s">
        <v>8</v>
      </c>
      <c r="AH153" s="27" t="s">
        <v>7</v>
      </c>
      <c r="AI153" s="27" t="s">
        <v>8</v>
      </c>
      <c r="AK153" s="27" t="s">
        <v>8</v>
      </c>
      <c r="AL153" s="27" t="s">
        <v>7</v>
      </c>
      <c r="AM153" s="27" t="s">
        <v>8</v>
      </c>
      <c r="AN153" s="27" t="s">
        <v>7</v>
      </c>
      <c r="AP153" s="32"/>
      <c r="AY153" s="27" t="s">
        <v>8</v>
      </c>
    </row>
    <row r="154" spans="1:52" x14ac:dyDescent="0.25">
      <c r="A154" s="30">
        <v>1.4641000000000006</v>
      </c>
      <c r="B154"/>
      <c r="C154"/>
      <c r="D154"/>
      <c r="E154"/>
      <c r="AE154" s="27" t="s">
        <v>8</v>
      </c>
      <c r="AF154" s="27" t="s">
        <v>7</v>
      </c>
      <c r="AG154" s="27" t="s">
        <v>8</v>
      </c>
      <c r="AH154" s="27" t="s">
        <v>7</v>
      </c>
      <c r="AI154" s="27" t="s">
        <v>8</v>
      </c>
      <c r="AJ154" s="27" t="s">
        <v>7</v>
      </c>
      <c r="AK154" s="27" t="s">
        <v>8</v>
      </c>
      <c r="AL154" s="27" t="s">
        <v>7</v>
      </c>
      <c r="AM154" s="27" t="s">
        <v>8</v>
      </c>
      <c r="AN154" s="27" t="s">
        <v>7</v>
      </c>
      <c r="AQ154" s="32"/>
      <c r="AY154" s="27" t="s">
        <v>8</v>
      </c>
      <c r="AZ154" s="27" t="s">
        <v>7</v>
      </c>
    </row>
    <row r="155" spans="1:52" x14ac:dyDescent="0.25">
      <c r="A155" s="30">
        <v>1.3310000000000004</v>
      </c>
      <c r="B155"/>
      <c r="C155"/>
      <c r="D155"/>
      <c r="E155"/>
      <c r="AE155" s="27" t="s">
        <v>8</v>
      </c>
      <c r="AF155" s="27" t="s">
        <v>7</v>
      </c>
      <c r="AH155" s="27" t="s">
        <v>7</v>
      </c>
      <c r="AI155" s="27" t="s">
        <v>8</v>
      </c>
      <c r="AJ155" s="27" t="s">
        <v>7</v>
      </c>
      <c r="AK155" s="27" t="s">
        <v>8</v>
      </c>
      <c r="AL155" s="27" t="s">
        <v>7</v>
      </c>
      <c r="AN155" s="27" t="s">
        <v>7</v>
      </c>
      <c r="AR155" s="32"/>
      <c r="AY155" s="27" t="s">
        <v>8</v>
      </c>
      <c r="AZ155" s="27" t="s">
        <v>7</v>
      </c>
    </row>
    <row r="156" spans="1:52" x14ac:dyDescent="0.25">
      <c r="A156" s="30">
        <v>1.2100000000000002</v>
      </c>
      <c r="B156"/>
      <c r="C156"/>
      <c r="D156"/>
      <c r="E156"/>
      <c r="AE156" s="27" t="s">
        <v>8</v>
      </c>
      <c r="AH156" s="35" t="s">
        <v>7</v>
      </c>
      <c r="AJ156" s="35" t="s">
        <v>7</v>
      </c>
      <c r="AN156" s="34" t="s">
        <v>7</v>
      </c>
      <c r="AO156" s="35" t="s">
        <v>8</v>
      </c>
      <c r="AQ156" s="35" t="s">
        <v>8</v>
      </c>
      <c r="AS156" s="32"/>
      <c r="AU156" s="27" t="s">
        <v>8</v>
      </c>
      <c r="AW156" s="27" t="s">
        <v>8</v>
      </c>
      <c r="AY156" s="27" t="s">
        <v>8</v>
      </c>
      <c r="AZ156" s="27" t="s">
        <v>7</v>
      </c>
    </row>
    <row r="157" spans="1:52" x14ac:dyDescent="0.25">
      <c r="A157" s="30">
        <v>1.1000000000000001</v>
      </c>
      <c r="B157"/>
      <c r="C157"/>
      <c r="D157"/>
      <c r="E157"/>
      <c r="AE157" s="27" t="s">
        <v>8</v>
      </c>
      <c r="AN157" s="32" t="s">
        <v>7</v>
      </c>
      <c r="AO157" s="27" t="s">
        <v>8</v>
      </c>
      <c r="AP157" s="27" t="s">
        <v>7</v>
      </c>
      <c r="AQ157" s="27" t="s">
        <v>8</v>
      </c>
      <c r="AR157" s="27" t="s">
        <v>7</v>
      </c>
      <c r="AT157" s="32"/>
      <c r="AU157" s="27" t="s">
        <v>8</v>
      </c>
      <c r="AV157" s="27" t="s">
        <v>7</v>
      </c>
      <c r="AW157" s="27" t="s">
        <v>8</v>
      </c>
      <c r="AX157" s="27" t="s">
        <v>7</v>
      </c>
      <c r="AY157" s="27" t="s">
        <v>8</v>
      </c>
      <c r="AZ157" s="27" t="s">
        <v>7</v>
      </c>
    </row>
    <row r="158" spans="1:52" x14ac:dyDescent="0.25">
      <c r="A158" s="30">
        <v>1</v>
      </c>
      <c r="B158"/>
      <c r="C158"/>
      <c r="D158"/>
      <c r="E158" t="s">
        <v>8</v>
      </c>
      <c r="AE158" s="27" t="s">
        <v>8</v>
      </c>
      <c r="AM158" s="32"/>
      <c r="AN158" s="27" t="s">
        <v>7</v>
      </c>
      <c r="AO158" s="27" t="s">
        <v>8</v>
      </c>
      <c r="AP158" s="27" t="s">
        <v>7</v>
      </c>
      <c r="AQ158" s="27" t="s">
        <v>8</v>
      </c>
      <c r="AR158" s="27" t="s">
        <v>7</v>
      </c>
      <c r="AU158" s="32" t="s">
        <v>8</v>
      </c>
      <c r="AV158" s="27" t="s">
        <v>7</v>
      </c>
      <c r="AW158" s="27" t="s">
        <v>8</v>
      </c>
      <c r="AX158" s="27" t="s">
        <v>7</v>
      </c>
      <c r="AY158" s="27" t="s">
        <v>8</v>
      </c>
      <c r="AZ158" s="32" t="s">
        <v>7</v>
      </c>
    </row>
    <row r="159" spans="1:52" x14ac:dyDescent="0.25">
      <c r="A159" s="30">
        <v>0.90909090909090895</v>
      </c>
      <c r="B159"/>
      <c r="C159"/>
      <c r="D159"/>
      <c r="E159"/>
      <c r="F159" s="27" t="s">
        <v>7</v>
      </c>
      <c r="W159" s="27" t="s">
        <v>8</v>
      </c>
      <c r="AE159" s="27" t="s">
        <v>8</v>
      </c>
      <c r="AL159" s="32"/>
      <c r="AN159" s="27" t="s">
        <v>7</v>
      </c>
      <c r="AO159" s="27" t="s">
        <v>8</v>
      </c>
      <c r="AP159" s="27" t="s">
        <v>7</v>
      </c>
      <c r="AQ159" s="27" t="s">
        <v>8</v>
      </c>
      <c r="AR159" s="27" t="s">
        <v>7</v>
      </c>
      <c r="AU159" s="33" t="s">
        <v>8</v>
      </c>
      <c r="AV159" s="32" t="s">
        <v>7</v>
      </c>
      <c r="AX159" s="27" t="s">
        <v>7</v>
      </c>
      <c r="AY159" s="32" t="s">
        <v>8</v>
      </c>
      <c r="AZ159" s="27" t="s">
        <v>7</v>
      </c>
    </row>
    <row r="160" spans="1:52" x14ac:dyDescent="0.25">
      <c r="A160" s="30">
        <v>0.82644628099173523</v>
      </c>
      <c r="B160"/>
      <c r="C160"/>
      <c r="D160"/>
      <c r="E160"/>
      <c r="F160" s="27" t="s">
        <v>7</v>
      </c>
      <c r="W160" s="27" t="s">
        <v>8</v>
      </c>
      <c r="X160" s="27" t="s">
        <v>7</v>
      </c>
      <c r="AE160" s="27" t="s">
        <v>8</v>
      </c>
      <c r="AK160" s="32"/>
      <c r="AN160" s="27" t="s">
        <v>7</v>
      </c>
      <c r="AP160" s="27" t="s">
        <v>7</v>
      </c>
      <c r="AQ160" s="27" t="s">
        <v>8</v>
      </c>
      <c r="AR160" s="27" t="s">
        <v>7</v>
      </c>
      <c r="AS160" s="27" t="s">
        <v>8</v>
      </c>
      <c r="AU160" s="27" t="s">
        <v>8</v>
      </c>
      <c r="AW160" s="32"/>
      <c r="AX160" s="32" t="s">
        <v>7</v>
      </c>
      <c r="AZ160" s="27" t="s">
        <v>7</v>
      </c>
    </row>
    <row r="161" spans="1:52" x14ac:dyDescent="0.25">
      <c r="A161" s="30">
        <v>0.75131480090157732</v>
      </c>
      <c r="B161"/>
      <c r="C161"/>
      <c r="D161"/>
      <c r="E161"/>
      <c r="F161" s="27" t="s">
        <v>7</v>
      </c>
      <c r="W161" s="27" t="s">
        <v>8</v>
      </c>
      <c r="X161" s="27" t="s">
        <v>7</v>
      </c>
      <c r="AE161" s="27" t="s">
        <v>8</v>
      </c>
      <c r="AJ161" s="32"/>
      <c r="AP161" s="27" t="s">
        <v>7</v>
      </c>
      <c r="AQ161" s="27" t="s">
        <v>8</v>
      </c>
      <c r="AR161" s="27" t="s">
        <v>7</v>
      </c>
      <c r="AS161" s="27" t="s">
        <v>8</v>
      </c>
      <c r="AT161" s="27" t="s">
        <v>7</v>
      </c>
      <c r="AU161" s="27" t="s">
        <v>8</v>
      </c>
      <c r="AW161" s="32"/>
      <c r="AZ161" s="27" t="s">
        <v>7</v>
      </c>
    </row>
    <row r="162" spans="1:52" x14ac:dyDescent="0.25">
      <c r="A162" s="30">
        <v>0.68301345536507019</v>
      </c>
      <c r="B162"/>
      <c r="C162"/>
      <c r="D162"/>
      <c r="E162"/>
      <c r="F162" s="27" t="s">
        <v>7</v>
      </c>
      <c r="W162" s="27" t="s">
        <v>8</v>
      </c>
      <c r="X162" s="27" t="s">
        <v>7</v>
      </c>
      <c r="AE162" s="27" t="s">
        <v>8</v>
      </c>
      <c r="AI162" s="32"/>
      <c r="AP162" s="27" t="s">
        <v>7</v>
      </c>
      <c r="AR162" s="27" t="s">
        <v>7</v>
      </c>
      <c r="AS162" s="27" t="s">
        <v>8</v>
      </c>
      <c r="AT162" s="27" t="s">
        <v>7</v>
      </c>
      <c r="AU162" s="27" t="s">
        <v>8</v>
      </c>
      <c r="AV162" s="32"/>
      <c r="AZ162" s="27" t="s">
        <v>7</v>
      </c>
    </row>
    <row r="163" spans="1:52" x14ac:dyDescent="0.25">
      <c r="A163" s="30">
        <v>0.6209213230591546</v>
      </c>
      <c r="B163"/>
      <c r="C163"/>
      <c r="D163"/>
      <c r="E163"/>
      <c r="F163" s="27" t="s">
        <v>7</v>
      </c>
      <c r="W163" s="27" t="s">
        <v>8</v>
      </c>
      <c r="X163" s="27" t="s">
        <v>7</v>
      </c>
      <c r="AC163" s="27" t="s">
        <v>8</v>
      </c>
      <c r="AE163" s="27" t="s">
        <v>8</v>
      </c>
      <c r="AH163" s="32"/>
      <c r="AR163" s="27" t="s">
        <v>7</v>
      </c>
      <c r="AS163" s="27" t="s">
        <v>8</v>
      </c>
      <c r="AT163" s="18" t="s">
        <v>7</v>
      </c>
      <c r="AU163" s="32" t="s">
        <v>8</v>
      </c>
      <c r="AZ163" s="27" t="s">
        <v>7</v>
      </c>
    </row>
    <row r="164" spans="1:52" x14ac:dyDescent="0.25">
      <c r="A164" s="30">
        <v>0.56447393005377677</v>
      </c>
      <c r="B164"/>
      <c r="C164"/>
      <c r="D164"/>
      <c r="E164"/>
      <c r="F164" s="27" t="s">
        <v>7</v>
      </c>
      <c r="W164" s="27" t="s">
        <v>8</v>
      </c>
      <c r="X164" s="27" t="s">
        <v>7</v>
      </c>
      <c r="AA164" s="33" t="s">
        <v>8</v>
      </c>
      <c r="AC164" s="27" t="s">
        <v>8</v>
      </c>
      <c r="AD164" s="27" t="s">
        <v>7</v>
      </c>
      <c r="AE164" s="27" t="s">
        <v>8</v>
      </c>
      <c r="AG164" s="32"/>
      <c r="AR164" s="27" t="s">
        <v>7</v>
      </c>
      <c r="AS164" s="27" t="s">
        <v>8</v>
      </c>
      <c r="AT164" s="32" t="s">
        <v>7</v>
      </c>
      <c r="AZ164" s="27" t="s">
        <v>7</v>
      </c>
    </row>
    <row r="165" spans="1:52" x14ac:dyDescent="0.25">
      <c r="A165" s="30">
        <v>0.51315811823070612</v>
      </c>
      <c r="B165"/>
      <c r="C165"/>
      <c r="D165"/>
      <c r="E165"/>
      <c r="F165" s="27" t="s">
        <v>7</v>
      </c>
      <c r="W165" s="27" t="s">
        <v>8</v>
      </c>
      <c r="X165" s="27" t="s">
        <v>7</v>
      </c>
      <c r="Y165" s="27" t="s">
        <v>8</v>
      </c>
      <c r="AA165" s="27" t="s">
        <v>8</v>
      </c>
      <c r="AB165" s="27" t="s">
        <v>7</v>
      </c>
      <c r="AC165" s="27" t="s">
        <v>8</v>
      </c>
      <c r="AD165" s="27" t="s">
        <v>7</v>
      </c>
      <c r="AE165" s="27" t="s">
        <v>8</v>
      </c>
      <c r="AF165" s="32"/>
      <c r="AR165" s="27" t="s">
        <v>7</v>
      </c>
      <c r="AZ165" s="27" t="s">
        <v>7</v>
      </c>
    </row>
    <row r="166" spans="1:52" x14ac:dyDescent="0.25">
      <c r="A166" s="30">
        <v>0.46650738020973276</v>
      </c>
      <c r="B166"/>
      <c r="C166"/>
      <c r="D166"/>
      <c r="E166"/>
      <c r="F166" s="27" t="s">
        <v>7</v>
      </c>
      <c r="Q166" s="27" t="s">
        <v>8</v>
      </c>
      <c r="U166" s="27" t="s">
        <v>8</v>
      </c>
      <c r="W166" s="27" t="s">
        <v>8</v>
      </c>
      <c r="X166" s="27" t="s">
        <v>7</v>
      </c>
      <c r="Y166" s="27" t="s">
        <v>8</v>
      </c>
      <c r="Z166" s="27" t="s">
        <v>7</v>
      </c>
      <c r="AA166" s="27" t="s">
        <v>8</v>
      </c>
      <c r="AB166" s="27" t="s">
        <v>7</v>
      </c>
      <c r="AC166" s="27" t="s">
        <v>8</v>
      </c>
      <c r="AD166" s="27" t="s">
        <v>7</v>
      </c>
      <c r="AE166" s="32"/>
      <c r="AZ166" s="27" t="s">
        <v>7</v>
      </c>
    </row>
    <row r="167" spans="1:52" x14ac:dyDescent="0.25">
      <c r="A167" s="30">
        <v>0.42409761837248428</v>
      </c>
      <c r="B167"/>
      <c r="C167"/>
      <c r="D167"/>
      <c r="E167"/>
      <c r="F167" s="27" t="s">
        <v>7</v>
      </c>
      <c r="Q167" s="27" t="s">
        <v>8</v>
      </c>
      <c r="R167" s="27" t="s">
        <v>7</v>
      </c>
      <c r="S167" s="27" t="s">
        <v>8</v>
      </c>
      <c r="U167" s="27" t="s">
        <v>8</v>
      </c>
      <c r="V167" s="27" t="s">
        <v>7</v>
      </c>
      <c r="W167" s="27" t="s">
        <v>8</v>
      </c>
      <c r="X167" s="27" t="s">
        <v>7</v>
      </c>
      <c r="Y167" s="27" t="s">
        <v>8</v>
      </c>
      <c r="Z167" s="27" t="s">
        <v>7</v>
      </c>
      <c r="AA167" s="27" t="s">
        <v>8</v>
      </c>
      <c r="AB167" s="27" t="s">
        <v>7</v>
      </c>
      <c r="AC167" s="27" t="s">
        <v>8</v>
      </c>
      <c r="AD167" s="32"/>
    </row>
    <row r="168" spans="1:52" x14ac:dyDescent="0.25">
      <c r="A168" s="30">
        <v>0.38554328942953109</v>
      </c>
      <c r="B168"/>
      <c r="C168"/>
      <c r="D168"/>
      <c r="E168"/>
      <c r="F168" s="27" t="s">
        <v>7</v>
      </c>
      <c r="G168" s="27" t="s">
        <v>8</v>
      </c>
      <c r="Q168" s="33" t="s">
        <v>8</v>
      </c>
      <c r="R168" s="27" t="s">
        <v>7</v>
      </c>
      <c r="S168" s="27" t="s">
        <v>8</v>
      </c>
      <c r="T168" s="27" t="s">
        <v>7</v>
      </c>
      <c r="U168" s="27" t="s">
        <v>8</v>
      </c>
      <c r="V168" s="27" t="s">
        <v>7</v>
      </c>
      <c r="W168" s="27" t="s">
        <v>8</v>
      </c>
      <c r="X168" s="27" t="s">
        <v>7</v>
      </c>
      <c r="Y168" s="27" t="s">
        <v>8</v>
      </c>
      <c r="Z168" s="27" t="s">
        <v>7</v>
      </c>
      <c r="AA168" s="27" t="s">
        <v>8</v>
      </c>
      <c r="AB168" s="27" t="s">
        <v>7</v>
      </c>
      <c r="AC168" s="32"/>
    </row>
    <row r="169" spans="1:52" x14ac:dyDescent="0.25">
      <c r="A169" s="30">
        <v>0.35049389948139187</v>
      </c>
      <c r="B169"/>
      <c r="C169"/>
      <c r="D169"/>
      <c r="E169"/>
      <c r="F169" s="27" t="s">
        <v>7</v>
      </c>
      <c r="G169" s="27" t="s">
        <v>8</v>
      </c>
      <c r="H169" s="27" t="s">
        <v>7</v>
      </c>
      <c r="I169" s="27" t="s">
        <v>8</v>
      </c>
      <c r="O169" s="27" t="s">
        <v>8</v>
      </c>
      <c r="Q169" s="27" t="s">
        <v>8</v>
      </c>
      <c r="R169" s="27" t="s">
        <v>7</v>
      </c>
      <c r="S169" s="27" t="s">
        <v>8</v>
      </c>
      <c r="T169" s="27" t="s">
        <v>7</v>
      </c>
      <c r="U169" s="27" t="s">
        <v>8</v>
      </c>
      <c r="V169" s="27" t="s">
        <v>7</v>
      </c>
      <c r="X169" s="27" t="s">
        <v>7</v>
      </c>
      <c r="Y169" s="27" t="s">
        <v>8</v>
      </c>
      <c r="Z169" s="27" t="s">
        <v>7</v>
      </c>
      <c r="AA169" s="27" t="s">
        <v>8</v>
      </c>
      <c r="AB169" s="32"/>
    </row>
    <row r="170" spans="1:52" x14ac:dyDescent="0.25">
      <c r="A170" s="30">
        <v>0.31863081771035617</v>
      </c>
      <c r="B170"/>
      <c r="C170"/>
      <c r="D170"/>
      <c r="E170"/>
      <c r="F170" s="27" t="s">
        <v>7</v>
      </c>
      <c r="G170" s="27" t="s">
        <v>8</v>
      </c>
      <c r="H170" s="27" t="s">
        <v>7</v>
      </c>
      <c r="I170" s="27" t="s">
        <v>8</v>
      </c>
      <c r="J170" s="27" t="s">
        <v>7</v>
      </c>
      <c r="M170" s="27" t="s">
        <v>8</v>
      </c>
      <c r="O170" s="27" t="s">
        <v>8</v>
      </c>
      <c r="P170" s="27" t="s">
        <v>7</v>
      </c>
      <c r="Q170" s="27" t="s">
        <v>8</v>
      </c>
      <c r="R170" s="35" t="s">
        <v>7</v>
      </c>
      <c r="T170" s="35" t="s">
        <v>7</v>
      </c>
      <c r="X170" s="34" t="s">
        <v>7</v>
      </c>
      <c r="Z170" s="35" t="s">
        <v>7</v>
      </c>
      <c r="AA170" s="32"/>
    </row>
    <row r="171" spans="1:52" x14ac:dyDescent="0.25">
      <c r="A171" s="30">
        <v>0.28966437973668741</v>
      </c>
      <c r="F171" s="27" t="s">
        <v>7</v>
      </c>
      <c r="G171" s="27" t="s">
        <v>8</v>
      </c>
      <c r="H171" s="27" t="s">
        <v>7</v>
      </c>
      <c r="I171" s="27" t="s">
        <v>8</v>
      </c>
      <c r="J171" s="27" t="s">
        <v>7</v>
      </c>
      <c r="M171" s="27" t="s">
        <v>8</v>
      </c>
      <c r="N171" s="27" t="s">
        <v>7</v>
      </c>
      <c r="O171" s="27" t="s">
        <v>8</v>
      </c>
      <c r="P171" s="27" t="s">
        <v>7</v>
      </c>
      <c r="Q171" s="27" t="s">
        <v>8</v>
      </c>
      <c r="Z171" s="32"/>
    </row>
    <row r="172" spans="1:52" x14ac:dyDescent="0.25">
      <c r="A172" s="30">
        <v>0.2633312543060794</v>
      </c>
      <c r="F172" s="27" t="s">
        <v>7</v>
      </c>
      <c r="G172" s="27" t="s">
        <v>8</v>
      </c>
      <c r="H172" s="27" t="s">
        <v>7</v>
      </c>
      <c r="J172" s="27" t="s">
        <v>7</v>
      </c>
      <c r="K172" s="27" t="s">
        <v>8</v>
      </c>
      <c r="M172" s="27" t="s">
        <v>8</v>
      </c>
      <c r="N172" s="27" t="s">
        <v>7</v>
      </c>
      <c r="O172" s="27" t="s">
        <v>8</v>
      </c>
      <c r="P172" s="27" t="s">
        <v>7</v>
      </c>
      <c r="Q172" s="27" t="s">
        <v>8</v>
      </c>
      <c r="Y172" s="32"/>
    </row>
    <row r="173" spans="1:52" x14ac:dyDescent="0.25">
      <c r="A173" s="30">
        <v>0.23939204936916306</v>
      </c>
      <c r="F173" s="27" t="s">
        <v>7</v>
      </c>
      <c r="G173" s="27" t="s">
        <v>8</v>
      </c>
      <c r="J173" s="27" t="s">
        <v>7</v>
      </c>
      <c r="K173" s="27" t="s">
        <v>8</v>
      </c>
      <c r="L173" s="27" t="s">
        <v>7</v>
      </c>
      <c r="M173" s="27" t="s">
        <v>8</v>
      </c>
      <c r="N173" s="27" t="s">
        <v>7</v>
      </c>
      <c r="O173" s="27" t="s">
        <v>8</v>
      </c>
      <c r="P173" s="27" t="s">
        <v>7</v>
      </c>
      <c r="Q173" s="27" t="s">
        <v>8</v>
      </c>
      <c r="X173" s="32"/>
    </row>
    <row r="174" spans="1:52" x14ac:dyDescent="0.25">
      <c r="A174" s="30">
        <v>0.2176291357901482</v>
      </c>
      <c r="F174" s="27" t="s">
        <v>7</v>
      </c>
      <c r="J174" s="27" t="s">
        <v>7</v>
      </c>
      <c r="K174" s="27" t="s">
        <v>8</v>
      </c>
      <c r="L174" s="27" t="s">
        <v>7</v>
      </c>
      <c r="M174" s="27" t="s">
        <v>8</v>
      </c>
      <c r="N174" s="27" t="s">
        <v>7</v>
      </c>
      <c r="O174" s="27" t="s">
        <v>8</v>
      </c>
      <c r="P174" s="27" t="s">
        <v>7</v>
      </c>
      <c r="Q174" s="27" t="s">
        <v>8</v>
      </c>
      <c r="W174" s="32"/>
    </row>
    <row r="175" spans="1:52" x14ac:dyDescent="0.25">
      <c r="A175" s="30">
        <v>0.19784466890013469</v>
      </c>
      <c r="J175" s="27" t="s">
        <v>7</v>
      </c>
      <c r="K175" s="27" t="s">
        <v>8</v>
      </c>
      <c r="L175" s="27" t="s">
        <v>7</v>
      </c>
      <c r="M175" s="27" t="s">
        <v>8</v>
      </c>
      <c r="N175" s="27" t="s">
        <v>7</v>
      </c>
      <c r="O175" s="27" t="s">
        <v>8</v>
      </c>
      <c r="P175" s="27" t="s">
        <v>7</v>
      </c>
      <c r="Q175" s="27" t="s">
        <v>8</v>
      </c>
      <c r="V175" s="32"/>
    </row>
    <row r="176" spans="1:52" x14ac:dyDescent="0.25">
      <c r="A176" s="30">
        <v>0.17985878990921333</v>
      </c>
      <c r="J176" s="27" t="s">
        <v>7</v>
      </c>
      <c r="K176" s="27" t="s">
        <v>8</v>
      </c>
      <c r="L176" s="35" t="s">
        <v>7</v>
      </c>
      <c r="N176" s="35" t="s">
        <v>7</v>
      </c>
      <c r="P176" s="27" t="s">
        <v>7</v>
      </c>
      <c r="Q176" s="27" t="s">
        <v>8</v>
      </c>
      <c r="U176" s="32"/>
    </row>
    <row r="177" spans="1:20" x14ac:dyDescent="0.25">
      <c r="A177" s="30">
        <v>0.16350799082655756</v>
      </c>
      <c r="J177" s="27" t="s">
        <v>7</v>
      </c>
      <c r="P177" s="27" t="s">
        <v>7</v>
      </c>
      <c r="Q177" s="27" t="s">
        <v>8</v>
      </c>
      <c r="T177" s="32"/>
    </row>
    <row r="178" spans="1:20" x14ac:dyDescent="0.25">
      <c r="A178" s="30">
        <v>0.14864362802414322</v>
      </c>
      <c r="P178" s="27" t="s">
        <v>7</v>
      </c>
      <c r="Q178" s="27" t="s">
        <v>8</v>
      </c>
      <c r="S178" s="32"/>
    </row>
    <row r="179" spans="1:20" x14ac:dyDescent="0.25">
      <c r="A179" s="30">
        <v>0.13513057093103928</v>
      </c>
      <c r="P179" s="27" t="s">
        <v>7</v>
      </c>
      <c r="Q179" s="27" t="s">
        <v>8</v>
      </c>
      <c r="R179" s="32"/>
    </row>
    <row r="180" spans="1:20" x14ac:dyDescent="0.25">
      <c r="A180" s="30">
        <v>0.12284597357367205</v>
      </c>
      <c r="P180" s="27" t="s">
        <v>7</v>
      </c>
      <c r="Q180" s="32" t="s">
        <v>8</v>
      </c>
    </row>
    <row r="181" spans="1:20" x14ac:dyDescent="0.25">
      <c r="A181" s="30">
        <v>0.11167815779424731</v>
      </c>
      <c r="P181" s="32" t="s">
        <v>7</v>
      </c>
    </row>
    <row r="182" spans="1:20" x14ac:dyDescent="0.25">
      <c r="A182" s="30">
        <v>0.10152559799477026</v>
      </c>
    </row>
    <row r="183" spans="1:20" x14ac:dyDescent="0.25">
      <c r="A183" s="30">
        <v>9.2295998177063854E-2</v>
      </c>
    </row>
    <row r="184" spans="1:20" x14ac:dyDescent="0.25">
      <c r="A184" s="30">
        <v>8.3905452888239848E-2</v>
      </c>
    </row>
    <row r="185" spans="1:20" x14ac:dyDescent="0.25">
      <c r="A185" s="30">
        <v>7.6277684443854396E-2</v>
      </c>
    </row>
    <row r="186" spans="1:20" x14ac:dyDescent="0.25">
      <c r="A186" s="30">
        <v>6.9343349494413078E-2</v>
      </c>
    </row>
    <row r="187" spans="1:20" x14ac:dyDescent="0.25">
      <c r="A187" s="30">
        <v>6.3039408631284613E-2</v>
      </c>
    </row>
    <row r="188" spans="1:20" x14ac:dyDescent="0.25">
      <c r="A188" s="30">
        <v>5.7308553301167818E-2</v>
      </c>
    </row>
    <row r="189" spans="1:20" x14ac:dyDescent="0.25">
      <c r="A189" s="30">
        <v>5.2098684819243464E-2</v>
      </c>
    </row>
    <row r="190" spans="1:20" x14ac:dyDescent="0.25">
      <c r="A190" s="30">
        <v>4.7362440744766775E-2</v>
      </c>
    </row>
    <row r="191" spans="1:20" x14ac:dyDescent="0.25">
      <c r="A191" s="30">
        <v>4.3056764313424332E-2</v>
      </c>
    </row>
    <row r="192" spans="1:20" x14ac:dyDescent="0.25">
      <c r="A192" s="30">
        <v>3.9142513012203929E-2</v>
      </c>
    </row>
    <row r="193" spans="1:1" x14ac:dyDescent="0.25">
      <c r="A193" s="30">
        <v>3.55841027383672E-2</v>
      </c>
    </row>
    <row r="194" spans="1:1" x14ac:dyDescent="0.25">
      <c r="A194" s="30">
        <v>3.2349184307606541E-2</v>
      </c>
    </row>
    <row r="195" spans="1:1" x14ac:dyDescent="0.25">
      <c r="A195" s="30">
        <v>2.9408349370551395E-2</v>
      </c>
    </row>
    <row r="196" spans="1:1" x14ac:dyDescent="0.25">
      <c r="A196" s="30">
        <v>2.6734863064137627E-2</v>
      </c>
    </row>
    <row r="197" spans="1:1" x14ac:dyDescent="0.25">
      <c r="A197" s="30">
        <v>2.4304420967397839E-2</v>
      </c>
    </row>
    <row r="198" spans="1:1" x14ac:dyDescent="0.25">
      <c r="A198" s="30">
        <v>2.2094928152179852E-2</v>
      </c>
    </row>
    <row r="199" spans="1:1" x14ac:dyDescent="0.25">
      <c r="A199" s="30">
        <v>2.0086298320163499E-2</v>
      </c>
    </row>
    <row r="200" spans="1:1" x14ac:dyDescent="0.25">
      <c r="A200" s="30">
        <v>1.8260271200148632E-2</v>
      </c>
    </row>
    <row r="201" spans="1:1" x14ac:dyDescent="0.25">
      <c r="A201" s="30">
        <v>1.6600246545589663E-2</v>
      </c>
    </row>
    <row r="202" spans="1:1" x14ac:dyDescent="0.25">
      <c r="A202" s="30">
        <v>1.5091133223263328E-2</v>
      </c>
    </row>
    <row r="203" spans="1:1" x14ac:dyDescent="0.25">
      <c r="A203" s="30">
        <v>1.3719212021148477E-2</v>
      </c>
    </row>
    <row r="204" spans="1:1" x14ac:dyDescent="0.25">
      <c r="A204" s="30">
        <v>1.2472010928316795E-2</v>
      </c>
    </row>
    <row r="205" spans="1:1" x14ac:dyDescent="0.25">
      <c r="A205" s="30">
        <v>1.1338191753015267E-2</v>
      </c>
    </row>
    <row r="206" spans="1:1" x14ac:dyDescent="0.25">
      <c r="A206" s="30">
        <v>1.0307447048195697E-2</v>
      </c>
    </row>
    <row r="207" spans="1:1" x14ac:dyDescent="0.25">
      <c r="A207" s="30">
        <v>9.3704064074506318E-3</v>
      </c>
    </row>
    <row r="208" spans="1:1" x14ac:dyDescent="0.25">
      <c r="A208" s="30">
        <v>8.5185512795005747E-3</v>
      </c>
    </row>
    <row r="209" spans="1:1" x14ac:dyDescent="0.25">
      <c r="A209" s="30">
        <v>7.744137526818704E-3</v>
      </c>
    </row>
    <row r="210" spans="1:1" x14ac:dyDescent="0.25">
      <c r="A210" s="30">
        <v>7.0401250243806394E-3</v>
      </c>
    </row>
    <row r="211" spans="1:1" x14ac:dyDescent="0.25">
      <c r="A211" s="30">
        <v>6.4001136585278536E-3</v>
      </c>
    </row>
    <row r="212" spans="1:1" x14ac:dyDescent="0.25">
      <c r="A212" s="30">
        <v>5.8182851441162305E-3</v>
      </c>
    </row>
    <row r="213" spans="1:1" x14ac:dyDescent="0.25">
      <c r="A213" s="30">
        <v>5.2893501310147546E-3</v>
      </c>
    </row>
    <row r="214" spans="1:1" x14ac:dyDescent="0.25">
      <c r="A214" s="30">
        <v>4.8085001191043222E-3</v>
      </c>
    </row>
    <row r="215" spans="1:1" x14ac:dyDescent="0.25">
      <c r="A215" s="30">
        <v>4.3713637446402926E-3</v>
      </c>
    </row>
    <row r="216" spans="1:1" x14ac:dyDescent="0.25">
      <c r="A216" s="30">
        <v>3.9739670405820838E-3</v>
      </c>
    </row>
    <row r="217" spans="1:1" x14ac:dyDescent="0.25">
      <c r="A217" s="30">
        <v>3.6126973096200759E-3</v>
      </c>
    </row>
    <row r="218" spans="1:1" x14ac:dyDescent="0.25">
      <c r="A218" s="30">
        <v>3.2842702814727962E-3</v>
      </c>
    </row>
    <row r="219" spans="1:1" x14ac:dyDescent="0.25">
      <c r="A219" s="30">
        <v>2.9857002558843601E-3</v>
      </c>
    </row>
    <row r="220" spans="1:1" x14ac:dyDescent="0.25">
      <c r="A220" s="30">
        <v>2.7142729598948726E-3</v>
      </c>
    </row>
    <row r="221" spans="1:1" x14ac:dyDescent="0.25">
      <c r="A221" s="30">
        <v>2.4675208726317021E-3</v>
      </c>
    </row>
    <row r="222" spans="1:1" x14ac:dyDescent="0.25">
      <c r="A222" s="30">
        <v>2.2432007933015472E-3</v>
      </c>
    </row>
    <row r="223" spans="1:1" x14ac:dyDescent="0.25">
      <c r="A223" s="30">
        <v>2.0392734484559519E-3</v>
      </c>
    </row>
    <row r="224" spans="1:1" x14ac:dyDescent="0.25">
      <c r="A224" s="30">
        <v>1.8538849531417744E-3</v>
      </c>
    </row>
    <row r="225" spans="1:1" x14ac:dyDescent="0.25">
      <c r="A225" s="30">
        <v>1.6853499574016129E-3</v>
      </c>
    </row>
    <row r="226" spans="1:1" x14ac:dyDescent="0.25">
      <c r="A226" s="30">
        <v>1.5321363249105571E-3</v>
      </c>
    </row>
    <row r="227" spans="1:1" x14ac:dyDescent="0.25">
      <c r="A227" s="30">
        <v>1.3928512044641427E-3</v>
      </c>
    </row>
    <row r="228" spans="1:1" x14ac:dyDescent="0.25">
      <c r="A228" s="30">
        <v>1.2662283676946752E-3</v>
      </c>
    </row>
    <row r="229" spans="1:1" x14ac:dyDescent="0.25">
      <c r="A229" s="30">
        <v>1.15111669790425E-3</v>
      </c>
    </row>
    <row r="230" spans="1:1" x14ac:dyDescent="0.25">
      <c r="A230" s="30">
        <v>1.0464697253675E-3</v>
      </c>
    </row>
    <row r="231" spans="1:1" x14ac:dyDescent="0.25">
      <c r="A231" s="30">
        <v>9.5133611397045449E-4</v>
      </c>
    </row>
    <row r="232" spans="1:1" x14ac:dyDescent="0.25">
      <c r="A232" s="30">
        <v>8.6485101270041313E-4</v>
      </c>
    </row>
    <row r="233" spans="1:1" x14ac:dyDescent="0.25">
      <c r="A233" s="30">
        <v>7.862281933640119E-4</v>
      </c>
    </row>
    <row r="234" spans="1:1" x14ac:dyDescent="0.25">
      <c r="A234" s="30">
        <v>7.0760537402761068E-4</v>
      </c>
    </row>
    <row r="235" spans="1:1" x14ac:dyDescent="0.25">
      <c r="A235" s="30">
        <v>6.368448366248496E-4</v>
      </c>
    </row>
    <row r="236" spans="1:1" x14ac:dyDescent="0.25">
      <c r="A236" s="30">
        <v>5.7316035296236471E-4</v>
      </c>
    </row>
    <row r="237" spans="1:1" x14ac:dyDescent="0.25">
      <c r="A237" s="30">
        <v>5.1584431766612821E-4</v>
      </c>
    </row>
    <row r="238" spans="1:1" x14ac:dyDescent="0.25">
      <c r="A238" s="30">
        <v>4.6425988589951538E-4</v>
      </c>
    </row>
    <row r="239" spans="1:1" x14ac:dyDescent="0.25">
      <c r="A239" s="30">
        <v>4.1783389730956383E-4</v>
      </c>
    </row>
    <row r="240" spans="1:1" x14ac:dyDescent="0.25">
      <c r="A240" s="30">
        <v>3.7605050757860746E-4</v>
      </c>
    </row>
    <row r="241" spans="1:1" x14ac:dyDescent="0.25">
      <c r="A241" s="30">
        <v>3.3844545682074675E-4</v>
      </c>
    </row>
    <row r="242" spans="1:1" x14ac:dyDescent="0.25">
      <c r="A242" s="30">
        <v>3.0460091113867208E-4</v>
      </c>
    </row>
    <row r="243" spans="1:1" x14ac:dyDescent="0.25">
      <c r="A243" s="30">
        <v>2.7414082002480487E-4</v>
      </c>
    </row>
    <row r="244" spans="1:1" x14ac:dyDescent="0.25">
      <c r="A244" s="30">
        <v>2.4672673802232442E-4</v>
      </c>
    </row>
    <row r="245" spans="1:1" x14ac:dyDescent="0.25">
      <c r="A245" s="30">
        <v>2.2205406422009198E-4</v>
      </c>
    </row>
    <row r="246" spans="1:1" x14ac:dyDescent="0.25">
      <c r="A246" s="30">
        <v>1.998486577980828E-4</v>
      </c>
    </row>
    <row r="247" spans="1:1" x14ac:dyDescent="0.25">
      <c r="A247" s="30">
        <v>1.7986379201827453E-4</v>
      </c>
    </row>
    <row r="248" spans="1:1" x14ac:dyDescent="0.25">
      <c r="A248" s="30">
        <v>1.6187741281644709E-4</v>
      </c>
    </row>
    <row r="249" spans="1:1" x14ac:dyDescent="0.25">
      <c r="A249" s="30">
        <v>1.4568967153480238E-4</v>
      </c>
    </row>
    <row r="250" spans="1:1" x14ac:dyDescent="0.25">
      <c r="A250" s="30">
        <v>1.3112070438132215E-4</v>
      </c>
    </row>
    <row r="251" spans="1:1" x14ac:dyDescent="0.25">
      <c r="A251" s="30">
        <v>1.1800863394318995E-4</v>
      </c>
    </row>
    <row r="252" spans="1:1" x14ac:dyDescent="0.25">
      <c r="A252" s="30">
        <v>1.0620777054887096E-4</v>
      </c>
    </row>
    <row r="253" spans="1:1" x14ac:dyDescent="0.25">
      <c r="A253" s="30">
        <v>9.5586993493983861E-5</v>
      </c>
    </row>
    <row r="254" spans="1:1" x14ac:dyDescent="0.25">
      <c r="A254" s="30">
        <v>8.6028294144585476E-5</v>
      </c>
    </row>
    <row r="255" spans="1:1" x14ac:dyDescent="0.25">
      <c r="A255" s="30">
        <v>7.7425464730126924E-5</v>
      </c>
    </row>
    <row r="256" spans="1:1" x14ac:dyDescent="0.25">
      <c r="A256" s="30">
        <v>6.9682918257114228E-5</v>
      </c>
    </row>
    <row r="257" spans="1:1" x14ac:dyDescent="0.25">
      <c r="A257" s="30">
        <v>6.2714626431402813E-5</v>
      </c>
    </row>
    <row r="258" spans="1:1" x14ac:dyDescent="0.25">
      <c r="A258" s="30">
        <v>5.6443163788262536E-5</v>
      </c>
    </row>
    <row r="259" spans="1:1" x14ac:dyDescent="0.25">
      <c r="A259" s="30">
        <v>5.0798847409436286E-5</v>
      </c>
    </row>
    <row r="260" spans="1:1" x14ac:dyDescent="0.25">
      <c r="A260" s="30">
        <v>4.5718962668492656E-5</v>
      </c>
    </row>
    <row r="261" spans="1:1" x14ac:dyDescent="0.25">
      <c r="A261" s="30">
        <v>4.1147066401643391E-5</v>
      </c>
    </row>
    <row r="262" spans="1:1" x14ac:dyDescent="0.25">
      <c r="A262" s="30">
        <v>3.7032359761479051E-5</v>
      </c>
    </row>
    <row r="263" spans="1:1" x14ac:dyDescent="0.25">
      <c r="A263" s="30">
        <v>3.3329123785331146E-5</v>
      </c>
    </row>
    <row r="264" spans="1:1" x14ac:dyDescent="0.25">
      <c r="A264" s="30">
        <v>2.9996211406798031E-5</v>
      </c>
    </row>
    <row r="265" spans="1:1" x14ac:dyDescent="0.25">
      <c r="A265" s="30">
        <v>2.6996590266118227E-5</v>
      </c>
    </row>
    <row r="266" spans="1:1" x14ac:dyDescent="0.25">
      <c r="A266" s="30">
        <v>2.4296931239506405E-5</v>
      </c>
    </row>
    <row r="267" spans="1:1" x14ac:dyDescent="0.25">
      <c r="A267" s="30">
        <v>2.1867238115555765E-5</v>
      </c>
    </row>
    <row r="268" spans="1:1" x14ac:dyDescent="0.25">
      <c r="A268" s="30">
        <v>1.968051430400019E-5</v>
      </c>
    </row>
    <row r="269" spans="1:1" x14ac:dyDescent="0.25">
      <c r="A269" s="30">
        <v>1.7712462873600173E-5</v>
      </c>
    </row>
    <row r="270" spans="1:1" x14ac:dyDescent="0.25">
      <c r="A270" s="30">
        <v>1.5941216586240156E-5</v>
      </c>
    </row>
    <row r="271" spans="1:1" x14ac:dyDescent="0.25">
      <c r="A271" s="30">
        <v>1.434709492761614E-5</v>
      </c>
    </row>
    <row r="272" spans="1:1" x14ac:dyDescent="0.25">
      <c r="A272" s="30">
        <v>1.2912385434854527E-5</v>
      </c>
    </row>
    <row r="273" spans="1:1" x14ac:dyDescent="0.25">
      <c r="A273" s="30">
        <v>1.1621146891369075E-5</v>
      </c>
    </row>
    <row r="274" spans="1:1" x14ac:dyDescent="0.25">
      <c r="A274" s="30">
        <v>1.0459032202232167E-5</v>
      </c>
    </row>
    <row r="275" spans="1:1" x14ac:dyDescent="0.25">
      <c r="A275" s="30">
        <v>9.4131289820089515E-6</v>
      </c>
    </row>
    <row r="276" spans="1:1" x14ac:dyDescent="0.25">
      <c r="A276" s="30">
        <v>8.4718160838080567E-6</v>
      </c>
    </row>
    <row r="277" spans="1:1" x14ac:dyDescent="0.25">
      <c r="A277" s="30">
        <v>7.6246344754272515E-6</v>
      </c>
    </row>
    <row r="278" spans="1:1" x14ac:dyDescent="0.25">
      <c r="A278" s="30">
        <v>6.8621710278845262E-6</v>
      </c>
    </row>
    <row r="279" spans="1:1" x14ac:dyDescent="0.25">
      <c r="A279" s="30">
        <v>6.1759539250960733E-6</v>
      </c>
    </row>
    <row r="280" spans="1:1" x14ac:dyDescent="0.25">
      <c r="A280" s="30">
        <v>5.5583585325864661E-6</v>
      </c>
    </row>
    <row r="281" spans="1:1" x14ac:dyDescent="0.25">
      <c r="A281" s="30">
        <v>5.0025226793278193E-6</v>
      </c>
    </row>
    <row r="282" spans="1:1" x14ac:dyDescent="0.25">
      <c r="A282" s="30">
        <v>4.5022704113950371E-6</v>
      </c>
    </row>
    <row r="283" spans="1:1" x14ac:dyDescent="0.25">
      <c r="A283" s="30">
        <v>4.0520433702555336E-6</v>
      </c>
    </row>
    <row r="284" spans="1:1" x14ac:dyDescent="0.25">
      <c r="A284" s="30">
        <v>3.6468390332299805E-6</v>
      </c>
    </row>
    <row r="285" spans="1:1" x14ac:dyDescent="0.25">
      <c r="A285" s="30">
        <v>3.2821551299069824E-6</v>
      </c>
    </row>
    <row r="286" spans="1:1" x14ac:dyDescent="0.25">
      <c r="A286" s="30">
        <v>2.9539396169162842E-6</v>
      </c>
    </row>
    <row r="287" spans="1:1" x14ac:dyDescent="0.25">
      <c r="A287" s="30">
        <v>2.6585456552246558E-6</v>
      </c>
    </row>
    <row r="288" spans="1:1" x14ac:dyDescent="0.25">
      <c r="A288" s="30">
        <v>2.39269108970219E-6</v>
      </c>
    </row>
    <row r="289" spans="1:1" x14ac:dyDescent="0.25">
      <c r="A289" s="30">
        <v>2.1534219807319713E-6</v>
      </c>
    </row>
    <row r="290" spans="1:1" x14ac:dyDescent="0.25">
      <c r="A290" s="30">
        <v>1.9380797826587742E-6</v>
      </c>
    </row>
    <row r="291" spans="1:1" x14ac:dyDescent="0.25">
      <c r="A291" s="30">
        <v>1.7442718043928968E-6</v>
      </c>
    </row>
    <row r="292" spans="1:1" x14ac:dyDescent="0.25">
      <c r="A292" s="30">
        <v>1.5698446239536072E-6</v>
      </c>
    </row>
    <row r="293" spans="1:1" x14ac:dyDescent="0.25">
      <c r="A293" s="30">
        <v>1.4128601615582464E-6</v>
      </c>
    </row>
    <row r="294" spans="1:1" x14ac:dyDescent="0.25">
      <c r="A294" s="30">
        <v>1.2715741454024219E-6</v>
      </c>
    </row>
    <row r="295" spans="1:1" x14ac:dyDescent="0.25">
      <c r="A295" s="30">
        <v>1.1444167308621797E-6</v>
      </c>
    </row>
    <row r="296" spans="1:1" x14ac:dyDescent="0.25">
      <c r="A296" s="30">
        <v>1.0299750577759617E-6</v>
      </c>
    </row>
    <row r="297" spans="1:1" x14ac:dyDescent="0.25">
      <c r="A297" s="30">
        <v>9.2697755199836562E-7</v>
      </c>
    </row>
    <row r="298" spans="1:1" x14ac:dyDescent="0.25">
      <c r="A298" s="30">
        <v>8.3427979679852907E-7</v>
      </c>
    </row>
    <row r="299" spans="1:1" x14ac:dyDescent="0.25">
      <c r="A299" s="30">
        <v>7.508518171186762E-7</v>
      </c>
    </row>
    <row r="300" spans="1:1" x14ac:dyDescent="0.25">
      <c r="A300" s="30">
        <v>6.7576663540680858E-7</v>
      </c>
    </row>
    <row r="301" spans="1:1" x14ac:dyDescent="0.25">
      <c r="A301" s="30">
        <v>6.0818997186612771E-7</v>
      </c>
    </row>
    <row r="302" spans="1:1" x14ac:dyDescent="0.25">
      <c r="A302" s="30">
        <v>5.4737097467951492E-7</v>
      </c>
    </row>
    <row r="303" spans="1:1" x14ac:dyDescent="0.25">
      <c r="A303" s="30">
        <v>4.9263387721156344E-7</v>
      </c>
    </row>
    <row r="304" spans="1:1" x14ac:dyDescent="0.25">
      <c r="A304" s="30">
        <v>4.4337048949040709E-7</v>
      </c>
    </row>
    <row r="305" spans="1:1" x14ac:dyDescent="0.25">
      <c r="A305" s="30">
        <v>3.9903344054136637E-7</v>
      </c>
    </row>
    <row r="306" spans="1:1" x14ac:dyDescent="0.25">
      <c r="A306" s="30">
        <v>3.5913009648722975E-7</v>
      </c>
    </row>
    <row r="307" spans="1:1" x14ac:dyDescent="0.25">
      <c r="A307" s="30">
        <v>3.2321708683850679E-7</v>
      </c>
    </row>
    <row r="308" spans="1:1" x14ac:dyDescent="0.25">
      <c r="A308" s="30">
        <v>2.908953781546561E-7</v>
      </c>
    </row>
    <row r="309" spans="1:1" x14ac:dyDescent="0.25">
      <c r="A309" s="30">
        <v>2.6180584033919052E-7</v>
      </c>
    </row>
    <row r="310" spans="1:1" x14ac:dyDescent="0.25">
      <c r="A310" s="30">
        <v>2.3562525630527146E-7</v>
      </c>
    </row>
    <row r="311" spans="1:1" x14ac:dyDescent="0.25">
      <c r="A311" s="30">
        <v>2.1206273067474431E-7</v>
      </c>
    </row>
    <row r="312" spans="1:1" x14ac:dyDescent="0.25">
      <c r="A312" s="30">
        <v>1.9085645760726988E-7</v>
      </c>
    </row>
    <row r="313" spans="1:1" x14ac:dyDescent="0.25">
      <c r="A313" s="30">
        <v>1.717708118465429E-7</v>
      </c>
    </row>
    <row r="314" spans="1:1" x14ac:dyDescent="0.25">
      <c r="A314" s="30">
        <v>1.5459373066188861E-7</v>
      </c>
    </row>
    <row r="315" spans="1:1" x14ac:dyDescent="0.25">
      <c r="A315" s="30">
        <v>1.3913435759569975E-7</v>
      </c>
    </row>
    <row r="316" spans="1:1" x14ac:dyDescent="0.25">
      <c r="A316" s="30">
        <v>1.2522092183612977E-7</v>
      </c>
    </row>
    <row r="317" spans="1:1" x14ac:dyDescent="0.25">
      <c r="A317" s="30">
        <v>1.1269882965251679E-7</v>
      </c>
    </row>
    <row r="318" spans="1:1" x14ac:dyDescent="0.25">
      <c r="A318" s="30">
        <v>1.0142894668726512E-7</v>
      </c>
    </row>
    <row r="319" spans="1:1" x14ac:dyDescent="0.25">
      <c r="A319" s="30">
        <v>9.1286052018538604E-8</v>
      </c>
    </row>
    <row r="320" spans="1:1" x14ac:dyDescent="0.25">
      <c r="A320" s="30">
        <v>8.2157446816684752E-8</v>
      </c>
    </row>
    <row r="321" spans="1:1" x14ac:dyDescent="0.25">
      <c r="A321" s="30">
        <v>7.3941702135016276E-8</v>
      </c>
    </row>
    <row r="322" spans="1:1" x14ac:dyDescent="0.25">
      <c r="A322" s="30">
        <v>6.6547531921514646E-8</v>
      </c>
    </row>
    <row r="323" spans="1:1" x14ac:dyDescent="0.25">
      <c r="A323" s="30">
        <v>5.9892778729363178E-8</v>
      </c>
    </row>
    <row r="324" spans="1:1" x14ac:dyDescent="0.25">
      <c r="A324" s="30">
        <v>5.3903500856426864E-8</v>
      </c>
    </row>
    <row r="325" spans="1:1" x14ac:dyDescent="0.25">
      <c r="A325" s="30">
        <v>4.851315077078418E-8</v>
      </c>
    </row>
    <row r="326" spans="1:1" x14ac:dyDescent="0.25">
      <c r="A326" s="30">
        <v>4.3661835693705764E-8</v>
      </c>
    </row>
    <row r="327" spans="1:1" x14ac:dyDescent="0.25">
      <c r="A327" s="30">
        <v>3.929565212433519E-8</v>
      </c>
    </row>
    <row r="328" spans="1:1" x14ac:dyDescent="0.25">
      <c r="A328" s="30">
        <v>3.536608691190167E-8</v>
      </c>
    </row>
    <row r="329" spans="1:1" x14ac:dyDescent="0.25">
      <c r="A329" s="30">
        <v>3.1829478220711501E-8</v>
      </c>
    </row>
    <row r="330" spans="1:1" x14ac:dyDescent="0.25">
      <c r="A330" s="30">
        <v>2.8646530398640351E-8</v>
      </c>
    </row>
    <row r="331" spans="1:1" x14ac:dyDescent="0.25">
      <c r="A331" s="30">
        <v>2.5781877358776315E-8</v>
      </c>
    </row>
    <row r="332" spans="1:1" x14ac:dyDescent="0.25">
      <c r="A332" s="30">
        <v>2.3203689622898683E-8</v>
      </c>
    </row>
    <row r="333" spans="1:1" x14ac:dyDescent="0.25">
      <c r="A333" s="30">
        <v>2.0883320660608816E-8</v>
      </c>
    </row>
    <row r="334" spans="1:1" x14ac:dyDescent="0.25">
      <c r="A334" s="30">
        <v>1.8794988594547934E-8</v>
      </c>
    </row>
    <row r="335" spans="1:1" x14ac:dyDescent="0.25">
      <c r="A335" s="30">
        <v>1.6915489735093139E-8</v>
      </c>
    </row>
    <row r="336" spans="1:1" x14ac:dyDescent="0.25">
      <c r="A336" s="30">
        <v>1.5223940761583825E-8</v>
      </c>
    </row>
    <row r="337" spans="1:1" x14ac:dyDescent="0.25">
      <c r="A337" s="30">
        <v>1.3701546685425444E-8</v>
      </c>
    </row>
    <row r="338" spans="1:1" x14ac:dyDescent="0.25">
      <c r="A338" s="30">
        <v>1.2331392016882899E-8</v>
      </c>
    </row>
    <row r="339" spans="1:1" x14ac:dyDescent="0.25">
      <c r="A339" s="30">
        <v>1.1098252815194609E-8</v>
      </c>
    </row>
    <row r="340" spans="1:1" x14ac:dyDescent="0.25">
      <c r="A340" s="30">
        <v>9.9884275336751485E-9</v>
      </c>
    </row>
    <row r="341" spans="1:1" x14ac:dyDescent="0.25">
      <c r="A341" s="30">
        <v>8.9895847803076335E-9</v>
      </c>
    </row>
    <row r="342" spans="1:1" x14ac:dyDescent="0.25">
      <c r="A342" s="30">
        <v>8.0906263022768703E-9</v>
      </c>
    </row>
    <row r="343" spans="1:1" x14ac:dyDescent="0.25">
      <c r="A343" s="30">
        <v>7.2815636720491835E-9</v>
      </c>
    </row>
    <row r="344" spans="1:1" x14ac:dyDescent="0.25">
      <c r="A344" s="30">
        <v>6.553407304844265E-9</v>
      </c>
    </row>
    <row r="345" spans="1:1" x14ac:dyDescent="0.25">
      <c r="A345" s="30">
        <v>5.8980665743598385E-9</v>
      </c>
    </row>
    <row r="346" spans="1:1" x14ac:dyDescent="0.25">
      <c r="A346" s="30">
        <v>5.3082599169238552E-9</v>
      </c>
    </row>
    <row r="347" spans="1:1" x14ac:dyDescent="0.25">
      <c r="A347" s="30">
        <v>4.7774339252314701E-9</v>
      </c>
    </row>
    <row r="348" spans="1:1" x14ac:dyDescent="0.25">
      <c r="A348" s="30">
        <v>4.2996905327083231E-9</v>
      </c>
    </row>
    <row r="349" spans="1:1" x14ac:dyDescent="0.25">
      <c r="A349" s="30">
        <v>3.8697214794374908E-9</v>
      </c>
    </row>
    <row r="350" spans="1:1" x14ac:dyDescent="0.25">
      <c r="A350" s="30">
        <v>3.4827493314937417E-9</v>
      </c>
    </row>
    <row r="351" spans="1:1" x14ac:dyDescent="0.25">
      <c r="A351" s="30">
        <v>3.1344743983443674E-9</v>
      </c>
    </row>
    <row r="352" spans="1:1" x14ac:dyDescent="0.25">
      <c r="A352" s="30">
        <v>2.8210269585099307E-9</v>
      </c>
    </row>
    <row r="353" spans="1:1" x14ac:dyDescent="0.25">
      <c r="A353" s="30">
        <v>2.5389242626589379E-9</v>
      </c>
    </row>
    <row r="354" spans="1:1" x14ac:dyDescent="0.25">
      <c r="A354" s="30">
        <v>2.285031836393044E-9</v>
      </c>
    </row>
    <row r="355" spans="1:1" x14ac:dyDescent="0.25">
      <c r="A355" s="30">
        <v>2.0565286527537398E-9</v>
      </c>
    </row>
    <row r="356" spans="1:1" x14ac:dyDescent="0.25">
      <c r="A356" s="30">
        <v>1.8508757874783659E-9</v>
      </c>
    </row>
    <row r="357" spans="1:1" x14ac:dyDescent="0.25">
      <c r="A357" s="30">
        <v>1.6657882087305294E-9</v>
      </c>
    </row>
    <row r="358" spans="1:1" x14ac:dyDescent="0.25">
      <c r="A358" s="30">
        <v>1.4992093878574765E-9</v>
      </c>
    </row>
    <row r="359" spans="1:1" x14ac:dyDescent="0.25">
      <c r="A359" s="30">
        <v>1.3492884490717289E-9</v>
      </c>
    </row>
    <row r="360" spans="1:1" x14ac:dyDescent="0.25">
      <c r="A360" s="30">
        <v>1.214359604164556E-9</v>
      </c>
    </row>
    <row r="361" spans="1:1" x14ac:dyDescent="0.25">
      <c r="A361" s="30">
        <v>1.0929236437481004E-9</v>
      </c>
    </row>
    <row r="362" spans="1:1" x14ac:dyDescent="0.25">
      <c r="A362" s="30">
        <v>9.8363127937329029E-10</v>
      </c>
    </row>
    <row r="363" spans="1:1" x14ac:dyDescent="0.25">
      <c r="A363" s="30">
        <v>8.8526815143596126E-10</v>
      </c>
    </row>
    <row r="364" spans="1:1" x14ac:dyDescent="0.25">
      <c r="A364" s="30">
        <v>7.967413362923651E-10</v>
      </c>
    </row>
    <row r="365" spans="1:1" x14ac:dyDescent="0.25">
      <c r="A365" s="30">
        <v>7.1706720266312858E-10</v>
      </c>
    </row>
    <row r="366" spans="1:1" x14ac:dyDescent="0.25">
      <c r="A366" s="30">
        <v>6.4536048239681569E-10</v>
      </c>
    </row>
    <row r="367" spans="1:1" x14ac:dyDescent="0.25">
      <c r="A367" s="30">
        <v>5.8082443415713415E-10</v>
      </c>
    </row>
    <row r="368" spans="1:1" x14ac:dyDescent="0.25">
      <c r="A368" s="30">
        <v>5.2274199074142077E-10</v>
      </c>
    </row>
    <row r="369" spans="1:1" x14ac:dyDescent="0.25">
      <c r="A369" s="30">
        <v>4.7046779166727869E-10</v>
      </c>
    </row>
    <row r="370" spans="1:1" x14ac:dyDescent="0.25">
      <c r="A370" s="30">
        <v>4.2342101250055083E-10</v>
      </c>
    </row>
    <row r="371" spans="1:1" x14ac:dyDescent="0.25">
      <c r="A371" s="30">
        <v>3.8107891125049577E-10</v>
      </c>
    </row>
    <row r="372" spans="1:1" x14ac:dyDescent="0.25">
      <c r="A372" s="30">
        <v>3.4297102012544618E-10</v>
      </c>
    </row>
    <row r="373" spans="1:1" x14ac:dyDescent="0.25">
      <c r="A373" s="30">
        <v>3.0867391811290155E-10</v>
      </c>
    </row>
    <row r="374" spans="1:1" x14ac:dyDescent="0.25">
      <c r="A374" s="30">
        <v>2.7780652630161142E-10</v>
      </c>
    </row>
    <row r="375" spans="1:1" x14ac:dyDescent="0.25">
      <c r="A375" s="30">
        <v>2.5002587367145027E-10</v>
      </c>
    </row>
    <row r="376" spans="1:1" x14ac:dyDescent="0.25">
      <c r="A376" s="30">
        <v>2.2502328630430526E-10</v>
      </c>
    </row>
    <row r="377" spans="1:1" x14ac:dyDescent="0.25">
      <c r="A377" s="30">
        <v>2.0252095767387472E-10</v>
      </c>
    </row>
    <row r="378" spans="1:1" x14ac:dyDescent="0.25">
      <c r="A378" s="30">
        <v>1.8226886190648727E-10</v>
      </c>
    </row>
    <row r="379" spans="1:1" x14ac:dyDescent="0.25">
      <c r="A379" s="30">
        <v>1.6404197571583855E-10</v>
      </c>
    </row>
    <row r="380" spans="1:1" x14ac:dyDescent="0.25">
      <c r="A380" s="30">
        <v>1.4763777814425471E-10</v>
      </c>
    </row>
    <row r="381" spans="1:1" x14ac:dyDescent="0.25">
      <c r="A381" s="30">
        <v>1.3287400032982923E-10</v>
      </c>
    </row>
    <row r="382" spans="1:1" x14ac:dyDescent="0.25">
      <c r="A382" s="30">
        <v>1.1958660029684632E-10</v>
      </c>
    </row>
    <row r="383" spans="1:1" x14ac:dyDescent="0.25">
      <c r="A383" s="30">
        <v>1.0762794026716169E-10</v>
      </c>
    </row>
    <row r="384" spans="1:1" x14ac:dyDescent="0.25">
      <c r="A384" s="30">
        <v>9.686514624044552E-11</v>
      </c>
    </row>
    <row r="385" spans="1:1" x14ac:dyDescent="0.25">
      <c r="A385" s="30">
        <v>8.7178631616400964E-11</v>
      </c>
    </row>
    <row r="386" spans="1:1" x14ac:dyDescent="0.25">
      <c r="A386" s="30">
        <v>7.8460768454760866E-11</v>
      </c>
    </row>
    <row r="387" spans="1:1" x14ac:dyDescent="0.25">
      <c r="A387" s="30">
        <v>7.0614691609284776E-11</v>
      </c>
    </row>
    <row r="388" spans="1:1" x14ac:dyDescent="0.25">
      <c r="A388" s="30">
        <v>6.3553222448356295E-11</v>
      </c>
    </row>
    <row r="389" spans="1:1" x14ac:dyDescent="0.25">
      <c r="A389" s="30">
        <v>5.7197900203520665E-11</v>
      </c>
    </row>
    <row r="390" spans="1:1" x14ac:dyDescent="0.25">
      <c r="A390" s="30">
        <v>5.1478110183168601E-11</v>
      </c>
    </row>
    <row r="391" spans="1:1" x14ac:dyDescent="0.25">
      <c r="A391" s="30">
        <v>4.633029916485174E-11</v>
      </c>
    </row>
    <row r="392" spans="1:1" x14ac:dyDescent="0.25">
      <c r="A392" s="30">
        <v>4.1697269248366565E-11</v>
      </c>
    </row>
    <row r="393" spans="1:1" x14ac:dyDescent="0.25">
      <c r="A393" s="30">
        <v>3.7527542323529907E-11</v>
      </c>
    </row>
    <row r="394" spans="1:1" x14ac:dyDescent="0.25">
      <c r="A394" s="30">
        <v>3.3774788091176915E-11</v>
      </c>
    </row>
    <row r="395" spans="1:1" x14ac:dyDescent="0.25">
      <c r="A395" s="30">
        <v>3.0397309282059222E-11</v>
      </c>
    </row>
    <row r="396" spans="1:1" x14ac:dyDescent="0.25">
      <c r="A396" s="30">
        <v>2.7357578353853301E-11</v>
      </c>
    </row>
    <row r="397" spans="1:1" x14ac:dyDescent="0.25">
      <c r="A397" s="30">
        <v>2.4621820518467972E-11</v>
      </c>
    </row>
    <row r="398" spans="1:1" x14ac:dyDescent="0.25">
      <c r="A398" s="30">
        <v>2.2159638466621177E-11</v>
      </c>
    </row>
    <row r="399" spans="1:1" x14ac:dyDescent="0.25">
      <c r="A399" s="30">
        <v>1.994367461995906E-11</v>
      </c>
    </row>
    <row r="400" spans="1:1" x14ac:dyDescent="0.25">
      <c r="A400" s="30">
        <v>1.7949307157963154E-11</v>
      </c>
    </row>
    <row r="401" spans="1:1" x14ac:dyDescent="0.25">
      <c r="A401" s="30">
        <v>1.615437644216684E-11</v>
      </c>
    </row>
    <row r="402" spans="1:1" x14ac:dyDescent="0.25">
      <c r="A402" s="30">
        <v>1.4538938797950156E-11</v>
      </c>
    </row>
    <row r="403" spans="1:1" x14ac:dyDescent="0.25">
      <c r="A403" s="30">
        <v>1.308504491815514E-11</v>
      </c>
    </row>
    <row r="404" spans="1:1" x14ac:dyDescent="0.25">
      <c r="A404" s="30">
        <v>1.1776540426339626E-11</v>
      </c>
    </row>
    <row r="405" spans="1:1" x14ac:dyDescent="0.25">
      <c r="A405" s="30">
        <v>1.0598886383705664E-11</v>
      </c>
    </row>
    <row r="406" spans="1:1" x14ac:dyDescent="0.25">
      <c r="A406" s="30">
        <v>9.5389977453350987E-12</v>
      </c>
    </row>
    <row r="407" spans="1:1" x14ac:dyDescent="0.25">
      <c r="A407" s="30">
        <v>8.5850979708015893E-12</v>
      </c>
    </row>
    <row r="408" spans="1:1" x14ac:dyDescent="0.25">
      <c r="A408" s="30">
        <v>7.7265881737214303E-12</v>
      </c>
    </row>
    <row r="409" spans="1:1" x14ac:dyDescent="0.25">
      <c r="A409" s="30">
        <v>6.9539293563492874E-12</v>
      </c>
    </row>
    <row r="410" spans="1:1" x14ac:dyDescent="0.25">
      <c r="A410" s="30">
        <v>6.2585364207143591E-12</v>
      </c>
    </row>
    <row r="411" spans="1:1" x14ac:dyDescent="0.25">
      <c r="A411" s="30">
        <v>5.632682778642923E-12</v>
      </c>
    </row>
    <row r="412" spans="1:1" x14ac:dyDescent="0.25">
      <c r="A412" s="30">
        <v>5.0694145007786311E-12</v>
      </c>
    </row>
    <row r="413" spans="1:1" x14ac:dyDescent="0.25">
      <c r="A413" s="30">
        <v>4.5624730507007684E-12</v>
      </c>
    </row>
    <row r="414" spans="1:1" x14ac:dyDescent="0.25">
      <c r="A414" s="30">
        <v>4.1062257456306914E-12</v>
      </c>
    </row>
    <row r="415" spans="1:1" x14ac:dyDescent="0.25">
      <c r="A415" s="30">
        <v>3.6956031710676221E-12</v>
      </c>
    </row>
    <row r="416" spans="1:1" x14ac:dyDescent="0.25">
      <c r="A416" s="30">
        <v>3.3260428539608601E-12</v>
      </c>
    </row>
    <row r="417" spans="1:1" x14ac:dyDescent="0.25">
      <c r="A417" s="30">
        <v>2.9934385685647741E-12</v>
      </c>
    </row>
    <row r="418" spans="1:1" x14ac:dyDescent="0.25">
      <c r="A418" s="30">
        <v>2.6940947117082966E-12</v>
      </c>
    </row>
    <row r="419" spans="1:1" x14ac:dyDescent="0.25">
      <c r="A419" s="30">
        <v>2.4246852405374669E-12</v>
      </c>
    </row>
    <row r="420" spans="1:1" x14ac:dyDescent="0.25">
      <c r="A420" s="30">
        <v>2.1822167164837201E-12</v>
      </c>
    </row>
    <row r="421" spans="1:1" x14ac:dyDescent="0.25">
      <c r="A421" s="30">
        <v>1.9639950448353481E-12</v>
      </c>
    </row>
    <row r="422" spans="1:1" x14ac:dyDescent="0.25">
      <c r="A422" s="30">
        <v>1.7675955403518133E-12</v>
      </c>
    </row>
    <row r="423" spans="1:1" x14ac:dyDescent="0.25">
      <c r="A423" s="30">
        <v>1.5908359863166319E-12</v>
      </c>
    </row>
    <row r="424" spans="1:1" x14ac:dyDescent="0.25">
      <c r="A424" s="30">
        <v>1.4317523876849688E-12</v>
      </c>
    </row>
    <row r="425" spans="1:1" x14ac:dyDescent="0.25">
      <c r="A425" s="30">
        <v>1.2885771489164719E-12</v>
      </c>
    </row>
    <row r="426" spans="1:1" x14ac:dyDescent="0.25">
      <c r="A426" s="30">
        <v>1.1597194340248247E-12</v>
      </c>
    </row>
    <row r="427" spans="1:1" x14ac:dyDescent="0.25">
      <c r="A427" s="30">
        <v>1.0437474906223423E-12</v>
      </c>
    </row>
    <row r="428" spans="1:1" x14ac:dyDescent="0.25">
      <c r="A428" s="30">
        <v>9.3937274156010802E-13</v>
      </c>
    </row>
    <row r="429" spans="1:1" x14ac:dyDescent="0.25">
      <c r="A429" s="30">
        <v>8.4543546740409726E-13</v>
      </c>
    </row>
    <row r="430" spans="1:1" x14ac:dyDescent="0.25">
      <c r="A430" s="30">
        <v>7.608919206636876E-13</v>
      </c>
    </row>
    <row r="431" spans="1:1" x14ac:dyDescent="0.25">
      <c r="A431" s="30">
        <v>6.8480272859731885E-13</v>
      </c>
    </row>
    <row r="432" spans="1:1" x14ac:dyDescent="0.25">
      <c r="A432" s="30">
        <v>6.16322455737587E-13</v>
      </c>
    </row>
    <row r="433" spans="1:1" x14ac:dyDescent="0.25">
      <c r="A433" s="30">
        <v>5.5469021016382834E-13</v>
      </c>
    </row>
    <row r="434" spans="1:1" x14ac:dyDescent="0.25">
      <c r="A434" s="30">
        <v>4.9922118914744555E-13</v>
      </c>
    </row>
    <row r="435" spans="1:1" x14ac:dyDescent="0.25">
      <c r="A435" s="30">
        <v>4.4929907023270098E-13</v>
      </c>
    </row>
    <row r="436" spans="1:1" x14ac:dyDescent="0.25">
      <c r="A436" s="30">
        <v>4.0436916320943091E-13</v>
      </c>
    </row>
    <row r="437" spans="1:1" x14ac:dyDescent="0.25">
      <c r="A437" s="30">
        <v>3.6393224688848781E-13</v>
      </c>
    </row>
    <row r="438" spans="1:1" x14ac:dyDescent="0.25">
      <c r="A438" s="30">
        <v>3.2753902219963903E-13</v>
      </c>
    </row>
    <row r="439" spans="1:1" x14ac:dyDescent="0.25">
      <c r="A439" s="30">
        <v>2.9478511997967513E-13</v>
      </c>
    </row>
    <row r="440" spans="1:1" x14ac:dyDescent="0.25">
      <c r="A440" s="30">
        <v>2.6530660798170763E-13</v>
      </c>
    </row>
    <row r="441" spans="1:1" x14ac:dyDescent="0.25">
      <c r="A441" s="30">
        <v>2.3877594718353686E-13</v>
      </c>
    </row>
    <row r="442" spans="1:1" x14ac:dyDescent="0.25">
      <c r="A442" s="30">
        <v>2.1489835246518316E-13</v>
      </c>
    </row>
    <row r="443" spans="1:1" x14ac:dyDescent="0.25">
      <c r="A443" s="30">
        <v>1.9340851721866486E-13</v>
      </c>
    </row>
    <row r="444" spans="1:1" x14ac:dyDescent="0.25">
      <c r="A444" s="30">
        <v>1.7406766549679839E-13</v>
      </c>
    </row>
    <row r="445" spans="1:1" x14ac:dyDescent="0.25">
      <c r="A445" s="30">
        <v>1.5666089894711856E-13</v>
      </c>
    </row>
    <row r="446" spans="1:1" x14ac:dyDescent="0.25">
      <c r="A446" s="30">
        <v>1.4099480905240672E-13</v>
      </c>
    </row>
    <row r="447" spans="1:1" x14ac:dyDescent="0.25">
      <c r="A447" s="30">
        <v>1.2689532814716606E-13</v>
      </c>
    </row>
    <row r="448" spans="1:1" x14ac:dyDescent="0.25">
      <c r="A448" s="30">
        <v>1.1420579533244944E-13</v>
      </c>
    </row>
    <row r="449" spans="1:1" x14ac:dyDescent="0.25">
      <c r="A449" s="30">
        <v>1.0278521579920451E-13</v>
      </c>
    </row>
    <row r="450" spans="1:1" x14ac:dyDescent="0.25">
      <c r="A450" s="30">
        <v>9.2506694219284062E-14</v>
      </c>
    </row>
    <row r="451" spans="1:1" x14ac:dyDescent="0.25">
      <c r="A451" s="30">
        <v>8.3256024797355662E-14</v>
      </c>
    </row>
    <row r="452" spans="1:1" x14ac:dyDescent="0.25">
      <c r="A452" s="30">
        <v>7.4930422317620103E-14</v>
      </c>
    </row>
    <row r="453" spans="1:1" x14ac:dyDescent="0.25">
      <c r="A453" s="30">
        <v>6.7437380085858099E-14</v>
      </c>
    </row>
    <row r="454" spans="1:1" x14ac:dyDescent="0.25">
      <c r="A454" s="30">
        <v>6.0693642077272288E-14</v>
      </c>
    </row>
    <row r="455" spans="1:1" x14ac:dyDescent="0.25">
      <c r="A455" s="30">
        <v>5.4624277869545061E-14</v>
      </c>
    </row>
    <row r="456" spans="1:1" x14ac:dyDescent="0.25">
      <c r="A456" s="30">
        <v>4.9161850082590553E-14</v>
      </c>
    </row>
    <row r="457" spans="1:1" x14ac:dyDescent="0.25">
      <c r="A457" s="30">
        <v>4.4245665074331497E-14</v>
      </c>
    </row>
    <row r="458" spans="1:1" x14ac:dyDescent="0.25">
      <c r="A458" s="30">
        <v>3.9821098566898348E-14</v>
      </c>
    </row>
    <row r="459" spans="1:1" x14ac:dyDescent="0.25">
      <c r="A459" s="30">
        <v>3.5838988710208514E-14</v>
      </c>
    </row>
    <row r="460" spans="1:1" x14ac:dyDescent="0.25">
      <c r="A460" s="30">
        <v>3.2255089839187663E-14</v>
      </c>
    </row>
    <row r="461" spans="1:1" x14ac:dyDescent="0.25">
      <c r="A461" s="30">
        <v>2.9029580855268898E-14</v>
      </c>
    </row>
    <row r="462" spans="1:1" x14ac:dyDescent="0.25">
      <c r="A462" s="30">
        <v>2.612662276974201E-14</v>
      </c>
    </row>
    <row r="463" spans="1:1" x14ac:dyDescent="0.25">
      <c r="A463" s="30">
        <v>2.3513960492767811E-14</v>
      </c>
    </row>
    <row r="464" spans="1:1" x14ac:dyDescent="0.25">
      <c r="A464" s="30">
        <v>2.1162564443491029E-14</v>
      </c>
    </row>
    <row r="465" spans="1:1" x14ac:dyDescent="0.25">
      <c r="A465" s="30">
        <v>1.9046307999141925E-14</v>
      </c>
    </row>
    <row r="466" spans="1:1" x14ac:dyDescent="0.25">
      <c r="A466" s="30">
        <v>1.7141677199227731E-14</v>
      </c>
    </row>
    <row r="467" spans="1:1" x14ac:dyDescent="0.25">
      <c r="A467" s="30">
        <v>1.5427509479304957E-14</v>
      </c>
    </row>
    <row r="468" spans="1:1" x14ac:dyDescent="0.25">
      <c r="A468" s="30">
        <v>1.3884758531374462E-14</v>
      </c>
    </row>
    <row r="469" spans="1:1" x14ac:dyDescent="0.25">
      <c r="A469" s="30">
        <v>1.2496282678237016E-14</v>
      </c>
    </row>
    <row r="470" spans="1:1" x14ac:dyDescent="0.25">
      <c r="A470" s="30">
        <v>1.1246654410413315E-14</v>
      </c>
    </row>
    <row r="471" spans="1:1" x14ac:dyDescent="0.25">
      <c r="A471" s="30">
        <v>1.0121988969371984E-14</v>
      </c>
    </row>
    <row r="472" spans="1:1" x14ac:dyDescent="0.25">
      <c r="A472" s="30">
        <v>9.1097900724347861E-15</v>
      </c>
    </row>
    <row r="473" spans="1:1" x14ac:dyDescent="0.25">
      <c r="A473" s="30">
        <v>8.1988110651913077E-15</v>
      </c>
    </row>
    <row r="474" spans="1:1" x14ac:dyDescent="0.25">
      <c r="A474" s="30">
        <v>7.3789299586721777E-15</v>
      </c>
    </row>
    <row r="475" spans="1:1" x14ac:dyDescent="0.25">
      <c r="A475" s="30">
        <v>6.6410369628049599E-15</v>
      </c>
    </row>
    <row r="476" spans="1:1" x14ac:dyDescent="0.25">
      <c r="A476" s="30">
        <v>5.9769332665244643E-15</v>
      </c>
    </row>
    <row r="477" spans="1:1" x14ac:dyDescent="0.25">
      <c r="A477" s="30">
        <v>5.3792399398720178E-15</v>
      </c>
    </row>
    <row r="478" spans="1:1" x14ac:dyDescent="0.25">
      <c r="A478" s="30">
        <v>4.8413159458848159E-15</v>
      </c>
    </row>
    <row r="479" spans="1:1" x14ac:dyDescent="0.25">
      <c r="A479" s="30">
        <v>4.3571843512963347E-15</v>
      </c>
    </row>
    <row r="480" spans="1:1" x14ac:dyDescent="0.25">
      <c r="A480" s="30">
        <v>3.921465916166701E-15</v>
      </c>
    </row>
    <row r="481" spans="1:1" x14ac:dyDescent="0.25">
      <c r="A481" s="30">
        <v>3.529319324550031E-15</v>
      </c>
    </row>
    <row r="482" spans="1:1" x14ac:dyDescent="0.25">
      <c r="A482" s="30">
        <v>3.176387392095028E-15</v>
      </c>
    </row>
    <row r="483" spans="1:1" x14ac:dyDescent="0.25">
      <c r="A483" s="30">
        <v>2.8587486528855254E-15</v>
      </c>
    </row>
    <row r="484" spans="1:1" x14ac:dyDescent="0.25">
      <c r="A484" s="30">
        <v>2.5728737875969727E-15</v>
      </c>
    </row>
    <row r="485" spans="1:1" x14ac:dyDescent="0.25">
      <c r="A485" s="30">
        <v>2.3155864088372755E-15</v>
      </c>
    </row>
    <row r="486" spans="1:1" x14ac:dyDescent="0.25">
      <c r="A486" s="30">
        <v>2.0840277679535482E-15</v>
      </c>
    </row>
    <row r="487" spans="1:1" x14ac:dyDescent="0.25">
      <c r="A487" s="30">
        <v>1.8756249911581935E-15</v>
      </c>
    </row>
    <row r="488" spans="1:1" x14ac:dyDescent="0.25">
      <c r="A488" s="30">
        <v>1.6880624920423743E-15</v>
      </c>
    </row>
    <row r="489" spans="1:1" x14ac:dyDescent="0.25">
      <c r="A489" s="30">
        <v>1.519256242838137E-15</v>
      </c>
    </row>
    <row r="490" spans="1:1" x14ac:dyDescent="0.25">
      <c r="A490" s="30">
        <v>1.3673306185543234E-15</v>
      </c>
    </row>
    <row r="491" spans="1:1" x14ac:dyDescent="0.25">
      <c r="A491" s="30">
        <v>1.230597556698891E-15</v>
      </c>
    </row>
    <row r="492" spans="1:1" x14ac:dyDescent="0.25">
      <c r="A492" s="30">
        <v>1.1075378010290018E-15</v>
      </c>
    </row>
    <row r="493" spans="1:1" x14ac:dyDescent="0.25">
      <c r="A493" s="30">
        <v>9.9678402092610166E-16</v>
      </c>
    </row>
    <row r="494" spans="1:1" x14ac:dyDescent="0.25">
      <c r="A494" s="30">
        <v>8.9710561883349156E-16</v>
      </c>
    </row>
    <row r="495" spans="1:1" x14ac:dyDescent="0.25">
      <c r="A495" s="30">
        <v>8.0739505695014242E-16</v>
      </c>
    </row>
    <row r="496" spans="1:1" x14ac:dyDescent="0.25">
      <c r="A496" s="30">
        <v>7.2665555125512816E-16</v>
      </c>
    </row>
    <row r="497" spans="1:1" x14ac:dyDescent="0.25">
      <c r="A497" s="30">
        <v>6.5398999612961539E-16</v>
      </c>
    </row>
    <row r="498" spans="1:1" x14ac:dyDescent="0.25">
      <c r="A498" s="30">
        <v>5.885909965166539E-16</v>
      </c>
    </row>
    <row r="499" spans="1:1" x14ac:dyDescent="0.25">
      <c r="A499" s="30">
        <v>5.2973189686498855E-16</v>
      </c>
    </row>
    <row r="500" spans="1:1" x14ac:dyDescent="0.25">
      <c r="A500" s="30">
        <v>4.767587071784897E-16</v>
      </c>
    </row>
    <row r="501" spans="1:1" x14ac:dyDescent="0.25">
      <c r="A501" s="30">
        <v>4.2908283646064075E-16</v>
      </c>
    </row>
    <row r="502" spans="1:1" x14ac:dyDescent="0.25">
      <c r="A502" s="30">
        <v>3.8617455281457667E-16</v>
      </c>
    </row>
    <row r="503" spans="1:1" x14ac:dyDescent="0.25">
      <c r="A503" s="30">
        <v>3.47557097533119E-16</v>
      </c>
    </row>
    <row r="504" spans="1:1" x14ac:dyDescent="0.25">
      <c r="A504" s="30">
        <v>3.1280138777980711E-16</v>
      </c>
    </row>
    <row r="505" spans="1:1" x14ac:dyDescent="0.25">
      <c r="A505" s="30">
        <v>2.815212490018264E-16</v>
      </c>
    </row>
    <row r="506" spans="1:1" x14ac:dyDescent="0.25">
      <c r="A506" s="30">
        <v>2.5336912410164374E-16</v>
      </c>
    </row>
    <row r="507" spans="1:1" x14ac:dyDescent="0.25">
      <c r="A507" s="30">
        <v>2.2803221169147938E-16</v>
      </c>
    </row>
    <row r="508" spans="1:1" x14ac:dyDescent="0.25">
      <c r="A508" s="30">
        <v>2.0522899052233145E-16</v>
      </c>
    </row>
    <row r="509" spans="1:1" x14ac:dyDescent="0.25">
      <c r="A509" s="30">
        <v>1.8470609147009832E-16</v>
      </c>
    </row>
    <row r="510" spans="1:1" x14ac:dyDescent="0.25">
      <c r="A510" s="30">
        <v>1.6623548232308849E-16</v>
      </c>
    </row>
    <row r="511" spans="1:1" x14ac:dyDescent="0.25">
      <c r="A511" s="30">
        <v>1.4961193409077965E-16</v>
      </c>
    </row>
    <row r="512" spans="1:1" x14ac:dyDescent="0.25">
      <c r="A512" s="30">
        <v>1.3465074068170169E-16</v>
      </c>
    </row>
    <row r="513" spans="1:1" x14ac:dyDescent="0.25">
      <c r="A513" s="30">
        <v>1.2118566661353153E-16</v>
      </c>
    </row>
    <row r="514" spans="1:1" x14ac:dyDescent="0.25">
      <c r="A514" s="30">
        <v>1.0906709995217838E-16</v>
      </c>
    </row>
    <row r="515" spans="1:1" x14ac:dyDescent="0.25">
      <c r="A515" s="30">
        <v>9.8160389956960543E-17</v>
      </c>
    </row>
    <row r="516" spans="1:1" x14ac:dyDescent="0.25">
      <c r="A516" s="30">
        <v>8.8344350961264486E-17</v>
      </c>
    </row>
    <row r="517" spans="1:1" x14ac:dyDescent="0.25">
      <c r="A517" s="30">
        <v>7.9509915865138035E-17</v>
      </c>
    </row>
    <row r="518" spans="1:1" x14ac:dyDescent="0.25">
      <c r="A518" s="30">
        <v>7.1558924278624229E-17</v>
      </c>
    </row>
    <row r="519" spans="1:1" x14ac:dyDescent="0.25">
      <c r="A519" s="30">
        <v>6.440303185076181E-17</v>
      </c>
    </row>
    <row r="520" spans="1:1" x14ac:dyDescent="0.25">
      <c r="A520" s="30">
        <v>5.7962728665685633E-17</v>
      </c>
    </row>
    <row r="521" spans="1:1" x14ac:dyDescent="0.25">
      <c r="A521" s="30">
        <v>5.2166455799117073E-17</v>
      </c>
    </row>
    <row r="522" spans="1:1" x14ac:dyDescent="0.25">
      <c r="A522" s="30">
        <v>4.6949810219205366E-17</v>
      </c>
    </row>
    <row r="523" spans="1:1" x14ac:dyDescent="0.25">
      <c r="A523" s="30">
        <v>4.2254829197284832E-17</v>
      </c>
    </row>
    <row r="524" spans="1:1" x14ac:dyDescent="0.25">
      <c r="A524" s="30">
        <v>3.8029346277556347E-17</v>
      </c>
    </row>
    <row r="525" spans="1:1" x14ac:dyDescent="0.25">
      <c r="A525" s="30">
        <v>3.4226411649800712E-17</v>
      </c>
    </row>
    <row r="526" spans="1:1" x14ac:dyDescent="0.25">
      <c r="A526" s="30">
        <v>3.0803770484820639E-17</v>
      </c>
    </row>
  </sheetData>
  <conditionalFormatting sqref="C136">
    <cfRule type="cellIs" dxfId="31" priority="1469" operator="equal">
      <formula>$U$1</formula>
    </cfRule>
    <cfRule type="cellIs" dxfId="30" priority="1470" operator="equal">
      <formula>$S$1</formula>
    </cfRule>
  </conditionalFormatting>
  <conditionalFormatting sqref="D136">
    <cfRule type="cellIs" dxfId="29" priority="1467" operator="equal">
      <formula>$S$1</formula>
    </cfRule>
    <cfRule type="cellIs" dxfId="28" priority="1468" operator="equal">
      <formula>$U$1</formula>
    </cfRule>
  </conditionalFormatting>
  <conditionalFormatting sqref="C102">
    <cfRule type="cellIs" dxfId="27" priority="1465" operator="equal">
      <formula>$U$1</formula>
    </cfRule>
    <cfRule type="cellIs" dxfId="26" priority="1466" operator="equal">
      <formula>$S$1</formula>
    </cfRule>
  </conditionalFormatting>
  <conditionalFormatting sqref="D102">
    <cfRule type="cellIs" dxfId="25" priority="1463" operator="equal">
      <formula>$S$1</formula>
    </cfRule>
    <cfRule type="cellIs" dxfId="24" priority="1464" operator="equal">
      <formula>$U$1</formula>
    </cfRule>
  </conditionalFormatting>
  <conditionalFormatting sqref="C77">
    <cfRule type="cellIs" dxfId="23" priority="1461" operator="equal">
      <formula>$U$1</formula>
    </cfRule>
    <cfRule type="cellIs" dxfId="22" priority="1462" operator="equal">
      <formula>$S$1</formula>
    </cfRule>
  </conditionalFormatting>
  <conditionalFormatting sqref="D77">
    <cfRule type="cellIs" dxfId="21" priority="1459" operator="equal">
      <formula>$S$1</formula>
    </cfRule>
    <cfRule type="cellIs" dxfId="20" priority="1460" operator="equal">
      <formula>$U$1</formula>
    </cfRule>
  </conditionalFormatting>
  <conditionalFormatting sqref="C52">
    <cfRule type="cellIs" dxfId="19" priority="1457" operator="equal">
      <formula>$U$1</formula>
    </cfRule>
    <cfRule type="cellIs" dxfId="18" priority="1458" operator="equal">
      <formula>$S$1</formula>
    </cfRule>
  </conditionalFormatting>
  <conditionalFormatting sqref="D52">
    <cfRule type="cellIs" dxfId="17" priority="1455" operator="equal">
      <formula>$S$1</formula>
    </cfRule>
    <cfRule type="cellIs" dxfId="16" priority="1456" operator="equal">
      <formula>$U$1</formula>
    </cfRule>
  </conditionalFormatting>
  <conditionalFormatting sqref="C26">
    <cfRule type="cellIs" dxfId="15" priority="1453" operator="equal">
      <formula>$U$1</formula>
    </cfRule>
    <cfRule type="cellIs" dxfId="14" priority="1454" operator="equal">
      <formula>$S$1</formula>
    </cfRule>
  </conditionalFormatting>
  <conditionalFormatting sqref="D26">
    <cfRule type="cellIs" dxfId="13" priority="1451" operator="equal">
      <formula>$S$1</formula>
    </cfRule>
    <cfRule type="cellIs" dxfId="12" priority="1452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G3" sqref="G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6" t="s">
        <v>17</v>
      </c>
      <c r="C1" s="36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0.53032135064529184</v>
      </c>
      <c r="F3" s="30">
        <v>0.55683741817755672</v>
      </c>
      <c r="G3" s="30">
        <v>1.1025</v>
      </c>
      <c r="H3" s="25">
        <f>IF(G3="","",(3*(G3-F3))+E3)</f>
        <v>2.1673090961126218</v>
      </c>
      <c r="I3" s="7"/>
      <c r="J3" s="7">
        <f>(E3+G3)/2</f>
        <v>0.81641067532264588</v>
      </c>
      <c r="K3" s="7">
        <f>H3/2</f>
        <v>1.0836545480563109</v>
      </c>
      <c r="M3" s="26">
        <f>IF(OR(J3="",H3=""),"",H3/J3)</f>
        <v>2.6546800055696238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2022-01-28T01:23:42Z</dcterms:modified>
</cp:coreProperties>
</file>