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C1C4999-90AF-4C58-B77F-99008551C18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16" i="5"/>
  <c r="C116" i="4"/>
  <c r="C122" i="4"/>
  <c r="C133" i="4" s="1"/>
  <c r="D136" i="4" s="1"/>
  <c r="C122" i="3"/>
  <c r="C133" i="3" s="1"/>
  <c r="C136" i="3" s="1"/>
  <c r="C118" i="3"/>
  <c r="R765" i="1"/>
  <c r="C136" i="5"/>
  <c r="C138" i="5" s="1"/>
  <c r="C136" i="4" l="1"/>
  <c r="C138" i="4" s="1"/>
  <c r="D136" i="3"/>
  <c r="C138" i="3" s="1"/>
  <c r="R764" i="1"/>
  <c r="S765" i="1"/>
  <c r="T765" i="1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R711" i="1" l="1"/>
  <c r="S712" i="1"/>
  <c r="T712" i="1" s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S524" i="1" l="1"/>
  <c r="T524" i="1" s="1"/>
  <c r="R523" i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S508" i="1" l="1"/>
  <c r="T508" i="1" s="1"/>
  <c r="R507" i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<sst xmlns="http://schemas.openxmlformats.org/spreadsheetml/2006/main" count="5731" uniqueCount="34">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</sst>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0.55469999999999997</c:v>
                </c:pt>
                <c:pt idx="1">
                  <c:v>0.56889999999999996</c:v>
                </c:pt>
                <c:pt idx="2">
                  <c:v>0.59630000000000005</c:v>
                </c:pt>
                <c:pt idx="3">
                  <c:v>0.58199999999999996</c:v>
                </c:pt>
                <c:pt idx="4">
                  <c:v>0.63570000000000004</c:v>
                </c:pt>
                <c:pt idx="5">
                  <c:v>0.62739999999999996</c:v>
                </c:pt>
                <c:pt idx="6">
                  <c:v>0.64159999999999995</c:v>
                </c:pt>
                <c:pt idx="7">
                  <c:v>0.75160000000000005</c:v>
                </c:pt>
                <c:pt idx="8">
                  <c:v>0.75329999999999997</c:v>
                </c:pt>
                <c:pt idx="9">
                  <c:v>0.77129999999999999</c:v>
                </c:pt>
                <c:pt idx="10">
                  <c:v>0.7883</c:v>
                </c:pt>
                <c:pt idx="11">
                  <c:v>0.82479999999999998</c:v>
                </c:pt>
                <c:pt idx="12">
                  <c:v>0.82330000000000003</c:v>
                </c:pt>
                <c:pt idx="13">
                  <c:v>0.79769999999999996</c:v>
                </c:pt>
                <c:pt idx="14">
                  <c:v>0.75</c:v>
                </c:pt>
                <c:pt idx="15">
                  <c:v>0.79520000000000002</c:v>
                </c:pt>
                <c:pt idx="16">
                  <c:v>0.74560000000000004</c:v>
                </c:pt>
                <c:pt idx="17">
                  <c:v>0.70509999999999995</c:v>
                </c:pt>
                <c:pt idx="18">
                  <c:v>0.74009999999999998</c:v>
                </c:pt>
                <c:pt idx="19">
                  <c:v>0.72360000000000002</c:v>
                </c:pt>
                <c:pt idx="20">
                  <c:v>0.75660000000000005</c:v>
                </c:pt>
                <c:pt idx="21">
                  <c:v>0.82609999999999995</c:v>
                </c:pt>
                <c:pt idx="22">
                  <c:v>0.86450000000000005</c:v>
                </c:pt>
                <c:pt idx="23">
                  <c:v>0.94740000000000002</c:v>
                </c:pt>
                <c:pt idx="24">
                  <c:v>0.91590000000000005</c:v>
                </c:pt>
                <c:pt idx="25">
                  <c:v>0.90259999999999996</c:v>
                </c:pt>
                <c:pt idx="26">
                  <c:v>0.89329999999999998</c:v>
                </c:pt>
                <c:pt idx="27">
                  <c:v>0.85609999999999997</c:v>
                </c:pt>
                <c:pt idx="28">
                  <c:v>0.86819999999999997</c:v>
                </c:pt>
                <c:pt idx="29">
                  <c:v>0.83640000000000003</c:v>
                </c:pt>
                <c:pt idx="30">
                  <c:v>0.87380000000000002</c:v>
                </c:pt>
                <c:pt idx="31">
                  <c:v>0.97170000000000001</c:v>
                </c:pt>
                <c:pt idx="32">
                  <c:v>0.95120000000000005</c:v>
                </c:pt>
                <c:pt idx="33">
                  <c:v>0.96809999999999996</c:v>
                </c:pt>
                <c:pt idx="34">
                  <c:v>0.91610000000000003</c:v>
                </c:pt>
                <c:pt idx="35">
                  <c:v>0.94750000000000001</c:v>
                </c:pt>
                <c:pt idx="36">
                  <c:v>0.98209999999999997</c:v>
                </c:pt>
                <c:pt idx="37">
                  <c:v>0.78059999999999996</c:v>
                </c:pt>
                <c:pt idx="38">
                  <c:v>0.75449999999999995</c:v>
                </c:pt>
                <c:pt idx="39">
                  <c:v>0.77300000000000002</c:v>
                </c:pt>
                <c:pt idx="40">
                  <c:v>0.78910000000000002</c:v>
                </c:pt>
                <c:pt idx="41">
                  <c:v>0.77439999999999998</c:v>
                </c:pt>
                <c:pt idx="42">
                  <c:v>0.80369999999999997</c:v>
                </c:pt>
                <c:pt idx="43">
                  <c:v>0.80689999999999995</c:v>
                </c:pt>
                <c:pt idx="44">
                  <c:v>0.79379999999999995</c:v>
                </c:pt>
                <c:pt idx="45">
                  <c:v>0.76949999999999996</c:v>
                </c:pt>
                <c:pt idx="46">
                  <c:v>0.86709999999999998</c:v>
                </c:pt>
                <c:pt idx="47">
                  <c:v>0.82769999999999999</c:v>
                </c:pt>
                <c:pt idx="48">
                  <c:v>0.82799999999999996</c:v>
                </c:pt>
                <c:pt idx="49">
                  <c:v>0.89059999999999995</c:v>
                </c:pt>
                <c:pt idx="50">
                  <c:v>0.94140000000000001</c:v>
                </c:pt>
                <c:pt idx="51">
                  <c:v>0.90769999999999995</c:v>
                </c:pt>
                <c:pt idx="52">
                  <c:v>0.95189999999999997</c:v>
                </c:pt>
                <c:pt idx="53">
                  <c:v>0.94689999999999996</c:v>
                </c:pt>
                <c:pt idx="54">
                  <c:v>1.0474000000000001</c:v>
                </c:pt>
                <c:pt idx="55">
                  <c:v>1.2495000000000001</c:v>
                </c:pt>
                <c:pt idx="56">
                  <c:v>1.2250000000000001</c:v>
                </c:pt>
                <c:pt idx="57">
                  <c:v>1.2473000000000001</c:v>
                </c:pt>
                <c:pt idx="58">
                  <c:v>1.2813000000000001</c:v>
                </c:pt>
                <c:pt idx="59">
                  <c:v>1.0528999999999999</c:v>
                </c:pt>
                <c:pt idx="60">
                  <c:v>1.085</c:v>
                </c:pt>
                <c:pt idx="61">
                  <c:v>1.1473</c:v>
                </c:pt>
                <c:pt idx="62">
                  <c:v>1.1877</c:v>
                </c:pt>
                <c:pt idx="63">
                  <c:v>1.0095000000000001</c:v>
                </c:pt>
                <c:pt idx="64">
                  <c:v>1.0597000000000001</c:v>
                </c:pt>
                <c:pt idx="65">
                  <c:v>1.1141000000000001</c:v>
                </c:pt>
                <c:pt idx="66">
                  <c:v>1.0288999999999999</c:v>
                </c:pt>
                <c:pt idx="67">
                  <c:v>1.0005999999999999</c:v>
                </c:pt>
                <c:pt idx="68">
                  <c:v>0.92200000000000004</c:v>
                </c:pt>
                <c:pt idx="69">
                  <c:v>0.89910000000000001</c:v>
                </c:pt>
                <c:pt idx="70">
                  <c:v>0.80210000000000004</c:v>
                </c:pt>
                <c:pt idx="71">
                  <c:v>0.85850000000000004</c:v>
                </c:pt>
                <c:pt idx="72">
                  <c:v>0.84130000000000005</c:v>
                </c:pt>
                <c:pt idx="73">
                  <c:v>0.90769999999999995</c:v>
                </c:pt>
                <c:pt idx="74">
                  <c:v>0.93169999999999997</c:v>
                </c:pt>
                <c:pt idx="75">
                  <c:v>0.94630000000000003</c:v>
                </c:pt>
                <c:pt idx="76">
                  <c:v>0.90600000000000003</c:v>
                </c:pt>
                <c:pt idx="77">
                  <c:v>0.92820000000000003</c:v>
                </c:pt>
                <c:pt idx="78">
                  <c:v>0.88939999999999997</c:v>
                </c:pt>
                <c:pt idx="79">
                  <c:v>0.97299999999999998</c:v>
                </c:pt>
                <c:pt idx="80">
                  <c:v>1.0053000000000001</c:v>
                </c:pt>
                <c:pt idx="81">
                  <c:v>0.96350000000000002</c:v>
                </c:pt>
                <c:pt idx="82">
                  <c:v>0.94320000000000004</c:v>
                </c:pt>
                <c:pt idx="83">
                  <c:v>0.94579999999999997</c:v>
                </c:pt>
                <c:pt idx="84">
                  <c:v>0.97960000000000003</c:v>
                </c:pt>
                <c:pt idx="85">
                  <c:v>1.0146999999999999</c:v>
                </c:pt>
                <c:pt idx="86">
                  <c:v>1.0657000000000001</c:v>
                </c:pt>
                <c:pt idx="87">
                  <c:v>1.2101</c:v>
                </c:pt>
                <c:pt idx="88">
                  <c:v>0.88029999999999997</c:v>
                </c:pt>
                <c:pt idx="89">
                  <c:v>0.81030000000000002</c:v>
                </c:pt>
                <c:pt idx="90">
                  <c:v>0.83450000000000002</c:v>
                </c:pt>
                <c:pt idx="91">
                  <c:v>0.82450000000000001</c:v>
                </c:pt>
                <c:pt idx="92">
                  <c:v>0.79749999999999999</c:v>
                </c:pt>
                <c:pt idx="93">
                  <c:v>0.92559999999999998</c:v>
                </c:pt>
                <c:pt idx="94">
                  <c:v>0.90329999999999999</c:v>
                </c:pt>
                <c:pt idx="95">
                  <c:v>0.87809999999999999</c:v>
                </c:pt>
                <c:pt idx="96">
                  <c:v>0.90139999999999998</c:v>
                </c:pt>
                <c:pt idx="97">
                  <c:v>0.91649999999999998</c:v>
                </c:pt>
                <c:pt idx="98">
                  <c:v>0.91059999999999997</c:v>
                </c:pt>
                <c:pt idx="99">
                  <c:v>0.88019999999999998</c:v>
                </c:pt>
                <c:pt idx="100">
                  <c:v>0.82240000000000002</c:v>
                </c:pt>
                <c:pt idx="101">
                  <c:v>0.82110000000000005</c:v>
                </c:pt>
                <c:pt idx="102">
                  <c:v>0.81789999999999996</c:v>
                </c:pt>
                <c:pt idx="103">
                  <c:v>0.83909999999999996</c:v>
                </c:pt>
                <c:pt idx="104">
                  <c:v>0.80379999999999996</c:v>
                </c:pt>
                <c:pt idx="105">
                  <c:v>0.81679999999999997</c:v>
                </c:pt>
                <c:pt idx="106">
                  <c:v>0.77429999999999999</c:v>
                </c:pt>
                <c:pt idx="107">
                  <c:v>0.75290000000000001</c:v>
                </c:pt>
                <c:pt idx="108">
                  <c:v>0.78910000000000002</c:v>
                </c:pt>
                <c:pt idx="109">
                  <c:v>0.81769999999999998</c:v>
                </c:pt>
                <c:pt idx="110">
                  <c:v>0.86299999999999999</c:v>
                </c:pt>
                <c:pt idx="111">
                  <c:v>0.8337</c:v>
                </c:pt>
                <c:pt idx="112">
                  <c:v>0.82250000000000001</c:v>
                </c:pt>
                <c:pt idx="113">
                  <c:v>0.78739999999999999</c:v>
                </c:pt>
                <c:pt idx="114">
                  <c:v>0.75219999999999998</c:v>
                </c:pt>
                <c:pt idx="115">
                  <c:v>0.71360000000000001</c:v>
                </c:pt>
                <c:pt idx="116">
                  <c:v>0.72419999999999995</c:v>
                </c:pt>
                <c:pt idx="117">
                  <c:v>0.70809999999999995</c:v>
                </c:pt>
                <c:pt idx="118">
                  <c:v>0.69679999999999997</c:v>
                </c:pt>
                <c:pt idx="119">
                  <c:v>0.6411</c:v>
                </c:pt>
                <c:pt idx="120">
                  <c:v>0.61</c:v>
                </c:pt>
                <c:pt idx="121">
                  <c:v>0.59870000000000001</c:v>
                </c:pt>
                <c:pt idx="122">
                  <c:v>0.63959999999999995</c:v>
                </c:pt>
                <c:pt idx="123">
                  <c:v>0.67310000000000003</c:v>
                </c:pt>
                <c:pt idx="124">
                  <c:v>0.67359999999999998</c:v>
                </c:pt>
                <c:pt idx="125">
                  <c:v>0.67020000000000002</c:v>
                </c:pt>
                <c:pt idx="126">
                  <c:v>0.72850000000000004</c:v>
                </c:pt>
                <c:pt idx="127">
                  <c:v>0.68479999999999996</c:v>
                </c:pt>
                <c:pt idx="128">
                  <c:v>0.60089999999999999</c:v>
                </c:pt>
                <c:pt idx="129">
                  <c:v>0.69269999999999998</c:v>
                </c:pt>
                <c:pt idx="130">
                  <c:v>0.75860000000000005</c:v>
                </c:pt>
                <c:pt idx="131">
                  <c:v>0.80779999999999996</c:v>
                </c:pt>
                <c:pt idx="132">
                  <c:v>0.78990000000000005</c:v>
                </c:pt>
                <c:pt idx="133">
                  <c:v>0.83950000000000002</c:v>
                </c:pt>
                <c:pt idx="134">
                  <c:v>0.8538</c:v>
                </c:pt>
                <c:pt idx="135">
                  <c:v>0.79610000000000003</c:v>
                </c:pt>
                <c:pt idx="136">
                  <c:v>0.75639999999999996</c:v>
                </c:pt>
                <c:pt idx="137">
                  <c:v>0.84260000000000002</c:v>
                </c:pt>
                <c:pt idx="138">
                  <c:v>0.7379</c:v>
                </c:pt>
                <c:pt idx="139">
                  <c:v>0.71540000000000004</c:v>
                </c:pt>
                <c:pt idx="140">
                  <c:v>0.76459999999999995</c:v>
                </c:pt>
                <c:pt idx="141">
                  <c:v>0.76259999999999994</c:v>
                </c:pt>
                <c:pt idx="142">
                  <c:v>0.76100000000000001</c:v>
                </c:pt>
                <c:pt idx="143">
                  <c:v>0.96630000000000005</c:v>
                </c:pt>
                <c:pt idx="144">
                  <c:v>0.98540000000000005</c:v>
                </c:pt>
                <c:pt idx="145">
                  <c:v>0.95120000000000005</c:v>
                </c:pt>
                <c:pt idx="146">
                  <c:v>0.89459999999999995</c:v>
                </c:pt>
                <c:pt idx="147">
                  <c:v>0.90080000000000005</c:v>
                </c:pt>
                <c:pt idx="148">
                  <c:v>0.91790000000000005</c:v>
                </c:pt>
                <c:pt idx="149">
                  <c:v>0.86419999999999997</c:v>
                </c:pt>
                <c:pt idx="150">
                  <c:v>0.81420000000000003</c:v>
                </c:pt>
                <c:pt idx="151">
                  <c:v>0.8538</c:v>
                </c:pt>
                <c:pt idx="152">
                  <c:v>0.86870000000000003</c:v>
                </c:pt>
                <c:pt idx="153">
                  <c:v>0.86529999999999996</c:v>
                </c:pt>
                <c:pt idx="154">
                  <c:v>0.81720000000000004</c:v>
                </c:pt>
                <c:pt idx="155">
                  <c:v>0.91259999999999997</c:v>
                </c:pt>
                <c:pt idx="156">
                  <c:v>0.86309999999999998</c:v>
                </c:pt>
                <c:pt idx="157">
                  <c:v>0.96250000000000002</c:v>
                </c:pt>
                <c:pt idx="158">
                  <c:v>0.99709999999999999</c:v>
                </c:pt>
                <c:pt idx="159">
                  <c:v>0.96860000000000002</c:v>
                </c:pt>
                <c:pt idx="160">
                  <c:v>0.95289999999999997</c:v>
                </c:pt>
                <c:pt idx="161">
                  <c:v>0.81</c:v>
                </c:pt>
                <c:pt idx="162">
                  <c:v>0.75949999999999995</c:v>
                </c:pt>
                <c:pt idx="163">
                  <c:v>0.71960000000000002</c:v>
                </c:pt>
                <c:pt idx="164">
                  <c:v>0.73960000000000004</c:v>
                </c:pt>
                <c:pt idx="165">
                  <c:v>0.74270000000000003</c:v>
                </c:pt>
                <c:pt idx="166">
                  <c:v>0.71360000000000001</c:v>
                </c:pt>
                <c:pt idx="167">
                  <c:v>0.68379999999999996</c:v>
                </c:pt>
                <c:pt idx="168">
                  <c:v>0.63139999999999996</c:v>
                </c:pt>
                <c:pt idx="169">
                  <c:v>0.66700000000000004</c:v>
                </c:pt>
                <c:pt idx="170">
                  <c:v>0.59350000000000003</c:v>
                </c:pt>
                <c:pt idx="171">
                  <c:v>0.57440000000000002</c:v>
                </c:pt>
                <c:pt idx="172">
                  <c:v>0.54930000000000001</c:v>
                </c:pt>
                <c:pt idx="173">
                  <c:v>0.59540000000000004</c:v>
                </c:pt>
                <c:pt idx="174">
                  <c:v>0.58160000000000001</c:v>
                </c:pt>
                <c:pt idx="175">
                  <c:v>0.58660000000000001</c:v>
                </c:pt>
                <c:pt idx="176">
                  <c:v>0.59709999999999996</c:v>
                </c:pt>
                <c:pt idx="177">
                  <c:v>0.52769999999999995</c:v>
                </c:pt>
                <c:pt idx="178">
                  <c:v>0.52100000000000002</c:v>
                </c:pt>
                <c:pt idx="179">
                  <c:v>0.5222</c:v>
                </c:pt>
                <c:pt idx="180">
                  <c:v>0.48830000000000001</c:v>
                </c:pt>
                <c:pt idx="181">
                  <c:v>0.46229999999999999</c:v>
                </c:pt>
                <c:pt idx="182">
                  <c:v>0.45040000000000002</c:v>
                </c:pt>
                <c:pt idx="183">
                  <c:v>0.43809999999999999</c:v>
                </c:pt>
                <c:pt idx="184">
                  <c:v>0.43090000000000001</c:v>
                </c:pt>
                <c:pt idx="185">
                  <c:v>0.41880000000000001</c:v>
                </c:pt>
                <c:pt idx="186">
                  <c:v>0.4118</c:v>
                </c:pt>
                <c:pt idx="187">
                  <c:v>0.40629999999999999</c:v>
                </c:pt>
                <c:pt idx="188">
                  <c:v>0.39019999999999999</c:v>
                </c:pt>
                <c:pt idx="189">
                  <c:v>0.37680000000000002</c:v>
                </c:pt>
                <c:pt idx="190">
                  <c:v>0.37319999999999998</c:v>
                </c:pt>
                <c:pt idx="191">
                  <c:v>0.34410000000000002</c:v>
                </c:pt>
                <c:pt idx="192">
                  <c:v>0.35759999999999997</c:v>
                </c:pt>
                <c:pt idx="193">
                  <c:v>0.38090000000000002</c:v>
                </c:pt>
                <c:pt idx="194">
                  <c:v>0.38150000000000001</c:v>
                </c:pt>
                <c:pt idx="195">
                  <c:v>0.3755</c:v>
                </c:pt>
                <c:pt idx="196">
                  <c:v>0.40210000000000001</c:v>
                </c:pt>
                <c:pt idx="197">
                  <c:v>0.41549999999999998</c:v>
                </c:pt>
                <c:pt idx="198">
                  <c:v>0.41949999999999998</c:v>
                </c:pt>
                <c:pt idx="199">
                  <c:v>0.4279</c:v>
                </c:pt>
                <c:pt idx="200">
                  <c:v>0.44619999999999999</c:v>
                </c:pt>
                <c:pt idx="201">
                  <c:v>0.43</c:v>
                </c:pt>
                <c:pt idx="202">
                  <c:v>0.43880000000000002</c:v>
                </c:pt>
                <c:pt idx="203">
                  <c:v>0.43140000000000001</c:v>
                </c:pt>
                <c:pt idx="204">
                  <c:v>0.48049999999999998</c:v>
                </c:pt>
                <c:pt idx="205">
                  <c:v>0.45900000000000002</c:v>
                </c:pt>
                <c:pt idx="206">
                  <c:v>0.43419999999999997</c:v>
                </c:pt>
                <c:pt idx="207">
                  <c:v>0.4551</c:v>
                </c:pt>
                <c:pt idx="208">
                  <c:v>0.44519999999999998</c:v>
                </c:pt>
                <c:pt idx="209">
                  <c:v>0.43819999999999998</c:v>
                </c:pt>
                <c:pt idx="210">
                  <c:v>0.43759999999999999</c:v>
                </c:pt>
                <c:pt idx="211">
                  <c:v>0.46139999999999998</c:v>
                </c:pt>
                <c:pt idx="212">
                  <c:v>0.45329999999999998</c:v>
                </c:pt>
                <c:pt idx="213">
                  <c:v>0.42709999999999998</c:v>
                </c:pt>
                <c:pt idx="214">
                  <c:v>0.4128</c:v>
                </c:pt>
                <c:pt idx="215">
                  <c:v>0.40229999999999999</c:v>
                </c:pt>
                <c:pt idx="216">
                  <c:v>0.3886</c:v>
                </c:pt>
                <c:pt idx="217">
                  <c:v>0.43109999999999998</c:v>
                </c:pt>
                <c:pt idx="218">
                  <c:v>0.40810000000000002</c:v>
                </c:pt>
                <c:pt idx="219">
                  <c:v>0.36580000000000001</c:v>
                </c:pt>
                <c:pt idx="220">
                  <c:v>0.38769999999999999</c:v>
                </c:pt>
                <c:pt idx="221">
                  <c:v>0.49170000000000003</c:v>
                </c:pt>
                <c:pt idx="222">
                  <c:v>0.4859</c:v>
                </c:pt>
                <c:pt idx="223">
                  <c:v>0.501</c:v>
                </c:pt>
                <c:pt idx="224">
                  <c:v>0.54790000000000005</c:v>
                </c:pt>
                <c:pt idx="225">
                  <c:v>0.55730000000000002</c:v>
                </c:pt>
                <c:pt idx="226">
                  <c:v>0.54659999999999997</c:v>
                </c:pt>
                <c:pt idx="227">
                  <c:v>0.55330000000000001</c:v>
                </c:pt>
                <c:pt idx="228">
                  <c:v>0.5242</c:v>
                </c:pt>
                <c:pt idx="229">
                  <c:v>0.48549999999999999</c:v>
                </c:pt>
                <c:pt idx="230">
                  <c:v>0.50349999999999995</c:v>
                </c:pt>
                <c:pt idx="231">
                  <c:v>0.55400000000000005</c:v>
                </c:pt>
                <c:pt idx="232">
                  <c:v>0.60229999999999995</c:v>
                </c:pt>
                <c:pt idx="233">
                  <c:v>0.57330000000000003</c:v>
                </c:pt>
                <c:pt idx="234">
                  <c:v>0.5897</c:v>
                </c:pt>
                <c:pt idx="235">
                  <c:v>0.64929999999999999</c:v>
                </c:pt>
                <c:pt idx="236">
                  <c:v>0.62119999999999997</c:v>
                </c:pt>
                <c:pt idx="237">
                  <c:v>0.64280000000000004</c:v>
                </c:pt>
                <c:pt idx="238">
                  <c:v>0.73580000000000001</c:v>
                </c:pt>
                <c:pt idx="239">
                  <c:v>0.64759999999999995</c:v>
                </c:pt>
                <c:pt idx="240">
                  <c:v>0.61160000000000003</c:v>
                </c:pt>
                <c:pt idx="241">
                  <c:v>0.60370000000000001</c:v>
                </c:pt>
                <c:pt idx="242">
                  <c:v>0.55200000000000005</c:v>
                </c:pt>
                <c:pt idx="243">
                  <c:v>0.5383</c:v>
                </c:pt>
                <c:pt idx="244">
                  <c:v>0.60060000000000002</c:v>
                </c:pt>
                <c:pt idx="245">
                  <c:v>0.68010000000000004</c:v>
                </c:pt>
                <c:pt idx="246">
                  <c:v>0.72209999999999996</c:v>
                </c:pt>
                <c:pt idx="247">
                  <c:v>0.60399999999999998</c:v>
                </c:pt>
                <c:pt idx="248">
                  <c:v>0.62370000000000003</c:v>
                </c:pt>
                <c:pt idx="249">
                  <c:v>0.49719999999999998</c:v>
                </c:pt>
                <c:pt idx="250">
                  <c:v>0.59279999999999999</c:v>
                </c:pt>
                <c:pt idx="251">
                  <c:v>0.66879999999999995</c:v>
                </c:pt>
                <c:pt idx="252">
                  <c:v>0.81189999999999996</c:v>
                </c:pt>
                <c:pt idx="253">
                  <c:v>0.73970000000000002</c:v>
                </c:pt>
                <c:pt idx="254">
                  <c:v>1.0748</c:v>
                </c:pt>
                <c:pt idx="255">
                  <c:v>1.0427</c:v>
                </c:pt>
                <c:pt idx="256">
                  <c:v>1.1059000000000001</c:v>
                </c:pt>
                <c:pt idx="257">
                  <c:v>1.1085</c:v>
                </c:pt>
                <c:pt idx="258">
                  <c:v>1.2371000000000001</c:v>
                </c:pt>
                <c:pt idx="259">
                  <c:v>1.1974</c:v>
                </c:pt>
                <c:pt idx="260">
                  <c:v>1.1898</c:v>
                </c:pt>
                <c:pt idx="261">
                  <c:v>1.4180999999999999</c:v>
                </c:pt>
                <c:pt idx="262">
                  <c:v>1.3569</c:v>
                </c:pt>
                <c:pt idx="263">
                  <c:v>1.518</c:v>
                </c:pt>
                <c:pt idx="264">
                  <c:v>1.4888999999999999</c:v>
                </c:pt>
                <c:pt idx="265">
                  <c:v>1.4651000000000001</c:v>
                </c:pt>
                <c:pt idx="266">
                  <c:v>1.3734999999999999</c:v>
                </c:pt>
                <c:pt idx="267">
                  <c:v>1.383</c:v>
                </c:pt>
                <c:pt idx="268">
                  <c:v>1.2747999999999999</c:v>
                </c:pt>
                <c:pt idx="269">
                  <c:v>1.4567000000000001</c:v>
                </c:pt>
                <c:pt idx="270">
                  <c:v>1.3159000000000001</c:v>
                </c:pt>
                <c:pt idx="271">
                  <c:v>1.3938999999999999</c:v>
                </c:pt>
                <c:pt idx="272">
                  <c:v>1.3604000000000001</c:v>
                </c:pt>
                <c:pt idx="273">
                  <c:v>1.3105</c:v>
                </c:pt>
                <c:pt idx="274">
                  <c:v>1.3029999999999999</c:v>
                </c:pt>
                <c:pt idx="275">
                  <c:v>1.3728</c:v>
                </c:pt>
                <c:pt idx="276">
                  <c:v>1.2386999999999999</c:v>
                </c:pt>
                <c:pt idx="277">
                  <c:v>1.0456000000000001</c:v>
                </c:pt>
                <c:pt idx="278">
                  <c:v>1.0599000000000001</c:v>
                </c:pt>
                <c:pt idx="279">
                  <c:v>1.1431</c:v>
                </c:pt>
                <c:pt idx="280">
                  <c:v>1.1708000000000001</c:v>
                </c:pt>
                <c:pt idx="281">
                  <c:v>1.3059000000000001</c:v>
                </c:pt>
                <c:pt idx="282">
                  <c:v>1.3648</c:v>
                </c:pt>
                <c:pt idx="283">
                  <c:v>1.3532</c:v>
                </c:pt>
                <c:pt idx="284">
                  <c:v>1.4303999999999999</c:v>
                </c:pt>
                <c:pt idx="285">
                  <c:v>1.6492</c:v>
                </c:pt>
                <c:pt idx="286">
                  <c:v>1.6908000000000001</c:v>
                </c:pt>
                <c:pt idx="287">
                  <c:v>1.7535000000000001</c:v>
                </c:pt>
                <c:pt idx="288">
                  <c:v>1.6753</c:v>
                </c:pt>
                <c:pt idx="289">
                  <c:v>1.6839</c:v>
                </c:pt>
                <c:pt idx="290">
                  <c:v>1.6660999999999999</c:v>
                </c:pt>
                <c:pt idx="291">
                  <c:v>1.7136</c:v>
                </c:pt>
                <c:pt idx="292">
                  <c:v>1.7649999999999999</c:v>
                </c:pt>
                <c:pt idx="293">
                  <c:v>1.7417</c:v>
                </c:pt>
                <c:pt idx="294">
                  <c:v>1.8379000000000001</c:v>
                </c:pt>
                <c:pt idx="295">
                  <c:v>1.4987999999999999</c:v>
                </c:pt>
                <c:pt idx="296">
                  <c:v>1.5815999999999999</c:v>
                </c:pt>
                <c:pt idx="297">
                  <c:v>1.6162000000000001</c:v>
                </c:pt>
                <c:pt idx="298">
                  <c:v>1.5033000000000001</c:v>
                </c:pt>
                <c:pt idx="299">
                  <c:v>1.3861000000000001</c:v>
                </c:pt>
                <c:pt idx="300">
                  <c:v>1.4548000000000001</c:v>
                </c:pt>
                <c:pt idx="301">
                  <c:v>1.4572000000000001</c:v>
                </c:pt>
                <c:pt idx="302">
                  <c:v>1.4334</c:v>
                </c:pt>
                <c:pt idx="303">
                  <c:v>1.5105999999999999</c:v>
                </c:pt>
                <c:pt idx="304">
                  <c:v>1.5414000000000001</c:v>
                </c:pt>
                <c:pt idx="305">
                  <c:v>1.4383999999999999</c:v>
                </c:pt>
                <c:pt idx="306">
                  <c:v>1.3693</c:v>
                </c:pt>
                <c:pt idx="307">
                  <c:v>1.4039999999999999</c:v>
                </c:pt>
                <c:pt idx="308">
                  <c:v>1.2030000000000001</c:v>
                </c:pt>
                <c:pt idx="309">
                  <c:v>1.248</c:v>
                </c:pt>
                <c:pt idx="310">
                  <c:v>1.3919999999999999</c:v>
                </c:pt>
                <c:pt idx="311">
                  <c:v>1.4410000000000001</c:v>
                </c:pt>
                <c:pt idx="312">
                  <c:v>1.6053999999999999</c:v>
                </c:pt>
                <c:pt idx="313">
                  <c:v>1.4722999999999999</c:v>
                </c:pt>
                <c:pt idx="314">
                  <c:v>1.5274000000000001</c:v>
                </c:pt>
                <c:pt idx="315">
                  <c:v>1.4215</c:v>
                </c:pt>
                <c:pt idx="316">
                  <c:v>1.4329000000000001</c:v>
                </c:pt>
                <c:pt idx="317">
                  <c:v>1.4187000000000001</c:v>
                </c:pt>
                <c:pt idx="318">
                  <c:v>1.4390000000000001</c:v>
                </c:pt>
                <c:pt idx="319">
                  <c:v>1.4803999999999999</c:v>
                </c:pt>
                <c:pt idx="320">
                  <c:v>1.4294</c:v>
                </c:pt>
                <c:pt idx="321">
                  <c:v>1.3732</c:v>
                </c:pt>
                <c:pt idx="322">
                  <c:v>1.3485</c:v>
                </c:pt>
                <c:pt idx="323">
                  <c:v>1.3580000000000001</c:v>
                </c:pt>
                <c:pt idx="324">
                  <c:v>1.4669000000000001</c:v>
                </c:pt>
                <c:pt idx="325">
                  <c:v>1.4654</c:v>
                </c:pt>
                <c:pt idx="326">
                  <c:v>1.4984999999999999</c:v>
                </c:pt>
                <c:pt idx="327">
                  <c:v>1.3137000000000001</c:v>
                </c:pt>
                <c:pt idx="328">
                  <c:v>1.0969</c:v>
                </c:pt>
                <c:pt idx="329">
                  <c:v>1.0876999999999999</c:v>
                </c:pt>
                <c:pt idx="330">
                  <c:v>1.0911</c:v>
                </c:pt>
                <c:pt idx="331">
                  <c:v>1.0718000000000001</c:v>
                </c:pt>
                <c:pt idx="332">
                  <c:v>0.9486</c:v>
                </c:pt>
                <c:pt idx="333">
                  <c:v>0.84</c:v>
                </c:pt>
                <c:pt idx="334">
                  <c:v>0.89180000000000004</c:v>
                </c:pt>
                <c:pt idx="335">
                  <c:v>0.84160000000000001</c:v>
                </c:pt>
                <c:pt idx="336">
                  <c:v>0.85350000000000004</c:v>
                </c:pt>
                <c:pt idx="337">
                  <c:v>0.92810000000000004</c:v>
                </c:pt>
                <c:pt idx="338">
                  <c:v>0.91290000000000004</c:v>
                </c:pt>
                <c:pt idx="339">
                  <c:v>1.1001000000000001</c:v>
                </c:pt>
                <c:pt idx="340">
                  <c:v>1.2517</c:v>
                </c:pt>
                <c:pt idx="341">
                  <c:v>1.1413</c:v>
                </c:pt>
                <c:pt idx="342">
                  <c:v>1.1045</c:v>
                </c:pt>
                <c:pt idx="343">
                  <c:v>1.175</c:v>
                </c:pt>
                <c:pt idx="344">
                  <c:v>1.0717000000000001</c:v>
                </c:pt>
                <c:pt idx="345">
                  <c:v>1.0361</c:v>
                </c:pt>
                <c:pt idx="346">
                  <c:v>0.98219999999999996</c:v>
                </c:pt>
                <c:pt idx="347">
                  <c:v>1.0723</c:v>
                </c:pt>
                <c:pt idx="348">
                  <c:v>1.1452</c:v>
                </c:pt>
                <c:pt idx="349">
                  <c:v>1.1431</c:v>
                </c:pt>
                <c:pt idx="350">
                  <c:v>1.1084000000000001</c:v>
                </c:pt>
                <c:pt idx="351">
                  <c:v>0.89939999999999998</c:v>
                </c:pt>
                <c:pt idx="352">
                  <c:v>0.83609999999999995</c:v>
                </c:pt>
                <c:pt idx="353">
                  <c:v>0.74890000000000001</c:v>
                </c:pt>
                <c:pt idx="354">
                  <c:v>0.70099999999999996</c:v>
                </c:pt>
                <c:pt idx="355">
                  <c:v>0.69950000000000001</c:v>
                </c:pt>
                <c:pt idx="356">
                  <c:v>0.7379</c:v>
                </c:pt>
                <c:pt idx="357">
                  <c:v>0.68179999999999996</c:v>
                </c:pt>
                <c:pt idx="358">
                  <c:v>0.61899999999999999</c:v>
                </c:pt>
                <c:pt idx="359">
                  <c:v>0.5675</c:v>
                </c:pt>
                <c:pt idx="360">
                  <c:v>0.57050000000000001</c:v>
                </c:pt>
                <c:pt idx="361">
                  <c:v>0.54510000000000003</c:v>
                </c:pt>
                <c:pt idx="362">
                  <c:v>0.55869999999999997</c:v>
                </c:pt>
                <c:pt idx="363">
                  <c:v>0.5575</c:v>
                </c:pt>
                <c:pt idx="364">
                  <c:v>0.5544</c:v>
                </c:pt>
                <c:pt idx="365">
                  <c:v>0.52280000000000004</c:v>
                </c:pt>
                <c:pt idx="366">
                  <c:v>0.60070000000000001</c:v>
                </c:pt>
                <c:pt idx="367">
                  <c:v>0.60719999999999996</c:v>
                </c:pt>
                <c:pt idx="368">
                  <c:v>0.56669999999999998</c:v>
                </c:pt>
                <c:pt idx="369">
                  <c:v>0.54769999999999996</c:v>
                </c:pt>
                <c:pt idx="370">
                  <c:v>0.51149999999999995</c:v>
                </c:pt>
                <c:pt idx="371">
                  <c:v>0.47589999999999999</c:v>
                </c:pt>
                <c:pt idx="372">
                  <c:v>0.59340000000000004</c:v>
                </c:pt>
                <c:pt idx="373">
                  <c:v>0.5897</c:v>
                </c:pt>
                <c:pt idx="374">
                  <c:v>0.57420000000000004</c:v>
                </c:pt>
                <c:pt idx="375">
                  <c:v>0.57679999999999998</c:v>
                </c:pt>
                <c:pt idx="376">
                  <c:v>0.53290000000000004</c:v>
                </c:pt>
                <c:pt idx="377">
                  <c:v>0.4839</c:v>
                </c:pt>
                <c:pt idx="378">
                  <c:v>0.44080000000000003</c:v>
                </c:pt>
                <c:pt idx="379">
                  <c:v>0.43359999999999999</c:v>
                </c:pt>
                <c:pt idx="380">
                  <c:v>0.39450000000000002</c:v>
                </c:pt>
                <c:pt idx="381">
                  <c:v>0.38319999999999999</c:v>
                </c:pt>
                <c:pt idx="382">
                  <c:v>0.43730000000000002</c:v>
                </c:pt>
                <c:pt idx="383">
                  <c:v>0.4597</c:v>
                </c:pt>
                <c:pt idx="384">
                  <c:v>0.41860000000000003</c:v>
                </c:pt>
                <c:pt idx="385">
                  <c:v>0.43009999999999998</c:v>
                </c:pt>
                <c:pt idx="386">
                  <c:v>0.45029999999999998</c:v>
                </c:pt>
                <c:pt idx="387">
                  <c:v>0.44919999999999999</c:v>
                </c:pt>
                <c:pt idx="388">
                  <c:v>0.39650000000000002</c:v>
                </c:pt>
                <c:pt idx="389">
                  <c:v>0.39539999999999997</c:v>
                </c:pt>
                <c:pt idx="390">
                  <c:v>0.3306</c:v>
                </c:pt>
                <c:pt idx="391">
                  <c:v>0.3483</c:v>
                </c:pt>
                <c:pt idx="392">
                  <c:v>0.32790000000000002</c:v>
                </c:pt>
                <c:pt idx="393">
                  <c:v>0.32550000000000001</c:v>
                </c:pt>
                <c:pt idx="394">
                  <c:v>0.33829999999999999</c:v>
                </c:pt>
                <c:pt idx="395">
                  <c:v>0.36709999999999998</c:v>
                </c:pt>
                <c:pt idx="396">
                  <c:v>0.3281</c:v>
                </c:pt>
                <c:pt idx="397">
                  <c:v>0.3261</c:v>
                </c:pt>
                <c:pt idx="398">
                  <c:v>0.32429999999999998</c:v>
                </c:pt>
                <c:pt idx="399">
                  <c:v>0.33250000000000002</c:v>
                </c:pt>
                <c:pt idx="400">
                  <c:v>0.30869999999999997</c:v>
                </c:pt>
                <c:pt idx="401">
                  <c:v>0.38269999999999998</c:v>
                </c:pt>
                <c:pt idx="402">
                  <c:v>0.39090000000000003</c:v>
                </c:pt>
                <c:pt idx="403">
                  <c:v>0.39789999999999998</c:v>
                </c:pt>
                <c:pt idx="404">
                  <c:v>0.42880000000000001</c:v>
                </c:pt>
                <c:pt idx="405">
                  <c:v>0.43330000000000002</c:v>
                </c:pt>
                <c:pt idx="406">
                  <c:v>0.43640000000000001</c:v>
                </c:pt>
                <c:pt idx="407">
                  <c:v>0.4325</c:v>
                </c:pt>
                <c:pt idx="408">
                  <c:v>0.43630000000000002</c:v>
                </c:pt>
                <c:pt idx="409">
                  <c:v>0.40460000000000002</c:v>
                </c:pt>
                <c:pt idx="410">
                  <c:v>0.39639999999999997</c:v>
                </c:pt>
                <c:pt idx="411">
                  <c:v>0.378</c:v>
                </c:pt>
                <c:pt idx="412">
                  <c:v>0.36880000000000002</c:v>
                </c:pt>
                <c:pt idx="413">
                  <c:v>0.3725</c:v>
                </c:pt>
                <c:pt idx="414">
                  <c:v>0.39140000000000003</c:v>
                </c:pt>
                <c:pt idx="415">
                  <c:v>0.373</c:v>
                </c:pt>
                <c:pt idx="416">
                  <c:v>0.42799999999999999</c:v>
                </c:pt>
                <c:pt idx="417">
                  <c:v>0.44740000000000002</c:v>
                </c:pt>
                <c:pt idx="418">
                  <c:v>0.46870000000000001</c:v>
                </c:pt>
                <c:pt idx="419">
                  <c:v>0.43990000000000001</c:v>
                </c:pt>
                <c:pt idx="420">
                  <c:v>0.47599999999999998</c:v>
                </c:pt>
                <c:pt idx="421">
                  <c:v>0.47949999999999998</c:v>
                </c:pt>
                <c:pt idx="422">
                  <c:v>0.45019999999999999</c:v>
                </c:pt>
                <c:pt idx="423">
                  <c:v>0.48010000000000003</c:v>
                </c:pt>
                <c:pt idx="424">
                  <c:v>0.4632</c:v>
                </c:pt>
                <c:pt idx="425">
                  <c:v>0.44640000000000002</c:v>
                </c:pt>
                <c:pt idx="426">
                  <c:v>0.42420000000000002</c:v>
                </c:pt>
                <c:pt idx="427">
                  <c:v>0.43719999999999998</c:v>
                </c:pt>
                <c:pt idx="428">
                  <c:v>0.50090000000000001</c:v>
                </c:pt>
                <c:pt idx="429">
                  <c:v>0.52580000000000005</c:v>
                </c:pt>
                <c:pt idx="430">
                  <c:v>0.52639999999999998</c:v>
                </c:pt>
                <c:pt idx="431">
                  <c:v>0.50470000000000004</c:v>
                </c:pt>
                <c:pt idx="432">
                  <c:v>0.55820000000000003</c:v>
                </c:pt>
                <c:pt idx="433">
                  <c:v>0.5333</c:v>
                </c:pt>
                <c:pt idx="434">
                  <c:v>0.54249999999999998</c:v>
                </c:pt>
                <c:pt idx="435">
                  <c:v>0.55049999999999999</c:v>
                </c:pt>
                <c:pt idx="436">
                  <c:v>0.58779999999999999</c:v>
                </c:pt>
                <c:pt idx="437">
                  <c:v>0.55320000000000003</c:v>
                </c:pt>
                <c:pt idx="438">
                  <c:v>0.52910000000000001</c:v>
                </c:pt>
                <c:pt idx="439">
                  <c:v>0.54430000000000001</c:v>
                </c:pt>
                <c:pt idx="440">
                  <c:v>0.54379999999999995</c:v>
                </c:pt>
                <c:pt idx="441">
                  <c:v>0.52329999999999999</c:v>
                </c:pt>
                <c:pt idx="442">
                  <c:v>0.56599999999999995</c:v>
                </c:pt>
                <c:pt idx="443">
                  <c:v>0.57279999999999998</c:v>
                </c:pt>
                <c:pt idx="444">
                  <c:v>0.57730000000000004</c:v>
                </c:pt>
                <c:pt idx="445">
                  <c:v>0.51339999999999997</c:v>
                </c:pt>
                <c:pt idx="446">
                  <c:v>0.48320000000000002</c:v>
                </c:pt>
                <c:pt idx="447">
                  <c:v>0.50429999999999997</c:v>
                </c:pt>
                <c:pt idx="448">
                  <c:v>0.47089999999999999</c:v>
                </c:pt>
                <c:pt idx="449">
                  <c:v>0.46760000000000002</c:v>
                </c:pt>
                <c:pt idx="450">
                  <c:v>0.45</c:v>
                </c:pt>
                <c:pt idx="451">
                  <c:v>0.45750000000000002</c:v>
                </c:pt>
                <c:pt idx="452">
                  <c:v>0.47860000000000003</c:v>
                </c:pt>
                <c:pt idx="453">
                  <c:v>0.42599999999999999</c:v>
                </c:pt>
                <c:pt idx="454">
                  <c:v>0.47310000000000002</c:v>
                </c:pt>
                <c:pt idx="455">
                  <c:v>0.45839999999999997</c:v>
                </c:pt>
                <c:pt idx="456">
                  <c:v>0.52559999999999996</c:v>
                </c:pt>
                <c:pt idx="457">
                  <c:v>0.51659999999999995</c:v>
                </c:pt>
                <c:pt idx="458">
                  <c:v>0.45540000000000003</c:v>
                </c:pt>
                <c:pt idx="459">
                  <c:v>0.43719999999999998</c:v>
                </c:pt>
                <c:pt idx="460">
                  <c:v>0.43409999999999999</c:v>
                </c:pt>
                <c:pt idx="461">
                  <c:v>0.39650000000000002</c:v>
                </c:pt>
                <c:pt idx="462">
                  <c:v>0.34649999999999997</c:v>
                </c:pt>
                <c:pt idx="463">
                  <c:v>0.34150000000000003</c:v>
                </c:pt>
                <c:pt idx="464">
                  <c:v>0.33610000000000001</c:v>
                </c:pt>
                <c:pt idx="465">
                  <c:v>0.35560000000000003</c:v>
                </c:pt>
                <c:pt idx="466">
                  <c:v>0.3851</c:v>
                </c:pt>
                <c:pt idx="467">
                  <c:v>0.34639999999999999</c:v>
                </c:pt>
                <c:pt idx="468">
                  <c:v>0.33700000000000002</c:v>
                </c:pt>
                <c:pt idx="469">
                  <c:v>0.3715</c:v>
                </c:pt>
                <c:pt idx="470">
                  <c:v>0.36099999999999999</c:v>
                </c:pt>
                <c:pt idx="471">
                  <c:v>0.37219999999999998</c:v>
                </c:pt>
                <c:pt idx="472">
                  <c:v>0.37869999999999998</c:v>
                </c:pt>
                <c:pt idx="473">
                  <c:v>0.30599999999999999</c:v>
                </c:pt>
                <c:pt idx="474">
                  <c:v>0.31109999999999999</c:v>
                </c:pt>
                <c:pt idx="475">
                  <c:v>0.33360000000000001</c:v>
                </c:pt>
                <c:pt idx="476">
                  <c:v>0.31</c:v>
                </c:pt>
                <c:pt idx="477">
                  <c:v>0.30030000000000001</c:v>
                </c:pt>
                <c:pt idx="478">
                  <c:v>0.25509999999999999</c:v>
                </c:pt>
                <c:pt idx="479">
                  <c:v>0.31590000000000001</c:v>
                </c:pt>
                <c:pt idx="480">
                  <c:v>0.34250000000000003</c:v>
                </c:pt>
                <c:pt idx="481">
                  <c:v>0.35510000000000003</c:v>
                </c:pt>
                <c:pt idx="482">
                  <c:v>0.36099999999999999</c:v>
                </c:pt>
                <c:pt idx="483">
                  <c:v>0.38650000000000001</c:v>
                </c:pt>
                <c:pt idx="484">
                  <c:v>0.37059999999999998</c:v>
                </c:pt>
                <c:pt idx="485">
                  <c:v>0.36059999999999998</c:v>
                </c:pt>
                <c:pt idx="486">
                  <c:v>0.34350000000000003</c:v>
                </c:pt>
                <c:pt idx="487">
                  <c:v>0.38650000000000001</c:v>
                </c:pt>
                <c:pt idx="488">
                  <c:v>0.39400000000000002</c:v>
                </c:pt>
                <c:pt idx="489">
                  <c:v>0.42209999999999998</c:v>
                </c:pt>
                <c:pt idx="490">
                  <c:v>0.40479999999999999</c:v>
                </c:pt>
                <c:pt idx="491">
                  <c:v>0.35610000000000003</c:v>
                </c:pt>
                <c:pt idx="492">
                  <c:v>0.37240000000000001</c:v>
                </c:pt>
                <c:pt idx="493">
                  <c:v>0.34250000000000003</c:v>
                </c:pt>
                <c:pt idx="494">
                  <c:v>0.36830000000000002</c:v>
                </c:pt>
                <c:pt idx="495">
                  <c:v>0.41760000000000003</c:v>
                </c:pt>
                <c:pt idx="496">
                  <c:v>0.3221</c:v>
                </c:pt>
                <c:pt idx="497">
                  <c:v>0.3236</c:v>
                </c:pt>
                <c:pt idx="498">
                  <c:v>0.3528</c:v>
                </c:pt>
                <c:pt idx="499">
                  <c:v>0.32229999999999998</c:v>
                </c:pt>
                <c:pt idx="500">
                  <c:v>0.35510000000000003</c:v>
                </c:pt>
                <c:pt idx="501">
                  <c:v>0.34460000000000002</c:v>
                </c:pt>
                <c:pt idx="502">
                  <c:v>0.36699999999999999</c:v>
                </c:pt>
                <c:pt idx="503">
                  <c:v>0.3876</c:v>
                </c:pt>
                <c:pt idx="504">
                  <c:v>0.39410000000000001</c:v>
                </c:pt>
                <c:pt idx="505">
                  <c:v>0.36599999999999999</c:v>
                </c:pt>
                <c:pt idx="506">
                  <c:v>0.34839999999999999</c:v>
                </c:pt>
                <c:pt idx="507">
                  <c:v>0.38479999999999998</c:v>
                </c:pt>
                <c:pt idx="508">
                  <c:v>0.39329999999999998</c:v>
                </c:pt>
                <c:pt idx="509">
                  <c:v>0.3271</c:v>
                </c:pt>
                <c:pt idx="510">
                  <c:v>0.4037</c:v>
                </c:pt>
                <c:pt idx="511">
                  <c:v>0.4264</c:v>
                </c:pt>
                <c:pt idx="512">
                  <c:v>0.5212</c:v>
                </c:pt>
                <c:pt idx="513">
                  <c:v>0.53380000000000005</c:v>
                </c:pt>
                <c:pt idx="514">
                  <c:v>0.56950000000000001</c:v>
                </c:pt>
                <c:pt idx="515">
                  <c:v>0.63329999999999997</c:v>
                </c:pt>
                <c:pt idx="516">
                  <c:v>0.622</c:v>
                </c:pt>
                <c:pt idx="517">
                  <c:v>0.54490000000000005</c:v>
                </c:pt>
                <c:pt idx="518">
                  <c:v>0.51200000000000001</c:v>
                </c:pt>
                <c:pt idx="519">
                  <c:v>0.55510000000000004</c:v>
                </c:pt>
                <c:pt idx="520">
                  <c:v>0.504</c:v>
                </c:pt>
                <c:pt idx="521">
                  <c:v>0.55479999999999996</c:v>
                </c:pt>
                <c:pt idx="522">
                  <c:v>0.59450000000000003</c:v>
                </c:pt>
                <c:pt idx="523">
                  <c:v>0.53310000000000002</c:v>
                </c:pt>
                <c:pt idx="524">
                  <c:v>0.52049999999999996</c:v>
                </c:pt>
                <c:pt idx="525">
                  <c:v>0.61140000000000005</c:v>
                </c:pt>
                <c:pt idx="526">
                  <c:v>0.55259999999999998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8-4D8E-99AC-F72FF70197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-2.6548641979875019E-2</c:v>
                </c:pt>
                <c:pt idx="1">
                  <c:v>-1.9706094810063655E-2</c:v>
                </c:pt>
                <c:pt idx="2">
                  <c:v>7.9123503181202745E-2</c:v>
                </c:pt>
                <c:pt idx="3">
                  <c:v>3.0125442876753016E-2</c:v>
                </c:pt>
                <c:pt idx="4">
                  <c:v>3.9702712251753286E-2</c:v>
                </c:pt>
                <c:pt idx="5">
                  <c:v>9.7729161464082046E-2</c:v>
                </c:pt>
                <c:pt idx="6">
                  <c:v>2.1304493262298593E-2</c:v>
                </c:pt>
                <c:pt idx="7">
                  <c:v>0.1168694468973244</c:v>
                </c:pt>
                <c:pt idx="8">
                  <c:v>0.20893768392139436</c:v>
                </c:pt>
                <c:pt idx="9">
                  <c:v>0.20174661532490312</c:v>
                </c:pt>
                <c:pt idx="10">
                  <c:v>0.21900192585121897</c:v>
                </c:pt>
                <c:pt idx="11">
                  <c:v>0.27872301714335385</c:v>
                </c:pt>
                <c:pt idx="12">
                  <c:v>0.32535230955881306</c:v>
                </c:pt>
                <c:pt idx="13">
                  <c:v>0.27647021515751846</c:v>
                </c:pt>
                <c:pt idx="14">
                  <c:v>0.19256452311733321</c:v>
                </c:pt>
                <c:pt idx="15">
                  <c:v>0.26941242407733318</c:v>
                </c:pt>
                <c:pt idx="16">
                  <c:v>0.21855518350426711</c:v>
                </c:pt>
                <c:pt idx="17">
                  <c:v>0.16046895130914512</c:v>
                </c:pt>
                <c:pt idx="18">
                  <c:v>0.20831050666093298</c:v>
                </c:pt>
                <c:pt idx="19">
                  <c:v>0.1881806092871956</c:v>
                </c:pt>
                <c:pt idx="20">
                  <c:v>0.24880290354903392</c:v>
                </c:pt>
                <c:pt idx="21">
                  <c:v>0.37729444854903393</c:v>
                </c:pt>
                <c:pt idx="22">
                  <c:v>0.53691239445735328</c:v>
                </c:pt>
                <c:pt idx="23">
                  <c:v>0.75162367107804251</c:v>
                </c:pt>
                <c:pt idx="24">
                  <c:v>0.68960547407940676</c:v>
                </c:pt>
                <c:pt idx="25">
                  <c:v>0.67105427444637933</c:v>
                </c:pt>
                <c:pt idx="26">
                  <c:v>0.69423948734310481</c:v>
                </c:pt>
                <c:pt idx="27">
                  <c:v>0.64395171119931416</c:v>
                </c:pt>
                <c:pt idx="28">
                  <c:v>0.72592829950228632</c:v>
                </c:pt>
                <c:pt idx="29">
                  <c:v>0.66311907910427637</c:v>
                </c:pt>
                <c:pt idx="30">
                  <c:v>0.74712288675304261</c:v>
                </c:pt>
                <c:pt idx="31">
                  <c:v>0.90490389895704981</c:v>
                </c:pt>
                <c:pt idx="32">
                  <c:v>1.0032554181211679</c:v>
                </c:pt>
                <c:pt idx="33">
                  <c:v>1.0020741211266324</c:v>
                </c:pt>
                <c:pt idx="34">
                  <c:v>1.0154920562372354</c:v>
                </c:pt>
                <c:pt idx="35">
                  <c:v>1.115871302047291</c:v>
                </c:pt>
                <c:pt idx="36">
                  <c:v>1.134348488983318</c:v>
                </c:pt>
                <c:pt idx="37">
                  <c:v>1.3169996615353181</c:v>
                </c:pt>
                <c:pt idx="38">
                  <c:v>1.2717184326290683</c:v>
                </c:pt>
                <c:pt idx="39">
                  <c:v>1.2546422316742947</c:v>
                </c:pt>
                <c:pt idx="40">
                  <c:v>1.2926617505932134</c:v>
                </c:pt>
                <c:pt idx="41">
                  <c:v>1.2739464292008083</c:v>
                </c:pt>
                <c:pt idx="42">
                  <c:v>1.3083535697425359</c:v>
                </c:pt>
                <c:pt idx="43">
                  <c:v>1.4056670727938954</c:v>
                </c:pt>
                <c:pt idx="44">
                  <c:v>1.3441813959614348</c:v>
                </c:pt>
                <c:pt idx="45">
                  <c:v>1.2749224776392873</c:v>
                </c:pt>
                <c:pt idx="46">
                  <c:v>1.3744139347503983</c:v>
                </c:pt>
                <c:pt idx="47">
                  <c:v>1.347403609900699</c:v>
                </c:pt>
                <c:pt idx="48">
                  <c:v>1.3373043534071927</c:v>
                </c:pt>
                <c:pt idx="49">
                  <c:v>1.5212626443215895</c:v>
                </c:pt>
                <c:pt idx="50">
                  <c:v>1.7526647290875472</c:v>
                </c:pt>
                <c:pt idx="51">
                  <c:v>1.6151115014994712</c:v>
                </c:pt>
                <c:pt idx="52">
                  <c:v>1.741641492128986</c:v>
                </c:pt>
                <c:pt idx="53">
                  <c:v>1.540802263838517</c:v>
                </c:pt>
                <c:pt idx="54">
                  <c:v>1.6993821979192345</c:v>
                </c:pt>
                <c:pt idx="55">
                  <c:v>1.7138661985696246</c:v>
                </c:pt>
                <c:pt idx="56">
                  <c:v>1.8714414059062097</c:v>
                </c:pt>
                <c:pt idx="57">
                  <c:v>1.813469221193565</c:v>
                </c:pt>
                <c:pt idx="58">
                  <c:v>2.4659481142573791</c:v>
                </c:pt>
                <c:pt idx="59">
                  <c:v>1.9748340893198977</c:v>
                </c:pt>
                <c:pt idx="60">
                  <c:v>2.0769941531481364</c:v>
                </c:pt>
                <c:pt idx="61">
                  <c:v>2.0355165307594212</c:v>
                </c:pt>
                <c:pt idx="62">
                  <c:v>2.6379206386897347</c:v>
                </c:pt>
                <c:pt idx="63">
                  <c:v>2.2403319914637541</c:v>
                </c:pt>
                <c:pt idx="64">
                  <c:v>2.247889539001632</c:v>
                </c:pt>
                <c:pt idx="65">
                  <c:v>2.2909290847296702</c:v>
                </c:pt>
                <c:pt idx="66">
                  <c:v>2.1148165011988205</c:v>
                </c:pt>
                <c:pt idx="67">
                  <c:v>1.9871775768614712</c:v>
                </c:pt>
                <c:pt idx="68">
                  <c:v>1.8423007328142043</c:v>
                </c:pt>
                <c:pt idx="69">
                  <c:v>1.7635296578235853</c:v>
                </c:pt>
                <c:pt idx="70">
                  <c:v>1.6676804410935469</c:v>
                </c:pt>
                <c:pt idx="71">
                  <c:v>1.6826631866831059</c:v>
                </c:pt>
                <c:pt idx="72">
                  <c:v>1.6912811168800421</c:v>
                </c:pt>
                <c:pt idx="73">
                  <c:v>1.6555766784779804</c:v>
                </c:pt>
                <c:pt idx="74">
                  <c:v>1.7113899322771662</c:v>
                </c:pt>
                <c:pt idx="75">
                  <c:v>1.7384333467622162</c:v>
                </c:pt>
                <c:pt idx="76">
                  <c:v>1.6657950832809874</c:v>
                </c:pt>
                <c:pt idx="77">
                  <c:v>1.8331973075817234</c:v>
                </c:pt>
                <c:pt idx="78">
                  <c:v>1.7768214625817229</c:v>
                </c:pt>
                <c:pt idx="79">
                  <c:v>1.8502812833029596</c:v>
                </c:pt>
                <c:pt idx="80">
                  <c:v>1.9464369583029597</c:v>
                </c:pt>
                <c:pt idx="81">
                  <c:v>1.8779190788830697</c:v>
                </c:pt>
                <c:pt idx="82">
                  <c:v>1.8707671816490272</c:v>
                </c:pt>
                <c:pt idx="83">
                  <c:v>1.8409415371278339</c:v>
                </c:pt>
                <c:pt idx="84">
                  <c:v>1.8892796401838612</c:v>
                </c:pt>
                <c:pt idx="85">
                  <c:v>1.9687648435904543</c:v>
                </c:pt>
                <c:pt idx="86">
                  <c:v>2.0568281404654547</c:v>
                </c:pt>
                <c:pt idx="87">
                  <c:v>2.5085852219696907</c:v>
                </c:pt>
                <c:pt idx="88">
                  <c:v>1.1483732969063991</c:v>
                </c:pt>
                <c:pt idx="89">
                  <c:v>0.96466134272035298</c:v>
                </c:pt>
                <c:pt idx="90">
                  <c:v>0.98680880726580755</c:v>
                </c:pt>
                <c:pt idx="91">
                  <c:v>1.0088144575797089</c:v>
                </c:pt>
                <c:pt idx="92">
                  <c:v>0.99905934294556242</c:v>
                </c:pt>
                <c:pt idx="93">
                  <c:v>1.1928445971752697</c:v>
                </c:pt>
                <c:pt idx="94">
                  <c:v>1.1956185450873578</c:v>
                </c:pt>
                <c:pt idx="95">
                  <c:v>1.1741909504719732</c:v>
                </c:pt>
                <c:pt idx="96">
                  <c:v>1.2017061969447005</c:v>
                </c:pt>
                <c:pt idx="97">
                  <c:v>1.24185951658434</c:v>
                </c:pt>
                <c:pt idx="98">
                  <c:v>1.2884344659158546</c:v>
                </c:pt>
                <c:pt idx="99">
                  <c:v>1.2471187657991689</c:v>
                </c:pt>
                <c:pt idx="100">
                  <c:v>1.1570985021325022</c:v>
                </c:pt>
                <c:pt idx="101">
                  <c:v>1.2436300695444471</c:v>
                </c:pt>
                <c:pt idx="102">
                  <c:v>1.2718624100362501</c:v>
                </c:pt>
                <c:pt idx="103">
                  <c:v>1.3397008629018627</c:v>
                </c:pt>
                <c:pt idx="104">
                  <c:v>1.3383652912271056</c:v>
                </c:pt>
                <c:pt idx="105">
                  <c:v>1.4191349469717867</c:v>
                </c:pt>
                <c:pt idx="106">
                  <c:v>1.3610703234738442</c:v>
                </c:pt>
                <c:pt idx="107">
                  <c:v>1.2946725662968108</c:v>
                </c:pt>
                <c:pt idx="108">
                  <c:v>1.2945372760910496</c:v>
                </c:pt>
                <c:pt idx="109">
                  <c:v>1.3375836481275234</c:v>
                </c:pt>
                <c:pt idx="110">
                  <c:v>1.4794909451172142</c:v>
                </c:pt>
                <c:pt idx="111">
                  <c:v>1.4496796723147642</c:v>
                </c:pt>
                <c:pt idx="112">
                  <c:v>1.5339702319147643</c:v>
                </c:pt>
                <c:pt idx="113">
                  <c:v>1.508347591708018</c:v>
                </c:pt>
                <c:pt idx="114">
                  <c:v>1.3806048289045245</c:v>
                </c:pt>
                <c:pt idx="115">
                  <c:v>1.3233402081150509</c:v>
                </c:pt>
                <c:pt idx="116">
                  <c:v>1.2749073316225137</c:v>
                </c:pt>
                <c:pt idx="117">
                  <c:v>1.2665479213235105</c:v>
                </c:pt>
                <c:pt idx="118">
                  <c:v>1.3005758245896397</c:v>
                </c:pt>
                <c:pt idx="119">
                  <c:v>1.1528998238053261</c:v>
                </c:pt>
                <c:pt idx="120">
                  <c:v>1.1171975512057948</c:v>
                </c:pt>
                <c:pt idx="121">
                  <c:v>1.1306772531925497</c:v>
                </c:pt>
                <c:pt idx="122">
                  <c:v>1.1871533549332904</c:v>
                </c:pt>
                <c:pt idx="123">
                  <c:v>1.2486242155793994</c:v>
                </c:pt>
                <c:pt idx="124">
                  <c:v>1.1951888114793991</c:v>
                </c:pt>
                <c:pt idx="125">
                  <c:v>1.1688391499946831</c:v>
                </c:pt>
                <c:pt idx="126">
                  <c:v>1.2208051641668685</c:v>
                </c:pt>
                <c:pt idx="127">
                  <c:v>1.0543334204799342</c:v>
                </c:pt>
                <c:pt idx="128">
                  <c:v>0.9683001254954462</c:v>
                </c:pt>
                <c:pt idx="129">
                  <c:v>1.0775488082875959</c:v>
                </c:pt>
                <c:pt idx="130">
                  <c:v>1.1238220636832794</c:v>
                </c:pt>
                <c:pt idx="131">
                  <c:v>1.1626823702481648</c:v>
                </c:pt>
                <c:pt idx="132">
                  <c:v>1.1570826463029151</c:v>
                </c:pt>
                <c:pt idx="133">
                  <c:v>1.2174503460717012</c:v>
                </c:pt>
                <c:pt idx="134">
                  <c:v>1.2800313577158728</c:v>
                </c:pt>
                <c:pt idx="135">
                  <c:v>1.2330702877061357</c:v>
                </c:pt>
                <c:pt idx="136">
                  <c:v>1.115368488287531</c:v>
                </c:pt>
                <c:pt idx="137">
                  <c:v>1.2212829856379586</c:v>
                </c:pt>
                <c:pt idx="138">
                  <c:v>0.93262830569114985</c:v>
                </c:pt>
                <c:pt idx="139">
                  <c:v>0.85882951883263647</c:v>
                </c:pt>
                <c:pt idx="140">
                  <c:v>0.91512227379815347</c:v>
                </c:pt>
                <c:pt idx="141">
                  <c:v>0.91307556435189996</c:v>
                </c:pt>
                <c:pt idx="142">
                  <c:v>0.83573809936794285</c:v>
                </c:pt>
                <c:pt idx="143">
                  <c:v>0.97608972391728255</c:v>
                </c:pt>
                <c:pt idx="144">
                  <c:v>0.93711282862937451</c:v>
                </c:pt>
                <c:pt idx="145">
                  <c:v>0.80203151460460653</c:v>
                </c:pt>
                <c:pt idx="146">
                  <c:v>0.74891600598229391</c:v>
                </c:pt>
                <c:pt idx="147">
                  <c:v>0.7745898957181433</c:v>
                </c:pt>
                <c:pt idx="148">
                  <c:v>0.87041336063749797</c:v>
                </c:pt>
                <c:pt idx="149">
                  <c:v>0.77178183913893861</c:v>
                </c:pt>
                <c:pt idx="150">
                  <c:v>0.73910436158866444</c:v>
                </c:pt>
                <c:pt idx="151">
                  <c:v>0.82837864257929372</c:v>
                </c:pt>
                <c:pt idx="152">
                  <c:v>0.82091438370288905</c:v>
                </c:pt>
                <c:pt idx="153">
                  <c:v>0.84406609352922768</c:v>
                </c:pt>
                <c:pt idx="154">
                  <c:v>0.74377711136947056</c:v>
                </c:pt>
                <c:pt idx="155">
                  <c:v>0.86962013166416074</c:v>
                </c:pt>
                <c:pt idx="156">
                  <c:v>0.77374661718563931</c:v>
                </c:pt>
                <c:pt idx="157">
                  <c:v>1.081002331910341</c:v>
                </c:pt>
                <c:pt idx="158">
                  <c:v>1.1574587570716601</c:v>
                </c:pt>
                <c:pt idx="159">
                  <c:v>1.1285371351622917</c:v>
                </c:pt>
                <c:pt idx="160">
                  <c:v>1.4920641611337542</c:v>
                </c:pt>
                <c:pt idx="161">
                  <c:v>1.2283468971091707</c:v>
                </c:pt>
                <c:pt idx="162">
                  <c:v>1.134485172755864</c:v>
                </c:pt>
                <c:pt idx="163">
                  <c:v>1.0599444303084475</c:v>
                </c:pt>
                <c:pt idx="164">
                  <c:v>1.286226839016644</c:v>
                </c:pt>
                <c:pt idx="165">
                  <c:v>1.3671821231971317</c:v>
                </c:pt>
                <c:pt idx="166">
                  <c:v>1.240855947887695</c:v>
                </c:pt>
                <c:pt idx="167">
                  <c:v>1.1331107807765841</c:v>
                </c:pt>
                <c:pt idx="168">
                  <c:v>1.0270399169938065</c:v>
                </c:pt>
                <c:pt idx="169">
                  <c:v>0.98769686570391091</c:v>
                </c:pt>
                <c:pt idx="170">
                  <c:v>0.93422293447881088</c:v>
                </c:pt>
                <c:pt idx="171">
                  <c:v>0.96266590459988</c:v>
                </c:pt>
                <c:pt idx="172">
                  <c:v>0.89255032140423507</c:v>
                </c:pt>
                <c:pt idx="173">
                  <c:v>0.99393502130455758</c:v>
                </c:pt>
                <c:pt idx="174">
                  <c:v>1.0170816445186577</c:v>
                </c:pt>
                <c:pt idx="175">
                  <c:v>1.1787498431209966</c:v>
                </c:pt>
                <c:pt idx="176">
                  <c:v>1.1592578076181064</c:v>
                </c:pt>
                <c:pt idx="177">
                  <c:v>0.93943613859752884</c:v>
                </c:pt>
                <c:pt idx="178">
                  <c:v>0.85161723738631223</c:v>
                </c:pt>
                <c:pt idx="179">
                  <c:v>0.98187499012195556</c:v>
                </c:pt>
                <c:pt idx="180">
                  <c:v>0.95461920625089902</c:v>
                </c:pt>
                <c:pt idx="181">
                  <c:v>0.89272134008726267</c:v>
                </c:pt>
                <c:pt idx="182">
                  <c:v>0.84793916795841651</c:v>
                </c:pt>
                <c:pt idx="183">
                  <c:v>0.77976559438750725</c:v>
                </c:pt>
                <c:pt idx="184">
                  <c:v>0.77850244550972969</c:v>
                </c:pt>
                <c:pt idx="185">
                  <c:v>0.70011488704992242</c:v>
                </c:pt>
                <c:pt idx="186">
                  <c:v>0.83871939421470565</c:v>
                </c:pt>
                <c:pt idx="187">
                  <c:v>0.78582026831900664</c:v>
                </c:pt>
                <c:pt idx="188">
                  <c:v>0.79187819714627949</c:v>
                </c:pt>
                <c:pt idx="189">
                  <c:v>0.75426175020882347</c:v>
                </c:pt>
                <c:pt idx="190">
                  <c:v>0.71657586716004273</c:v>
                </c:pt>
                <c:pt idx="191">
                  <c:v>0.67089179631497531</c:v>
                </c:pt>
                <c:pt idx="192">
                  <c:v>0.67233257499701271</c:v>
                </c:pt>
                <c:pt idx="193">
                  <c:v>0.72722683993680515</c:v>
                </c:pt>
                <c:pt idx="194">
                  <c:v>0.76226426836460437</c:v>
                </c:pt>
                <c:pt idx="195">
                  <c:v>0.76892387322946909</c:v>
                </c:pt>
                <c:pt idx="196">
                  <c:v>0.83438323399683512</c:v>
                </c:pt>
                <c:pt idx="197">
                  <c:v>0.89834866331926477</c:v>
                </c:pt>
                <c:pt idx="198">
                  <c:v>0.84666717782023571</c:v>
                </c:pt>
                <c:pt idx="199">
                  <c:v>0.86115470534818339</c:v>
                </c:pt>
                <c:pt idx="200">
                  <c:v>0.89302269127671918</c:v>
                </c:pt>
                <c:pt idx="201">
                  <c:v>0.87705533932222657</c:v>
                </c:pt>
                <c:pt idx="202">
                  <c:v>0.89077293675435787</c:v>
                </c:pt>
                <c:pt idx="203">
                  <c:v>0.84600302457279752</c:v>
                </c:pt>
                <c:pt idx="204">
                  <c:v>0.9003735699707649</c:v>
                </c:pt>
                <c:pt idx="205">
                  <c:v>0.8862719676867501</c:v>
                </c:pt>
                <c:pt idx="206">
                  <c:v>0.88829680074444228</c:v>
                </c:pt>
                <c:pt idx="207">
                  <c:v>0.96558699906289747</c:v>
                </c:pt>
                <c:pt idx="208">
                  <c:v>0.93930268254051774</c:v>
                </c:pt>
                <c:pt idx="209">
                  <c:v>0.92888643094780254</c:v>
                </c:pt>
                <c:pt idx="210">
                  <c:v>0.9006912821997507</c:v>
                </c:pt>
                <c:pt idx="211">
                  <c:v>0.94001819600572079</c:v>
                </c:pt>
                <c:pt idx="212">
                  <c:v>0.86609818377599812</c:v>
                </c:pt>
                <c:pt idx="213">
                  <c:v>0.8242194472150226</c:v>
                </c:pt>
                <c:pt idx="214">
                  <c:v>0.79256915915232184</c:v>
                </c:pt>
                <c:pt idx="215">
                  <c:v>0.70121784530616782</c:v>
                </c:pt>
                <c:pt idx="216">
                  <c:v>0.57231588121955823</c:v>
                </c:pt>
                <c:pt idx="217">
                  <c:v>0.68406595627790578</c:v>
                </c:pt>
                <c:pt idx="218">
                  <c:v>0.62043159919106383</c:v>
                </c:pt>
                <c:pt idx="219">
                  <c:v>0.57435626728889821</c:v>
                </c:pt>
                <c:pt idx="220">
                  <c:v>0.59048112021427146</c:v>
                </c:pt>
                <c:pt idx="221">
                  <c:v>0.74406336751436464</c:v>
                </c:pt>
                <c:pt idx="222">
                  <c:v>0.69504693177660515</c:v>
                </c:pt>
                <c:pt idx="223">
                  <c:v>0.76730862478136708</c:v>
                </c:pt>
                <c:pt idx="224">
                  <c:v>0.86877783481338955</c:v>
                </c:pt>
                <c:pt idx="225">
                  <c:v>0.9752558781824322</c:v>
                </c:pt>
                <c:pt idx="226">
                  <c:v>0.96837139444579101</c:v>
                </c:pt>
                <c:pt idx="227">
                  <c:v>1.0749347039323156</c:v>
                </c:pt>
                <c:pt idx="228">
                  <c:v>1.0148999927653763</c:v>
                </c:pt>
                <c:pt idx="229">
                  <c:v>0.8466860389543609</c:v>
                </c:pt>
                <c:pt idx="230">
                  <c:v>0.81885351266339024</c:v>
                </c:pt>
                <c:pt idx="231">
                  <c:v>0.90984972338881631</c:v>
                </c:pt>
                <c:pt idx="232">
                  <c:v>1.0458835456311173</c:v>
                </c:pt>
                <c:pt idx="233">
                  <c:v>0.89899665684297347</c:v>
                </c:pt>
                <c:pt idx="234">
                  <c:v>0.8305723791437023</c:v>
                </c:pt>
                <c:pt idx="235">
                  <c:v>0.99050506529152826</c:v>
                </c:pt>
                <c:pt idx="236">
                  <c:v>0.9305175677501949</c:v>
                </c:pt>
                <c:pt idx="237">
                  <c:v>1.0299888138154607</c:v>
                </c:pt>
                <c:pt idx="238">
                  <c:v>1.161236123148794</c:v>
                </c:pt>
                <c:pt idx="239">
                  <c:v>0.98956235251038738</c:v>
                </c:pt>
                <c:pt idx="240">
                  <c:v>0.94102565064268429</c:v>
                </c:pt>
                <c:pt idx="241">
                  <c:v>0.94263576592330378</c:v>
                </c:pt>
                <c:pt idx="242">
                  <c:v>0.7639895569176095</c:v>
                </c:pt>
                <c:pt idx="243">
                  <c:v>0.71845470091345787</c:v>
                </c:pt>
                <c:pt idx="244">
                  <c:v>0.83476954451824625</c:v>
                </c:pt>
                <c:pt idx="245">
                  <c:v>0.97863272622665076</c:v>
                </c:pt>
                <c:pt idx="246">
                  <c:v>1.0160736210272365</c:v>
                </c:pt>
                <c:pt idx="247">
                  <c:v>0.72221132845517599</c:v>
                </c:pt>
                <c:pt idx="248">
                  <c:v>0.62696993968864534</c:v>
                </c:pt>
                <c:pt idx="249">
                  <c:v>0.31306999502400851</c:v>
                </c:pt>
                <c:pt idx="250">
                  <c:v>0.39319312326564909</c:v>
                </c:pt>
                <c:pt idx="251">
                  <c:v>0.60414818376860546</c:v>
                </c:pt>
                <c:pt idx="252">
                  <c:v>0.73440825440884772</c:v>
                </c:pt>
                <c:pt idx="253">
                  <c:v>0.60648244728780931</c:v>
                </c:pt>
                <c:pt idx="254">
                  <c:v>0.73602631391299178</c:v>
                </c:pt>
                <c:pt idx="255">
                  <c:v>0.77550065857571338</c:v>
                </c:pt>
                <c:pt idx="256">
                  <c:v>0.81384794062665189</c:v>
                </c:pt>
                <c:pt idx="257">
                  <c:v>0.84922405465541695</c:v>
                </c:pt>
                <c:pt idx="258">
                  <c:v>0.98862582393991405</c:v>
                </c:pt>
                <c:pt idx="259">
                  <c:v>1.014675960574918</c:v>
                </c:pt>
                <c:pt idx="260">
                  <c:v>1.0451701407987828</c:v>
                </c:pt>
                <c:pt idx="261">
                  <c:v>1.3134126873432928</c:v>
                </c:pt>
                <c:pt idx="262">
                  <c:v>1.2312675737297678</c:v>
                </c:pt>
                <c:pt idx="263">
                  <c:v>1.4918918210874212</c:v>
                </c:pt>
                <c:pt idx="264">
                  <c:v>1.3915297335167789</c:v>
                </c:pt>
                <c:pt idx="265">
                  <c:v>1.2456854725843951</c:v>
                </c:pt>
                <c:pt idx="266">
                  <c:v>1.1874454582204104</c:v>
                </c:pt>
                <c:pt idx="267">
                  <c:v>1.2415549378022286</c:v>
                </c:pt>
                <c:pt idx="268">
                  <c:v>1.1472101090420168</c:v>
                </c:pt>
                <c:pt idx="269">
                  <c:v>1.311667639448346</c:v>
                </c:pt>
                <c:pt idx="270">
                  <c:v>1.2613678730308786</c:v>
                </c:pt>
                <c:pt idx="271">
                  <c:v>1.3195691007408892</c:v>
                </c:pt>
                <c:pt idx="272">
                  <c:v>1.209987069857656</c:v>
                </c:pt>
                <c:pt idx="273">
                  <c:v>1.1687235948030659</c:v>
                </c:pt>
                <c:pt idx="274">
                  <c:v>1.2759283174332547</c:v>
                </c:pt>
                <c:pt idx="275">
                  <c:v>1.3255278050914567</c:v>
                </c:pt>
                <c:pt idx="276">
                  <c:v>1.2215121468786769</c:v>
                </c:pt>
                <c:pt idx="277">
                  <c:v>1.110027922249351</c:v>
                </c:pt>
                <c:pt idx="278">
                  <c:v>1.130186804515003</c:v>
                </c:pt>
                <c:pt idx="279">
                  <c:v>1.1703870902773454</c:v>
                </c:pt>
                <c:pt idx="280">
                  <c:v>1.1044910553908736</c:v>
                </c:pt>
                <c:pt idx="281">
                  <c:v>1.2766666422728643</c:v>
                </c:pt>
                <c:pt idx="282">
                  <c:v>1.4151071584781474</c:v>
                </c:pt>
                <c:pt idx="283">
                  <c:v>1.3415277510329533</c:v>
                </c:pt>
                <c:pt idx="284">
                  <c:v>1.4340713321086713</c:v>
                </c:pt>
                <c:pt idx="285">
                  <c:v>1.4385552227546869</c:v>
                </c:pt>
                <c:pt idx="286">
                  <c:v>1.5302277757257352</c:v>
                </c:pt>
                <c:pt idx="287">
                  <c:v>1.5202424421585854</c:v>
                </c:pt>
                <c:pt idx="288">
                  <c:v>1.4888852502971037</c:v>
                </c:pt>
                <c:pt idx="289">
                  <c:v>1.4493701556182268</c:v>
                </c:pt>
                <c:pt idx="290">
                  <c:v>1.3852482138385112</c:v>
                </c:pt>
                <c:pt idx="291">
                  <c:v>1.4184057610504728</c:v>
                </c:pt>
                <c:pt idx="292">
                  <c:v>1.4914202842861963</c:v>
                </c:pt>
                <c:pt idx="293">
                  <c:v>1.5993720023091915</c:v>
                </c:pt>
                <c:pt idx="294">
                  <c:v>1.6789871644355643</c:v>
                </c:pt>
                <c:pt idx="295">
                  <c:v>1.3978276475737674</c:v>
                </c:pt>
                <c:pt idx="296">
                  <c:v>1.4943158144090618</c:v>
                </c:pt>
                <c:pt idx="297">
                  <c:v>1.4799716595654349</c:v>
                </c:pt>
                <c:pt idx="298">
                  <c:v>1.361664002108194</c:v>
                </c:pt>
                <c:pt idx="299">
                  <c:v>1.2946067805788914</c:v>
                </c:pt>
                <c:pt idx="300">
                  <c:v>1.4056169029328793</c:v>
                </c:pt>
                <c:pt idx="301">
                  <c:v>1.4060948370145545</c:v>
                </c:pt>
                <c:pt idx="302">
                  <c:v>1.397953212900519</c:v>
                </c:pt>
                <c:pt idx="303">
                  <c:v>1.4432640816354461</c:v>
                </c:pt>
                <c:pt idx="304">
                  <c:v>1.4641109494666771</c:v>
                </c:pt>
                <c:pt idx="305">
                  <c:v>1.361239904940041</c:v>
                </c:pt>
                <c:pt idx="306">
                  <c:v>1.3291585709467866</c:v>
                </c:pt>
                <c:pt idx="307">
                  <c:v>1.3580870350867866</c:v>
                </c:pt>
                <c:pt idx="308">
                  <c:v>1.2439422029296903</c:v>
                </c:pt>
                <c:pt idx="309">
                  <c:v>1.3012114687583269</c:v>
                </c:pt>
                <c:pt idx="310">
                  <c:v>1.4339032760263986</c:v>
                </c:pt>
                <c:pt idx="311">
                  <c:v>1.5592039422371611</c:v>
                </c:pt>
                <c:pt idx="312">
                  <c:v>1.7881381388599935</c:v>
                </c:pt>
                <c:pt idx="313">
                  <c:v>1.6971903769533685</c:v>
                </c:pt>
                <c:pt idx="314">
                  <c:v>1.8794426021006583</c:v>
                </c:pt>
                <c:pt idx="315">
                  <c:v>1.7708226753028358</c:v>
                </c:pt>
                <c:pt idx="316">
                  <c:v>1.8419983273193412</c:v>
                </c:pt>
                <c:pt idx="317">
                  <c:v>1.7572856916514259</c:v>
                </c:pt>
                <c:pt idx="318">
                  <c:v>1.7334404210042464</c:v>
                </c:pt>
                <c:pt idx="319">
                  <c:v>1.8963422314126677</c:v>
                </c:pt>
                <c:pt idx="320">
                  <c:v>1.9374883992483642</c:v>
                </c:pt>
                <c:pt idx="321">
                  <c:v>1.7142359412056578</c:v>
                </c:pt>
                <c:pt idx="322">
                  <c:v>1.9018401315262987</c:v>
                </c:pt>
                <c:pt idx="323">
                  <c:v>1.8282822005851695</c:v>
                </c:pt>
                <c:pt idx="324">
                  <c:v>1.9802032475649272</c:v>
                </c:pt>
                <c:pt idx="325">
                  <c:v>1.9157709260779869</c:v>
                </c:pt>
                <c:pt idx="326">
                  <c:v>1.797585115296976</c:v>
                </c:pt>
                <c:pt idx="327">
                  <c:v>1.7994807759753759</c:v>
                </c:pt>
                <c:pt idx="328">
                  <c:v>1.5888005943259516</c:v>
                </c:pt>
                <c:pt idx="329">
                  <c:v>1.5645203050052034</c:v>
                </c:pt>
                <c:pt idx="330">
                  <c:v>1.5123533552827837</c:v>
                </c:pt>
                <c:pt idx="331">
                  <c:v>1.715173147135115</c:v>
                </c:pt>
                <c:pt idx="332">
                  <c:v>1.4651318986085871</c:v>
                </c:pt>
                <c:pt idx="333">
                  <c:v>1.3507827965271313</c:v>
                </c:pt>
                <c:pt idx="334">
                  <c:v>1.387608741562397</c:v>
                </c:pt>
                <c:pt idx="335">
                  <c:v>1.4076160772300801</c:v>
                </c:pt>
                <c:pt idx="336">
                  <c:v>1.3851379698055994</c:v>
                </c:pt>
                <c:pt idx="337">
                  <c:v>1.5126866518120647</c:v>
                </c:pt>
                <c:pt idx="338">
                  <c:v>1.5542885446832235</c:v>
                </c:pt>
                <c:pt idx="339">
                  <c:v>1.6354445800268731</c:v>
                </c:pt>
                <c:pt idx="340">
                  <c:v>1.6763314751295626</c:v>
                </c:pt>
                <c:pt idx="341">
                  <c:v>1.5946655638398033</c:v>
                </c:pt>
                <c:pt idx="342">
                  <c:v>1.6493662944467462</c:v>
                </c:pt>
                <c:pt idx="343">
                  <c:v>1.7529258803103376</c:v>
                </c:pt>
                <c:pt idx="344">
                  <c:v>1.6453130196921677</c:v>
                </c:pt>
                <c:pt idx="345">
                  <c:v>1.5444253982378673</c:v>
                </c:pt>
                <c:pt idx="346">
                  <c:v>1.5140954212498747</c:v>
                </c:pt>
                <c:pt idx="347">
                  <c:v>1.5260711605460762</c:v>
                </c:pt>
                <c:pt idx="348">
                  <c:v>1.5506936347832725</c:v>
                </c:pt>
                <c:pt idx="349">
                  <c:v>1.5199892593356079</c:v>
                </c:pt>
                <c:pt idx="350">
                  <c:v>1.8842056212890219</c:v>
                </c:pt>
                <c:pt idx="351">
                  <c:v>1.628008392333548</c:v>
                </c:pt>
                <c:pt idx="352">
                  <c:v>1.4458590311842285</c:v>
                </c:pt>
                <c:pt idx="353">
                  <c:v>1.2753036741330093</c:v>
                </c:pt>
                <c:pt idx="354">
                  <c:v>1.2545257387596256</c:v>
                </c:pt>
                <c:pt idx="355">
                  <c:v>1.1352234873505593</c:v>
                </c:pt>
                <c:pt idx="356">
                  <c:v>1.1125598135144936</c:v>
                </c:pt>
                <c:pt idx="357">
                  <c:v>1.1085673248938872</c:v>
                </c:pt>
                <c:pt idx="358">
                  <c:v>0.93730760894416065</c:v>
                </c:pt>
                <c:pt idx="359">
                  <c:v>0.77173172389588474</c:v>
                </c:pt>
                <c:pt idx="360">
                  <c:v>0.80531496890769261</c:v>
                </c:pt>
                <c:pt idx="361">
                  <c:v>0.69317113315632661</c:v>
                </c:pt>
                <c:pt idx="362">
                  <c:v>0.78819026553981453</c:v>
                </c:pt>
                <c:pt idx="363">
                  <c:v>0.82150189979565413</c:v>
                </c:pt>
                <c:pt idx="364">
                  <c:v>0.74816528902372403</c:v>
                </c:pt>
                <c:pt idx="365">
                  <c:v>0.70809775794135443</c:v>
                </c:pt>
                <c:pt idx="366">
                  <c:v>0.77612004528823952</c:v>
                </c:pt>
                <c:pt idx="367">
                  <c:v>0.63241183522125466</c:v>
                </c:pt>
                <c:pt idx="368">
                  <c:v>0.73776574851153276</c:v>
                </c:pt>
                <c:pt idx="369">
                  <c:v>0.74331056112828964</c:v>
                </c:pt>
                <c:pt idx="370">
                  <c:v>0.66284208449261883</c:v>
                </c:pt>
                <c:pt idx="371">
                  <c:v>0.57497864432164214</c:v>
                </c:pt>
                <c:pt idx="372">
                  <c:v>0.80772258228667926</c:v>
                </c:pt>
                <c:pt idx="373">
                  <c:v>0.75637152568978006</c:v>
                </c:pt>
                <c:pt idx="374">
                  <c:v>0.81291764031032943</c:v>
                </c:pt>
                <c:pt idx="375">
                  <c:v>0.8872119357903292</c:v>
                </c:pt>
                <c:pt idx="376">
                  <c:v>0.77794389601481917</c:v>
                </c:pt>
                <c:pt idx="377">
                  <c:v>0.75300971649019954</c:v>
                </c:pt>
                <c:pt idx="378">
                  <c:v>0.57396674682235505</c:v>
                </c:pt>
                <c:pt idx="379">
                  <c:v>0.55450089610079778</c:v>
                </c:pt>
                <c:pt idx="380">
                  <c:v>0.4291781310472686</c:v>
                </c:pt>
                <c:pt idx="381">
                  <c:v>0.35678770221127543</c:v>
                </c:pt>
                <c:pt idx="382">
                  <c:v>0.31543782490464567</c:v>
                </c:pt>
                <c:pt idx="383">
                  <c:v>0.36696290712397961</c:v>
                </c:pt>
                <c:pt idx="384">
                  <c:v>0.25591205254927152</c:v>
                </c:pt>
                <c:pt idx="385">
                  <c:v>0.23153459126698567</c:v>
                </c:pt>
                <c:pt idx="386">
                  <c:v>0.33467257810109796</c:v>
                </c:pt>
                <c:pt idx="387">
                  <c:v>0.44400804316061554</c:v>
                </c:pt>
                <c:pt idx="388">
                  <c:v>0.26903291997117673</c:v>
                </c:pt>
                <c:pt idx="389">
                  <c:v>0.36923626379038565</c:v>
                </c:pt>
                <c:pt idx="390">
                  <c:v>0.22348868461965402</c:v>
                </c:pt>
                <c:pt idx="391">
                  <c:v>0.2698263393287767</c:v>
                </c:pt>
                <c:pt idx="392">
                  <c:v>0.23658206169424753</c:v>
                </c:pt>
                <c:pt idx="393">
                  <c:v>0.16270916556254014</c:v>
                </c:pt>
                <c:pt idx="394">
                  <c:v>0.18123315828769737</c:v>
                </c:pt>
                <c:pt idx="395">
                  <c:v>0.24442433322058954</c:v>
                </c:pt>
                <c:pt idx="396">
                  <c:v>0.14828906788925156</c:v>
                </c:pt>
                <c:pt idx="397">
                  <c:v>9.6031744562669177E-2</c:v>
                </c:pt>
                <c:pt idx="398">
                  <c:v>0.12266732973178684</c:v>
                </c:pt>
                <c:pt idx="399">
                  <c:v>0.18491237034724833</c:v>
                </c:pt>
                <c:pt idx="400">
                  <c:v>4.1575112195230253E-2</c:v>
                </c:pt>
                <c:pt idx="401">
                  <c:v>0.10227031074907657</c:v>
                </c:pt>
                <c:pt idx="402">
                  <c:v>8.5604536604153653E-2</c:v>
                </c:pt>
                <c:pt idx="403">
                  <c:v>4.630692286973004E-3</c:v>
                </c:pt>
                <c:pt idx="404">
                  <c:v>4.0125525563802347E-2</c:v>
                </c:pt>
                <c:pt idx="405">
                  <c:v>0.13355578154943273</c:v>
                </c:pt>
                <c:pt idx="406">
                  <c:v>0.14871836026636384</c:v>
                </c:pt>
                <c:pt idx="407">
                  <c:v>0.31365284164160179</c:v>
                </c:pt>
                <c:pt idx="408">
                  <c:v>0.3244350339028263</c:v>
                </c:pt>
                <c:pt idx="409">
                  <c:v>0.26175486576636003</c:v>
                </c:pt>
                <c:pt idx="410">
                  <c:v>0.20566879320112907</c:v>
                </c:pt>
                <c:pt idx="411">
                  <c:v>0.16742040258798629</c:v>
                </c:pt>
                <c:pt idx="412">
                  <c:v>0.20023031619723483</c:v>
                </c:pt>
                <c:pt idx="413">
                  <c:v>0.16154482826409189</c:v>
                </c:pt>
                <c:pt idx="414">
                  <c:v>0.1731640187535099</c:v>
                </c:pt>
                <c:pt idx="415">
                  <c:v>9.2823451314019284E-2</c:v>
                </c:pt>
                <c:pt idx="416">
                  <c:v>0.18200364755503307</c:v>
                </c:pt>
                <c:pt idx="417">
                  <c:v>0.20595960603854957</c:v>
                </c:pt>
                <c:pt idx="418">
                  <c:v>0.22996144859325038</c:v>
                </c:pt>
                <c:pt idx="419">
                  <c:v>0.1885390015756033</c:v>
                </c:pt>
                <c:pt idx="420">
                  <c:v>0.30716797017250763</c:v>
                </c:pt>
                <c:pt idx="421">
                  <c:v>0.29488842207250776</c:v>
                </c:pt>
                <c:pt idx="422">
                  <c:v>0.23255529311650777</c:v>
                </c:pt>
                <c:pt idx="423">
                  <c:v>0.34002976261188533</c:v>
                </c:pt>
                <c:pt idx="424">
                  <c:v>0.19522033424271523</c:v>
                </c:pt>
                <c:pt idx="425">
                  <c:v>0.1522396201988597</c:v>
                </c:pt>
                <c:pt idx="426">
                  <c:v>0.10888380660270576</c:v>
                </c:pt>
                <c:pt idx="427">
                  <c:v>0.12436785904808385</c:v>
                </c:pt>
                <c:pt idx="428">
                  <c:v>0.16592028939304437</c:v>
                </c:pt>
                <c:pt idx="429">
                  <c:v>0.18348998815185966</c:v>
                </c:pt>
                <c:pt idx="430">
                  <c:v>0.15195935150237483</c:v>
                </c:pt>
                <c:pt idx="431">
                  <c:v>0.1401143701389852</c:v>
                </c:pt>
                <c:pt idx="432">
                  <c:v>0.18862856518471074</c:v>
                </c:pt>
                <c:pt idx="433">
                  <c:v>0.12635076080971056</c:v>
                </c:pt>
                <c:pt idx="434">
                  <c:v>0.15852761054238376</c:v>
                </c:pt>
                <c:pt idx="435">
                  <c:v>0.17563064968567044</c:v>
                </c:pt>
                <c:pt idx="436">
                  <c:v>0.23052222539415324</c:v>
                </c:pt>
                <c:pt idx="437">
                  <c:v>0.13624162794377156</c:v>
                </c:pt>
                <c:pt idx="438">
                  <c:v>0.10266541718821603</c:v>
                </c:pt>
                <c:pt idx="439">
                  <c:v>0.14898960896481975</c:v>
                </c:pt>
                <c:pt idx="440">
                  <c:v>0.11158659207155389</c:v>
                </c:pt>
                <c:pt idx="441">
                  <c:v>8.9488503722249979E-2</c:v>
                </c:pt>
                <c:pt idx="442">
                  <c:v>0.156246464676038</c:v>
                </c:pt>
                <c:pt idx="443">
                  <c:v>0.2732486503260384</c:v>
                </c:pt>
                <c:pt idx="444">
                  <c:v>0.26776242022238539</c:v>
                </c:pt>
                <c:pt idx="445">
                  <c:v>0.15963870129583971</c:v>
                </c:pt>
                <c:pt idx="446">
                  <c:v>9.9985888141926757E-2</c:v>
                </c:pt>
                <c:pt idx="447">
                  <c:v>0.14096587794766532</c:v>
                </c:pt>
                <c:pt idx="448">
                  <c:v>6.3418106259495538E-2</c:v>
                </c:pt>
                <c:pt idx="449">
                  <c:v>-1.3857361691288649E-4</c:v>
                </c:pt>
                <c:pt idx="450">
                  <c:v>-6.5415779830997375E-2</c:v>
                </c:pt>
                <c:pt idx="451">
                  <c:v>-9.345873402120157E-2</c:v>
                </c:pt>
                <c:pt idx="452">
                  <c:v>1.8311312734444737E-2</c:v>
                </c:pt>
                <c:pt idx="453">
                  <c:v>-4.2845073707660566E-2</c:v>
                </c:pt>
                <c:pt idx="454">
                  <c:v>-3.7977207420958575E-3</c:v>
                </c:pt>
                <c:pt idx="455">
                  <c:v>-9.8189775115814698E-2</c:v>
                </c:pt>
                <c:pt idx="456">
                  <c:v>-3.3384119509656286E-2</c:v>
                </c:pt>
                <c:pt idx="457">
                  <c:v>7.6838295968633379E-3</c:v>
                </c:pt>
                <c:pt idx="458">
                  <c:v>-3.0586982686094798E-2</c:v>
                </c:pt>
                <c:pt idx="459">
                  <c:v>-2.5822683585573079E-2</c:v>
                </c:pt>
                <c:pt idx="460">
                  <c:v>2.3265377942998395E-2</c:v>
                </c:pt>
                <c:pt idx="461">
                  <c:v>-4.1795744297031404E-3</c:v>
                </c:pt>
                <c:pt idx="462">
                  <c:v>-3.2614495366799966E-2</c:v>
                </c:pt>
                <c:pt idx="463">
                  <c:v>-2.5022676850583722E-2</c:v>
                </c:pt>
                <c:pt idx="464">
                  <c:v>-3.028418803335536E-2</c:v>
                </c:pt>
                <c:pt idx="465">
                  <c:v>-2.2965897880628097E-2</c:v>
                </c:pt>
                <c:pt idx="466">
                  <c:v>6.1415032499712221E-3</c:v>
                </c:pt>
                <c:pt idx="467">
                  <c:v>-1.4857310650028779E-2</c:v>
                </c:pt>
                <c:pt idx="468">
                  <c:v>-1.7188975307806529E-2</c:v>
                </c:pt>
                <c:pt idx="469">
                  <c:v>3.5795709983065611E-4</c:v>
                </c:pt>
                <c:pt idx="470">
                  <c:v>-8.9337108533074101E-3</c:v>
                </c:pt>
                <c:pt idx="471">
                  <c:v>1.7248791619557842E-3</c:v>
                </c:pt>
                <c:pt idx="472">
                  <c:v>-1.2734567499201222E-2</c:v>
                </c:pt>
                <c:pt idx="473">
                  <c:v>-6.5278562998414821E-2</c:v>
                </c:pt>
                <c:pt idx="474">
                  <c:v>-5.1866706952226428E-2</c:v>
                </c:pt>
                <c:pt idx="475">
                  <c:v>-2.6846128848940023E-2</c:v>
                </c:pt>
                <c:pt idx="476">
                  <c:v>-4.2166193606894595E-2</c:v>
                </c:pt>
                <c:pt idx="477">
                  <c:v>-6.4035437055069769E-2</c:v>
                </c:pt>
                <c:pt idx="478">
                  <c:v>-9.62217061835378E-2</c:v>
                </c:pt>
                <c:pt idx="479">
                  <c:v>-5.1322923363080336E-2</c:v>
                </c:pt>
                <c:pt idx="480">
                  <c:v>-3.1609952104459681E-2</c:v>
                </c:pt>
                <c:pt idx="481">
                  <c:v>-2.9261206995764077E-2</c:v>
                </c:pt>
                <c:pt idx="482">
                  <c:v>-7.3344546258295234E-3</c:v>
                </c:pt>
                <c:pt idx="483">
                  <c:v>2.4949948518170478E-2</c:v>
                </c:pt>
                <c:pt idx="484">
                  <c:v>3.6222674900916849E-3</c:v>
                </c:pt>
                <c:pt idx="485">
                  <c:v>-1.3357707833897508E-2</c:v>
                </c:pt>
                <c:pt idx="486">
                  <c:v>-3.55993061103951E-2</c:v>
                </c:pt>
                <c:pt idx="487">
                  <c:v>-4.5799398267439332E-4</c:v>
                </c:pt>
                <c:pt idx="488">
                  <c:v>-1.1236050299000924E-2</c:v>
                </c:pt>
                <c:pt idx="489">
                  <c:v>2.1682894996037194E-3</c:v>
                </c:pt>
                <c:pt idx="490">
                  <c:v>-2.3717751863239149E-2</c:v>
                </c:pt>
                <c:pt idx="491">
                  <c:v>-5.7726482903433657E-2</c:v>
                </c:pt>
                <c:pt idx="492">
                  <c:v>-4.5974724675604949E-2</c:v>
                </c:pt>
                <c:pt idx="493">
                  <c:v>-6.8723529337638839E-2</c:v>
                </c:pt>
                <c:pt idx="494">
                  <c:v>-6.7558404112713646E-2</c:v>
                </c:pt>
                <c:pt idx="495">
                  <c:v>-5.4044834613828495E-2</c:v>
                </c:pt>
                <c:pt idx="496">
                  <c:v>-0.13083505638856641</c:v>
                </c:pt>
                <c:pt idx="497">
                  <c:v>-0.12188656941541826</c:v>
                </c:pt>
                <c:pt idx="498">
                  <c:v>-0.11035867653760136</c:v>
                </c:pt>
                <c:pt idx="499">
                  <c:v>-0.12035646350902994</c:v>
                </c:pt>
                <c:pt idx="500">
                  <c:v>-0.10691081446175718</c:v>
                </c:pt>
                <c:pt idx="501">
                  <c:v>-0.10241818548664199</c:v>
                </c:pt>
                <c:pt idx="502">
                  <c:v>-7.8773244625582398E-2</c:v>
                </c:pt>
                <c:pt idx="503">
                  <c:v>-6.6803720758915719E-2</c:v>
                </c:pt>
                <c:pt idx="504">
                  <c:v>-7.648016999224902E-2</c:v>
                </c:pt>
                <c:pt idx="505">
                  <c:v>-6.1997342673066287E-2</c:v>
                </c:pt>
                <c:pt idx="506">
                  <c:v>-6.7269716168942562E-2</c:v>
                </c:pt>
                <c:pt idx="507">
                  <c:v>-5.0556433534448893E-2</c:v>
                </c:pt>
                <c:pt idx="508">
                  <c:v>-6.3407326342758336E-2</c:v>
                </c:pt>
                <c:pt idx="509">
                  <c:v>-8.1724309040940135E-2</c:v>
                </c:pt>
                <c:pt idx="510">
                  <c:v>-6.4551396737813238E-2</c:v>
                </c:pt>
                <c:pt idx="511">
                  <c:v>-6.4191688588460194E-2</c:v>
                </c:pt>
                <c:pt idx="512">
                  <c:v>-3.5724597441429716E-2</c:v>
                </c:pt>
                <c:pt idx="513">
                  <c:v>-4.0616261939429743E-2</c:v>
                </c:pt>
                <c:pt idx="514">
                  <c:v>-2.3355442923735658E-2</c:v>
                </c:pt>
                <c:pt idx="515">
                  <c:v>6.2776334401353452E-3</c:v>
                </c:pt>
                <c:pt idx="516">
                  <c:v>9.2077623601353811E-3</c:v>
                </c:pt>
                <c:pt idx="517">
                  <c:v>-2.4929670043468213E-2</c:v>
                </c:pt>
                <c:pt idx="518">
                  <c:v>-2.0892722020256237E-2</c:v>
                </c:pt>
                <c:pt idx="519">
                  <c:v>2.1342959206196712E-3</c:v>
                </c:pt>
                <c:pt idx="520">
                  <c:v>-8.7230076279737074E-3</c:v>
                </c:pt>
                <c:pt idx="521">
                  <c:v>2.5715993148547689E-3</c:v>
                </c:pt>
                <c:pt idx="522">
                  <c:v>1.4898750501025021E-2</c:v>
                </c:pt>
                <c:pt idx="523">
                  <c:v>-2.4755540504266043E-4</c:v>
                </c:pt>
                <c:pt idx="524">
                  <c:v>-1.901716462657612E-2</c:v>
                </c:pt>
                <c:pt idx="525">
                  <c:v>3.5568204577332362E-4</c:v>
                </c:pt>
                <c:pt idx="526">
                  <c:v>-1.5926651070355739E-2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B8-4D8E-99AC-F72FF7019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156144"/>
        <c:axId val="636133312"/>
      </c:lineChart>
      <c:dateAx>
        <c:axId val="63315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33312"/>
        <c:crosses val="autoZero"/>
        <c:auto val="1"/>
        <c:lblOffset val="100"/>
        <c:baseTimeUnit val="days"/>
      </c:dateAx>
      <c:valAx>
        <c:axId val="63613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26640BF-4FC6-48A1-A1AF-1F201A7EBD40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445E07-0869-4F22-B6E4-A8DA9BA224A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1.9414</v>
      </c>
      <c r="D2" s="4">
        <f>MIN(D3:D1912)</f>
        <v>0.23960000000000001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0.56859999999999999</v>
      </c>
      <c r="C5">
        <v>0.57530000000000003</v>
      </c>
      <c r="D5">
        <v>0.55410000000000004</v>
      </c>
      <c r="E5">
        <v>0.55469999999999997</v>
      </c>
      <c r="F5">
        <v>725310</v>
      </c>
      <c r="G5">
        <v>0.55469999999999997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-0.94339622641510057</v>
      </c>
      <c r="Q5">
        <f t="shared" ref="Q5" si="1">F5*P5</f>
        <v>-684254.71698113659</v>
      </c>
      <c r="R5">
        <f t="shared" ref="R5" si="2">R6+Q5</f>
        <v>-2654864.197987502</v>
      </c>
      <c r="S5">
        <f t="shared" ref="S5" si="3">R5/100000</f>
        <v>-26.548641979875018</v>
      </c>
      <c r="T5">
        <f t="shared" ref="T5" si="4">S5/1000</f>
        <v>-2.6548641979875019E-2</v>
      </c>
    </row>
    <row r="6" spans="1:20" x14ac:dyDescent="0.25">
      <c r="A6" s="5">
        <v>44587</v>
      </c>
      <c r="B6">
        <v>0.59689999999999999</v>
      </c>
      <c r="C6">
        <v>0.62139999999999995</v>
      </c>
      <c r="D6">
        <v>0.55269999999999997</v>
      </c>
      <c r="E6">
        <v>0.56889999999999996</v>
      </c>
      <c r="F6">
        <v>18704114</v>
      </c>
      <c r="G6">
        <v>0.56889999999999996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-0.52838427947598265</v>
      </c>
      <c r="Q6">
        <f t="shared" ref="Q6" si="6">F6*P6</f>
        <v>-9882959.79912664</v>
      </c>
      <c r="R6">
        <f t="shared" ref="R6" si="7">R7+Q6</f>
        <v>-1970609.4810063653</v>
      </c>
      <c r="S6">
        <f t="shared" ref="S6" si="8">R6/100000</f>
        <v>-19.706094810063654</v>
      </c>
      <c r="T6">
        <f t="shared" ref="T6" si="9">S6/1000</f>
        <v>-1.9706094810063655E-2</v>
      </c>
    </row>
    <row r="7" spans="1:20" x14ac:dyDescent="0.25">
      <c r="A7" s="5">
        <v>44586</v>
      </c>
      <c r="B7">
        <v>0.58130000000000004</v>
      </c>
      <c r="C7">
        <v>0.60640000000000005</v>
      </c>
      <c r="D7">
        <v>0.56369999999999998</v>
      </c>
      <c r="E7">
        <v>0.59630000000000005</v>
      </c>
      <c r="F7">
        <v>9298743</v>
      </c>
      <c r="G7">
        <v>0.59630000000000005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0.52693208430913441</v>
      </c>
      <c r="Q7">
        <f t="shared" ref="Q7" si="11">F7*P7</f>
        <v>4899806.0304449731</v>
      </c>
      <c r="R7">
        <f t="shared" ref="R7" si="12">R8+Q7</f>
        <v>7912350.3181202747</v>
      </c>
      <c r="S7">
        <f t="shared" ref="S7" si="13">R7/100000</f>
        <v>79.12350318120275</v>
      </c>
      <c r="T7">
        <f t="shared" ref="T7" si="14">S7/1000</f>
        <v>7.9123503181202745E-2</v>
      </c>
    </row>
    <row r="8" spans="1:20" x14ac:dyDescent="0.25">
      <c r="A8" s="5">
        <v>44585</v>
      </c>
      <c r="B8">
        <v>0.63539999999999996</v>
      </c>
      <c r="C8">
        <v>0.63560000000000005</v>
      </c>
      <c r="D8">
        <v>0.53320000000000001</v>
      </c>
      <c r="E8">
        <v>0.58199999999999996</v>
      </c>
      <c r="F8">
        <v>20431508</v>
      </c>
      <c r="G8">
        <v>0.58199999999999996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-4.6875000000001318E-2</v>
      </c>
      <c r="Q8">
        <f t="shared" ref="Q8" si="16">F8*P8</f>
        <v>-957726.93750002689</v>
      </c>
      <c r="R8">
        <f t="shared" ref="R8" si="17">R9+Q8</f>
        <v>3012544.2876753015</v>
      </c>
      <c r="S8">
        <f t="shared" ref="S8" si="18">R8/100000</f>
        <v>30.125442876753016</v>
      </c>
      <c r="T8">
        <f t="shared" ref="T8" si="19">S8/1000</f>
        <v>3.0125442876753016E-2</v>
      </c>
    </row>
    <row r="9" spans="1:20" x14ac:dyDescent="0.25">
      <c r="A9" s="5">
        <v>44584</v>
      </c>
      <c r="B9">
        <v>0.62729999999999997</v>
      </c>
      <c r="C9">
        <v>0.67700000000000005</v>
      </c>
      <c r="D9">
        <v>0.61860000000000004</v>
      </c>
      <c r="E9">
        <v>0.63570000000000004</v>
      </c>
      <c r="F9">
        <v>14003077</v>
      </c>
      <c r="G9">
        <v>0.63570000000000004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-0.41438356164383555</v>
      </c>
      <c r="Q9">
        <f t="shared" ref="Q9" si="21">F9*P9</f>
        <v>-5802644.9212328754</v>
      </c>
      <c r="R9">
        <f t="shared" ref="R9" si="22">R10+Q9</f>
        <v>3970271.2251753286</v>
      </c>
      <c r="S9">
        <f t="shared" ref="S9" si="23">R9/100000</f>
        <v>39.702712251753283</v>
      </c>
      <c r="T9">
        <f t="shared" ref="T9" si="24">S9/1000</f>
        <v>3.9702712251753286E-2</v>
      </c>
    </row>
    <row r="10" spans="1:20" x14ac:dyDescent="0.25">
      <c r="A10" s="5">
        <v>44583</v>
      </c>
      <c r="B10">
        <v>0.64190000000000003</v>
      </c>
      <c r="C10">
        <v>0.65190000000000003</v>
      </c>
      <c r="D10">
        <v>0.56220000000000003</v>
      </c>
      <c r="E10">
        <v>0.62739999999999996</v>
      </c>
      <c r="F10">
        <v>16843471.100000001</v>
      </c>
      <c r="G10">
        <v>0.62739999999999996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0.45373467112597377</v>
      </c>
      <c r="Q10">
        <f t="shared" ref="Q10" si="26">F10*P10</f>
        <v>7642466.8201783439</v>
      </c>
      <c r="R10">
        <f t="shared" ref="R10" si="27">R11+Q10</f>
        <v>9772916.146408204</v>
      </c>
      <c r="S10">
        <f t="shared" ref="S10" si="28">R10/100000</f>
        <v>97.72916146408204</v>
      </c>
      <c r="T10">
        <f t="shared" ref="T10" si="29">S10/1000</f>
        <v>9.7729161464082046E-2</v>
      </c>
    </row>
    <row r="11" spans="1:20" x14ac:dyDescent="0.25">
      <c r="A11" s="5">
        <v>44582</v>
      </c>
      <c r="B11">
        <v>0.75149999999999995</v>
      </c>
      <c r="C11">
        <v>0.75719999999999998</v>
      </c>
      <c r="D11">
        <v>0.62129999999999996</v>
      </c>
      <c r="E11">
        <v>0.64159999999999995</v>
      </c>
      <c r="F11">
        <v>13627783</v>
      </c>
      <c r="G11">
        <v>0.64159999999999995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-0.70125091979396648</v>
      </c>
      <c r="Q11">
        <f t="shared" ref="Q11" si="31">F11*P11</f>
        <v>-9556495.3635025807</v>
      </c>
      <c r="R11">
        <f t="shared" ref="R11" si="32">R12+Q11</f>
        <v>2130449.3262298591</v>
      </c>
      <c r="S11">
        <f t="shared" ref="S11" si="33">R11/100000</f>
        <v>21.304493262298593</v>
      </c>
      <c r="T11">
        <f t="shared" ref="T11" si="34">S11/1000</f>
        <v>2.1304493262298593E-2</v>
      </c>
    </row>
    <row r="12" spans="1:20" x14ac:dyDescent="0.25">
      <c r="A12" s="5">
        <v>44581</v>
      </c>
      <c r="B12">
        <v>0.754</v>
      </c>
      <c r="C12">
        <v>0.83409999999999995</v>
      </c>
      <c r="D12">
        <v>0.74270000000000003</v>
      </c>
      <c r="E12">
        <v>0.75160000000000005</v>
      </c>
      <c r="F12">
        <v>11433474</v>
      </c>
      <c r="G12">
        <v>0.75160000000000005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-0.80525164113785497</v>
      </c>
      <c r="Q12">
        <f t="shared" ref="Q12" si="36">F12*P12</f>
        <v>-9206823.702406995</v>
      </c>
      <c r="R12">
        <f t="shared" ref="R12" si="37">R13+Q12</f>
        <v>11686944.68973244</v>
      </c>
      <c r="S12">
        <f t="shared" ref="S12" si="38">R12/100000</f>
        <v>116.86944689732439</v>
      </c>
      <c r="T12">
        <f t="shared" ref="T12" si="39">S12/1000</f>
        <v>0.1168694468973244</v>
      </c>
    </row>
    <row r="13" spans="1:20" x14ac:dyDescent="0.25">
      <c r="A13" s="5">
        <v>44580</v>
      </c>
      <c r="B13">
        <v>0.77110000000000001</v>
      </c>
      <c r="C13">
        <v>0.77349999999999997</v>
      </c>
      <c r="D13">
        <v>0.72789999999999999</v>
      </c>
      <c r="E13">
        <v>0.75329999999999997</v>
      </c>
      <c r="F13">
        <v>6306014</v>
      </c>
      <c r="G13">
        <v>0.75329999999999997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0.11403508771929792</v>
      </c>
      <c r="Q13">
        <f t="shared" ref="Q13" si="41">F13*P13</f>
        <v>719106.85964912071</v>
      </c>
      <c r="R13">
        <f t="shared" ref="R13" si="42">R14+Q13</f>
        <v>20893768.392139435</v>
      </c>
      <c r="S13">
        <f t="shared" ref="S13" si="43">R13/100000</f>
        <v>208.93768392139435</v>
      </c>
      <c r="T13">
        <f t="shared" ref="T13" si="44">S13/1000</f>
        <v>0.20893768392139436</v>
      </c>
    </row>
    <row r="14" spans="1:20" x14ac:dyDescent="0.25">
      <c r="A14" s="5">
        <v>44579</v>
      </c>
      <c r="B14">
        <v>0.78849999999999998</v>
      </c>
      <c r="C14">
        <v>0.80489999999999995</v>
      </c>
      <c r="D14">
        <v>0.75170000000000003</v>
      </c>
      <c r="E14">
        <v>0.77129999999999999</v>
      </c>
      <c r="F14">
        <v>6557018</v>
      </c>
      <c r="G14">
        <v>0.77129999999999999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-0.26315789473684276</v>
      </c>
      <c r="Q14">
        <f t="shared" ref="Q14" si="46">F14*P14</f>
        <v>-1725531.0526315833</v>
      </c>
      <c r="R14">
        <f t="shared" ref="R14" si="47">R15+Q14</f>
        <v>20174661.532490313</v>
      </c>
      <c r="S14">
        <f t="shared" ref="S14" si="48">R14/100000</f>
        <v>201.74661532490313</v>
      </c>
      <c r="T14">
        <f t="shared" ref="T14" si="49">S14/1000</f>
        <v>0.20174661532490312</v>
      </c>
    </row>
    <row r="15" spans="1:20" x14ac:dyDescent="0.25">
      <c r="A15" s="5">
        <v>44578</v>
      </c>
      <c r="B15">
        <v>0.82469999999999999</v>
      </c>
      <c r="C15">
        <v>0.84619999999999995</v>
      </c>
      <c r="D15">
        <v>0.77500000000000002</v>
      </c>
      <c r="E15">
        <v>0.7883</v>
      </c>
      <c r="F15">
        <v>9533950</v>
      </c>
      <c r="G15">
        <v>0.7883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-0.62640449438202273</v>
      </c>
      <c r="Q15">
        <f t="shared" ref="Q15" si="51">F15*P15</f>
        <v>-5972109.1292134859</v>
      </c>
      <c r="R15">
        <f t="shared" ref="R15" si="52">R16+Q15</f>
        <v>21900192.585121896</v>
      </c>
      <c r="S15">
        <f t="shared" ref="S15" si="53">R15/100000</f>
        <v>219.00192585121897</v>
      </c>
      <c r="T15">
        <f t="shared" ref="T15" si="54">S15/1000</f>
        <v>0.21900192585121897</v>
      </c>
    </row>
    <row r="16" spans="1:20" x14ac:dyDescent="0.25">
      <c r="A16" s="5">
        <v>44577</v>
      </c>
      <c r="B16">
        <v>0.82330000000000003</v>
      </c>
      <c r="C16">
        <v>0.85460000000000003</v>
      </c>
      <c r="D16">
        <v>0.81320000000000003</v>
      </c>
      <c r="E16">
        <v>0.82479999999999998</v>
      </c>
      <c r="F16">
        <v>10606883</v>
      </c>
      <c r="G16">
        <v>0.82479999999999998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-0.43961352657005093</v>
      </c>
      <c r="Q16">
        <f t="shared" ref="Q16" si="56">F16*P16</f>
        <v>-4662929.2415459212</v>
      </c>
      <c r="R16">
        <f t="shared" ref="R16" si="57">R17+Q16</f>
        <v>27872301.714335382</v>
      </c>
      <c r="S16">
        <f t="shared" ref="S16" si="58">R16/100000</f>
        <v>278.72301714335384</v>
      </c>
      <c r="T16">
        <f t="shared" ref="T16" si="59">S16/1000</f>
        <v>0.27872301714335385</v>
      </c>
    </row>
    <row r="17" spans="1:20" x14ac:dyDescent="0.25">
      <c r="A17" s="5">
        <v>44576</v>
      </c>
      <c r="B17">
        <v>0.79769999999999996</v>
      </c>
      <c r="C17">
        <v>0.83750000000000002</v>
      </c>
      <c r="D17">
        <v>0.77569999999999995</v>
      </c>
      <c r="E17">
        <v>0.82330000000000003</v>
      </c>
      <c r="F17">
        <v>9044651</v>
      </c>
      <c r="G17">
        <v>0.82330000000000003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0.54045307443365787</v>
      </c>
      <c r="Q17">
        <f t="shared" ref="Q17" si="61">F17*P17</f>
        <v>4888209.440129458</v>
      </c>
      <c r="R17">
        <f t="shared" ref="R17" si="62">R18+Q17</f>
        <v>32535230.955881305</v>
      </c>
      <c r="S17">
        <f t="shared" ref="S17" si="63">R17/100000</f>
        <v>325.35230955881303</v>
      </c>
      <c r="T17">
        <f t="shared" ref="T17" si="64">S17/1000</f>
        <v>0.32535230955881306</v>
      </c>
    </row>
    <row r="18" spans="1:20" x14ac:dyDescent="0.25">
      <c r="A18" s="5">
        <v>44575</v>
      </c>
      <c r="B18">
        <v>0.74950000000000006</v>
      </c>
      <c r="C18">
        <v>0.80730000000000002</v>
      </c>
      <c r="D18">
        <v>0.74260000000000004</v>
      </c>
      <c r="E18">
        <v>0.79769999999999996</v>
      </c>
      <c r="F18">
        <v>11931205</v>
      </c>
      <c r="G18">
        <v>0.79769999999999996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0.70324574961359954</v>
      </c>
      <c r="Q18">
        <f t="shared" ref="Q18" si="66">F18*P18</f>
        <v>8390569.2040185276</v>
      </c>
      <c r="R18">
        <f t="shared" ref="R18" si="67">R19+Q18</f>
        <v>27647021.515751846</v>
      </c>
      <c r="S18">
        <f t="shared" ref="S18" si="68">R18/100000</f>
        <v>276.47021515751845</v>
      </c>
      <c r="T18">
        <f t="shared" ref="T18" si="69">S18/1000</f>
        <v>0.27647021515751846</v>
      </c>
    </row>
    <row r="19" spans="1:20" x14ac:dyDescent="0.25">
      <c r="A19" s="5">
        <v>44574</v>
      </c>
      <c r="B19">
        <v>0.79469999999999996</v>
      </c>
      <c r="C19">
        <v>0.8095</v>
      </c>
      <c r="D19">
        <v>0.747</v>
      </c>
      <c r="E19">
        <v>0.75</v>
      </c>
      <c r="F19">
        <v>8500874</v>
      </c>
      <c r="G19">
        <v>0.75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-0.90399999999999991</v>
      </c>
      <c r="Q19">
        <f t="shared" ref="Q19" si="71">F19*P19</f>
        <v>-7684790.095999999</v>
      </c>
      <c r="R19">
        <f t="shared" ref="R19" si="72">R20+Q19</f>
        <v>19256452.31173332</v>
      </c>
      <c r="S19">
        <f t="shared" ref="S19" si="73">R19/100000</f>
        <v>192.56452311733321</v>
      </c>
      <c r="T19">
        <f t="shared" ref="T19" si="74">S19/1000</f>
        <v>0.19256452311733321</v>
      </c>
    </row>
    <row r="20" spans="1:20" x14ac:dyDescent="0.25">
      <c r="A20" s="5">
        <v>44573</v>
      </c>
      <c r="B20">
        <v>0.745</v>
      </c>
      <c r="C20">
        <v>0.81089999999999995</v>
      </c>
      <c r="D20">
        <v>0.74109999999999998</v>
      </c>
      <c r="E20">
        <v>0.79520000000000002</v>
      </c>
      <c r="F20">
        <v>9244363</v>
      </c>
      <c r="G20">
        <v>0.79520000000000002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0.55014326647564638</v>
      </c>
      <c r="Q20">
        <f t="shared" ref="Q20" si="76">F20*P20</f>
        <v>5085724.0573066054</v>
      </c>
      <c r="R20">
        <f t="shared" ref="R20" si="77">R21+Q20</f>
        <v>26941242.407733317</v>
      </c>
      <c r="S20">
        <f t="shared" ref="S20" si="78">R20/100000</f>
        <v>269.41242407733318</v>
      </c>
      <c r="T20">
        <f t="shared" ref="T20" si="79">S20/1000</f>
        <v>0.26941242407733318</v>
      </c>
    </row>
    <row r="21" spans="1:20" x14ac:dyDescent="0.25">
      <c r="A21" s="5">
        <v>44572</v>
      </c>
      <c r="B21">
        <v>0.70420000000000005</v>
      </c>
      <c r="C21">
        <v>0.75470000000000004</v>
      </c>
      <c r="D21">
        <v>0.69730000000000003</v>
      </c>
      <c r="E21">
        <v>0.74560000000000004</v>
      </c>
      <c r="F21">
        <v>8505484</v>
      </c>
      <c r="G21">
        <v>0.74560000000000004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0.68292682926829285</v>
      </c>
      <c r="Q21">
        <f t="shared" ref="Q21" si="81">F21*P21</f>
        <v>5808623.2195121963</v>
      </c>
      <c r="R21">
        <f t="shared" ref="R21" si="82">R22+Q21</f>
        <v>21855518.350426711</v>
      </c>
      <c r="S21">
        <f t="shared" ref="S21" si="83">R21/100000</f>
        <v>218.55518350426712</v>
      </c>
      <c r="T21">
        <f t="shared" ref="T21" si="84">S21/1000</f>
        <v>0.21855518350426711</v>
      </c>
    </row>
    <row r="22" spans="1:20" x14ac:dyDescent="0.25">
      <c r="A22" s="5">
        <v>44571</v>
      </c>
      <c r="B22">
        <v>0.73919999999999997</v>
      </c>
      <c r="C22">
        <v>0.76339999999999997</v>
      </c>
      <c r="D22">
        <v>0.67669999999999997</v>
      </c>
      <c r="E22">
        <v>0.70509999999999995</v>
      </c>
      <c r="F22">
        <v>13872451</v>
      </c>
      <c r="G22">
        <v>0.70509999999999995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-0.34486735870818958</v>
      </c>
      <c r="Q22">
        <f t="shared" ref="Q22" si="86">F22*P22</f>
        <v>-4784155.5351787833</v>
      </c>
      <c r="R22">
        <f t="shared" ref="R22" si="87">R23+Q22</f>
        <v>16046895.130914513</v>
      </c>
      <c r="S22">
        <f t="shared" ref="S22" si="88">R22/100000</f>
        <v>160.46895130914513</v>
      </c>
      <c r="T22">
        <f t="shared" ref="T22" si="89">S22/1000</f>
        <v>0.16046895130914512</v>
      </c>
    </row>
    <row r="23" spans="1:20" x14ac:dyDescent="0.25">
      <c r="A23" s="5">
        <v>44570</v>
      </c>
      <c r="B23">
        <v>0.72460000000000002</v>
      </c>
      <c r="C23">
        <v>0.75529999999999997</v>
      </c>
      <c r="D23">
        <v>0.7157</v>
      </c>
      <c r="E23">
        <v>0.74009999999999998</v>
      </c>
      <c r="F23">
        <v>8664608</v>
      </c>
      <c r="G23">
        <v>0.74009999999999998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0.23232323232323215</v>
      </c>
      <c r="Q23">
        <f t="shared" ref="Q23" si="91">F23*P23</f>
        <v>2012989.737373736</v>
      </c>
      <c r="R23">
        <f t="shared" ref="R23" si="92">R24+Q23</f>
        <v>20831050.666093297</v>
      </c>
      <c r="S23">
        <f t="shared" ref="S23" si="93">R23/100000</f>
        <v>208.31050666093299</v>
      </c>
      <c r="T23">
        <f t="shared" ref="T23" si="94">S23/1000</f>
        <v>0.20831050666093298</v>
      </c>
    </row>
    <row r="24" spans="1:20" x14ac:dyDescent="0.25">
      <c r="A24" s="5">
        <v>44569</v>
      </c>
      <c r="B24">
        <v>0.75719999999999998</v>
      </c>
      <c r="C24">
        <v>0.77959999999999996</v>
      </c>
      <c r="D24">
        <v>0.70779999999999998</v>
      </c>
      <c r="E24">
        <v>0.72360000000000002</v>
      </c>
      <c r="F24">
        <v>10827564</v>
      </c>
      <c r="G24">
        <v>0.72360000000000002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-0.5598885793871855</v>
      </c>
      <c r="Q24">
        <f t="shared" ref="Q24" si="96">F24*P24</f>
        <v>-6062229.4261838319</v>
      </c>
      <c r="R24">
        <f t="shared" ref="R24" si="97">R25+Q24</f>
        <v>18818060.928719562</v>
      </c>
      <c r="S24">
        <f t="shared" ref="S24" si="98">R24/100000</f>
        <v>188.18060928719561</v>
      </c>
      <c r="T24">
        <f t="shared" ref="T24" si="99">S24/1000</f>
        <v>0.1881806092871956</v>
      </c>
    </row>
    <row r="25" spans="1:20" x14ac:dyDescent="0.25">
      <c r="A25" s="5">
        <v>44568</v>
      </c>
      <c r="B25">
        <v>0.8256</v>
      </c>
      <c r="C25">
        <v>0.82930000000000004</v>
      </c>
      <c r="D25">
        <v>0.73850000000000005</v>
      </c>
      <c r="E25">
        <v>0.75660000000000005</v>
      </c>
      <c r="F25">
        <v>21368191</v>
      </c>
      <c r="G25">
        <v>0.75660000000000005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-0.6013215859030836</v>
      </c>
      <c r="Q25">
        <f t="shared" ref="Q25" si="101">F25*P25</f>
        <v>-12849154.499999998</v>
      </c>
      <c r="R25">
        <f t="shared" ref="R25" si="102">R26+Q25</f>
        <v>24880290.354903392</v>
      </c>
      <c r="S25">
        <f t="shared" ref="S25" si="103">R25/100000</f>
        <v>248.80290354903391</v>
      </c>
      <c r="T25">
        <f t="shared" ref="T25" si="104">S25/1000</f>
        <v>0.24880290354903392</v>
      </c>
    </row>
    <row r="26" spans="1:20" x14ac:dyDescent="0.25">
      <c r="A26" s="5">
        <v>44567</v>
      </c>
      <c r="B26">
        <v>0.8659</v>
      </c>
      <c r="C26">
        <v>0.87990000000000002</v>
      </c>
      <c r="D26">
        <v>0.82099999999999995</v>
      </c>
      <c r="E26">
        <v>0.82609999999999995</v>
      </c>
      <c r="F26">
        <v>19304922</v>
      </c>
      <c r="G26">
        <v>0.82609999999999995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-0.82682512733446556</v>
      </c>
      <c r="Q26">
        <f t="shared" ref="Q26" si="106">F26*P26</f>
        <v>-15961794.590831926</v>
      </c>
      <c r="R26">
        <f t="shared" ref="R26" si="107">R27+Q26</f>
        <v>37729444.854903392</v>
      </c>
      <c r="S26">
        <f t="shared" ref="S26" si="108">R26/100000</f>
        <v>377.29444854903392</v>
      </c>
      <c r="T26">
        <f t="shared" ref="T26" si="109">S26/1000</f>
        <v>0.37729444854903393</v>
      </c>
    </row>
    <row r="27" spans="1:20" x14ac:dyDescent="0.25">
      <c r="A27" s="5">
        <v>44566</v>
      </c>
      <c r="B27">
        <v>0.94910000000000005</v>
      </c>
      <c r="C27">
        <v>1.0365</v>
      </c>
      <c r="D27">
        <v>0.81899999999999995</v>
      </c>
      <c r="E27">
        <v>0.86450000000000005</v>
      </c>
      <c r="F27">
        <v>36916761</v>
      </c>
      <c r="G27">
        <v>0.86450000000000005</v>
      </c>
      <c r="L27" t="s">
        <v>8</v>
      </c>
      <c r="M27" t="s">
        <v>8</v>
      </c>
      <c r="N27" t="s">
        <v>7</v>
      </c>
      <c r="P27">
        <f t="shared" ref="P27" si="110">IF(C27=D27,0,((E27-D27)-(C27-E27))/(C27-D27))</f>
        <v>-0.58160919540229805</v>
      </c>
      <c r="Q27">
        <f t="shared" ref="Q27" si="111">F27*P27</f>
        <v>-21471127.662068937</v>
      </c>
      <c r="R27">
        <f t="shared" ref="R27" si="112">R28+Q27</f>
        <v>53691239.44573532</v>
      </c>
      <c r="S27">
        <f t="shared" ref="S27" si="113">R27/100000</f>
        <v>536.91239445735323</v>
      </c>
      <c r="T27">
        <f t="shared" ref="T27" si="114">S27/1000</f>
        <v>0.53691239445735328</v>
      </c>
    </row>
    <row r="28" spans="1:20" x14ac:dyDescent="0.25">
      <c r="A28" s="5">
        <v>44565</v>
      </c>
      <c r="B28">
        <v>0.91590000000000005</v>
      </c>
      <c r="C28">
        <v>0.96830000000000005</v>
      </c>
      <c r="D28">
        <v>0.89500000000000002</v>
      </c>
      <c r="E28">
        <v>0.94740000000000002</v>
      </c>
      <c r="F28">
        <v>14431536</v>
      </c>
      <c r="G28">
        <v>0.94740000000000002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0.42974079126875797</v>
      </c>
      <c r="Q28">
        <f t="shared" ref="Q28" si="116">F28*P28</f>
        <v>6201819.6998635661</v>
      </c>
      <c r="R28">
        <f t="shared" ref="R28" si="117">R29+Q28</f>
        <v>75162367.107804254</v>
      </c>
      <c r="S28">
        <f t="shared" ref="S28" si="118">R28/100000</f>
        <v>751.62367107804255</v>
      </c>
      <c r="T28">
        <f t="shared" ref="T28" si="119">S28/1000</f>
        <v>0.75162367107804251</v>
      </c>
    </row>
    <row r="29" spans="1:20" x14ac:dyDescent="0.25">
      <c r="A29" s="5">
        <v>44564</v>
      </c>
      <c r="B29">
        <v>0.90129999999999999</v>
      </c>
      <c r="C29">
        <v>0.94320000000000004</v>
      </c>
      <c r="D29">
        <v>0.87780000000000002</v>
      </c>
      <c r="E29">
        <v>0.91590000000000005</v>
      </c>
      <c r="F29">
        <v>11233782</v>
      </c>
      <c r="G29">
        <v>0.91590000000000005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0.16513761467889954</v>
      </c>
      <c r="Q29">
        <f t="shared" ref="Q29" si="121">F29*P29</f>
        <v>1855119.9633027574</v>
      </c>
      <c r="R29">
        <f t="shared" ref="R29" si="122">R30+Q29</f>
        <v>68960547.407940686</v>
      </c>
      <c r="S29">
        <f t="shared" ref="S29" si="123">R29/100000</f>
        <v>689.6054740794068</v>
      </c>
      <c r="T29">
        <f t="shared" ref="T29" si="124">S29/1000</f>
        <v>0.68960547407940676</v>
      </c>
    </row>
    <row r="30" spans="1:20" x14ac:dyDescent="0.25">
      <c r="A30" s="5">
        <v>44563</v>
      </c>
      <c r="B30">
        <v>0.89249999999999996</v>
      </c>
      <c r="C30">
        <v>0.92689999999999995</v>
      </c>
      <c r="D30">
        <v>0.88719999999999999</v>
      </c>
      <c r="E30">
        <v>0.90259999999999996</v>
      </c>
      <c r="F30">
        <v>10342168</v>
      </c>
      <c r="G30">
        <v>0.90259999999999996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-0.22418136020151205</v>
      </c>
      <c r="Q30">
        <f t="shared" ref="Q30" si="126">F30*P30</f>
        <v>-2318521.2896725517</v>
      </c>
      <c r="R30">
        <f t="shared" ref="R30" si="127">R31+Q30</f>
        <v>67105427.444637924</v>
      </c>
      <c r="S30">
        <f t="shared" ref="S30" si="128">R30/100000</f>
        <v>671.05427444637928</v>
      </c>
      <c r="T30">
        <f t="shared" ref="T30" si="129">S30/1000</f>
        <v>0.67105427444637933</v>
      </c>
    </row>
    <row r="31" spans="1:20" x14ac:dyDescent="0.25">
      <c r="A31" s="5">
        <v>44562</v>
      </c>
      <c r="B31">
        <v>0.85599999999999998</v>
      </c>
      <c r="C31">
        <v>0.89590000000000003</v>
      </c>
      <c r="D31">
        <v>0.85</v>
      </c>
      <c r="E31">
        <v>0.89329999999999998</v>
      </c>
      <c r="F31">
        <v>5671275</v>
      </c>
      <c r="G31">
        <v>0.89329999999999998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0.88671023965141427</v>
      </c>
      <c r="Q31">
        <f t="shared" ref="Q31" si="131">F31*P31</f>
        <v>5028777.6143790744</v>
      </c>
      <c r="R31">
        <f t="shared" ref="R31" si="132">R32+Q31</f>
        <v>69423948.734310478</v>
      </c>
      <c r="S31">
        <f t="shared" ref="S31" si="133">R31/100000</f>
        <v>694.23948734310477</v>
      </c>
      <c r="T31">
        <f t="shared" ref="T31" si="134">S31/1000</f>
        <v>0.69423948734310481</v>
      </c>
    </row>
    <row r="32" spans="1:20" x14ac:dyDescent="0.25">
      <c r="A32" s="5">
        <v>44561</v>
      </c>
      <c r="B32">
        <v>0.86780000000000002</v>
      </c>
      <c r="C32">
        <v>0.94</v>
      </c>
      <c r="D32">
        <v>0.8357</v>
      </c>
      <c r="E32">
        <v>0.85609999999999997</v>
      </c>
      <c r="F32">
        <v>13464816</v>
      </c>
      <c r="G32">
        <v>0.85609999999999997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-0.60882070949185074</v>
      </c>
      <c r="Q32">
        <f t="shared" ref="Q32" si="136">F32*P32</f>
        <v>-8197658.8302972233</v>
      </c>
      <c r="R32">
        <f t="shared" ref="R32" si="137">R33+Q32</f>
        <v>64395171.119931407</v>
      </c>
      <c r="S32">
        <f t="shared" ref="S32" si="138">R32/100000</f>
        <v>643.9517111993141</v>
      </c>
      <c r="T32">
        <f t="shared" ref="T32" si="139">S32/1000</f>
        <v>0.64395171119931416</v>
      </c>
    </row>
    <row r="33" spans="1:20" x14ac:dyDescent="0.25">
      <c r="A33" s="5">
        <v>44560</v>
      </c>
      <c r="B33">
        <v>0.83689999999999998</v>
      </c>
      <c r="C33">
        <v>0.87729999999999997</v>
      </c>
      <c r="D33">
        <v>0.81699999999999995</v>
      </c>
      <c r="E33">
        <v>0.86819999999999997</v>
      </c>
      <c r="F33">
        <v>8996190</v>
      </c>
      <c r="G33">
        <v>0.86819999999999997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0.69817578772802669</v>
      </c>
      <c r="Q33">
        <f t="shared" ref="Q33" si="141">F33*P33</f>
        <v>6280922.039800996</v>
      </c>
      <c r="R33">
        <f t="shared" ref="R33" si="142">R34+Q33</f>
        <v>72592829.950228631</v>
      </c>
      <c r="S33">
        <f t="shared" ref="S33" si="143">R33/100000</f>
        <v>725.92829950228634</v>
      </c>
      <c r="T33">
        <f t="shared" ref="T33" si="144">S33/1000</f>
        <v>0.72592829950228632</v>
      </c>
    </row>
    <row r="34" spans="1:20" x14ac:dyDescent="0.25">
      <c r="A34" s="5">
        <v>44559</v>
      </c>
      <c r="B34">
        <v>0.87290000000000001</v>
      </c>
      <c r="C34">
        <v>0.8972</v>
      </c>
      <c r="D34">
        <v>0.82830000000000004</v>
      </c>
      <c r="E34">
        <v>0.83640000000000003</v>
      </c>
      <c r="F34">
        <v>10982661</v>
      </c>
      <c r="G34">
        <v>0.83640000000000003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-0.76487663280116114</v>
      </c>
      <c r="Q34">
        <f t="shared" ref="Q34" si="146">F34*P34</f>
        <v>-8400380.7648766339</v>
      </c>
      <c r="R34">
        <f t="shared" ref="R34" si="147">R35+Q34</f>
        <v>66311907.91042763</v>
      </c>
      <c r="S34">
        <f t="shared" ref="S34" si="148">R34/100000</f>
        <v>663.11907910427635</v>
      </c>
      <c r="T34">
        <f t="shared" ref="T34" si="149">S34/1000</f>
        <v>0.66311907910427637</v>
      </c>
    </row>
    <row r="35" spans="1:20" x14ac:dyDescent="0.25">
      <c r="A35" s="5">
        <v>44558</v>
      </c>
      <c r="B35">
        <v>0.97130000000000005</v>
      </c>
      <c r="C35">
        <v>0.97170000000000001</v>
      </c>
      <c r="D35">
        <v>0.8619</v>
      </c>
      <c r="E35">
        <v>0.87380000000000002</v>
      </c>
      <c r="F35">
        <v>20144599</v>
      </c>
      <c r="G35">
        <v>0.87380000000000002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-0.78324225865209429</v>
      </c>
      <c r="Q35">
        <f t="shared" ref="Q35" si="151">F35*P35</f>
        <v>-15778101.220400721</v>
      </c>
      <c r="R35">
        <f t="shared" ref="R35" si="152">R36+Q35</f>
        <v>74712288.675304264</v>
      </c>
      <c r="S35">
        <f t="shared" ref="S35" si="153">R35/100000</f>
        <v>747.12288675304262</v>
      </c>
      <c r="T35">
        <f t="shared" ref="T35" si="154">S35/1000</f>
        <v>0.74712288675304261</v>
      </c>
    </row>
    <row r="36" spans="1:20" x14ac:dyDescent="0.25">
      <c r="A36" s="5">
        <v>44557</v>
      </c>
      <c r="B36">
        <v>0.95089999999999997</v>
      </c>
      <c r="C36">
        <v>1.04</v>
      </c>
      <c r="D36">
        <v>0.94189999999999996</v>
      </c>
      <c r="E36">
        <v>0.97170000000000001</v>
      </c>
      <c r="F36">
        <v>25060478</v>
      </c>
      <c r="G36">
        <v>0.97170000000000001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-0.39245667686034608</v>
      </c>
      <c r="Q36">
        <f t="shared" ref="Q36" si="156">F36*P36</f>
        <v>-9835151.9164118115</v>
      </c>
      <c r="R36">
        <f t="shared" ref="R36" si="157">R37+Q36</f>
        <v>90490389.895704985</v>
      </c>
      <c r="S36">
        <f t="shared" ref="S36" si="158">R36/100000</f>
        <v>904.90389895704982</v>
      </c>
      <c r="T36">
        <f t="shared" ref="T36" si="159">S36/1000</f>
        <v>0.90490389895704981</v>
      </c>
    </row>
    <row r="37" spans="1:20" x14ac:dyDescent="0.25">
      <c r="A37" s="5">
        <v>44556</v>
      </c>
      <c r="B37">
        <v>0.96789999999999998</v>
      </c>
      <c r="C37">
        <v>0.97840000000000005</v>
      </c>
      <c r="D37">
        <v>0.92349999999999999</v>
      </c>
      <c r="E37">
        <v>0.95120000000000005</v>
      </c>
      <c r="F37">
        <v>12970641</v>
      </c>
      <c r="G37">
        <v>0.95120000000000005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9.1074681238625752E-3</v>
      </c>
      <c r="Q37">
        <f t="shared" ref="Q37" si="161">F37*P37</f>
        <v>118129.699453565</v>
      </c>
      <c r="R37">
        <f t="shared" ref="R37" si="162">R38+Q37</f>
        <v>100325541.8121168</v>
      </c>
      <c r="S37">
        <f t="shared" ref="S37" si="163">R37/100000</f>
        <v>1003.255418121168</v>
      </c>
      <c r="T37">
        <f t="shared" ref="T37" si="164">S37/1000</f>
        <v>1.0032554181211679</v>
      </c>
    </row>
    <row r="38" spans="1:20" x14ac:dyDescent="0.25">
      <c r="A38" s="5">
        <v>44555</v>
      </c>
      <c r="B38">
        <v>0.91659999999999997</v>
      </c>
      <c r="C38">
        <v>1.0373000000000001</v>
      </c>
      <c r="D38">
        <v>0.90620000000000001</v>
      </c>
      <c r="E38">
        <v>0.96809999999999996</v>
      </c>
      <c r="F38">
        <v>24097141</v>
      </c>
      <c r="G38">
        <v>0.96809999999999996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-5.5682684973304267E-2</v>
      </c>
      <c r="Q38">
        <f t="shared" ref="Q38" si="166">F38*P38</f>
        <v>-1341793.5110602942</v>
      </c>
      <c r="R38">
        <f t="shared" ref="R38" si="167">R39+Q38</f>
        <v>100207412.11266324</v>
      </c>
      <c r="S38">
        <f t="shared" ref="S38" si="168">R38/100000</f>
        <v>1002.0741211266323</v>
      </c>
      <c r="T38">
        <f t="shared" ref="T38" si="169">S38/1000</f>
        <v>1.0020741211266324</v>
      </c>
    </row>
    <row r="39" spans="1:20" x14ac:dyDescent="0.25">
      <c r="A39" s="5">
        <v>44554</v>
      </c>
      <c r="B39">
        <v>0.94879999999999998</v>
      </c>
      <c r="C39">
        <v>0.99209999999999998</v>
      </c>
      <c r="D39">
        <v>0.90259999999999996</v>
      </c>
      <c r="E39">
        <v>0.91610000000000003</v>
      </c>
      <c r="F39">
        <v>14374308</v>
      </c>
      <c r="G39">
        <v>0.91610000000000003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-0.69832402234636726</v>
      </c>
      <c r="Q39">
        <f t="shared" ref="Q39" si="171">F39*P39</f>
        <v>-10037924.581005566</v>
      </c>
      <c r="R39">
        <f t="shared" ref="R39" si="172">R40+Q39</f>
        <v>101549205.62372354</v>
      </c>
      <c r="S39">
        <f t="shared" ref="S39" si="173">R39/100000</f>
        <v>1015.4920562372354</v>
      </c>
      <c r="T39">
        <f t="shared" ref="T39" si="174">S39/1000</f>
        <v>1.0154920562372354</v>
      </c>
    </row>
    <row r="40" spans="1:20" x14ac:dyDescent="0.25">
      <c r="A40" s="5">
        <v>44553</v>
      </c>
      <c r="B40">
        <v>0.98219999999999996</v>
      </c>
      <c r="C40">
        <v>0.995</v>
      </c>
      <c r="D40">
        <v>0.90590000000000004</v>
      </c>
      <c r="E40">
        <v>0.94750000000000001</v>
      </c>
      <c r="F40">
        <v>27903684</v>
      </c>
      <c r="G40">
        <v>0.94750000000000001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-6.6217732884399763E-2</v>
      </c>
      <c r="Q40">
        <f t="shared" ref="Q40" si="176">F40*P40</f>
        <v>-1847718.6936026996</v>
      </c>
      <c r="R40">
        <f t="shared" ref="R40" si="177">R41+Q40</f>
        <v>111587130.2047291</v>
      </c>
      <c r="S40">
        <f t="shared" ref="S40" si="178">R40/100000</f>
        <v>1115.871302047291</v>
      </c>
      <c r="T40">
        <f t="shared" ref="T40" si="179">S40/1000</f>
        <v>1.115871302047291</v>
      </c>
    </row>
    <row r="41" spans="1:20" x14ac:dyDescent="0.25">
      <c r="A41" s="5">
        <v>44552</v>
      </c>
      <c r="B41">
        <v>0.78139999999999998</v>
      </c>
      <c r="C41">
        <v>1.28</v>
      </c>
      <c r="D41">
        <v>0.78</v>
      </c>
      <c r="E41">
        <v>0.98209999999999997</v>
      </c>
      <c r="F41">
        <v>95329422</v>
      </c>
      <c r="G41">
        <v>0.98209999999999997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-0.19160000000000021</v>
      </c>
      <c r="Q41">
        <f t="shared" ref="Q41" si="181">F41*P41</f>
        <v>-18265117.255200021</v>
      </c>
      <c r="R41">
        <f t="shared" ref="R41" si="182">R42+Q41</f>
        <v>113434848.89833179</v>
      </c>
      <c r="S41">
        <f t="shared" ref="S41" si="183">R41/100000</f>
        <v>1134.348488983318</v>
      </c>
      <c r="T41">
        <f t="shared" ref="T41" si="184">S41/1000</f>
        <v>1.134348488983318</v>
      </c>
    </row>
    <row r="42" spans="1:20" x14ac:dyDescent="0.25">
      <c r="A42" s="5">
        <v>44551</v>
      </c>
      <c r="B42">
        <v>0.75480000000000003</v>
      </c>
      <c r="C42">
        <v>0.7863</v>
      </c>
      <c r="D42">
        <v>0.74790000000000001</v>
      </c>
      <c r="E42">
        <v>0.78059999999999996</v>
      </c>
      <c r="F42">
        <v>6439997</v>
      </c>
      <c r="G42">
        <v>0.78059999999999996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0.70312499999999789</v>
      </c>
      <c r="Q42">
        <f t="shared" ref="Q42" si="186">F42*P42</f>
        <v>4528122.890624986</v>
      </c>
      <c r="R42">
        <f t="shared" ref="R42" si="187">R43+Q42</f>
        <v>131699966.15353182</v>
      </c>
      <c r="S42">
        <f t="shared" ref="S42" si="188">R42/100000</f>
        <v>1316.9996615353182</v>
      </c>
      <c r="T42">
        <f t="shared" ref="T42" si="189">S42/1000</f>
        <v>1.3169996615353181</v>
      </c>
    </row>
    <row r="43" spans="1:20" x14ac:dyDescent="0.25">
      <c r="A43" s="5">
        <v>44550</v>
      </c>
      <c r="B43">
        <v>0.7722</v>
      </c>
      <c r="C43">
        <v>0.77880000000000005</v>
      </c>
      <c r="D43">
        <v>0.71909999999999996</v>
      </c>
      <c r="E43">
        <v>0.75449999999999995</v>
      </c>
      <c r="F43">
        <v>9184227</v>
      </c>
      <c r="G43">
        <v>0.75449999999999995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0.18592964824120389</v>
      </c>
      <c r="Q43">
        <f t="shared" ref="Q43" si="191">F43*P43</f>
        <v>1707620.0954773673</v>
      </c>
      <c r="R43">
        <f t="shared" ref="R43" si="192">R44+Q43</f>
        <v>127171843.26290683</v>
      </c>
      <c r="S43">
        <f t="shared" ref="S43" si="193">R43/100000</f>
        <v>1271.7184326290683</v>
      </c>
      <c r="T43">
        <f t="shared" ref="T43" si="194">S43/1000</f>
        <v>1.2717184326290683</v>
      </c>
    </row>
    <row r="44" spans="1:20" x14ac:dyDescent="0.25">
      <c r="A44" s="5">
        <v>44549</v>
      </c>
      <c r="B44">
        <v>0.78920000000000001</v>
      </c>
      <c r="C44">
        <v>0.80449999999999999</v>
      </c>
      <c r="D44">
        <v>0.76749999999999996</v>
      </c>
      <c r="E44">
        <v>0.77300000000000002</v>
      </c>
      <c r="F44">
        <v>5410470</v>
      </c>
      <c r="G44">
        <v>0.77300000000000002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-0.70270270270269974</v>
      </c>
      <c r="Q44">
        <f t="shared" ref="Q44" si="196">F44*P44</f>
        <v>-3801951.8918918758</v>
      </c>
      <c r="R44">
        <f t="shared" ref="R44" si="197">R45+Q44</f>
        <v>125464223.16742946</v>
      </c>
      <c r="S44">
        <f t="shared" ref="S44" si="198">R44/100000</f>
        <v>1254.6422316742946</v>
      </c>
      <c r="T44">
        <f t="shared" ref="T44" si="199">S44/1000</f>
        <v>1.2546422316742947</v>
      </c>
    </row>
    <row r="45" spans="1:20" x14ac:dyDescent="0.25">
      <c r="A45" s="5">
        <v>44548</v>
      </c>
      <c r="B45">
        <v>0.77500000000000002</v>
      </c>
      <c r="C45">
        <v>0.80569999999999997</v>
      </c>
      <c r="D45">
        <v>0.75829999999999997</v>
      </c>
      <c r="E45">
        <v>0.78910000000000002</v>
      </c>
      <c r="F45">
        <v>6247227</v>
      </c>
      <c r="G45">
        <v>0.78910000000000002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0.29957805907173213</v>
      </c>
      <c r="Q45">
        <f t="shared" ref="Q45" si="201">F45*P45</f>
        <v>1871532.1392405198</v>
      </c>
      <c r="R45">
        <f t="shared" ref="R45" si="202">R46+Q45</f>
        <v>129266175.05932134</v>
      </c>
      <c r="S45">
        <f t="shared" ref="S45" si="203">R45/100000</f>
        <v>1292.6617505932134</v>
      </c>
      <c r="T45">
        <f t="shared" ref="T45" si="204">S45/1000</f>
        <v>1.2926617505932134</v>
      </c>
    </row>
    <row r="46" spans="1:20" x14ac:dyDescent="0.25">
      <c r="A46" s="5">
        <v>44547</v>
      </c>
      <c r="B46">
        <v>0.80269999999999997</v>
      </c>
      <c r="C46">
        <v>0.8196</v>
      </c>
      <c r="D46">
        <v>0.75129999999999997</v>
      </c>
      <c r="E46">
        <v>0.77439999999999998</v>
      </c>
      <c r="F46">
        <v>10633519</v>
      </c>
      <c r="G46">
        <v>0.77439999999999998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-0.32357247437774522</v>
      </c>
      <c r="Q46">
        <f t="shared" ref="Q46" si="206">F46*P46</f>
        <v>-3440714.0541727669</v>
      </c>
      <c r="R46">
        <f t="shared" ref="R46" si="207">R47+Q46</f>
        <v>127394642.92008083</v>
      </c>
      <c r="S46">
        <f t="shared" ref="S46" si="208">R46/100000</f>
        <v>1273.9464292008083</v>
      </c>
      <c r="T46">
        <f t="shared" ref="T46" si="209">S46/1000</f>
        <v>1.2739464292008083</v>
      </c>
    </row>
    <row r="47" spans="1:20" x14ac:dyDescent="0.25">
      <c r="A47" s="5">
        <v>44546</v>
      </c>
      <c r="B47">
        <v>0.80640000000000001</v>
      </c>
      <c r="C47">
        <v>0.86709999999999998</v>
      </c>
      <c r="D47">
        <v>0.80089999999999995</v>
      </c>
      <c r="E47">
        <v>0.80369999999999997</v>
      </c>
      <c r="F47">
        <v>10630617</v>
      </c>
      <c r="G47">
        <v>0.80369999999999997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-0.91540785498489352</v>
      </c>
      <c r="Q47">
        <f t="shared" ref="Q47" si="211">F47*P47</f>
        <v>-9731350.305135943</v>
      </c>
      <c r="R47">
        <f t="shared" ref="R47" si="212">R48+Q47</f>
        <v>130835356.97425359</v>
      </c>
      <c r="S47">
        <f t="shared" ref="S47" si="213">R47/100000</f>
        <v>1308.3535697425359</v>
      </c>
      <c r="T47">
        <f t="shared" ref="T47" si="214">S47/1000</f>
        <v>1.3083535697425359</v>
      </c>
    </row>
    <row r="48" spans="1:20" x14ac:dyDescent="0.25">
      <c r="A48" s="5">
        <v>44545</v>
      </c>
      <c r="B48">
        <v>0.79310000000000003</v>
      </c>
      <c r="C48">
        <v>0.8246</v>
      </c>
      <c r="D48">
        <v>0.74819999999999998</v>
      </c>
      <c r="E48">
        <v>0.80689999999999995</v>
      </c>
      <c r="F48">
        <v>11457331</v>
      </c>
      <c r="G48">
        <v>0.80689999999999995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0.53664921465968474</v>
      </c>
      <c r="Q48">
        <f t="shared" ref="Q48" si="216">F48*P48</f>
        <v>6148567.6832460603</v>
      </c>
      <c r="R48">
        <f t="shared" ref="R48" si="217">R49+Q48</f>
        <v>140566707.27938953</v>
      </c>
      <c r="S48">
        <f t="shared" ref="S48" si="218">R48/100000</f>
        <v>1405.6670727938954</v>
      </c>
      <c r="T48">
        <f t="shared" ref="T48" si="219">S48/1000</f>
        <v>1.4056670727938954</v>
      </c>
    </row>
    <row r="49" spans="1:20" x14ac:dyDescent="0.25">
      <c r="A49" s="5">
        <v>44544</v>
      </c>
      <c r="B49">
        <v>0.77</v>
      </c>
      <c r="C49">
        <v>0.80379999999999996</v>
      </c>
      <c r="D49">
        <v>0.74419999999999997</v>
      </c>
      <c r="E49">
        <v>0.79379999999999995</v>
      </c>
      <c r="F49">
        <v>10423817</v>
      </c>
      <c r="G49">
        <v>0.79379999999999995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0.66442953020134188</v>
      </c>
      <c r="Q49">
        <f t="shared" ref="Q49" si="221">F49*P49</f>
        <v>6925891.8322147606</v>
      </c>
      <c r="R49">
        <f t="shared" ref="R49" si="222">R50+Q49</f>
        <v>134418139.59614348</v>
      </c>
      <c r="S49">
        <f t="shared" ref="S49" si="223">R49/100000</f>
        <v>1344.1813959614349</v>
      </c>
      <c r="T49">
        <f t="shared" ref="T49" si="224">S49/1000</f>
        <v>1.3441813959614348</v>
      </c>
    </row>
    <row r="50" spans="1:20" x14ac:dyDescent="0.25">
      <c r="A50" s="5">
        <v>44543</v>
      </c>
      <c r="B50">
        <v>0.86729999999999996</v>
      </c>
      <c r="C50">
        <v>0.87690000000000001</v>
      </c>
      <c r="D50">
        <v>0.75539999999999996</v>
      </c>
      <c r="E50">
        <v>0.76949999999999996</v>
      </c>
      <c r="F50">
        <v>12956283</v>
      </c>
      <c r="G50">
        <v>0.76949999999999996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-0.76790123456790127</v>
      </c>
      <c r="Q50">
        <f t="shared" ref="Q50" si="226">F50*P50</f>
        <v>-9949145.7111111116</v>
      </c>
      <c r="R50">
        <f t="shared" ref="R50" si="227">R51+Q50</f>
        <v>127492247.76392873</v>
      </c>
      <c r="S50">
        <f t="shared" ref="S50" si="228">R50/100000</f>
        <v>1274.9224776392873</v>
      </c>
      <c r="T50">
        <f t="shared" ref="T50" si="229">S50/1000</f>
        <v>1.2749224776392873</v>
      </c>
    </row>
    <row r="51" spans="1:20" x14ac:dyDescent="0.25">
      <c r="A51" s="5">
        <v>44542</v>
      </c>
      <c r="B51">
        <v>0.87350000000000005</v>
      </c>
      <c r="C51">
        <v>0.88429999999999997</v>
      </c>
      <c r="D51">
        <v>0.83440000000000003</v>
      </c>
      <c r="E51">
        <v>0.86709999999999998</v>
      </c>
      <c r="F51">
        <v>8695582</v>
      </c>
      <c r="G51">
        <v>0.86709999999999998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0.31062124248496947</v>
      </c>
      <c r="Q51">
        <f t="shared" ref="Q51" si="231">F51*P51</f>
        <v>2701032.4849699358</v>
      </c>
      <c r="R51">
        <f t="shared" ref="R51" si="232">R52+Q51</f>
        <v>137441393.47503984</v>
      </c>
      <c r="S51">
        <f t="shared" ref="S51" si="233">R51/100000</f>
        <v>1374.4139347503983</v>
      </c>
      <c r="T51">
        <f t="shared" ref="T51" si="234">S51/1000</f>
        <v>1.3744139347503983</v>
      </c>
    </row>
    <row r="52" spans="1:20" x14ac:dyDescent="0.25">
      <c r="A52" s="5">
        <v>44541</v>
      </c>
      <c r="B52">
        <v>0.82679999999999998</v>
      </c>
      <c r="C52">
        <v>0.83409999999999995</v>
      </c>
      <c r="D52">
        <v>0.80330000000000001</v>
      </c>
      <c r="E52">
        <v>0.82769999999999999</v>
      </c>
      <c r="F52">
        <v>1728095</v>
      </c>
      <c r="G52">
        <v>0.82769999999999999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0.58441558441558605</v>
      </c>
      <c r="Q52">
        <f t="shared" ref="Q52" si="236">F52*P52</f>
        <v>1009925.6493506522</v>
      </c>
      <c r="R52">
        <f t="shared" ref="R52" si="237">R53+Q52</f>
        <v>134740360.9900699</v>
      </c>
      <c r="S52">
        <f t="shared" ref="S52" si="238">R52/100000</f>
        <v>1347.4036099006989</v>
      </c>
      <c r="T52">
        <f t="shared" ref="T52" si="239">S52/1000</f>
        <v>1.347403609900699</v>
      </c>
    </row>
    <row r="53" spans="1:20" x14ac:dyDescent="0.25">
      <c r="A53" s="5">
        <v>44540</v>
      </c>
      <c r="B53">
        <v>0.89059999999999995</v>
      </c>
      <c r="C53">
        <v>0.92749999999999999</v>
      </c>
      <c r="D53">
        <v>0.82469999999999999</v>
      </c>
      <c r="E53">
        <v>0.82799999999999996</v>
      </c>
      <c r="F53">
        <v>19657913</v>
      </c>
      <c r="G53">
        <v>0.82799999999999996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-0.93579766536965037</v>
      </c>
      <c r="Q53">
        <f t="shared" ref="Q53" si="241">F53*P53</f>
        <v>-18395829.091439698</v>
      </c>
      <c r="R53">
        <f t="shared" ref="R53" si="242">R54+Q53</f>
        <v>133730435.34071925</v>
      </c>
      <c r="S53">
        <f t="shared" ref="S53" si="243">R53/100000</f>
        <v>1337.3043534071926</v>
      </c>
      <c r="T53">
        <f t="shared" ref="T53" si="244">S53/1000</f>
        <v>1.3373043534071927</v>
      </c>
    </row>
    <row r="54" spans="1:20" x14ac:dyDescent="0.25">
      <c r="A54" s="5">
        <v>44539</v>
      </c>
      <c r="B54">
        <v>0.94199999999999995</v>
      </c>
      <c r="C54">
        <v>1.0119</v>
      </c>
      <c r="D54">
        <v>0.87090000000000001</v>
      </c>
      <c r="E54">
        <v>0.89059999999999995</v>
      </c>
      <c r="F54">
        <v>32113872</v>
      </c>
      <c r="G54">
        <v>0.89059999999999995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-0.72056737588652575</v>
      </c>
      <c r="Q54">
        <f t="shared" ref="Q54" si="246">F54*P54</f>
        <v>-23140208.476595774</v>
      </c>
      <c r="R54">
        <f t="shared" ref="R54" si="247">R55+Q54</f>
        <v>152126264.43215895</v>
      </c>
      <c r="S54">
        <f t="shared" ref="S54" si="248">R54/100000</f>
        <v>1521.2626443215895</v>
      </c>
      <c r="T54">
        <f t="shared" ref="T54" si="249">S54/1000</f>
        <v>1.5212626443215895</v>
      </c>
    </row>
    <row r="55" spans="1:20" x14ac:dyDescent="0.25">
      <c r="A55" s="5">
        <v>44538</v>
      </c>
      <c r="B55">
        <v>0.90749999999999997</v>
      </c>
      <c r="C55">
        <v>0.9627</v>
      </c>
      <c r="D55">
        <v>0.85199999999999998</v>
      </c>
      <c r="E55">
        <v>0.94140000000000001</v>
      </c>
      <c r="F55">
        <v>22359974</v>
      </c>
      <c r="G55">
        <v>0.94140000000000001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0.61517615176151796</v>
      </c>
      <c r="Q55">
        <f t="shared" ref="Q55" si="251">F55*P55</f>
        <v>13755322.758807596</v>
      </c>
      <c r="R55">
        <f t="shared" ref="R55" si="252">R56+Q55</f>
        <v>175266472.90875471</v>
      </c>
      <c r="S55">
        <f t="shared" ref="S55" si="253">R55/100000</f>
        <v>1752.6647290875471</v>
      </c>
      <c r="T55">
        <f t="shared" ref="T55" si="254">S55/1000</f>
        <v>1.7526647290875472</v>
      </c>
    </row>
    <row r="56" spans="1:20" x14ac:dyDescent="0.25">
      <c r="A56" s="5">
        <v>44537</v>
      </c>
      <c r="B56">
        <v>0.9506</v>
      </c>
      <c r="C56">
        <v>0.98609999999999998</v>
      </c>
      <c r="D56">
        <v>0.88919999999999999</v>
      </c>
      <c r="E56">
        <v>0.90769999999999995</v>
      </c>
      <c r="F56">
        <v>20468708</v>
      </c>
      <c r="G56">
        <v>0.90769999999999995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-0.61816305469556321</v>
      </c>
      <c r="Q56">
        <f t="shared" ref="Q56" si="256">F56*P56</f>
        <v>-12652999.062951513</v>
      </c>
      <c r="R56">
        <f t="shared" ref="R56" si="257">R57+Q56</f>
        <v>161511150.14994711</v>
      </c>
      <c r="S56">
        <f t="shared" ref="S56" si="258">R56/100000</f>
        <v>1615.1115014994712</v>
      </c>
      <c r="T56">
        <f t="shared" ref="T56" si="259">S56/1000</f>
        <v>1.6151115014994712</v>
      </c>
    </row>
    <row r="57" spans="1:20" x14ac:dyDescent="0.25">
      <c r="A57" s="5">
        <v>44536</v>
      </c>
      <c r="B57">
        <v>0.94679999999999997</v>
      </c>
      <c r="C57">
        <v>0.96209999999999996</v>
      </c>
      <c r="D57">
        <v>0.82989999999999997</v>
      </c>
      <c r="E57">
        <v>0.95189999999999997</v>
      </c>
      <c r="F57">
        <v>23748610</v>
      </c>
      <c r="G57">
        <v>0.95189999999999997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0.84568835098335871</v>
      </c>
      <c r="Q57">
        <f t="shared" ref="Q57" si="261">F57*P57</f>
        <v>20083922.829046901</v>
      </c>
      <c r="R57">
        <f t="shared" ref="R57" si="262">R58+Q57</f>
        <v>174164149.21289861</v>
      </c>
      <c r="S57">
        <f t="shared" ref="S57" si="263">R57/100000</f>
        <v>1741.6414921289861</v>
      </c>
      <c r="T57">
        <f t="shared" ref="T57" si="264">S57/1000</f>
        <v>1.741641492128986</v>
      </c>
    </row>
    <row r="58" spans="1:20" x14ac:dyDescent="0.25">
      <c r="A58" s="5">
        <v>44535</v>
      </c>
      <c r="B58">
        <v>1.0462</v>
      </c>
      <c r="C58">
        <v>1.0727</v>
      </c>
      <c r="D58">
        <v>0.91659999999999997</v>
      </c>
      <c r="E58">
        <v>0.94689999999999996</v>
      </c>
      <c r="F58">
        <v>25920762</v>
      </c>
      <c r="G58">
        <v>0.94689999999999996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-0.61178731582319035</v>
      </c>
      <c r="Q58">
        <f t="shared" ref="Q58" si="266">F58*P58</f>
        <v>-15857993.408071751</v>
      </c>
      <c r="R58">
        <f t="shared" ref="R58" si="267">R59+Q58</f>
        <v>154080226.38385171</v>
      </c>
      <c r="S58">
        <f t="shared" ref="S58" si="268">R58/100000</f>
        <v>1540.8022638385171</v>
      </c>
      <c r="T58">
        <f t="shared" ref="T58" si="269">S58/1000</f>
        <v>1.540802263838517</v>
      </c>
    </row>
    <row r="59" spans="1:20" x14ac:dyDescent="0.25">
      <c r="A59" s="5">
        <v>44534</v>
      </c>
      <c r="B59">
        <v>1.2477</v>
      </c>
      <c r="C59">
        <v>1.3035000000000001</v>
      </c>
      <c r="D59">
        <v>0.80379999999999996</v>
      </c>
      <c r="E59">
        <v>1.0474000000000001</v>
      </c>
      <c r="F59">
        <v>57901241</v>
      </c>
      <c r="G59">
        <v>1.0474000000000001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-2.5015009005402922E-2</v>
      </c>
      <c r="Q59">
        <f t="shared" ref="Q59" si="271">F59*P59</f>
        <v>-1448400.0650390049</v>
      </c>
      <c r="R59">
        <f t="shared" ref="R59" si="272">R60+Q59</f>
        <v>169938219.79192346</v>
      </c>
      <c r="S59">
        <f t="shared" ref="S59" si="273">R59/100000</f>
        <v>1699.3821979192346</v>
      </c>
      <c r="T59">
        <f t="shared" ref="T59" si="274">S59/1000</f>
        <v>1.6993821979192345</v>
      </c>
    </row>
    <row r="60" spans="1:20" x14ac:dyDescent="0.25">
      <c r="A60" s="5">
        <v>44533</v>
      </c>
      <c r="B60">
        <v>1.2239</v>
      </c>
      <c r="C60">
        <v>1.3872</v>
      </c>
      <c r="D60">
        <v>1.1821999999999999</v>
      </c>
      <c r="E60">
        <v>1.2495000000000001</v>
      </c>
      <c r="F60">
        <v>45884826</v>
      </c>
      <c r="G60">
        <v>1.2495000000000001</v>
      </c>
      <c r="L60" t="s">
        <v>8</v>
      </c>
      <c r="M60" t="s">
        <v>7</v>
      </c>
      <c r="N60" t="s">
        <v>8</v>
      </c>
      <c r="P60">
        <f t="shared" ref="P60" si="275">IF(C60=D60,0,((E60-D60)-(C60-E60))/(C60-D60))</f>
        <v>-0.34341463414634033</v>
      </c>
      <c r="Q60">
        <f t="shared" ref="Q60" si="276">F60*P60</f>
        <v>-15757520.733658485</v>
      </c>
      <c r="R60">
        <f t="shared" ref="R60" si="277">R61+Q60</f>
        <v>171386619.85696247</v>
      </c>
      <c r="S60">
        <f t="shared" ref="S60" si="278">R60/100000</f>
        <v>1713.8661985696247</v>
      </c>
      <c r="T60">
        <f t="shared" ref="T60" si="279">S60/1000</f>
        <v>1.7138661985696246</v>
      </c>
    </row>
    <row r="61" spans="1:20" x14ac:dyDescent="0.25">
      <c r="A61" s="5">
        <v>44532</v>
      </c>
      <c r="B61">
        <v>1.2473000000000001</v>
      </c>
      <c r="C61">
        <v>1.2569999999999999</v>
      </c>
      <c r="D61">
        <v>1.17</v>
      </c>
      <c r="E61">
        <v>1.2250000000000001</v>
      </c>
      <c r="F61">
        <v>21928609</v>
      </c>
      <c r="G61">
        <v>1.2250000000000001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0.2643678160919582</v>
      </c>
      <c r="Q61">
        <f t="shared" ref="Q61" si="281">F61*P61</f>
        <v>5797218.4712644592</v>
      </c>
      <c r="R61">
        <f t="shared" ref="R61" si="282">R62+Q61</f>
        <v>187144140.59062096</v>
      </c>
      <c r="S61">
        <f t="shared" ref="S61" si="283">R61/100000</f>
        <v>1871.4414059062096</v>
      </c>
      <c r="T61">
        <f t="shared" ref="T61" si="284">S61/1000</f>
        <v>1.8714414059062097</v>
      </c>
    </row>
    <row r="62" spans="1:20" x14ac:dyDescent="0.25">
      <c r="A62" s="5">
        <v>44531</v>
      </c>
      <c r="B62">
        <v>1.2831999999999999</v>
      </c>
      <c r="C62">
        <v>1.44</v>
      </c>
      <c r="D62">
        <v>1.2250000000000001</v>
      </c>
      <c r="E62">
        <v>1.2473000000000001</v>
      </c>
      <c r="F62">
        <v>82325681.930000007</v>
      </c>
      <c r="G62">
        <v>1.2473000000000001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-0.79255813953488374</v>
      </c>
      <c r="Q62">
        <f t="shared" ref="Q62" si="286">F62*P62</f>
        <v>-65247889.306381404</v>
      </c>
      <c r="R62">
        <f t="shared" ref="R62" si="287">R63+Q62</f>
        <v>181346922.11935651</v>
      </c>
      <c r="S62">
        <f t="shared" ref="S62" si="288">R62/100000</f>
        <v>1813.4692211935651</v>
      </c>
      <c r="T62">
        <f t="shared" ref="T62" si="289">S62/1000</f>
        <v>1.813469221193565</v>
      </c>
    </row>
    <row r="63" spans="1:20" x14ac:dyDescent="0.25">
      <c r="A63" s="5">
        <v>44530</v>
      </c>
      <c r="B63">
        <v>1.0516000000000001</v>
      </c>
      <c r="C63">
        <v>1.3252999999999999</v>
      </c>
      <c r="D63">
        <v>0.99739999999999995</v>
      </c>
      <c r="E63">
        <v>1.2813000000000001</v>
      </c>
      <c r="F63">
        <v>67126423</v>
      </c>
      <c r="G63">
        <v>1.2813000000000001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0.73162549557792123</v>
      </c>
      <c r="Q63">
        <f t="shared" ref="Q63" si="291">F63*P63</f>
        <v>49111402.493748173</v>
      </c>
      <c r="R63">
        <f t="shared" ref="R63" si="292">R64+Q63</f>
        <v>246594811.42573792</v>
      </c>
      <c r="S63">
        <f t="shared" ref="S63" si="293">R63/100000</f>
        <v>2465.9481142573791</v>
      </c>
      <c r="T63">
        <f t="shared" ref="T63" si="294">S63/1000</f>
        <v>2.4659481142573791</v>
      </c>
    </row>
    <row r="64" spans="1:20" x14ac:dyDescent="0.25">
      <c r="A64" s="5">
        <v>44529</v>
      </c>
      <c r="B64">
        <v>1.0840000000000001</v>
      </c>
      <c r="C64">
        <v>1.1100000000000001</v>
      </c>
      <c r="D64">
        <v>1.0412999999999999</v>
      </c>
      <c r="E64">
        <v>1.0528999999999999</v>
      </c>
      <c r="F64">
        <v>15425047</v>
      </c>
      <c r="G64">
        <v>1.0528999999999999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-0.66229985443959183</v>
      </c>
      <c r="Q64">
        <f t="shared" ref="Q64" si="296">F64*P64</f>
        <v>-10216006.382823862</v>
      </c>
      <c r="R64">
        <f t="shared" ref="R64" si="297">R65+Q64</f>
        <v>197483408.93198976</v>
      </c>
      <c r="S64">
        <f t="shared" ref="S64" si="298">R64/100000</f>
        <v>1974.8340893198977</v>
      </c>
      <c r="T64">
        <f t="shared" ref="T64" si="299">S64/1000</f>
        <v>1.9748340893198977</v>
      </c>
    </row>
    <row r="65" spans="1:20" x14ac:dyDescent="0.25">
      <c r="A65" s="5">
        <v>44528</v>
      </c>
      <c r="B65">
        <v>1.1476999999999999</v>
      </c>
      <c r="C65">
        <v>1.1517999999999999</v>
      </c>
      <c r="D65">
        <v>0.99229999999999996</v>
      </c>
      <c r="E65">
        <v>1.085</v>
      </c>
      <c r="F65">
        <v>25543169</v>
      </c>
      <c r="G65">
        <v>1.085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0.16238244514106606</v>
      </c>
      <c r="Q65">
        <f t="shared" ref="Q65" si="301">F65*P65</f>
        <v>4147762.2388714794</v>
      </c>
      <c r="R65">
        <f t="shared" ref="R65" si="302">R66+Q65</f>
        <v>207699415.31481361</v>
      </c>
      <c r="S65">
        <f t="shared" ref="S65" si="303">R65/100000</f>
        <v>2076.9941531481363</v>
      </c>
      <c r="T65">
        <f t="shared" ref="T65" si="304">S65/1000</f>
        <v>2.0769941531481364</v>
      </c>
    </row>
    <row r="66" spans="1:20" x14ac:dyDescent="0.25">
      <c r="A66" s="5">
        <v>44527</v>
      </c>
      <c r="B66">
        <v>1.1881999999999999</v>
      </c>
      <c r="C66">
        <v>1.3897999999999999</v>
      </c>
      <c r="D66">
        <v>1.1028</v>
      </c>
      <c r="E66">
        <v>1.1473</v>
      </c>
      <c r="F66">
        <v>87318171.200000003</v>
      </c>
      <c r="G66">
        <v>1.1473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-0.68989547038327526</v>
      </c>
      <c r="Q66">
        <f t="shared" ref="Q66" si="306">F66*P66</f>
        <v>-60240410.793031357</v>
      </c>
      <c r="R66">
        <f t="shared" ref="R66" si="307">R67+Q66</f>
        <v>203551653.07594213</v>
      </c>
      <c r="S66">
        <f t="shared" ref="S66" si="308">R66/100000</f>
        <v>2035.5165307594214</v>
      </c>
      <c r="T66">
        <f t="shared" ref="T66" si="309">S66/1000</f>
        <v>2.0355165307594212</v>
      </c>
    </row>
    <row r="67" spans="1:20" x14ac:dyDescent="0.25">
      <c r="A67" s="5">
        <v>44526</v>
      </c>
      <c r="B67">
        <v>1.0096000000000001</v>
      </c>
      <c r="C67">
        <v>1.2</v>
      </c>
      <c r="D67">
        <v>0.90439999999999998</v>
      </c>
      <c r="E67">
        <v>1.1877</v>
      </c>
      <c r="F67">
        <v>43367972</v>
      </c>
      <c r="G67">
        <v>1.1877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0.91677943166441156</v>
      </c>
      <c r="Q67">
        <f t="shared" ref="Q67" si="311">F67*P67</f>
        <v>39758864.722598113</v>
      </c>
      <c r="R67">
        <f t="shared" ref="R67" si="312">R68+Q67</f>
        <v>263792063.86897349</v>
      </c>
      <c r="S67">
        <f t="shared" ref="S67" si="313">R67/100000</f>
        <v>2637.9206386897349</v>
      </c>
      <c r="T67">
        <f t="shared" ref="T67" si="314">S67/1000</f>
        <v>2.6379206386897347</v>
      </c>
    </row>
    <row r="68" spans="1:20" x14ac:dyDescent="0.25">
      <c r="A68" s="5">
        <v>44525</v>
      </c>
      <c r="B68">
        <v>0.99409999999999998</v>
      </c>
      <c r="C68">
        <v>1.0371999999999999</v>
      </c>
      <c r="D68">
        <v>0.98440000000000005</v>
      </c>
      <c r="E68">
        <v>1.0095000000000001</v>
      </c>
      <c r="F68">
        <v>15347635</v>
      </c>
      <c r="G68">
        <v>1.0095000000000001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-4.9242424242421062E-2</v>
      </c>
      <c r="Q68">
        <f t="shared" ref="Q68" si="316">F68*P68</f>
        <v>-755754.75378783001</v>
      </c>
      <c r="R68">
        <f t="shared" ref="R68" si="317">R69+Q68</f>
        <v>224033199.14637539</v>
      </c>
      <c r="S68">
        <f t="shared" ref="S68" si="318">R68/100000</f>
        <v>2240.3319914637541</v>
      </c>
      <c r="T68">
        <f t="shared" ref="T68" si="319">S68/1000</f>
        <v>2.2403319914637541</v>
      </c>
    </row>
    <row r="69" spans="1:20" x14ac:dyDescent="0.25">
      <c r="A69" s="5">
        <v>44524</v>
      </c>
      <c r="B69">
        <v>1.1161000000000001</v>
      </c>
      <c r="C69">
        <v>1.1299999999999999</v>
      </c>
      <c r="D69">
        <v>1.0468999999999999</v>
      </c>
      <c r="E69">
        <v>1.0597000000000001</v>
      </c>
      <c r="F69">
        <v>6220150</v>
      </c>
      <c r="G69">
        <v>1.0597000000000001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-0.69193742478940667</v>
      </c>
      <c r="Q69">
        <f t="shared" ref="Q69" si="321">F69*P69</f>
        <v>-4303954.5728038279</v>
      </c>
      <c r="R69">
        <f t="shared" ref="R69" si="322">R70+Q69</f>
        <v>224788953.9001632</v>
      </c>
      <c r="S69">
        <f t="shared" ref="S69" si="323">R69/100000</f>
        <v>2247.8895390016319</v>
      </c>
      <c r="T69">
        <f t="shared" ref="T69" si="324">S69/1000</f>
        <v>2.247889539001632</v>
      </c>
    </row>
    <row r="70" spans="1:20" x14ac:dyDescent="0.25">
      <c r="A70" s="5">
        <v>44523</v>
      </c>
      <c r="B70">
        <v>1.0295000000000001</v>
      </c>
      <c r="C70">
        <v>1.1596</v>
      </c>
      <c r="D70">
        <v>0.99590000000000001</v>
      </c>
      <c r="E70">
        <v>1.1141000000000001</v>
      </c>
      <c r="F70">
        <v>39655612</v>
      </c>
      <c r="G70">
        <v>1.1141000000000001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0.44410507025045953</v>
      </c>
      <c r="Q70">
        <f t="shared" ref="Q70" si="326">F70*P70</f>
        <v>17611258.353084967</v>
      </c>
      <c r="R70">
        <f t="shared" ref="R70" si="327">R71+Q70</f>
        <v>229092908.47296703</v>
      </c>
      <c r="S70">
        <f t="shared" ref="S70" si="328">R70/100000</f>
        <v>2290.9290847296702</v>
      </c>
      <c r="T70">
        <f t="shared" ref="T70" si="329">S70/1000</f>
        <v>2.2909290847296702</v>
      </c>
    </row>
    <row r="71" spans="1:20" x14ac:dyDescent="0.25">
      <c r="A71" s="5">
        <v>44522</v>
      </c>
      <c r="B71">
        <v>1.0008999999999999</v>
      </c>
      <c r="C71">
        <v>1.0673999999999999</v>
      </c>
      <c r="D71">
        <v>0.95120000000000005</v>
      </c>
      <c r="E71">
        <v>1.0288999999999999</v>
      </c>
      <c r="F71">
        <v>37835824</v>
      </c>
      <c r="G71">
        <v>1.0288999999999999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0.33734939759036103</v>
      </c>
      <c r="Q71">
        <f t="shared" ref="Q71" si="331">F71*P71</f>
        <v>12763892.433734924</v>
      </c>
      <c r="R71">
        <f t="shared" ref="R71" si="332">R72+Q71</f>
        <v>211481650.11988205</v>
      </c>
      <c r="S71">
        <f t="shared" ref="S71" si="333">R71/100000</f>
        <v>2114.8165011988203</v>
      </c>
      <c r="T71">
        <f t="shared" ref="T71" si="334">S71/1000</f>
        <v>2.1148165011988205</v>
      </c>
    </row>
    <row r="72" spans="1:20" x14ac:dyDescent="0.25">
      <c r="A72" s="5">
        <v>44521</v>
      </c>
      <c r="B72">
        <v>0.92179999999999995</v>
      </c>
      <c r="C72">
        <v>1.0297000000000001</v>
      </c>
      <c r="D72">
        <v>0.89429999999999998</v>
      </c>
      <c r="E72">
        <v>1.0005999999999999</v>
      </c>
      <c r="F72">
        <v>25409747</v>
      </c>
      <c r="G72">
        <v>1.0005999999999999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0.57016248153618743</v>
      </c>
      <c r="Q72">
        <f t="shared" ref="Q72" si="336">F72*P72</f>
        <v>14487684.404726693</v>
      </c>
      <c r="R72">
        <f t="shared" ref="R72" si="337">R73+Q72</f>
        <v>198717757.68614712</v>
      </c>
      <c r="S72">
        <f t="shared" ref="S72" si="338">R72/100000</f>
        <v>1987.1775768614712</v>
      </c>
      <c r="T72">
        <f t="shared" ref="T72" si="339">S72/1000</f>
        <v>1.9871775768614712</v>
      </c>
    </row>
    <row r="73" spans="1:20" x14ac:dyDescent="0.25">
      <c r="A73" s="5">
        <v>44520</v>
      </c>
      <c r="B73">
        <v>0.89949999999999997</v>
      </c>
      <c r="C73">
        <v>0.93010000000000004</v>
      </c>
      <c r="D73">
        <v>0.87680000000000002</v>
      </c>
      <c r="E73">
        <v>0.92200000000000004</v>
      </c>
      <c r="F73">
        <v>11316707</v>
      </c>
      <c r="G73">
        <v>0.92200000000000004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0.69606003752345236</v>
      </c>
      <c r="Q73">
        <f t="shared" ref="Q73" si="341">F73*P73</f>
        <v>7877107.499061916</v>
      </c>
      <c r="R73">
        <f t="shared" ref="R73" si="342">R74+Q73</f>
        <v>184230073.28142044</v>
      </c>
      <c r="S73">
        <f t="shared" ref="S73" si="343">R73/100000</f>
        <v>1842.3007328142044</v>
      </c>
      <c r="T73">
        <f t="shared" ref="T73" si="344">S73/1000</f>
        <v>1.8423007328142043</v>
      </c>
    </row>
    <row r="74" spans="1:20" x14ac:dyDescent="0.25">
      <c r="A74" s="5">
        <v>44519</v>
      </c>
      <c r="B74">
        <v>0.80289999999999995</v>
      </c>
      <c r="C74">
        <v>0.95</v>
      </c>
      <c r="D74">
        <v>0.79220000000000002</v>
      </c>
      <c r="E74">
        <v>0.89910000000000001</v>
      </c>
      <c r="F74">
        <v>27008940</v>
      </c>
      <c r="G74">
        <v>0.89910000000000001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0.35487959442332112</v>
      </c>
      <c r="Q74">
        <f t="shared" ref="Q74" si="346">F74*P74</f>
        <v>9584921.6730038151</v>
      </c>
      <c r="R74">
        <f t="shared" ref="R74" si="347">R75+Q74</f>
        <v>176352965.78235853</v>
      </c>
      <c r="S74">
        <f t="shared" ref="S74" si="348">R74/100000</f>
        <v>1763.5296578235852</v>
      </c>
      <c r="T74">
        <f t="shared" ref="T74" si="349">S74/1000</f>
        <v>1.7635296578235853</v>
      </c>
    </row>
    <row r="75" spans="1:20" x14ac:dyDescent="0.25">
      <c r="A75" s="5">
        <v>44518</v>
      </c>
      <c r="B75">
        <v>0.8589</v>
      </c>
      <c r="C75">
        <v>0.8649</v>
      </c>
      <c r="D75">
        <v>0.75380000000000003</v>
      </c>
      <c r="E75">
        <v>0.80210000000000004</v>
      </c>
      <c r="F75">
        <v>11479883</v>
      </c>
      <c r="G75">
        <v>0.80210000000000004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-0.13051305130513016</v>
      </c>
      <c r="Q75">
        <f t="shared" ref="Q75" si="351">F75*P75</f>
        <v>-1498274.5589558915</v>
      </c>
      <c r="R75">
        <f t="shared" ref="R75" si="352">R76+Q75</f>
        <v>166768044.1093547</v>
      </c>
      <c r="S75">
        <f t="shared" ref="S75" si="353">R75/100000</f>
        <v>1667.680441093547</v>
      </c>
      <c r="T75">
        <f t="shared" ref="T75" si="354">S75/1000</f>
        <v>1.6676804410935469</v>
      </c>
    </row>
    <row r="76" spans="1:20" x14ac:dyDescent="0.25">
      <c r="A76" s="5">
        <v>44517</v>
      </c>
      <c r="B76">
        <v>0.84079999999999999</v>
      </c>
      <c r="C76">
        <v>0.90610000000000002</v>
      </c>
      <c r="D76">
        <v>0.81469999999999998</v>
      </c>
      <c r="E76">
        <v>0.85850000000000004</v>
      </c>
      <c r="F76">
        <v>20728390</v>
      </c>
      <c r="G76">
        <v>0.85850000000000004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-4.157549234135572E-2</v>
      </c>
      <c r="Q76">
        <f t="shared" ref="Q76" si="356">F76*P76</f>
        <v>-861793.01969363447</v>
      </c>
      <c r="R76">
        <f t="shared" ref="R76" si="357">R77+Q76</f>
        <v>168266318.66831058</v>
      </c>
      <c r="S76">
        <f t="shared" ref="S76" si="358">R76/100000</f>
        <v>1682.6631866831058</v>
      </c>
      <c r="T76">
        <f t="shared" ref="T76" si="359">S76/1000</f>
        <v>1.6826631866831059</v>
      </c>
    </row>
    <row r="77" spans="1:20" x14ac:dyDescent="0.25">
      <c r="A77" s="5">
        <v>44516</v>
      </c>
      <c r="B77">
        <v>0.90769999999999995</v>
      </c>
      <c r="C77">
        <v>0.90820000000000001</v>
      </c>
      <c r="D77">
        <v>0.753</v>
      </c>
      <c r="E77">
        <v>0.84130000000000005</v>
      </c>
      <c r="F77">
        <v>25894060</v>
      </c>
      <c r="G77">
        <v>0.84130000000000005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0.13788659793814487</v>
      </c>
      <c r="Q77">
        <f t="shared" ref="Q77" si="361">F77*P77</f>
        <v>3570443.8402061993</v>
      </c>
      <c r="R77">
        <f t="shared" ref="R77" si="362">R78+Q77</f>
        <v>169128111.68800423</v>
      </c>
      <c r="S77">
        <f t="shared" ref="S77" si="363">R77/100000</f>
        <v>1691.2811168800422</v>
      </c>
      <c r="T77">
        <f t="shared" ref="T77" si="364">S77/1000</f>
        <v>1.6912811168800421</v>
      </c>
    </row>
    <row r="78" spans="1:20" x14ac:dyDescent="0.25">
      <c r="A78" s="5">
        <v>44515</v>
      </c>
      <c r="B78">
        <v>0.93279999999999996</v>
      </c>
      <c r="C78">
        <v>0.96879999999999999</v>
      </c>
      <c r="D78">
        <v>0.89510000000000001</v>
      </c>
      <c r="E78">
        <v>0.90769999999999995</v>
      </c>
      <c r="F78">
        <v>8481313</v>
      </c>
      <c r="G78">
        <v>0.90769999999999995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-0.65807327001356997</v>
      </c>
      <c r="Q78">
        <f t="shared" ref="Q78" si="366">F78*P78</f>
        <v>-5581325.3799186014</v>
      </c>
      <c r="R78">
        <f t="shared" ref="R78" si="367">R79+Q78</f>
        <v>165557667.84779802</v>
      </c>
      <c r="S78">
        <f t="shared" ref="S78" si="368">R78/100000</f>
        <v>1655.5766784779803</v>
      </c>
      <c r="T78">
        <f t="shared" ref="T78" si="369">S78/1000</f>
        <v>1.6555766784779804</v>
      </c>
    </row>
    <row r="79" spans="1:20" x14ac:dyDescent="0.25">
      <c r="A79" s="5">
        <v>44514</v>
      </c>
      <c r="B79">
        <v>0.94640000000000002</v>
      </c>
      <c r="C79">
        <v>0.97060000000000002</v>
      </c>
      <c r="D79">
        <v>0.91039999999999999</v>
      </c>
      <c r="E79">
        <v>0.93169999999999997</v>
      </c>
      <c r="F79">
        <v>9250077</v>
      </c>
      <c r="G79">
        <v>0.93169999999999997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-0.29235880398671182</v>
      </c>
      <c r="Q79">
        <f t="shared" ref="Q79" si="371">F79*P79</f>
        <v>-2704341.4485049914</v>
      </c>
      <c r="R79">
        <f t="shared" ref="R79" si="372">R80+Q79</f>
        <v>171138993.22771662</v>
      </c>
      <c r="S79">
        <f t="shared" ref="S79" si="373">R79/100000</f>
        <v>1711.3899322771663</v>
      </c>
      <c r="T79">
        <f t="shared" ref="T79" si="374">S79/1000</f>
        <v>1.7113899322771662</v>
      </c>
    </row>
    <row r="80" spans="1:20" x14ac:dyDescent="0.25">
      <c r="A80" s="5">
        <v>44513</v>
      </c>
      <c r="B80">
        <v>0.90639999999999998</v>
      </c>
      <c r="C80">
        <v>0.95960000000000001</v>
      </c>
      <c r="D80">
        <v>0.90100000000000002</v>
      </c>
      <c r="E80">
        <v>0.94630000000000003</v>
      </c>
      <c r="F80">
        <v>13301882</v>
      </c>
      <c r="G80">
        <v>0.94630000000000003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0.54607508532423266</v>
      </c>
      <c r="Q80">
        <f t="shared" ref="Q80" si="376">F80*P80</f>
        <v>7263826.3481228743</v>
      </c>
      <c r="R80">
        <f t="shared" ref="R80" si="377">R81+Q80</f>
        <v>173843334.67622161</v>
      </c>
      <c r="S80">
        <f t="shared" ref="S80" si="378">R80/100000</f>
        <v>1738.4333467622162</v>
      </c>
      <c r="T80">
        <f t="shared" ref="T80" si="379">S80/1000</f>
        <v>1.7384333467622162</v>
      </c>
    </row>
    <row r="81" spans="1:20" x14ac:dyDescent="0.25">
      <c r="A81" s="5">
        <v>44512</v>
      </c>
      <c r="B81">
        <v>0.92820000000000003</v>
      </c>
      <c r="C81">
        <v>1.0528</v>
      </c>
      <c r="D81">
        <v>0.86260000000000003</v>
      </c>
      <c r="E81">
        <v>0.90600000000000003</v>
      </c>
      <c r="F81">
        <v>30792943</v>
      </c>
      <c r="G81">
        <v>0.90600000000000003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-0.54363827549947408</v>
      </c>
      <c r="Q81">
        <f t="shared" ref="Q81" si="381">F81*P81</f>
        <v>-16740222.430073602</v>
      </c>
      <c r="R81">
        <f t="shared" ref="R81" si="382">R82+Q81</f>
        <v>166579508.32809874</v>
      </c>
      <c r="S81">
        <f t="shared" ref="S81" si="383">R81/100000</f>
        <v>1665.7950832809875</v>
      </c>
      <c r="T81">
        <f t="shared" ref="T81" si="384">S81/1000</f>
        <v>1.6657950832809874</v>
      </c>
    </row>
    <row r="82" spans="1:20" x14ac:dyDescent="0.25">
      <c r="A82" s="5">
        <v>44511</v>
      </c>
      <c r="B82">
        <v>0.88859999999999995</v>
      </c>
      <c r="C82">
        <v>0.94689999999999996</v>
      </c>
      <c r="D82">
        <v>0.87209999999999999</v>
      </c>
      <c r="E82">
        <v>0.92820000000000003</v>
      </c>
      <c r="F82">
        <v>11275169</v>
      </c>
      <c r="G82">
        <v>0.92820000000000003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0.50000000000000144</v>
      </c>
      <c r="Q82">
        <f t="shared" ref="Q82" si="386">F82*P82</f>
        <v>5637584.5000000158</v>
      </c>
      <c r="R82">
        <f t="shared" ref="R82" si="387">R83+Q82</f>
        <v>183319730.75817233</v>
      </c>
      <c r="S82">
        <f t="shared" ref="S82" si="388">R82/100000</f>
        <v>1833.1973075817234</v>
      </c>
      <c r="T82">
        <f t="shared" ref="T82" si="389">S82/1000</f>
        <v>1.8331973075817234</v>
      </c>
    </row>
    <row r="83" spans="1:20" x14ac:dyDescent="0.25">
      <c r="A83" s="5">
        <v>44510</v>
      </c>
      <c r="B83">
        <v>0.97289999999999999</v>
      </c>
      <c r="C83">
        <v>1.01</v>
      </c>
      <c r="D83">
        <v>0.83530000000000004</v>
      </c>
      <c r="E83">
        <v>0.88939999999999997</v>
      </c>
      <c r="F83">
        <v>19298392</v>
      </c>
      <c r="G83">
        <v>0.88939999999999997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-0.38065254722381298</v>
      </c>
      <c r="Q83">
        <f t="shared" ref="Q83" si="391">F83*P83</f>
        <v>-7345982.0721236542</v>
      </c>
      <c r="R83">
        <f t="shared" ref="R83" si="392">R84+Q83</f>
        <v>177682146.2581723</v>
      </c>
      <c r="S83">
        <f t="shared" ref="S83" si="393">R83/100000</f>
        <v>1776.8214625817229</v>
      </c>
      <c r="T83">
        <f t="shared" ref="T83" si="394">S83/1000</f>
        <v>1.7768214625817229</v>
      </c>
    </row>
    <row r="84" spans="1:20" x14ac:dyDescent="0.25">
      <c r="A84" s="5">
        <v>44509</v>
      </c>
      <c r="B84">
        <v>1.0051000000000001</v>
      </c>
      <c r="C84">
        <v>1.0315000000000001</v>
      </c>
      <c r="D84">
        <v>0.96230000000000004</v>
      </c>
      <c r="E84">
        <v>0.97299999999999998</v>
      </c>
      <c r="F84">
        <v>13920445</v>
      </c>
      <c r="G84">
        <v>0.97299999999999998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-0.69075144508670738</v>
      </c>
      <c r="Q84">
        <f t="shared" ref="Q84" si="396">F84*P84</f>
        <v>-9615567.5000000298</v>
      </c>
      <c r="R84">
        <f t="shared" ref="R84" si="397">R85+Q84</f>
        <v>185028128.33029595</v>
      </c>
      <c r="S84">
        <f t="shared" ref="S84" si="398">R84/100000</f>
        <v>1850.2812833029595</v>
      </c>
      <c r="T84">
        <f t="shared" ref="T84" si="399">S84/1000</f>
        <v>1.8502812833029596</v>
      </c>
    </row>
    <row r="85" spans="1:20" x14ac:dyDescent="0.25">
      <c r="A85" s="5">
        <v>44508</v>
      </c>
      <c r="B85">
        <v>0.96360000000000001</v>
      </c>
      <c r="C85">
        <v>1.0269999999999999</v>
      </c>
      <c r="D85">
        <v>0.9546</v>
      </c>
      <c r="E85">
        <v>1.0053000000000001</v>
      </c>
      <c r="F85">
        <v>17105843</v>
      </c>
      <c r="G85">
        <v>1.0053000000000001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0.40055248618784922</v>
      </c>
      <c r="Q85">
        <f t="shared" ref="Q85" si="401">F85*P85</f>
        <v>6851787.9419890177</v>
      </c>
      <c r="R85">
        <f t="shared" ref="R85" si="402">R86+Q85</f>
        <v>194643695.83029598</v>
      </c>
      <c r="S85">
        <f t="shared" ref="S85" si="403">R85/100000</f>
        <v>1946.4369583029597</v>
      </c>
      <c r="T85">
        <f t="shared" ref="T85" si="404">S85/1000</f>
        <v>1.9464369583029597</v>
      </c>
    </row>
    <row r="86" spans="1:20" x14ac:dyDescent="0.25">
      <c r="A86" s="5">
        <v>44507</v>
      </c>
      <c r="B86">
        <v>0.94389999999999996</v>
      </c>
      <c r="C86">
        <v>0.99429999999999996</v>
      </c>
      <c r="D86">
        <v>0.92849999999999999</v>
      </c>
      <c r="E86">
        <v>0.96350000000000002</v>
      </c>
      <c r="F86">
        <v>11204639</v>
      </c>
      <c r="G86">
        <v>0.96350000000000002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6.3829787234043991E-2</v>
      </c>
      <c r="Q86">
        <f t="shared" ref="Q86" si="406">F86*P86</f>
        <v>715189.72340427141</v>
      </c>
      <c r="R86">
        <f t="shared" ref="R86" si="407">R87+Q86</f>
        <v>187791907.88830698</v>
      </c>
      <c r="S86">
        <f t="shared" ref="S86" si="408">R86/100000</f>
        <v>1877.9190788830697</v>
      </c>
      <c r="T86">
        <f t="shared" ref="T86" si="409">S86/1000</f>
        <v>1.8779190788830697</v>
      </c>
    </row>
    <row r="87" spans="1:20" x14ac:dyDescent="0.25">
      <c r="A87" s="5">
        <v>44506</v>
      </c>
      <c r="B87">
        <v>0.94520000000000004</v>
      </c>
      <c r="C87">
        <v>0.96589999999999998</v>
      </c>
      <c r="D87">
        <v>0.9022</v>
      </c>
      <c r="E87">
        <v>0.94320000000000004</v>
      </c>
      <c r="F87">
        <v>10381932</v>
      </c>
      <c r="G87">
        <v>0.94320000000000004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0.28728414442700312</v>
      </c>
      <c r="Q87">
        <f t="shared" ref="Q87" si="411">F87*P87</f>
        <v>2982564.4521193253</v>
      </c>
      <c r="R87">
        <f t="shared" ref="R87" si="412">R88+Q87</f>
        <v>187076718.16490272</v>
      </c>
      <c r="S87">
        <f t="shared" ref="S87" si="413">R87/100000</f>
        <v>1870.7671816490272</v>
      </c>
      <c r="T87">
        <f t="shared" ref="T87" si="414">S87/1000</f>
        <v>1.8707671816490272</v>
      </c>
    </row>
    <row r="88" spans="1:20" x14ac:dyDescent="0.25">
      <c r="A88" s="5">
        <v>44505</v>
      </c>
      <c r="B88">
        <v>0.97919999999999996</v>
      </c>
      <c r="C88">
        <v>0.9889</v>
      </c>
      <c r="D88">
        <v>0.93</v>
      </c>
      <c r="E88">
        <v>0.94579999999999997</v>
      </c>
      <c r="F88">
        <v>10428990</v>
      </c>
      <c r="G88">
        <v>0.94579999999999997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-0.46349745331069819</v>
      </c>
      <c r="Q88">
        <f t="shared" ref="Q88" si="416">F88*P88</f>
        <v>-4833810.3056027386</v>
      </c>
      <c r="R88">
        <f t="shared" ref="R88" si="417">R89+Q88</f>
        <v>184094153.7127834</v>
      </c>
      <c r="S88">
        <f t="shared" ref="S88" si="418">R88/100000</f>
        <v>1840.941537127834</v>
      </c>
      <c r="T88">
        <f t="shared" ref="T88" si="419">S88/1000</f>
        <v>1.8409415371278339</v>
      </c>
    </row>
    <row r="89" spans="1:20" x14ac:dyDescent="0.25">
      <c r="A89" s="5">
        <v>44504</v>
      </c>
      <c r="B89">
        <v>1.0155000000000001</v>
      </c>
      <c r="C89">
        <v>1.046</v>
      </c>
      <c r="D89">
        <v>0.95499999999999996</v>
      </c>
      <c r="E89">
        <v>0.97960000000000003</v>
      </c>
      <c r="F89">
        <v>17304195</v>
      </c>
      <c r="G89">
        <v>0.97960000000000003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-0.45934065934065837</v>
      </c>
      <c r="Q89">
        <f t="shared" ref="Q89" si="421">F89*P89</f>
        <v>-7948520.3406593241</v>
      </c>
      <c r="R89">
        <f t="shared" ref="R89" si="422">R90+Q89</f>
        <v>188927964.01838613</v>
      </c>
      <c r="S89">
        <f t="shared" ref="S89" si="423">R89/100000</f>
        <v>1889.2796401838611</v>
      </c>
      <c r="T89">
        <f t="shared" ref="T89" si="424">S89/1000</f>
        <v>1.8892796401838612</v>
      </c>
    </row>
    <row r="90" spans="1:20" x14ac:dyDescent="0.25">
      <c r="A90" s="5">
        <v>44503</v>
      </c>
      <c r="B90">
        <v>1.0659000000000001</v>
      </c>
      <c r="C90">
        <v>1.0672999999999999</v>
      </c>
      <c r="D90">
        <v>0.99050000000000005</v>
      </c>
      <c r="E90">
        <v>1.0146999999999999</v>
      </c>
      <c r="F90">
        <v>23814300</v>
      </c>
      <c r="G90">
        <v>1.0146999999999999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-0.36979166666666852</v>
      </c>
      <c r="Q90">
        <f t="shared" ref="Q90" si="426">F90*P90</f>
        <v>-8806329.6875000447</v>
      </c>
      <c r="R90">
        <f t="shared" ref="R90" si="427">R91+Q90</f>
        <v>196876484.35904545</v>
      </c>
      <c r="S90">
        <f t="shared" ref="S90" si="428">R90/100000</f>
        <v>1968.7648435904543</v>
      </c>
      <c r="T90">
        <f t="shared" ref="T90" si="429">S90/1000</f>
        <v>1.9687648435904543</v>
      </c>
    </row>
    <row r="91" spans="1:20" x14ac:dyDescent="0.25">
      <c r="A91" s="5">
        <v>44502</v>
      </c>
      <c r="B91">
        <v>1.2081</v>
      </c>
      <c r="C91">
        <v>1.22</v>
      </c>
      <c r="D91">
        <v>1.0311999999999999</v>
      </c>
      <c r="E91">
        <v>1.0657000000000001</v>
      </c>
      <c r="F91">
        <v>71195106</v>
      </c>
      <c r="G91">
        <v>1.0657000000000001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-0.63453389830508278</v>
      </c>
      <c r="Q91">
        <f t="shared" ref="Q91" si="431">F91*P91</f>
        <v>-45175708.150423586</v>
      </c>
      <c r="R91">
        <f t="shared" ref="R91" si="432">R92+Q91</f>
        <v>205682814.04654551</v>
      </c>
      <c r="S91">
        <f t="shared" ref="S91" si="433">R91/100000</f>
        <v>2056.8281404654549</v>
      </c>
      <c r="T91">
        <f t="shared" ref="T91" si="434">S91/1000</f>
        <v>2.0568281404654547</v>
      </c>
    </row>
    <row r="92" spans="1:20" x14ac:dyDescent="0.25">
      <c r="A92" s="5">
        <v>44501</v>
      </c>
      <c r="B92">
        <v>0.88019999999999998</v>
      </c>
      <c r="C92">
        <v>1.2575000000000001</v>
      </c>
      <c r="D92">
        <v>0.82679999999999998</v>
      </c>
      <c r="E92">
        <v>1.2101</v>
      </c>
      <c r="F92">
        <v>174410025.63999999</v>
      </c>
      <c r="G92">
        <v>1.2101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0.77989319712096539</v>
      </c>
      <c r="Q92">
        <f t="shared" ref="Q92" si="436">F92*P92</f>
        <v>136021192.50632915</v>
      </c>
      <c r="R92">
        <f t="shared" ref="R92" si="437">R93+Q92</f>
        <v>250858522.19696909</v>
      </c>
      <c r="S92">
        <f t="shared" ref="S92" si="438">R92/100000</f>
        <v>2508.5852219696908</v>
      </c>
      <c r="T92">
        <f t="shared" ref="T92" si="439">S92/1000</f>
        <v>2.5085852219696907</v>
      </c>
    </row>
    <row r="93" spans="1:20" x14ac:dyDescent="0.25">
      <c r="A93" s="5">
        <v>44500</v>
      </c>
      <c r="B93">
        <v>0.81069999999999998</v>
      </c>
      <c r="C93">
        <v>0.88800000000000001</v>
      </c>
      <c r="D93">
        <v>0.80200000000000005</v>
      </c>
      <c r="E93">
        <v>0.88029999999999997</v>
      </c>
      <c r="F93">
        <v>22378510</v>
      </c>
      <c r="G93">
        <v>0.88029999999999997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0.82093023255813857</v>
      </c>
      <c r="Q93">
        <f t="shared" ref="Q93" si="441">F93*P93</f>
        <v>18371195.418604631</v>
      </c>
      <c r="R93">
        <f t="shared" ref="R93" si="442">R94+Q93</f>
        <v>114837329.69063993</v>
      </c>
      <c r="S93">
        <f t="shared" ref="S93" si="443">R93/100000</f>
        <v>1148.3732969063992</v>
      </c>
      <c r="T93">
        <f t="shared" ref="T93" si="444">S93/1000</f>
        <v>1.1483732969063991</v>
      </c>
    </row>
    <row r="94" spans="1:20" x14ac:dyDescent="0.25">
      <c r="A94" s="5">
        <v>44499</v>
      </c>
      <c r="B94">
        <v>0.8357</v>
      </c>
      <c r="C94">
        <v>0.83689999999999998</v>
      </c>
      <c r="D94">
        <v>0.79510000000000003</v>
      </c>
      <c r="E94">
        <v>0.81030000000000002</v>
      </c>
      <c r="F94">
        <v>8120737</v>
      </c>
      <c r="G94">
        <v>0.81030000000000002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-0.27272727272727226</v>
      </c>
      <c r="Q94">
        <f t="shared" ref="Q94" si="446">F94*P94</f>
        <v>-2214746.4545454509</v>
      </c>
      <c r="R94">
        <f t="shared" ref="R94" si="447">R95+Q94</f>
        <v>96466134.272035301</v>
      </c>
      <c r="S94">
        <f t="shared" ref="S94" si="448">R94/100000</f>
        <v>964.66134272035299</v>
      </c>
      <c r="T94">
        <f t="shared" ref="T94" si="449">S94/1000</f>
        <v>0.96466134272035298</v>
      </c>
    </row>
    <row r="95" spans="1:20" x14ac:dyDescent="0.25">
      <c r="A95" s="5">
        <v>44498</v>
      </c>
      <c r="B95">
        <v>0.82450000000000001</v>
      </c>
      <c r="C95">
        <v>0.86409999999999998</v>
      </c>
      <c r="D95">
        <v>0.81950000000000001</v>
      </c>
      <c r="E95">
        <v>0.83450000000000002</v>
      </c>
      <c r="F95">
        <v>6722274</v>
      </c>
      <c r="G95">
        <v>0.83450000000000002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-0.3273542600896851</v>
      </c>
      <c r="Q95">
        <f t="shared" ref="Q95" si="451">F95*P95</f>
        <v>-2200565.0313901277</v>
      </c>
      <c r="R95">
        <f t="shared" ref="R95" si="452">R96+Q95</f>
        <v>98680880.726580754</v>
      </c>
      <c r="S95">
        <f t="shared" ref="S95" si="453">R95/100000</f>
        <v>986.80880726580756</v>
      </c>
      <c r="T95">
        <f t="shared" ref="T95" si="454">S95/1000</f>
        <v>0.98680880726580755</v>
      </c>
    </row>
    <row r="96" spans="1:20" x14ac:dyDescent="0.25">
      <c r="A96" s="5">
        <v>44497</v>
      </c>
      <c r="B96">
        <v>0.79659999999999997</v>
      </c>
      <c r="C96">
        <v>0.8538</v>
      </c>
      <c r="D96">
        <v>0.78820000000000001</v>
      </c>
      <c r="E96">
        <v>0.82450000000000001</v>
      </c>
      <c r="F96">
        <v>9141936</v>
      </c>
      <c r="G96">
        <v>0.82450000000000001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0.10670731707317084</v>
      </c>
      <c r="Q96">
        <f t="shared" ref="Q96" si="456">F96*P96</f>
        <v>975511.46341463516</v>
      </c>
      <c r="R96">
        <f t="shared" ref="R96" si="457">R97+Q96</f>
        <v>100881445.75797088</v>
      </c>
      <c r="S96">
        <f t="shared" ref="S96" si="458">R96/100000</f>
        <v>1008.8144575797088</v>
      </c>
      <c r="T96">
        <f t="shared" ref="T96" si="459">S96/1000</f>
        <v>1.0088144575797089</v>
      </c>
    </row>
    <row r="97" spans="1:20" x14ac:dyDescent="0.25">
      <c r="A97" s="5">
        <v>44496</v>
      </c>
      <c r="B97">
        <v>0.92659999999999998</v>
      </c>
      <c r="C97">
        <v>0.97489999999999999</v>
      </c>
      <c r="D97">
        <v>0.79379999999999995</v>
      </c>
      <c r="E97">
        <v>0.79749999999999999</v>
      </c>
      <c r="F97">
        <v>20204093</v>
      </c>
      <c r="G97">
        <v>0.79749999999999999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-0.95913859745996644</v>
      </c>
      <c r="Q97">
        <f t="shared" ref="Q97" si="461">F97*P97</f>
        <v>-19378525.422970727</v>
      </c>
      <c r="R97">
        <f t="shared" ref="R97" si="462">R98+Q97</f>
        <v>99905934.294556245</v>
      </c>
      <c r="S97">
        <f t="shared" ref="S97" si="463">R97/100000</f>
        <v>999.05934294556243</v>
      </c>
      <c r="T97">
        <f t="shared" ref="T97" si="464">S97/1000</f>
        <v>0.99905934294556242</v>
      </c>
    </row>
    <row r="98" spans="1:20" x14ac:dyDescent="0.25">
      <c r="A98" s="5">
        <v>44495</v>
      </c>
      <c r="B98">
        <v>0.90310000000000001</v>
      </c>
      <c r="C98">
        <v>0.96279999999999999</v>
      </c>
      <c r="D98">
        <v>0.89</v>
      </c>
      <c r="E98">
        <v>0.92559999999999998</v>
      </c>
      <c r="F98">
        <v>12621463</v>
      </c>
      <c r="G98">
        <v>0.92559999999999998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-2.1978021978022615E-2</v>
      </c>
      <c r="Q98">
        <f t="shared" ref="Q98" si="466">F98*P98</f>
        <v>-277394.79120879923</v>
      </c>
      <c r="R98">
        <f t="shared" ref="R98" si="467">R99+Q98</f>
        <v>119284459.71752697</v>
      </c>
      <c r="S98">
        <f t="shared" ref="S98" si="468">R98/100000</f>
        <v>1192.8445971752697</v>
      </c>
      <c r="T98">
        <f t="shared" ref="T98" si="469">S98/1000</f>
        <v>1.1928445971752697</v>
      </c>
    </row>
    <row r="99" spans="1:20" x14ac:dyDescent="0.25">
      <c r="A99" s="5">
        <v>44494</v>
      </c>
      <c r="B99">
        <v>0.87809999999999999</v>
      </c>
      <c r="C99">
        <v>0.91830000000000001</v>
      </c>
      <c r="D99">
        <v>0.87539999999999996</v>
      </c>
      <c r="E99">
        <v>0.90329999999999999</v>
      </c>
      <c r="F99">
        <v>7125921</v>
      </c>
      <c r="G99">
        <v>0.90329999999999999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0.3006993006993009</v>
      </c>
      <c r="Q99">
        <f t="shared" ref="Q99" si="471">F99*P99</f>
        <v>2142759.4615384629</v>
      </c>
      <c r="R99">
        <f t="shared" ref="R99" si="472">R100+Q99</f>
        <v>119561854.50873578</v>
      </c>
      <c r="S99">
        <f t="shared" ref="S99" si="473">R99/100000</f>
        <v>1195.6185450873577</v>
      </c>
      <c r="T99">
        <f t="shared" ref="T99" si="474">S99/1000</f>
        <v>1.1956185450873578</v>
      </c>
    </row>
    <row r="100" spans="1:20" x14ac:dyDescent="0.25">
      <c r="A100" s="5">
        <v>44493</v>
      </c>
      <c r="B100">
        <v>0.90090000000000003</v>
      </c>
      <c r="C100">
        <v>0.91449999999999998</v>
      </c>
      <c r="D100">
        <v>0.85950000000000004</v>
      </c>
      <c r="E100">
        <v>0.87809999999999999</v>
      </c>
      <c r="F100">
        <v>8501902</v>
      </c>
      <c r="G100">
        <v>0.87809999999999999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-0.32363636363636467</v>
      </c>
      <c r="Q100">
        <f t="shared" ref="Q100" si="476">F100*P100</f>
        <v>-2751524.6472727358</v>
      </c>
      <c r="R100">
        <f t="shared" ref="R100" si="477">R101+Q100</f>
        <v>117419095.04719731</v>
      </c>
      <c r="S100">
        <f t="shared" ref="S100" si="478">R100/100000</f>
        <v>1174.1909504719731</v>
      </c>
      <c r="T100">
        <f t="shared" ref="T100" si="479">S100/1000</f>
        <v>1.1741909504719732</v>
      </c>
    </row>
    <row r="101" spans="1:20" x14ac:dyDescent="0.25">
      <c r="A101" s="5">
        <v>44492</v>
      </c>
      <c r="B101">
        <v>0.91639999999999999</v>
      </c>
      <c r="C101">
        <v>0.92769999999999997</v>
      </c>
      <c r="D101">
        <v>0.89439999999999997</v>
      </c>
      <c r="E101">
        <v>0.90139999999999998</v>
      </c>
      <c r="F101">
        <v>6928008</v>
      </c>
      <c r="G101">
        <v>0.90139999999999998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-0.57957957957957917</v>
      </c>
      <c r="Q101">
        <f t="shared" ref="Q101" si="481">F101*P101</f>
        <v>-4015331.9639639612</v>
      </c>
      <c r="R101">
        <f t="shared" ref="R101" si="482">R102+Q101</f>
        <v>120170619.69447005</v>
      </c>
      <c r="S101">
        <f t="shared" ref="S101" si="483">R101/100000</f>
        <v>1201.7061969447004</v>
      </c>
      <c r="T101">
        <f t="shared" ref="T101" si="484">S101/1000</f>
        <v>1.2017061969447005</v>
      </c>
    </row>
    <row r="102" spans="1:20" x14ac:dyDescent="0.25">
      <c r="A102" s="5">
        <v>44491</v>
      </c>
      <c r="B102">
        <v>0.91039999999999999</v>
      </c>
      <c r="C102">
        <v>0.96199999999999997</v>
      </c>
      <c r="D102">
        <v>0.88870000000000005</v>
      </c>
      <c r="E102">
        <v>0.91649999999999998</v>
      </c>
      <c r="F102">
        <v>19287818</v>
      </c>
      <c r="G102">
        <v>0.91649999999999998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-0.24147339699863668</v>
      </c>
      <c r="Q102">
        <f t="shared" ref="Q102" si="486">F102*P102</f>
        <v>-4657494.9331514509</v>
      </c>
      <c r="R102">
        <f t="shared" ref="R102" si="487">R103+Q102</f>
        <v>124185951.658434</v>
      </c>
      <c r="S102">
        <f t="shared" ref="S102" si="488">R102/100000</f>
        <v>1241.8595165843401</v>
      </c>
      <c r="T102">
        <f t="shared" ref="T102" si="489">S102/1000</f>
        <v>1.24185951658434</v>
      </c>
    </row>
    <row r="103" spans="1:20" x14ac:dyDescent="0.25">
      <c r="A103" s="5">
        <v>44490</v>
      </c>
      <c r="B103">
        <v>0.88129999999999997</v>
      </c>
      <c r="C103">
        <v>0.94720000000000004</v>
      </c>
      <c r="D103">
        <v>0.86150000000000004</v>
      </c>
      <c r="E103">
        <v>0.91059999999999997</v>
      </c>
      <c r="F103">
        <v>28326044</v>
      </c>
      <c r="G103">
        <v>0.91059999999999997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0.14585764294048828</v>
      </c>
      <c r="Q103">
        <f t="shared" ref="Q103" si="491">F103*P103</f>
        <v>4131570.0116685606</v>
      </c>
      <c r="R103">
        <f t="shared" ref="R103" si="492">R104+Q103</f>
        <v>128843446.59158546</v>
      </c>
      <c r="S103">
        <f t="shared" ref="S103" si="493">R103/100000</f>
        <v>1288.4344659158546</v>
      </c>
      <c r="T103">
        <f t="shared" ref="T103" si="494">S103/1000</f>
        <v>1.2884344659158546</v>
      </c>
    </row>
    <row r="104" spans="1:20" x14ac:dyDescent="0.25">
      <c r="A104" s="5">
        <v>44489</v>
      </c>
      <c r="B104">
        <v>0.82169999999999999</v>
      </c>
      <c r="C104">
        <v>0.88759999999999994</v>
      </c>
      <c r="D104">
        <v>0.81559999999999999</v>
      </c>
      <c r="E104">
        <v>0.88019999999999998</v>
      </c>
      <c r="F104">
        <v>11331222</v>
      </c>
      <c r="G104">
        <v>0.88019999999999998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0.7944444444444454</v>
      </c>
      <c r="Q104">
        <f t="shared" ref="Q104" si="496">F104*P104</f>
        <v>9002026.3666666783</v>
      </c>
      <c r="R104">
        <f t="shared" ref="R104" si="497">R105+Q104</f>
        <v>124711876.57991689</v>
      </c>
      <c r="S104">
        <f t="shared" ref="S104" si="498">R104/100000</f>
        <v>1247.1187657991688</v>
      </c>
      <c r="T104">
        <f t="shared" ref="T104" si="499">S104/1000</f>
        <v>1.2471187657991689</v>
      </c>
    </row>
    <row r="105" spans="1:20" x14ac:dyDescent="0.25">
      <c r="A105" s="5">
        <v>44488</v>
      </c>
      <c r="B105">
        <v>0.82140000000000002</v>
      </c>
      <c r="C105">
        <v>0.87370000000000003</v>
      </c>
      <c r="D105">
        <v>0.80840000000000001</v>
      </c>
      <c r="E105">
        <v>0.82240000000000002</v>
      </c>
      <c r="F105">
        <v>15148824</v>
      </c>
      <c r="G105">
        <v>0.82240000000000002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-0.57120980091883589</v>
      </c>
      <c r="Q105">
        <f t="shared" ref="Q105" si="501">F105*P105</f>
        <v>-8653156.7411944829</v>
      </c>
      <c r="R105">
        <f t="shared" ref="R105" si="502">R106+Q105</f>
        <v>115709850.21325022</v>
      </c>
      <c r="S105">
        <f t="shared" ref="S105" si="503">R105/100000</f>
        <v>1157.0985021325023</v>
      </c>
      <c r="T105">
        <f t="shared" ref="T105" si="504">S105/1000</f>
        <v>1.1570985021325022</v>
      </c>
    </row>
    <row r="106" spans="1:20" x14ac:dyDescent="0.25">
      <c r="A106" s="5">
        <v>44487</v>
      </c>
      <c r="B106">
        <v>0.81850000000000001</v>
      </c>
      <c r="C106">
        <v>0.86880000000000002</v>
      </c>
      <c r="D106">
        <v>0.79559999999999997</v>
      </c>
      <c r="E106">
        <v>0.82110000000000005</v>
      </c>
      <c r="F106">
        <v>9309042</v>
      </c>
      <c r="G106">
        <v>0.82110000000000005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-0.30327868852458845</v>
      </c>
      <c r="Q106">
        <f t="shared" ref="Q106" si="506">F106*P106</f>
        <v>-2823234.0491803121</v>
      </c>
      <c r="R106">
        <f t="shared" ref="R106" si="507">R107+Q106</f>
        <v>124363006.95444471</v>
      </c>
      <c r="S106">
        <f t="shared" ref="S106" si="508">R106/100000</f>
        <v>1243.630069544447</v>
      </c>
      <c r="T106">
        <f t="shared" ref="T106" si="509">S106/1000</f>
        <v>1.2436300695444471</v>
      </c>
    </row>
    <row r="107" spans="1:20" x14ac:dyDescent="0.25">
      <c r="A107" s="5">
        <v>44486</v>
      </c>
      <c r="B107">
        <v>0.83950000000000002</v>
      </c>
      <c r="C107">
        <v>0.89</v>
      </c>
      <c r="D107">
        <v>0.78879999999999995</v>
      </c>
      <c r="E107">
        <v>0.81789999999999996</v>
      </c>
      <c r="F107">
        <v>15965701</v>
      </c>
      <c r="G107">
        <v>0.81789999999999996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-0.42490118577075109</v>
      </c>
      <c r="Q107">
        <f t="shared" ref="Q107" si="511">F107*P107</f>
        <v>-6783845.2865612665</v>
      </c>
      <c r="R107">
        <f t="shared" ref="R107" si="512">R108+Q107</f>
        <v>127186241.00362502</v>
      </c>
      <c r="S107">
        <f t="shared" ref="S107" si="513">R107/100000</f>
        <v>1271.8624100362501</v>
      </c>
      <c r="T107">
        <f t="shared" ref="T107" si="514">S107/1000</f>
        <v>1.2718624100362501</v>
      </c>
    </row>
    <row r="108" spans="1:20" x14ac:dyDescent="0.25">
      <c r="A108" s="5">
        <v>44485</v>
      </c>
      <c r="B108">
        <v>0.80379999999999996</v>
      </c>
      <c r="C108">
        <v>0.88</v>
      </c>
      <c r="D108">
        <v>0.79759999999999998</v>
      </c>
      <c r="E108">
        <v>0.83909999999999996</v>
      </c>
      <c r="F108">
        <v>18341851</v>
      </c>
      <c r="G108">
        <v>0.83909999999999996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7.2815533980574478E-3</v>
      </c>
      <c r="Q108">
        <f t="shared" ref="Q108" si="516">F108*P108</f>
        <v>133557.16747571339</v>
      </c>
      <c r="R108">
        <f t="shared" ref="R108" si="517">R109+Q108</f>
        <v>133970086.29018629</v>
      </c>
      <c r="S108">
        <f t="shared" ref="S108" si="518">R108/100000</f>
        <v>1339.7008629018628</v>
      </c>
      <c r="T108">
        <f t="shared" ref="T108" si="519">S108/1000</f>
        <v>1.3397008629018627</v>
      </c>
    </row>
    <row r="109" spans="1:20" x14ac:dyDescent="0.25">
      <c r="A109" s="5">
        <v>44484</v>
      </c>
      <c r="B109">
        <v>0.8175</v>
      </c>
      <c r="C109">
        <v>0.85509999999999997</v>
      </c>
      <c r="D109">
        <v>0.78459999999999996</v>
      </c>
      <c r="E109">
        <v>0.80379999999999996</v>
      </c>
      <c r="F109">
        <v>17739130</v>
      </c>
      <c r="G109">
        <v>0.80379999999999996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-0.45531914893617043</v>
      </c>
      <c r="Q109">
        <f t="shared" ref="Q109" si="521">F109*P109</f>
        <v>-8076965.5744680893</v>
      </c>
      <c r="R109">
        <f t="shared" ref="R109" si="522">R110+Q109</f>
        <v>133836529.12271057</v>
      </c>
      <c r="S109">
        <f t="shared" ref="S109" si="523">R109/100000</f>
        <v>1338.3652912271057</v>
      </c>
      <c r="T109">
        <f t="shared" ref="T109" si="524">S109/1000</f>
        <v>1.3383652912271056</v>
      </c>
    </row>
    <row r="110" spans="1:20" x14ac:dyDescent="0.25">
      <c r="A110" s="5">
        <v>44483</v>
      </c>
      <c r="B110">
        <v>0.77480000000000004</v>
      </c>
      <c r="C110">
        <v>0.83889999999999998</v>
      </c>
      <c r="D110">
        <v>0.76600000000000001</v>
      </c>
      <c r="E110">
        <v>0.81679999999999997</v>
      </c>
      <c r="F110">
        <v>14748819</v>
      </c>
      <c r="G110">
        <v>0.81679999999999997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0.39368998628257834</v>
      </c>
      <c r="Q110">
        <f t="shared" ref="Q110" si="526">F110*P110</f>
        <v>5806462.3497942304</v>
      </c>
      <c r="R110">
        <f t="shared" ref="R110" si="527">R111+Q110</f>
        <v>141913494.69717866</v>
      </c>
      <c r="S110">
        <f t="shared" ref="S110" si="528">R110/100000</f>
        <v>1419.1349469717866</v>
      </c>
      <c r="T110">
        <f t="shared" ref="T110" si="529">S110/1000</f>
        <v>1.4191349469717867</v>
      </c>
    </row>
    <row r="111" spans="1:20" x14ac:dyDescent="0.25">
      <c r="A111" s="5">
        <v>44482</v>
      </c>
      <c r="B111">
        <v>0.75390000000000001</v>
      </c>
      <c r="C111">
        <v>0.78690000000000004</v>
      </c>
      <c r="D111">
        <v>0.72419999999999995</v>
      </c>
      <c r="E111">
        <v>0.77429999999999999</v>
      </c>
      <c r="F111">
        <v>11101705</v>
      </c>
      <c r="G111">
        <v>0.77429999999999999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0.59808612440191267</v>
      </c>
      <c r="Q111">
        <f t="shared" ref="Q111" si="531">F111*P111</f>
        <v>6639775.7177033359</v>
      </c>
      <c r="R111">
        <f t="shared" ref="R111" si="532">R112+Q111</f>
        <v>136107032.34738442</v>
      </c>
      <c r="S111">
        <f t="shared" ref="S111" si="533">R111/100000</f>
        <v>1361.0703234738442</v>
      </c>
      <c r="T111">
        <f t="shared" ref="T111" si="534">S111/1000</f>
        <v>1.3610703234738442</v>
      </c>
    </row>
    <row r="112" spans="1:20" x14ac:dyDescent="0.25">
      <c r="A112" s="5">
        <v>44481</v>
      </c>
      <c r="B112">
        <v>0.7893</v>
      </c>
      <c r="C112">
        <v>0.7893</v>
      </c>
      <c r="D112">
        <v>0.71640000000000004</v>
      </c>
      <c r="E112">
        <v>0.75290000000000001</v>
      </c>
      <c r="F112">
        <v>9862656</v>
      </c>
      <c r="G112">
        <v>0.75290000000000001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1.3717421124827029E-3</v>
      </c>
      <c r="Q112">
        <f t="shared" ref="Q112" si="536">F112*P112</f>
        <v>13529.020576130204</v>
      </c>
      <c r="R112">
        <f t="shared" ref="R112" si="537">R113+Q112</f>
        <v>129467256.62968108</v>
      </c>
      <c r="S112">
        <f t="shared" ref="S112" si="538">R112/100000</f>
        <v>1294.6725662968108</v>
      </c>
      <c r="T112">
        <f t="shared" ref="T112" si="539">S112/1000</f>
        <v>1.2946725662968108</v>
      </c>
    </row>
    <row r="113" spans="1:20" x14ac:dyDescent="0.25">
      <c r="A113" s="5">
        <v>44480</v>
      </c>
      <c r="B113">
        <v>0.81569999999999998</v>
      </c>
      <c r="C113">
        <v>0.83919999999999995</v>
      </c>
      <c r="D113">
        <v>0.77339999999999998</v>
      </c>
      <c r="E113">
        <v>0.78910000000000002</v>
      </c>
      <c r="F113">
        <v>8233870</v>
      </c>
      <c r="G113">
        <v>0.78910000000000002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-0.52279635258358492</v>
      </c>
      <c r="Q113">
        <f t="shared" ref="Q113" si="541">F113*P113</f>
        <v>-4304637.2036474021</v>
      </c>
      <c r="R113">
        <f t="shared" ref="R113" si="542">R114+Q113</f>
        <v>129453727.60910495</v>
      </c>
      <c r="S113">
        <f t="shared" ref="S113" si="543">R113/100000</f>
        <v>1294.5372760910495</v>
      </c>
      <c r="T113">
        <f t="shared" ref="T113" si="544">S113/1000</f>
        <v>1.2945372760910496</v>
      </c>
    </row>
    <row r="114" spans="1:20" x14ac:dyDescent="0.25">
      <c r="A114" s="5">
        <v>44479</v>
      </c>
      <c r="B114">
        <v>0.86419999999999997</v>
      </c>
      <c r="C114">
        <v>0.90939999999999999</v>
      </c>
      <c r="D114">
        <v>0.81240000000000001</v>
      </c>
      <c r="E114">
        <v>0.81769999999999998</v>
      </c>
      <c r="F114">
        <v>15931722</v>
      </c>
      <c r="G114">
        <v>0.81769999999999998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-0.89072164948453669</v>
      </c>
      <c r="Q114">
        <f t="shared" ref="Q114" si="546">F114*P114</f>
        <v>-14190729.698969081</v>
      </c>
      <c r="R114">
        <f t="shared" ref="R114" si="547">R115+Q114</f>
        <v>133758364.81275235</v>
      </c>
      <c r="S114">
        <f t="shared" ref="S114" si="548">R114/100000</f>
        <v>1337.5836481275235</v>
      </c>
      <c r="T114">
        <f t="shared" ref="T114" si="549">S114/1000</f>
        <v>1.3375836481275234</v>
      </c>
    </row>
    <row r="115" spans="1:20" x14ac:dyDescent="0.25">
      <c r="A115" s="5">
        <v>44478</v>
      </c>
      <c r="B115">
        <v>0.83479999999999999</v>
      </c>
      <c r="C115">
        <v>0.88770000000000004</v>
      </c>
      <c r="D115">
        <v>0.82240000000000002</v>
      </c>
      <c r="E115">
        <v>0.86299999999999999</v>
      </c>
      <c r="F115">
        <v>12243246</v>
      </c>
      <c r="G115">
        <v>0.86299999999999999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0.2434915773353738</v>
      </c>
      <c r="Q115">
        <f t="shared" ref="Q115" si="551">F115*P115</f>
        <v>2981127.2802450061</v>
      </c>
      <c r="R115">
        <f t="shared" ref="R115" si="552">R116+Q115</f>
        <v>147949094.51172143</v>
      </c>
      <c r="S115">
        <f t="shared" ref="S115" si="553">R115/100000</f>
        <v>1479.4909451172143</v>
      </c>
      <c r="T115">
        <f t="shared" ref="T115" si="554">S115/1000</f>
        <v>1.4794909451172142</v>
      </c>
    </row>
    <row r="116" spans="1:20" x14ac:dyDescent="0.25">
      <c r="A116" s="5">
        <v>44477</v>
      </c>
      <c r="B116">
        <v>0.8226</v>
      </c>
      <c r="C116">
        <v>0.88500000000000001</v>
      </c>
      <c r="D116">
        <v>0.8175</v>
      </c>
      <c r="E116">
        <v>0.8337</v>
      </c>
      <c r="F116">
        <v>16209723</v>
      </c>
      <c r="G116">
        <v>0.8337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-0.52000000000000024</v>
      </c>
      <c r="Q116">
        <f t="shared" ref="Q116" si="556">F116*P116</f>
        <v>-8429055.9600000046</v>
      </c>
      <c r="R116">
        <f t="shared" ref="R116" si="557">R117+Q116</f>
        <v>144967967.23147643</v>
      </c>
      <c r="S116">
        <f t="shared" ref="S116" si="558">R116/100000</f>
        <v>1449.6796723147643</v>
      </c>
      <c r="T116">
        <f t="shared" ref="T116" si="559">S116/1000</f>
        <v>1.4496796723147642</v>
      </c>
    </row>
    <row r="117" spans="1:20" x14ac:dyDescent="0.25">
      <c r="A117" s="5">
        <v>44476</v>
      </c>
      <c r="B117">
        <v>0.78800000000000003</v>
      </c>
      <c r="C117">
        <v>0.86370000000000002</v>
      </c>
      <c r="D117">
        <v>0.77180000000000004</v>
      </c>
      <c r="E117">
        <v>0.82250000000000001</v>
      </c>
      <c r="F117">
        <v>24786533</v>
      </c>
      <c r="G117">
        <v>0.82250000000000001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0.10337323177366654</v>
      </c>
      <c r="Q117">
        <f t="shared" ref="Q117" si="561">F117*P117</f>
        <v>2562264.0206746343</v>
      </c>
      <c r="R117">
        <f t="shared" ref="R117" si="562">R118+Q117</f>
        <v>153397023.19147643</v>
      </c>
      <c r="S117">
        <f t="shared" ref="S117" si="563">R117/100000</f>
        <v>1533.9702319147643</v>
      </c>
      <c r="T117">
        <f t="shared" ref="T117" si="564">S117/1000</f>
        <v>1.5339702319147643</v>
      </c>
    </row>
    <row r="118" spans="1:20" x14ac:dyDescent="0.25">
      <c r="A118" s="5">
        <v>44475</v>
      </c>
      <c r="B118">
        <v>0.75180000000000002</v>
      </c>
      <c r="C118">
        <v>0.80969999999999998</v>
      </c>
      <c r="D118">
        <v>0.69520000000000004</v>
      </c>
      <c r="E118">
        <v>0.78739999999999999</v>
      </c>
      <c r="F118">
        <v>20924959</v>
      </c>
      <c r="G118">
        <v>0.78739999999999999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0.61048034934497819</v>
      </c>
      <c r="Q118">
        <f t="shared" ref="Q118" si="566">F118*P118</f>
        <v>12774276.280349346</v>
      </c>
      <c r="R118">
        <f t="shared" ref="R118" si="567">R119+Q118</f>
        <v>150834759.17080179</v>
      </c>
      <c r="S118">
        <f t="shared" ref="S118" si="568">R118/100000</f>
        <v>1508.3475917080179</v>
      </c>
      <c r="T118">
        <f t="shared" ref="T118" si="569">S118/1000</f>
        <v>1.508347591708018</v>
      </c>
    </row>
    <row r="119" spans="1:20" x14ac:dyDescent="0.25">
      <c r="A119" s="5">
        <v>44474</v>
      </c>
      <c r="B119">
        <v>0.71140000000000003</v>
      </c>
      <c r="C119">
        <v>0.77110000000000001</v>
      </c>
      <c r="D119">
        <v>0.70269999999999999</v>
      </c>
      <c r="E119">
        <v>0.75219999999999998</v>
      </c>
      <c r="F119">
        <v>12800327</v>
      </c>
      <c r="G119">
        <v>0.75219999999999998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0.44736842105263092</v>
      </c>
      <c r="Q119">
        <f t="shared" ref="Q119" si="571">F119*P119</f>
        <v>5726462.0789473597</v>
      </c>
      <c r="R119">
        <f t="shared" ref="R119" si="572">R120+Q119</f>
        <v>138060482.89045244</v>
      </c>
      <c r="S119">
        <f t="shared" ref="S119" si="573">R119/100000</f>
        <v>1380.6048289045245</v>
      </c>
      <c r="T119">
        <f t="shared" ref="T119" si="574">S119/1000</f>
        <v>1.3806048289045245</v>
      </c>
    </row>
    <row r="120" spans="1:20" x14ac:dyDescent="0.25">
      <c r="A120" s="5">
        <v>44473</v>
      </c>
      <c r="B120">
        <v>0.72629999999999995</v>
      </c>
      <c r="C120">
        <v>0.72660000000000002</v>
      </c>
      <c r="D120">
        <v>0.67300000000000004</v>
      </c>
      <c r="E120">
        <v>0.71360000000000001</v>
      </c>
      <c r="F120">
        <v>9405805</v>
      </c>
      <c r="G120">
        <v>0.71360000000000001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0.51492537313432774</v>
      </c>
      <c r="Q120">
        <f t="shared" ref="Q120" si="576">F120*P120</f>
        <v>4843287.6492537251</v>
      </c>
      <c r="R120">
        <f t="shared" ref="R120" si="577">R121+Q120</f>
        <v>132334020.81150509</v>
      </c>
      <c r="S120">
        <f t="shared" ref="S120" si="578">R120/100000</f>
        <v>1323.3402081150509</v>
      </c>
      <c r="T120">
        <f t="shared" ref="T120" si="579">S120/1000</f>
        <v>1.3233402081150509</v>
      </c>
    </row>
    <row r="121" spans="1:20" x14ac:dyDescent="0.25">
      <c r="A121" s="5">
        <v>44472</v>
      </c>
      <c r="B121">
        <v>0.70860000000000001</v>
      </c>
      <c r="C121">
        <v>0.75170000000000003</v>
      </c>
      <c r="D121">
        <v>0.6915</v>
      </c>
      <c r="E121">
        <v>0.72419999999999995</v>
      </c>
      <c r="F121">
        <v>9677625</v>
      </c>
      <c r="G121">
        <v>0.72419999999999995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8.6378737541526057E-2</v>
      </c>
      <c r="Q121">
        <f t="shared" ref="Q121" si="581">F121*P121</f>
        <v>835941.02990031114</v>
      </c>
      <c r="R121">
        <f t="shared" ref="R121" si="582">R122+Q121</f>
        <v>127490733.16225137</v>
      </c>
      <c r="S121">
        <f t="shared" ref="S121" si="583">R121/100000</f>
        <v>1274.9073316225138</v>
      </c>
      <c r="T121">
        <f t="shared" ref="T121" si="584">S121/1000</f>
        <v>1.2749073316225137</v>
      </c>
    </row>
    <row r="122" spans="1:20" x14ac:dyDescent="0.25">
      <c r="A122" s="5">
        <v>44471</v>
      </c>
      <c r="B122">
        <v>0.69699999999999995</v>
      </c>
      <c r="C122">
        <v>0.73960000000000004</v>
      </c>
      <c r="D122">
        <v>0.69</v>
      </c>
      <c r="E122">
        <v>0.70809999999999995</v>
      </c>
      <c r="F122">
        <v>12595403</v>
      </c>
      <c r="G122">
        <v>0.70809999999999995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-0.27016129032258174</v>
      </c>
      <c r="Q122">
        <f t="shared" ref="Q122" si="586">F122*P122</f>
        <v>-3402790.3266129168</v>
      </c>
      <c r="R122">
        <f t="shared" ref="R122" si="587">R123+Q122</f>
        <v>126654792.13235106</v>
      </c>
      <c r="S122">
        <f t="shared" ref="S122" si="588">R122/100000</f>
        <v>1266.5479213235105</v>
      </c>
      <c r="T122">
        <f t="shared" ref="T122" si="589">S122/1000</f>
        <v>1.2665479213235105</v>
      </c>
    </row>
    <row r="123" spans="1:20" x14ac:dyDescent="0.25">
      <c r="A123" s="5">
        <v>44470</v>
      </c>
      <c r="B123">
        <v>0.64129999999999998</v>
      </c>
      <c r="C123">
        <v>0.69940000000000002</v>
      </c>
      <c r="D123">
        <v>0.62290000000000001</v>
      </c>
      <c r="E123">
        <v>0.69679999999999997</v>
      </c>
      <c r="F123">
        <v>15844620</v>
      </c>
      <c r="G123">
        <v>0.69679999999999997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0.93202614379084847</v>
      </c>
      <c r="Q123">
        <f t="shared" ref="Q123" si="591">F123*P123</f>
        <v>14767600.078431353</v>
      </c>
      <c r="R123">
        <f t="shared" ref="R123" si="592">R124+Q123</f>
        <v>130057582.45896398</v>
      </c>
      <c r="S123">
        <f t="shared" ref="S123" si="593">R123/100000</f>
        <v>1300.5758245896398</v>
      </c>
      <c r="T123">
        <f t="shared" ref="T123" si="594">S123/1000</f>
        <v>1.3005758245896397</v>
      </c>
    </row>
    <row r="124" spans="1:20" x14ac:dyDescent="0.25">
      <c r="A124" s="5">
        <v>44469</v>
      </c>
      <c r="B124">
        <v>0.61019999999999996</v>
      </c>
      <c r="C124">
        <v>0.64829999999999999</v>
      </c>
      <c r="D124">
        <v>0.60560000000000003</v>
      </c>
      <c r="E124">
        <v>0.6411</v>
      </c>
      <c r="F124">
        <v>5386880</v>
      </c>
      <c r="G124">
        <v>0.6411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0.66276346604215497</v>
      </c>
      <c r="Q124">
        <f t="shared" ref="Q124" si="596">F124*P124</f>
        <v>3570227.2599531636</v>
      </c>
      <c r="R124">
        <f t="shared" ref="R124" si="597">R125+Q124</f>
        <v>115289982.38053262</v>
      </c>
      <c r="S124">
        <f t="shared" ref="S124" si="598">R124/100000</f>
        <v>1152.8998238053262</v>
      </c>
      <c r="T124">
        <f t="shared" ref="T124" si="599">S124/1000</f>
        <v>1.1528998238053261</v>
      </c>
    </row>
    <row r="125" spans="1:20" x14ac:dyDescent="0.25">
      <c r="A125" s="5">
        <v>44468</v>
      </c>
      <c r="B125">
        <v>0.5988</v>
      </c>
      <c r="C125">
        <v>0.63890000000000002</v>
      </c>
      <c r="D125">
        <v>0.59360000000000002</v>
      </c>
      <c r="E125">
        <v>0.61</v>
      </c>
      <c r="F125">
        <v>4885044</v>
      </c>
      <c r="G125">
        <v>0.61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-0.27593818984547602</v>
      </c>
      <c r="Q125">
        <f t="shared" ref="Q125" si="601">F125*P125</f>
        <v>-1347970.1986755035</v>
      </c>
      <c r="R125">
        <f t="shared" ref="R125" si="602">R126+Q125</f>
        <v>111719755.12057947</v>
      </c>
      <c r="S125">
        <f t="shared" ref="S125" si="603">R125/100000</f>
        <v>1117.1975512057948</v>
      </c>
      <c r="T125">
        <f t="shared" ref="T125" si="604">S125/1000</f>
        <v>1.1171975512057948</v>
      </c>
    </row>
    <row r="126" spans="1:20" x14ac:dyDescent="0.25">
      <c r="A126" s="5">
        <v>44467</v>
      </c>
      <c r="B126">
        <v>0.63880000000000003</v>
      </c>
      <c r="C126">
        <v>0.65039999999999998</v>
      </c>
      <c r="D126">
        <v>0.59640000000000004</v>
      </c>
      <c r="E126">
        <v>0.59870000000000001</v>
      </c>
      <c r="F126">
        <v>6173501</v>
      </c>
      <c r="G126">
        <v>0.59870000000000001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-0.91481481481481586</v>
      </c>
      <c r="Q126">
        <f t="shared" ref="Q126" si="606">F126*P126</f>
        <v>-5647610.1740740808</v>
      </c>
      <c r="R126">
        <f t="shared" ref="R126" si="607">R127+Q126</f>
        <v>113067725.31925496</v>
      </c>
      <c r="S126">
        <f t="shared" ref="S126" si="608">R126/100000</f>
        <v>1130.6772531925496</v>
      </c>
      <c r="T126">
        <f t="shared" ref="T126" si="609">S126/1000</f>
        <v>1.1306772531925497</v>
      </c>
    </row>
    <row r="127" spans="1:20" x14ac:dyDescent="0.25">
      <c r="A127" s="5">
        <v>44466</v>
      </c>
      <c r="B127">
        <v>0.67200000000000004</v>
      </c>
      <c r="C127">
        <v>0.70389999999999997</v>
      </c>
      <c r="D127">
        <v>0.63580000000000003</v>
      </c>
      <c r="E127">
        <v>0.63959999999999995</v>
      </c>
      <c r="F127">
        <v>6919282</v>
      </c>
      <c r="G127">
        <v>0.63959999999999995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-0.88839941262848998</v>
      </c>
      <c r="Q127">
        <f t="shared" ref="Q127" si="611">F127*P127</f>
        <v>-6147086.0646108836</v>
      </c>
      <c r="R127">
        <f t="shared" ref="R127" si="612">R128+Q127</f>
        <v>118715335.49332905</v>
      </c>
      <c r="S127">
        <f t="shared" ref="S127" si="613">R127/100000</f>
        <v>1187.1533549332905</v>
      </c>
      <c r="T127">
        <f t="shared" ref="T127" si="614">S127/1000</f>
        <v>1.1871533549332904</v>
      </c>
    </row>
    <row r="128" spans="1:20" x14ac:dyDescent="0.25">
      <c r="A128" s="5">
        <v>44465</v>
      </c>
      <c r="B128">
        <v>0.67430000000000001</v>
      </c>
      <c r="C128">
        <v>0.69169999999999998</v>
      </c>
      <c r="D128">
        <v>0.61170000000000002</v>
      </c>
      <c r="E128">
        <v>0.67310000000000003</v>
      </c>
      <c r="F128">
        <v>9987926</v>
      </c>
      <c r="G128">
        <v>0.67310000000000003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0.53500000000000103</v>
      </c>
      <c r="Q128">
        <f t="shared" ref="Q128" si="616">F128*P128</f>
        <v>5343540.4100000104</v>
      </c>
      <c r="R128">
        <f t="shared" ref="R128" si="617">R129+Q128</f>
        <v>124862421.55793993</v>
      </c>
      <c r="S128">
        <f t="shared" ref="S128" si="618">R128/100000</f>
        <v>1248.6242155793993</v>
      </c>
      <c r="T128">
        <f t="shared" ref="T128" si="619">S128/1000</f>
        <v>1.2486242155793994</v>
      </c>
    </row>
    <row r="129" spans="1:20" x14ac:dyDescent="0.25">
      <c r="A129" s="5">
        <v>44464</v>
      </c>
      <c r="B129">
        <v>0.67010000000000003</v>
      </c>
      <c r="C129">
        <v>0.68969999999999998</v>
      </c>
      <c r="D129">
        <v>0.64390000000000003</v>
      </c>
      <c r="E129">
        <v>0.67359999999999998</v>
      </c>
      <c r="F129">
        <v>8873636</v>
      </c>
      <c r="G129">
        <v>0.67359999999999998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0.29694323144104717</v>
      </c>
      <c r="Q129">
        <f t="shared" ref="Q129" si="621">F129*P129</f>
        <v>2634966.1484716083</v>
      </c>
      <c r="R129">
        <f t="shared" ref="R129" si="622">R130+Q129</f>
        <v>119518881.14793992</v>
      </c>
      <c r="S129">
        <f t="shared" ref="S129" si="623">R129/100000</f>
        <v>1195.1888114793992</v>
      </c>
      <c r="T129">
        <f t="shared" ref="T129" si="624">S129/1000</f>
        <v>1.1951888114793991</v>
      </c>
    </row>
    <row r="130" spans="1:20" x14ac:dyDescent="0.25">
      <c r="A130" s="5">
        <v>44463</v>
      </c>
      <c r="B130">
        <v>0.72789999999999999</v>
      </c>
      <c r="C130">
        <v>0.74580000000000002</v>
      </c>
      <c r="D130">
        <v>0.625</v>
      </c>
      <c r="E130">
        <v>0.67020000000000002</v>
      </c>
      <c r="F130">
        <v>20649653</v>
      </c>
      <c r="G130">
        <v>0.67020000000000002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-0.25165562913907269</v>
      </c>
      <c r="Q130">
        <f t="shared" ref="Q130" si="626">F130*P130</f>
        <v>-5196601.4172185399</v>
      </c>
      <c r="R130">
        <f t="shared" ref="R130" si="627">R131+Q130</f>
        <v>116883914.99946831</v>
      </c>
      <c r="S130">
        <f t="shared" ref="S130" si="628">R130/100000</f>
        <v>1168.8391499946831</v>
      </c>
      <c r="T130">
        <f t="shared" ref="T130" si="629">S130/1000</f>
        <v>1.1688391499946831</v>
      </c>
    </row>
    <row r="131" spans="1:20" x14ac:dyDescent="0.25">
      <c r="A131" s="5">
        <v>44462</v>
      </c>
      <c r="B131">
        <v>0.68389999999999995</v>
      </c>
      <c r="C131">
        <v>0.73399999999999999</v>
      </c>
      <c r="D131">
        <v>0.65669999999999995</v>
      </c>
      <c r="E131">
        <v>0.72850000000000004</v>
      </c>
      <c r="F131">
        <v>19409149</v>
      </c>
      <c r="G131">
        <v>0.72850000000000004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0.85769728331177364</v>
      </c>
      <c r="Q131">
        <f t="shared" ref="Q131" si="631">F131*P131</f>
        <v>16647174.368693428</v>
      </c>
      <c r="R131">
        <f t="shared" ref="R131" si="632">R132+Q131</f>
        <v>122080516.41668685</v>
      </c>
      <c r="S131">
        <f t="shared" ref="S131" si="633">R131/100000</f>
        <v>1220.8051641668685</v>
      </c>
      <c r="T131">
        <f t="shared" ref="T131" si="634">S131/1000</f>
        <v>1.2208051641668685</v>
      </c>
    </row>
    <row r="132" spans="1:20" x14ac:dyDescent="0.25">
      <c r="A132" s="5">
        <v>44461</v>
      </c>
      <c r="B132">
        <v>0.60060000000000002</v>
      </c>
      <c r="C132">
        <v>0.68640000000000001</v>
      </c>
      <c r="D132">
        <v>0.5897</v>
      </c>
      <c r="E132">
        <v>0.68479999999999996</v>
      </c>
      <c r="F132">
        <v>8897775</v>
      </c>
      <c r="G132">
        <v>0.68479999999999996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0.96690796277145719</v>
      </c>
      <c r="Q132">
        <f t="shared" ref="Q132" si="636">F132*P132</f>
        <v>8603329.4984488022</v>
      </c>
      <c r="R132">
        <f t="shared" ref="R132" si="637">R133+Q132</f>
        <v>105433342.04799342</v>
      </c>
      <c r="S132">
        <f t="shared" ref="S132" si="638">R132/100000</f>
        <v>1054.3334204799341</v>
      </c>
      <c r="T132">
        <f t="shared" ref="T132" si="639">S132/1000</f>
        <v>1.0543334204799342</v>
      </c>
    </row>
    <row r="133" spans="1:20" x14ac:dyDescent="0.25">
      <c r="A133" s="5">
        <v>44460</v>
      </c>
      <c r="B133">
        <v>0.65100000000000002</v>
      </c>
      <c r="C133">
        <v>0.69350000000000001</v>
      </c>
      <c r="D133">
        <v>0.58650000000000002</v>
      </c>
      <c r="E133">
        <v>0.60089999999999999</v>
      </c>
      <c r="F133">
        <v>14948349.18</v>
      </c>
      <c r="G133">
        <v>0.60089999999999999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-0.73084112149532765</v>
      </c>
      <c r="Q133">
        <f t="shared" ref="Q133" si="641">F133*P133</f>
        <v>-10924868.279214961</v>
      </c>
      <c r="R133">
        <f t="shared" ref="R133" si="642">R134+Q133</f>
        <v>96830012.549544618</v>
      </c>
      <c r="S133">
        <f t="shared" ref="S133" si="643">R133/100000</f>
        <v>968.3001254954462</v>
      </c>
      <c r="T133">
        <f t="shared" ref="T133" si="644">S133/1000</f>
        <v>0.9683001254954462</v>
      </c>
    </row>
    <row r="134" spans="1:20" x14ac:dyDescent="0.25">
      <c r="A134" s="5">
        <v>44459</v>
      </c>
      <c r="B134">
        <v>0.75929999999999997</v>
      </c>
      <c r="C134">
        <v>0.76339999999999997</v>
      </c>
      <c r="D134">
        <v>0.68</v>
      </c>
      <c r="E134">
        <v>0.69269999999999998</v>
      </c>
      <c r="F134">
        <v>6653775</v>
      </c>
      <c r="G134">
        <v>0.69269999999999998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-0.69544364508393419</v>
      </c>
      <c r="Q134">
        <f t="shared" ref="Q134" si="646">F134*P134</f>
        <v>-4627325.5395683544</v>
      </c>
      <c r="R134">
        <f t="shared" ref="R134" si="647">R135+Q134</f>
        <v>107754880.82875958</v>
      </c>
      <c r="S134">
        <f t="shared" ref="S134" si="648">R134/100000</f>
        <v>1077.5488082875959</v>
      </c>
      <c r="T134">
        <f t="shared" ref="T134" si="649">S134/1000</f>
        <v>1.0775488082875959</v>
      </c>
    </row>
    <row r="135" spans="1:20" x14ac:dyDescent="0.25">
      <c r="A135" s="5">
        <v>44458</v>
      </c>
      <c r="B135">
        <v>0.80830000000000002</v>
      </c>
      <c r="C135">
        <v>0.81469999999999998</v>
      </c>
      <c r="D135">
        <v>0.73609999999999998</v>
      </c>
      <c r="E135">
        <v>0.75860000000000005</v>
      </c>
      <c r="F135">
        <v>9090536</v>
      </c>
      <c r="G135">
        <v>0.75860000000000005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-0.42748091603053245</v>
      </c>
      <c r="Q135">
        <f t="shared" ref="Q135" si="651">F135*P135</f>
        <v>-3886030.6564885322</v>
      </c>
      <c r="R135">
        <f t="shared" ref="R135" si="652">R136+Q135</f>
        <v>112382206.36832793</v>
      </c>
      <c r="S135">
        <f t="shared" ref="S135" si="653">R135/100000</f>
        <v>1123.8220636832793</v>
      </c>
      <c r="T135">
        <f t="shared" ref="T135" si="654">S135/1000</f>
        <v>1.1238220636832794</v>
      </c>
    </row>
    <row r="136" spans="1:20" x14ac:dyDescent="0.25">
      <c r="A136" s="5">
        <v>44457</v>
      </c>
      <c r="B136">
        <v>0.78990000000000005</v>
      </c>
      <c r="C136">
        <v>0.83640000000000003</v>
      </c>
      <c r="D136">
        <v>0.77429999999999999</v>
      </c>
      <c r="E136">
        <v>0.80779999999999996</v>
      </c>
      <c r="F136">
        <v>7096793</v>
      </c>
      <c r="G136">
        <v>0.80779999999999996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7.8904991948468617E-2</v>
      </c>
      <c r="Q136">
        <f t="shared" ref="Q136" si="656">F136*P136</f>
        <v>559972.39452494844</v>
      </c>
      <c r="R136">
        <f t="shared" ref="R136" si="657">R137+Q136</f>
        <v>116268237.02481647</v>
      </c>
      <c r="S136">
        <f t="shared" ref="S136" si="658">R136/100000</f>
        <v>1162.6823702481647</v>
      </c>
      <c r="T136">
        <f t="shared" ref="T136" si="659">S136/1000</f>
        <v>1.1626823702481648</v>
      </c>
    </row>
    <row r="137" spans="1:20" x14ac:dyDescent="0.25">
      <c r="A137" s="5">
        <v>44456</v>
      </c>
      <c r="B137">
        <v>0.83860000000000001</v>
      </c>
      <c r="C137">
        <v>0.84970000000000001</v>
      </c>
      <c r="D137">
        <v>0.78049999999999997</v>
      </c>
      <c r="E137">
        <v>0.78990000000000005</v>
      </c>
      <c r="F137">
        <v>8288581</v>
      </c>
      <c r="G137">
        <v>0.78990000000000005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-0.72832369942196329</v>
      </c>
      <c r="Q137">
        <f t="shared" ref="Q137" si="661">F137*P137</f>
        <v>-6036769.9768785955</v>
      </c>
      <c r="R137">
        <f t="shared" ref="R137" si="662">R138+Q137</f>
        <v>115708264.63029152</v>
      </c>
      <c r="S137">
        <f t="shared" ref="S137" si="663">R137/100000</f>
        <v>1157.0826463029152</v>
      </c>
      <c r="T137">
        <f t="shared" ref="T137" si="664">S137/1000</f>
        <v>1.1570826463029151</v>
      </c>
    </row>
    <row r="138" spans="1:20" x14ac:dyDescent="0.25">
      <c r="A138" s="5">
        <v>44455</v>
      </c>
      <c r="B138">
        <v>0.85350000000000004</v>
      </c>
      <c r="C138">
        <v>0.89710000000000001</v>
      </c>
      <c r="D138">
        <v>0.81559999999999999</v>
      </c>
      <c r="E138">
        <v>0.83950000000000002</v>
      </c>
      <c r="F138">
        <v>15134577</v>
      </c>
      <c r="G138">
        <v>0.83950000000000002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-0.41349693251533676</v>
      </c>
      <c r="Q138">
        <f t="shared" ref="Q138" si="666">F138*P138</f>
        <v>-6258101.1644171681</v>
      </c>
      <c r="R138">
        <f t="shared" ref="R138" si="667">R139+Q138</f>
        <v>121745034.60717012</v>
      </c>
      <c r="S138">
        <f t="shared" ref="S138" si="668">R138/100000</f>
        <v>1217.4503460717012</v>
      </c>
      <c r="T138">
        <f t="shared" ref="T138" si="669">S138/1000</f>
        <v>1.2174503460717012</v>
      </c>
    </row>
    <row r="139" spans="1:20" x14ac:dyDescent="0.25">
      <c r="A139" s="5">
        <v>44454</v>
      </c>
      <c r="B139">
        <v>0.79610000000000003</v>
      </c>
      <c r="C139">
        <v>0.89200000000000002</v>
      </c>
      <c r="D139">
        <v>0.7893</v>
      </c>
      <c r="E139">
        <v>0.8538</v>
      </c>
      <c r="F139">
        <v>18338030</v>
      </c>
      <c r="G139">
        <v>0.8538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0.25608568646543317</v>
      </c>
      <c r="Q139">
        <f t="shared" ref="Q139" si="671">F139*P139</f>
        <v>4696107.0009737071</v>
      </c>
      <c r="R139">
        <f t="shared" ref="R139" si="672">R140+Q139</f>
        <v>128003135.77158728</v>
      </c>
      <c r="S139">
        <f t="shared" ref="S139" si="673">R139/100000</f>
        <v>1280.0313577158729</v>
      </c>
      <c r="T139">
        <f t="shared" ref="T139" si="674">S139/1000</f>
        <v>1.2800313577158728</v>
      </c>
    </row>
    <row r="140" spans="1:20" x14ac:dyDescent="0.25">
      <c r="A140" s="5">
        <v>44453</v>
      </c>
      <c r="B140">
        <v>0.75639999999999996</v>
      </c>
      <c r="C140">
        <v>0.7984</v>
      </c>
      <c r="D140">
        <v>0.74680000000000002</v>
      </c>
      <c r="E140">
        <v>0.79610000000000003</v>
      </c>
      <c r="F140">
        <v>12922155</v>
      </c>
      <c r="G140">
        <v>0.79610000000000003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0.91085271317829575</v>
      </c>
      <c r="Q140">
        <f t="shared" ref="Q140" si="676">F140*P140</f>
        <v>11770179.94186048</v>
      </c>
      <c r="R140">
        <f t="shared" ref="R140" si="677">R141+Q140</f>
        <v>123307028.77061358</v>
      </c>
      <c r="S140">
        <f t="shared" ref="S140" si="678">R140/100000</f>
        <v>1233.0702877061358</v>
      </c>
      <c r="T140">
        <f t="shared" ref="T140" si="679">S140/1000</f>
        <v>1.2330702877061357</v>
      </c>
    </row>
    <row r="141" spans="1:20" x14ac:dyDescent="0.25">
      <c r="A141" s="5">
        <v>44452</v>
      </c>
      <c r="B141">
        <v>0.84389999999999998</v>
      </c>
      <c r="C141">
        <v>0.86</v>
      </c>
      <c r="D141">
        <v>0.71960000000000002</v>
      </c>
      <c r="E141">
        <v>0.75639999999999996</v>
      </c>
      <c r="F141">
        <v>22261071</v>
      </c>
      <c r="G141">
        <v>0.75639999999999996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-0.47578347578347646</v>
      </c>
      <c r="Q141">
        <f t="shared" ref="Q141" si="681">F141*P141</f>
        <v>-10591449.735042751</v>
      </c>
      <c r="R141">
        <f t="shared" ref="R141" si="682">R142+Q141</f>
        <v>111536848.8287531</v>
      </c>
      <c r="S141">
        <f t="shared" ref="S141" si="683">R141/100000</f>
        <v>1115.3684882875309</v>
      </c>
      <c r="T141">
        <f t="shared" ref="T141" si="684">S141/1000</f>
        <v>1.115368488287531</v>
      </c>
    </row>
    <row r="142" spans="1:20" x14ac:dyDescent="0.25">
      <c r="A142" s="5">
        <v>44451</v>
      </c>
      <c r="B142">
        <v>0.7379</v>
      </c>
      <c r="C142">
        <v>0.85499999999999998</v>
      </c>
      <c r="D142">
        <v>0.7046</v>
      </c>
      <c r="E142">
        <v>0.84260000000000002</v>
      </c>
      <c r="F142">
        <v>34565019</v>
      </c>
      <c r="G142">
        <v>0.84260000000000002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0.83510638297872386</v>
      </c>
      <c r="Q142">
        <f t="shared" ref="Q142" si="686">F142*P142</f>
        <v>28865467.994680867</v>
      </c>
      <c r="R142">
        <f t="shared" ref="R142" si="687">R143+Q142</f>
        <v>122128298.56379585</v>
      </c>
      <c r="S142">
        <f t="shared" ref="S142" si="688">R142/100000</f>
        <v>1221.2829856379585</v>
      </c>
      <c r="T142">
        <f t="shared" ref="T142" si="689">S142/1000</f>
        <v>1.2212829856379586</v>
      </c>
    </row>
    <row r="143" spans="1:20" x14ac:dyDescent="0.25">
      <c r="A143" s="5">
        <v>44450</v>
      </c>
      <c r="B143">
        <v>0.7157</v>
      </c>
      <c r="C143">
        <v>0.74229999999999996</v>
      </c>
      <c r="D143">
        <v>0.7006</v>
      </c>
      <c r="E143">
        <v>0.7379</v>
      </c>
      <c r="F143">
        <v>9353828</v>
      </c>
      <c r="G143">
        <v>0.7379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0.78896882494004972</v>
      </c>
      <c r="Q143">
        <f t="shared" ref="Q143" si="691">F143*P143</f>
        <v>7379878.6858513355</v>
      </c>
      <c r="R143">
        <f t="shared" ref="R143" si="692">R144+Q143</f>
        <v>93262830.569114983</v>
      </c>
      <c r="S143">
        <f t="shared" ref="S143" si="693">R143/100000</f>
        <v>932.62830569114988</v>
      </c>
      <c r="T143">
        <f t="shared" ref="T143" si="694">S143/1000</f>
        <v>0.93262830569114985</v>
      </c>
    </row>
    <row r="144" spans="1:20" x14ac:dyDescent="0.25">
      <c r="A144" s="5">
        <v>44449</v>
      </c>
      <c r="B144">
        <v>0.7641</v>
      </c>
      <c r="C144">
        <v>0.78820000000000001</v>
      </c>
      <c r="D144">
        <v>0.68669999999999998</v>
      </c>
      <c r="E144">
        <v>0.71540000000000004</v>
      </c>
      <c r="F144">
        <v>12956269</v>
      </c>
      <c r="G144">
        <v>0.71540000000000004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-0.43448275862068869</v>
      </c>
      <c r="Q144">
        <f t="shared" ref="Q144" si="696">F144*P144</f>
        <v>-5629275.496551712</v>
      </c>
      <c r="R144">
        <f t="shared" ref="R144" si="697">R145+Q144</f>
        <v>85882951.883263648</v>
      </c>
      <c r="S144">
        <f t="shared" ref="S144" si="698">R144/100000</f>
        <v>858.8295188326365</v>
      </c>
      <c r="T144">
        <f t="shared" ref="T144" si="699">S144/1000</f>
        <v>0.85882951883263647</v>
      </c>
    </row>
    <row r="145" spans="1:20" x14ac:dyDescent="0.25">
      <c r="A145" s="5">
        <v>44448</v>
      </c>
      <c r="B145">
        <v>0.76259999999999994</v>
      </c>
      <c r="C145">
        <v>0.79490000000000005</v>
      </c>
      <c r="D145">
        <v>0.73350000000000004</v>
      </c>
      <c r="E145">
        <v>0.76459999999999995</v>
      </c>
      <c r="F145">
        <v>15708495</v>
      </c>
      <c r="G145">
        <v>0.76459999999999995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1.3029315960908807E-2</v>
      </c>
      <c r="Q145">
        <f t="shared" ref="Q145" si="701">F145*P145</f>
        <v>204670.94462535618</v>
      </c>
      <c r="R145">
        <f t="shared" ref="R145" si="702">R146+Q145</f>
        <v>91512227.379815355</v>
      </c>
      <c r="S145">
        <f t="shared" ref="S145" si="703">R145/100000</f>
        <v>915.12227379815351</v>
      </c>
      <c r="T145">
        <f t="shared" ref="T145" si="704">S145/1000</f>
        <v>0.91512227379815347</v>
      </c>
    </row>
    <row r="146" spans="1:20" x14ac:dyDescent="0.25">
      <c r="A146" s="5">
        <v>44447</v>
      </c>
      <c r="B146">
        <v>0.76590000000000003</v>
      </c>
      <c r="C146">
        <v>0.78539999999999999</v>
      </c>
      <c r="D146">
        <v>0.69189999999999996</v>
      </c>
      <c r="E146">
        <v>0.76259999999999994</v>
      </c>
      <c r="F146">
        <v>15096144</v>
      </c>
      <c r="G146">
        <v>0.76259999999999994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0.51229946524064096</v>
      </c>
      <c r="Q146">
        <f t="shared" ref="Q146" si="706">F146*P146</f>
        <v>7733746.4983957103</v>
      </c>
      <c r="R146">
        <f t="shared" ref="R146" si="707">R147+Q146</f>
        <v>91307556.435189992</v>
      </c>
      <c r="S146">
        <f t="shared" ref="S146" si="708">R146/100000</f>
        <v>913.07556435189997</v>
      </c>
      <c r="T146">
        <f t="shared" ref="T146" si="709">S146/1000</f>
        <v>0.91307556435189996</v>
      </c>
    </row>
    <row r="147" spans="1:20" x14ac:dyDescent="0.25">
      <c r="A147" s="5">
        <v>44446</v>
      </c>
      <c r="B147">
        <v>0.9667</v>
      </c>
      <c r="C147">
        <v>0.99880000000000002</v>
      </c>
      <c r="D147">
        <v>0.66559999999999997</v>
      </c>
      <c r="E147">
        <v>0.76100000000000001</v>
      </c>
      <c r="F147">
        <v>32840703.16</v>
      </c>
      <c r="G147">
        <v>0.76100000000000001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-0.42737094837935158</v>
      </c>
      <c r="Q147">
        <f t="shared" ref="Q147" si="711">F147*P147</f>
        <v>-14035162.454933967</v>
      </c>
      <c r="R147">
        <f t="shared" ref="R147" si="712">R148+Q147</f>
        <v>83573809.936794281</v>
      </c>
      <c r="S147">
        <f t="shared" ref="S147" si="713">R147/100000</f>
        <v>835.73809936794282</v>
      </c>
      <c r="T147">
        <f t="shared" ref="T147" si="714">S147/1000</f>
        <v>0.83573809936794285</v>
      </c>
    </row>
    <row r="148" spans="1:20" x14ac:dyDescent="0.25">
      <c r="A148" s="5">
        <v>44445</v>
      </c>
      <c r="B148">
        <v>0.98609999999999998</v>
      </c>
      <c r="C148">
        <v>1.0149999999999999</v>
      </c>
      <c r="D148">
        <v>0.88929999999999998</v>
      </c>
      <c r="E148">
        <v>0.96630000000000005</v>
      </c>
      <c r="F148">
        <v>17312352.43</v>
      </c>
      <c r="G148">
        <v>0.96630000000000005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0.22513922036595252</v>
      </c>
      <c r="Q148">
        <f t="shared" ref="Q148" si="716">F148*P148</f>
        <v>3897689.5287908036</v>
      </c>
      <c r="R148">
        <f t="shared" ref="R148" si="717">R149+Q148</f>
        <v>97608972.391728252</v>
      </c>
      <c r="S148">
        <f t="shared" ref="S148" si="718">R148/100000</f>
        <v>976.08972391728253</v>
      </c>
      <c r="T148">
        <f t="shared" ref="T148" si="719">S148/1000</f>
        <v>0.97608972391728255</v>
      </c>
    </row>
    <row r="149" spans="1:20" x14ac:dyDescent="0.25">
      <c r="A149" s="5">
        <v>44444</v>
      </c>
      <c r="B149">
        <v>0.9516</v>
      </c>
      <c r="C149">
        <v>0.99</v>
      </c>
      <c r="D149">
        <v>0.9254</v>
      </c>
      <c r="E149">
        <v>0.98540000000000005</v>
      </c>
      <c r="F149">
        <v>15751359</v>
      </c>
      <c r="G149">
        <v>0.98540000000000005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0.85758513931888736</v>
      </c>
      <c r="Q149">
        <f t="shared" ref="Q149" si="721">F149*P149</f>
        <v>13508131.40247681</v>
      </c>
      <c r="R149">
        <f t="shared" ref="R149" si="722">R150+Q149</f>
        <v>93711282.86293745</v>
      </c>
      <c r="S149">
        <f t="shared" ref="S149" si="723">R149/100000</f>
        <v>937.11282862937446</v>
      </c>
      <c r="T149">
        <f t="shared" ref="T149" si="724">S149/1000</f>
        <v>0.93711282862937451</v>
      </c>
    </row>
    <row r="150" spans="1:20" x14ac:dyDescent="0.25">
      <c r="A150" s="5">
        <v>44443</v>
      </c>
      <c r="B150">
        <v>0.89500000000000002</v>
      </c>
      <c r="C150">
        <v>0.98729999999999996</v>
      </c>
      <c r="D150">
        <v>0.88870000000000005</v>
      </c>
      <c r="E150">
        <v>0.95120000000000005</v>
      </c>
      <c r="F150">
        <v>19837837.690000001</v>
      </c>
      <c r="G150">
        <v>0.95120000000000005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0.26774847870182672</v>
      </c>
      <c r="Q150">
        <f t="shared" ref="Q150" si="726">F150*P150</f>
        <v>5311550.8622312611</v>
      </c>
      <c r="R150">
        <f t="shared" ref="R150" si="727">R151+Q150</f>
        <v>80203151.460460648</v>
      </c>
      <c r="S150">
        <f t="shared" ref="S150" si="728">R150/100000</f>
        <v>802.03151460460651</v>
      </c>
      <c r="T150">
        <f t="shared" ref="T150" si="729">S150/1000</f>
        <v>0.80203151460460653</v>
      </c>
    </row>
    <row r="151" spans="1:20" x14ac:dyDescent="0.25">
      <c r="A151" s="5">
        <v>44442</v>
      </c>
      <c r="B151">
        <v>0.90069999999999995</v>
      </c>
      <c r="C151">
        <v>0.92800000000000005</v>
      </c>
      <c r="D151">
        <v>0.875</v>
      </c>
      <c r="E151">
        <v>0.89459999999999995</v>
      </c>
      <c r="F151">
        <v>9860262</v>
      </c>
      <c r="G151">
        <v>0.89459999999999995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-0.26037735849056853</v>
      </c>
      <c r="Q151">
        <f t="shared" ref="Q151" si="731">F151*P151</f>
        <v>-2567388.9735849304</v>
      </c>
      <c r="R151">
        <f t="shared" ref="R151" si="732">R152+Q151</f>
        <v>74891600.598229393</v>
      </c>
      <c r="S151">
        <f t="shared" ref="S151" si="733">R151/100000</f>
        <v>748.91600598229388</v>
      </c>
      <c r="T151">
        <f t="shared" ref="T151" si="734">S151/1000</f>
        <v>0.74891600598229391</v>
      </c>
    </row>
    <row r="152" spans="1:20" x14ac:dyDescent="0.25">
      <c r="A152" s="5">
        <v>44441</v>
      </c>
      <c r="B152">
        <v>0.91830000000000001</v>
      </c>
      <c r="C152">
        <v>0.94579999999999997</v>
      </c>
      <c r="D152">
        <v>0.8962</v>
      </c>
      <c r="E152">
        <v>0.90080000000000005</v>
      </c>
      <c r="F152">
        <v>11764465</v>
      </c>
      <c r="G152">
        <v>0.90080000000000005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-0.81451612903225601</v>
      </c>
      <c r="Q152">
        <f t="shared" ref="Q152" si="736">F152*P152</f>
        <v>-9582346.4919354599</v>
      </c>
      <c r="R152">
        <f t="shared" ref="R152" si="737">R153+Q152</f>
        <v>77458989.571814328</v>
      </c>
      <c r="S152">
        <f t="shared" ref="S152" si="738">R152/100000</f>
        <v>774.58989571814334</v>
      </c>
      <c r="T152">
        <f t="shared" ref="T152" si="739">S152/1000</f>
        <v>0.7745898957181433</v>
      </c>
    </row>
    <row r="153" spans="1:20" x14ac:dyDescent="0.25">
      <c r="A153" s="5">
        <v>44440</v>
      </c>
      <c r="B153">
        <v>0.86419999999999997</v>
      </c>
      <c r="C153">
        <v>0.94279999999999997</v>
      </c>
      <c r="D153">
        <v>0.8387</v>
      </c>
      <c r="E153">
        <v>0.91790000000000005</v>
      </c>
      <c r="F153">
        <v>18908916</v>
      </c>
      <c r="G153">
        <v>0.91790000000000005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0.52161383285302731</v>
      </c>
      <c r="Q153">
        <f t="shared" ref="Q153" si="741">F153*P153</f>
        <v>9863152.1498559341</v>
      </c>
      <c r="R153">
        <f t="shared" ref="R153" si="742">R154+Q153</f>
        <v>87041336.06374979</v>
      </c>
      <c r="S153">
        <f t="shared" ref="S153" si="743">R153/100000</f>
        <v>870.41336063749793</v>
      </c>
      <c r="T153">
        <f t="shared" ref="T153" si="744">S153/1000</f>
        <v>0.87041336063749797</v>
      </c>
    </row>
    <row r="154" spans="1:20" x14ac:dyDescent="0.25">
      <c r="A154" s="5">
        <v>44439</v>
      </c>
      <c r="B154">
        <v>0.81410000000000005</v>
      </c>
      <c r="C154">
        <v>0.91</v>
      </c>
      <c r="D154">
        <v>0.80059999999999998</v>
      </c>
      <c r="E154">
        <v>0.86419999999999997</v>
      </c>
      <c r="F154">
        <v>20083798</v>
      </c>
      <c r="G154">
        <v>0.86419999999999997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0.16270566727605043</v>
      </c>
      <c r="Q154">
        <f t="shared" ref="Q154" si="746">F154*P154</f>
        <v>3267747.7550274073</v>
      </c>
      <c r="R154">
        <f t="shared" ref="R154" si="747">R155+Q154</f>
        <v>77178183.913893864</v>
      </c>
      <c r="S154">
        <f t="shared" ref="S154" si="748">R154/100000</f>
        <v>771.78183913893861</v>
      </c>
      <c r="T154">
        <f t="shared" ref="T154" si="749">S154/1000</f>
        <v>0.77178183913893861</v>
      </c>
    </row>
    <row r="155" spans="1:20" x14ac:dyDescent="0.25">
      <c r="A155" s="5">
        <v>44438</v>
      </c>
      <c r="B155">
        <v>0.85299999999999998</v>
      </c>
      <c r="C155">
        <v>0.87890000000000001</v>
      </c>
      <c r="D155">
        <v>0.80420000000000003</v>
      </c>
      <c r="E155">
        <v>0.81420000000000003</v>
      </c>
      <c r="F155">
        <v>12191570</v>
      </c>
      <c r="G155">
        <v>0.81420000000000003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-0.73226238286479217</v>
      </c>
      <c r="Q155">
        <f t="shared" ref="Q155" si="751">F155*P155</f>
        <v>-8927428.099062914</v>
      </c>
      <c r="R155">
        <f t="shared" ref="R155" si="752">R156+Q155</f>
        <v>73910436.15886645</v>
      </c>
      <c r="S155">
        <f t="shared" ref="S155" si="753">R155/100000</f>
        <v>739.10436158866446</v>
      </c>
      <c r="T155">
        <f t="shared" ref="T155" si="754">S155/1000</f>
        <v>0.73910436158866444</v>
      </c>
    </row>
    <row r="156" spans="1:20" x14ac:dyDescent="0.25">
      <c r="A156" s="5">
        <v>44437</v>
      </c>
      <c r="B156">
        <v>0.86939999999999995</v>
      </c>
      <c r="C156">
        <v>0.87839999999999996</v>
      </c>
      <c r="D156">
        <v>0.82499999999999996</v>
      </c>
      <c r="E156">
        <v>0.8538</v>
      </c>
      <c r="F156">
        <v>9490272</v>
      </c>
      <c r="G156">
        <v>0.8538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7.865168539326016E-2</v>
      </c>
      <c r="Q156">
        <f t="shared" ref="Q156" si="756">F156*P156</f>
        <v>746425.88764046587</v>
      </c>
      <c r="R156">
        <f t="shared" ref="R156" si="757">R157+Q156</f>
        <v>82837864.25792937</v>
      </c>
      <c r="S156">
        <f t="shared" ref="S156" si="758">R156/100000</f>
        <v>828.37864257929368</v>
      </c>
      <c r="T156">
        <f t="shared" ref="T156" si="759">S156/1000</f>
        <v>0.82837864257929372</v>
      </c>
    </row>
    <row r="157" spans="1:20" x14ac:dyDescent="0.25">
      <c r="A157" s="5">
        <v>44436</v>
      </c>
      <c r="B157">
        <v>0.86480000000000001</v>
      </c>
      <c r="C157">
        <v>0.90890000000000004</v>
      </c>
      <c r="D157">
        <v>0.83979999999999999</v>
      </c>
      <c r="E157">
        <v>0.86870000000000003</v>
      </c>
      <c r="F157">
        <v>14157373</v>
      </c>
      <c r="G157">
        <v>0.86870000000000003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-0.16353111432706177</v>
      </c>
      <c r="Q157">
        <f t="shared" ref="Q157" si="761">F157*P157</f>
        <v>-2315170.9826338575</v>
      </c>
      <c r="R157">
        <f t="shared" ref="R157" si="762">R158+Q157</f>
        <v>82091438.370288908</v>
      </c>
      <c r="S157">
        <f t="shared" ref="S157" si="763">R157/100000</f>
        <v>820.91438370288904</v>
      </c>
      <c r="T157">
        <f t="shared" ref="T157" si="764">S157/1000</f>
        <v>0.82091438370288905</v>
      </c>
    </row>
    <row r="158" spans="1:20" x14ac:dyDescent="0.25">
      <c r="A158" s="5">
        <v>44435</v>
      </c>
      <c r="B158">
        <v>0.81769999999999998</v>
      </c>
      <c r="C158">
        <v>0.87860000000000005</v>
      </c>
      <c r="D158">
        <v>0.78790000000000004</v>
      </c>
      <c r="E158">
        <v>0.86529999999999996</v>
      </c>
      <c r="F158">
        <v>14190656.289999999</v>
      </c>
      <c r="G158">
        <v>0.86529999999999996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0.70672546857772678</v>
      </c>
      <c r="Q158">
        <f t="shared" ref="Q158" si="766">F158*P158</f>
        <v>10028898.215975715</v>
      </c>
      <c r="R158">
        <f t="shared" ref="R158" si="767">R159+Q158</f>
        <v>84406609.352922767</v>
      </c>
      <c r="S158">
        <f t="shared" ref="S158" si="768">R158/100000</f>
        <v>844.06609352922771</v>
      </c>
      <c r="T158">
        <f t="shared" ref="T158" si="769">S158/1000</f>
        <v>0.84406609352922768</v>
      </c>
    </row>
    <row r="159" spans="1:20" x14ac:dyDescent="0.25">
      <c r="A159" s="5">
        <v>44434</v>
      </c>
      <c r="B159">
        <v>0.91249999999999998</v>
      </c>
      <c r="C159">
        <v>0.91700000000000004</v>
      </c>
      <c r="D159">
        <v>0.80400000000000005</v>
      </c>
      <c r="E159">
        <v>0.81720000000000004</v>
      </c>
      <c r="F159">
        <v>16420625.050000001</v>
      </c>
      <c r="G159">
        <v>0.81720000000000004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-0.76637168141592937</v>
      </c>
      <c r="Q159">
        <f t="shared" ref="Q159" si="771">F159*P159</f>
        <v>-12584302.02946903</v>
      </c>
      <c r="R159">
        <f t="shared" ref="R159" si="772">R160+Q159</f>
        <v>74377711.136947051</v>
      </c>
      <c r="S159">
        <f t="shared" ref="S159" si="773">R159/100000</f>
        <v>743.7771113694705</v>
      </c>
      <c r="T159">
        <f t="shared" ref="T159" si="774">S159/1000</f>
        <v>0.74377711136947056</v>
      </c>
    </row>
    <row r="160" spans="1:20" x14ac:dyDescent="0.25">
      <c r="A160" s="5">
        <v>44433</v>
      </c>
      <c r="B160">
        <v>0.86180000000000001</v>
      </c>
      <c r="C160">
        <v>0.93689999999999996</v>
      </c>
      <c r="D160">
        <v>0.83679999999999999</v>
      </c>
      <c r="E160">
        <v>0.91259999999999997</v>
      </c>
      <c r="F160">
        <v>18634832.620000001</v>
      </c>
      <c r="G160">
        <v>0.91259999999999997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0.51448551448551461</v>
      </c>
      <c r="Q160">
        <f t="shared" ref="Q160" si="776">F160*P160</f>
        <v>9587351.4478521515</v>
      </c>
      <c r="R160">
        <f t="shared" ref="R160" si="777">R161+Q160</f>
        <v>86962013.166416079</v>
      </c>
      <c r="S160">
        <f t="shared" ref="S160" si="778">R160/100000</f>
        <v>869.62013166416079</v>
      </c>
      <c r="T160">
        <f t="shared" ref="T160" si="779">S160/1000</f>
        <v>0.86962013166416074</v>
      </c>
    </row>
    <row r="161" spans="1:20" x14ac:dyDescent="0.25">
      <c r="A161" s="5">
        <v>44432</v>
      </c>
      <c r="B161">
        <v>0.96230000000000004</v>
      </c>
      <c r="C161">
        <v>1.0247999999999999</v>
      </c>
      <c r="D161">
        <v>0.85719999999999996</v>
      </c>
      <c r="E161">
        <v>0.86309999999999998</v>
      </c>
      <c r="F161">
        <v>33052668.670000002</v>
      </c>
      <c r="G161">
        <v>0.86309999999999998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-0.92959427207637213</v>
      </c>
      <c r="Q161">
        <f t="shared" ref="Q161" si="781">F161*P161</f>
        <v>-30725571.472470164</v>
      </c>
      <c r="R161">
        <f t="shared" ref="R161" si="782">R162+Q161</f>
        <v>77374661.718563929</v>
      </c>
      <c r="S161">
        <f t="shared" ref="S161" si="783">R161/100000</f>
        <v>773.74661718563925</v>
      </c>
      <c r="T161">
        <f t="shared" ref="T161" si="784">S161/1000</f>
        <v>0.77374661718563931</v>
      </c>
    </row>
    <row r="162" spans="1:20" x14ac:dyDescent="0.25">
      <c r="A162" s="5">
        <v>44431</v>
      </c>
      <c r="B162">
        <v>0.96499999999999997</v>
      </c>
      <c r="C162">
        <v>1.0183</v>
      </c>
      <c r="D162">
        <v>0.94099999999999995</v>
      </c>
      <c r="E162">
        <v>0.96250000000000002</v>
      </c>
      <c r="F162">
        <v>17230558.789999999</v>
      </c>
      <c r="G162">
        <v>0.96250000000000002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-0.44372574385510827</v>
      </c>
      <c r="Q162">
        <f t="shared" ref="Q162" si="786">F162*P162</f>
        <v>-7645642.5161319235</v>
      </c>
      <c r="R162">
        <f t="shared" ref="R162" si="787">R163+Q162</f>
        <v>108100233.19103409</v>
      </c>
      <c r="S162">
        <f t="shared" ref="S162" si="788">R162/100000</f>
        <v>1081.0023319103409</v>
      </c>
      <c r="T162">
        <f t="shared" ref="T162" si="789">S162/1000</f>
        <v>1.081002331910341</v>
      </c>
    </row>
    <row r="163" spans="1:20" x14ac:dyDescent="0.25">
      <c r="A163" s="5">
        <v>44430</v>
      </c>
      <c r="B163">
        <v>0.96850000000000003</v>
      </c>
      <c r="C163">
        <v>1.0079</v>
      </c>
      <c r="D163">
        <v>0.95879999999999999</v>
      </c>
      <c r="E163">
        <v>0.99709999999999999</v>
      </c>
      <c r="F163">
        <v>5163824.13</v>
      </c>
      <c r="G163">
        <v>0.99709999999999999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0.56008146639511103</v>
      </c>
      <c r="Q163">
        <f t="shared" ref="Q163" si="791">F163*P163</f>
        <v>2892162.1909368583</v>
      </c>
      <c r="R163">
        <f t="shared" ref="R163" si="792">R164+Q163</f>
        <v>115745875.70716602</v>
      </c>
      <c r="S163">
        <f t="shared" ref="S163" si="793">R163/100000</f>
        <v>1157.4587570716601</v>
      </c>
      <c r="T163">
        <f t="shared" ref="T163" si="794">S163/1000</f>
        <v>1.1574587570716601</v>
      </c>
    </row>
    <row r="164" spans="1:20" x14ac:dyDescent="0.25">
      <c r="A164" s="5">
        <v>44429</v>
      </c>
      <c r="B164">
        <v>0.95230000000000004</v>
      </c>
      <c r="C164">
        <v>1.1399999999999999</v>
      </c>
      <c r="D164">
        <v>0.93289999999999995</v>
      </c>
      <c r="E164">
        <v>0.96860000000000002</v>
      </c>
      <c r="F164">
        <v>55480064.170000002</v>
      </c>
      <c r="G164">
        <v>0.96860000000000002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-0.65523901496861348</v>
      </c>
      <c r="Q164">
        <f t="shared" ref="Q164" si="796">F164*P164</f>
        <v>-36352702.597146265</v>
      </c>
      <c r="R164">
        <f t="shared" ref="R164" si="797">R165+Q164</f>
        <v>112853713.51622915</v>
      </c>
      <c r="S164">
        <f t="shared" ref="S164" si="798">R164/100000</f>
        <v>1128.5371351622916</v>
      </c>
      <c r="T164">
        <f t="shared" ref="T164" si="799">S164/1000</f>
        <v>1.1285371351622917</v>
      </c>
    </row>
    <row r="165" spans="1:20" x14ac:dyDescent="0.25">
      <c r="A165" s="5">
        <v>44428</v>
      </c>
      <c r="B165">
        <v>0.80920000000000003</v>
      </c>
      <c r="C165">
        <v>0.95340000000000003</v>
      </c>
      <c r="D165">
        <v>0.79720000000000002</v>
      </c>
      <c r="E165">
        <v>0.95289999999999997</v>
      </c>
      <c r="F165">
        <v>26541647.32</v>
      </c>
      <c r="G165">
        <v>0.95289999999999997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0.99359795134442952</v>
      </c>
      <c r="Q165">
        <f t="shared" ref="Q165" si="801">F165*P165</f>
        <v>26371726.40245837</v>
      </c>
      <c r="R165">
        <f t="shared" ref="R165" si="802">R166+Q165</f>
        <v>149206416.11337543</v>
      </c>
      <c r="S165">
        <f t="shared" ref="S165" si="803">R165/100000</f>
        <v>1492.0641611337542</v>
      </c>
      <c r="T165">
        <f t="shared" ref="T165" si="804">S165/1000</f>
        <v>1.4920641611337542</v>
      </c>
    </row>
    <row r="166" spans="1:20" x14ac:dyDescent="0.25">
      <c r="A166" s="5">
        <v>44427</v>
      </c>
      <c r="B166">
        <v>0.75949999999999995</v>
      </c>
      <c r="C166">
        <v>0.83</v>
      </c>
      <c r="D166">
        <v>0.75590000000000002</v>
      </c>
      <c r="E166">
        <v>0.81</v>
      </c>
      <c r="F166">
        <v>20396345.379999999</v>
      </c>
      <c r="G166">
        <v>0.81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0.46018893387314652</v>
      </c>
      <c r="Q166">
        <f t="shared" ref="Q166" si="806">F166*P166</f>
        <v>9386172.4353306778</v>
      </c>
      <c r="R166">
        <f t="shared" ref="R166" si="807">R167+Q166</f>
        <v>122834689.71091707</v>
      </c>
      <c r="S166">
        <f t="shared" ref="S166" si="808">R166/100000</f>
        <v>1228.3468971091706</v>
      </c>
      <c r="T166">
        <f t="shared" ref="T166" si="809">S166/1000</f>
        <v>1.2283468971091707</v>
      </c>
    </row>
    <row r="167" spans="1:20" x14ac:dyDescent="0.25">
      <c r="A167" s="5">
        <v>44426</v>
      </c>
      <c r="B167">
        <v>0.71960000000000002</v>
      </c>
      <c r="C167">
        <v>0.78439999999999999</v>
      </c>
      <c r="D167">
        <v>0.68569999999999998</v>
      </c>
      <c r="E167">
        <v>0.75949999999999995</v>
      </c>
      <c r="F167">
        <v>15045340.039999999</v>
      </c>
      <c r="G167">
        <v>0.75949999999999995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0.49544072948328205</v>
      </c>
      <c r="Q167">
        <f t="shared" ref="Q167" si="811">F167*P167</f>
        <v>7454074.2447416317</v>
      </c>
      <c r="R167">
        <f t="shared" ref="R167" si="812">R168+Q167</f>
        <v>113448517.2755864</v>
      </c>
      <c r="S167">
        <f t="shared" ref="S167" si="813">R167/100000</f>
        <v>1134.4851727558639</v>
      </c>
      <c r="T167">
        <f t="shared" ref="T167" si="814">S167/1000</f>
        <v>1.134485172755864</v>
      </c>
    </row>
    <row r="168" spans="1:20" x14ac:dyDescent="0.25">
      <c r="A168" s="5">
        <v>44425</v>
      </c>
      <c r="B168">
        <v>0.74029999999999996</v>
      </c>
      <c r="C168">
        <v>0.82489999999999997</v>
      </c>
      <c r="D168">
        <v>0.71509999999999996</v>
      </c>
      <c r="E168">
        <v>0.71960000000000002</v>
      </c>
      <c r="F168">
        <v>24648619.52</v>
      </c>
      <c r="G168">
        <v>0.71960000000000002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-0.91803278688524481</v>
      </c>
      <c r="Q168">
        <f t="shared" ref="Q168" si="816">F168*P168</f>
        <v>-22628240.870819643</v>
      </c>
      <c r="R168">
        <f t="shared" ref="R168" si="817">R169+Q168</f>
        <v>105994443.03084476</v>
      </c>
      <c r="S168">
        <f t="shared" ref="S168" si="818">R168/100000</f>
        <v>1059.9444303084476</v>
      </c>
      <c r="T168">
        <f t="shared" ref="T168" si="819">S168/1000</f>
        <v>1.0599444303084475</v>
      </c>
    </row>
    <row r="169" spans="1:20" x14ac:dyDescent="0.25">
      <c r="A169" s="5">
        <v>44424</v>
      </c>
      <c r="B169">
        <v>0.74260000000000004</v>
      </c>
      <c r="C169">
        <v>0.79859999999999998</v>
      </c>
      <c r="D169">
        <v>0.71660000000000001</v>
      </c>
      <c r="E169">
        <v>0.73960000000000004</v>
      </c>
      <c r="F169">
        <v>18439814.73</v>
      </c>
      <c r="G169">
        <v>0.73960000000000004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-0.43902439024390166</v>
      </c>
      <c r="Q169">
        <f t="shared" ref="Q169" si="821">F169*P169</f>
        <v>-8095528.4180487664</v>
      </c>
      <c r="R169">
        <f t="shared" ref="R169" si="822">R170+Q169</f>
        <v>128622683.90166441</v>
      </c>
      <c r="S169">
        <f t="shared" ref="S169" si="823">R169/100000</f>
        <v>1286.2268390166441</v>
      </c>
      <c r="T169">
        <f t="shared" ref="T169" si="824">S169/1000</f>
        <v>1.286226839016644</v>
      </c>
    </row>
    <row r="170" spans="1:20" x14ac:dyDescent="0.25">
      <c r="A170" s="5">
        <v>44423</v>
      </c>
      <c r="B170">
        <v>0.71279999999999999</v>
      </c>
      <c r="C170">
        <v>0.74890000000000001</v>
      </c>
      <c r="D170">
        <v>0.67259999999999998</v>
      </c>
      <c r="E170">
        <v>0.74270000000000003</v>
      </c>
      <c r="F170">
        <v>15084017.49</v>
      </c>
      <c r="G170">
        <v>0.74270000000000003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0.83748361730013154</v>
      </c>
      <c r="Q170">
        <f t="shared" ref="Q170" si="826">F170*P170</f>
        <v>12632617.530943651</v>
      </c>
      <c r="R170">
        <f t="shared" ref="R170" si="827">R171+Q170</f>
        <v>136718212.31971318</v>
      </c>
      <c r="S170">
        <f t="shared" ref="S170" si="828">R170/100000</f>
        <v>1367.1821231971317</v>
      </c>
      <c r="T170">
        <f t="shared" ref="T170" si="829">S170/1000</f>
        <v>1.3671821231971317</v>
      </c>
    </row>
    <row r="171" spans="1:20" x14ac:dyDescent="0.25">
      <c r="A171" s="5">
        <v>44422</v>
      </c>
      <c r="B171">
        <v>0.68330000000000002</v>
      </c>
      <c r="C171">
        <v>0.72740000000000005</v>
      </c>
      <c r="D171">
        <v>0.65180000000000005</v>
      </c>
      <c r="E171">
        <v>0.71360000000000001</v>
      </c>
      <c r="F171">
        <v>16969863.82</v>
      </c>
      <c r="G171">
        <v>0.71360000000000001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0.634920634920634</v>
      </c>
      <c r="Q171">
        <f t="shared" ref="Q171" si="831">F171*P171</f>
        <v>10774516.711111095</v>
      </c>
      <c r="R171">
        <f t="shared" ref="R171" si="832">R172+Q171</f>
        <v>124085594.78876951</v>
      </c>
      <c r="S171">
        <f t="shared" ref="S171" si="833">R171/100000</f>
        <v>1240.855947887695</v>
      </c>
      <c r="T171">
        <f t="shared" ref="T171" si="834">S171/1000</f>
        <v>1.240855947887695</v>
      </c>
    </row>
    <row r="172" spans="1:20" x14ac:dyDescent="0.25">
      <c r="A172" s="5">
        <v>44421</v>
      </c>
      <c r="B172">
        <v>0.63139999999999996</v>
      </c>
      <c r="C172">
        <v>0.69199999999999995</v>
      </c>
      <c r="D172">
        <v>0.62</v>
      </c>
      <c r="E172">
        <v>0.68379999999999996</v>
      </c>
      <c r="F172">
        <v>13735795.310000001</v>
      </c>
      <c r="G172">
        <v>0.68379999999999996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0.77222222222222248</v>
      </c>
      <c r="Q172">
        <f t="shared" ref="Q172" si="836">F172*P172</f>
        <v>10607086.378277782</v>
      </c>
      <c r="R172">
        <f t="shared" ref="R172" si="837">R173+Q172</f>
        <v>113311078.07765841</v>
      </c>
      <c r="S172">
        <f t="shared" ref="S172" si="838">R172/100000</f>
        <v>1133.1107807765841</v>
      </c>
      <c r="T172">
        <f t="shared" ref="T172" si="839">S172/1000</f>
        <v>1.1331107807765841</v>
      </c>
    </row>
    <row r="173" spans="1:20" x14ac:dyDescent="0.25">
      <c r="A173" s="5">
        <v>44420</v>
      </c>
      <c r="B173">
        <v>0.6663</v>
      </c>
      <c r="C173">
        <v>0.67959999999999998</v>
      </c>
      <c r="D173">
        <v>0.56479999999999997</v>
      </c>
      <c r="E173">
        <v>0.63139999999999996</v>
      </c>
      <c r="F173">
        <v>24546642.870000001</v>
      </c>
      <c r="G173">
        <v>0.63139999999999996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0.16027874564459904</v>
      </c>
      <c r="Q173">
        <f t="shared" ref="Q173" si="841">F173*P173</f>
        <v>3934305.128989541</v>
      </c>
      <c r="R173">
        <f t="shared" ref="R173" si="842">R174+Q173</f>
        <v>102703991.69938064</v>
      </c>
      <c r="S173">
        <f t="shared" ref="S173" si="843">R173/100000</f>
        <v>1027.0399169938064</v>
      </c>
      <c r="T173">
        <f t="shared" ref="T173" si="844">S173/1000</f>
        <v>1.0270399169938065</v>
      </c>
    </row>
    <row r="174" spans="1:20" x14ac:dyDescent="0.25">
      <c r="A174" s="5">
        <v>44419</v>
      </c>
      <c r="B174">
        <v>0.59370000000000001</v>
      </c>
      <c r="C174">
        <v>0.71750000000000003</v>
      </c>
      <c r="D174">
        <v>0.59240000000000004</v>
      </c>
      <c r="E174">
        <v>0.66700000000000004</v>
      </c>
      <c r="F174">
        <v>27757629.859999999</v>
      </c>
      <c r="G174">
        <v>0.66700000000000004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0.19264588329336541</v>
      </c>
      <c r="Q174">
        <f t="shared" ref="Q174" si="846">F174*P174</f>
        <v>5347393.1225099945</v>
      </c>
      <c r="R174">
        <f t="shared" ref="R174" si="847">R175+Q174</f>
        <v>98769686.570391089</v>
      </c>
      <c r="S174">
        <f t="shared" ref="S174" si="848">R174/100000</f>
        <v>987.69686570391093</v>
      </c>
      <c r="T174">
        <f t="shared" ref="T174" si="849">S174/1000</f>
        <v>0.98769686570391091</v>
      </c>
    </row>
    <row r="175" spans="1:20" x14ac:dyDescent="0.25">
      <c r="A175" s="5">
        <v>44418</v>
      </c>
      <c r="B175">
        <v>0.57389999999999997</v>
      </c>
      <c r="C175">
        <v>0.63</v>
      </c>
      <c r="D175">
        <v>0.56640000000000001</v>
      </c>
      <c r="E175">
        <v>0.59350000000000003</v>
      </c>
      <c r="F175">
        <v>19244392.550000001</v>
      </c>
      <c r="G175">
        <v>0.59350000000000003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-0.14779874213836425</v>
      </c>
      <c r="Q175">
        <f t="shared" ref="Q175" si="851">F175*P175</f>
        <v>-2844297.012106908</v>
      </c>
      <c r="R175">
        <f t="shared" ref="R175" si="852">R176+Q175</f>
        <v>93422293.447881088</v>
      </c>
      <c r="S175">
        <f t="shared" ref="S175" si="853">R175/100000</f>
        <v>934.22293447881088</v>
      </c>
      <c r="T175">
        <f t="shared" ref="T175" si="854">S175/1000</f>
        <v>0.93422293447881088</v>
      </c>
    </row>
    <row r="176" spans="1:20" x14ac:dyDescent="0.25">
      <c r="A176" s="5">
        <v>44417</v>
      </c>
      <c r="B176">
        <v>0.54920000000000002</v>
      </c>
      <c r="C176">
        <v>0.58560000000000001</v>
      </c>
      <c r="D176">
        <v>0.52590000000000003</v>
      </c>
      <c r="E176">
        <v>0.57440000000000002</v>
      </c>
      <c r="F176">
        <v>11222252.859999999</v>
      </c>
      <c r="G176">
        <v>0.57440000000000002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0.62479061976549444</v>
      </c>
      <c r="Q176">
        <f t="shared" ref="Q176" si="856">F176*P176</f>
        <v>7011558.3195644924</v>
      </c>
      <c r="R176">
        <f t="shared" ref="R176" si="857">R177+Q176</f>
        <v>96266590.459987998</v>
      </c>
      <c r="S176">
        <f t="shared" ref="S176" si="858">R176/100000</f>
        <v>962.66590459988004</v>
      </c>
      <c r="T176">
        <f t="shared" ref="T176" si="859">S176/1000</f>
        <v>0.96266590459988</v>
      </c>
    </row>
    <row r="177" spans="1:20" x14ac:dyDescent="0.25">
      <c r="A177" s="5">
        <v>44416</v>
      </c>
      <c r="B177">
        <v>0.59570000000000001</v>
      </c>
      <c r="C177">
        <v>0.60219999999999996</v>
      </c>
      <c r="D177">
        <v>0.54020000000000001</v>
      </c>
      <c r="E177">
        <v>0.54930000000000001</v>
      </c>
      <c r="F177">
        <v>14351258.890000001</v>
      </c>
      <c r="G177">
        <v>0.54930000000000001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-0.70645161290322567</v>
      </c>
      <c r="Q177">
        <f t="shared" ref="Q177" si="861">F177*P177</f>
        <v>-10138469.990032256</v>
      </c>
      <c r="R177">
        <f t="shared" ref="R177" si="862">R178+Q177</f>
        <v>89255032.140423506</v>
      </c>
      <c r="S177">
        <f t="shared" ref="S177" si="863">R177/100000</f>
        <v>892.55032140423509</v>
      </c>
      <c r="T177">
        <f t="shared" ref="T177" si="864">S177/1000</f>
        <v>0.89255032140423507</v>
      </c>
    </row>
    <row r="178" spans="1:20" x14ac:dyDescent="0.25">
      <c r="A178" s="5">
        <v>44415</v>
      </c>
      <c r="B178">
        <v>0.58169999999999999</v>
      </c>
      <c r="C178">
        <v>0.625</v>
      </c>
      <c r="D178">
        <v>0.57110000000000005</v>
      </c>
      <c r="E178">
        <v>0.59540000000000004</v>
      </c>
      <c r="F178">
        <v>23539679.079999998</v>
      </c>
      <c r="G178">
        <v>0.59540000000000004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-9.8330241187383607E-2</v>
      </c>
      <c r="Q178">
        <f t="shared" ref="Q178" si="866">F178*P178</f>
        <v>-2314662.3214100082</v>
      </c>
      <c r="R178">
        <f t="shared" ref="R178" si="867">R179+Q178</f>
        <v>99393502.130455762</v>
      </c>
      <c r="S178">
        <f t="shared" ref="S178" si="868">R178/100000</f>
        <v>993.93502130455761</v>
      </c>
      <c r="T178">
        <f t="shared" ref="T178" si="869">S178/1000</f>
        <v>0.99393502130455758</v>
      </c>
    </row>
    <row r="179" spans="1:20" x14ac:dyDescent="0.25">
      <c r="A179" s="5">
        <v>44414</v>
      </c>
      <c r="B179">
        <v>0.5867</v>
      </c>
      <c r="C179">
        <v>0.63929999999999998</v>
      </c>
      <c r="D179">
        <v>0.57089999999999996</v>
      </c>
      <c r="E179">
        <v>0.58160000000000001</v>
      </c>
      <c r="F179">
        <v>23527882.52</v>
      </c>
      <c r="G179">
        <v>0.58160000000000001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-0.68713450292397538</v>
      </c>
      <c r="Q179">
        <f t="shared" ref="Q179" si="871">F179*P179</f>
        <v>-16166819.860233888</v>
      </c>
      <c r="R179">
        <f t="shared" ref="R179" si="872">R180+Q179</f>
        <v>101708164.45186578</v>
      </c>
      <c r="S179">
        <f t="shared" ref="S179" si="873">R179/100000</f>
        <v>1017.0816445186578</v>
      </c>
      <c r="T179">
        <f t="shared" ref="T179" si="874">S179/1000</f>
        <v>1.0170816445186577</v>
      </c>
    </row>
    <row r="180" spans="1:20" x14ac:dyDescent="0.25">
      <c r="A180" s="5">
        <v>44413</v>
      </c>
      <c r="B180">
        <v>0.59699999999999998</v>
      </c>
      <c r="C180">
        <v>0.61</v>
      </c>
      <c r="D180">
        <v>0.55810000000000004</v>
      </c>
      <c r="E180">
        <v>0.58660000000000001</v>
      </c>
      <c r="F180">
        <v>19836012.600000001</v>
      </c>
      <c r="G180">
        <v>0.58660000000000001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9.8265895953757204E-2</v>
      </c>
      <c r="Q180">
        <f t="shared" ref="Q180" si="876">F180*P180</f>
        <v>1949203.5502890171</v>
      </c>
      <c r="R180">
        <f t="shared" ref="R180" si="877">R181+Q180</f>
        <v>117874984.31209967</v>
      </c>
      <c r="S180">
        <f t="shared" ref="S180" si="878">R180/100000</f>
        <v>1178.7498431209967</v>
      </c>
      <c r="T180">
        <f t="shared" ref="T180" si="879">S180/1000</f>
        <v>1.1787498431209966</v>
      </c>
    </row>
    <row r="181" spans="1:20" x14ac:dyDescent="0.25">
      <c r="A181" s="5">
        <v>44412</v>
      </c>
      <c r="B181">
        <v>0.52729999999999999</v>
      </c>
      <c r="C181">
        <v>0.59950000000000003</v>
      </c>
      <c r="D181">
        <v>0.51300000000000001</v>
      </c>
      <c r="E181">
        <v>0.59709999999999996</v>
      </c>
      <c r="F181">
        <v>23273652.84</v>
      </c>
      <c r="G181">
        <v>0.59709999999999996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0.94450867052022969</v>
      </c>
      <c r="Q181">
        <f t="shared" ref="Q181" si="881">F181*P181</f>
        <v>21982166.902057767</v>
      </c>
      <c r="R181">
        <f t="shared" ref="R181" si="882">R182+Q181</f>
        <v>115925780.76181065</v>
      </c>
      <c r="S181">
        <f t="shared" ref="S181" si="883">R181/100000</f>
        <v>1159.2578076181064</v>
      </c>
      <c r="T181">
        <f t="shared" ref="T181" si="884">S181/1000</f>
        <v>1.1592578076181064</v>
      </c>
    </row>
    <row r="182" spans="1:20" x14ac:dyDescent="0.25">
      <c r="A182" s="5">
        <v>44411</v>
      </c>
      <c r="B182">
        <v>0.52149999999999996</v>
      </c>
      <c r="C182">
        <v>0.53490000000000004</v>
      </c>
      <c r="D182">
        <v>0.49299999999999999</v>
      </c>
      <c r="E182">
        <v>0.52769999999999995</v>
      </c>
      <c r="F182">
        <v>13380407.130000001</v>
      </c>
      <c r="G182">
        <v>0.52769999999999995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0.65632458233889801</v>
      </c>
      <c r="Q182">
        <f t="shared" ref="Q182" si="886">F182*P182</f>
        <v>8781890.1211216636</v>
      </c>
      <c r="R182">
        <f t="shared" ref="R182" si="887">R183+Q182</f>
        <v>93943613.859752879</v>
      </c>
      <c r="S182">
        <f t="shared" ref="S182" si="888">R182/100000</f>
        <v>939.43613859752884</v>
      </c>
      <c r="T182">
        <f t="shared" ref="T182" si="889">S182/1000</f>
        <v>0.93943613859752884</v>
      </c>
    </row>
    <row r="183" spans="1:20" x14ac:dyDescent="0.25">
      <c r="A183" s="5">
        <v>44410</v>
      </c>
      <c r="B183">
        <v>0.52259999999999995</v>
      </c>
      <c r="C183">
        <v>0.56259999999999999</v>
      </c>
      <c r="D183">
        <v>0.5121</v>
      </c>
      <c r="E183">
        <v>0.52100000000000002</v>
      </c>
      <c r="F183">
        <v>20116258.449999999</v>
      </c>
      <c r="G183">
        <v>0.52100000000000002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-0.64752475247524666</v>
      </c>
      <c r="Q183">
        <f t="shared" ref="Q183" si="891">F183*P183</f>
        <v>-13025775.273564339</v>
      </c>
      <c r="R183">
        <f t="shared" ref="R183" si="892">R184+Q183</f>
        <v>85161723.738631219</v>
      </c>
      <c r="S183">
        <f t="shared" ref="S183" si="893">R183/100000</f>
        <v>851.61723738631224</v>
      </c>
      <c r="T183">
        <f t="shared" ref="T183" si="894">S183/1000</f>
        <v>0.85161723738631223</v>
      </c>
    </row>
    <row r="184" spans="1:20" x14ac:dyDescent="0.25">
      <c r="A184" s="5">
        <v>44409</v>
      </c>
      <c r="B184">
        <v>0.48849999999999999</v>
      </c>
      <c r="C184">
        <v>0.55259999999999998</v>
      </c>
      <c r="D184">
        <v>0.48349999999999999</v>
      </c>
      <c r="E184">
        <v>0.5222</v>
      </c>
      <c r="F184">
        <v>22691261.030000001</v>
      </c>
      <c r="G184">
        <v>0.5222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0.12011577424023198</v>
      </c>
      <c r="Q184">
        <f t="shared" ref="Q184" si="896">F184*P184</f>
        <v>2725578.387105654</v>
      </c>
      <c r="R184">
        <f t="shared" ref="R184" si="897">R185+Q184</f>
        <v>98187499.012195557</v>
      </c>
      <c r="S184">
        <f t="shared" ref="S184" si="898">R184/100000</f>
        <v>981.87499012195553</v>
      </c>
      <c r="T184">
        <f t="shared" ref="T184" si="899">S184/1000</f>
        <v>0.98187499012195556</v>
      </c>
    </row>
    <row r="185" spans="1:20" x14ac:dyDescent="0.25">
      <c r="A185" s="5">
        <v>44408</v>
      </c>
      <c r="B185">
        <v>0.46379999999999999</v>
      </c>
      <c r="C185">
        <v>0.49730000000000002</v>
      </c>
      <c r="D185">
        <v>0.4577</v>
      </c>
      <c r="E185">
        <v>0.48830000000000001</v>
      </c>
      <c r="F185">
        <v>11347942.130000001</v>
      </c>
      <c r="G185">
        <v>0.48830000000000001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0.5454545454545453</v>
      </c>
      <c r="Q185">
        <f t="shared" ref="Q185" si="901">F185*P185</f>
        <v>6189786.6163636353</v>
      </c>
      <c r="R185">
        <f t="shared" ref="R185" si="902">R186+Q185</f>
        <v>95461920.625089899</v>
      </c>
      <c r="S185">
        <f t="shared" ref="S185" si="903">R185/100000</f>
        <v>954.61920625089897</v>
      </c>
      <c r="T185">
        <f t="shared" ref="T185" si="904">S185/1000</f>
        <v>0.95461920625089902</v>
      </c>
    </row>
    <row r="186" spans="1:20" x14ac:dyDescent="0.25">
      <c r="A186" s="5">
        <v>44407</v>
      </c>
      <c r="B186">
        <v>0.45090000000000002</v>
      </c>
      <c r="C186">
        <v>0.47449999999999998</v>
      </c>
      <c r="D186">
        <v>0.43290000000000001</v>
      </c>
      <c r="E186">
        <v>0.46229999999999999</v>
      </c>
      <c r="F186">
        <v>10831036.98</v>
      </c>
      <c r="G186">
        <v>0.46229999999999999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0.4134615384615386</v>
      </c>
      <c r="Q186">
        <f t="shared" ref="Q186" si="906">F186*P186</f>
        <v>4478217.212884617</v>
      </c>
      <c r="R186">
        <f t="shared" ref="R186" si="907">R187+Q186</f>
        <v>89272134.008726269</v>
      </c>
      <c r="S186">
        <f t="shared" ref="S186" si="908">R186/100000</f>
        <v>892.72134008726266</v>
      </c>
      <c r="T186">
        <f t="shared" ref="T186" si="909">S186/1000</f>
        <v>0.89272134008726267</v>
      </c>
    </row>
    <row r="187" spans="1:20" x14ac:dyDescent="0.25">
      <c r="A187" s="5">
        <v>44406</v>
      </c>
      <c r="B187">
        <v>0.43809999999999999</v>
      </c>
      <c r="C187">
        <v>0.45600000000000002</v>
      </c>
      <c r="D187">
        <v>0.42299999999999999</v>
      </c>
      <c r="E187">
        <v>0.45040000000000002</v>
      </c>
      <c r="F187">
        <v>10319852.880000001</v>
      </c>
      <c r="G187">
        <v>0.45040000000000002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0.66060606060606131</v>
      </c>
      <c r="Q187">
        <f t="shared" ref="Q187" si="911">F187*P187</f>
        <v>6817357.3570909165</v>
      </c>
      <c r="R187">
        <f t="shared" ref="R187" si="912">R188+Q187</f>
        <v>84793916.795841649</v>
      </c>
      <c r="S187">
        <f t="shared" ref="S187" si="913">R187/100000</f>
        <v>847.93916795841653</v>
      </c>
      <c r="T187">
        <f t="shared" ref="T187" si="914">S187/1000</f>
        <v>0.84793916795841651</v>
      </c>
    </row>
    <row r="188" spans="1:20" x14ac:dyDescent="0.25">
      <c r="A188" s="5">
        <v>44405</v>
      </c>
      <c r="B188">
        <v>0.43080000000000002</v>
      </c>
      <c r="C188">
        <v>0.45550000000000002</v>
      </c>
      <c r="D188">
        <v>0.4204</v>
      </c>
      <c r="E188">
        <v>0.43809999999999999</v>
      </c>
      <c r="F188">
        <v>14778841.869999999</v>
      </c>
      <c r="G188">
        <v>0.43809999999999999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8.5470085470076007E-3</v>
      </c>
      <c r="Q188">
        <f t="shared" ref="Q188" si="916">F188*P188</f>
        <v>126314.88777776378</v>
      </c>
      <c r="R188">
        <f t="shared" ref="R188" si="917">R189+Q188</f>
        <v>77976559.438750729</v>
      </c>
      <c r="S188">
        <f t="shared" ref="S188" si="918">R188/100000</f>
        <v>779.76559438750724</v>
      </c>
      <c r="T188">
        <f t="shared" ref="T188" si="919">S188/1000</f>
        <v>0.77976559438750725</v>
      </c>
    </row>
    <row r="189" spans="1:20" x14ac:dyDescent="0.25">
      <c r="A189" s="5">
        <v>44404</v>
      </c>
      <c r="B189">
        <v>0.41820000000000002</v>
      </c>
      <c r="C189">
        <v>0.43919999999999998</v>
      </c>
      <c r="D189">
        <v>0.40810000000000002</v>
      </c>
      <c r="E189">
        <v>0.43090000000000001</v>
      </c>
      <c r="F189">
        <v>16812779.780000001</v>
      </c>
      <c r="G189">
        <v>0.43090000000000001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0.4662379421221875</v>
      </c>
      <c r="Q189">
        <f t="shared" ref="Q189" si="921">F189*P189</f>
        <v>7838755.8459807253</v>
      </c>
      <c r="R189">
        <f t="shared" ref="R189" si="922">R190+Q189</f>
        <v>77850244.550972968</v>
      </c>
      <c r="S189">
        <f t="shared" ref="S189" si="923">R189/100000</f>
        <v>778.50244550972968</v>
      </c>
      <c r="T189">
        <f t="shared" ref="T189" si="924">S189/1000</f>
        <v>0.77850244550972969</v>
      </c>
    </row>
    <row r="190" spans="1:20" x14ac:dyDescent="0.25">
      <c r="A190" s="5">
        <v>44403</v>
      </c>
      <c r="B190">
        <v>0.41170000000000001</v>
      </c>
      <c r="C190">
        <v>0.46310000000000001</v>
      </c>
      <c r="D190">
        <v>0.41</v>
      </c>
      <c r="E190">
        <v>0.41880000000000001</v>
      </c>
      <c r="F190">
        <v>20732110.789999999</v>
      </c>
      <c r="G190">
        <v>0.41880000000000001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-0.66854990583804053</v>
      </c>
      <c r="Q190">
        <f t="shared" ref="Q190" si="926">F190*P190</f>
        <v>-13860450.716478324</v>
      </c>
      <c r="R190">
        <f t="shared" ref="R190" si="927">R191+Q190</f>
        <v>70011488.70499225</v>
      </c>
      <c r="S190">
        <f t="shared" ref="S190" si="928">R190/100000</f>
        <v>700.11488704992246</v>
      </c>
      <c r="T190">
        <f t="shared" ref="T190" si="929">S190/1000</f>
        <v>0.70011488704992242</v>
      </c>
    </row>
    <row r="191" spans="1:20" x14ac:dyDescent="0.25">
      <c r="A191" s="5">
        <v>44402</v>
      </c>
      <c r="B191">
        <v>0.40689999999999998</v>
      </c>
      <c r="C191">
        <v>0.4148</v>
      </c>
      <c r="D191">
        <v>0.38690000000000002</v>
      </c>
      <c r="E191">
        <v>0.4118</v>
      </c>
      <c r="F191">
        <v>6739203.71</v>
      </c>
      <c r="G191">
        <v>0.4118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0.78494623655913942</v>
      </c>
      <c r="Q191">
        <f t="shared" ref="Q191" si="931">F191*P191</f>
        <v>5289912.5895698899</v>
      </c>
      <c r="R191">
        <f t="shared" ref="R191" si="932">R192+Q191</f>
        <v>83871939.421470568</v>
      </c>
      <c r="S191">
        <f t="shared" ref="S191" si="933">R191/100000</f>
        <v>838.71939421470563</v>
      </c>
      <c r="T191">
        <f t="shared" ref="T191:T197" si="934">S191/1000</f>
        <v>0.83871939421470565</v>
      </c>
    </row>
    <row r="192" spans="1:20" x14ac:dyDescent="0.25">
      <c r="A192" s="5">
        <v>44401</v>
      </c>
      <c r="B192">
        <v>0.3911</v>
      </c>
      <c r="C192">
        <v>0.42949999999999999</v>
      </c>
      <c r="D192">
        <v>0.38550000000000001</v>
      </c>
      <c r="E192">
        <v>0.40629999999999999</v>
      </c>
      <c r="F192">
        <v>11106202.85</v>
      </c>
      <c r="G192">
        <v>0.40629999999999999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-5.4545454545454869E-2</v>
      </c>
      <c r="Q192">
        <f t="shared" ref="Q192" si="936">F192*P192</f>
        <v>-605792.8827272763</v>
      </c>
      <c r="R192">
        <f t="shared" ref="R192" si="937">R193+Q192</f>
        <v>78582026.831900671</v>
      </c>
      <c r="S192">
        <f t="shared" ref="S192" si="938">R192/100000</f>
        <v>785.82026831900669</v>
      </c>
      <c r="T192">
        <f t="shared" si="934"/>
        <v>0.78582026831900664</v>
      </c>
    </row>
    <row r="193" spans="1:20" x14ac:dyDescent="0.25">
      <c r="A193" s="5">
        <v>44400</v>
      </c>
      <c r="B193">
        <v>0.37680000000000002</v>
      </c>
      <c r="C193">
        <v>0.39839999999999998</v>
      </c>
      <c r="D193">
        <v>0.37009999999999998</v>
      </c>
      <c r="E193">
        <v>0.39019999999999999</v>
      </c>
      <c r="F193">
        <v>8945760.0700000003</v>
      </c>
      <c r="G193">
        <v>0.39019999999999999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0.42049469964664399</v>
      </c>
      <c r="Q193">
        <f t="shared" ref="Q193" si="940">F193*P193</f>
        <v>3761644.6937455912</v>
      </c>
      <c r="R193">
        <f t="shared" ref="R193" si="941">R194+Q193</f>
        <v>79187819.714627951</v>
      </c>
      <c r="S193">
        <f t="shared" ref="S193" si="942">R193/100000</f>
        <v>791.87819714627949</v>
      </c>
      <c r="T193">
        <f t="shared" si="934"/>
        <v>0.79187819714627949</v>
      </c>
    </row>
    <row r="194" spans="1:20" x14ac:dyDescent="0.25">
      <c r="A194" s="5">
        <v>44399</v>
      </c>
      <c r="B194">
        <v>0.37340000000000001</v>
      </c>
      <c r="C194">
        <v>0.38</v>
      </c>
      <c r="D194">
        <v>0.36359999999999998</v>
      </c>
      <c r="E194">
        <v>0.37680000000000002</v>
      </c>
      <c r="F194">
        <v>6180484.8200000003</v>
      </c>
      <c r="G194">
        <v>0.37680000000000002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0.60975609756097859</v>
      </c>
      <c r="Q194">
        <f t="shared" ref="Q194" si="944">F194*P194</f>
        <v>3768588.3048780672</v>
      </c>
      <c r="R194">
        <f t="shared" ref="R194" si="945">R195+Q194</f>
        <v>75426175.020882353</v>
      </c>
      <c r="S194">
        <f t="shared" ref="S194" si="946">R194/100000</f>
        <v>754.26175020882351</v>
      </c>
      <c r="T194">
        <f t="shared" si="934"/>
        <v>0.75426175020882347</v>
      </c>
    </row>
    <row r="195" spans="1:20" x14ac:dyDescent="0.25">
      <c r="A195" s="5">
        <v>44398</v>
      </c>
      <c r="B195">
        <v>0.34429999999999999</v>
      </c>
      <c r="C195">
        <v>0.38469999999999999</v>
      </c>
      <c r="D195">
        <v>0.33300000000000002</v>
      </c>
      <c r="E195">
        <v>0.37319999999999998</v>
      </c>
      <c r="F195">
        <v>8229499.8700000001</v>
      </c>
      <c r="G195">
        <v>0.37319999999999998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0.55512572533849058</v>
      </c>
      <c r="Q195">
        <f t="shared" ref="Q195" si="948">F195*P195</f>
        <v>4568407.0845067641</v>
      </c>
      <c r="R195">
        <f t="shared" ref="R195" si="949">R196+Q195</f>
        <v>71657586.716004282</v>
      </c>
      <c r="S195">
        <f t="shared" ref="S195" si="950">R195/100000</f>
        <v>716.57586716004278</v>
      </c>
      <c r="T195">
        <f t="shared" si="934"/>
        <v>0.71657586716004273</v>
      </c>
    </row>
    <row r="196" spans="1:20" x14ac:dyDescent="0.25">
      <c r="A196" s="5">
        <v>44397</v>
      </c>
      <c r="B196">
        <v>0.35770000000000002</v>
      </c>
      <c r="C196">
        <v>0.36309999999999998</v>
      </c>
      <c r="D196">
        <v>0.32579999999999998</v>
      </c>
      <c r="E196">
        <v>0.34410000000000002</v>
      </c>
      <c r="F196">
        <v>7677292.1200000001</v>
      </c>
      <c r="G196">
        <v>0.34410000000000002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-1.8766756032169516E-2</v>
      </c>
      <c r="Q196">
        <f t="shared" ref="Q196" si="952">F196*P196</f>
        <v>-144077.86820373748</v>
      </c>
      <c r="R196">
        <f t="shared" ref="R196" si="953">R197+Q196</f>
        <v>67089179.631497525</v>
      </c>
      <c r="S196">
        <f t="shared" ref="S196" si="954">R196/100000</f>
        <v>670.89179631497529</v>
      </c>
      <c r="T196">
        <f t="shared" si="934"/>
        <v>0.67089179631497531</v>
      </c>
    </row>
    <row r="197" spans="1:20" x14ac:dyDescent="0.25">
      <c r="A197" s="5">
        <v>44396</v>
      </c>
      <c r="B197">
        <v>0.3805</v>
      </c>
      <c r="C197">
        <v>0.3826</v>
      </c>
      <c r="D197">
        <v>0.35370000000000001</v>
      </c>
      <c r="E197">
        <v>0.35759999999999997</v>
      </c>
      <c r="F197">
        <v>7518693.1600000001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-0.73010380622837634</v>
      </c>
      <c r="Q197">
        <f t="shared" ref="Q197" si="956">F197*P197</f>
        <v>-5489426.4939792585</v>
      </c>
      <c r="R197">
        <f t="shared" ref="R197" si="957">R198+Q197</f>
        <v>67233257.499701262</v>
      </c>
      <c r="S197">
        <f t="shared" ref="S197" si="958">R197/100000</f>
        <v>672.33257499701267</v>
      </c>
      <c r="T197">
        <f t="shared" si="934"/>
        <v>0.67233257499701271</v>
      </c>
    </row>
    <row r="198" spans="1:20" x14ac:dyDescent="0.25">
      <c r="A198" s="5">
        <v>44395</v>
      </c>
      <c r="B198">
        <v>0.38140000000000002</v>
      </c>
      <c r="C198">
        <v>0.40300000000000002</v>
      </c>
      <c r="D198">
        <v>0.37709999999999999</v>
      </c>
      <c r="E198">
        <v>0.38090000000000002</v>
      </c>
      <c r="F198">
        <v>4958849.16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-0.70656370656370493</v>
      </c>
      <c r="Q198">
        <f t="shared" ref="Q198:Q261" si="960">F198*P198</f>
        <v>-3503742.8427799148</v>
      </c>
      <c r="R198">
        <f t="shared" ref="R198:R261" si="961">R199+Q198</f>
        <v>72722683.993680522</v>
      </c>
      <c r="S198">
        <f t="shared" ref="S198:S261" si="962">R198/100000</f>
        <v>727.22683993680516</v>
      </c>
      <c r="T198">
        <f t="shared" ref="T198:T261" si="963">S198/1000</f>
        <v>0.72722683993680515</v>
      </c>
    </row>
    <row r="199" spans="1:20" x14ac:dyDescent="0.25">
      <c r="A199" s="5">
        <v>44394</v>
      </c>
      <c r="B199">
        <v>0.3755</v>
      </c>
      <c r="C199">
        <v>0.39389999999999997</v>
      </c>
      <c r="D199">
        <v>0.37169999999999997</v>
      </c>
      <c r="E199">
        <v>0.38150000000000001</v>
      </c>
      <c r="F199">
        <v>5686278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-0.11711711711711423</v>
      </c>
      <c r="Q199">
        <f t="shared" si="960"/>
        <v>-665960.48648647009</v>
      </c>
      <c r="R199">
        <f t="shared" si="961"/>
        <v>76226426.836460441</v>
      </c>
      <c r="S199">
        <f t="shared" si="962"/>
        <v>762.26426836460439</v>
      </c>
      <c r="T199">
        <f t="shared" si="963"/>
        <v>0.76226426836460437</v>
      </c>
    </row>
    <row r="200" spans="1:20" x14ac:dyDescent="0.25">
      <c r="A200" s="5">
        <v>44393</v>
      </c>
      <c r="B200">
        <v>0.40239999999999998</v>
      </c>
      <c r="C200">
        <v>0.41699999999999998</v>
      </c>
      <c r="D200">
        <v>0.37409999999999999</v>
      </c>
      <c r="E200">
        <v>0.3755</v>
      </c>
      <c r="F200">
        <v>7003008.9199999999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-0.93473193473193417</v>
      </c>
      <c r="Q200">
        <f t="shared" si="960"/>
        <v>-6545936.0767365927</v>
      </c>
      <c r="R200">
        <f t="shared" si="961"/>
        <v>76892387.322946906</v>
      </c>
      <c r="S200">
        <f t="shared" si="962"/>
        <v>768.92387322946911</v>
      </c>
      <c r="T200">
        <f t="shared" si="963"/>
        <v>0.76892387322946909</v>
      </c>
    </row>
    <row r="201" spans="1:20" x14ac:dyDescent="0.25">
      <c r="A201" s="5">
        <v>44392</v>
      </c>
      <c r="B201">
        <v>0.41610000000000003</v>
      </c>
      <c r="C201">
        <v>0.4279</v>
      </c>
      <c r="D201">
        <v>0.39579999999999999</v>
      </c>
      <c r="E201">
        <v>0.40210000000000001</v>
      </c>
      <c r="F201">
        <v>10529693.75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-0.6074766355140172</v>
      </c>
      <c r="Q201">
        <f t="shared" si="960"/>
        <v>-6396542.9322429746</v>
      </c>
      <c r="R201">
        <f t="shared" si="961"/>
        <v>83438323.399683505</v>
      </c>
      <c r="S201">
        <f t="shared" si="962"/>
        <v>834.38323399683509</v>
      </c>
      <c r="T201">
        <f t="shared" si="963"/>
        <v>0.83438323399683512</v>
      </c>
    </row>
    <row r="202" spans="1:20" x14ac:dyDescent="0.25">
      <c r="A202" s="5">
        <v>44391</v>
      </c>
      <c r="B202">
        <v>0.41889999999999999</v>
      </c>
      <c r="C202">
        <v>0.42649999999999999</v>
      </c>
      <c r="D202">
        <v>0.38529999999999998</v>
      </c>
      <c r="E202">
        <v>0.41549999999999998</v>
      </c>
      <c r="F202">
        <v>11089985.43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0.46601941747572789</v>
      </c>
      <c r="Q202">
        <f t="shared" si="960"/>
        <v>5168148.5499029094</v>
      </c>
      <c r="R202">
        <f t="shared" si="961"/>
        <v>89834866.33192648</v>
      </c>
      <c r="S202">
        <f t="shared" si="962"/>
        <v>898.3486633192648</v>
      </c>
      <c r="T202">
        <f t="shared" si="963"/>
        <v>0.89834866331926477</v>
      </c>
    </row>
    <row r="203" spans="1:20" x14ac:dyDescent="0.25">
      <c r="A203" s="5">
        <v>44390</v>
      </c>
      <c r="B203">
        <v>0.42799999999999999</v>
      </c>
      <c r="C203">
        <v>0.43430000000000002</v>
      </c>
      <c r="D203">
        <v>0.41139999999999999</v>
      </c>
      <c r="E203">
        <v>0.41949999999999998</v>
      </c>
      <c r="F203">
        <v>4951707.17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-0.29257641921397509</v>
      </c>
      <c r="Q203">
        <f t="shared" si="960"/>
        <v>-1448752.7527947661</v>
      </c>
      <c r="R203">
        <f t="shared" si="961"/>
        <v>84666717.782023564</v>
      </c>
      <c r="S203">
        <f t="shared" si="962"/>
        <v>846.66717782023568</v>
      </c>
      <c r="T203">
        <f t="shared" si="963"/>
        <v>0.84666717782023571</v>
      </c>
    </row>
    <row r="204" spans="1:20" x14ac:dyDescent="0.25">
      <c r="A204" s="5">
        <v>44389</v>
      </c>
      <c r="B204">
        <v>0.44669999999999999</v>
      </c>
      <c r="C204">
        <v>0.4582</v>
      </c>
      <c r="D204">
        <v>0.41789999999999999</v>
      </c>
      <c r="E204">
        <v>0.4279</v>
      </c>
      <c r="F204">
        <v>6326501.6399999997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-0.50372208436724519</v>
      </c>
      <c r="Q204">
        <f t="shared" si="960"/>
        <v>-3186798.592853595</v>
      </c>
      <c r="R204">
        <f t="shared" si="961"/>
        <v>86115470.534818336</v>
      </c>
      <c r="S204">
        <f t="shared" si="962"/>
        <v>861.15470534818337</v>
      </c>
      <c r="T204">
        <f t="shared" si="963"/>
        <v>0.86115470534818339</v>
      </c>
    </row>
    <row r="205" spans="1:20" x14ac:dyDescent="0.25">
      <c r="A205" s="5">
        <v>44388</v>
      </c>
      <c r="B205">
        <v>0.43070000000000003</v>
      </c>
      <c r="C205">
        <v>0.46079999999999999</v>
      </c>
      <c r="D205">
        <v>0.42630000000000001</v>
      </c>
      <c r="E205">
        <v>0.44619999999999999</v>
      </c>
      <c r="F205">
        <v>10393842.310000001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0.15362318840579639</v>
      </c>
      <c r="Q205">
        <f t="shared" si="960"/>
        <v>1596735.195449268</v>
      </c>
      <c r="R205">
        <f t="shared" si="961"/>
        <v>89302269.127671927</v>
      </c>
      <c r="S205">
        <f t="shared" si="962"/>
        <v>893.02269127671923</v>
      </c>
      <c r="T205">
        <f t="shared" si="963"/>
        <v>0.89302269127671918</v>
      </c>
    </row>
    <row r="206" spans="1:20" x14ac:dyDescent="0.25">
      <c r="A206" s="5">
        <v>44387</v>
      </c>
      <c r="B206">
        <v>0.439</v>
      </c>
      <c r="C206">
        <v>0.44740000000000002</v>
      </c>
      <c r="D206">
        <v>0.41689999999999999</v>
      </c>
      <c r="E206">
        <v>0.43</v>
      </c>
      <c r="F206">
        <v>9729923.7599999998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-0.14098360655737777</v>
      </c>
      <c r="Q206">
        <f t="shared" si="960"/>
        <v>-1371759.7432131218</v>
      </c>
      <c r="R206">
        <f t="shared" si="961"/>
        <v>87705533.932222664</v>
      </c>
      <c r="S206">
        <f t="shared" si="962"/>
        <v>877.05533932222659</v>
      </c>
      <c r="T206">
        <f t="shared" si="963"/>
        <v>0.87705533932222657</v>
      </c>
    </row>
    <row r="207" spans="1:20" x14ac:dyDescent="0.25">
      <c r="A207" s="5">
        <v>44386</v>
      </c>
      <c r="B207">
        <v>0.43120000000000003</v>
      </c>
      <c r="C207">
        <v>0.4425</v>
      </c>
      <c r="D207">
        <v>0.4143</v>
      </c>
      <c r="E207">
        <v>0.43880000000000002</v>
      </c>
      <c r="F207">
        <v>6069766.9400000004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0.7375886524822709</v>
      </c>
      <c r="Q207">
        <f t="shared" si="960"/>
        <v>4476991.2181560369</v>
      </c>
      <c r="R207">
        <f t="shared" si="961"/>
        <v>89077293.675435781</v>
      </c>
      <c r="S207">
        <f t="shared" si="962"/>
        <v>890.77293675435783</v>
      </c>
      <c r="T207">
        <f t="shared" si="963"/>
        <v>0.89077293675435787</v>
      </c>
    </row>
    <row r="208" spans="1:20" x14ac:dyDescent="0.25">
      <c r="A208" s="5">
        <v>44385</v>
      </c>
      <c r="B208">
        <v>0.47970000000000002</v>
      </c>
      <c r="C208">
        <v>0.49840000000000001</v>
      </c>
      <c r="D208">
        <v>0.4</v>
      </c>
      <c r="E208">
        <v>0.43140000000000001</v>
      </c>
      <c r="F208">
        <v>15028263.109999999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-0.36178861788617911</v>
      </c>
      <c r="Q208">
        <f t="shared" si="960"/>
        <v>-5437054.5397967519</v>
      </c>
      <c r="R208">
        <f t="shared" si="961"/>
        <v>84600302.457279742</v>
      </c>
      <c r="S208">
        <f t="shared" si="962"/>
        <v>846.00302457279747</v>
      </c>
      <c r="T208">
        <f t="shared" si="963"/>
        <v>0.84600302457279752</v>
      </c>
    </row>
    <row r="209" spans="1:20" x14ac:dyDescent="0.25">
      <c r="A209" s="5">
        <v>44384</v>
      </c>
      <c r="B209">
        <v>0.45979999999999999</v>
      </c>
      <c r="C209">
        <v>0.50419999999999998</v>
      </c>
      <c r="D209">
        <v>0.45040000000000002</v>
      </c>
      <c r="E209">
        <v>0.48049999999999998</v>
      </c>
      <c r="F209">
        <v>11854159.42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0.11895910780669082</v>
      </c>
      <c r="Q209">
        <f t="shared" si="960"/>
        <v>1410160.2284014795</v>
      </c>
      <c r="R209">
        <f t="shared" si="961"/>
        <v>90037356.997076496</v>
      </c>
      <c r="S209">
        <f t="shared" si="962"/>
        <v>900.37356997076495</v>
      </c>
      <c r="T209">
        <f t="shared" si="963"/>
        <v>0.9003735699707649</v>
      </c>
    </row>
    <row r="210" spans="1:20" x14ac:dyDescent="0.25">
      <c r="A210" s="5">
        <v>44383</v>
      </c>
      <c r="B210">
        <v>0.43409999999999999</v>
      </c>
      <c r="C210">
        <v>0.48549999999999999</v>
      </c>
      <c r="D210">
        <v>0.4335</v>
      </c>
      <c r="E210">
        <v>0.45900000000000002</v>
      </c>
      <c r="F210">
        <v>10529131.9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-1.9230769230768184E-2</v>
      </c>
      <c r="Q210">
        <f t="shared" si="960"/>
        <v>-202483.30576921976</v>
      </c>
      <c r="R210">
        <f t="shared" si="961"/>
        <v>88627196.768675014</v>
      </c>
      <c r="S210">
        <f t="shared" si="962"/>
        <v>886.27196768675014</v>
      </c>
      <c r="T210">
        <f t="shared" si="963"/>
        <v>0.8862719676867501</v>
      </c>
    </row>
    <row r="211" spans="1:20" x14ac:dyDescent="0.25">
      <c r="A211" s="5">
        <v>44382</v>
      </c>
      <c r="B211">
        <v>0.45419999999999999</v>
      </c>
      <c r="C211">
        <v>0.47489999999999999</v>
      </c>
      <c r="D211">
        <v>0.42830000000000001</v>
      </c>
      <c r="E211">
        <v>0.43419999999999997</v>
      </c>
      <c r="F211">
        <v>10349779.43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-0.74678111587982987</v>
      </c>
      <c r="Q211">
        <f t="shared" si="960"/>
        <v>-7729019.8318455089</v>
      </c>
      <c r="R211">
        <f t="shared" si="961"/>
        <v>88829680.074444234</v>
      </c>
      <c r="S211">
        <f t="shared" si="962"/>
        <v>888.29680074444229</v>
      </c>
      <c r="T211">
        <f t="shared" si="963"/>
        <v>0.88829680074444228</v>
      </c>
    </row>
    <row r="212" spans="1:20" x14ac:dyDescent="0.25">
      <c r="A212" s="5">
        <v>44381</v>
      </c>
      <c r="B212">
        <v>0.44529999999999997</v>
      </c>
      <c r="C212">
        <v>0.4647</v>
      </c>
      <c r="D212">
        <v>0.4294</v>
      </c>
      <c r="E212">
        <v>0.4551</v>
      </c>
      <c r="F212">
        <v>5762958.8399999999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0.45609065155807377</v>
      </c>
      <c r="Q212">
        <f t="shared" si="960"/>
        <v>2628431.6522379611</v>
      </c>
      <c r="R212">
        <f t="shared" si="961"/>
        <v>96558699.906289741</v>
      </c>
      <c r="S212">
        <f t="shared" si="962"/>
        <v>965.58699906289746</v>
      </c>
      <c r="T212">
        <f t="shared" si="963"/>
        <v>0.96558699906289747</v>
      </c>
    </row>
    <row r="213" spans="1:20" x14ac:dyDescent="0.25">
      <c r="A213" s="5">
        <v>44380</v>
      </c>
      <c r="B213">
        <v>0.43840000000000001</v>
      </c>
      <c r="C213">
        <v>0.45739999999999997</v>
      </c>
      <c r="D213">
        <v>0.42720000000000002</v>
      </c>
      <c r="E213">
        <v>0.44519999999999998</v>
      </c>
      <c r="F213">
        <v>5423634.4500000002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0.19205298013244973</v>
      </c>
      <c r="Q213">
        <f t="shared" si="960"/>
        <v>1041625.15927152</v>
      </c>
      <c r="R213">
        <f t="shared" si="961"/>
        <v>93930268.254051775</v>
      </c>
      <c r="S213">
        <f t="shared" si="962"/>
        <v>939.30268254051771</v>
      </c>
      <c r="T213">
        <f t="shared" si="963"/>
        <v>0.93930268254051774</v>
      </c>
    </row>
    <row r="214" spans="1:20" x14ac:dyDescent="0.25">
      <c r="A214" s="5">
        <v>44379</v>
      </c>
      <c r="B214">
        <v>0.43730000000000002</v>
      </c>
      <c r="C214">
        <v>0.44750000000000001</v>
      </c>
      <c r="D214">
        <v>0.41670000000000001</v>
      </c>
      <c r="E214">
        <v>0.43819999999999998</v>
      </c>
      <c r="F214">
        <v>7118119.5199999996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0.39610389610389402</v>
      </c>
      <c r="Q214">
        <f t="shared" si="960"/>
        <v>2819514.8748051799</v>
      </c>
      <c r="R214">
        <f t="shared" si="961"/>
        <v>92888643.094780251</v>
      </c>
      <c r="S214">
        <f t="shared" si="962"/>
        <v>928.88643094780252</v>
      </c>
      <c r="T214">
        <f t="shared" si="963"/>
        <v>0.92888643094780254</v>
      </c>
    </row>
    <row r="215" spans="1:20" x14ac:dyDescent="0.25">
      <c r="A215" s="5">
        <v>44378</v>
      </c>
      <c r="B215">
        <v>0.46160000000000001</v>
      </c>
      <c r="C215">
        <v>0.4667</v>
      </c>
      <c r="D215">
        <v>0.42649999999999999</v>
      </c>
      <c r="E215">
        <v>0.43759999999999999</v>
      </c>
      <c r="F215">
        <v>8783010.75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-0.44776119402985098</v>
      </c>
      <c r="Q215">
        <f t="shared" si="960"/>
        <v>-3932691.3805970172</v>
      </c>
      <c r="R215">
        <f t="shared" si="961"/>
        <v>90069128.219975069</v>
      </c>
      <c r="S215">
        <f t="shared" si="962"/>
        <v>900.69128219975073</v>
      </c>
      <c r="T215">
        <f t="shared" si="963"/>
        <v>0.9006912821997507</v>
      </c>
    </row>
    <row r="216" spans="1:20" x14ac:dyDescent="0.25">
      <c r="A216" s="5">
        <v>44377</v>
      </c>
      <c r="B216">
        <v>0.45450000000000002</v>
      </c>
      <c r="C216">
        <v>0.46760000000000002</v>
      </c>
      <c r="D216">
        <v>0.4279</v>
      </c>
      <c r="E216">
        <v>0.46139999999999998</v>
      </c>
      <c r="F216">
        <v>10749540.24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0.68765743073047669</v>
      </c>
      <c r="Q216">
        <f t="shared" si="960"/>
        <v>7392001.222972272</v>
      </c>
      <c r="R216">
        <f t="shared" si="961"/>
        <v>94001819.600572079</v>
      </c>
      <c r="S216">
        <f t="shared" si="962"/>
        <v>940.01819600572082</v>
      </c>
      <c r="T216">
        <f t="shared" si="963"/>
        <v>0.94001819600572079</v>
      </c>
    </row>
    <row r="217" spans="1:20" x14ac:dyDescent="0.25">
      <c r="A217" s="5">
        <v>44376</v>
      </c>
      <c r="B217">
        <v>0.42709999999999998</v>
      </c>
      <c r="C217">
        <v>0.4657</v>
      </c>
      <c r="D217">
        <v>0.42470000000000002</v>
      </c>
      <c r="E217">
        <v>0.45329999999999998</v>
      </c>
      <c r="F217">
        <v>10598939.5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0.39512195121951083</v>
      </c>
      <c r="Q217">
        <f t="shared" si="960"/>
        <v>4187873.6560975467</v>
      </c>
      <c r="R217">
        <f t="shared" si="961"/>
        <v>86609818.377599806</v>
      </c>
      <c r="S217">
        <f t="shared" si="962"/>
        <v>866.09818377599811</v>
      </c>
      <c r="T217">
        <f t="shared" si="963"/>
        <v>0.86609818377599812</v>
      </c>
    </row>
    <row r="218" spans="1:20" x14ac:dyDescent="0.25">
      <c r="A218" s="5">
        <v>44375</v>
      </c>
      <c r="B218">
        <v>0.41360000000000002</v>
      </c>
      <c r="C218">
        <v>0.43640000000000001</v>
      </c>
      <c r="D218">
        <v>0.40529999999999999</v>
      </c>
      <c r="E218">
        <v>0.42709999999999998</v>
      </c>
      <c r="F218">
        <v>7874591.6699999999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0.40192926045015914</v>
      </c>
      <c r="Q218">
        <f t="shared" si="960"/>
        <v>3165028.8062700834</v>
      </c>
      <c r="R218">
        <f t="shared" si="961"/>
        <v>82421944.721502259</v>
      </c>
      <c r="S218">
        <f t="shared" si="962"/>
        <v>824.21944721502257</v>
      </c>
      <c r="T218">
        <f t="shared" si="963"/>
        <v>0.8242194472150226</v>
      </c>
    </row>
    <row r="219" spans="1:20" x14ac:dyDescent="0.25">
      <c r="A219" s="5">
        <v>44374</v>
      </c>
      <c r="B219">
        <v>0.40150000000000002</v>
      </c>
      <c r="C219">
        <v>0.41499999999999998</v>
      </c>
      <c r="D219">
        <v>0.37859999999999999</v>
      </c>
      <c r="E219">
        <v>0.4128</v>
      </c>
      <c r="F219">
        <v>10391211.949999999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0.87912087912088022</v>
      </c>
      <c r="Q219">
        <f t="shared" si="960"/>
        <v>9135131.3846153952</v>
      </c>
      <c r="R219">
        <f t="shared" si="961"/>
        <v>79256915.915232182</v>
      </c>
      <c r="S219">
        <f t="shared" si="962"/>
        <v>792.56915915232184</v>
      </c>
      <c r="T219">
        <f t="shared" si="963"/>
        <v>0.79256915915232184</v>
      </c>
    </row>
    <row r="220" spans="1:20" x14ac:dyDescent="0.25">
      <c r="A220" s="5">
        <v>44373</v>
      </c>
      <c r="B220">
        <v>0.38829999999999998</v>
      </c>
      <c r="C220">
        <v>0.40329999999999999</v>
      </c>
      <c r="D220">
        <v>0.36820000000000003</v>
      </c>
      <c r="E220">
        <v>0.40229999999999999</v>
      </c>
      <c r="F220">
        <v>13669060.24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0.94301994301994296</v>
      </c>
      <c r="Q220">
        <f t="shared" si="960"/>
        <v>12890196.408660969</v>
      </c>
      <c r="R220">
        <f t="shared" si="961"/>
        <v>70121784.53061679</v>
      </c>
      <c r="S220">
        <f t="shared" si="962"/>
        <v>701.21784530616787</v>
      </c>
      <c r="T220">
        <f t="shared" si="963"/>
        <v>0.70121784530616782</v>
      </c>
    </row>
    <row r="221" spans="1:20" x14ac:dyDescent="0.25">
      <c r="A221" s="5">
        <v>44372</v>
      </c>
      <c r="B221">
        <v>0.43159999999999998</v>
      </c>
      <c r="C221">
        <v>0.44479999999999997</v>
      </c>
      <c r="D221">
        <v>0.38669999999999999</v>
      </c>
      <c r="E221">
        <v>0.3886</v>
      </c>
      <c r="F221">
        <v>11957052.23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-0.93459552495697029</v>
      </c>
      <c r="Q221">
        <f t="shared" si="960"/>
        <v>-11175007.505834762</v>
      </c>
      <c r="R221">
        <f t="shared" si="961"/>
        <v>57231588.121955827</v>
      </c>
      <c r="S221">
        <f t="shared" si="962"/>
        <v>572.31588121955826</v>
      </c>
      <c r="T221">
        <f t="shared" si="963"/>
        <v>0.57231588121955823</v>
      </c>
    </row>
    <row r="222" spans="1:20" x14ac:dyDescent="0.25">
      <c r="A222" s="5">
        <v>44371</v>
      </c>
      <c r="B222">
        <v>0.40749999999999997</v>
      </c>
      <c r="C222">
        <v>0.44090000000000001</v>
      </c>
      <c r="D222">
        <v>0.38009999999999999</v>
      </c>
      <c r="E222">
        <v>0.43109999999999998</v>
      </c>
      <c r="F222">
        <v>9390701.2400000002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0.67763157894736747</v>
      </c>
      <c r="Q222">
        <f t="shared" si="960"/>
        <v>6363435.7086842014</v>
      </c>
      <c r="R222">
        <f t="shared" si="961"/>
        <v>68406595.627790585</v>
      </c>
      <c r="S222">
        <f t="shared" si="962"/>
        <v>684.0659562779058</v>
      </c>
      <c r="T222">
        <f t="shared" si="963"/>
        <v>0.68406595627790578</v>
      </c>
    </row>
    <row r="223" spans="1:20" x14ac:dyDescent="0.25">
      <c r="A223" s="5">
        <v>44370</v>
      </c>
      <c r="B223">
        <v>0.36680000000000001</v>
      </c>
      <c r="C223">
        <v>0.43180000000000002</v>
      </c>
      <c r="D223">
        <v>0.3533</v>
      </c>
      <c r="E223">
        <v>0.40810000000000002</v>
      </c>
      <c r="F223">
        <v>11629947.119999999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0.39617834394904472</v>
      </c>
      <c r="Q223">
        <f t="shared" si="960"/>
        <v>4607533.1902165618</v>
      </c>
      <c r="R223">
        <f t="shared" si="961"/>
        <v>62043159.919106387</v>
      </c>
      <c r="S223">
        <f t="shared" si="962"/>
        <v>620.43159919106381</v>
      </c>
      <c r="T223">
        <f t="shared" si="963"/>
        <v>0.62043159919106383</v>
      </c>
    </row>
    <row r="224" spans="1:20" x14ac:dyDescent="0.25">
      <c r="A224" s="5">
        <v>44369</v>
      </c>
      <c r="B224">
        <v>0.38740000000000002</v>
      </c>
      <c r="C224">
        <v>0.41620000000000001</v>
      </c>
      <c r="D224">
        <v>0.32240000000000002</v>
      </c>
      <c r="E224">
        <v>0.36580000000000001</v>
      </c>
      <c r="F224">
        <v>21607302.920000002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-7.4626865671641868E-2</v>
      </c>
      <c r="Q224">
        <f t="shared" si="960"/>
        <v>-1612485.2925373153</v>
      </c>
      <c r="R224">
        <f t="shared" si="961"/>
        <v>57435626.728889823</v>
      </c>
      <c r="S224">
        <f t="shared" si="962"/>
        <v>574.35626728889827</v>
      </c>
      <c r="T224">
        <f t="shared" si="963"/>
        <v>0.57435626728889821</v>
      </c>
    </row>
    <row r="225" spans="1:20" x14ac:dyDescent="0.25">
      <c r="A225" s="5">
        <v>44368</v>
      </c>
      <c r="B225">
        <v>0.49209999999999998</v>
      </c>
      <c r="C225">
        <v>0.49309999999999998</v>
      </c>
      <c r="D225">
        <v>0.38579999999999998</v>
      </c>
      <c r="E225">
        <v>0.38769999999999999</v>
      </c>
      <c r="F225">
        <v>15922101.58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-0.96458527493010227</v>
      </c>
      <c r="Q225">
        <f t="shared" si="960"/>
        <v>-15358224.730009316</v>
      </c>
      <c r="R225">
        <f t="shared" si="961"/>
        <v>59048112.02142714</v>
      </c>
      <c r="S225">
        <f t="shared" si="962"/>
        <v>590.48112021427141</v>
      </c>
      <c r="T225">
        <f t="shared" si="963"/>
        <v>0.59048112021427146</v>
      </c>
    </row>
    <row r="226" spans="1:20" x14ac:dyDescent="0.25">
      <c r="A226" s="5">
        <v>44367</v>
      </c>
      <c r="B226">
        <v>0.48549999999999999</v>
      </c>
      <c r="C226">
        <v>0.50419999999999998</v>
      </c>
      <c r="D226">
        <v>0.45600000000000002</v>
      </c>
      <c r="E226">
        <v>0.49170000000000003</v>
      </c>
      <c r="F226">
        <v>10183587.08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0.48132780082987697</v>
      </c>
      <c r="Q226">
        <f t="shared" si="960"/>
        <v>4901643.573775948</v>
      </c>
      <c r="R226">
        <f t="shared" si="961"/>
        <v>74406336.751436457</v>
      </c>
      <c r="S226">
        <f t="shared" si="962"/>
        <v>744.06336751436459</v>
      </c>
      <c r="T226">
        <f t="shared" si="963"/>
        <v>0.74406336751436464</v>
      </c>
    </row>
    <row r="227" spans="1:20" x14ac:dyDescent="0.25">
      <c r="A227" s="5">
        <v>44366</v>
      </c>
      <c r="B227">
        <v>0.50119999999999998</v>
      </c>
      <c r="C227">
        <v>0.51060000000000005</v>
      </c>
      <c r="D227">
        <v>0.48330000000000001</v>
      </c>
      <c r="E227">
        <v>0.4859</v>
      </c>
      <c r="F227">
        <v>8926444.4299999997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-0.80952380952381053</v>
      </c>
      <c r="Q227">
        <f t="shared" si="960"/>
        <v>-7226169.300476199</v>
      </c>
      <c r="R227">
        <f t="shared" si="961"/>
        <v>69504693.17766051</v>
      </c>
      <c r="S227">
        <f t="shared" si="962"/>
        <v>695.04693177660511</v>
      </c>
      <c r="T227">
        <f t="shared" si="963"/>
        <v>0.69504693177660515</v>
      </c>
    </row>
    <row r="228" spans="1:20" x14ac:dyDescent="0.25">
      <c r="A228" s="5">
        <v>44365</v>
      </c>
      <c r="B228">
        <v>0.54930000000000001</v>
      </c>
      <c r="C228">
        <v>0.55689999999999995</v>
      </c>
      <c r="D228">
        <v>0.48570000000000002</v>
      </c>
      <c r="E228">
        <v>0.501</v>
      </c>
      <c r="F228">
        <v>17794600.379999999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-0.57022471910112371</v>
      </c>
      <c r="Q228">
        <f t="shared" si="960"/>
        <v>-10146921.003202248</v>
      </c>
      <c r="R228">
        <f t="shared" si="961"/>
        <v>76730862.478136703</v>
      </c>
      <c r="S228">
        <f t="shared" si="962"/>
        <v>767.30862478136703</v>
      </c>
      <c r="T228">
        <f t="shared" si="963"/>
        <v>0.76730862478136708</v>
      </c>
    </row>
    <row r="229" spans="1:20" x14ac:dyDescent="0.25">
      <c r="A229" s="5">
        <v>44364</v>
      </c>
      <c r="B229">
        <v>0.55830000000000002</v>
      </c>
      <c r="C229">
        <v>0.5917</v>
      </c>
      <c r="D229">
        <v>0.53839999999999999</v>
      </c>
      <c r="E229">
        <v>0.54790000000000005</v>
      </c>
      <c r="F229">
        <v>16546004.99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-0.64352720450281198</v>
      </c>
      <c r="Q229">
        <f t="shared" si="960"/>
        <v>-10647804.336904278</v>
      </c>
      <c r="R229">
        <f t="shared" si="961"/>
        <v>86877783.481338948</v>
      </c>
      <c r="S229">
        <f t="shared" si="962"/>
        <v>868.77783481338952</v>
      </c>
      <c r="T229">
        <f t="shared" si="963"/>
        <v>0.86877783481338955</v>
      </c>
    </row>
    <row r="230" spans="1:20" x14ac:dyDescent="0.25">
      <c r="A230" s="5">
        <v>44363</v>
      </c>
      <c r="B230">
        <v>0.54579999999999995</v>
      </c>
      <c r="C230">
        <v>0.58250000000000002</v>
      </c>
      <c r="D230">
        <v>0.53010000000000002</v>
      </c>
      <c r="E230">
        <v>0.55730000000000002</v>
      </c>
      <c r="F230">
        <v>18037347.390000001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3.8167938931297746E-2</v>
      </c>
      <c r="Q230">
        <f t="shared" si="960"/>
        <v>688448.37366412277</v>
      </c>
      <c r="R230">
        <f t="shared" si="961"/>
        <v>97525587.81824322</v>
      </c>
      <c r="S230">
        <f t="shared" si="962"/>
        <v>975.25587818243218</v>
      </c>
      <c r="T230">
        <f t="shared" si="963"/>
        <v>0.9752558781824322</v>
      </c>
    </row>
    <row r="231" spans="1:20" x14ac:dyDescent="0.25">
      <c r="A231" s="5">
        <v>44362</v>
      </c>
      <c r="B231">
        <v>0.55410000000000004</v>
      </c>
      <c r="C231">
        <v>0.58109999999999995</v>
      </c>
      <c r="D231">
        <v>0.53879999999999995</v>
      </c>
      <c r="E231">
        <v>0.54659999999999997</v>
      </c>
      <c r="F231">
        <v>16882501.84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-0.63120567375886394</v>
      </c>
      <c r="Q231">
        <f t="shared" si="960"/>
        <v>-10656330.948652459</v>
      </c>
      <c r="R231">
        <f t="shared" si="961"/>
        <v>96837139.444579095</v>
      </c>
      <c r="S231">
        <f t="shared" si="962"/>
        <v>968.371394445791</v>
      </c>
      <c r="T231">
        <f t="shared" si="963"/>
        <v>0.96837139444579101</v>
      </c>
    </row>
    <row r="232" spans="1:20" x14ac:dyDescent="0.25">
      <c r="A232" s="5">
        <v>44361</v>
      </c>
      <c r="B232">
        <v>0.52429999999999999</v>
      </c>
      <c r="C232">
        <v>0.57310000000000005</v>
      </c>
      <c r="D232">
        <v>0.51200000000000001</v>
      </c>
      <c r="E232">
        <v>0.55330000000000001</v>
      </c>
      <c r="F232">
        <v>17061027.219999999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0.35188216039279785</v>
      </c>
      <c r="Q232">
        <f t="shared" si="960"/>
        <v>6003471.1166939298</v>
      </c>
      <c r="R232">
        <f t="shared" si="961"/>
        <v>107493470.39323156</v>
      </c>
      <c r="S232">
        <f t="shared" si="962"/>
        <v>1074.9347039323156</v>
      </c>
      <c r="T232">
        <f t="shared" si="963"/>
        <v>1.0749347039323156</v>
      </c>
    </row>
    <row r="233" spans="1:20" x14ac:dyDescent="0.25">
      <c r="A233" s="5">
        <v>44360</v>
      </c>
      <c r="B233">
        <v>0.48620000000000002</v>
      </c>
      <c r="C233">
        <v>0.52810000000000001</v>
      </c>
      <c r="D233">
        <v>0.47</v>
      </c>
      <c r="E233">
        <v>0.5242</v>
      </c>
      <c r="F233">
        <v>19429882.140000001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0.8657487091222027</v>
      </c>
      <c r="Q233">
        <f t="shared" si="960"/>
        <v>16821395.381101541</v>
      </c>
      <c r="R233">
        <f t="shared" si="961"/>
        <v>101489999.27653763</v>
      </c>
      <c r="S233">
        <f t="shared" si="962"/>
        <v>1014.8999927653763</v>
      </c>
      <c r="T233">
        <f t="shared" si="963"/>
        <v>1.0148999927653763</v>
      </c>
    </row>
    <row r="234" spans="1:20" x14ac:dyDescent="0.25">
      <c r="A234" s="5">
        <v>44359</v>
      </c>
      <c r="B234">
        <v>0.50409999999999999</v>
      </c>
      <c r="C234">
        <v>0.50519999999999998</v>
      </c>
      <c r="D234">
        <v>0.46089999999999998</v>
      </c>
      <c r="E234">
        <v>0.48549999999999999</v>
      </c>
      <c r="F234">
        <v>25162875.809999999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0.11060948081264142</v>
      </c>
      <c r="Q234">
        <f t="shared" si="960"/>
        <v>2783252.6290970738</v>
      </c>
      <c r="R234">
        <f t="shared" si="961"/>
        <v>84668603.895436093</v>
      </c>
      <c r="S234">
        <f t="shared" si="962"/>
        <v>846.68603895436092</v>
      </c>
      <c r="T234">
        <f t="shared" si="963"/>
        <v>0.8466860389543609</v>
      </c>
    </row>
    <row r="235" spans="1:20" x14ac:dyDescent="0.25">
      <c r="A235" s="5">
        <v>44358</v>
      </c>
      <c r="B235">
        <v>0.55449999999999999</v>
      </c>
      <c r="C235">
        <v>0.56489999999999996</v>
      </c>
      <c r="D235">
        <v>0.48859999999999998</v>
      </c>
      <c r="E235">
        <v>0.50349999999999995</v>
      </c>
      <c r="F235">
        <v>14931206.189999999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-0.60943643512450918</v>
      </c>
      <c r="Q235">
        <f t="shared" si="960"/>
        <v>-9099621.0725426041</v>
      </c>
      <c r="R235">
        <f t="shared" si="961"/>
        <v>81885351.266339019</v>
      </c>
      <c r="S235">
        <f t="shared" si="962"/>
        <v>818.85351266339023</v>
      </c>
      <c r="T235">
        <f t="shared" si="963"/>
        <v>0.81885351266339024</v>
      </c>
    </row>
    <row r="236" spans="1:20" x14ac:dyDescent="0.25">
      <c r="A236" s="5">
        <v>44357</v>
      </c>
      <c r="B236">
        <v>0.60370000000000001</v>
      </c>
      <c r="C236">
        <v>0.61040000000000005</v>
      </c>
      <c r="D236">
        <v>0.54869999999999997</v>
      </c>
      <c r="E236">
        <v>0.55400000000000005</v>
      </c>
      <c r="F236">
        <v>16425218.85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-0.82820097244732338</v>
      </c>
      <c r="Q236">
        <f t="shared" si="960"/>
        <v>-13603382.224230107</v>
      </c>
      <c r="R236">
        <f t="shared" si="961"/>
        <v>90984972.338881627</v>
      </c>
      <c r="S236">
        <f t="shared" si="962"/>
        <v>909.8497233888163</v>
      </c>
      <c r="T236">
        <f t="shared" si="963"/>
        <v>0.90984972338881631</v>
      </c>
    </row>
    <row r="237" spans="1:20" x14ac:dyDescent="0.25">
      <c r="A237" s="5">
        <v>44356</v>
      </c>
      <c r="B237">
        <v>0.57379999999999998</v>
      </c>
      <c r="C237">
        <v>0.61040000000000005</v>
      </c>
      <c r="D237">
        <v>0.53280000000000005</v>
      </c>
      <c r="E237">
        <v>0.60229999999999995</v>
      </c>
      <c r="F237">
        <v>18564206.140000001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0.79123711340205916</v>
      </c>
      <c r="Q237">
        <f t="shared" si="960"/>
        <v>14688688.878814382</v>
      </c>
      <c r="R237">
        <f t="shared" si="961"/>
        <v>104588354.56311174</v>
      </c>
      <c r="S237">
        <f t="shared" si="962"/>
        <v>1045.8835456311174</v>
      </c>
      <c r="T237">
        <f t="shared" si="963"/>
        <v>1.0458835456311173</v>
      </c>
    </row>
    <row r="238" spans="1:20" x14ac:dyDescent="0.25">
      <c r="A238" s="5">
        <v>44355</v>
      </c>
      <c r="B238">
        <v>0.5897</v>
      </c>
      <c r="C238">
        <v>0.60119999999999996</v>
      </c>
      <c r="D238">
        <v>0.51890000000000003</v>
      </c>
      <c r="E238">
        <v>0.57330000000000003</v>
      </c>
      <c r="F238">
        <v>21250256.809999999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0.3219927095990292</v>
      </c>
      <c r="Q238">
        <f t="shared" si="960"/>
        <v>6842427.7699271226</v>
      </c>
      <c r="R238">
        <f t="shared" si="961"/>
        <v>89899665.684297353</v>
      </c>
      <c r="S238">
        <f t="shared" si="962"/>
        <v>898.99665684297349</v>
      </c>
      <c r="T238">
        <f t="shared" si="963"/>
        <v>0.89899665684297347</v>
      </c>
    </row>
    <row r="239" spans="1:20" x14ac:dyDescent="0.25">
      <c r="A239" s="5">
        <v>44354</v>
      </c>
      <c r="B239">
        <v>0.64970000000000006</v>
      </c>
      <c r="C239">
        <v>0.7</v>
      </c>
      <c r="D239">
        <v>0.57579999999999998</v>
      </c>
      <c r="E239">
        <v>0.5897</v>
      </c>
      <c r="F239">
        <v>20605435.289999999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-0.77616747181964529</v>
      </c>
      <c r="Q239">
        <f t="shared" si="960"/>
        <v>-15993268.6147826</v>
      </c>
      <c r="R239">
        <f t="shared" si="961"/>
        <v>83057237.914370224</v>
      </c>
      <c r="S239">
        <f t="shared" si="962"/>
        <v>830.57237914370228</v>
      </c>
      <c r="T239">
        <f t="shared" si="963"/>
        <v>0.8305723791437023</v>
      </c>
    </row>
    <row r="240" spans="1:20" x14ac:dyDescent="0.25">
      <c r="A240" s="5">
        <v>44353</v>
      </c>
      <c r="B240">
        <v>0.62050000000000005</v>
      </c>
      <c r="C240">
        <v>0.66069999999999995</v>
      </c>
      <c r="D240">
        <v>0.61570000000000003</v>
      </c>
      <c r="E240">
        <v>0.64929999999999999</v>
      </c>
      <c r="F240">
        <v>12159627.880000001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0.49333333333333407</v>
      </c>
      <c r="Q240">
        <f t="shared" si="960"/>
        <v>5998749.7541333428</v>
      </c>
      <c r="R240">
        <f t="shared" si="961"/>
        <v>99050506.529152825</v>
      </c>
      <c r="S240">
        <f t="shared" si="962"/>
        <v>990.50506529152824</v>
      </c>
      <c r="T240">
        <f t="shared" si="963"/>
        <v>0.99050506529152826</v>
      </c>
    </row>
    <row r="241" spans="1:20" x14ac:dyDescent="0.25">
      <c r="A241" s="5">
        <v>44352</v>
      </c>
      <c r="B241">
        <v>0.64290000000000003</v>
      </c>
      <c r="C241">
        <v>0.68379999999999996</v>
      </c>
      <c r="D241">
        <v>0.60289999999999999</v>
      </c>
      <c r="E241">
        <v>0.62119999999999997</v>
      </c>
      <c r="F241">
        <v>18165290.760000002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-0.54758961681087792</v>
      </c>
      <c r="Q241">
        <f t="shared" si="960"/>
        <v>-9947124.6065265816</v>
      </c>
      <c r="R241">
        <f t="shared" si="961"/>
        <v>93051756.775019482</v>
      </c>
      <c r="S241">
        <f t="shared" si="962"/>
        <v>930.51756775019487</v>
      </c>
      <c r="T241">
        <f t="shared" si="963"/>
        <v>0.9305175677501949</v>
      </c>
    </row>
    <row r="242" spans="1:20" x14ac:dyDescent="0.25">
      <c r="A242" s="5">
        <v>44351</v>
      </c>
      <c r="B242">
        <v>0.7359</v>
      </c>
      <c r="C242">
        <v>0.74399999999999999</v>
      </c>
      <c r="D242">
        <v>0.60060000000000002</v>
      </c>
      <c r="E242">
        <v>0.64280000000000004</v>
      </c>
      <c r="F242">
        <v>31899769.760000002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-0.4114365411436538</v>
      </c>
      <c r="Q242">
        <f t="shared" si="960"/>
        <v>-13124730.933333324</v>
      </c>
      <c r="R242">
        <f t="shared" si="961"/>
        <v>102998881.38154607</v>
      </c>
      <c r="S242">
        <f t="shared" si="962"/>
        <v>1029.9888138154606</v>
      </c>
      <c r="T242">
        <f t="shared" si="963"/>
        <v>1.0299888138154607</v>
      </c>
    </row>
    <row r="243" spans="1:20" x14ac:dyDescent="0.25">
      <c r="A243" s="5">
        <v>44350</v>
      </c>
      <c r="B243">
        <v>0.6482</v>
      </c>
      <c r="C243">
        <v>0.76400000000000001</v>
      </c>
      <c r="D243">
        <v>0.63849999999999996</v>
      </c>
      <c r="E243">
        <v>0.73580000000000001</v>
      </c>
      <c r="F243">
        <v>31179534.32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0.55059760956175319</v>
      </c>
      <c r="Q243">
        <f t="shared" si="960"/>
        <v>17167377.063840643</v>
      </c>
      <c r="R243">
        <f t="shared" si="961"/>
        <v>116123612.31487939</v>
      </c>
      <c r="S243">
        <f t="shared" si="962"/>
        <v>1161.2361231487939</v>
      </c>
      <c r="T243">
        <f t="shared" si="963"/>
        <v>1.161236123148794</v>
      </c>
    </row>
    <row r="244" spans="1:20" x14ac:dyDescent="0.25">
      <c r="A244" s="5">
        <v>44349</v>
      </c>
      <c r="B244">
        <v>0.61180000000000001</v>
      </c>
      <c r="C244">
        <v>0.67849999999999999</v>
      </c>
      <c r="D244">
        <v>0.59489999999999998</v>
      </c>
      <c r="E244">
        <v>0.64759999999999995</v>
      </c>
      <c r="F244">
        <v>18613157.23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0.26076555023923359</v>
      </c>
      <c r="Q244">
        <f t="shared" si="960"/>
        <v>4853670.186770319</v>
      </c>
      <c r="R244">
        <f t="shared" si="961"/>
        <v>98956235.251038745</v>
      </c>
      <c r="S244">
        <f t="shared" si="962"/>
        <v>989.56235251038743</v>
      </c>
      <c r="T244">
        <f t="shared" si="963"/>
        <v>0.98956235251038738</v>
      </c>
    </row>
    <row r="245" spans="1:20" x14ac:dyDescent="0.25">
      <c r="A245" s="5">
        <v>44348</v>
      </c>
      <c r="B245">
        <v>0.60370000000000001</v>
      </c>
      <c r="C245">
        <v>0.63759999999999994</v>
      </c>
      <c r="D245">
        <v>0.58599999999999997</v>
      </c>
      <c r="E245">
        <v>0.61160000000000003</v>
      </c>
      <c r="F245">
        <v>20770487.120000001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-7.751937984493122E-3</v>
      </c>
      <c r="Q245">
        <f t="shared" si="960"/>
        <v>-161011.52806195317</v>
      </c>
      <c r="R245">
        <f t="shared" si="961"/>
        <v>94102565.064268425</v>
      </c>
      <c r="S245">
        <f t="shared" si="962"/>
        <v>941.02565064268424</v>
      </c>
      <c r="T245">
        <f t="shared" si="963"/>
        <v>0.94102565064268429</v>
      </c>
    </row>
    <row r="246" spans="1:20" x14ac:dyDescent="0.25">
      <c r="A246" s="5">
        <v>44347</v>
      </c>
      <c r="B246">
        <v>0.5514</v>
      </c>
      <c r="C246">
        <v>0.61029999999999995</v>
      </c>
      <c r="D246">
        <v>0.52600000000000002</v>
      </c>
      <c r="E246">
        <v>0.60370000000000001</v>
      </c>
      <c r="F246">
        <v>21181259.379999999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0.84341637010676285</v>
      </c>
      <c r="Q246">
        <f t="shared" si="960"/>
        <v>17864620.90056942</v>
      </c>
      <c r="R246">
        <f t="shared" si="961"/>
        <v>94263576.592330381</v>
      </c>
      <c r="S246">
        <f t="shared" si="962"/>
        <v>942.63576592330378</v>
      </c>
      <c r="T246">
        <f t="shared" si="963"/>
        <v>0.94263576592330378</v>
      </c>
    </row>
    <row r="247" spans="1:20" x14ac:dyDescent="0.25">
      <c r="A247" s="5">
        <v>44346</v>
      </c>
      <c r="B247">
        <v>0.53849999999999998</v>
      </c>
      <c r="C247">
        <v>0.58479999999999999</v>
      </c>
      <c r="D247">
        <v>0.50290000000000001</v>
      </c>
      <c r="E247">
        <v>0.55200000000000005</v>
      </c>
      <c r="F247">
        <v>22879169.98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0.1990231990232002</v>
      </c>
      <c r="Q247">
        <f t="shared" si="960"/>
        <v>4553485.6004151674</v>
      </c>
      <c r="R247">
        <f t="shared" si="961"/>
        <v>76398955.691760957</v>
      </c>
      <c r="S247">
        <f t="shared" si="962"/>
        <v>763.98955691760955</v>
      </c>
      <c r="T247">
        <f t="shared" si="963"/>
        <v>0.7639895569176095</v>
      </c>
    </row>
    <row r="248" spans="1:20" x14ac:dyDescent="0.25">
      <c r="A248" s="5">
        <v>44345</v>
      </c>
      <c r="B248">
        <v>0.60040000000000004</v>
      </c>
      <c r="C248">
        <v>0.62029999999999996</v>
      </c>
      <c r="D248">
        <v>0.51170000000000004</v>
      </c>
      <c r="E248">
        <v>0.5383</v>
      </c>
      <c r="F248">
        <v>22801068.620000001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-0.51012891344383104</v>
      </c>
      <c r="Q248">
        <f t="shared" si="960"/>
        <v>-11631484.360478833</v>
      </c>
      <c r="R248">
        <f t="shared" si="961"/>
        <v>71845470.091345787</v>
      </c>
      <c r="S248">
        <f t="shared" si="962"/>
        <v>718.45470091345783</v>
      </c>
      <c r="T248">
        <f t="shared" si="963"/>
        <v>0.71845470091345787</v>
      </c>
    </row>
    <row r="249" spans="1:20" x14ac:dyDescent="0.25">
      <c r="A249" s="5">
        <v>44344</v>
      </c>
      <c r="B249">
        <v>0.68120000000000003</v>
      </c>
      <c r="C249">
        <v>0.68840000000000001</v>
      </c>
      <c r="D249">
        <v>0.57179999999999997</v>
      </c>
      <c r="E249">
        <v>0.60060000000000002</v>
      </c>
      <c r="F249">
        <v>28431266.079999998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-0.5060034305317318</v>
      </c>
      <c r="Q249">
        <f t="shared" si="960"/>
        <v>-14386318.170840463</v>
      </c>
      <c r="R249">
        <f t="shared" si="961"/>
        <v>83476954.45182462</v>
      </c>
      <c r="S249">
        <f t="shared" si="962"/>
        <v>834.76954451824622</v>
      </c>
      <c r="T249">
        <f t="shared" si="963"/>
        <v>0.83476954451824625</v>
      </c>
    </row>
    <row r="250" spans="1:20" x14ac:dyDescent="0.25">
      <c r="A250" s="5">
        <v>44343</v>
      </c>
      <c r="B250">
        <v>0.7228</v>
      </c>
      <c r="C250">
        <v>0.7288</v>
      </c>
      <c r="D250">
        <v>0.64349999999999996</v>
      </c>
      <c r="E250">
        <v>0.68010000000000004</v>
      </c>
      <c r="F250">
        <v>26394283.690000001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-0.14185228604923661</v>
      </c>
      <c r="Q250">
        <f t="shared" si="960"/>
        <v>-3744089.4800585806</v>
      </c>
      <c r="R250">
        <f t="shared" si="961"/>
        <v>97863272.622665077</v>
      </c>
      <c r="S250">
        <f t="shared" si="962"/>
        <v>978.63272622665079</v>
      </c>
      <c r="T250">
        <f t="shared" si="963"/>
        <v>0.97863272622665076</v>
      </c>
    </row>
    <row r="251" spans="1:20" x14ac:dyDescent="0.25">
      <c r="A251" s="5">
        <v>44342</v>
      </c>
      <c r="B251">
        <v>0.60409999999999997</v>
      </c>
      <c r="C251">
        <v>0.73760000000000003</v>
      </c>
      <c r="D251">
        <v>0.59299999999999997</v>
      </c>
      <c r="E251">
        <v>0.72209999999999996</v>
      </c>
      <c r="F251">
        <v>37405358.719999999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0.78561549100968098</v>
      </c>
      <c r="Q251">
        <f t="shared" si="960"/>
        <v>29386229.257206053</v>
      </c>
      <c r="R251">
        <f t="shared" si="961"/>
        <v>101607362.10272366</v>
      </c>
      <c r="S251">
        <f t="shared" si="962"/>
        <v>1016.0736210272365</v>
      </c>
      <c r="T251">
        <f t="shared" si="963"/>
        <v>1.0160736210272365</v>
      </c>
    </row>
    <row r="252" spans="1:20" x14ac:dyDescent="0.25">
      <c r="A252" s="5">
        <v>44341</v>
      </c>
      <c r="B252">
        <v>0.62370000000000003</v>
      </c>
      <c r="C252">
        <v>0.64119999999999999</v>
      </c>
      <c r="D252">
        <v>0.54290000000000005</v>
      </c>
      <c r="E252">
        <v>0.60399999999999998</v>
      </c>
      <c r="F252">
        <v>39172504.25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0.24313326551373282</v>
      </c>
      <c r="Q252">
        <f t="shared" si="960"/>
        <v>9524138.8766530771</v>
      </c>
      <c r="R252">
        <f t="shared" si="961"/>
        <v>72221132.845517606</v>
      </c>
      <c r="S252">
        <f t="shared" si="962"/>
        <v>722.21132845517604</v>
      </c>
      <c r="T252">
        <f t="shared" si="963"/>
        <v>0.72221132845517599</v>
      </c>
    </row>
    <row r="253" spans="1:20" x14ac:dyDescent="0.25">
      <c r="A253" s="5">
        <v>44340</v>
      </c>
      <c r="B253">
        <v>0.49709999999999999</v>
      </c>
      <c r="C253">
        <v>0.63439999999999996</v>
      </c>
      <c r="D253">
        <v>0.48170000000000002</v>
      </c>
      <c r="E253">
        <v>0.62370000000000003</v>
      </c>
      <c r="F253">
        <v>36506109.329999998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0.85985592665356991</v>
      </c>
      <c r="Q253">
        <f t="shared" si="960"/>
        <v>31389994.466463681</v>
      </c>
      <c r="R253">
        <f t="shared" si="961"/>
        <v>62696993.96886453</v>
      </c>
      <c r="S253">
        <f t="shared" si="962"/>
        <v>626.96993968864535</v>
      </c>
      <c r="T253">
        <f t="shared" si="963"/>
        <v>0.62696993968864534</v>
      </c>
    </row>
    <row r="254" spans="1:20" x14ac:dyDescent="0.25">
      <c r="A254" s="5">
        <v>44339</v>
      </c>
      <c r="B254">
        <v>0.59279999999999999</v>
      </c>
      <c r="C254">
        <v>0.62470000000000003</v>
      </c>
      <c r="D254">
        <v>0.40279999999999999</v>
      </c>
      <c r="E254">
        <v>0.49719999999999998</v>
      </c>
      <c r="F254">
        <v>53713964.219999999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-0.1491662911221274</v>
      </c>
      <c r="Q254">
        <f t="shared" si="960"/>
        <v>-8012312.8241640544</v>
      </c>
      <c r="R254">
        <f t="shared" si="961"/>
        <v>31306999.502400853</v>
      </c>
      <c r="S254">
        <f t="shared" si="962"/>
        <v>313.06999502400851</v>
      </c>
      <c r="T254">
        <f t="shared" si="963"/>
        <v>0.31306999502400851</v>
      </c>
    </row>
    <row r="255" spans="1:20" x14ac:dyDescent="0.25">
      <c r="A255" s="5">
        <v>44338</v>
      </c>
      <c r="B255">
        <v>0.66879999999999995</v>
      </c>
      <c r="C255">
        <v>0.6794</v>
      </c>
      <c r="D255">
        <v>0.58130000000000004</v>
      </c>
      <c r="E255">
        <v>0.59279999999999999</v>
      </c>
      <c r="F255">
        <v>27556180.34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-0.76554536187563793</v>
      </c>
      <c r="Q255">
        <f t="shared" si="960"/>
        <v>-21095506.05029564</v>
      </c>
      <c r="R255">
        <f t="shared" si="961"/>
        <v>39319312.326564908</v>
      </c>
      <c r="S255">
        <f t="shared" si="962"/>
        <v>393.19312326564909</v>
      </c>
      <c r="T255">
        <f t="shared" si="963"/>
        <v>0.39319312326564909</v>
      </c>
    </row>
    <row r="256" spans="1:20" x14ac:dyDescent="0.25">
      <c r="A256" s="5">
        <v>44337</v>
      </c>
      <c r="B256">
        <v>0.81169999999999998</v>
      </c>
      <c r="C256">
        <v>0.84989999999999999</v>
      </c>
      <c r="D256">
        <v>0.58550000000000002</v>
      </c>
      <c r="E256">
        <v>0.66879999999999995</v>
      </c>
      <c r="F256">
        <v>35215503.759999998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-0.36989409984871452</v>
      </c>
      <c r="Q256">
        <f t="shared" si="960"/>
        <v>-13026007.064024221</v>
      </c>
      <c r="R256">
        <f t="shared" si="961"/>
        <v>60414818.376860544</v>
      </c>
      <c r="S256">
        <f t="shared" si="962"/>
        <v>604.14818376860546</v>
      </c>
      <c r="T256">
        <f t="shared" si="963"/>
        <v>0.60414818376860546</v>
      </c>
    </row>
    <row r="257" spans="1:20" x14ac:dyDescent="0.25">
      <c r="A257" s="5">
        <v>44336</v>
      </c>
      <c r="B257">
        <v>0.73929999999999996</v>
      </c>
      <c r="C257">
        <v>0.87729999999999997</v>
      </c>
      <c r="D257">
        <v>0.65390000000000004</v>
      </c>
      <c r="E257">
        <v>0.81189999999999996</v>
      </c>
      <c r="F257">
        <v>30862446.34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0.4145031333930167</v>
      </c>
      <c r="Q257">
        <f t="shared" si="960"/>
        <v>12792580.71210384</v>
      </c>
      <c r="R257">
        <f t="shared" si="961"/>
        <v>73440825.440884769</v>
      </c>
      <c r="S257">
        <f t="shared" si="962"/>
        <v>734.40825440884771</v>
      </c>
      <c r="T257">
        <f t="shared" si="963"/>
        <v>0.73440825440884772</v>
      </c>
    </row>
    <row r="258" spans="1:20" x14ac:dyDescent="0.25">
      <c r="A258" s="5">
        <v>44335</v>
      </c>
      <c r="B258">
        <v>1.0748</v>
      </c>
      <c r="C258">
        <v>1.0903</v>
      </c>
      <c r="D258">
        <v>0.52839999999999998</v>
      </c>
      <c r="E258">
        <v>0.73970000000000002</v>
      </c>
      <c r="F258">
        <v>52254629.329999998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-0.2479088805837337</v>
      </c>
      <c r="Q258">
        <f t="shared" si="960"/>
        <v>-12954386.662518239</v>
      </c>
      <c r="R258">
        <f t="shared" si="961"/>
        <v>60648244.728780933</v>
      </c>
      <c r="S258">
        <f t="shared" si="962"/>
        <v>606.48244728780935</v>
      </c>
      <c r="T258">
        <f t="shared" si="963"/>
        <v>0.60648244728780931</v>
      </c>
    </row>
    <row r="259" spans="1:20" x14ac:dyDescent="0.25">
      <c r="A259" s="5">
        <v>44334</v>
      </c>
      <c r="B259">
        <v>1.0431999999999999</v>
      </c>
      <c r="C259">
        <v>1.1408</v>
      </c>
      <c r="D259">
        <v>1.0335000000000001</v>
      </c>
      <c r="E259">
        <v>1.0748</v>
      </c>
      <c r="F259">
        <v>17148166.73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-0.2301957129543353</v>
      </c>
      <c r="Q259">
        <f t="shared" si="960"/>
        <v>-3947434.4662721627</v>
      </c>
      <c r="R259">
        <f t="shared" si="961"/>
        <v>73602631.391299173</v>
      </c>
      <c r="S259">
        <f t="shared" si="962"/>
        <v>736.02631391299178</v>
      </c>
      <c r="T259">
        <f t="shared" si="963"/>
        <v>0.73602631391299178</v>
      </c>
    </row>
    <row r="260" spans="1:20" x14ac:dyDescent="0.25">
      <c r="A260" s="5">
        <v>44333</v>
      </c>
      <c r="B260">
        <v>1.1071</v>
      </c>
      <c r="C260">
        <v>1.1073999999999999</v>
      </c>
      <c r="D260">
        <v>0.99550000000000005</v>
      </c>
      <c r="E260">
        <v>1.0427</v>
      </c>
      <c r="F260">
        <v>24520347.780000001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-0.15638963360143063</v>
      </c>
      <c r="Q260">
        <f t="shared" si="960"/>
        <v>-3834728.2050938532</v>
      </c>
      <c r="R260">
        <f t="shared" si="961"/>
        <v>77550065.857571334</v>
      </c>
      <c r="S260">
        <f t="shared" si="962"/>
        <v>775.50065857571337</v>
      </c>
      <c r="T260">
        <f t="shared" si="963"/>
        <v>0.77550065857571338</v>
      </c>
    </row>
    <row r="261" spans="1:20" x14ac:dyDescent="0.25">
      <c r="A261" s="5">
        <v>44332</v>
      </c>
      <c r="B261">
        <v>1.1094999999999999</v>
      </c>
      <c r="C261">
        <v>1.2</v>
      </c>
      <c r="D261">
        <v>1.038</v>
      </c>
      <c r="E261">
        <v>1.1059000000000001</v>
      </c>
      <c r="F261">
        <v>21873780.43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-0.16172839506172712</v>
      </c>
      <c r="Q261">
        <f t="shared" si="960"/>
        <v>-3537611.4028765154</v>
      </c>
      <c r="R261">
        <f t="shared" si="961"/>
        <v>81384794.062665179</v>
      </c>
      <c r="S261">
        <f t="shared" si="962"/>
        <v>813.84794062665185</v>
      </c>
      <c r="T261">
        <f t="shared" si="963"/>
        <v>0.81384794062665189</v>
      </c>
    </row>
    <row r="262" spans="1:20" x14ac:dyDescent="0.25">
      <c r="A262" s="5">
        <v>44331</v>
      </c>
      <c r="B262">
        <v>1.2372000000000001</v>
      </c>
      <c r="C262">
        <v>1.2647999999999999</v>
      </c>
      <c r="D262">
        <v>1.0958000000000001</v>
      </c>
      <c r="E262">
        <v>1.1085</v>
      </c>
      <c r="F262">
        <v>16405918.529999999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-0.84970414201183497</v>
      </c>
      <c r="Q262">
        <f t="shared" ref="Q262:Q325" si="965">F262*P262</f>
        <v>-13940176.928449715</v>
      </c>
      <c r="R262">
        <f t="shared" ref="R262:R325" si="966">R263+Q262</f>
        <v>84922405.465541691</v>
      </c>
      <c r="S262">
        <f t="shared" ref="S262:S325" si="967">R262/100000</f>
        <v>849.22405465541692</v>
      </c>
      <c r="T262">
        <f t="shared" ref="T262:T325" si="968">S262/1000</f>
        <v>0.84922405465541695</v>
      </c>
    </row>
    <row r="263" spans="1:20" x14ac:dyDescent="0.25">
      <c r="A263" s="5">
        <v>44330</v>
      </c>
      <c r="B263">
        <v>1.1981999999999999</v>
      </c>
      <c r="C263">
        <v>1.3102</v>
      </c>
      <c r="D263">
        <v>1.1865000000000001</v>
      </c>
      <c r="E263">
        <v>1.2371000000000001</v>
      </c>
      <c r="F263">
        <v>14321786.23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-0.18189167340339513</v>
      </c>
      <c r="Q263">
        <f t="shared" si="965"/>
        <v>-2605013.6635004017</v>
      </c>
      <c r="R263">
        <f t="shared" si="966"/>
        <v>98862582.393991411</v>
      </c>
      <c r="S263">
        <f t="shared" si="967"/>
        <v>988.62582393991408</v>
      </c>
      <c r="T263">
        <f t="shared" si="968"/>
        <v>0.98862582393991405</v>
      </c>
    </row>
    <row r="264" spans="1:20" x14ac:dyDescent="0.25">
      <c r="A264" s="5">
        <v>44329</v>
      </c>
      <c r="B264">
        <v>1.1841999999999999</v>
      </c>
      <c r="C264">
        <v>1.3048999999999999</v>
      </c>
      <c r="D264">
        <v>1.1154999999999999</v>
      </c>
      <c r="E264">
        <v>1.1974</v>
      </c>
      <c r="F264">
        <v>22560928.649999999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-0.13516367476240679</v>
      </c>
      <c r="Q264">
        <f t="shared" si="965"/>
        <v>-3049418.0223864652</v>
      </c>
      <c r="R264">
        <f t="shared" si="966"/>
        <v>101467596.05749181</v>
      </c>
      <c r="S264">
        <f t="shared" si="967"/>
        <v>1014.6759605749181</v>
      </c>
      <c r="T264">
        <f t="shared" si="968"/>
        <v>1.014675960574918</v>
      </c>
    </row>
    <row r="265" spans="1:20" x14ac:dyDescent="0.25">
      <c r="A265" s="5">
        <v>44328</v>
      </c>
      <c r="B265">
        <v>1.4180999999999999</v>
      </c>
      <c r="C265">
        <v>1.4729000000000001</v>
      </c>
      <c r="D265">
        <v>1.1669</v>
      </c>
      <c r="E265">
        <v>1.1898</v>
      </c>
      <c r="F265">
        <v>31545818.309999999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-0.85032679738562145</v>
      </c>
      <c r="Q265">
        <f t="shared" si="965"/>
        <v>-26824254.654450998</v>
      </c>
      <c r="R265">
        <f t="shared" si="966"/>
        <v>104517014.07987827</v>
      </c>
      <c r="S265">
        <f t="shared" si="967"/>
        <v>1045.1701407987828</v>
      </c>
      <c r="T265">
        <f t="shared" si="968"/>
        <v>1.0451701407987828</v>
      </c>
    </row>
    <row r="266" spans="1:20" x14ac:dyDescent="0.25">
      <c r="A266" s="5">
        <v>44327</v>
      </c>
      <c r="B266">
        <v>1.3584000000000001</v>
      </c>
      <c r="C266">
        <v>1.4470000000000001</v>
      </c>
      <c r="D266">
        <v>1.3080000000000001</v>
      </c>
      <c r="E266">
        <v>1.4180999999999999</v>
      </c>
      <c r="F266">
        <v>14061786.689999999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0.58417266187050154</v>
      </c>
      <c r="Q266">
        <f t="shared" si="965"/>
        <v>8214511.3613524884</v>
      </c>
      <c r="R266">
        <f t="shared" si="966"/>
        <v>131341268.73432927</v>
      </c>
      <c r="S266">
        <f t="shared" si="967"/>
        <v>1313.4126873432926</v>
      </c>
      <c r="T266">
        <f t="shared" si="968"/>
        <v>1.3134126873432928</v>
      </c>
    </row>
    <row r="267" spans="1:20" x14ac:dyDescent="0.25">
      <c r="A267" s="5">
        <v>44326</v>
      </c>
      <c r="B267">
        <v>1.5187999999999999</v>
      </c>
      <c r="C267">
        <v>1.675</v>
      </c>
      <c r="D267">
        <v>1.3</v>
      </c>
      <c r="E267">
        <v>1.3569</v>
      </c>
      <c r="F267">
        <v>37417340.259999998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-0.69653333333333356</v>
      </c>
      <c r="Q267">
        <f t="shared" si="965"/>
        <v>-26062424.735765342</v>
      </c>
      <c r="R267">
        <f t="shared" si="966"/>
        <v>123126757.37297678</v>
      </c>
      <c r="S267">
        <f t="shared" si="967"/>
        <v>1231.2675737297677</v>
      </c>
      <c r="T267">
        <f t="shared" si="968"/>
        <v>1.2312675737297678</v>
      </c>
    </row>
    <row r="268" spans="1:20" x14ac:dyDescent="0.25">
      <c r="A268" s="5">
        <v>44325</v>
      </c>
      <c r="B268">
        <v>1.4888999999999999</v>
      </c>
      <c r="C268">
        <v>1.5537000000000001</v>
      </c>
      <c r="D268">
        <v>1.4011</v>
      </c>
      <c r="E268">
        <v>1.518</v>
      </c>
      <c r="F268">
        <v>18861150.940000001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0.53211009174311863</v>
      </c>
      <c r="Q268">
        <f t="shared" si="965"/>
        <v>10036208.757064208</v>
      </c>
      <c r="R268">
        <f t="shared" si="966"/>
        <v>149189182.10874212</v>
      </c>
      <c r="S268">
        <f t="shared" si="967"/>
        <v>1491.8918210874212</v>
      </c>
      <c r="T268">
        <f t="shared" si="968"/>
        <v>1.4918918210874212</v>
      </c>
    </row>
    <row r="269" spans="1:20" x14ac:dyDescent="0.25">
      <c r="A269" s="5">
        <v>44324</v>
      </c>
      <c r="B269">
        <v>1.4662999999999999</v>
      </c>
      <c r="C269">
        <v>1.4937</v>
      </c>
      <c r="D269">
        <v>1.3708</v>
      </c>
      <c r="E269">
        <v>1.4888999999999999</v>
      </c>
      <c r="F269">
        <v>15820176.23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0.92188771358828092</v>
      </c>
      <c r="Q269">
        <f t="shared" si="965"/>
        <v>14584426.09323837</v>
      </c>
      <c r="R269">
        <f t="shared" si="966"/>
        <v>139152973.35167789</v>
      </c>
      <c r="S269">
        <f t="shared" si="967"/>
        <v>1391.5297335167788</v>
      </c>
      <c r="T269">
        <f t="shared" si="968"/>
        <v>1.3915297335167789</v>
      </c>
    </row>
    <row r="270" spans="1:20" x14ac:dyDescent="0.25">
      <c r="A270" s="5">
        <v>44323</v>
      </c>
      <c r="B270">
        <v>1.3747</v>
      </c>
      <c r="C270">
        <v>1.5503</v>
      </c>
      <c r="D270">
        <v>1.3153999999999999</v>
      </c>
      <c r="E270">
        <v>1.4651000000000001</v>
      </c>
      <c r="F270">
        <v>21210200.579999998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0.27458492975734439</v>
      </c>
      <c r="Q270">
        <f t="shared" si="965"/>
        <v>5824001.4363984847</v>
      </c>
      <c r="R270">
        <f t="shared" si="966"/>
        <v>124568547.25843951</v>
      </c>
      <c r="S270">
        <f t="shared" si="967"/>
        <v>1245.685472584395</v>
      </c>
      <c r="T270">
        <f t="shared" si="968"/>
        <v>1.2456854725843951</v>
      </c>
    </row>
    <row r="271" spans="1:20" x14ac:dyDescent="0.25">
      <c r="A271" s="5">
        <v>44322</v>
      </c>
      <c r="B271">
        <v>1.3835</v>
      </c>
      <c r="C271">
        <v>1.4576</v>
      </c>
      <c r="D271">
        <v>1.33</v>
      </c>
      <c r="E271">
        <v>1.3734999999999999</v>
      </c>
      <c r="F271">
        <v>17005836.440000001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-0.31818181818181984</v>
      </c>
      <c r="Q271">
        <f t="shared" si="965"/>
        <v>-5410947.9581818469</v>
      </c>
      <c r="R271">
        <f t="shared" si="966"/>
        <v>118744545.82204102</v>
      </c>
      <c r="S271">
        <f t="shared" si="967"/>
        <v>1187.4454582204103</v>
      </c>
      <c r="T271">
        <f t="shared" si="968"/>
        <v>1.1874454582204104</v>
      </c>
    </row>
    <row r="272" spans="1:20" x14ac:dyDescent="0.25">
      <c r="A272" s="5">
        <v>44321</v>
      </c>
      <c r="B272">
        <v>1.2753000000000001</v>
      </c>
      <c r="C272">
        <v>1.3979999999999999</v>
      </c>
      <c r="D272">
        <v>1.2658</v>
      </c>
      <c r="E272">
        <v>1.383</v>
      </c>
      <c r="F272">
        <v>12203900.550000001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0.77307110438729321</v>
      </c>
      <c r="Q272">
        <f t="shared" si="965"/>
        <v>9434482.8760211952</v>
      </c>
      <c r="R272">
        <f t="shared" si="966"/>
        <v>124155493.78022286</v>
      </c>
      <c r="S272">
        <f t="shared" si="967"/>
        <v>1241.5549378022286</v>
      </c>
      <c r="T272">
        <f t="shared" si="968"/>
        <v>1.2415549378022286</v>
      </c>
    </row>
    <row r="273" spans="1:20" x14ac:dyDescent="0.25">
      <c r="A273" s="5">
        <v>44320</v>
      </c>
      <c r="B273">
        <v>1.4581</v>
      </c>
      <c r="C273">
        <v>1.4599</v>
      </c>
      <c r="D273">
        <v>1.2703</v>
      </c>
      <c r="E273">
        <v>1.2747999999999999</v>
      </c>
      <c r="F273">
        <v>17265308.84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-0.95253164556962078</v>
      </c>
      <c r="Q273">
        <f t="shared" si="965"/>
        <v>-16445753.04063292</v>
      </c>
      <c r="R273">
        <f t="shared" si="966"/>
        <v>114721010.90420167</v>
      </c>
      <c r="S273">
        <f t="shared" si="967"/>
        <v>1147.2101090420167</v>
      </c>
      <c r="T273">
        <f t="shared" si="968"/>
        <v>1.1472101090420168</v>
      </c>
    </row>
    <row r="274" spans="1:20" x14ac:dyDescent="0.25">
      <c r="A274" s="5">
        <v>44319</v>
      </c>
      <c r="B274">
        <v>1.3159000000000001</v>
      </c>
      <c r="C274">
        <v>1.55</v>
      </c>
      <c r="D274">
        <v>1.3147</v>
      </c>
      <c r="E274">
        <v>1.4567000000000001</v>
      </c>
      <c r="F274">
        <v>24302946.690000001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0.20696982575435688</v>
      </c>
      <c r="Q274">
        <f t="shared" si="965"/>
        <v>5029976.641746725</v>
      </c>
      <c r="R274">
        <f t="shared" si="966"/>
        <v>131166763.94483459</v>
      </c>
      <c r="S274">
        <f t="shared" si="967"/>
        <v>1311.6676394483459</v>
      </c>
      <c r="T274">
        <f t="shared" si="968"/>
        <v>1.311667639448346</v>
      </c>
    </row>
    <row r="275" spans="1:20" x14ac:dyDescent="0.25">
      <c r="A275" s="5">
        <v>44318</v>
      </c>
      <c r="B275">
        <v>1.3938999999999999</v>
      </c>
      <c r="C275">
        <v>1.3949</v>
      </c>
      <c r="D275">
        <v>1.3</v>
      </c>
      <c r="E275">
        <v>1.3159000000000001</v>
      </c>
      <c r="F275">
        <v>8753243.2799999993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-0.66491043203371913</v>
      </c>
      <c r="Q275">
        <f t="shared" si="965"/>
        <v>-5820122.7710010484</v>
      </c>
      <c r="R275">
        <f t="shared" si="966"/>
        <v>126136787.30308786</v>
      </c>
      <c r="S275">
        <f t="shared" si="967"/>
        <v>1261.3678730308786</v>
      </c>
      <c r="T275">
        <f t="shared" si="968"/>
        <v>1.2613678730308786</v>
      </c>
    </row>
    <row r="276" spans="1:20" x14ac:dyDescent="0.25">
      <c r="A276" s="5">
        <v>44317</v>
      </c>
      <c r="B276">
        <v>1.3605</v>
      </c>
      <c r="C276">
        <v>1.3948</v>
      </c>
      <c r="D276">
        <v>1.3280000000000001</v>
      </c>
      <c r="E276">
        <v>1.3938999999999999</v>
      </c>
      <c r="F276">
        <v>11261661.02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0.97305389221556515</v>
      </c>
      <c r="Q276">
        <f t="shared" si="965"/>
        <v>10958203.088323312</v>
      </c>
      <c r="R276">
        <f t="shared" si="966"/>
        <v>131956910.0740889</v>
      </c>
      <c r="S276">
        <f t="shared" si="967"/>
        <v>1319.5691007408891</v>
      </c>
      <c r="T276">
        <f t="shared" si="968"/>
        <v>1.3195691007408892</v>
      </c>
    </row>
    <row r="277" spans="1:20" x14ac:dyDescent="0.25">
      <c r="A277" s="5">
        <v>44316</v>
      </c>
      <c r="B277">
        <v>1.3102</v>
      </c>
      <c r="C277">
        <v>1.4</v>
      </c>
      <c r="D277">
        <v>1.2768999999999999</v>
      </c>
      <c r="E277">
        <v>1.3604000000000001</v>
      </c>
      <c r="F277">
        <v>11570691.98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0.35662063363119639</v>
      </c>
      <c r="Q277">
        <f t="shared" si="965"/>
        <v>4126347.5054590027</v>
      </c>
      <c r="R277">
        <f t="shared" si="966"/>
        <v>120998706.98576559</v>
      </c>
      <c r="S277">
        <f t="shared" si="967"/>
        <v>1209.987069857656</v>
      </c>
      <c r="T277">
        <f t="shared" si="968"/>
        <v>1.209987069857656</v>
      </c>
    </row>
    <row r="278" spans="1:20" x14ac:dyDescent="0.25">
      <c r="A278" s="5">
        <v>44315</v>
      </c>
      <c r="B278">
        <v>1.3015000000000001</v>
      </c>
      <c r="C278">
        <v>1.4241999999999999</v>
      </c>
      <c r="D278">
        <v>1.2652000000000001</v>
      </c>
      <c r="E278">
        <v>1.3105</v>
      </c>
      <c r="F278">
        <v>24920396.050000001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-0.43018867924528364</v>
      </c>
      <c r="Q278">
        <f t="shared" si="965"/>
        <v>-10720472.263018884</v>
      </c>
      <c r="R278">
        <f t="shared" si="966"/>
        <v>116872359.4803066</v>
      </c>
      <c r="S278">
        <f t="shared" si="967"/>
        <v>1168.7235948030659</v>
      </c>
      <c r="T278">
        <f t="shared" si="968"/>
        <v>1.1687235948030659</v>
      </c>
    </row>
    <row r="279" spans="1:20" x14ac:dyDescent="0.25">
      <c r="A279" s="5">
        <v>44314</v>
      </c>
      <c r="B279">
        <v>1.3728</v>
      </c>
      <c r="C279">
        <v>1.4056</v>
      </c>
      <c r="D279">
        <v>1.2599</v>
      </c>
      <c r="E279">
        <v>1.3029999999999999</v>
      </c>
      <c r="F279">
        <v>12145622.439999999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-0.40837336993823015</v>
      </c>
      <c r="Q279">
        <f t="shared" si="965"/>
        <v>-4959948.7658201894</v>
      </c>
      <c r="R279">
        <f t="shared" si="966"/>
        <v>127592831.74332547</v>
      </c>
      <c r="S279">
        <f t="shared" si="967"/>
        <v>1275.9283174332547</v>
      </c>
      <c r="T279">
        <f t="shared" si="968"/>
        <v>1.2759283174332547</v>
      </c>
    </row>
    <row r="280" spans="1:20" x14ac:dyDescent="0.25">
      <c r="A280" s="5">
        <v>44313</v>
      </c>
      <c r="B280">
        <v>1.2381</v>
      </c>
      <c r="C280">
        <v>1.3752</v>
      </c>
      <c r="D280">
        <v>1.2186999999999999</v>
      </c>
      <c r="E280">
        <v>1.3728</v>
      </c>
      <c r="F280">
        <v>10730685.9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0.96932907348242869</v>
      </c>
      <c r="Q280">
        <f t="shared" si="965"/>
        <v>10401565.821277961</v>
      </c>
      <c r="R280">
        <f t="shared" si="966"/>
        <v>132552780.50914566</v>
      </c>
      <c r="S280">
        <f t="shared" si="967"/>
        <v>1325.5278050914567</v>
      </c>
      <c r="T280">
        <f t="shared" si="968"/>
        <v>1.3255278050914567</v>
      </c>
    </row>
    <row r="281" spans="1:20" x14ac:dyDescent="0.25">
      <c r="A281" s="5">
        <v>44312</v>
      </c>
      <c r="B281">
        <v>1.0482</v>
      </c>
      <c r="C281">
        <v>1.2546999999999999</v>
      </c>
      <c r="D281">
        <v>1.0350999999999999</v>
      </c>
      <c r="E281">
        <v>1.2386999999999999</v>
      </c>
      <c r="F281">
        <v>13050072.35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0.85428051001821481</v>
      </c>
      <c r="Q281">
        <f t="shared" si="965"/>
        <v>11148422.462932603</v>
      </c>
      <c r="R281">
        <f t="shared" si="966"/>
        <v>122151214.6878677</v>
      </c>
      <c r="S281">
        <f t="shared" si="967"/>
        <v>1221.512146878677</v>
      </c>
      <c r="T281">
        <f t="shared" si="968"/>
        <v>1.2215121468786769</v>
      </c>
    </row>
    <row r="282" spans="1:20" x14ac:dyDescent="0.25">
      <c r="A282" s="5">
        <v>44311</v>
      </c>
      <c r="B282">
        <v>1.0611999999999999</v>
      </c>
      <c r="C282">
        <v>1.1484000000000001</v>
      </c>
      <c r="D282">
        <v>0.97430000000000005</v>
      </c>
      <c r="E282">
        <v>1.0456000000000001</v>
      </c>
      <c r="F282">
        <v>11141782.23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-0.18093049971280853</v>
      </c>
      <c r="Q282">
        <f t="shared" si="965"/>
        <v>-2015888.2265651904</v>
      </c>
      <c r="R282">
        <f t="shared" si="966"/>
        <v>111002792.2249351</v>
      </c>
      <c r="S282">
        <f t="shared" si="967"/>
        <v>1110.0279222493509</v>
      </c>
      <c r="T282">
        <f t="shared" si="968"/>
        <v>1.110027922249351</v>
      </c>
    </row>
    <row r="283" spans="1:20" x14ac:dyDescent="0.25">
      <c r="A283" s="5">
        <v>44310</v>
      </c>
      <c r="B283">
        <v>1.1424000000000001</v>
      </c>
      <c r="C283">
        <v>1.145</v>
      </c>
      <c r="D283">
        <v>1.0101</v>
      </c>
      <c r="E283">
        <v>1.0599000000000001</v>
      </c>
      <c r="F283">
        <v>15362658.779999999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-0.26167531504818298</v>
      </c>
      <c r="Q283">
        <f t="shared" si="965"/>
        <v>-4020028.576234234</v>
      </c>
      <c r="R283">
        <f t="shared" si="966"/>
        <v>113018680.4515003</v>
      </c>
      <c r="S283">
        <f t="shared" si="967"/>
        <v>1130.1868045150029</v>
      </c>
      <c r="T283">
        <f t="shared" si="968"/>
        <v>1.130186804515003</v>
      </c>
    </row>
    <row r="284" spans="1:20" x14ac:dyDescent="0.25">
      <c r="A284" s="5">
        <v>44309</v>
      </c>
      <c r="B284">
        <v>1.1708000000000001</v>
      </c>
      <c r="C284">
        <v>1.2636000000000001</v>
      </c>
      <c r="D284">
        <v>0.92800000000000005</v>
      </c>
      <c r="E284">
        <v>1.1431</v>
      </c>
      <c r="F284">
        <v>23377071.149999999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0.28188319427890318</v>
      </c>
      <c r="Q284">
        <f t="shared" si="965"/>
        <v>6589603.4886471918</v>
      </c>
      <c r="R284">
        <f t="shared" si="966"/>
        <v>117038709.02773453</v>
      </c>
      <c r="S284">
        <f t="shared" si="967"/>
        <v>1170.3870902773454</v>
      </c>
      <c r="T284">
        <f t="shared" si="968"/>
        <v>1.1703870902773454</v>
      </c>
    </row>
    <row r="285" spans="1:20" x14ac:dyDescent="0.25">
      <c r="A285" s="5">
        <v>44308</v>
      </c>
      <c r="B285">
        <v>1.3057000000000001</v>
      </c>
      <c r="C285">
        <v>1.3827</v>
      </c>
      <c r="D285">
        <v>1.1406000000000001</v>
      </c>
      <c r="E285">
        <v>1.1708000000000001</v>
      </c>
      <c r="F285">
        <v>22940951.890000001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-0.75051631557207765</v>
      </c>
      <c r="Q285">
        <f t="shared" si="965"/>
        <v>-17217558.688199092</v>
      </c>
      <c r="R285">
        <f t="shared" si="966"/>
        <v>110449105.53908734</v>
      </c>
      <c r="S285">
        <f t="shared" si="967"/>
        <v>1104.4910553908735</v>
      </c>
      <c r="T285">
        <f t="shared" si="968"/>
        <v>1.1044910553908736</v>
      </c>
    </row>
    <row r="286" spans="1:20" x14ac:dyDescent="0.25">
      <c r="A286" s="5">
        <v>44307</v>
      </c>
      <c r="B286">
        <v>1.3652</v>
      </c>
      <c r="C286">
        <v>1.4645999999999999</v>
      </c>
      <c r="D286">
        <v>1.3056000000000001</v>
      </c>
      <c r="E286">
        <v>1.3059000000000001</v>
      </c>
      <c r="F286">
        <v>13896491.210000001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-0.99622641509434007</v>
      </c>
      <c r="Q286">
        <f t="shared" si="965"/>
        <v>-13844051.620528309</v>
      </c>
      <c r="R286">
        <f t="shared" si="966"/>
        <v>127666664.22728643</v>
      </c>
      <c r="S286">
        <f t="shared" si="967"/>
        <v>1276.6666422728642</v>
      </c>
      <c r="T286">
        <f t="shared" si="968"/>
        <v>1.2766666422728643</v>
      </c>
    </row>
    <row r="287" spans="1:20" x14ac:dyDescent="0.25">
      <c r="A287" s="5">
        <v>44306</v>
      </c>
      <c r="B287">
        <v>1.3543000000000001</v>
      </c>
      <c r="C287">
        <v>1.3959999999999999</v>
      </c>
      <c r="D287">
        <v>1.2181</v>
      </c>
      <c r="E287">
        <v>1.3648</v>
      </c>
      <c r="F287">
        <v>11333139.9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0.6492411467116368</v>
      </c>
      <c r="Q287">
        <f t="shared" si="965"/>
        <v>7357940.7445194051</v>
      </c>
      <c r="R287">
        <f t="shared" si="966"/>
        <v>141510715.84781474</v>
      </c>
      <c r="S287">
        <f t="shared" si="967"/>
        <v>1415.1071584781473</v>
      </c>
      <c r="T287">
        <f t="shared" si="968"/>
        <v>1.4151071584781474</v>
      </c>
    </row>
    <row r="288" spans="1:20" x14ac:dyDescent="0.25">
      <c r="A288" s="5">
        <v>44305</v>
      </c>
      <c r="B288">
        <v>1.4298999999999999</v>
      </c>
      <c r="C288">
        <v>1.5341</v>
      </c>
      <c r="D288">
        <v>1.3043</v>
      </c>
      <c r="E288">
        <v>1.3532</v>
      </c>
      <c r="F288">
        <v>16110996.16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-0.57441253263707626</v>
      </c>
      <c r="Q288">
        <f t="shared" si="965"/>
        <v>-9254358.1075718105</v>
      </c>
      <c r="R288">
        <f t="shared" si="966"/>
        <v>134152775.10329533</v>
      </c>
      <c r="S288">
        <f t="shared" si="967"/>
        <v>1341.5277510329533</v>
      </c>
      <c r="T288">
        <f t="shared" si="968"/>
        <v>1.3415277510329533</v>
      </c>
    </row>
    <row r="289" spans="1:20" x14ac:dyDescent="0.25">
      <c r="A289" s="5">
        <v>44304</v>
      </c>
      <c r="B289">
        <v>1.6493</v>
      </c>
      <c r="C289">
        <v>1.6580999999999999</v>
      </c>
      <c r="D289">
        <v>1.2139</v>
      </c>
      <c r="E289">
        <v>1.4303999999999999</v>
      </c>
      <c r="F289">
        <v>17783430.579999998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-2.5213867627195182E-2</v>
      </c>
      <c r="Q289">
        <f t="shared" si="965"/>
        <v>-448389.0646015348</v>
      </c>
      <c r="R289">
        <f t="shared" si="966"/>
        <v>143407133.21086714</v>
      </c>
      <c r="S289">
        <f t="shared" si="967"/>
        <v>1434.0713321086714</v>
      </c>
      <c r="T289">
        <f t="shared" si="968"/>
        <v>1.4340713321086713</v>
      </c>
    </row>
    <row r="290" spans="1:20" x14ac:dyDescent="0.25">
      <c r="A290" s="5">
        <v>44303</v>
      </c>
      <c r="B290">
        <v>1.6915</v>
      </c>
      <c r="C290">
        <v>1.7625999999999999</v>
      </c>
      <c r="D290">
        <v>1.6424000000000001</v>
      </c>
      <c r="E290">
        <v>1.6492</v>
      </c>
      <c r="F290">
        <v>10336811.32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-0.88685524126456028</v>
      </c>
      <c r="Q290">
        <f t="shared" si="965"/>
        <v>-9167255.2971048374</v>
      </c>
      <c r="R290">
        <f t="shared" si="966"/>
        <v>143855522.27546868</v>
      </c>
      <c r="S290">
        <f t="shared" si="967"/>
        <v>1438.5552227546868</v>
      </c>
      <c r="T290">
        <f t="shared" si="968"/>
        <v>1.4385552227546869</v>
      </c>
    </row>
    <row r="291" spans="1:20" x14ac:dyDescent="0.25">
      <c r="A291" s="5">
        <v>44302</v>
      </c>
      <c r="B291">
        <v>1.7553000000000001</v>
      </c>
      <c r="C291">
        <v>1.762</v>
      </c>
      <c r="D291">
        <v>1.6101000000000001</v>
      </c>
      <c r="E291">
        <v>1.6908000000000001</v>
      </c>
      <c r="F291">
        <v>15966022.83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6.2541145490454697E-2</v>
      </c>
      <c r="Q291">
        <f t="shared" si="965"/>
        <v>998533.35671495122</v>
      </c>
      <c r="R291">
        <f t="shared" si="966"/>
        <v>153022777.57257351</v>
      </c>
      <c r="S291">
        <f t="shared" si="967"/>
        <v>1530.2277757257352</v>
      </c>
      <c r="T291">
        <f t="shared" si="968"/>
        <v>1.5302277757257352</v>
      </c>
    </row>
    <row r="292" spans="1:20" x14ac:dyDescent="0.25">
      <c r="A292" s="5">
        <v>44301</v>
      </c>
      <c r="B292">
        <v>1.675</v>
      </c>
      <c r="C292">
        <v>1.835</v>
      </c>
      <c r="D292">
        <v>1.6325000000000001</v>
      </c>
      <c r="E292">
        <v>1.7535000000000001</v>
      </c>
      <c r="F292">
        <v>16075522.41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0.19506172839506228</v>
      </c>
      <c r="Q292">
        <f t="shared" si="965"/>
        <v>3135719.1861481569</v>
      </c>
      <c r="R292">
        <f t="shared" si="966"/>
        <v>152024244.21585855</v>
      </c>
      <c r="S292">
        <f t="shared" si="967"/>
        <v>1520.2424421585854</v>
      </c>
      <c r="T292">
        <f t="shared" si="968"/>
        <v>1.5202424421585854</v>
      </c>
    </row>
    <row r="293" spans="1:20" x14ac:dyDescent="0.25">
      <c r="A293" s="5">
        <v>44300</v>
      </c>
      <c r="B293">
        <v>1.6835</v>
      </c>
      <c r="C293">
        <v>1.7230000000000001</v>
      </c>
      <c r="D293">
        <v>1.5733999999999999</v>
      </c>
      <c r="E293">
        <v>1.6753</v>
      </c>
      <c r="F293">
        <v>10906749.380000001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0.36229946524064144</v>
      </c>
      <c r="Q293">
        <f t="shared" si="965"/>
        <v>3951509.4678876977</v>
      </c>
      <c r="R293">
        <f t="shared" si="966"/>
        <v>148888525.02971038</v>
      </c>
      <c r="S293">
        <f t="shared" si="967"/>
        <v>1488.8852502971038</v>
      </c>
      <c r="T293">
        <f t="shared" si="968"/>
        <v>1.4888852502971037</v>
      </c>
    </row>
    <row r="294" spans="1:20" x14ac:dyDescent="0.25">
      <c r="A294" s="5">
        <v>44299</v>
      </c>
      <c r="B294">
        <v>1.6644000000000001</v>
      </c>
      <c r="C294">
        <v>1.7</v>
      </c>
      <c r="D294">
        <v>1.5945</v>
      </c>
      <c r="E294">
        <v>1.6839</v>
      </c>
      <c r="F294">
        <v>9229010.7200000007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0.69478672985781964</v>
      </c>
      <c r="Q294">
        <f t="shared" si="965"/>
        <v>6412194.1779715624</v>
      </c>
      <c r="R294">
        <f t="shared" si="966"/>
        <v>144937015.56182268</v>
      </c>
      <c r="S294">
        <f t="shared" si="967"/>
        <v>1449.3701556182268</v>
      </c>
      <c r="T294">
        <f t="shared" si="968"/>
        <v>1.4493701556182268</v>
      </c>
    </row>
    <row r="295" spans="1:20" x14ac:dyDescent="0.25">
      <c r="A295" s="5">
        <v>44298</v>
      </c>
      <c r="B295">
        <v>1.7137</v>
      </c>
      <c r="C295">
        <v>1.7341</v>
      </c>
      <c r="D295">
        <v>1.6295999999999999</v>
      </c>
      <c r="E295">
        <v>1.6660999999999999</v>
      </c>
      <c r="F295">
        <v>10999884.710000001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-0.30143540669856528</v>
      </c>
      <c r="Q295">
        <f t="shared" si="965"/>
        <v>-3315754.7211961802</v>
      </c>
      <c r="R295">
        <f t="shared" si="966"/>
        <v>138524821.38385111</v>
      </c>
      <c r="S295">
        <f t="shared" si="967"/>
        <v>1385.2482138385112</v>
      </c>
      <c r="T295">
        <f t="shared" si="968"/>
        <v>1.3852482138385112</v>
      </c>
    </row>
    <row r="296" spans="1:20" x14ac:dyDescent="0.25">
      <c r="A296" s="5">
        <v>44297</v>
      </c>
      <c r="B296">
        <v>1.7659</v>
      </c>
      <c r="C296">
        <v>1.7808999999999999</v>
      </c>
      <c r="D296">
        <v>1.7056</v>
      </c>
      <c r="E296">
        <v>1.7136</v>
      </c>
      <c r="F296">
        <v>9271490.0500000007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-0.78751660026560388</v>
      </c>
      <c r="Q296">
        <f t="shared" si="965"/>
        <v>-7301452.3235723739</v>
      </c>
      <c r="R296">
        <f t="shared" si="966"/>
        <v>141840576.10504729</v>
      </c>
      <c r="S296">
        <f t="shared" si="967"/>
        <v>1418.4057610504728</v>
      </c>
      <c r="T296">
        <f t="shared" si="968"/>
        <v>1.4184057610504728</v>
      </c>
    </row>
    <row r="297" spans="1:20" x14ac:dyDescent="0.25">
      <c r="A297" s="5">
        <v>44296</v>
      </c>
      <c r="B297">
        <v>1.7439</v>
      </c>
      <c r="C297">
        <v>1.9414</v>
      </c>
      <c r="D297">
        <v>1.7170000000000001</v>
      </c>
      <c r="E297">
        <v>1.7649999999999999</v>
      </c>
      <c r="F297">
        <v>18866328.289999999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-0.57219251336898547</v>
      </c>
      <c r="Q297">
        <f t="shared" si="965"/>
        <v>-10795171.802299494</v>
      </c>
      <c r="R297">
        <f t="shared" si="966"/>
        <v>149142028.42861965</v>
      </c>
      <c r="S297">
        <f t="shared" si="967"/>
        <v>1491.4202842861964</v>
      </c>
      <c r="T297">
        <f t="shared" si="968"/>
        <v>1.4914202842861963</v>
      </c>
    </row>
    <row r="298" spans="1:20" x14ac:dyDescent="0.25">
      <c r="A298" s="5">
        <v>44295</v>
      </c>
      <c r="B298">
        <v>1.837</v>
      </c>
      <c r="C298">
        <v>1.8478000000000001</v>
      </c>
      <c r="D298">
        <v>1.7002999999999999</v>
      </c>
      <c r="E298">
        <v>1.7417</v>
      </c>
      <c r="F298">
        <v>18150288.120000001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-0.43864406779660947</v>
      </c>
      <c r="Q298">
        <f t="shared" si="965"/>
        <v>-7961516.2126372764</v>
      </c>
      <c r="R298">
        <f t="shared" si="966"/>
        <v>159937200.23091915</v>
      </c>
      <c r="S298">
        <f t="shared" si="967"/>
        <v>1599.3720023091914</v>
      </c>
      <c r="T298">
        <f t="shared" si="968"/>
        <v>1.5993720023091915</v>
      </c>
    </row>
    <row r="299" spans="1:20" x14ac:dyDescent="0.25">
      <c r="A299" s="5">
        <v>44294</v>
      </c>
      <c r="B299">
        <v>1.4992000000000001</v>
      </c>
      <c r="C299">
        <v>1.8424</v>
      </c>
      <c r="D299">
        <v>1.4817</v>
      </c>
      <c r="E299">
        <v>1.8379000000000001</v>
      </c>
      <c r="F299">
        <v>28835438.649999999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0.9750485167729418</v>
      </c>
      <c r="Q299">
        <f t="shared" si="965"/>
        <v>28115951.686179657</v>
      </c>
      <c r="R299">
        <f t="shared" si="966"/>
        <v>167898716.44355643</v>
      </c>
      <c r="S299">
        <f t="shared" si="967"/>
        <v>1678.9871644355642</v>
      </c>
      <c r="T299">
        <f t="shared" si="968"/>
        <v>1.6789871644355643</v>
      </c>
    </row>
    <row r="300" spans="1:20" x14ac:dyDescent="0.25">
      <c r="A300" s="5">
        <v>44293</v>
      </c>
      <c r="B300">
        <v>1.5815999999999999</v>
      </c>
      <c r="C300">
        <v>1.6850000000000001</v>
      </c>
      <c r="D300">
        <v>1.4334</v>
      </c>
      <c r="E300">
        <v>1.4987999999999999</v>
      </c>
      <c r="F300">
        <v>20096376.469999999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-0.4801271860095398</v>
      </c>
      <c r="Q300">
        <f t="shared" si="965"/>
        <v>-9648816.6835294273</v>
      </c>
      <c r="R300">
        <f t="shared" si="966"/>
        <v>139782764.75737676</v>
      </c>
      <c r="S300">
        <f t="shared" si="967"/>
        <v>1397.8276475737675</v>
      </c>
      <c r="T300">
        <f t="shared" si="968"/>
        <v>1.3978276475737674</v>
      </c>
    </row>
    <row r="301" spans="1:20" x14ac:dyDescent="0.25">
      <c r="A301" s="5">
        <v>44292</v>
      </c>
      <c r="B301">
        <v>1.6183000000000001</v>
      </c>
      <c r="C301">
        <v>1.6629</v>
      </c>
      <c r="D301">
        <v>1.4847999999999999</v>
      </c>
      <c r="E301">
        <v>1.5815999999999999</v>
      </c>
      <c r="F301">
        <v>16481896.630000001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8.7029758562604351E-2</v>
      </c>
      <c r="Q301">
        <f t="shared" si="965"/>
        <v>1434415.4843627024</v>
      </c>
      <c r="R301">
        <f t="shared" si="966"/>
        <v>149431581.4409062</v>
      </c>
      <c r="S301">
        <f t="shared" si="967"/>
        <v>1494.3158144090619</v>
      </c>
      <c r="T301">
        <f t="shared" si="968"/>
        <v>1.4943158144090618</v>
      </c>
    </row>
    <row r="302" spans="1:20" x14ac:dyDescent="0.25">
      <c r="A302" s="5">
        <v>44291</v>
      </c>
      <c r="B302">
        <v>1.5015000000000001</v>
      </c>
      <c r="C302">
        <v>1.655</v>
      </c>
      <c r="D302">
        <v>1.4216</v>
      </c>
      <c r="E302">
        <v>1.6162000000000001</v>
      </c>
      <c r="F302">
        <v>17723367.940000001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0.66752356469580176</v>
      </c>
      <c r="Q302">
        <f t="shared" si="965"/>
        <v>11830765.745724089</v>
      </c>
      <c r="R302">
        <f t="shared" si="966"/>
        <v>147997165.95654351</v>
      </c>
      <c r="S302">
        <f t="shared" si="967"/>
        <v>1479.9716595654349</v>
      </c>
      <c r="T302">
        <f t="shared" si="968"/>
        <v>1.4799716595654349</v>
      </c>
    </row>
    <row r="303" spans="1:20" x14ac:dyDescent="0.25">
      <c r="A303" s="5">
        <v>44290</v>
      </c>
      <c r="B303">
        <v>1.3842000000000001</v>
      </c>
      <c r="C303">
        <v>1.54</v>
      </c>
      <c r="D303">
        <v>1.3564000000000001</v>
      </c>
      <c r="E303">
        <v>1.5033000000000001</v>
      </c>
      <c r="F303">
        <v>11172146.890000001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0.60021786492374773</v>
      </c>
      <c r="Q303">
        <f t="shared" si="965"/>
        <v>6705722.1529302886</v>
      </c>
      <c r="R303">
        <f t="shared" si="966"/>
        <v>136166400.21081942</v>
      </c>
      <c r="S303">
        <f t="shared" si="967"/>
        <v>1361.6640021081942</v>
      </c>
      <c r="T303">
        <f t="shared" si="968"/>
        <v>1.361664002108194</v>
      </c>
    </row>
    <row r="304" spans="1:20" x14ac:dyDescent="0.25">
      <c r="A304" s="5">
        <v>44289</v>
      </c>
      <c r="B304">
        <v>1.4550000000000001</v>
      </c>
      <c r="C304">
        <v>1.5286999999999999</v>
      </c>
      <c r="D304">
        <v>1.377</v>
      </c>
      <c r="E304">
        <v>1.3861000000000001</v>
      </c>
      <c r="F304">
        <v>12614408.66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-0.88002636783124444</v>
      </c>
      <c r="Q304">
        <f t="shared" si="965"/>
        <v>-11101012.235398795</v>
      </c>
      <c r="R304">
        <f t="shared" si="966"/>
        <v>129460678.05788913</v>
      </c>
      <c r="S304">
        <f t="shared" si="967"/>
        <v>1294.6067805788914</v>
      </c>
      <c r="T304">
        <f t="shared" si="968"/>
        <v>1.2946067805788914</v>
      </c>
    </row>
    <row r="305" spans="1:20" x14ac:dyDescent="0.25">
      <c r="A305" s="5">
        <v>44288</v>
      </c>
      <c r="B305">
        <v>1.4571000000000001</v>
      </c>
      <c r="C305">
        <v>1.4836</v>
      </c>
      <c r="D305">
        <v>1.4262999999999999</v>
      </c>
      <c r="E305">
        <v>1.4548000000000001</v>
      </c>
      <c r="F305">
        <v>9128540.9600000009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-5.2356020942363746E-3</v>
      </c>
      <c r="Q305">
        <f t="shared" si="965"/>
        <v>-47793.408167498528</v>
      </c>
      <c r="R305">
        <f t="shared" si="966"/>
        <v>140561690.29328793</v>
      </c>
      <c r="S305">
        <f t="shared" si="967"/>
        <v>1405.6169029328794</v>
      </c>
      <c r="T305">
        <f t="shared" si="968"/>
        <v>1.4056169029328793</v>
      </c>
    </row>
    <row r="306" spans="1:20" x14ac:dyDescent="0.25">
      <c r="A306" s="5">
        <v>44287</v>
      </c>
      <c r="B306">
        <v>1.4347000000000001</v>
      </c>
      <c r="C306">
        <v>1.4832000000000001</v>
      </c>
      <c r="D306">
        <v>1.4261999999999999</v>
      </c>
      <c r="E306">
        <v>1.4572000000000001</v>
      </c>
      <c r="F306">
        <v>9281451.4900000002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8.7719298245615807E-2</v>
      </c>
      <c r="Q306">
        <f t="shared" si="965"/>
        <v>814162.41140352527</v>
      </c>
      <c r="R306">
        <f t="shared" si="966"/>
        <v>140609483.70145544</v>
      </c>
      <c r="S306">
        <f t="shared" si="967"/>
        <v>1406.0948370145545</v>
      </c>
      <c r="T306">
        <f t="shared" si="968"/>
        <v>1.4060948370145545</v>
      </c>
    </row>
    <row r="307" spans="1:20" x14ac:dyDescent="0.25">
      <c r="A307" s="5">
        <v>44286</v>
      </c>
      <c r="B307">
        <v>1.5093000000000001</v>
      </c>
      <c r="C307">
        <v>1.5239</v>
      </c>
      <c r="D307">
        <v>1.3942000000000001</v>
      </c>
      <c r="E307">
        <v>1.4334</v>
      </c>
      <c r="F307">
        <v>11455788.84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-0.39552814186584545</v>
      </c>
      <c r="Q307">
        <f t="shared" si="965"/>
        <v>-4531086.8734926889</v>
      </c>
      <c r="R307">
        <f t="shared" si="966"/>
        <v>139795321.29005191</v>
      </c>
      <c r="S307">
        <f t="shared" si="967"/>
        <v>1397.953212900519</v>
      </c>
      <c r="T307">
        <f t="shared" si="968"/>
        <v>1.397953212900519</v>
      </c>
    </row>
    <row r="308" spans="1:20" x14ac:dyDescent="0.25">
      <c r="A308" s="5">
        <v>44285</v>
      </c>
      <c r="B308">
        <v>1.5430999999999999</v>
      </c>
      <c r="C308">
        <v>1.5691999999999999</v>
      </c>
      <c r="D308">
        <v>1.4709000000000001</v>
      </c>
      <c r="E308">
        <v>1.5105999999999999</v>
      </c>
      <c r="F308">
        <v>10842577.289999999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-0.1922685656154646</v>
      </c>
      <c r="Q308">
        <f t="shared" si="965"/>
        <v>-2084686.7831231111</v>
      </c>
      <c r="R308">
        <f t="shared" si="966"/>
        <v>144326408.1635446</v>
      </c>
      <c r="S308">
        <f t="shared" si="967"/>
        <v>1443.264081635446</v>
      </c>
      <c r="T308">
        <f t="shared" si="968"/>
        <v>1.4432640816354461</v>
      </c>
    </row>
    <row r="309" spans="1:20" x14ac:dyDescent="0.25">
      <c r="A309" s="5">
        <v>44284</v>
      </c>
      <c r="B309">
        <v>1.4383999999999999</v>
      </c>
      <c r="C309">
        <v>1.5559000000000001</v>
      </c>
      <c r="D309">
        <v>1.4259999999999999</v>
      </c>
      <c r="E309">
        <v>1.5414000000000001</v>
      </c>
      <c r="F309">
        <v>13243754.890000001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0.77675134719014716</v>
      </c>
      <c r="Q309">
        <f t="shared" si="965"/>
        <v>10287104.4526636</v>
      </c>
      <c r="R309">
        <f t="shared" si="966"/>
        <v>146411094.9466677</v>
      </c>
      <c r="S309">
        <f t="shared" si="967"/>
        <v>1464.1109494666771</v>
      </c>
      <c r="T309">
        <f t="shared" si="968"/>
        <v>1.4641109494666771</v>
      </c>
    </row>
    <row r="310" spans="1:20" x14ac:dyDescent="0.25">
      <c r="A310" s="5">
        <v>44283</v>
      </c>
      <c r="B310">
        <v>1.3694</v>
      </c>
      <c r="C310">
        <v>1.4837</v>
      </c>
      <c r="D310">
        <v>1.3651</v>
      </c>
      <c r="E310">
        <v>1.4383999999999999</v>
      </c>
      <c r="F310">
        <v>13588736.470000001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0.23608768971332036</v>
      </c>
      <c r="Q310">
        <f t="shared" si="965"/>
        <v>3208133.3993254406</v>
      </c>
      <c r="R310">
        <f t="shared" si="966"/>
        <v>136123990.4940041</v>
      </c>
      <c r="S310">
        <f t="shared" si="967"/>
        <v>1361.239904940041</v>
      </c>
      <c r="T310">
        <f t="shared" si="968"/>
        <v>1.361239904940041</v>
      </c>
    </row>
    <row r="311" spans="1:20" x14ac:dyDescent="0.25">
      <c r="A311" s="5">
        <v>44282</v>
      </c>
      <c r="B311">
        <v>1.4054</v>
      </c>
      <c r="C311">
        <v>1.4265000000000001</v>
      </c>
      <c r="D311">
        <v>1.3385</v>
      </c>
      <c r="E311">
        <v>1.3693</v>
      </c>
      <c r="F311">
        <v>9642821.3800000008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-0.30000000000000204</v>
      </c>
      <c r="Q311">
        <f t="shared" si="965"/>
        <v>-2892846.4140000199</v>
      </c>
      <c r="R311">
        <f t="shared" si="966"/>
        <v>132915857.09467866</v>
      </c>
      <c r="S311">
        <f t="shared" si="967"/>
        <v>1329.1585709467865</v>
      </c>
      <c r="T311">
        <f t="shared" si="968"/>
        <v>1.3291585709467866</v>
      </c>
    </row>
    <row r="312" spans="1:20" x14ac:dyDescent="0.25">
      <c r="A312" s="5">
        <v>44281</v>
      </c>
      <c r="B312">
        <v>1.2036</v>
      </c>
      <c r="C312">
        <v>1.4499</v>
      </c>
      <c r="D312">
        <v>1.2025999999999999</v>
      </c>
      <c r="E312">
        <v>1.4039999999999999</v>
      </c>
      <c r="F312">
        <v>18153065.59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0.62879094217549503</v>
      </c>
      <c r="Q312">
        <f t="shared" si="965"/>
        <v>11414483.215709658</v>
      </c>
      <c r="R312">
        <f t="shared" si="966"/>
        <v>135808703.50867867</v>
      </c>
      <c r="S312">
        <f t="shared" si="967"/>
        <v>1358.0870350867867</v>
      </c>
      <c r="T312">
        <f t="shared" si="968"/>
        <v>1.3580870350867866</v>
      </c>
    </row>
    <row r="313" spans="1:20" x14ac:dyDescent="0.25">
      <c r="A313" s="5">
        <v>44280</v>
      </c>
      <c r="B313">
        <v>1.2461</v>
      </c>
      <c r="C313">
        <v>1.2897000000000001</v>
      </c>
      <c r="D313">
        <v>1.1584000000000001</v>
      </c>
      <c r="E313">
        <v>1.2030000000000001</v>
      </c>
      <c r="F313">
        <v>17860937.300000001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-0.32063975628332092</v>
      </c>
      <c r="Q313">
        <f t="shared" si="965"/>
        <v>-5726926.5828636764</v>
      </c>
      <c r="R313">
        <f t="shared" si="966"/>
        <v>124394220.29296902</v>
      </c>
      <c r="S313">
        <f t="shared" si="967"/>
        <v>1243.9422029296902</v>
      </c>
      <c r="T313">
        <f t="shared" si="968"/>
        <v>1.2439422029296903</v>
      </c>
    </row>
    <row r="314" spans="1:20" x14ac:dyDescent="0.25">
      <c r="A314" s="5">
        <v>44279</v>
      </c>
      <c r="B314">
        <v>1.3927</v>
      </c>
      <c r="C314">
        <v>1.4994000000000001</v>
      </c>
      <c r="D314">
        <v>1.2146999999999999</v>
      </c>
      <c r="E314">
        <v>1.248</v>
      </c>
      <c r="F314">
        <v>17321117.620000001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-0.76606954689146411</v>
      </c>
      <c r="Q314">
        <f t="shared" si="965"/>
        <v>-13269180.726807157</v>
      </c>
      <c r="R314">
        <f t="shared" si="966"/>
        <v>130121146.87583269</v>
      </c>
      <c r="S314">
        <f t="shared" si="967"/>
        <v>1301.2114687583269</v>
      </c>
      <c r="T314">
        <f t="shared" si="968"/>
        <v>1.3012114687583269</v>
      </c>
    </row>
    <row r="315" spans="1:20" x14ac:dyDescent="0.25">
      <c r="A315" s="5">
        <v>44278</v>
      </c>
      <c r="B315">
        <v>1.4435</v>
      </c>
      <c r="C315">
        <v>1.4965999999999999</v>
      </c>
      <c r="D315">
        <v>1.3851</v>
      </c>
      <c r="E315">
        <v>1.3919999999999999</v>
      </c>
      <c r="F315">
        <v>14299922.5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-0.87623318385650384</v>
      </c>
      <c r="Q315">
        <f t="shared" si="965"/>
        <v>-12530066.621076256</v>
      </c>
      <c r="R315">
        <f t="shared" si="966"/>
        <v>143390327.60263985</v>
      </c>
      <c r="S315">
        <f t="shared" si="967"/>
        <v>1433.9032760263985</v>
      </c>
      <c r="T315">
        <f t="shared" si="968"/>
        <v>1.4339032760263986</v>
      </c>
    </row>
    <row r="316" spans="1:20" x14ac:dyDescent="0.25">
      <c r="A316" s="5">
        <v>44277</v>
      </c>
      <c r="B316">
        <v>1.6055999999999999</v>
      </c>
      <c r="C316">
        <v>1.7</v>
      </c>
      <c r="D316">
        <v>1.4232</v>
      </c>
      <c r="E316">
        <v>1.4410000000000001</v>
      </c>
      <c r="F316">
        <v>26272382.100000001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-0.87138728323699388</v>
      </c>
      <c r="Q316">
        <f t="shared" si="965"/>
        <v>-22893419.662283231</v>
      </c>
      <c r="R316">
        <f t="shared" si="966"/>
        <v>155920394.22371611</v>
      </c>
      <c r="S316">
        <f t="shared" si="967"/>
        <v>1559.2039422371611</v>
      </c>
      <c r="T316">
        <f t="shared" si="968"/>
        <v>1.5592039422371611</v>
      </c>
    </row>
    <row r="317" spans="1:20" x14ac:dyDescent="0.25">
      <c r="A317" s="5">
        <v>44276</v>
      </c>
      <c r="B317">
        <v>1.472</v>
      </c>
      <c r="C317">
        <v>1.64</v>
      </c>
      <c r="D317">
        <v>1.4482999999999999</v>
      </c>
      <c r="E317">
        <v>1.6053999999999999</v>
      </c>
      <c r="F317">
        <v>14232396.699999999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0.63901930099113236</v>
      </c>
      <c r="Q317">
        <f t="shared" si="965"/>
        <v>9094776.1906624977</v>
      </c>
      <c r="R317">
        <f t="shared" si="966"/>
        <v>178813813.88599935</v>
      </c>
      <c r="S317">
        <f t="shared" si="967"/>
        <v>1788.1381388599934</v>
      </c>
      <c r="T317">
        <f t="shared" si="968"/>
        <v>1.7881381388599935</v>
      </c>
    </row>
    <row r="318" spans="1:20" x14ac:dyDescent="0.25">
      <c r="A318" s="5">
        <v>44275</v>
      </c>
      <c r="B318">
        <v>1.5247999999999999</v>
      </c>
      <c r="C318">
        <v>1.6307</v>
      </c>
      <c r="D318">
        <v>1.4702</v>
      </c>
      <c r="E318">
        <v>1.4722999999999999</v>
      </c>
      <c r="F318">
        <v>18714959.780000001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-0.97383177570093471</v>
      </c>
      <c r="Q318">
        <f t="shared" si="965"/>
        <v>-18225222.514728975</v>
      </c>
      <c r="R318">
        <f t="shared" si="966"/>
        <v>169719037.69533685</v>
      </c>
      <c r="S318">
        <f t="shared" si="967"/>
        <v>1697.1903769533685</v>
      </c>
      <c r="T318">
        <f t="shared" si="968"/>
        <v>1.6971903769533685</v>
      </c>
    </row>
    <row r="319" spans="1:20" x14ac:dyDescent="0.25">
      <c r="A319" s="5">
        <v>44274</v>
      </c>
      <c r="B319">
        <v>1.4217</v>
      </c>
      <c r="C319">
        <v>1.5422</v>
      </c>
      <c r="D319">
        <v>1.3723000000000001</v>
      </c>
      <c r="E319">
        <v>1.5274000000000001</v>
      </c>
      <c r="F319">
        <v>13153617.65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0.8257798705120668</v>
      </c>
      <c r="Q319">
        <f t="shared" si="965"/>
        <v>10861992.679782236</v>
      </c>
      <c r="R319">
        <f t="shared" si="966"/>
        <v>187944260.21006581</v>
      </c>
      <c r="S319">
        <f t="shared" si="967"/>
        <v>1879.4426021006582</v>
      </c>
      <c r="T319">
        <f t="shared" si="968"/>
        <v>1.8794426021006583</v>
      </c>
    </row>
    <row r="320" spans="1:20" x14ac:dyDescent="0.25">
      <c r="A320" s="5">
        <v>44273</v>
      </c>
      <c r="B320">
        <v>1.4329000000000001</v>
      </c>
      <c r="C320">
        <v>1.4930000000000001</v>
      </c>
      <c r="D320">
        <v>1.4003000000000001</v>
      </c>
      <c r="E320">
        <v>1.4215</v>
      </c>
      <c r="F320">
        <v>13117262.310000001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-0.54261057173678784</v>
      </c>
      <c r="Q320">
        <f t="shared" si="965"/>
        <v>-7117565.2016505189</v>
      </c>
      <c r="R320">
        <f t="shared" si="966"/>
        <v>177082267.53028357</v>
      </c>
      <c r="S320">
        <f t="shared" si="967"/>
        <v>1770.8226753028357</v>
      </c>
      <c r="T320">
        <f t="shared" si="968"/>
        <v>1.7708226753028358</v>
      </c>
    </row>
    <row r="321" spans="1:20" x14ac:dyDescent="0.25">
      <c r="A321" s="5">
        <v>44272</v>
      </c>
      <c r="B321">
        <v>1.4209000000000001</v>
      </c>
      <c r="C321">
        <v>1.4575</v>
      </c>
      <c r="D321">
        <v>1.34</v>
      </c>
      <c r="E321">
        <v>1.4329000000000001</v>
      </c>
      <c r="F321">
        <v>14573550.060000001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0.58127659574468138</v>
      </c>
      <c r="Q321">
        <f t="shared" si="965"/>
        <v>8471263.5667914972</v>
      </c>
      <c r="R321">
        <f t="shared" si="966"/>
        <v>184199832.7319341</v>
      </c>
      <c r="S321">
        <f t="shared" si="967"/>
        <v>1841.9983273193411</v>
      </c>
      <c r="T321">
        <f t="shared" si="968"/>
        <v>1.8419983273193412</v>
      </c>
    </row>
    <row r="322" spans="1:20" x14ac:dyDescent="0.25">
      <c r="A322" s="5">
        <v>44271</v>
      </c>
      <c r="B322">
        <v>1.4393</v>
      </c>
      <c r="C322">
        <v>1.4689000000000001</v>
      </c>
      <c r="D322">
        <v>1.3519000000000001</v>
      </c>
      <c r="E322">
        <v>1.4187000000000001</v>
      </c>
      <c r="F322">
        <v>16806606.420000002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0.14188034188034143</v>
      </c>
      <c r="Q322">
        <f t="shared" si="965"/>
        <v>2384527.0647179415</v>
      </c>
      <c r="R322">
        <f t="shared" si="966"/>
        <v>175728569.1651426</v>
      </c>
      <c r="S322">
        <f t="shared" si="967"/>
        <v>1757.2856916514259</v>
      </c>
      <c r="T322">
        <f t="shared" si="968"/>
        <v>1.7572856916514259</v>
      </c>
    </row>
    <row r="323" spans="1:20" x14ac:dyDescent="0.25">
      <c r="A323" s="5">
        <v>44270</v>
      </c>
      <c r="B323">
        <v>1.4797</v>
      </c>
      <c r="C323">
        <v>1.6106</v>
      </c>
      <c r="D323">
        <v>1.3826000000000001</v>
      </c>
      <c r="E323">
        <v>1.4390000000000001</v>
      </c>
      <c r="F323">
        <v>32240983.309999999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-0.50526315789473675</v>
      </c>
      <c r="Q323">
        <f t="shared" si="965"/>
        <v>-16290181.040842101</v>
      </c>
      <c r="R323">
        <f t="shared" si="966"/>
        <v>173344042.10042465</v>
      </c>
      <c r="S323">
        <f t="shared" si="967"/>
        <v>1733.4404210042464</v>
      </c>
      <c r="T323">
        <f t="shared" si="968"/>
        <v>1.7334404210042464</v>
      </c>
    </row>
    <row r="324" spans="1:20" x14ac:dyDescent="0.25">
      <c r="A324" s="5">
        <v>44269</v>
      </c>
      <c r="B324">
        <v>1.4286000000000001</v>
      </c>
      <c r="C324">
        <v>1.6148</v>
      </c>
      <c r="D324">
        <v>1.375</v>
      </c>
      <c r="E324">
        <v>1.4803999999999999</v>
      </c>
      <c r="F324">
        <v>34023624.299999997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-0.1209341117598004</v>
      </c>
      <c r="Q324">
        <f t="shared" si="965"/>
        <v>-4114616.7835696605</v>
      </c>
      <c r="R324">
        <f t="shared" si="966"/>
        <v>189634223.14126676</v>
      </c>
      <c r="S324">
        <f t="shared" si="967"/>
        <v>1896.3422314126676</v>
      </c>
      <c r="T324">
        <f t="shared" si="968"/>
        <v>1.8963422314126677</v>
      </c>
    </row>
    <row r="325" spans="1:20" x14ac:dyDescent="0.25">
      <c r="A325" s="5">
        <v>44268</v>
      </c>
      <c r="B325">
        <v>1.3731</v>
      </c>
      <c r="C325">
        <v>1.4390000000000001</v>
      </c>
      <c r="D325">
        <v>1.306</v>
      </c>
      <c r="E325">
        <v>1.4294</v>
      </c>
      <c r="F325">
        <v>26091895.359999999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0.85563909774436009</v>
      </c>
      <c r="Q325">
        <f t="shared" si="965"/>
        <v>22325245.804270655</v>
      </c>
      <c r="R325">
        <f t="shared" si="966"/>
        <v>193748839.92483643</v>
      </c>
      <c r="S325">
        <f t="shared" si="967"/>
        <v>1937.4883992483642</v>
      </c>
      <c r="T325">
        <f t="shared" si="968"/>
        <v>1.9374883992483642</v>
      </c>
    </row>
    <row r="326" spans="1:20" x14ac:dyDescent="0.25">
      <c r="A326" s="5">
        <v>44267</v>
      </c>
      <c r="B326">
        <v>1.3494999999999999</v>
      </c>
      <c r="C326">
        <v>1.5169999999999999</v>
      </c>
      <c r="D326">
        <v>1.3173999999999999</v>
      </c>
      <c r="E326">
        <v>1.3732</v>
      </c>
      <c r="F326">
        <v>42552041.350000001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-0.44088176352705338</v>
      </c>
      <c r="Q326">
        <f t="shared" ref="Q326:Q389" si="970">F326*P326</f>
        <v>-18760419.032064099</v>
      </c>
      <c r="R326">
        <f t="shared" ref="R326:R389" si="971">R327+Q326</f>
        <v>171423594.12056577</v>
      </c>
      <c r="S326">
        <f t="shared" ref="S326:S389" si="972">R326/100000</f>
        <v>1714.2359412056578</v>
      </c>
      <c r="T326">
        <f t="shared" ref="T326:T389" si="973">S326/1000</f>
        <v>1.7142359412056578</v>
      </c>
    </row>
    <row r="327" spans="1:20" x14ac:dyDescent="0.25">
      <c r="A327" s="5">
        <v>44266</v>
      </c>
      <c r="B327">
        <v>1.3566</v>
      </c>
      <c r="C327">
        <v>1.399</v>
      </c>
      <c r="D327">
        <v>1.2749999999999999</v>
      </c>
      <c r="E327">
        <v>1.3485</v>
      </c>
      <c r="F327">
        <v>39657319.289999999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0.18548387096774283</v>
      </c>
      <c r="Q327">
        <f t="shared" si="970"/>
        <v>7355793.0941129383</v>
      </c>
      <c r="R327">
        <f t="shared" si="971"/>
        <v>190184013.15262988</v>
      </c>
      <c r="S327">
        <f t="shared" si="972"/>
        <v>1901.8401315262988</v>
      </c>
      <c r="T327">
        <f t="shared" si="973"/>
        <v>1.9018401315262987</v>
      </c>
    </row>
    <row r="328" spans="1:20" x14ac:dyDescent="0.25">
      <c r="A328" s="5">
        <v>44265</v>
      </c>
      <c r="B328">
        <v>1.4670000000000001</v>
      </c>
      <c r="C328">
        <v>1.5586</v>
      </c>
      <c r="D328">
        <v>1.3027</v>
      </c>
      <c r="E328">
        <v>1.3580000000000001</v>
      </c>
      <c r="F328">
        <v>26756088.039999999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-0.56779992184446948</v>
      </c>
      <c r="Q328">
        <f t="shared" si="970"/>
        <v>-15192104.697975744</v>
      </c>
      <c r="R328">
        <f t="shared" si="971"/>
        <v>182828220.05851695</v>
      </c>
      <c r="S328">
        <f t="shared" si="972"/>
        <v>1828.2822005851694</v>
      </c>
      <c r="T328">
        <f t="shared" si="973"/>
        <v>1.8282822005851695</v>
      </c>
    </row>
    <row r="329" spans="1:20" x14ac:dyDescent="0.25">
      <c r="A329" s="5">
        <v>44264</v>
      </c>
      <c r="B329">
        <v>1.4644999999999999</v>
      </c>
      <c r="C329">
        <v>1.5278</v>
      </c>
      <c r="D329">
        <v>1.3738999999999999</v>
      </c>
      <c r="E329">
        <v>1.4669000000000001</v>
      </c>
      <c r="F329">
        <v>30891384.039999999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0.20857699805068361</v>
      </c>
      <c r="Q329">
        <f t="shared" si="970"/>
        <v>6443232.1486939983</v>
      </c>
      <c r="R329">
        <f t="shared" si="971"/>
        <v>198020324.7564927</v>
      </c>
      <c r="S329">
        <f t="shared" si="972"/>
        <v>1980.2032475649271</v>
      </c>
      <c r="T329">
        <f t="shared" si="973"/>
        <v>1.9802032475649272</v>
      </c>
    </row>
    <row r="330" spans="1:20" x14ac:dyDescent="0.25">
      <c r="A330" s="5">
        <v>44263</v>
      </c>
      <c r="B330">
        <v>1.4977</v>
      </c>
      <c r="C330">
        <v>1.5066999999999999</v>
      </c>
      <c r="D330">
        <v>1.3761000000000001</v>
      </c>
      <c r="E330">
        <v>1.4654</v>
      </c>
      <c r="F330">
        <v>32156389.350000001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0.36753445635528414</v>
      </c>
      <c r="Q330">
        <f t="shared" si="970"/>
        <v>11818581.078101099</v>
      </c>
      <c r="R330">
        <f t="shared" si="971"/>
        <v>191577092.6077987</v>
      </c>
      <c r="S330">
        <f t="shared" si="972"/>
        <v>1915.770926077987</v>
      </c>
      <c r="T330">
        <f t="shared" si="973"/>
        <v>1.9157709260779869</v>
      </c>
    </row>
    <row r="331" spans="1:20" x14ac:dyDescent="0.25">
      <c r="A331" s="5">
        <v>44262</v>
      </c>
      <c r="B331">
        <v>1.3142</v>
      </c>
      <c r="C331">
        <v>1.6838</v>
      </c>
      <c r="D331">
        <v>1.3139000000000001</v>
      </c>
      <c r="E331">
        <v>1.4984999999999999</v>
      </c>
      <c r="F331">
        <v>100172126.42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-1.8924033522577592E-3</v>
      </c>
      <c r="Q331">
        <f t="shared" si="970"/>
        <v>-189566.06783999605</v>
      </c>
      <c r="R331">
        <f t="shared" si="971"/>
        <v>179758511.5296976</v>
      </c>
      <c r="S331">
        <f t="shared" si="972"/>
        <v>1797.585115296976</v>
      </c>
      <c r="T331">
        <f t="shared" si="973"/>
        <v>1.797585115296976</v>
      </c>
    </row>
    <row r="332" spans="1:20" x14ac:dyDescent="0.25">
      <c r="A332" s="5">
        <v>44261</v>
      </c>
      <c r="B332">
        <v>1.0959000000000001</v>
      </c>
      <c r="C332">
        <v>1.3257000000000001</v>
      </c>
      <c r="D332">
        <v>1.0650999999999999</v>
      </c>
      <c r="E332">
        <v>1.3137000000000001</v>
      </c>
      <c r="F332">
        <v>23205095.239999998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0.9079048349961627</v>
      </c>
      <c r="Q332">
        <f t="shared" si="970"/>
        <v>21068018.16494244</v>
      </c>
      <c r="R332">
        <f t="shared" si="971"/>
        <v>179948077.59753761</v>
      </c>
      <c r="S332">
        <f t="shared" si="972"/>
        <v>1799.480775975376</v>
      </c>
      <c r="T332">
        <f t="shared" si="973"/>
        <v>1.7994807759753759</v>
      </c>
    </row>
    <row r="333" spans="1:20" x14ac:dyDescent="0.25">
      <c r="A333" s="5">
        <v>44260</v>
      </c>
      <c r="B333">
        <v>1.0887</v>
      </c>
      <c r="C333">
        <v>1.1599999999999999</v>
      </c>
      <c r="D333">
        <v>1.0183</v>
      </c>
      <c r="E333">
        <v>1.0969</v>
      </c>
      <c r="F333">
        <v>22196883.850000001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0.10938602681722001</v>
      </c>
      <c r="Q333">
        <f t="shared" si="970"/>
        <v>2428028.9320748178</v>
      </c>
      <c r="R333">
        <f t="shared" si="971"/>
        <v>158880059.43259516</v>
      </c>
      <c r="S333">
        <f t="shared" si="972"/>
        <v>1588.8005943259516</v>
      </c>
      <c r="T333">
        <f t="shared" si="973"/>
        <v>1.5888005943259516</v>
      </c>
    </row>
    <row r="334" spans="1:20" x14ac:dyDescent="0.25">
      <c r="A334" s="5">
        <v>44259</v>
      </c>
      <c r="B334">
        <v>1.0908</v>
      </c>
      <c r="C334">
        <v>1.1278999999999999</v>
      </c>
      <c r="D334">
        <v>1.0155000000000001</v>
      </c>
      <c r="E334">
        <v>1.0876999999999999</v>
      </c>
      <c r="F334">
        <v>18323641.09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0.28469750889679585</v>
      </c>
      <c r="Q334">
        <f t="shared" si="970"/>
        <v>5216694.9722419688</v>
      </c>
      <c r="R334">
        <f t="shared" si="971"/>
        <v>156452030.50052035</v>
      </c>
      <c r="S334">
        <f t="shared" si="972"/>
        <v>1564.5203050052035</v>
      </c>
      <c r="T334">
        <f t="shared" si="973"/>
        <v>1.5645203050052034</v>
      </c>
    </row>
    <row r="335" spans="1:20" x14ac:dyDescent="0.25">
      <c r="A335" s="5">
        <v>44258</v>
      </c>
      <c r="B335">
        <v>1.0734999999999999</v>
      </c>
      <c r="C335">
        <v>1.1913</v>
      </c>
      <c r="D335">
        <v>1.0583</v>
      </c>
      <c r="E335">
        <v>1.0911</v>
      </c>
      <c r="F335">
        <v>40022303.140000001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-0.50676691729323398</v>
      </c>
      <c r="Q335">
        <f t="shared" si="970"/>
        <v>-20281979.18523312</v>
      </c>
      <c r="R335">
        <f t="shared" si="971"/>
        <v>151235335.52827838</v>
      </c>
      <c r="S335">
        <f t="shared" si="972"/>
        <v>1512.3533552827837</v>
      </c>
      <c r="T335">
        <f t="shared" si="973"/>
        <v>1.5123533552827837</v>
      </c>
    </row>
    <row r="336" spans="1:20" x14ac:dyDescent="0.25">
      <c r="A336" s="5">
        <v>44257</v>
      </c>
      <c r="B336">
        <v>0.94810000000000005</v>
      </c>
      <c r="C336">
        <v>1.0834999999999999</v>
      </c>
      <c r="D336">
        <v>0.89200000000000002</v>
      </c>
      <c r="E336">
        <v>1.0718000000000001</v>
      </c>
      <c r="F336">
        <v>28484770.43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0.87780678851175109</v>
      </c>
      <c r="Q336">
        <f t="shared" si="970"/>
        <v>25004124.852652792</v>
      </c>
      <c r="R336">
        <f t="shared" si="971"/>
        <v>171517314.7135115</v>
      </c>
      <c r="S336">
        <f t="shared" si="972"/>
        <v>1715.173147135115</v>
      </c>
      <c r="T336">
        <f t="shared" si="973"/>
        <v>1.715173147135115</v>
      </c>
    </row>
    <row r="337" spans="1:20" x14ac:dyDescent="0.25">
      <c r="A337" s="5">
        <v>44256</v>
      </c>
      <c r="B337">
        <v>0.84040000000000004</v>
      </c>
      <c r="C337">
        <v>0.95050000000000001</v>
      </c>
      <c r="D337">
        <v>0.83509999999999995</v>
      </c>
      <c r="E337">
        <v>0.9486</v>
      </c>
      <c r="F337">
        <v>11824270.949999999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0.96707105719237418</v>
      </c>
      <c r="Q337">
        <f t="shared" si="970"/>
        <v>11434910.208145577</v>
      </c>
      <c r="R337">
        <f t="shared" si="971"/>
        <v>146513189.86085871</v>
      </c>
      <c r="S337">
        <f t="shared" si="972"/>
        <v>1465.1318986085871</v>
      </c>
      <c r="T337">
        <f t="shared" si="973"/>
        <v>1.4651318986085871</v>
      </c>
    </row>
    <row r="338" spans="1:20" x14ac:dyDescent="0.25">
      <c r="A338" s="5">
        <v>44255</v>
      </c>
      <c r="B338">
        <v>0.89270000000000005</v>
      </c>
      <c r="C338">
        <v>0.92989999999999995</v>
      </c>
      <c r="D338">
        <v>0.78500000000000003</v>
      </c>
      <c r="E338">
        <v>0.84</v>
      </c>
      <c r="F338">
        <v>15289625.890000001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-0.24085576259489347</v>
      </c>
      <c r="Q338">
        <f t="shared" si="970"/>
        <v>-3682594.5035265768</v>
      </c>
      <c r="R338">
        <f t="shared" si="971"/>
        <v>135078279.65271312</v>
      </c>
      <c r="S338">
        <f t="shared" si="972"/>
        <v>1350.7827965271313</v>
      </c>
      <c r="T338">
        <f t="shared" si="973"/>
        <v>1.3507827965271313</v>
      </c>
    </row>
    <row r="339" spans="1:20" x14ac:dyDescent="0.25">
      <c r="A339" s="5">
        <v>44254</v>
      </c>
      <c r="B339">
        <v>0.84130000000000005</v>
      </c>
      <c r="C339">
        <v>0.96</v>
      </c>
      <c r="D339">
        <v>0.8387</v>
      </c>
      <c r="E339">
        <v>0.89180000000000004</v>
      </c>
      <c r="F339">
        <v>16072117.99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-0.12448474855729511</v>
      </c>
      <c r="Q339">
        <f t="shared" si="970"/>
        <v>-2000733.5667683291</v>
      </c>
      <c r="R339">
        <f t="shared" si="971"/>
        <v>138760874.15623969</v>
      </c>
      <c r="S339">
        <f t="shared" si="972"/>
        <v>1387.608741562397</v>
      </c>
      <c r="T339">
        <f t="shared" si="973"/>
        <v>1.387608741562397</v>
      </c>
    </row>
    <row r="340" spans="1:20" x14ac:dyDescent="0.25">
      <c r="A340" s="5">
        <v>44253</v>
      </c>
      <c r="B340">
        <v>0.85419999999999996</v>
      </c>
      <c r="C340">
        <v>0.88939999999999997</v>
      </c>
      <c r="D340">
        <v>0.77869999999999995</v>
      </c>
      <c r="E340">
        <v>0.84160000000000001</v>
      </c>
      <c r="F340">
        <v>16478983.390000001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0.13640469738030814</v>
      </c>
      <c r="Q340">
        <f t="shared" si="970"/>
        <v>2247810.7424480743</v>
      </c>
      <c r="R340">
        <f t="shared" si="971"/>
        <v>140761607.72300801</v>
      </c>
      <c r="S340">
        <f t="shared" si="972"/>
        <v>1407.61607723008</v>
      </c>
      <c r="T340">
        <f t="shared" si="973"/>
        <v>1.4076160772300801</v>
      </c>
    </row>
    <row r="341" spans="1:20" x14ac:dyDescent="0.25">
      <c r="A341" s="5">
        <v>44252</v>
      </c>
      <c r="B341">
        <v>0.92810000000000004</v>
      </c>
      <c r="C341">
        <v>0.98</v>
      </c>
      <c r="D341">
        <v>0.84079999999999999</v>
      </c>
      <c r="E341">
        <v>0.85350000000000004</v>
      </c>
      <c r="F341">
        <v>15601736.85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-0.8175287356321832</v>
      </c>
      <c r="Q341">
        <f t="shared" si="970"/>
        <v>-12754868.20064654</v>
      </c>
      <c r="R341">
        <f t="shared" si="971"/>
        <v>138513796.98055995</v>
      </c>
      <c r="S341">
        <f t="shared" si="972"/>
        <v>1385.1379698055994</v>
      </c>
      <c r="T341">
        <f t="shared" si="973"/>
        <v>1.3851379698055994</v>
      </c>
    </row>
    <row r="342" spans="1:20" x14ac:dyDescent="0.25">
      <c r="A342" s="5">
        <v>44251</v>
      </c>
      <c r="B342">
        <v>0.91220000000000001</v>
      </c>
      <c r="C342">
        <v>1.0166999999999999</v>
      </c>
      <c r="D342">
        <v>0.86829999999999996</v>
      </c>
      <c r="E342">
        <v>0.92810000000000004</v>
      </c>
      <c r="F342">
        <v>21436530.91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-0.19407008086253255</v>
      </c>
      <c r="Q342">
        <f t="shared" si="970"/>
        <v>-4160189.2871158784</v>
      </c>
      <c r="R342">
        <f t="shared" si="971"/>
        <v>151268665.18120649</v>
      </c>
      <c r="S342">
        <f t="shared" si="972"/>
        <v>1512.6866518120648</v>
      </c>
      <c r="T342">
        <f t="shared" si="973"/>
        <v>1.5126866518120647</v>
      </c>
    </row>
    <row r="343" spans="1:20" x14ac:dyDescent="0.25">
      <c r="A343" s="5">
        <v>44250</v>
      </c>
      <c r="B343">
        <v>1.1028</v>
      </c>
      <c r="C343">
        <v>1.1145</v>
      </c>
      <c r="D343">
        <v>0.77910000000000001</v>
      </c>
      <c r="E343">
        <v>0.91290000000000004</v>
      </c>
      <c r="F343">
        <v>40147100.670000002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-0.20214669051878345</v>
      </c>
      <c r="Q343">
        <f t="shared" si="970"/>
        <v>-8115603.5343649341</v>
      </c>
      <c r="R343">
        <f t="shared" si="971"/>
        <v>155428854.46832237</v>
      </c>
      <c r="S343">
        <f t="shared" si="972"/>
        <v>1554.2885446832236</v>
      </c>
      <c r="T343">
        <f t="shared" si="973"/>
        <v>1.5542885446832235</v>
      </c>
    </row>
    <row r="344" spans="1:20" x14ac:dyDescent="0.25">
      <c r="A344" s="5">
        <v>44249</v>
      </c>
      <c r="B344">
        <v>1.2523</v>
      </c>
      <c r="C344">
        <v>1.2883</v>
      </c>
      <c r="D344">
        <v>0.95</v>
      </c>
      <c r="E344">
        <v>1.1001000000000001</v>
      </c>
      <c r="F344">
        <v>36304558.039999999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-0.1126219331953881</v>
      </c>
      <c r="Q344">
        <f t="shared" si="970"/>
        <v>-4088689.5102689699</v>
      </c>
      <c r="R344">
        <f t="shared" si="971"/>
        <v>163544458.00268731</v>
      </c>
      <c r="S344">
        <f t="shared" si="972"/>
        <v>1635.4445800268732</v>
      </c>
      <c r="T344">
        <f t="shared" si="973"/>
        <v>1.6354445800268731</v>
      </c>
    </row>
    <row r="345" spans="1:20" x14ac:dyDescent="0.25">
      <c r="A345" s="5">
        <v>44248</v>
      </c>
      <c r="B345">
        <v>1.1388</v>
      </c>
      <c r="C345">
        <v>1.3395999999999999</v>
      </c>
      <c r="D345">
        <v>1.1072</v>
      </c>
      <c r="E345">
        <v>1.2517</v>
      </c>
      <c r="F345">
        <v>33532080.890000001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0.24354561101549149</v>
      </c>
      <c r="Q345">
        <f t="shared" si="970"/>
        <v>8166591.1289759362</v>
      </c>
      <c r="R345">
        <f t="shared" si="971"/>
        <v>167633147.51295626</v>
      </c>
      <c r="S345">
        <f t="shared" si="972"/>
        <v>1676.3314751295627</v>
      </c>
      <c r="T345">
        <f t="shared" si="973"/>
        <v>1.6763314751295626</v>
      </c>
    </row>
    <row r="346" spans="1:20" x14ac:dyDescent="0.25">
      <c r="A346" s="5">
        <v>44247</v>
      </c>
      <c r="B346">
        <v>1.1060000000000001</v>
      </c>
      <c r="C346">
        <v>1.2467999999999999</v>
      </c>
      <c r="D346">
        <v>1.0682</v>
      </c>
      <c r="E346">
        <v>1.1413</v>
      </c>
      <c r="F346">
        <v>30152933.600000001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-0.18141097424412098</v>
      </c>
      <c r="Q346">
        <f t="shared" si="970"/>
        <v>-5470073.0606942903</v>
      </c>
      <c r="R346">
        <f t="shared" si="971"/>
        <v>159466556.38398033</v>
      </c>
      <c r="S346">
        <f t="shared" si="972"/>
        <v>1594.6655638398033</v>
      </c>
      <c r="T346">
        <f t="shared" si="973"/>
        <v>1.5946655638398033</v>
      </c>
    </row>
    <row r="347" spans="1:20" x14ac:dyDescent="0.25">
      <c r="A347" s="5">
        <v>44246</v>
      </c>
      <c r="B347">
        <v>1.1765000000000001</v>
      </c>
      <c r="C347">
        <v>1.1996</v>
      </c>
      <c r="D347">
        <v>1.0782</v>
      </c>
      <c r="E347">
        <v>1.1045</v>
      </c>
      <c r="F347">
        <v>18273450.18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-0.56672158154859964</v>
      </c>
      <c r="Q347">
        <f t="shared" si="970"/>
        <v>-10355958.586359143</v>
      </c>
      <c r="R347">
        <f t="shared" si="971"/>
        <v>164936629.44467461</v>
      </c>
      <c r="S347">
        <f t="shared" si="972"/>
        <v>1649.3662944467462</v>
      </c>
      <c r="T347">
        <f t="shared" si="973"/>
        <v>1.6493662944467462</v>
      </c>
    </row>
    <row r="348" spans="1:20" x14ac:dyDescent="0.25">
      <c r="A348" s="5">
        <v>44245</v>
      </c>
      <c r="B348">
        <v>1.0718000000000001</v>
      </c>
      <c r="C348">
        <v>1.2237</v>
      </c>
      <c r="D348">
        <v>1.0718000000000001</v>
      </c>
      <c r="E348">
        <v>1.175</v>
      </c>
      <c r="F348">
        <v>29993382.620000001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0.3587886767610271</v>
      </c>
      <c r="Q348">
        <f t="shared" si="970"/>
        <v>10761286.061816989</v>
      </c>
      <c r="R348">
        <f t="shared" si="971"/>
        <v>175292588.03103375</v>
      </c>
      <c r="S348">
        <f t="shared" si="972"/>
        <v>1752.9258803103376</v>
      </c>
      <c r="T348">
        <f t="shared" si="973"/>
        <v>1.7529258803103376</v>
      </c>
    </row>
    <row r="349" spans="1:20" x14ac:dyDescent="0.25">
      <c r="A349" s="5">
        <v>44244</v>
      </c>
      <c r="B349">
        <v>1.0363</v>
      </c>
      <c r="C349">
        <v>1.1326000000000001</v>
      </c>
      <c r="D349">
        <v>0.93259999999999998</v>
      </c>
      <c r="E349">
        <v>1.0717000000000001</v>
      </c>
      <c r="F349">
        <v>25802460.73</v>
      </c>
      <c r="G349">
        <v>0</v>
      </c>
      <c r="L349" t="s">
        <v>8</v>
      </c>
      <c r="M349" t="s">
        <v>7</v>
      </c>
      <c r="N349" t="s">
        <v>7</v>
      </c>
      <c r="P349">
        <f t="shared" si="969"/>
        <v>0.39100000000000068</v>
      </c>
      <c r="Q349">
        <f t="shared" si="970"/>
        <v>10088762.145430017</v>
      </c>
      <c r="R349">
        <f t="shared" si="971"/>
        <v>164531301.96921676</v>
      </c>
      <c r="S349">
        <f t="shared" si="972"/>
        <v>1645.3130196921677</v>
      </c>
      <c r="T349">
        <f t="shared" si="973"/>
        <v>1.6453130196921677</v>
      </c>
    </row>
    <row r="350" spans="1:20" x14ac:dyDescent="0.25">
      <c r="A350" s="5">
        <v>44243</v>
      </c>
      <c r="B350">
        <v>0.98509999999999998</v>
      </c>
      <c r="C350">
        <v>1.1080000000000001</v>
      </c>
      <c r="D350">
        <v>0.94310000000000005</v>
      </c>
      <c r="E350">
        <v>1.0361</v>
      </c>
      <c r="F350">
        <v>23703380.120000001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0.1279563371740442</v>
      </c>
      <c r="Q350">
        <f t="shared" si="970"/>
        <v>3032997.6987992562</v>
      </c>
      <c r="R350">
        <f t="shared" si="971"/>
        <v>154442539.82378674</v>
      </c>
      <c r="S350">
        <f t="shared" si="972"/>
        <v>1544.4253982378673</v>
      </c>
      <c r="T350">
        <f t="shared" si="973"/>
        <v>1.5444253982378673</v>
      </c>
    </row>
    <row r="351" spans="1:20" x14ac:dyDescent="0.25">
      <c r="A351" s="5">
        <v>44242</v>
      </c>
      <c r="B351">
        <v>1.0723</v>
      </c>
      <c r="C351">
        <v>1.0906</v>
      </c>
      <c r="D351">
        <v>0.88</v>
      </c>
      <c r="E351">
        <v>0.98219999999999996</v>
      </c>
      <c r="F351">
        <v>40678882.189999998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-2.9439696106363218E-2</v>
      </c>
      <c r="Q351">
        <f t="shared" si="970"/>
        <v>-1197573.9296201509</v>
      </c>
      <c r="R351">
        <f t="shared" si="971"/>
        <v>151409542.12498748</v>
      </c>
      <c r="S351">
        <f t="shared" si="972"/>
        <v>1514.0954212498748</v>
      </c>
      <c r="T351">
        <f t="shared" si="973"/>
        <v>1.5140954212498747</v>
      </c>
    </row>
    <row r="352" spans="1:20" x14ac:dyDescent="0.25">
      <c r="A352" s="5">
        <v>44241</v>
      </c>
      <c r="B352">
        <v>1.1457999999999999</v>
      </c>
      <c r="C352">
        <v>1.1605000000000001</v>
      </c>
      <c r="D352">
        <v>1</v>
      </c>
      <c r="E352">
        <v>1.0723</v>
      </c>
      <c r="F352">
        <v>24854761.73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-9.9065420560747769E-2</v>
      </c>
      <c r="Q352">
        <f t="shared" si="970"/>
        <v>-2462247.4237196287</v>
      </c>
      <c r="R352">
        <f t="shared" si="971"/>
        <v>152607116.05460763</v>
      </c>
      <c r="S352">
        <f t="shared" si="972"/>
        <v>1526.0711605460763</v>
      </c>
      <c r="T352">
        <f t="shared" si="973"/>
        <v>1.5260711605460762</v>
      </c>
    </row>
    <row r="353" spans="1:20" x14ac:dyDescent="0.25">
      <c r="A353" s="5">
        <v>44240</v>
      </c>
      <c r="B353">
        <v>1.1462000000000001</v>
      </c>
      <c r="C353">
        <v>1.2259</v>
      </c>
      <c r="D353">
        <v>1.0482</v>
      </c>
      <c r="E353">
        <v>1.1452</v>
      </c>
      <c r="F353">
        <v>33473420.350000001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9.1727630838491753E-2</v>
      </c>
      <c r="Q353">
        <f t="shared" si="970"/>
        <v>3070437.5447664578</v>
      </c>
      <c r="R353">
        <f t="shared" si="971"/>
        <v>155069363.47832724</v>
      </c>
      <c r="S353">
        <f t="shared" si="972"/>
        <v>1550.6936347832725</v>
      </c>
      <c r="T353">
        <f t="shared" si="973"/>
        <v>1.5506936347832725</v>
      </c>
    </row>
    <row r="354" spans="1:20" x14ac:dyDescent="0.25">
      <c r="A354" s="5">
        <v>44239</v>
      </c>
      <c r="B354">
        <v>1.1084000000000001</v>
      </c>
      <c r="C354">
        <v>1.3879999999999999</v>
      </c>
      <c r="D354">
        <v>1.0907</v>
      </c>
      <c r="E354">
        <v>1.1431</v>
      </c>
      <c r="F354">
        <v>56250142.549999997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-0.64749411368987542</v>
      </c>
      <c r="Q354">
        <f t="shared" si="970"/>
        <v>-36421636.195341393</v>
      </c>
      <c r="R354">
        <f t="shared" si="971"/>
        <v>151998925.93356079</v>
      </c>
      <c r="S354">
        <f t="shared" si="972"/>
        <v>1519.9892593356078</v>
      </c>
      <c r="T354">
        <f t="shared" si="973"/>
        <v>1.5199892593356079</v>
      </c>
    </row>
    <row r="355" spans="1:20" x14ac:dyDescent="0.25">
      <c r="A355" s="5">
        <v>44238</v>
      </c>
      <c r="B355">
        <v>0.9</v>
      </c>
      <c r="C355">
        <v>1.1691</v>
      </c>
      <c r="D355">
        <v>0.86950000000000005</v>
      </c>
      <c r="E355">
        <v>1.1084000000000001</v>
      </c>
      <c r="F355">
        <v>43073338.829999998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0.59479305740987998</v>
      </c>
      <c r="Q355">
        <f t="shared" si="970"/>
        <v>25619722.895547401</v>
      </c>
      <c r="R355">
        <f t="shared" si="971"/>
        <v>188420562.1289022</v>
      </c>
      <c r="S355">
        <f t="shared" si="972"/>
        <v>1884.205621289022</v>
      </c>
      <c r="T355">
        <f t="shared" si="973"/>
        <v>1.8842056212890219</v>
      </c>
    </row>
    <row r="356" spans="1:20" x14ac:dyDescent="0.25">
      <c r="A356" s="5">
        <v>44237</v>
      </c>
      <c r="B356">
        <v>0.8357</v>
      </c>
      <c r="C356">
        <v>0.94369999999999998</v>
      </c>
      <c r="D356">
        <v>0.75270000000000004</v>
      </c>
      <c r="E356">
        <v>0.89939999999999998</v>
      </c>
      <c r="F356">
        <v>33975124.979999997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0.53612565445026161</v>
      </c>
      <c r="Q356">
        <f t="shared" si="970"/>
        <v>18214936.11493193</v>
      </c>
      <c r="R356">
        <f t="shared" si="971"/>
        <v>162800839.23335481</v>
      </c>
      <c r="S356">
        <f t="shared" si="972"/>
        <v>1628.008392333548</v>
      </c>
      <c r="T356">
        <f t="shared" si="973"/>
        <v>1.628008392333548</v>
      </c>
    </row>
    <row r="357" spans="1:20" x14ac:dyDescent="0.25">
      <c r="A357" s="5">
        <v>44236</v>
      </c>
      <c r="B357">
        <v>0.748</v>
      </c>
      <c r="C357">
        <v>0.86560000000000004</v>
      </c>
      <c r="D357">
        <v>0.73029999999999995</v>
      </c>
      <c r="E357">
        <v>0.83609999999999995</v>
      </c>
      <c r="F357">
        <v>30243957.809999999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0.56393200295639223</v>
      </c>
      <c r="Q357">
        <f t="shared" si="970"/>
        <v>17055535.70512192</v>
      </c>
      <c r="R357">
        <f t="shared" si="971"/>
        <v>144585903.11842287</v>
      </c>
      <c r="S357">
        <f t="shared" si="972"/>
        <v>1445.8590311842286</v>
      </c>
      <c r="T357">
        <f t="shared" si="973"/>
        <v>1.4458590311842285</v>
      </c>
    </row>
    <row r="358" spans="1:20" x14ac:dyDescent="0.25">
      <c r="A358" s="5">
        <v>44235</v>
      </c>
      <c r="B358">
        <v>0.70089999999999997</v>
      </c>
      <c r="C358">
        <v>0.79790000000000005</v>
      </c>
      <c r="D358">
        <v>0.69269999999999998</v>
      </c>
      <c r="E358">
        <v>0.74890000000000001</v>
      </c>
      <c r="F358">
        <v>30358872.239999998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6.8441064638783078E-2</v>
      </c>
      <c r="Q358">
        <f t="shared" si="970"/>
        <v>2077793.537338397</v>
      </c>
      <c r="R358">
        <f t="shared" si="971"/>
        <v>127530367.41330093</v>
      </c>
      <c r="S358">
        <f t="shared" si="972"/>
        <v>1275.3036741330093</v>
      </c>
      <c r="T358">
        <f t="shared" si="973"/>
        <v>1.2753036741330093</v>
      </c>
    </row>
    <row r="359" spans="1:20" x14ac:dyDescent="0.25">
      <c r="A359" s="5">
        <v>44234</v>
      </c>
      <c r="B359">
        <v>0.70050000000000001</v>
      </c>
      <c r="C359">
        <v>0.71699999999999997</v>
      </c>
      <c r="D359">
        <v>0.6431</v>
      </c>
      <c r="E359">
        <v>0.70099999999999996</v>
      </c>
      <c r="F359">
        <v>21041614.27</v>
      </c>
      <c r="G359">
        <v>0</v>
      </c>
      <c r="L359" t="s">
        <v>8</v>
      </c>
      <c r="M359" t="s">
        <v>7</v>
      </c>
      <c r="N359" t="s">
        <v>8</v>
      </c>
      <c r="P359">
        <f t="shared" si="969"/>
        <v>0.56698240866035121</v>
      </c>
      <c r="Q359">
        <f t="shared" si="970"/>
        <v>11930225.140906617</v>
      </c>
      <c r="R359">
        <f t="shared" si="971"/>
        <v>125452573.87596254</v>
      </c>
      <c r="S359">
        <f t="shared" si="972"/>
        <v>1254.5257387596255</v>
      </c>
      <c r="T359">
        <f t="shared" si="973"/>
        <v>1.2545257387596256</v>
      </c>
    </row>
    <row r="360" spans="1:20" x14ac:dyDescent="0.25">
      <c r="A360" s="5">
        <v>44233</v>
      </c>
      <c r="B360">
        <v>0.73799999999999999</v>
      </c>
      <c r="C360">
        <v>0.74990000000000001</v>
      </c>
      <c r="D360">
        <v>0.6401</v>
      </c>
      <c r="E360">
        <v>0.69950000000000001</v>
      </c>
      <c r="F360">
        <v>27649682.079999998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8.1967213114754162E-2</v>
      </c>
      <c r="Q360">
        <f t="shared" si="970"/>
        <v>2266367.3836065591</v>
      </c>
      <c r="R360">
        <f t="shared" si="971"/>
        <v>113522348.73505592</v>
      </c>
      <c r="S360">
        <f t="shared" si="972"/>
        <v>1135.2234873505593</v>
      </c>
      <c r="T360">
        <f t="shared" si="973"/>
        <v>1.1352234873505593</v>
      </c>
    </row>
    <row r="361" spans="1:20" x14ac:dyDescent="0.25">
      <c r="A361" s="5">
        <v>44232</v>
      </c>
      <c r="B361">
        <v>0.68120000000000003</v>
      </c>
      <c r="C361">
        <v>0.79330000000000001</v>
      </c>
      <c r="D361">
        <v>0.68120000000000003</v>
      </c>
      <c r="E361">
        <v>0.7379</v>
      </c>
      <c r="F361">
        <v>34427536.490000002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1.1596788581623265E-2</v>
      </c>
      <c r="Q361">
        <f t="shared" si="970"/>
        <v>399248.86206065031</v>
      </c>
      <c r="R361">
        <f t="shared" si="971"/>
        <v>111255981.35144937</v>
      </c>
      <c r="S361">
        <f t="shared" si="972"/>
        <v>1112.5598135144937</v>
      </c>
      <c r="T361">
        <f t="shared" si="973"/>
        <v>1.1125598135144936</v>
      </c>
    </row>
    <row r="362" spans="1:20" x14ac:dyDescent="0.25">
      <c r="A362" s="5">
        <v>44231</v>
      </c>
      <c r="B362">
        <v>0.62019999999999997</v>
      </c>
      <c r="C362">
        <v>0.73299999999999998</v>
      </c>
      <c r="D362">
        <v>0.55000000000000004</v>
      </c>
      <c r="E362">
        <v>0.68179999999999996</v>
      </c>
      <c r="F362">
        <v>38884029.799999997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0.44043715846994491</v>
      </c>
      <c r="Q362">
        <f t="shared" si="970"/>
        <v>17125971.594972659</v>
      </c>
      <c r="R362">
        <f t="shared" si="971"/>
        <v>110856732.48938872</v>
      </c>
      <c r="S362">
        <f t="shared" si="972"/>
        <v>1108.5673248938872</v>
      </c>
      <c r="T362">
        <f t="shared" si="973"/>
        <v>1.1085673248938872</v>
      </c>
    </row>
    <row r="363" spans="1:20" x14ac:dyDescent="0.25">
      <c r="A363" s="5">
        <v>44230</v>
      </c>
      <c r="B363">
        <v>0.56789999999999996</v>
      </c>
      <c r="C363">
        <v>0.62390000000000001</v>
      </c>
      <c r="D363">
        <v>0.54849999999999999</v>
      </c>
      <c r="E363">
        <v>0.61899999999999999</v>
      </c>
      <c r="F363">
        <v>19031130.690000001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0.87002652519893864</v>
      </c>
      <c r="Q363">
        <f t="shared" si="970"/>
        <v>16557588.504827581</v>
      </c>
      <c r="R363">
        <f t="shared" si="971"/>
        <v>93730760.894416064</v>
      </c>
      <c r="S363">
        <f t="shared" si="972"/>
        <v>937.30760894416062</v>
      </c>
      <c r="T363">
        <f t="shared" si="973"/>
        <v>0.93730760894416065</v>
      </c>
    </row>
    <row r="364" spans="1:20" x14ac:dyDescent="0.25">
      <c r="A364" s="5">
        <v>44229</v>
      </c>
      <c r="B364">
        <v>0.57140000000000002</v>
      </c>
      <c r="C364">
        <v>0.58489999999999998</v>
      </c>
      <c r="D364">
        <v>0.55779999999999996</v>
      </c>
      <c r="E364">
        <v>0.5675</v>
      </c>
      <c r="F364">
        <v>11819557.66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-0.28413284132841055</v>
      </c>
      <c r="Q364">
        <f t="shared" si="970"/>
        <v>-3358324.5011807797</v>
      </c>
      <c r="R364">
        <f t="shared" si="971"/>
        <v>77173172.389588475</v>
      </c>
      <c r="S364">
        <f t="shared" si="972"/>
        <v>771.73172389588478</v>
      </c>
      <c r="T364">
        <f t="shared" si="973"/>
        <v>0.77173172389588474</v>
      </c>
    </row>
    <row r="365" spans="1:20" x14ac:dyDescent="0.25">
      <c r="A365" s="5">
        <v>44228</v>
      </c>
      <c r="B365">
        <v>0.54420000000000002</v>
      </c>
      <c r="C365">
        <v>0.57420000000000004</v>
      </c>
      <c r="D365">
        <v>0.51929999999999998</v>
      </c>
      <c r="E365">
        <v>0.57050000000000001</v>
      </c>
      <c r="F365">
        <v>12961466.49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0.86520947176684759</v>
      </c>
      <c r="Q365">
        <f t="shared" si="970"/>
        <v>11214383.575136596</v>
      </c>
      <c r="R365">
        <f t="shared" si="971"/>
        <v>80531496.890769258</v>
      </c>
      <c r="S365">
        <f t="shared" si="972"/>
        <v>805.31496890769256</v>
      </c>
      <c r="T365">
        <f t="shared" si="973"/>
        <v>0.80531496890769261</v>
      </c>
    </row>
    <row r="366" spans="1:20" x14ac:dyDescent="0.25">
      <c r="A366" s="5">
        <v>44227</v>
      </c>
      <c r="B366">
        <v>0.55769999999999997</v>
      </c>
      <c r="C366">
        <v>0.5867</v>
      </c>
      <c r="D366">
        <v>0.53280000000000005</v>
      </c>
      <c r="E366">
        <v>0.54510000000000003</v>
      </c>
      <c r="F366">
        <v>17479628.789999999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-0.54359925788497254</v>
      </c>
      <c r="Q366">
        <f t="shared" si="970"/>
        <v>-9501913.2383488007</v>
      </c>
      <c r="R366">
        <f t="shared" si="971"/>
        <v>69317113.315632656</v>
      </c>
      <c r="S366">
        <f t="shared" si="972"/>
        <v>693.17113315632662</v>
      </c>
      <c r="T366">
        <f t="shared" si="973"/>
        <v>0.69317113315632661</v>
      </c>
    </row>
    <row r="367" spans="1:20" x14ac:dyDescent="0.25">
      <c r="A367" s="5">
        <v>44226</v>
      </c>
      <c r="B367">
        <v>0.55879999999999996</v>
      </c>
      <c r="C367">
        <v>0.59199999999999997</v>
      </c>
      <c r="D367">
        <v>0.53720000000000001</v>
      </c>
      <c r="E367">
        <v>0.55869999999999997</v>
      </c>
      <c r="F367">
        <v>15470148.789999999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-0.21532846715328544</v>
      </c>
      <c r="Q367">
        <f t="shared" si="970"/>
        <v>-3331163.425583953</v>
      </c>
      <c r="R367">
        <f t="shared" si="971"/>
        <v>78819026.553981453</v>
      </c>
      <c r="S367">
        <f t="shared" si="972"/>
        <v>788.1902655398145</v>
      </c>
      <c r="T367">
        <f t="shared" si="973"/>
        <v>0.78819026553981453</v>
      </c>
    </row>
    <row r="368" spans="1:20" x14ac:dyDescent="0.25">
      <c r="A368" s="5">
        <v>44225</v>
      </c>
      <c r="B368">
        <v>0.55469999999999997</v>
      </c>
      <c r="C368">
        <v>0.56999999999999995</v>
      </c>
      <c r="D368">
        <v>0.52439999999999998</v>
      </c>
      <c r="E368">
        <v>0.5575</v>
      </c>
      <c r="F368">
        <v>16233735.199999999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0.45175438596491391</v>
      </c>
      <c r="Q368">
        <f t="shared" si="970"/>
        <v>7333661.0771930087</v>
      </c>
      <c r="R368">
        <f t="shared" si="971"/>
        <v>82150189.979565412</v>
      </c>
      <c r="S368">
        <f t="shared" si="972"/>
        <v>821.50189979565414</v>
      </c>
      <c r="T368">
        <f t="shared" si="973"/>
        <v>0.82150189979565413</v>
      </c>
    </row>
    <row r="369" spans="1:20" x14ac:dyDescent="0.25">
      <c r="A369" s="5">
        <v>44224</v>
      </c>
      <c r="B369">
        <v>0.52249999999999996</v>
      </c>
      <c r="C369">
        <v>0.57999999999999996</v>
      </c>
      <c r="D369">
        <v>0.5091</v>
      </c>
      <c r="E369">
        <v>0.5544</v>
      </c>
      <c r="F369">
        <v>14420243.42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0.27785613540197546</v>
      </c>
      <c r="Q369">
        <f t="shared" si="970"/>
        <v>4006753.1082369657</v>
      </c>
      <c r="R369">
        <f t="shared" si="971"/>
        <v>74816528.902372405</v>
      </c>
      <c r="S369">
        <f t="shared" si="972"/>
        <v>748.16528902372409</v>
      </c>
      <c r="T369">
        <f t="shared" si="973"/>
        <v>0.74816528902372403</v>
      </c>
    </row>
    <row r="370" spans="1:20" x14ac:dyDescent="0.25">
      <c r="A370" s="5">
        <v>44223</v>
      </c>
      <c r="B370">
        <v>0.6008</v>
      </c>
      <c r="C370">
        <v>0.60260000000000002</v>
      </c>
      <c r="D370">
        <v>0.48060000000000003</v>
      </c>
      <c r="E370">
        <v>0.52280000000000004</v>
      </c>
      <c r="F370">
        <v>22071061.32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-0.30819672131147513</v>
      </c>
      <c r="Q370">
        <f t="shared" si="970"/>
        <v>-6802228.7346885186</v>
      </c>
      <c r="R370">
        <f t="shared" si="971"/>
        <v>70809775.794135436</v>
      </c>
      <c r="S370">
        <f t="shared" si="972"/>
        <v>708.09775794135442</v>
      </c>
      <c r="T370">
        <f t="shared" si="973"/>
        <v>0.70809775794135443</v>
      </c>
    </row>
    <row r="371" spans="1:20" x14ac:dyDescent="0.25">
      <c r="A371" s="5">
        <v>44222</v>
      </c>
      <c r="B371">
        <v>0.60760000000000003</v>
      </c>
      <c r="C371">
        <v>0.62919999999999998</v>
      </c>
      <c r="D371">
        <v>0.52439999999999998</v>
      </c>
      <c r="E371">
        <v>0.60070000000000001</v>
      </c>
      <c r="F371">
        <v>31507574.09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0.45610687022900825</v>
      </c>
      <c r="Q371">
        <f t="shared" si="970"/>
        <v>14370821.006698493</v>
      </c>
      <c r="R371">
        <f t="shared" si="971"/>
        <v>77612004.528823957</v>
      </c>
      <c r="S371">
        <f t="shared" si="972"/>
        <v>776.12004528823957</v>
      </c>
      <c r="T371">
        <f t="shared" si="973"/>
        <v>0.77612004528823952</v>
      </c>
    </row>
    <row r="372" spans="1:20" x14ac:dyDescent="0.25">
      <c r="A372" s="5">
        <v>44221</v>
      </c>
      <c r="B372">
        <v>0.56640000000000001</v>
      </c>
      <c r="C372">
        <v>0.68789999999999996</v>
      </c>
      <c r="D372">
        <v>0.55830000000000002</v>
      </c>
      <c r="E372">
        <v>0.60719999999999996</v>
      </c>
      <c r="F372">
        <v>42936689.189999998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-0.24537037037037088</v>
      </c>
      <c r="Q372">
        <f t="shared" si="970"/>
        <v>-10535391.329027798</v>
      </c>
      <c r="R372">
        <f t="shared" si="971"/>
        <v>63241183.522125468</v>
      </c>
      <c r="S372">
        <f t="shared" si="972"/>
        <v>632.41183522125471</v>
      </c>
      <c r="T372">
        <f t="shared" si="973"/>
        <v>0.63241183522125466</v>
      </c>
    </row>
    <row r="373" spans="1:20" x14ac:dyDescent="0.25">
      <c r="A373" s="5">
        <v>44220</v>
      </c>
      <c r="B373">
        <v>0.54810000000000003</v>
      </c>
      <c r="C373">
        <v>0.59550000000000003</v>
      </c>
      <c r="D373">
        <v>0.54</v>
      </c>
      <c r="E373">
        <v>0.56669999999999998</v>
      </c>
      <c r="F373">
        <v>14654147.630000001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-3.7837837837839679E-2</v>
      </c>
      <c r="Q373">
        <f t="shared" si="970"/>
        <v>-554481.26167570264</v>
      </c>
      <c r="R373">
        <f t="shared" si="971"/>
        <v>73776574.851153269</v>
      </c>
      <c r="S373">
        <f t="shared" si="972"/>
        <v>737.76574851153271</v>
      </c>
      <c r="T373">
        <f t="shared" si="973"/>
        <v>0.73776574851153276</v>
      </c>
    </row>
    <row r="374" spans="1:20" x14ac:dyDescent="0.25">
      <c r="A374" s="5">
        <v>44219</v>
      </c>
      <c r="B374">
        <v>0.51100000000000001</v>
      </c>
      <c r="C374">
        <v>0.56599999999999995</v>
      </c>
      <c r="D374">
        <v>0.50039999999999996</v>
      </c>
      <c r="E374">
        <v>0.54769999999999996</v>
      </c>
      <c r="F374">
        <v>18202524.370000001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0.44207317073170777</v>
      </c>
      <c r="Q374">
        <f t="shared" si="970"/>
        <v>8046847.663567082</v>
      </c>
      <c r="R374">
        <f t="shared" si="971"/>
        <v>74331056.11282897</v>
      </c>
      <c r="S374">
        <f t="shared" si="972"/>
        <v>743.31056112828969</v>
      </c>
      <c r="T374">
        <f t="shared" si="973"/>
        <v>0.74331056112828964</v>
      </c>
    </row>
    <row r="375" spans="1:20" x14ac:dyDescent="0.25">
      <c r="A375" s="5">
        <v>44218</v>
      </c>
      <c r="B375">
        <v>0.47570000000000001</v>
      </c>
      <c r="C375">
        <v>0.54569999999999996</v>
      </c>
      <c r="D375">
        <v>0.43819999999999998</v>
      </c>
      <c r="E375">
        <v>0.51149999999999995</v>
      </c>
      <c r="F375">
        <v>24156828.18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0.36372093023255792</v>
      </c>
      <c r="Q375">
        <f t="shared" si="970"/>
        <v>8786344.0170976687</v>
      </c>
      <c r="R375">
        <f t="shared" si="971"/>
        <v>66284208.449261881</v>
      </c>
      <c r="S375">
        <f t="shared" si="972"/>
        <v>662.84208449261882</v>
      </c>
      <c r="T375">
        <f t="shared" si="973"/>
        <v>0.66284208449261883</v>
      </c>
    </row>
    <row r="376" spans="1:20" x14ac:dyDescent="0.25">
      <c r="A376" s="5">
        <v>44217</v>
      </c>
      <c r="B376">
        <v>0.59360000000000002</v>
      </c>
      <c r="C376">
        <v>0.6</v>
      </c>
      <c r="D376">
        <v>0.46500000000000002</v>
      </c>
      <c r="E376">
        <v>0.47589999999999999</v>
      </c>
      <c r="F376">
        <v>27756565.039999999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-0.838518518518519</v>
      </c>
      <c r="Q376">
        <f t="shared" si="970"/>
        <v>-23274393.796503715</v>
      </c>
      <c r="R376">
        <f t="shared" si="971"/>
        <v>57497864.432164215</v>
      </c>
      <c r="S376">
        <f t="shared" si="972"/>
        <v>574.97864432164215</v>
      </c>
      <c r="T376">
        <f t="shared" si="973"/>
        <v>0.57497864432164214</v>
      </c>
    </row>
    <row r="377" spans="1:20" x14ac:dyDescent="0.25">
      <c r="A377" s="5">
        <v>44216</v>
      </c>
      <c r="B377">
        <v>0.58950000000000002</v>
      </c>
      <c r="C377">
        <v>0.63319999999999999</v>
      </c>
      <c r="D377">
        <v>0.53</v>
      </c>
      <c r="E377">
        <v>0.59340000000000004</v>
      </c>
      <c r="F377">
        <v>22455207.800000001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0.2286821705426364</v>
      </c>
      <c r="Q377">
        <f t="shared" si="970"/>
        <v>5135105.6596899396</v>
      </c>
      <c r="R377">
        <f t="shared" si="971"/>
        <v>80772258.22866793</v>
      </c>
      <c r="S377">
        <f t="shared" si="972"/>
        <v>807.72258228667931</v>
      </c>
      <c r="T377">
        <f t="shared" si="973"/>
        <v>0.80772258228667926</v>
      </c>
    </row>
    <row r="378" spans="1:20" x14ac:dyDescent="0.25">
      <c r="A378" s="5">
        <v>44215</v>
      </c>
      <c r="B378">
        <v>0.57430000000000003</v>
      </c>
      <c r="C378">
        <v>0.64849999999999997</v>
      </c>
      <c r="D378">
        <v>0.55020000000000002</v>
      </c>
      <c r="E378">
        <v>0.5897</v>
      </c>
      <c r="F378">
        <v>28800430.399999999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-0.19633774160732448</v>
      </c>
      <c r="Q378">
        <f t="shared" si="970"/>
        <v>-5654611.4620549325</v>
      </c>
      <c r="R378">
        <f t="shared" si="971"/>
        <v>75637152.568977997</v>
      </c>
      <c r="S378">
        <f t="shared" si="972"/>
        <v>756.37152568978001</v>
      </c>
      <c r="T378">
        <f t="shared" si="973"/>
        <v>0.75637152568978006</v>
      </c>
    </row>
    <row r="379" spans="1:20" x14ac:dyDescent="0.25">
      <c r="A379" s="5">
        <v>44214</v>
      </c>
      <c r="B379">
        <v>0.57669999999999999</v>
      </c>
      <c r="C379">
        <v>0.621</v>
      </c>
      <c r="D379">
        <v>0.55500000000000005</v>
      </c>
      <c r="E379">
        <v>0.57420000000000004</v>
      </c>
      <c r="F379">
        <v>17766027.18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-0.41818181818181788</v>
      </c>
      <c r="Q379">
        <f t="shared" si="970"/>
        <v>-7429429.5479999948</v>
      </c>
      <c r="R379">
        <f t="shared" si="971"/>
        <v>81291764.031032935</v>
      </c>
      <c r="S379">
        <f t="shared" si="972"/>
        <v>812.91764031032938</v>
      </c>
      <c r="T379">
        <f t="shared" si="973"/>
        <v>0.81291764031032943</v>
      </c>
    </row>
    <row r="380" spans="1:20" x14ac:dyDescent="0.25">
      <c r="A380" s="5">
        <v>44213</v>
      </c>
      <c r="B380">
        <v>0.53110000000000002</v>
      </c>
      <c r="C380">
        <v>0.61409999999999998</v>
      </c>
      <c r="D380">
        <v>0.4965</v>
      </c>
      <c r="E380">
        <v>0.57679999999999998</v>
      </c>
      <c r="F380">
        <v>29883538.32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0.36564625850340127</v>
      </c>
      <c r="Q380">
        <f t="shared" si="970"/>
        <v>10926803.977551017</v>
      </c>
      <c r="R380">
        <f t="shared" si="971"/>
        <v>88721193.579032928</v>
      </c>
      <c r="S380">
        <f t="shared" si="972"/>
        <v>887.21193579032922</v>
      </c>
      <c r="T380">
        <f t="shared" si="973"/>
        <v>0.8872119357903292</v>
      </c>
    </row>
    <row r="381" spans="1:20" x14ac:dyDescent="0.25">
      <c r="A381" s="5">
        <v>44212</v>
      </c>
      <c r="B381">
        <v>0.48330000000000001</v>
      </c>
      <c r="C381">
        <v>0.58430000000000004</v>
      </c>
      <c r="D381">
        <v>0.47260000000000002</v>
      </c>
      <c r="E381">
        <v>0.53290000000000004</v>
      </c>
      <c r="F381">
        <v>31293796.100000001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7.9677708146821999E-2</v>
      </c>
      <c r="Q381">
        <f t="shared" si="970"/>
        <v>2493417.9524619565</v>
      </c>
      <c r="R381">
        <f t="shared" si="971"/>
        <v>77794389.601481915</v>
      </c>
      <c r="S381">
        <f t="shared" si="972"/>
        <v>777.94389601481919</v>
      </c>
      <c r="T381">
        <f t="shared" si="973"/>
        <v>0.77794389601481917</v>
      </c>
    </row>
    <row r="382" spans="1:20" x14ac:dyDescent="0.25">
      <c r="A382" s="5">
        <v>44211</v>
      </c>
      <c r="B382">
        <v>0.441</v>
      </c>
      <c r="C382">
        <v>0.49490000000000001</v>
      </c>
      <c r="D382">
        <v>0.41</v>
      </c>
      <c r="E382">
        <v>0.4839</v>
      </c>
      <c r="F382">
        <v>24166531.199999999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0.74087161366313292</v>
      </c>
      <c r="Q382">
        <f t="shared" si="970"/>
        <v>17904296.966784447</v>
      </c>
      <c r="R382">
        <f t="shared" si="971"/>
        <v>75300971.649019957</v>
      </c>
      <c r="S382">
        <f t="shared" si="972"/>
        <v>753.00971649019959</v>
      </c>
      <c r="T382">
        <f t="shared" si="973"/>
        <v>0.75300971649019954</v>
      </c>
    </row>
    <row r="383" spans="1:20" x14ac:dyDescent="0.25">
      <c r="A383" s="5">
        <v>44210</v>
      </c>
      <c r="B383">
        <v>0.43290000000000001</v>
      </c>
      <c r="C383">
        <v>0.45479999999999998</v>
      </c>
      <c r="D383">
        <v>0.4214</v>
      </c>
      <c r="E383">
        <v>0.44080000000000003</v>
      </c>
      <c r="F383">
        <v>12039989.15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0.16167664670658904</v>
      </c>
      <c r="Q383">
        <f t="shared" si="970"/>
        <v>1946585.0721557154</v>
      </c>
      <c r="R383">
        <f t="shared" si="971"/>
        <v>57396674.682235502</v>
      </c>
      <c r="S383">
        <f t="shared" si="972"/>
        <v>573.96674682235505</v>
      </c>
      <c r="T383">
        <f t="shared" si="973"/>
        <v>0.57396674682235505</v>
      </c>
    </row>
    <row r="384" spans="1:20" x14ac:dyDescent="0.25">
      <c r="A384" s="5">
        <v>44209</v>
      </c>
      <c r="B384">
        <v>0.39389999999999997</v>
      </c>
      <c r="C384">
        <v>0.43990000000000001</v>
      </c>
      <c r="D384">
        <v>0.37190000000000001</v>
      </c>
      <c r="E384">
        <v>0.43359999999999999</v>
      </c>
      <c r="F384">
        <v>15382577.66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0.81470588235294039</v>
      </c>
      <c r="Q384">
        <f t="shared" si="970"/>
        <v>12532276.505352929</v>
      </c>
      <c r="R384">
        <f t="shared" si="971"/>
        <v>55450089.610079788</v>
      </c>
      <c r="S384">
        <f t="shared" si="972"/>
        <v>554.50089610079783</v>
      </c>
      <c r="T384">
        <f t="shared" si="973"/>
        <v>0.55450089610079778</v>
      </c>
    </row>
    <row r="385" spans="1:20" x14ac:dyDescent="0.25">
      <c r="A385" s="5">
        <v>44208</v>
      </c>
      <c r="B385">
        <v>0.38269999999999998</v>
      </c>
      <c r="C385">
        <v>0.41110000000000002</v>
      </c>
      <c r="D385">
        <v>0.35220000000000001</v>
      </c>
      <c r="E385">
        <v>0.39450000000000002</v>
      </c>
      <c r="F385">
        <v>16590646.92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0.43633276740237686</v>
      </c>
      <c r="Q385">
        <f t="shared" si="970"/>
        <v>7239042.8835993204</v>
      </c>
      <c r="R385">
        <f t="shared" si="971"/>
        <v>42917813.104726858</v>
      </c>
      <c r="S385">
        <f t="shared" si="972"/>
        <v>429.17813104726861</v>
      </c>
      <c r="T385">
        <f t="shared" si="973"/>
        <v>0.4291781310472686</v>
      </c>
    </row>
    <row r="386" spans="1:20" x14ac:dyDescent="0.25">
      <c r="A386" s="5">
        <v>44207</v>
      </c>
      <c r="B386">
        <v>0.43719999999999998</v>
      </c>
      <c r="C386">
        <v>0.43780000000000002</v>
      </c>
      <c r="D386">
        <v>0.31109999999999999</v>
      </c>
      <c r="E386">
        <v>0.38319999999999999</v>
      </c>
      <c r="F386">
        <v>29937311.170000002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0.13812154696132561</v>
      </c>
      <c r="Q386">
        <f t="shared" si="970"/>
        <v>4134987.7306629731</v>
      </c>
      <c r="R386">
        <f t="shared" si="971"/>
        <v>35678770.22112754</v>
      </c>
      <c r="S386">
        <f t="shared" si="972"/>
        <v>356.78770221127542</v>
      </c>
      <c r="T386">
        <f t="shared" si="973"/>
        <v>0.35678770221127543</v>
      </c>
    </row>
    <row r="387" spans="1:20" x14ac:dyDescent="0.25">
      <c r="A387" s="5">
        <v>44206</v>
      </c>
      <c r="B387">
        <v>0.4597</v>
      </c>
      <c r="C387">
        <v>0.48499999999999999</v>
      </c>
      <c r="D387">
        <v>0.40689999999999998</v>
      </c>
      <c r="E387">
        <v>0.43730000000000002</v>
      </c>
      <c r="F387">
        <v>23260745.210000001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-0.22151088348271353</v>
      </c>
      <c r="Q387">
        <f t="shared" si="970"/>
        <v>-5152508.2219333975</v>
      </c>
      <c r="R387">
        <f t="shared" si="971"/>
        <v>31543782.490464564</v>
      </c>
      <c r="S387">
        <f t="shared" si="972"/>
        <v>315.43782490464565</v>
      </c>
      <c r="T387">
        <f t="shared" si="973"/>
        <v>0.31543782490464567</v>
      </c>
    </row>
    <row r="388" spans="1:20" x14ac:dyDescent="0.25">
      <c r="A388" s="5">
        <v>44205</v>
      </c>
      <c r="B388">
        <v>0.41830000000000001</v>
      </c>
      <c r="C388">
        <v>0.47770000000000001</v>
      </c>
      <c r="D388">
        <v>0.40060000000000001</v>
      </c>
      <c r="E388">
        <v>0.4597</v>
      </c>
      <c r="F388">
        <v>20832167.609999999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0.53307392996108904</v>
      </c>
      <c r="Q388">
        <f t="shared" si="970"/>
        <v>11105085.457470808</v>
      </c>
      <c r="R388">
        <f t="shared" si="971"/>
        <v>36696290.712397963</v>
      </c>
      <c r="S388">
        <f t="shared" si="972"/>
        <v>366.96290712397962</v>
      </c>
      <c r="T388">
        <f t="shared" si="973"/>
        <v>0.36696290712397961</v>
      </c>
    </row>
    <row r="389" spans="1:20" x14ac:dyDescent="0.25">
      <c r="A389" s="5">
        <v>44204</v>
      </c>
      <c r="B389">
        <v>0.43009999999999998</v>
      </c>
      <c r="C389">
        <v>0.45</v>
      </c>
      <c r="D389">
        <v>0.38</v>
      </c>
      <c r="E389">
        <v>0.41860000000000003</v>
      </c>
      <c r="F389">
        <v>23700309.579999998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0.10285714285714341</v>
      </c>
      <c r="Q389">
        <f t="shared" si="970"/>
        <v>2437746.1282285843</v>
      </c>
      <c r="R389">
        <f t="shared" si="971"/>
        <v>25591205.254927151</v>
      </c>
      <c r="S389">
        <f t="shared" si="972"/>
        <v>255.91205254927152</v>
      </c>
      <c r="T389">
        <f t="shared" si="973"/>
        <v>0.25591205254927152</v>
      </c>
    </row>
    <row r="390" spans="1:20" x14ac:dyDescent="0.25">
      <c r="A390" s="5">
        <v>44203</v>
      </c>
      <c r="B390">
        <v>0.45079999999999998</v>
      </c>
      <c r="C390">
        <v>0.4904</v>
      </c>
      <c r="D390">
        <v>0.40479999999999999</v>
      </c>
      <c r="E390">
        <v>0.43009999999999998</v>
      </c>
      <c r="F390">
        <v>25224604.780000001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-0.40887850467289749</v>
      </c>
      <c r="Q390">
        <f t="shared" ref="Q390:Q453" si="975">F390*P390</f>
        <v>-10313798.683411224</v>
      </c>
      <c r="R390">
        <f t="shared" ref="R390:R453" si="976">R391+Q390</f>
        <v>23153459.126698568</v>
      </c>
      <c r="S390">
        <f t="shared" ref="S390:S453" si="977">R390/100000</f>
        <v>231.53459126698567</v>
      </c>
      <c r="T390">
        <f t="shared" ref="T390:T453" si="978">S390/1000</f>
        <v>0.23153459126698567</v>
      </c>
    </row>
    <row r="391" spans="1:20" x14ac:dyDescent="0.25">
      <c r="A391" s="5">
        <v>44202</v>
      </c>
      <c r="B391">
        <v>0.4491</v>
      </c>
      <c r="C391">
        <v>0.5</v>
      </c>
      <c r="D391">
        <v>0.4254</v>
      </c>
      <c r="E391">
        <v>0.45029999999999998</v>
      </c>
      <c r="F391">
        <v>32888813.280000001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-0.33243967828418292</v>
      </c>
      <c r="Q391">
        <f t="shared" si="975"/>
        <v>-10933546.505951762</v>
      </c>
      <c r="R391">
        <f t="shared" si="976"/>
        <v>33467257.810109794</v>
      </c>
      <c r="S391">
        <f t="shared" si="977"/>
        <v>334.67257810109794</v>
      </c>
      <c r="T391">
        <f t="shared" si="978"/>
        <v>0.33467257810109796</v>
      </c>
    </row>
    <row r="392" spans="1:20" x14ac:dyDescent="0.25">
      <c r="A392" s="5">
        <v>44201</v>
      </c>
      <c r="B392">
        <v>0.39660000000000001</v>
      </c>
      <c r="C392">
        <v>0.48120000000000002</v>
      </c>
      <c r="D392">
        <v>0.36</v>
      </c>
      <c r="E392">
        <v>0.44919999999999999</v>
      </c>
      <c r="F392">
        <v>37075148.479999997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0.47194719471947161</v>
      </c>
      <c r="Q392">
        <f t="shared" si="975"/>
        <v>17497512.31894388</v>
      </c>
      <c r="R392">
        <f t="shared" si="976"/>
        <v>44400804.316061556</v>
      </c>
      <c r="S392">
        <f t="shared" si="977"/>
        <v>444.00804316061556</v>
      </c>
      <c r="T392">
        <f t="shared" si="978"/>
        <v>0.44400804316061554</v>
      </c>
    </row>
    <row r="393" spans="1:20" x14ac:dyDescent="0.25">
      <c r="A393" s="5">
        <v>44200</v>
      </c>
      <c r="B393">
        <v>0.3957</v>
      </c>
      <c r="C393">
        <v>0.45450000000000002</v>
      </c>
      <c r="D393">
        <v>0.36599999999999999</v>
      </c>
      <c r="E393">
        <v>0.39650000000000002</v>
      </c>
      <c r="F393">
        <v>32247257.920000002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-0.31073446327683574</v>
      </c>
      <c r="Q393">
        <f t="shared" si="975"/>
        <v>-10020334.381920891</v>
      </c>
      <c r="R393">
        <f t="shared" si="976"/>
        <v>26903291.997117676</v>
      </c>
      <c r="S393">
        <f t="shared" si="977"/>
        <v>269.03291997117674</v>
      </c>
      <c r="T393">
        <f t="shared" si="978"/>
        <v>0.26903291997117673</v>
      </c>
    </row>
    <row r="394" spans="1:20" x14ac:dyDescent="0.25">
      <c r="A394" s="5">
        <v>44199</v>
      </c>
      <c r="B394">
        <v>0.33100000000000002</v>
      </c>
      <c r="C394">
        <v>0.41899999999999998</v>
      </c>
      <c r="D394">
        <v>0.32879999999999998</v>
      </c>
      <c r="E394">
        <v>0.39539999999999997</v>
      </c>
      <c r="F394">
        <v>30573096.84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0.47671840354767164</v>
      </c>
      <c r="Q394">
        <f t="shared" si="975"/>
        <v>14574757.917073164</v>
      </c>
      <c r="R394">
        <f t="shared" si="976"/>
        <v>36923626.379038565</v>
      </c>
      <c r="S394">
        <f t="shared" si="977"/>
        <v>369.23626379038564</v>
      </c>
      <c r="T394">
        <f t="shared" si="978"/>
        <v>0.36923626379038565</v>
      </c>
    </row>
    <row r="395" spans="1:20" x14ac:dyDescent="0.25">
      <c r="A395" s="5">
        <v>44198</v>
      </c>
      <c r="B395">
        <v>0.3483</v>
      </c>
      <c r="C395">
        <v>0.35</v>
      </c>
      <c r="D395">
        <v>0.32150000000000001</v>
      </c>
      <c r="E395">
        <v>0.3306</v>
      </c>
      <c r="F395">
        <v>12821584.07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-0.36140350877192934</v>
      </c>
      <c r="Q395">
        <f t="shared" si="975"/>
        <v>-4633765.4709122749</v>
      </c>
      <c r="R395">
        <f t="shared" si="976"/>
        <v>22348868.461965401</v>
      </c>
      <c r="S395">
        <f t="shared" si="977"/>
        <v>223.48868461965401</v>
      </c>
      <c r="T395">
        <f t="shared" si="978"/>
        <v>0.22348868461965402</v>
      </c>
    </row>
    <row r="396" spans="1:20" x14ac:dyDescent="0.25">
      <c r="A396" s="5">
        <v>44197</v>
      </c>
      <c r="B396">
        <v>0.32790000000000002</v>
      </c>
      <c r="C396">
        <v>0.3659</v>
      </c>
      <c r="D396">
        <v>0.32129999999999997</v>
      </c>
      <c r="E396">
        <v>0.3483</v>
      </c>
      <c r="F396">
        <v>15773348.75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0.21076233183856533</v>
      </c>
      <c r="Q396">
        <f t="shared" si="975"/>
        <v>3324427.7634529197</v>
      </c>
      <c r="R396">
        <f t="shared" si="976"/>
        <v>26982633.932877675</v>
      </c>
      <c r="S396">
        <f t="shared" si="977"/>
        <v>269.82633932877673</v>
      </c>
      <c r="T396">
        <f t="shared" si="978"/>
        <v>0.2698263393287767</v>
      </c>
    </row>
    <row r="397" spans="1:20" x14ac:dyDescent="0.25">
      <c r="A397" s="5">
        <v>44196</v>
      </c>
      <c r="B397">
        <v>0.32479999999999998</v>
      </c>
      <c r="C397">
        <v>0.33050000000000002</v>
      </c>
      <c r="D397">
        <v>0.30590000000000001</v>
      </c>
      <c r="E397">
        <v>0.32790000000000002</v>
      </c>
      <c r="F397">
        <v>9367387.8599999994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0.78861788617886264</v>
      </c>
      <c r="Q397">
        <f t="shared" si="975"/>
        <v>7387289.6131707393</v>
      </c>
      <c r="R397">
        <f t="shared" si="976"/>
        <v>23658206.169424754</v>
      </c>
      <c r="S397">
        <f t="shared" si="977"/>
        <v>236.58206169424753</v>
      </c>
      <c r="T397">
        <f t="shared" si="978"/>
        <v>0.23658206169424753</v>
      </c>
    </row>
    <row r="398" spans="1:20" x14ac:dyDescent="0.25">
      <c r="A398" s="5">
        <v>44195</v>
      </c>
      <c r="B398">
        <v>0.33810000000000001</v>
      </c>
      <c r="C398">
        <v>0.34370000000000001</v>
      </c>
      <c r="D398">
        <v>0.31190000000000001</v>
      </c>
      <c r="E398">
        <v>0.32550000000000001</v>
      </c>
      <c r="F398">
        <v>12805716.710000001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-0.14465408805031427</v>
      </c>
      <c r="Q398">
        <f t="shared" si="975"/>
        <v>-1852399.2725157209</v>
      </c>
      <c r="R398">
        <f t="shared" si="976"/>
        <v>16270916.556254014</v>
      </c>
      <c r="S398">
        <f t="shared" si="977"/>
        <v>162.70916556254014</v>
      </c>
      <c r="T398">
        <f t="shared" si="978"/>
        <v>0.16270916556254014</v>
      </c>
    </row>
    <row r="399" spans="1:20" x14ac:dyDescent="0.25">
      <c r="A399" s="5">
        <v>44194</v>
      </c>
      <c r="B399">
        <v>0.36720000000000003</v>
      </c>
      <c r="C399">
        <v>0.37469999999999998</v>
      </c>
      <c r="D399">
        <v>0.32179999999999997</v>
      </c>
      <c r="E399">
        <v>0.33829999999999999</v>
      </c>
      <c r="F399">
        <v>16798056.050000001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-0.37618147448015071</v>
      </c>
      <c r="Q399">
        <f t="shared" si="975"/>
        <v>-6319117.4932892164</v>
      </c>
      <c r="R399">
        <f t="shared" si="976"/>
        <v>18123315.828769736</v>
      </c>
      <c r="S399">
        <f t="shared" si="977"/>
        <v>181.23315828769736</v>
      </c>
      <c r="T399">
        <f t="shared" si="978"/>
        <v>0.18123315828769737</v>
      </c>
    </row>
    <row r="400" spans="1:20" x14ac:dyDescent="0.25">
      <c r="A400" s="5">
        <v>44193</v>
      </c>
      <c r="B400">
        <v>0.3296</v>
      </c>
      <c r="C400">
        <v>0.37919999999999998</v>
      </c>
      <c r="D400">
        <v>0.32240000000000002</v>
      </c>
      <c r="E400">
        <v>0.36709999999999998</v>
      </c>
      <c r="F400">
        <v>16749948.07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0.57394366197183067</v>
      </c>
      <c r="Q400">
        <f t="shared" si="975"/>
        <v>9613526.5331337973</v>
      </c>
      <c r="R400">
        <f t="shared" si="976"/>
        <v>24442433.322058953</v>
      </c>
      <c r="S400">
        <f t="shared" si="977"/>
        <v>244.42433322058955</v>
      </c>
      <c r="T400">
        <f t="shared" si="978"/>
        <v>0.24442433322058954</v>
      </c>
    </row>
    <row r="401" spans="1:20" x14ac:dyDescent="0.25">
      <c r="A401" s="5">
        <v>44192</v>
      </c>
      <c r="B401">
        <v>0.32619999999999999</v>
      </c>
      <c r="C401">
        <v>0.35199999999999998</v>
      </c>
      <c r="D401">
        <v>0.2888</v>
      </c>
      <c r="E401">
        <v>0.3281</v>
      </c>
      <c r="F401">
        <v>21445862.559999999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0.24367088607594983</v>
      </c>
      <c r="Q401">
        <f t="shared" si="975"/>
        <v>5225732.3326582378</v>
      </c>
      <c r="R401">
        <f t="shared" si="976"/>
        <v>14828906.788925156</v>
      </c>
      <c r="S401">
        <f t="shared" si="977"/>
        <v>148.28906788925156</v>
      </c>
      <c r="T401">
        <f t="shared" si="978"/>
        <v>0.14828906788925156</v>
      </c>
    </row>
    <row r="402" spans="1:20" x14ac:dyDescent="0.25">
      <c r="A402" s="5">
        <v>44191</v>
      </c>
      <c r="B402">
        <v>0.32419999999999999</v>
      </c>
      <c r="C402">
        <v>0.3427</v>
      </c>
      <c r="D402">
        <v>0.3155</v>
      </c>
      <c r="E402">
        <v>0.3261</v>
      </c>
      <c r="F402">
        <v>12074798.609999999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-0.22058823529411783</v>
      </c>
      <c r="Q402">
        <f t="shared" si="975"/>
        <v>-2663558.516911767</v>
      </c>
      <c r="R402">
        <f t="shared" si="976"/>
        <v>9603174.4562669173</v>
      </c>
      <c r="S402">
        <f t="shared" si="977"/>
        <v>96.031744562669175</v>
      </c>
      <c r="T402">
        <f t="shared" si="978"/>
        <v>9.6031744562669177E-2</v>
      </c>
    </row>
    <row r="403" spans="1:20" x14ac:dyDescent="0.25">
      <c r="A403" s="5">
        <v>44190</v>
      </c>
      <c r="B403">
        <v>0.3327</v>
      </c>
      <c r="C403">
        <v>0.35470000000000002</v>
      </c>
      <c r="D403">
        <v>0.31459999999999999</v>
      </c>
      <c r="E403">
        <v>0.32429999999999998</v>
      </c>
      <c r="F403">
        <v>12058097.24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-0.51620947630922787</v>
      </c>
      <c r="Q403">
        <f t="shared" si="975"/>
        <v>-6224504.0615461459</v>
      </c>
      <c r="R403">
        <f t="shared" si="976"/>
        <v>12266732.973178685</v>
      </c>
      <c r="S403">
        <f t="shared" si="977"/>
        <v>122.66732973178685</v>
      </c>
      <c r="T403">
        <f t="shared" si="978"/>
        <v>0.12266732973178684</v>
      </c>
    </row>
    <row r="404" spans="1:20" x14ac:dyDescent="0.25">
      <c r="A404" s="5">
        <v>44189</v>
      </c>
      <c r="B404">
        <v>0.30780000000000002</v>
      </c>
      <c r="C404">
        <v>0.34010000000000001</v>
      </c>
      <c r="D404">
        <v>0.29549999999999998</v>
      </c>
      <c r="E404">
        <v>0.33250000000000002</v>
      </c>
      <c r="F404">
        <v>21744359.57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0.65919282511210808</v>
      </c>
      <c r="Q404">
        <f t="shared" si="975"/>
        <v>14333725.815201804</v>
      </c>
      <c r="R404">
        <f t="shared" si="976"/>
        <v>18491237.034724832</v>
      </c>
      <c r="S404">
        <f t="shared" si="977"/>
        <v>184.91237034724833</v>
      </c>
      <c r="T404">
        <f t="shared" si="978"/>
        <v>0.18491237034724833</v>
      </c>
    </row>
    <row r="405" spans="1:20" x14ac:dyDescent="0.25">
      <c r="A405" s="5">
        <v>44188</v>
      </c>
      <c r="B405">
        <v>0.38030000000000003</v>
      </c>
      <c r="C405">
        <v>0.3836</v>
      </c>
      <c r="D405">
        <v>0.26790000000000003</v>
      </c>
      <c r="E405">
        <v>0.30869999999999997</v>
      </c>
      <c r="F405">
        <v>20593649.48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-0.29472774416594716</v>
      </c>
      <c r="Q405">
        <f t="shared" si="975"/>
        <v>-6069519.8553846311</v>
      </c>
      <c r="R405">
        <f t="shared" si="976"/>
        <v>4157511.2195230257</v>
      </c>
      <c r="S405">
        <f t="shared" si="977"/>
        <v>41.575112195230254</v>
      </c>
      <c r="T405">
        <f t="shared" si="978"/>
        <v>4.1575112195230253E-2</v>
      </c>
    </row>
    <row r="406" spans="1:20" x14ac:dyDescent="0.25">
      <c r="A406" s="5">
        <v>44187</v>
      </c>
      <c r="B406">
        <v>0.39129999999999998</v>
      </c>
      <c r="C406">
        <v>0.39650000000000002</v>
      </c>
      <c r="D406">
        <v>0.36399999999999999</v>
      </c>
      <c r="E406">
        <v>0.38269999999999998</v>
      </c>
      <c r="F406">
        <v>11053829.789999999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0.15076923076922941</v>
      </c>
      <c r="Q406">
        <f t="shared" si="975"/>
        <v>1666577.4144922926</v>
      </c>
      <c r="R406">
        <f t="shared" si="976"/>
        <v>10227031.074907657</v>
      </c>
      <c r="S406">
        <f t="shared" si="977"/>
        <v>102.27031074907657</v>
      </c>
      <c r="T406">
        <f t="shared" si="978"/>
        <v>0.10227031074907657</v>
      </c>
    </row>
    <row r="407" spans="1:20" x14ac:dyDescent="0.25">
      <c r="A407" s="5">
        <v>44186</v>
      </c>
      <c r="B407">
        <v>0.39700000000000002</v>
      </c>
      <c r="C407">
        <v>0.4</v>
      </c>
      <c r="D407">
        <v>0.35460000000000003</v>
      </c>
      <c r="E407">
        <v>0.39090000000000003</v>
      </c>
      <c r="F407">
        <v>13515487.25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0.59911894273127764</v>
      </c>
      <c r="Q407">
        <f t="shared" si="975"/>
        <v>8097384.4317180635</v>
      </c>
      <c r="R407">
        <f t="shared" si="976"/>
        <v>8560453.6604153644</v>
      </c>
      <c r="S407">
        <f t="shared" si="977"/>
        <v>85.604536604153651</v>
      </c>
      <c r="T407">
        <f t="shared" si="978"/>
        <v>8.5604536604153653E-2</v>
      </c>
    </row>
    <row r="408" spans="1:20" x14ac:dyDescent="0.25">
      <c r="A408" s="5">
        <v>44185</v>
      </c>
      <c r="B408">
        <v>0.42899999999999999</v>
      </c>
      <c r="C408">
        <v>0.4294</v>
      </c>
      <c r="D408">
        <v>0.38019999999999998</v>
      </c>
      <c r="E408">
        <v>0.39789999999999998</v>
      </c>
      <c r="F408">
        <v>12654679.689999999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-0.28048780487804936</v>
      </c>
      <c r="Q408">
        <f t="shared" si="975"/>
        <v>-3549483.3276829342</v>
      </c>
      <c r="R408">
        <f t="shared" si="976"/>
        <v>463069.22869730042</v>
      </c>
      <c r="S408">
        <f t="shared" si="977"/>
        <v>4.6306922869730043</v>
      </c>
      <c r="T408">
        <f t="shared" si="978"/>
        <v>4.630692286973004E-3</v>
      </c>
    </row>
    <row r="409" spans="1:20" x14ac:dyDescent="0.25">
      <c r="A409" s="5">
        <v>44184</v>
      </c>
      <c r="B409">
        <v>0.43419999999999997</v>
      </c>
      <c r="C409">
        <v>0.45800000000000002</v>
      </c>
      <c r="D409">
        <v>0.4239</v>
      </c>
      <c r="E409">
        <v>0.42880000000000001</v>
      </c>
      <c r="F409">
        <v>13110994.77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-0.71260997067448606</v>
      </c>
      <c r="Q409">
        <f t="shared" si="975"/>
        <v>-9343025.5985630397</v>
      </c>
      <c r="R409">
        <f t="shared" si="976"/>
        <v>4012552.5563802347</v>
      </c>
      <c r="S409">
        <f t="shared" si="977"/>
        <v>40.125525563802348</v>
      </c>
      <c r="T409">
        <f t="shared" si="978"/>
        <v>4.0125525563802347E-2</v>
      </c>
    </row>
    <row r="410" spans="1:20" x14ac:dyDescent="0.25">
      <c r="A410" s="5">
        <v>44183</v>
      </c>
      <c r="B410">
        <v>0.43640000000000001</v>
      </c>
      <c r="C410">
        <v>0.46489999999999998</v>
      </c>
      <c r="D410">
        <v>0.40820000000000001</v>
      </c>
      <c r="E410">
        <v>0.43330000000000002</v>
      </c>
      <c r="F410">
        <v>13226434.050000001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-0.11463844797178048</v>
      </c>
      <c r="Q410">
        <f t="shared" si="975"/>
        <v>-1516257.8716931108</v>
      </c>
      <c r="R410">
        <f t="shared" si="976"/>
        <v>13355578.154943274</v>
      </c>
      <c r="S410">
        <f t="shared" si="977"/>
        <v>133.55578154943274</v>
      </c>
      <c r="T410">
        <f t="shared" si="978"/>
        <v>0.13355578154943273</v>
      </c>
    </row>
    <row r="411" spans="1:20" x14ac:dyDescent="0.25">
      <c r="A411" s="5">
        <v>44182</v>
      </c>
      <c r="B411">
        <v>0.43230000000000002</v>
      </c>
      <c r="C411">
        <v>0.49</v>
      </c>
      <c r="D411">
        <v>0.42699999999999999</v>
      </c>
      <c r="E411">
        <v>0.43640000000000001</v>
      </c>
      <c r="F411">
        <v>23508760.920000002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-0.70158730158730098</v>
      </c>
      <c r="Q411">
        <f t="shared" si="975"/>
        <v>-16493448.137523796</v>
      </c>
      <c r="R411">
        <f t="shared" si="976"/>
        <v>14871836.026636384</v>
      </c>
      <c r="S411">
        <f t="shared" si="977"/>
        <v>148.71836026636385</v>
      </c>
      <c r="T411">
        <f t="shared" si="978"/>
        <v>0.14871836026636384</v>
      </c>
    </row>
    <row r="412" spans="1:20" x14ac:dyDescent="0.25">
      <c r="A412" s="5">
        <v>44181</v>
      </c>
      <c r="B412">
        <v>0.43630000000000002</v>
      </c>
      <c r="C412">
        <v>0.45900000000000002</v>
      </c>
      <c r="D412">
        <v>0.41</v>
      </c>
      <c r="E412">
        <v>0.4325</v>
      </c>
      <c r="F412">
        <v>13208185.52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-8.1632653061224483E-2</v>
      </c>
      <c r="Q412">
        <f t="shared" si="975"/>
        <v>-1078219.2261224489</v>
      </c>
      <c r="R412">
        <f t="shared" si="976"/>
        <v>31365284.164160181</v>
      </c>
      <c r="S412">
        <f t="shared" si="977"/>
        <v>313.65284164160181</v>
      </c>
      <c r="T412">
        <f t="shared" si="978"/>
        <v>0.31365284164160179</v>
      </c>
    </row>
    <row r="413" spans="1:20" x14ac:dyDescent="0.25">
      <c r="A413" s="5">
        <v>44180</v>
      </c>
      <c r="B413">
        <v>0.40489999999999998</v>
      </c>
      <c r="C413">
        <v>0.45319999999999999</v>
      </c>
      <c r="D413">
        <v>0.4</v>
      </c>
      <c r="E413">
        <v>0.43630000000000002</v>
      </c>
      <c r="F413">
        <v>17188582.190000001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0.36466165413533908</v>
      </c>
      <c r="Q413">
        <f t="shared" si="975"/>
        <v>6268016.8136466295</v>
      </c>
      <c r="R413">
        <f t="shared" si="976"/>
        <v>32443503.390282631</v>
      </c>
      <c r="S413">
        <f t="shared" si="977"/>
        <v>324.43503390282632</v>
      </c>
      <c r="T413">
        <f t="shared" si="978"/>
        <v>0.3244350339028263</v>
      </c>
    </row>
    <row r="414" spans="1:20" x14ac:dyDescent="0.25">
      <c r="A414" s="5">
        <v>44179</v>
      </c>
      <c r="B414">
        <v>0.39629999999999999</v>
      </c>
      <c r="C414">
        <v>0.40949999999999998</v>
      </c>
      <c r="D414">
        <v>0.377</v>
      </c>
      <c r="E414">
        <v>0.40460000000000002</v>
      </c>
      <c r="F414">
        <v>8029944.3099999996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0.69846153846154069</v>
      </c>
      <c r="Q414">
        <f t="shared" si="975"/>
        <v>5608607.2565230941</v>
      </c>
      <c r="R414">
        <f t="shared" si="976"/>
        <v>26175486.576636001</v>
      </c>
      <c r="S414">
        <f t="shared" si="977"/>
        <v>261.75486576636001</v>
      </c>
      <c r="T414">
        <f t="shared" si="978"/>
        <v>0.26175486576636003</v>
      </c>
    </row>
    <row r="415" spans="1:20" x14ac:dyDescent="0.25">
      <c r="A415" s="5">
        <v>44178</v>
      </c>
      <c r="B415">
        <v>0.378</v>
      </c>
      <c r="C415">
        <v>0.4052</v>
      </c>
      <c r="D415">
        <v>0.37019999999999997</v>
      </c>
      <c r="E415">
        <v>0.39639999999999997</v>
      </c>
      <c r="F415">
        <v>7693641.79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0.49714285714285589</v>
      </c>
      <c r="Q415">
        <f t="shared" si="975"/>
        <v>3824839.061314276</v>
      </c>
      <c r="R415">
        <f t="shared" si="976"/>
        <v>20566879.320112906</v>
      </c>
      <c r="S415">
        <f t="shared" si="977"/>
        <v>205.66879320112906</v>
      </c>
      <c r="T415">
        <f t="shared" si="978"/>
        <v>0.20566879320112907</v>
      </c>
    </row>
    <row r="416" spans="1:20" x14ac:dyDescent="0.25">
      <c r="A416" s="5">
        <v>44177</v>
      </c>
      <c r="B416">
        <v>0.36940000000000001</v>
      </c>
      <c r="C416">
        <v>0.40089999999999998</v>
      </c>
      <c r="D416">
        <v>0.36630000000000001</v>
      </c>
      <c r="E416">
        <v>0.378</v>
      </c>
      <c r="F416">
        <v>10135919.74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-0.32369942196531792</v>
      </c>
      <c r="Q416">
        <f t="shared" si="975"/>
        <v>-3280991.3609248558</v>
      </c>
      <c r="R416">
        <f t="shared" si="976"/>
        <v>16742040.258798629</v>
      </c>
      <c r="S416">
        <f t="shared" si="977"/>
        <v>167.4204025879863</v>
      </c>
      <c r="T416">
        <f t="shared" si="978"/>
        <v>0.16742040258798629</v>
      </c>
    </row>
    <row r="417" spans="1:20" x14ac:dyDescent="0.25">
      <c r="A417" s="5">
        <v>44176</v>
      </c>
      <c r="B417">
        <v>0.373</v>
      </c>
      <c r="C417">
        <v>0.37959999999999999</v>
      </c>
      <c r="D417">
        <v>0.34460000000000002</v>
      </c>
      <c r="E417">
        <v>0.36880000000000002</v>
      </c>
      <c r="F417">
        <v>10104418.49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0.38285714285714378</v>
      </c>
      <c r="Q417">
        <f t="shared" si="975"/>
        <v>3868548.7933142954</v>
      </c>
      <c r="R417">
        <f t="shared" si="976"/>
        <v>20023031.619723484</v>
      </c>
      <c r="S417">
        <f t="shared" si="977"/>
        <v>200.23031619723483</v>
      </c>
      <c r="T417">
        <f t="shared" si="978"/>
        <v>0.20023031619723483</v>
      </c>
    </row>
    <row r="418" spans="1:20" x14ac:dyDescent="0.25">
      <c r="A418" s="5">
        <v>44175</v>
      </c>
      <c r="B418">
        <v>0.39090000000000003</v>
      </c>
      <c r="C418">
        <v>0.39389999999999997</v>
      </c>
      <c r="D418">
        <v>0.35610000000000003</v>
      </c>
      <c r="E418">
        <v>0.3725</v>
      </c>
      <c r="F418">
        <v>8784108.0099999998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-0.13227513227513257</v>
      </c>
      <c r="Q418">
        <f t="shared" si="975"/>
        <v>-1161919.0489418015</v>
      </c>
      <c r="R418">
        <f t="shared" si="976"/>
        <v>16154482.826409187</v>
      </c>
      <c r="S418">
        <f t="shared" si="977"/>
        <v>161.54482826409188</v>
      </c>
      <c r="T418">
        <f t="shared" si="978"/>
        <v>0.16154482826409189</v>
      </c>
    </row>
    <row r="419" spans="1:20" x14ac:dyDescent="0.25">
      <c r="A419" s="5">
        <v>44174</v>
      </c>
      <c r="B419">
        <v>0.37319999999999998</v>
      </c>
      <c r="C419">
        <v>0.40679999999999999</v>
      </c>
      <c r="D419">
        <v>0.34399999999999997</v>
      </c>
      <c r="E419">
        <v>0.39140000000000003</v>
      </c>
      <c r="F419">
        <v>15766836.359999999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0.50955414012738964</v>
      </c>
      <c r="Q419">
        <f t="shared" si="975"/>
        <v>8034056.7439490622</v>
      </c>
      <c r="R419">
        <f t="shared" si="976"/>
        <v>17316401.875350989</v>
      </c>
      <c r="S419">
        <f t="shared" si="977"/>
        <v>173.16401875350991</v>
      </c>
      <c r="T419">
        <f t="shared" si="978"/>
        <v>0.1731640187535099</v>
      </c>
    </row>
    <row r="420" spans="1:20" x14ac:dyDescent="0.25">
      <c r="A420" s="5">
        <v>44173</v>
      </c>
      <c r="B420">
        <v>0.42880000000000001</v>
      </c>
      <c r="C420">
        <v>0.42909999999999998</v>
      </c>
      <c r="D420">
        <v>0.36399999999999999</v>
      </c>
      <c r="E420">
        <v>0.373</v>
      </c>
      <c r="F420">
        <v>12326179.99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-0.72350230414746519</v>
      </c>
      <c r="Q420">
        <f t="shared" si="975"/>
        <v>-8918019.6241013799</v>
      </c>
      <c r="R420">
        <f t="shared" si="976"/>
        <v>9282345.1314019281</v>
      </c>
      <c r="S420">
        <f t="shared" si="977"/>
        <v>92.82345131401928</v>
      </c>
      <c r="T420">
        <f t="shared" si="978"/>
        <v>9.2823451314019284E-2</v>
      </c>
    </row>
    <row r="421" spans="1:20" x14ac:dyDescent="0.25">
      <c r="A421" s="5">
        <v>44172</v>
      </c>
      <c r="B421">
        <v>0.4481</v>
      </c>
      <c r="C421">
        <v>0.45019999999999999</v>
      </c>
      <c r="D421">
        <v>0.4138</v>
      </c>
      <c r="E421">
        <v>0.42799999999999999</v>
      </c>
      <c r="F421">
        <v>10899961.109999999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-0.21978021978022005</v>
      </c>
      <c r="Q421">
        <f t="shared" si="975"/>
        <v>-2395595.8483516513</v>
      </c>
      <c r="R421">
        <f t="shared" si="976"/>
        <v>18200364.755503308</v>
      </c>
      <c r="S421">
        <f t="shared" si="977"/>
        <v>182.00364755503307</v>
      </c>
      <c r="T421">
        <f t="shared" si="978"/>
        <v>0.18200364755503307</v>
      </c>
    </row>
    <row r="422" spans="1:20" x14ac:dyDescent="0.25">
      <c r="A422" s="5">
        <v>44171</v>
      </c>
      <c r="B422">
        <v>0.46870000000000001</v>
      </c>
      <c r="C422">
        <v>0.47110000000000002</v>
      </c>
      <c r="D422">
        <v>0.436</v>
      </c>
      <c r="E422">
        <v>0.44740000000000002</v>
      </c>
      <c r="F422">
        <v>6849306.29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-0.35042735042734957</v>
      </c>
      <c r="Q422">
        <f t="shared" si="975"/>
        <v>-2400184.2554700798</v>
      </c>
      <c r="R422">
        <f t="shared" si="976"/>
        <v>20595960.603854958</v>
      </c>
      <c r="S422">
        <f t="shared" si="977"/>
        <v>205.95960603854957</v>
      </c>
      <c r="T422">
        <f t="shared" si="978"/>
        <v>0.20595960603854957</v>
      </c>
    </row>
    <row r="423" spans="1:20" x14ac:dyDescent="0.25">
      <c r="A423" s="5">
        <v>44170</v>
      </c>
      <c r="B423">
        <v>0.44</v>
      </c>
      <c r="C423">
        <v>0.4723</v>
      </c>
      <c r="D423">
        <v>0.43490000000000001</v>
      </c>
      <c r="E423">
        <v>0.46870000000000001</v>
      </c>
      <c r="F423">
        <v>5129799.7300000004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0.80748663101604312</v>
      </c>
      <c r="Q423">
        <f t="shared" si="975"/>
        <v>4142244.7017647079</v>
      </c>
      <c r="R423">
        <f t="shared" si="976"/>
        <v>22996144.859325036</v>
      </c>
      <c r="S423">
        <f t="shared" si="977"/>
        <v>229.96144859325037</v>
      </c>
      <c r="T423">
        <f t="shared" si="978"/>
        <v>0.22996144859325038</v>
      </c>
    </row>
    <row r="424" spans="1:20" x14ac:dyDescent="0.25">
      <c r="A424" s="5">
        <v>44169</v>
      </c>
      <c r="B424">
        <v>0.47749999999999998</v>
      </c>
      <c r="C424">
        <v>0.51049999999999995</v>
      </c>
      <c r="D424">
        <v>0.43619999999999998</v>
      </c>
      <c r="E424">
        <v>0.43990000000000001</v>
      </c>
      <c r="F424">
        <v>13175085.75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-0.90040376850605552</v>
      </c>
      <c r="Q424">
        <f t="shared" si="975"/>
        <v>-11862896.859690432</v>
      </c>
      <c r="R424">
        <f t="shared" si="976"/>
        <v>18853900.15756033</v>
      </c>
      <c r="S424">
        <f t="shared" si="977"/>
        <v>188.53900157560329</v>
      </c>
      <c r="T424">
        <f t="shared" si="978"/>
        <v>0.1885390015756033</v>
      </c>
    </row>
    <row r="425" spans="1:20" x14ac:dyDescent="0.25">
      <c r="A425" s="5">
        <v>44168</v>
      </c>
      <c r="B425">
        <v>0.4788</v>
      </c>
      <c r="C425">
        <v>0.48199999999999998</v>
      </c>
      <c r="D425">
        <v>0.46550000000000002</v>
      </c>
      <c r="E425">
        <v>0.47599999999999998</v>
      </c>
      <c r="F425">
        <v>4502500.97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0.27272727272727026</v>
      </c>
      <c r="Q425">
        <f t="shared" si="975"/>
        <v>1227954.8099999889</v>
      </c>
      <c r="R425">
        <f t="shared" si="976"/>
        <v>30716797.017250761</v>
      </c>
      <c r="S425">
        <f t="shared" si="977"/>
        <v>307.16797017250764</v>
      </c>
      <c r="T425">
        <f t="shared" si="978"/>
        <v>0.30716797017250763</v>
      </c>
    </row>
    <row r="426" spans="1:20" x14ac:dyDescent="0.25">
      <c r="A426" s="5">
        <v>44167</v>
      </c>
      <c r="B426">
        <v>0.4501</v>
      </c>
      <c r="C426">
        <v>0.4829</v>
      </c>
      <c r="D426">
        <v>0.44040000000000001</v>
      </c>
      <c r="E426">
        <v>0.47949999999999998</v>
      </c>
      <c r="F426">
        <v>7420610.5899999999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0.8399999999999993</v>
      </c>
      <c r="Q426">
        <f t="shared" si="975"/>
        <v>6233312.8955999948</v>
      </c>
      <c r="R426">
        <f t="shared" si="976"/>
        <v>29488842.207250774</v>
      </c>
      <c r="S426">
        <f t="shared" si="977"/>
        <v>294.88842207250775</v>
      </c>
      <c r="T426">
        <f t="shared" si="978"/>
        <v>0.29488842207250776</v>
      </c>
    </row>
    <row r="427" spans="1:20" x14ac:dyDescent="0.25">
      <c r="A427" s="5">
        <v>44166</v>
      </c>
      <c r="B427">
        <v>0.48149999999999998</v>
      </c>
      <c r="C427">
        <v>0.50490000000000002</v>
      </c>
      <c r="D427">
        <v>0.44</v>
      </c>
      <c r="E427">
        <v>0.45019999999999999</v>
      </c>
      <c r="F427">
        <v>15674366.449999999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-0.68567026194144887</v>
      </c>
      <c r="Q427">
        <f t="shared" si="975"/>
        <v>-10747446.949537758</v>
      </c>
      <c r="R427">
        <f t="shared" si="976"/>
        <v>23255529.311650779</v>
      </c>
      <c r="S427">
        <f t="shared" si="977"/>
        <v>232.55529311650778</v>
      </c>
      <c r="T427">
        <f t="shared" si="978"/>
        <v>0.23255529311650777</v>
      </c>
    </row>
    <row r="428" spans="1:20" x14ac:dyDescent="0.25">
      <c r="A428" s="5">
        <v>44165</v>
      </c>
      <c r="B428">
        <v>0.46339999999999998</v>
      </c>
      <c r="C428">
        <v>0.48330000000000001</v>
      </c>
      <c r="D428">
        <v>0.43269999999999997</v>
      </c>
      <c r="E428">
        <v>0.48010000000000003</v>
      </c>
      <c r="F428">
        <v>16577730.939999999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0.87351778656126566</v>
      </c>
      <c r="Q428">
        <f t="shared" si="975"/>
        <v>14480942.836917009</v>
      </c>
      <c r="R428">
        <f t="shared" si="976"/>
        <v>34002976.261188537</v>
      </c>
      <c r="S428">
        <f t="shared" si="977"/>
        <v>340.02976261188536</v>
      </c>
      <c r="T428">
        <f t="shared" si="978"/>
        <v>0.34002976261188533</v>
      </c>
    </row>
    <row r="429" spans="1:20" x14ac:dyDescent="0.25">
      <c r="A429" s="5">
        <v>44164</v>
      </c>
      <c r="B429">
        <v>0.4461</v>
      </c>
      <c r="C429">
        <v>0.47199999999999998</v>
      </c>
      <c r="D429">
        <v>0.43049999999999999</v>
      </c>
      <c r="E429">
        <v>0.4632</v>
      </c>
      <c r="F429">
        <v>7463178.3799999999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0.57590361445783234</v>
      </c>
      <c r="Q429">
        <f t="shared" si="975"/>
        <v>4298071.4043855499</v>
      </c>
      <c r="R429">
        <f t="shared" si="976"/>
        <v>19522033.424271524</v>
      </c>
      <c r="S429">
        <f t="shared" si="977"/>
        <v>195.22033424271524</v>
      </c>
      <c r="T429">
        <f t="shared" si="978"/>
        <v>0.19522033424271523</v>
      </c>
    </row>
    <row r="430" spans="1:20" x14ac:dyDescent="0.25">
      <c r="A430" s="5">
        <v>44163</v>
      </c>
      <c r="B430">
        <v>0.42420000000000002</v>
      </c>
      <c r="C430">
        <v>0.45629999999999998</v>
      </c>
      <c r="D430">
        <v>0.40949999999999998</v>
      </c>
      <c r="E430">
        <v>0.44640000000000002</v>
      </c>
      <c r="F430">
        <v>7515007.6900000004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0.57692307692307854</v>
      </c>
      <c r="Q430">
        <f t="shared" si="975"/>
        <v>4335581.3596153967</v>
      </c>
      <c r="R430">
        <f t="shared" si="976"/>
        <v>15223962.019885972</v>
      </c>
      <c r="S430">
        <f t="shared" si="977"/>
        <v>152.23962019885971</v>
      </c>
      <c r="T430">
        <f t="shared" si="978"/>
        <v>0.1522396201988597</v>
      </c>
    </row>
    <row r="431" spans="1:20" x14ac:dyDescent="0.25">
      <c r="A431" s="5">
        <v>44162</v>
      </c>
      <c r="B431">
        <v>0.43709999999999999</v>
      </c>
      <c r="C431">
        <v>0.45269999999999999</v>
      </c>
      <c r="D431">
        <v>0.40510000000000002</v>
      </c>
      <c r="E431">
        <v>0.42420000000000002</v>
      </c>
      <c r="F431">
        <v>7840860.5999999996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-0.19747899159663801</v>
      </c>
      <c r="Q431">
        <f t="shared" si="975"/>
        <v>-1548405.2445378101</v>
      </c>
      <c r="R431">
        <f t="shared" si="976"/>
        <v>10888380.660270575</v>
      </c>
      <c r="S431">
        <f t="shared" si="977"/>
        <v>108.88380660270576</v>
      </c>
      <c r="T431">
        <f t="shared" si="978"/>
        <v>0.10888380660270576</v>
      </c>
    </row>
    <row r="432" spans="1:20" x14ac:dyDescent="0.25">
      <c r="A432" s="5">
        <v>44161</v>
      </c>
      <c r="B432">
        <v>0.50109999999999999</v>
      </c>
      <c r="C432">
        <v>0.50639999999999996</v>
      </c>
      <c r="D432">
        <v>0.39229999999999998</v>
      </c>
      <c r="E432">
        <v>0.43719999999999998</v>
      </c>
      <c r="F432">
        <v>19510832.52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-0.21297107800175277</v>
      </c>
      <c r="Q432">
        <f t="shared" si="975"/>
        <v>-4155243.0344960545</v>
      </c>
      <c r="R432">
        <f t="shared" si="976"/>
        <v>12436785.904808385</v>
      </c>
      <c r="S432">
        <f t="shared" si="977"/>
        <v>124.36785904808386</v>
      </c>
      <c r="T432">
        <f t="shared" si="978"/>
        <v>0.12436785904808385</v>
      </c>
    </row>
    <row r="433" spans="1:20" x14ac:dyDescent="0.25">
      <c r="A433" s="5">
        <v>44160</v>
      </c>
      <c r="B433">
        <v>0.52549999999999997</v>
      </c>
      <c r="C433">
        <v>0.54110000000000003</v>
      </c>
      <c r="D433">
        <v>0.47020000000000001</v>
      </c>
      <c r="E433">
        <v>0.50090000000000001</v>
      </c>
      <c r="F433">
        <v>13112543.6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-0.13399153737658684</v>
      </c>
      <c r="Q433">
        <f t="shared" si="975"/>
        <v>-1756969.8758815245</v>
      </c>
      <c r="R433">
        <f t="shared" si="976"/>
        <v>16592028.939304439</v>
      </c>
      <c r="S433">
        <f t="shared" si="977"/>
        <v>165.92028939304438</v>
      </c>
      <c r="T433">
        <f t="shared" si="978"/>
        <v>0.16592028939304437</v>
      </c>
    </row>
    <row r="434" spans="1:20" x14ac:dyDescent="0.25">
      <c r="A434" s="5">
        <v>44159</v>
      </c>
      <c r="B434">
        <v>0.52639999999999998</v>
      </c>
      <c r="C434">
        <v>0.54949999999999999</v>
      </c>
      <c r="D434">
        <v>0.49130000000000001</v>
      </c>
      <c r="E434">
        <v>0.52580000000000005</v>
      </c>
      <c r="F434">
        <v>16991509.75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0.18556701030927994</v>
      </c>
      <c r="Q434">
        <f t="shared" si="975"/>
        <v>3153063.6649484807</v>
      </c>
      <c r="R434">
        <f t="shared" si="976"/>
        <v>18348998.815185964</v>
      </c>
      <c r="S434">
        <f t="shared" si="977"/>
        <v>183.48998815185965</v>
      </c>
      <c r="T434">
        <f t="shared" si="978"/>
        <v>0.18348998815185966</v>
      </c>
    </row>
    <row r="435" spans="1:20" x14ac:dyDescent="0.25">
      <c r="A435" s="5">
        <v>44158</v>
      </c>
      <c r="B435">
        <v>0.50619999999999998</v>
      </c>
      <c r="C435">
        <v>0.55300000000000005</v>
      </c>
      <c r="D435">
        <v>0.49399999999999999</v>
      </c>
      <c r="E435">
        <v>0.52639999999999998</v>
      </c>
      <c r="F435">
        <v>12049205.18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9.8305084745761204E-2</v>
      </c>
      <c r="Q435">
        <f t="shared" si="975"/>
        <v>1184498.1363389648</v>
      </c>
      <c r="R435">
        <f t="shared" si="976"/>
        <v>15195935.150237484</v>
      </c>
      <c r="S435">
        <f t="shared" si="977"/>
        <v>151.95935150237483</v>
      </c>
      <c r="T435">
        <f t="shared" si="978"/>
        <v>0.15195935150237483</v>
      </c>
    </row>
    <row r="436" spans="1:20" x14ac:dyDescent="0.25">
      <c r="A436" s="5">
        <v>44157</v>
      </c>
      <c r="B436">
        <v>0.55930000000000002</v>
      </c>
      <c r="C436">
        <v>0.57040000000000002</v>
      </c>
      <c r="D436">
        <v>0.4698</v>
      </c>
      <c r="E436">
        <v>0.50470000000000004</v>
      </c>
      <c r="F436">
        <v>15845870.199999999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-0.30616302186878658</v>
      </c>
      <c r="Q436">
        <f t="shared" si="975"/>
        <v>-4851419.5045725536</v>
      </c>
      <c r="R436">
        <f t="shared" si="976"/>
        <v>14011437.01389852</v>
      </c>
      <c r="S436">
        <f t="shared" si="977"/>
        <v>140.11437013898521</v>
      </c>
      <c r="T436">
        <f t="shared" si="978"/>
        <v>0.1401143701389852</v>
      </c>
    </row>
    <row r="437" spans="1:20" x14ac:dyDescent="0.25">
      <c r="A437" s="5">
        <v>44156</v>
      </c>
      <c r="B437">
        <v>0.53190000000000004</v>
      </c>
      <c r="C437">
        <v>0.57879999999999998</v>
      </c>
      <c r="D437">
        <v>0.51</v>
      </c>
      <c r="E437">
        <v>0.55820000000000003</v>
      </c>
      <c r="F437">
        <v>15524322.25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0.40116279069767558</v>
      </c>
      <c r="Q437">
        <f t="shared" si="975"/>
        <v>6227780.4375000177</v>
      </c>
      <c r="R437">
        <f t="shared" si="976"/>
        <v>18862856.518471073</v>
      </c>
      <c r="S437">
        <f t="shared" si="977"/>
        <v>188.62856518471074</v>
      </c>
      <c r="T437">
        <f t="shared" si="978"/>
        <v>0.18862856518471074</v>
      </c>
    </row>
    <row r="438" spans="1:20" x14ac:dyDescent="0.25">
      <c r="A438" s="5">
        <v>44155</v>
      </c>
      <c r="B438">
        <v>0.54190000000000005</v>
      </c>
      <c r="C438">
        <v>0.56000000000000005</v>
      </c>
      <c r="D438">
        <v>0.51959999999999995</v>
      </c>
      <c r="E438">
        <v>0.5333</v>
      </c>
      <c r="F438">
        <v>9999574.8399999999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-0.32178217821782124</v>
      </c>
      <c r="Q438">
        <f t="shared" si="975"/>
        <v>-3217684.973267321</v>
      </c>
      <c r="R438">
        <f t="shared" si="976"/>
        <v>12635076.080971057</v>
      </c>
      <c r="S438">
        <f t="shared" si="977"/>
        <v>126.35076080971056</v>
      </c>
      <c r="T438">
        <f t="shared" si="978"/>
        <v>0.12635076080971056</v>
      </c>
    </row>
    <row r="439" spans="1:20" x14ac:dyDescent="0.25">
      <c r="A439" s="5">
        <v>44154</v>
      </c>
      <c r="B439">
        <v>0.55059999999999998</v>
      </c>
      <c r="C439">
        <v>0.57220000000000004</v>
      </c>
      <c r="D439">
        <v>0.52229999999999999</v>
      </c>
      <c r="E439">
        <v>0.54249999999999998</v>
      </c>
      <c r="F439">
        <v>8983596.3499999996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-0.19038076152304717</v>
      </c>
      <c r="Q439">
        <f t="shared" si="975"/>
        <v>-1710303.9143286669</v>
      </c>
      <c r="R439">
        <f t="shared" si="976"/>
        <v>15852761.054238377</v>
      </c>
      <c r="S439">
        <f t="shared" si="977"/>
        <v>158.52761054238377</v>
      </c>
      <c r="T439">
        <f t="shared" si="978"/>
        <v>0.15852761054238376</v>
      </c>
    </row>
    <row r="440" spans="1:20" x14ac:dyDescent="0.25">
      <c r="A440" s="5">
        <v>44153</v>
      </c>
      <c r="B440">
        <v>0.58799999999999997</v>
      </c>
      <c r="C440">
        <v>0.6</v>
      </c>
      <c r="D440">
        <v>0.53869999999999996</v>
      </c>
      <c r="E440">
        <v>0.55049999999999999</v>
      </c>
      <c r="F440">
        <v>8925341.0899999999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-0.6150081566068506</v>
      </c>
      <c r="Q440">
        <f t="shared" si="975"/>
        <v>-5489157.5708482787</v>
      </c>
      <c r="R440">
        <f t="shared" si="976"/>
        <v>17563064.968567044</v>
      </c>
      <c r="S440">
        <f t="shared" si="977"/>
        <v>175.63064968567045</v>
      </c>
      <c r="T440">
        <f t="shared" si="978"/>
        <v>0.17563064968567044</v>
      </c>
    </row>
    <row r="441" spans="1:20" x14ac:dyDescent="0.25">
      <c r="A441" s="5">
        <v>44152</v>
      </c>
      <c r="B441">
        <v>0.55320000000000003</v>
      </c>
      <c r="C441">
        <v>0.58879999999999999</v>
      </c>
      <c r="D441">
        <v>0.53639999999999999</v>
      </c>
      <c r="E441">
        <v>0.58779999999999999</v>
      </c>
      <c r="F441">
        <v>9802189.0999999996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0.96183206106870223</v>
      </c>
      <c r="Q441">
        <f t="shared" si="975"/>
        <v>9428059.7450381666</v>
      </c>
      <c r="R441">
        <f t="shared" si="976"/>
        <v>23052222.539415322</v>
      </c>
      <c r="S441">
        <f t="shared" si="977"/>
        <v>230.52222539415322</v>
      </c>
      <c r="T441">
        <f t="shared" si="978"/>
        <v>0.23052222539415324</v>
      </c>
    </row>
    <row r="442" spans="1:20" x14ac:dyDescent="0.25">
      <c r="A442" s="5">
        <v>44151</v>
      </c>
      <c r="B442">
        <v>0.52729999999999999</v>
      </c>
      <c r="C442">
        <v>0.56520000000000004</v>
      </c>
      <c r="D442">
        <v>0.52200000000000002</v>
      </c>
      <c r="E442">
        <v>0.55320000000000003</v>
      </c>
      <c r="F442">
        <v>7554647.4199999999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0.44444444444444414</v>
      </c>
      <c r="Q442">
        <f t="shared" si="975"/>
        <v>3357621.0755555532</v>
      </c>
      <c r="R442">
        <f t="shared" si="976"/>
        <v>13624162.794377157</v>
      </c>
      <c r="S442">
        <f t="shared" si="977"/>
        <v>136.24162794377156</v>
      </c>
      <c r="T442">
        <f t="shared" si="978"/>
        <v>0.13624162794377156</v>
      </c>
    </row>
    <row r="443" spans="1:20" x14ac:dyDescent="0.25">
      <c r="A443" s="5">
        <v>44150</v>
      </c>
      <c r="B443">
        <v>0.54449999999999998</v>
      </c>
      <c r="C443">
        <v>0.56999999999999995</v>
      </c>
      <c r="D443">
        <v>0.51700000000000002</v>
      </c>
      <c r="E443">
        <v>0.52910000000000001</v>
      </c>
      <c r="F443">
        <v>8524938.0700000003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-0.54339622641509377</v>
      </c>
      <c r="Q443">
        <f t="shared" si="975"/>
        <v>-4632419.177660373</v>
      </c>
      <c r="R443">
        <f t="shared" si="976"/>
        <v>10266541.718821604</v>
      </c>
      <c r="S443">
        <f t="shared" si="977"/>
        <v>102.66541718821604</v>
      </c>
      <c r="T443">
        <f t="shared" si="978"/>
        <v>0.10266541718821603</v>
      </c>
    </row>
    <row r="444" spans="1:20" x14ac:dyDescent="0.25">
      <c r="A444" s="5">
        <v>44149</v>
      </c>
      <c r="B444">
        <v>0.54290000000000005</v>
      </c>
      <c r="C444">
        <v>0.56210000000000004</v>
      </c>
      <c r="D444">
        <v>0.50270000000000004</v>
      </c>
      <c r="E444">
        <v>0.54430000000000001</v>
      </c>
      <c r="F444">
        <v>9335038.6699999999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0.40067340067339946</v>
      </c>
      <c r="Q444">
        <f t="shared" si="975"/>
        <v>3740301.6893265881</v>
      </c>
      <c r="R444">
        <f t="shared" si="976"/>
        <v>14898960.896481976</v>
      </c>
      <c r="S444">
        <f t="shared" si="977"/>
        <v>148.98960896481975</v>
      </c>
      <c r="T444">
        <f t="shared" si="978"/>
        <v>0.14898960896481975</v>
      </c>
    </row>
    <row r="445" spans="1:20" x14ac:dyDescent="0.25">
      <c r="A445" s="5">
        <v>44148</v>
      </c>
      <c r="B445">
        <v>0.52300000000000002</v>
      </c>
      <c r="C445">
        <v>0.56330000000000002</v>
      </c>
      <c r="D445">
        <v>0.51300000000000001</v>
      </c>
      <c r="E445">
        <v>0.54379999999999995</v>
      </c>
      <c r="F445">
        <v>9836582.6899999995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0.22465208747514639</v>
      </c>
      <c r="Q445">
        <f t="shared" si="975"/>
        <v>2209808.8349303906</v>
      </c>
      <c r="R445">
        <f t="shared" si="976"/>
        <v>11158659.207155388</v>
      </c>
      <c r="S445">
        <f t="shared" si="977"/>
        <v>111.58659207155388</v>
      </c>
      <c r="T445">
        <f t="shared" si="978"/>
        <v>0.11158659207155389</v>
      </c>
    </row>
    <row r="446" spans="1:20" x14ac:dyDescent="0.25">
      <c r="A446" s="5">
        <v>44147</v>
      </c>
      <c r="B446">
        <v>0.56610000000000005</v>
      </c>
      <c r="C446">
        <v>0.58779999999999999</v>
      </c>
      <c r="D446">
        <v>0.50860000000000005</v>
      </c>
      <c r="E446">
        <v>0.52329999999999999</v>
      </c>
      <c r="F446">
        <v>10616928.73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-0.62878787878788012</v>
      </c>
      <c r="Q446">
        <f t="shared" si="975"/>
        <v>-6675796.0953788022</v>
      </c>
      <c r="R446">
        <f t="shared" si="976"/>
        <v>8948850.3722249977</v>
      </c>
      <c r="S446">
        <f t="shared" si="977"/>
        <v>89.488503722249973</v>
      </c>
      <c r="T446">
        <f t="shared" si="978"/>
        <v>8.9488503722249979E-2</v>
      </c>
    </row>
    <row r="447" spans="1:20" x14ac:dyDescent="0.25">
      <c r="A447" s="5">
        <v>44146</v>
      </c>
      <c r="B447">
        <v>0.57299999999999995</v>
      </c>
      <c r="C447">
        <v>0.624</v>
      </c>
      <c r="D447">
        <v>0.56320000000000003</v>
      </c>
      <c r="E447">
        <v>0.56599999999999995</v>
      </c>
      <c r="F447">
        <v>12887197.26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-0.90789473684210809</v>
      </c>
      <c r="Q447">
        <f t="shared" si="975"/>
        <v>-11700218.565000037</v>
      </c>
      <c r="R447">
        <f t="shared" si="976"/>
        <v>15624646.467603801</v>
      </c>
      <c r="S447">
        <f t="shared" si="977"/>
        <v>156.24646467603802</v>
      </c>
      <c r="T447">
        <f t="shared" si="978"/>
        <v>0.156246464676038</v>
      </c>
    </row>
    <row r="448" spans="1:20" x14ac:dyDescent="0.25">
      <c r="A448" s="5">
        <v>44145</v>
      </c>
      <c r="B448">
        <v>0.57740000000000002</v>
      </c>
      <c r="C448">
        <v>0.60419999999999996</v>
      </c>
      <c r="D448">
        <v>0.53849999999999998</v>
      </c>
      <c r="E448">
        <v>0.57279999999999998</v>
      </c>
      <c r="F448">
        <v>12429148.890000001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4.4140030441400524E-2</v>
      </c>
      <c r="Q448">
        <f t="shared" si="975"/>
        <v>548623.01036529953</v>
      </c>
      <c r="R448">
        <f t="shared" si="976"/>
        <v>27324865.032603838</v>
      </c>
      <c r="S448">
        <f t="shared" si="977"/>
        <v>273.24865032603839</v>
      </c>
      <c r="T448">
        <f t="shared" si="978"/>
        <v>0.2732486503260384</v>
      </c>
    </row>
    <row r="449" spans="1:20" x14ac:dyDescent="0.25">
      <c r="A449" s="5">
        <v>44144</v>
      </c>
      <c r="B449">
        <v>0.5131</v>
      </c>
      <c r="C449">
        <v>0.57999999999999996</v>
      </c>
      <c r="D449">
        <v>0.4975</v>
      </c>
      <c r="E449">
        <v>0.57730000000000004</v>
      </c>
      <c r="F449">
        <v>11569658.640000001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0.93454545454545634</v>
      </c>
      <c r="Q449">
        <f t="shared" si="975"/>
        <v>10812371.892654566</v>
      </c>
      <c r="R449">
        <f t="shared" si="976"/>
        <v>26776242.022238538</v>
      </c>
      <c r="S449">
        <f t="shared" si="977"/>
        <v>267.7624202223854</v>
      </c>
      <c r="T449">
        <f t="shared" si="978"/>
        <v>0.26776242022238539</v>
      </c>
    </row>
    <row r="450" spans="1:20" x14ac:dyDescent="0.25">
      <c r="A450" s="5">
        <v>44143</v>
      </c>
      <c r="B450">
        <v>0.48120000000000002</v>
      </c>
      <c r="C450">
        <v>0.5151</v>
      </c>
      <c r="D450">
        <v>0.46910000000000002</v>
      </c>
      <c r="E450">
        <v>0.51339999999999997</v>
      </c>
      <c r="F450">
        <v>6441383.5800000001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0.92608695652173756</v>
      </c>
      <c r="Q450">
        <f t="shared" si="975"/>
        <v>5965281.3153912947</v>
      </c>
      <c r="R450">
        <f t="shared" si="976"/>
        <v>15963870.12958397</v>
      </c>
      <c r="S450">
        <f t="shared" si="977"/>
        <v>159.6387012958397</v>
      </c>
      <c r="T450">
        <f t="shared" si="978"/>
        <v>0.15963870129583971</v>
      </c>
    </row>
    <row r="451" spans="1:20" x14ac:dyDescent="0.25">
      <c r="A451" s="5">
        <v>44142</v>
      </c>
      <c r="B451">
        <v>0.50470000000000004</v>
      </c>
      <c r="C451">
        <v>0.54510000000000003</v>
      </c>
      <c r="D451">
        <v>0.45100000000000001</v>
      </c>
      <c r="E451">
        <v>0.48320000000000002</v>
      </c>
      <c r="F451">
        <v>12983895.76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-0.31562167906482463</v>
      </c>
      <c r="Q451">
        <f t="shared" si="975"/>
        <v>-4097998.9805738572</v>
      </c>
      <c r="R451">
        <f t="shared" si="976"/>
        <v>9998588.8141926751</v>
      </c>
      <c r="S451">
        <f t="shared" si="977"/>
        <v>99.98588814192675</v>
      </c>
      <c r="T451">
        <f t="shared" si="978"/>
        <v>9.9985888141926757E-2</v>
      </c>
    </row>
    <row r="452" spans="1:20" x14ac:dyDescent="0.25">
      <c r="A452" s="5">
        <v>44141</v>
      </c>
      <c r="B452">
        <v>0.4708</v>
      </c>
      <c r="C452">
        <v>0.51480000000000004</v>
      </c>
      <c r="D452">
        <v>0.4607</v>
      </c>
      <c r="E452">
        <v>0.50429999999999997</v>
      </c>
      <c r="F452">
        <v>12674726.43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0.6118299445471328</v>
      </c>
      <c r="Q452">
        <f t="shared" si="975"/>
        <v>7754777.1688169781</v>
      </c>
      <c r="R452">
        <f t="shared" si="976"/>
        <v>14096587.794766532</v>
      </c>
      <c r="S452">
        <f t="shared" si="977"/>
        <v>140.96587794766532</v>
      </c>
      <c r="T452">
        <f t="shared" si="978"/>
        <v>0.14096587794766532</v>
      </c>
    </row>
    <row r="453" spans="1:20" x14ac:dyDescent="0.25">
      <c r="A453" s="5">
        <v>44140</v>
      </c>
      <c r="B453">
        <v>0.46629999999999999</v>
      </c>
      <c r="C453">
        <v>0.48199999999999998</v>
      </c>
      <c r="D453">
        <v>0.42520000000000002</v>
      </c>
      <c r="E453">
        <v>0.47089999999999999</v>
      </c>
      <c r="F453">
        <v>10433582.130000001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0.60915492957746453</v>
      </c>
      <c r="Q453">
        <f t="shared" si="975"/>
        <v>6355667.9876408428</v>
      </c>
      <c r="R453">
        <f t="shared" si="976"/>
        <v>6341810.6259495541</v>
      </c>
      <c r="S453">
        <f t="shared" si="977"/>
        <v>63.418106259495545</v>
      </c>
      <c r="T453">
        <f t="shared" si="978"/>
        <v>6.3418106259495538E-2</v>
      </c>
    </row>
    <row r="454" spans="1:20" x14ac:dyDescent="0.25">
      <c r="A454" s="5">
        <v>44139</v>
      </c>
      <c r="B454">
        <v>0.44869999999999999</v>
      </c>
      <c r="C454">
        <v>0.47260000000000002</v>
      </c>
      <c r="D454">
        <v>0.4158</v>
      </c>
      <c r="E454">
        <v>0.46760000000000002</v>
      </c>
      <c r="F454">
        <v>7922532.7199999997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0.82394366197183089</v>
      </c>
      <c r="Q454">
        <f t="shared" ref="Q454:Q517" si="980">F454*P454</f>
        <v>6527720.6214084495</v>
      </c>
      <c r="R454">
        <f t="shared" ref="R454:R517" si="981">R455+Q454</f>
        <v>-13857.36169128865</v>
      </c>
      <c r="S454">
        <f t="shared" ref="S454:S517" si="982">R454/100000</f>
        <v>-0.1385736169128865</v>
      </c>
      <c r="T454">
        <f t="shared" ref="T454:T517" si="983">S454/1000</f>
        <v>-1.3857361691288649E-4</v>
      </c>
    </row>
    <row r="455" spans="1:20" x14ac:dyDescent="0.25">
      <c r="A455" s="5">
        <v>44138</v>
      </c>
      <c r="B455">
        <v>0.45700000000000002</v>
      </c>
      <c r="C455">
        <v>0.46789999999999998</v>
      </c>
      <c r="D455">
        <v>0.41889999999999999</v>
      </c>
      <c r="E455">
        <v>0.45</v>
      </c>
      <c r="F455">
        <v>10409884.51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0.26938775510204183</v>
      </c>
      <c r="Q455">
        <f t="shared" si="980"/>
        <v>2804295.4190204185</v>
      </c>
      <c r="R455">
        <f t="shared" si="981"/>
        <v>-6541577.9830997381</v>
      </c>
      <c r="S455">
        <f t="shared" si="982"/>
        <v>-65.41577983099738</v>
      </c>
      <c r="T455">
        <f t="shared" si="983"/>
        <v>-6.5415779830997375E-2</v>
      </c>
    </row>
    <row r="456" spans="1:20" x14ac:dyDescent="0.25">
      <c r="A456" s="5">
        <v>44137</v>
      </c>
      <c r="B456">
        <v>0.47860000000000003</v>
      </c>
      <c r="C456">
        <v>0.51749999999999996</v>
      </c>
      <c r="D456">
        <v>0.45639999999999997</v>
      </c>
      <c r="E456">
        <v>0.45750000000000002</v>
      </c>
      <c r="F456">
        <v>11594481.93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-0.96399345335515396</v>
      </c>
      <c r="Q456">
        <f t="shared" si="980"/>
        <v>-11177004.67556463</v>
      </c>
      <c r="R456">
        <f t="shared" si="981"/>
        <v>-9345873.4021201562</v>
      </c>
      <c r="S456">
        <f t="shared" si="982"/>
        <v>-93.458734021201565</v>
      </c>
      <c r="T456">
        <f t="shared" si="983"/>
        <v>-9.345873402120157E-2</v>
      </c>
    </row>
    <row r="457" spans="1:20" x14ac:dyDescent="0.25">
      <c r="A457" s="5">
        <v>44136</v>
      </c>
      <c r="B457">
        <v>0.42520000000000002</v>
      </c>
      <c r="C457">
        <v>0.49540000000000001</v>
      </c>
      <c r="D457">
        <v>0.41560000000000002</v>
      </c>
      <c r="E457">
        <v>0.47860000000000003</v>
      </c>
      <c r="F457">
        <v>10563375.84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0.57894736842105299</v>
      </c>
      <c r="Q457">
        <f t="shared" si="980"/>
        <v>6115638.6442105304</v>
      </c>
      <c r="R457">
        <f t="shared" si="981"/>
        <v>1831131.2734444737</v>
      </c>
      <c r="S457">
        <f t="shared" si="982"/>
        <v>18.311312734444737</v>
      </c>
      <c r="T457">
        <f t="shared" si="983"/>
        <v>1.8311312734444737E-2</v>
      </c>
    </row>
    <row r="458" spans="1:20" x14ac:dyDescent="0.25">
      <c r="A458" s="5">
        <v>44135</v>
      </c>
      <c r="B458">
        <v>0.47299999999999998</v>
      </c>
      <c r="C458">
        <v>0.47599999999999998</v>
      </c>
      <c r="D458">
        <v>0.40339999999999998</v>
      </c>
      <c r="E458">
        <v>0.42599999999999999</v>
      </c>
      <c r="F458">
        <v>10346123.449999999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-0.37741046831955899</v>
      </c>
      <c r="Q458">
        <f t="shared" si="980"/>
        <v>-3904735.2965564709</v>
      </c>
      <c r="R458">
        <f t="shared" si="981"/>
        <v>-4284507.3707660567</v>
      </c>
      <c r="S458">
        <f t="shared" si="982"/>
        <v>-42.845073707660568</v>
      </c>
      <c r="T458">
        <f t="shared" si="983"/>
        <v>-4.2845073707660566E-2</v>
      </c>
    </row>
    <row r="459" spans="1:20" x14ac:dyDescent="0.25">
      <c r="A459" s="5">
        <v>44134</v>
      </c>
      <c r="B459">
        <v>0.45839999999999997</v>
      </c>
      <c r="C459">
        <v>0.4783</v>
      </c>
      <c r="D459">
        <v>0.4022</v>
      </c>
      <c r="E459">
        <v>0.47310000000000002</v>
      </c>
      <c r="F459">
        <v>10933387.119999999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0.86333771353482303</v>
      </c>
      <c r="Q459">
        <f t="shared" si="980"/>
        <v>9439205.4373718835</v>
      </c>
      <c r="R459">
        <f t="shared" si="981"/>
        <v>-379772.07420958579</v>
      </c>
      <c r="S459">
        <f t="shared" si="982"/>
        <v>-3.7977207420958576</v>
      </c>
      <c r="T459">
        <f t="shared" si="983"/>
        <v>-3.7977207420958575E-3</v>
      </c>
    </row>
    <row r="460" spans="1:20" x14ac:dyDescent="0.25">
      <c r="A460" s="5">
        <v>44133</v>
      </c>
      <c r="B460">
        <v>0.52559999999999996</v>
      </c>
      <c r="C460">
        <v>0.5484</v>
      </c>
      <c r="D460">
        <v>0.4461</v>
      </c>
      <c r="E460">
        <v>0.45839999999999997</v>
      </c>
      <c r="F460">
        <v>8532327.6300000008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-0.75953079178885674</v>
      </c>
      <c r="Q460">
        <f t="shared" si="980"/>
        <v>-6480565.5606158404</v>
      </c>
      <c r="R460">
        <f t="shared" si="981"/>
        <v>-9818977.5115814693</v>
      </c>
      <c r="S460">
        <f t="shared" si="982"/>
        <v>-98.189775115814697</v>
      </c>
      <c r="T460">
        <f t="shared" si="983"/>
        <v>-9.8189775115814698E-2</v>
      </c>
    </row>
    <row r="461" spans="1:20" x14ac:dyDescent="0.25">
      <c r="A461" s="5">
        <v>44132</v>
      </c>
      <c r="B461">
        <v>0.51659999999999995</v>
      </c>
      <c r="C461">
        <v>0.58220000000000005</v>
      </c>
      <c r="D461">
        <v>0.49170000000000003</v>
      </c>
      <c r="E461">
        <v>0.52559999999999996</v>
      </c>
      <c r="F461">
        <v>16372904.82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-0.25082872928176969</v>
      </c>
      <c r="Q461">
        <f t="shared" si="980"/>
        <v>-4106794.9106519623</v>
      </c>
      <c r="R461">
        <f t="shared" si="981"/>
        <v>-3338411.9509656285</v>
      </c>
      <c r="S461">
        <f t="shared" si="982"/>
        <v>-33.384119509656287</v>
      </c>
      <c r="T461">
        <f t="shared" si="983"/>
        <v>-3.3384119509656286E-2</v>
      </c>
    </row>
    <row r="462" spans="1:20" x14ac:dyDescent="0.25">
      <c r="A462" s="5">
        <v>44131</v>
      </c>
      <c r="B462">
        <v>0.45400000000000001</v>
      </c>
      <c r="C462">
        <v>0.56079999999999997</v>
      </c>
      <c r="D462">
        <v>0.43640000000000001</v>
      </c>
      <c r="E462">
        <v>0.51659999999999995</v>
      </c>
      <c r="F462">
        <v>13224691.800000001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0.28938906752411525</v>
      </c>
      <c r="Q462">
        <f t="shared" si="980"/>
        <v>3827081.2282958133</v>
      </c>
      <c r="R462">
        <f t="shared" si="981"/>
        <v>768382.95968633378</v>
      </c>
      <c r="S462">
        <f t="shared" si="982"/>
        <v>7.6838295968633377</v>
      </c>
      <c r="T462">
        <f t="shared" si="983"/>
        <v>7.6838295968633379E-3</v>
      </c>
    </row>
    <row r="463" spans="1:20" x14ac:dyDescent="0.25">
      <c r="A463" s="5">
        <v>44130</v>
      </c>
      <c r="B463">
        <v>0.438</v>
      </c>
      <c r="C463">
        <v>0.51500000000000001</v>
      </c>
      <c r="D463">
        <v>0.4</v>
      </c>
      <c r="E463">
        <v>0.45540000000000003</v>
      </c>
      <c r="F463">
        <v>13045104.68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-3.6521739130434626E-2</v>
      </c>
      <c r="Q463">
        <f t="shared" si="980"/>
        <v>-476429.91005217185</v>
      </c>
      <c r="R463">
        <f t="shared" si="981"/>
        <v>-3058698.2686094795</v>
      </c>
      <c r="S463">
        <f t="shared" si="982"/>
        <v>-30.586982686094796</v>
      </c>
      <c r="T463">
        <f t="shared" si="983"/>
        <v>-3.0586982686094798E-2</v>
      </c>
    </row>
    <row r="464" spans="1:20" x14ac:dyDescent="0.25">
      <c r="A464" s="5">
        <v>44129</v>
      </c>
      <c r="B464">
        <v>0.4345</v>
      </c>
      <c r="C464">
        <v>0.49359999999999998</v>
      </c>
      <c r="D464">
        <v>0.4264</v>
      </c>
      <c r="E464">
        <v>0.43719999999999998</v>
      </c>
      <c r="F464">
        <v>7234030.1200000001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-0.67857142857142916</v>
      </c>
      <c r="Q464">
        <f t="shared" si="980"/>
        <v>-4908806.1528571472</v>
      </c>
      <c r="R464">
        <f t="shared" si="981"/>
        <v>-2582268.3585573076</v>
      </c>
      <c r="S464">
        <f t="shared" si="982"/>
        <v>-25.822683585573078</v>
      </c>
      <c r="T464">
        <f t="shared" si="983"/>
        <v>-2.5822683585573079E-2</v>
      </c>
    </row>
    <row r="465" spans="1:20" x14ac:dyDescent="0.25">
      <c r="A465" s="5">
        <v>44128</v>
      </c>
      <c r="B465">
        <v>0.39650000000000002</v>
      </c>
      <c r="C465">
        <v>0.45519999999999999</v>
      </c>
      <c r="D465">
        <v>0.38450000000000001</v>
      </c>
      <c r="E465">
        <v>0.43409999999999999</v>
      </c>
      <c r="F465">
        <v>6808274.1500000004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0.40311173974540276</v>
      </c>
      <c r="Q465">
        <f t="shared" si="980"/>
        <v>2744495.2372701536</v>
      </c>
      <c r="R465">
        <f t="shared" si="981"/>
        <v>2326537.7942998395</v>
      </c>
      <c r="S465">
        <f t="shared" si="982"/>
        <v>23.265377942998395</v>
      </c>
      <c r="T465">
        <f t="shared" si="983"/>
        <v>2.3265377942998395E-2</v>
      </c>
    </row>
    <row r="466" spans="1:20" x14ac:dyDescent="0.25">
      <c r="A466" s="5">
        <v>44127</v>
      </c>
      <c r="B466">
        <v>0.3468</v>
      </c>
      <c r="C466">
        <v>0.41</v>
      </c>
      <c r="D466">
        <v>0.33560000000000001</v>
      </c>
      <c r="E466">
        <v>0.39650000000000002</v>
      </c>
      <c r="F466">
        <v>4463202.78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0.63709677419354938</v>
      </c>
      <c r="Q466">
        <f t="shared" si="980"/>
        <v>2843492.0937096821</v>
      </c>
      <c r="R466">
        <f t="shared" si="981"/>
        <v>-417957.44297031406</v>
      </c>
      <c r="S466">
        <f t="shared" si="982"/>
        <v>-4.1795744297031403</v>
      </c>
      <c r="T466">
        <f t="shared" si="983"/>
        <v>-4.1795744297031404E-3</v>
      </c>
    </row>
    <row r="467" spans="1:20" x14ac:dyDescent="0.25">
      <c r="A467" s="5">
        <v>44126</v>
      </c>
      <c r="B467">
        <v>0.34200000000000003</v>
      </c>
      <c r="C467">
        <v>0.36430000000000001</v>
      </c>
      <c r="D467">
        <v>0.33839999999999998</v>
      </c>
      <c r="E467">
        <v>0.34649999999999997</v>
      </c>
      <c r="F467">
        <v>2027093.81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-0.37451737451737566</v>
      </c>
      <c r="Q467">
        <f t="shared" si="980"/>
        <v>-759181.85162162397</v>
      </c>
      <c r="R467">
        <f t="shared" si="981"/>
        <v>-3261449.5366799962</v>
      </c>
      <c r="S467">
        <f t="shared" si="982"/>
        <v>-32.614495366799964</v>
      </c>
      <c r="T467">
        <f t="shared" si="983"/>
        <v>-3.2614495366799966E-2</v>
      </c>
    </row>
    <row r="468" spans="1:20" x14ac:dyDescent="0.25">
      <c r="A468" s="5">
        <v>44125</v>
      </c>
      <c r="B468">
        <v>0.33639999999999998</v>
      </c>
      <c r="C468">
        <v>0.35249999999999998</v>
      </c>
      <c r="D468">
        <v>0.32579999999999998</v>
      </c>
      <c r="E468">
        <v>0.34150000000000003</v>
      </c>
      <c r="F468">
        <v>2988986.14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0.17602996254681996</v>
      </c>
      <c r="Q468">
        <f t="shared" si="980"/>
        <v>526151.11827716394</v>
      </c>
      <c r="R468">
        <f t="shared" si="981"/>
        <v>-2502267.6850583721</v>
      </c>
      <c r="S468">
        <f t="shared" si="982"/>
        <v>-25.022676850583721</v>
      </c>
      <c r="T468">
        <f t="shared" si="983"/>
        <v>-2.5022676850583722E-2</v>
      </c>
    </row>
    <row r="469" spans="1:20" x14ac:dyDescent="0.25">
      <c r="A469" s="5">
        <v>44124</v>
      </c>
      <c r="B469">
        <v>0.35570000000000002</v>
      </c>
      <c r="C469">
        <v>0.35820000000000002</v>
      </c>
      <c r="D469">
        <v>0.32519999999999999</v>
      </c>
      <c r="E469">
        <v>0.33610000000000001</v>
      </c>
      <c r="F469">
        <v>2156281.92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-0.33939393939393875</v>
      </c>
      <c r="Q469">
        <f t="shared" si="980"/>
        <v>-731829.01527272584</v>
      </c>
      <c r="R469">
        <f t="shared" si="981"/>
        <v>-3028418.8033355358</v>
      </c>
      <c r="S469">
        <f t="shared" si="982"/>
        <v>-30.28418803335536</v>
      </c>
      <c r="T469">
        <f t="shared" si="983"/>
        <v>-3.028418803335536E-2</v>
      </c>
    </row>
    <row r="470" spans="1:20" x14ac:dyDescent="0.25">
      <c r="A470" s="5">
        <v>44123</v>
      </c>
      <c r="B470">
        <v>0.38519999999999999</v>
      </c>
      <c r="C470">
        <v>0.38600000000000001</v>
      </c>
      <c r="D470">
        <v>0.3543</v>
      </c>
      <c r="E470">
        <v>0.35560000000000003</v>
      </c>
      <c r="F470">
        <v>3170806.24</v>
      </c>
      <c r="G470">
        <v>0</v>
      </c>
      <c r="L470" t="s">
        <v>7</v>
      </c>
      <c r="M470" t="s">
        <v>8</v>
      </c>
      <c r="N470" t="s">
        <v>8</v>
      </c>
      <c r="P470">
        <f t="shared" si="979"/>
        <v>-0.91798107255520356</v>
      </c>
      <c r="Q470">
        <f t="shared" si="980"/>
        <v>-2910740.1130599324</v>
      </c>
      <c r="R470">
        <f t="shared" si="981"/>
        <v>-2296589.78806281</v>
      </c>
      <c r="S470">
        <f t="shared" si="982"/>
        <v>-22.965897880628098</v>
      </c>
      <c r="T470">
        <f t="shared" si="983"/>
        <v>-2.2965897880628097E-2</v>
      </c>
    </row>
    <row r="471" spans="1:20" x14ac:dyDescent="0.25">
      <c r="A471" s="5">
        <v>44122</v>
      </c>
      <c r="B471">
        <v>0.3463</v>
      </c>
      <c r="C471">
        <v>0.3851</v>
      </c>
      <c r="D471">
        <v>0.34379999999999999</v>
      </c>
      <c r="E471">
        <v>0.3851</v>
      </c>
      <c r="F471">
        <v>2099881.39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1</v>
      </c>
      <c r="Q471">
        <f t="shared" si="980"/>
        <v>2099881.39</v>
      </c>
      <c r="R471">
        <f t="shared" si="981"/>
        <v>614150.32499712217</v>
      </c>
      <c r="S471">
        <f t="shared" si="982"/>
        <v>6.1415032499712217</v>
      </c>
      <c r="T471">
        <f t="shared" si="983"/>
        <v>6.1415032499712221E-3</v>
      </c>
    </row>
    <row r="472" spans="1:20" x14ac:dyDescent="0.25">
      <c r="A472" s="5">
        <v>44121</v>
      </c>
      <c r="B472">
        <v>0.3372</v>
      </c>
      <c r="C472">
        <v>0.35260000000000002</v>
      </c>
      <c r="D472">
        <v>0.33460000000000001</v>
      </c>
      <c r="E472">
        <v>0.34639999999999999</v>
      </c>
      <c r="F472">
        <v>749463.64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0.3111111111111074</v>
      </c>
      <c r="Q472">
        <f t="shared" si="980"/>
        <v>233166.46577777501</v>
      </c>
      <c r="R472">
        <f t="shared" si="981"/>
        <v>-1485731.065002878</v>
      </c>
      <c r="S472">
        <f t="shared" si="982"/>
        <v>-14.857310650028779</v>
      </c>
      <c r="T472">
        <f t="shared" si="983"/>
        <v>-1.4857310650028779E-2</v>
      </c>
    </row>
    <row r="473" spans="1:20" x14ac:dyDescent="0.25">
      <c r="A473" s="5">
        <v>44120</v>
      </c>
      <c r="B473">
        <v>0.3715</v>
      </c>
      <c r="C473">
        <v>0.37480000000000002</v>
      </c>
      <c r="D473">
        <v>0.33289999999999997</v>
      </c>
      <c r="E473">
        <v>0.33700000000000002</v>
      </c>
      <c r="F473">
        <v>2181651.2400000002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-0.80429594272076166</v>
      </c>
      <c r="Q473">
        <f t="shared" si="980"/>
        <v>-1754693.2407637187</v>
      </c>
      <c r="R473">
        <f t="shared" si="981"/>
        <v>-1718897.530780653</v>
      </c>
      <c r="S473">
        <f t="shared" si="982"/>
        <v>-17.18897530780653</v>
      </c>
      <c r="T473">
        <f t="shared" si="983"/>
        <v>-1.7188975307806529E-2</v>
      </c>
    </row>
    <row r="474" spans="1:20" x14ac:dyDescent="0.25">
      <c r="A474" s="5">
        <v>44119</v>
      </c>
      <c r="B474">
        <v>0.36120000000000002</v>
      </c>
      <c r="C474">
        <v>0.38500000000000001</v>
      </c>
      <c r="D474">
        <v>0.3372</v>
      </c>
      <c r="E474">
        <v>0.3715</v>
      </c>
      <c r="F474">
        <v>2135296.77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0.43514644351464393</v>
      </c>
      <c r="Q474">
        <f t="shared" si="980"/>
        <v>929166.79531380662</v>
      </c>
      <c r="R474">
        <f t="shared" si="981"/>
        <v>35795.709983065608</v>
      </c>
      <c r="S474">
        <f t="shared" si="982"/>
        <v>0.3579570998306561</v>
      </c>
      <c r="T474">
        <f t="shared" si="983"/>
        <v>3.5795709983065611E-4</v>
      </c>
    </row>
    <row r="475" spans="1:20" x14ac:dyDescent="0.25">
      <c r="A475" s="5">
        <v>44118</v>
      </c>
      <c r="B475">
        <v>0.37190000000000001</v>
      </c>
      <c r="C475">
        <v>0.3881</v>
      </c>
      <c r="D475">
        <v>0.35010000000000002</v>
      </c>
      <c r="E475">
        <v>0.36099999999999999</v>
      </c>
      <c r="F475">
        <v>2500163.09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-0.4263157894736857</v>
      </c>
      <c r="Q475">
        <f t="shared" si="980"/>
        <v>-1065859.0015263194</v>
      </c>
      <c r="R475">
        <f t="shared" si="981"/>
        <v>-893371.08533074101</v>
      </c>
      <c r="S475">
        <f t="shared" si="982"/>
        <v>-8.9337108533074101</v>
      </c>
      <c r="T475">
        <f t="shared" si="983"/>
        <v>-8.9337108533074101E-3</v>
      </c>
    </row>
    <row r="476" spans="1:20" x14ac:dyDescent="0.25">
      <c r="A476" s="5">
        <v>44117</v>
      </c>
      <c r="B476">
        <v>0.37869999999999998</v>
      </c>
      <c r="C476">
        <v>0.38269999999999998</v>
      </c>
      <c r="D476">
        <v>0.34639999999999999</v>
      </c>
      <c r="E476">
        <v>0.37219999999999998</v>
      </c>
      <c r="F476">
        <v>3430574.6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0.42148760330578461</v>
      </c>
      <c r="Q476">
        <f t="shared" si="980"/>
        <v>1445944.6661157007</v>
      </c>
      <c r="R476">
        <f t="shared" si="981"/>
        <v>172487.91619557841</v>
      </c>
      <c r="S476">
        <f t="shared" si="982"/>
        <v>1.7248791619557842</v>
      </c>
      <c r="T476">
        <f t="shared" si="983"/>
        <v>1.7248791619557842E-3</v>
      </c>
    </row>
    <row r="477" spans="1:20" x14ac:dyDescent="0.25">
      <c r="A477" s="5">
        <v>44116</v>
      </c>
      <c r="B477">
        <v>0.30719999999999997</v>
      </c>
      <c r="C477">
        <v>0.38</v>
      </c>
      <c r="D477">
        <v>0.30370000000000003</v>
      </c>
      <c r="E477">
        <v>0.37869999999999998</v>
      </c>
      <c r="F477">
        <v>5439765.0700000003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0.96592398427260751</v>
      </c>
      <c r="Q477">
        <f t="shared" si="980"/>
        <v>5254399.5499213599</v>
      </c>
      <c r="R477">
        <f t="shared" si="981"/>
        <v>-1273456.7499201223</v>
      </c>
      <c r="S477">
        <f t="shared" si="982"/>
        <v>-12.734567499201223</v>
      </c>
      <c r="T477">
        <f t="shared" si="983"/>
        <v>-1.2734567499201222E-2</v>
      </c>
    </row>
    <row r="478" spans="1:20" x14ac:dyDescent="0.25">
      <c r="A478" s="5">
        <v>44115</v>
      </c>
      <c r="B478">
        <v>0.31080000000000002</v>
      </c>
      <c r="C478">
        <v>0.32550000000000001</v>
      </c>
      <c r="D478">
        <v>0.30320000000000003</v>
      </c>
      <c r="E478">
        <v>0.30599999999999999</v>
      </c>
      <c r="F478">
        <v>1790924.49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-0.74887892376681875</v>
      </c>
      <c r="Q478">
        <f t="shared" si="980"/>
        <v>-1341185.6046188388</v>
      </c>
      <c r="R478">
        <f t="shared" si="981"/>
        <v>-6527856.2998414822</v>
      </c>
      <c r="S478">
        <f t="shared" si="982"/>
        <v>-65.278562998414827</v>
      </c>
      <c r="T478">
        <f t="shared" si="983"/>
        <v>-6.5278562998414821E-2</v>
      </c>
    </row>
    <row r="479" spans="1:20" x14ac:dyDescent="0.25">
      <c r="A479" s="5">
        <v>44114</v>
      </c>
      <c r="B479">
        <v>0.3332</v>
      </c>
      <c r="C479">
        <v>0.35</v>
      </c>
      <c r="D479">
        <v>0.30740000000000001</v>
      </c>
      <c r="E479">
        <v>0.31109999999999999</v>
      </c>
      <c r="F479">
        <v>3028058.6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-0.8262910798122074</v>
      </c>
      <c r="Q479">
        <f t="shared" si="980"/>
        <v>-2502057.810328641</v>
      </c>
      <c r="R479">
        <f t="shared" si="981"/>
        <v>-5186670.6952226432</v>
      </c>
      <c r="S479">
        <f t="shared" si="982"/>
        <v>-51.86670695222643</v>
      </c>
      <c r="T479">
        <f t="shared" si="983"/>
        <v>-5.1866706952226428E-2</v>
      </c>
    </row>
    <row r="480" spans="1:20" x14ac:dyDescent="0.25">
      <c r="A480" s="5">
        <v>44113</v>
      </c>
      <c r="B480">
        <v>0.31</v>
      </c>
      <c r="C480">
        <v>0.33779999999999999</v>
      </c>
      <c r="D480">
        <v>0.30259999999999998</v>
      </c>
      <c r="E480">
        <v>0.33360000000000001</v>
      </c>
      <c r="F480">
        <v>2012187.61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0.76136363636363746</v>
      </c>
      <c r="Q480">
        <f t="shared" si="980"/>
        <v>1532006.4757954569</v>
      </c>
      <c r="R480">
        <f t="shared" si="981"/>
        <v>-2684612.8848940022</v>
      </c>
      <c r="S480">
        <f t="shared" si="982"/>
        <v>-26.846128848940022</v>
      </c>
      <c r="T480">
        <f t="shared" si="983"/>
        <v>-2.6846128848940023E-2</v>
      </c>
    </row>
    <row r="481" spans="1:20" x14ac:dyDescent="0.25">
      <c r="A481" s="5">
        <v>44112</v>
      </c>
      <c r="B481">
        <v>0.30130000000000001</v>
      </c>
      <c r="C481">
        <v>0.3196</v>
      </c>
      <c r="D481">
        <v>0.27850000000000003</v>
      </c>
      <c r="E481">
        <v>0.31</v>
      </c>
      <c r="F481">
        <v>4104227.88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0.53284671532846695</v>
      </c>
      <c r="Q481">
        <f t="shared" si="980"/>
        <v>2186924.3448175173</v>
      </c>
      <c r="R481">
        <f t="shared" si="981"/>
        <v>-4216619.3606894594</v>
      </c>
      <c r="S481">
        <f t="shared" si="982"/>
        <v>-42.166193606894595</v>
      </c>
      <c r="T481">
        <f t="shared" si="983"/>
        <v>-4.2166193606894595E-2</v>
      </c>
    </row>
    <row r="482" spans="1:20" x14ac:dyDescent="0.25">
      <c r="A482" s="5">
        <v>44111</v>
      </c>
      <c r="B482">
        <v>0.25509999999999999</v>
      </c>
      <c r="C482">
        <v>0.32250000000000001</v>
      </c>
      <c r="D482">
        <v>0.23960000000000001</v>
      </c>
      <c r="E482">
        <v>0.30030000000000001</v>
      </c>
      <c r="F482">
        <v>6930497.9500000002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0.46441495778045844</v>
      </c>
      <c r="Q482">
        <f t="shared" si="980"/>
        <v>3218626.9128468037</v>
      </c>
      <c r="R482">
        <f t="shared" si="981"/>
        <v>-6403543.7055069767</v>
      </c>
      <c r="S482">
        <f t="shared" si="982"/>
        <v>-64.035437055069764</v>
      </c>
      <c r="T482">
        <f t="shared" si="983"/>
        <v>-6.4035437055069769E-2</v>
      </c>
    </row>
    <row r="483" spans="1:20" x14ac:dyDescent="0.25">
      <c r="A483" s="5">
        <v>44110</v>
      </c>
      <c r="B483">
        <v>0.31590000000000001</v>
      </c>
      <c r="C483">
        <v>0.3276</v>
      </c>
      <c r="D483">
        <v>0.24890000000000001</v>
      </c>
      <c r="E483">
        <v>0.25509999999999999</v>
      </c>
      <c r="F483">
        <v>5329614.1900000004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-0.84243964421855189</v>
      </c>
      <c r="Q483">
        <f t="shared" si="980"/>
        <v>-4489878.2820457462</v>
      </c>
      <c r="R483">
        <f t="shared" si="981"/>
        <v>-9622170.6183537804</v>
      </c>
      <c r="S483">
        <f t="shared" si="982"/>
        <v>-96.221706183537805</v>
      </c>
      <c r="T483">
        <f t="shared" si="983"/>
        <v>-9.62217061835378E-2</v>
      </c>
    </row>
    <row r="484" spans="1:20" x14ac:dyDescent="0.25">
      <c r="A484" s="5">
        <v>44109</v>
      </c>
      <c r="B484">
        <v>0.3417</v>
      </c>
      <c r="C484">
        <v>0.34770000000000001</v>
      </c>
      <c r="D484">
        <v>0.30709999999999998</v>
      </c>
      <c r="E484">
        <v>0.31590000000000001</v>
      </c>
      <c r="F484">
        <v>3479767.97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-0.56650246305418595</v>
      </c>
      <c r="Q484">
        <f t="shared" si="980"/>
        <v>-1971297.1258620648</v>
      </c>
      <c r="R484">
        <f t="shared" si="981"/>
        <v>-5132292.3363080332</v>
      </c>
      <c r="S484">
        <f t="shared" si="982"/>
        <v>-51.322923363080335</v>
      </c>
      <c r="T484">
        <f t="shared" si="983"/>
        <v>-5.1322923363080336E-2</v>
      </c>
    </row>
    <row r="485" spans="1:20" x14ac:dyDescent="0.25">
      <c r="A485" s="5">
        <v>44108</v>
      </c>
      <c r="B485">
        <v>0.35649999999999998</v>
      </c>
      <c r="C485">
        <v>0.35780000000000001</v>
      </c>
      <c r="D485">
        <v>0.33019999999999999</v>
      </c>
      <c r="E485">
        <v>0.34250000000000003</v>
      </c>
      <c r="F485">
        <v>2160845.5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-0.10869565217391107</v>
      </c>
      <c r="Q485">
        <f t="shared" si="980"/>
        <v>-234874.51086956097</v>
      </c>
      <c r="R485">
        <f t="shared" si="981"/>
        <v>-3160995.2104459684</v>
      </c>
      <c r="S485">
        <f t="shared" si="982"/>
        <v>-31.609952104459683</v>
      </c>
      <c r="T485">
        <f t="shared" si="983"/>
        <v>-3.1609952104459681E-2</v>
      </c>
    </row>
    <row r="486" spans="1:20" x14ac:dyDescent="0.25">
      <c r="A486" s="5">
        <v>44107</v>
      </c>
      <c r="B486">
        <v>0.36070000000000002</v>
      </c>
      <c r="C486">
        <v>0.36909999999999998</v>
      </c>
      <c r="D486">
        <v>0.3538</v>
      </c>
      <c r="E486">
        <v>0.35510000000000003</v>
      </c>
      <c r="F486">
        <v>2641569.38</v>
      </c>
      <c r="G486">
        <v>0</v>
      </c>
      <c r="L486" t="s">
        <v>7</v>
      </c>
      <c r="M486" t="s">
        <v>8</v>
      </c>
      <c r="N486" t="s">
        <v>8</v>
      </c>
      <c r="P486">
        <f t="shared" si="979"/>
        <v>-0.8300653594771209</v>
      </c>
      <c r="Q486">
        <f t="shared" si="980"/>
        <v>-2192675.2369934553</v>
      </c>
      <c r="R486">
        <f t="shared" si="981"/>
        <v>-2926120.6995764077</v>
      </c>
      <c r="S486">
        <f t="shared" si="982"/>
        <v>-29.261206995764077</v>
      </c>
      <c r="T486">
        <f t="shared" si="983"/>
        <v>-2.9261206995764077E-2</v>
      </c>
    </row>
    <row r="487" spans="1:20" x14ac:dyDescent="0.25">
      <c r="A487" s="5">
        <v>44106</v>
      </c>
      <c r="B487">
        <v>0.38669999999999999</v>
      </c>
      <c r="C487">
        <v>0.4</v>
      </c>
      <c r="D487">
        <v>0.35</v>
      </c>
      <c r="E487">
        <v>0.36099999999999999</v>
      </c>
      <c r="F487">
        <v>5765071.9900000002</v>
      </c>
      <c r="G487">
        <v>0</v>
      </c>
      <c r="L487" t="s">
        <v>7</v>
      </c>
      <c r="M487" t="s">
        <v>8</v>
      </c>
      <c r="N487" t="s">
        <v>8</v>
      </c>
      <c r="P487">
        <f t="shared" si="979"/>
        <v>-0.56000000000000005</v>
      </c>
      <c r="Q487">
        <f t="shared" si="980"/>
        <v>-3228440.3144000005</v>
      </c>
      <c r="R487">
        <f t="shared" si="981"/>
        <v>-733445.46258295234</v>
      </c>
      <c r="S487">
        <f t="shared" si="982"/>
        <v>-7.3344546258295233</v>
      </c>
      <c r="T487">
        <f t="shared" si="983"/>
        <v>-7.3344546258295234E-3</v>
      </c>
    </row>
    <row r="488" spans="1:20" x14ac:dyDescent="0.25">
      <c r="A488" s="5">
        <v>44105</v>
      </c>
      <c r="B488">
        <v>0.37030000000000002</v>
      </c>
      <c r="C488">
        <v>0.40500000000000003</v>
      </c>
      <c r="D488">
        <v>0.34410000000000002</v>
      </c>
      <c r="E488">
        <v>0.38650000000000001</v>
      </c>
      <c r="F488">
        <v>5434542.9900000002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0.39244663382594375</v>
      </c>
      <c r="Q488">
        <f t="shared" si="980"/>
        <v>2132768.1028078794</v>
      </c>
      <c r="R488">
        <f t="shared" si="981"/>
        <v>2494994.8518170482</v>
      </c>
      <c r="S488">
        <f t="shared" si="982"/>
        <v>24.94994851817048</v>
      </c>
      <c r="T488">
        <f t="shared" si="983"/>
        <v>2.4949948518170478E-2</v>
      </c>
    </row>
    <row r="489" spans="1:20" x14ac:dyDescent="0.25">
      <c r="A489" s="5">
        <v>44104</v>
      </c>
      <c r="B489">
        <v>0.35980000000000001</v>
      </c>
      <c r="C489">
        <v>0.38</v>
      </c>
      <c r="D489">
        <v>0.34289999999999998</v>
      </c>
      <c r="E489">
        <v>0.37059999999999998</v>
      </c>
      <c r="F489">
        <v>3442388.44</v>
      </c>
      <c r="G489">
        <v>0</v>
      </c>
      <c r="L489" t="s">
        <v>8</v>
      </c>
      <c r="M489" t="s">
        <v>7</v>
      </c>
      <c r="N489" t="s">
        <v>8</v>
      </c>
      <c r="P489">
        <f t="shared" si="979"/>
        <v>0.49326145552560574</v>
      </c>
      <c r="Q489">
        <f t="shared" si="980"/>
        <v>1697997.5323989193</v>
      </c>
      <c r="R489">
        <f t="shared" si="981"/>
        <v>362226.74900916847</v>
      </c>
      <c r="S489">
        <f t="shared" si="982"/>
        <v>3.6222674900916849</v>
      </c>
      <c r="T489">
        <f t="shared" si="983"/>
        <v>3.6222674900916849E-3</v>
      </c>
    </row>
    <row r="490" spans="1:20" x14ac:dyDescent="0.25">
      <c r="A490" s="5">
        <v>44103</v>
      </c>
      <c r="B490">
        <v>0.34339999999999998</v>
      </c>
      <c r="C490">
        <v>0.36170000000000002</v>
      </c>
      <c r="D490">
        <v>0.34</v>
      </c>
      <c r="E490">
        <v>0.36059999999999998</v>
      </c>
      <c r="F490">
        <v>2475090.6800000002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0.8986175115207331</v>
      </c>
      <c r="Q490">
        <f t="shared" si="980"/>
        <v>2224159.8276497591</v>
      </c>
      <c r="R490">
        <f t="shared" si="981"/>
        <v>-1335770.7833897509</v>
      </c>
      <c r="S490">
        <f t="shared" si="982"/>
        <v>-13.357707833897509</v>
      </c>
      <c r="T490">
        <f t="shared" si="983"/>
        <v>-1.3357707833897508E-2</v>
      </c>
    </row>
    <row r="491" spans="1:20" x14ac:dyDescent="0.25">
      <c r="A491" s="5">
        <v>44102</v>
      </c>
      <c r="B491">
        <v>0.38819999999999999</v>
      </c>
      <c r="C491">
        <v>0.39140000000000003</v>
      </c>
      <c r="D491">
        <v>0.3427</v>
      </c>
      <c r="E491">
        <v>0.34350000000000003</v>
      </c>
      <c r="F491">
        <v>3633507.22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-0.96714579055441385</v>
      </c>
      <c r="Q491">
        <f t="shared" si="980"/>
        <v>-3514131.2127720709</v>
      </c>
      <c r="R491">
        <f t="shared" si="981"/>
        <v>-3559930.61103951</v>
      </c>
      <c r="S491">
        <f t="shared" si="982"/>
        <v>-35.599306110395098</v>
      </c>
      <c r="T491">
        <f t="shared" si="983"/>
        <v>-3.55993061103951E-2</v>
      </c>
    </row>
    <row r="492" spans="1:20" x14ac:dyDescent="0.25">
      <c r="A492" s="5">
        <v>44101</v>
      </c>
      <c r="B492">
        <v>0.39479999999999998</v>
      </c>
      <c r="C492">
        <v>0.40450000000000003</v>
      </c>
      <c r="D492">
        <v>0.35549999999999998</v>
      </c>
      <c r="E492">
        <v>0.38650000000000001</v>
      </c>
      <c r="F492">
        <v>4062498.15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0.26530612244897961</v>
      </c>
      <c r="Q492">
        <f t="shared" si="980"/>
        <v>1077805.6316326531</v>
      </c>
      <c r="R492">
        <f t="shared" si="981"/>
        <v>-45799.398267439334</v>
      </c>
      <c r="S492">
        <f t="shared" si="982"/>
        <v>-0.45799398267439334</v>
      </c>
      <c r="T492">
        <f t="shared" si="983"/>
        <v>-4.5799398267439332E-4</v>
      </c>
    </row>
    <row r="493" spans="1:20" x14ac:dyDescent="0.25">
      <c r="A493" s="5">
        <v>44100</v>
      </c>
      <c r="B493">
        <v>0.4219</v>
      </c>
      <c r="C493">
        <v>0.4244</v>
      </c>
      <c r="D493">
        <v>0.38140000000000002</v>
      </c>
      <c r="E493">
        <v>0.39400000000000002</v>
      </c>
      <c r="F493">
        <v>3238127.03</v>
      </c>
      <c r="G493">
        <v>0</v>
      </c>
      <c r="L493" t="s">
        <v>7</v>
      </c>
      <c r="M493" t="s">
        <v>8</v>
      </c>
      <c r="N493" t="s">
        <v>8</v>
      </c>
      <c r="P493">
        <f t="shared" si="979"/>
        <v>-0.41395348837209278</v>
      </c>
      <c r="Q493">
        <f t="shared" si="980"/>
        <v>-1340433.9798604643</v>
      </c>
      <c r="R493">
        <f t="shared" si="981"/>
        <v>-1123605.0299000924</v>
      </c>
      <c r="S493">
        <f t="shared" si="982"/>
        <v>-11.236050299000924</v>
      </c>
      <c r="T493">
        <f t="shared" si="983"/>
        <v>-1.1236050299000924E-2</v>
      </c>
    </row>
    <row r="494" spans="1:20" x14ac:dyDescent="0.25">
      <c r="A494" s="5">
        <v>44099</v>
      </c>
      <c r="B494">
        <v>0.40500000000000003</v>
      </c>
      <c r="C494">
        <v>0.4229</v>
      </c>
      <c r="D494">
        <v>0.38279999999999997</v>
      </c>
      <c r="E494">
        <v>0.42209999999999998</v>
      </c>
      <c r="F494">
        <v>2696182.49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0.96009975062344033</v>
      </c>
      <c r="Q494">
        <f t="shared" si="980"/>
        <v>2588604.1362842866</v>
      </c>
      <c r="R494">
        <f t="shared" si="981"/>
        <v>216828.94996037195</v>
      </c>
      <c r="S494">
        <f t="shared" si="982"/>
        <v>2.1682894996037194</v>
      </c>
      <c r="T494">
        <f t="shared" si="983"/>
        <v>2.1682894996037194E-3</v>
      </c>
    </row>
    <row r="495" spans="1:20" x14ac:dyDescent="0.25">
      <c r="A495" s="5">
        <v>44098</v>
      </c>
      <c r="B495">
        <v>0.35610000000000003</v>
      </c>
      <c r="C495">
        <v>0.41</v>
      </c>
      <c r="D495">
        <v>0.3483</v>
      </c>
      <c r="E495">
        <v>0.40479999999999999</v>
      </c>
      <c r="F495">
        <v>4090328.86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0.83144246353322582</v>
      </c>
      <c r="Q495">
        <f t="shared" si="980"/>
        <v>3400873.104019451</v>
      </c>
      <c r="R495">
        <f t="shared" si="981"/>
        <v>-2371775.1863239147</v>
      </c>
      <c r="S495">
        <f t="shared" si="982"/>
        <v>-23.717751863239148</v>
      </c>
      <c r="T495">
        <f t="shared" si="983"/>
        <v>-2.3717751863239149E-2</v>
      </c>
    </row>
    <row r="496" spans="1:20" x14ac:dyDescent="0.25">
      <c r="A496" s="5">
        <v>44097</v>
      </c>
      <c r="B496">
        <v>0.3725</v>
      </c>
      <c r="C496">
        <v>0.39789999999999998</v>
      </c>
      <c r="D496">
        <v>0.33250000000000002</v>
      </c>
      <c r="E496">
        <v>0.35610000000000003</v>
      </c>
      <c r="F496">
        <v>4222884.55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-0.27828746177369956</v>
      </c>
      <c r="Q496">
        <f t="shared" si="980"/>
        <v>-1175175.8227828713</v>
      </c>
      <c r="R496">
        <f t="shared" si="981"/>
        <v>-5772648.2903433656</v>
      </c>
      <c r="S496">
        <f t="shared" si="982"/>
        <v>-57.726482903433656</v>
      </c>
      <c r="T496">
        <f t="shared" si="983"/>
        <v>-5.7726482903433657E-2</v>
      </c>
    </row>
    <row r="497" spans="1:20" x14ac:dyDescent="0.25">
      <c r="A497" s="5">
        <v>44096</v>
      </c>
      <c r="B497">
        <v>0.34460000000000002</v>
      </c>
      <c r="C497">
        <v>0.38700000000000001</v>
      </c>
      <c r="D497">
        <v>0.32800000000000001</v>
      </c>
      <c r="E497">
        <v>0.37240000000000001</v>
      </c>
      <c r="F497">
        <v>4503957.97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0.50508474576271178</v>
      </c>
      <c r="Q497">
        <f t="shared" si="980"/>
        <v>2274880.4662033892</v>
      </c>
      <c r="R497">
        <f t="shared" si="981"/>
        <v>-4597472.4675604943</v>
      </c>
      <c r="S497">
        <f t="shared" si="982"/>
        <v>-45.974724675604946</v>
      </c>
      <c r="T497">
        <f t="shared" si="983"/>
        <v>-4.5974724675604949E-2</v>
      </c>
    </row>
    <row r="498" spans="1:20" x14ac:dyDescent="0.25">
      <c r="A498" s="5">
        <v>44095</v>
      </c>
      <c r="B498">
        <v>0.3674</v>
      </c>
      <c r="C498">
        <v>0.39360000000000001</v>
      </c>
      <c r="D498">
        <v>0.29330000000000001</v>
      </c>
      <c r="E498">
        <v>0.34250000000000003</v>
      </c>
      <c r="F498">
        <v>6150634.7400000002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-1.8943170488533972E-2</v>
      </c>
      <c r="Q498">
        <f t="shared" si="980"/>
        <v>-116512.52249251983</v>
      </c>
      <c r="R498">
        <f t="shared" si="981"/>
        <v>-6872352.933763884</v>
      </c>
      <c r="S498">
        <f t="shared" si="982"/>
        <v>-68.723529337638837</v>
      </c>
      <c r="T498">
        <f t="shared" si="983"/>
        <v>-6.8723529337638839E-2</v>
      </c>
    </row>
    <row r="499" spans="1:20" x14ac:dyDescent="0.25">
      <c r="A499" s="5">
        <v>44094</v>
      </c>
      <c r="B499">
        <v>0.41760000000000003</v>
      </c>
      <c r="C499">
        <v>0.4249</v>
      </c>
      <c r="D499">
        <v>0.3352</v>
      </c>
      <c r="E499">
        <v>0.36830000000000002</v>
      </c>
      <c r="F499">
        <v>5158158.2300000004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-0.26198439241917465</v>
      </c>
      <c r="Q499">
        <f t="shared" si="980"/>
        <v>-1351356.9498885155</v>
      </c>
      <c r="R499">
        <f t="shared" si="981"/>
        <v>-6755840.4112713644</v>
      </c>
      <c r="S499">
        <f t="shared" si="982"/>
        <v>-67.558404112713646</v>
      </c>
      <c r="T499">
        <f t="shared" si="983"/>
        <v>-6.7558404112713646E-2</v>
      </c>
    </row>
    <row r="500" spans="1:20" x14ac:dyDescent="0.25">
      <c r="A500" s="5">
        <v>44093</v>
      </c>
      <c r="B500">
        <v>0.32369999999999999</v>
      </c>
      <c r="C500">
        <v>0.42799999999999999</v>
      </c>
      <c r="D500">
        <v>0.3231</v>
      </c>
      <c r="E500">
        <v>0.41760000000000003</v>
      </c>
      <c r="F500">
        <v>9578233.3699999992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0.80171591992373759</v>
      </c>
      <c r="Q500">
        <f t="shared" si="980"/>
        <v>7679022.1774737909</v>
      </c>
      <c r="R500">
        <f t="shared" si="981"/>
        <v>-5404483.4613828491</v>
      </c>
      <c r="S500">
        <f t="shared" si="982"/>
        <v>-54.044834613828492</v>
      </c>
      <c r="T500">
        <f t="shared" si="983"/>
        <v>-5.4044834613828495E-2</v>
      </c>
    </row>
    <row r="501" spans="1:20" x14ac:dyDescent="0.25">
      <c r="A501" s="5">
        <v>44092</v>
      </c>
      <c r="B501">
        <v>0.32490000000000002</v>
      </c>
      <c r="C501">
        <v>0.34899999999999998</v>
      </c>
      <c r="D501">
        <v>0.30580000000000002</v>
      </c>
      <c r="E501">
        <v>0.3221</v>
      </c>
      <c r="F501">
        <v>3646930.54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-0.24537037037037054</v>
      </c>
      <c r="Q501">
        <f t="shared" si="980"/>
        <v>-894848.69731481548</v>
      </c>
      <c r="R501">
        <f t="shared" si="981"/>
        <v>-13083505.63885664</v>
      </c>
      <c r="S501">
        <f t="shared" si="982"/>
        <v>-130.83505638856641</v>
      </c>
      <c r="T501">
        <f t="shared" si="983"/>
        <v>-0.13083505638856641</v>
      </c>
    </row>
    <row r="502" spans="1:20" x14ac:dyDescent="0.25">
      <c r="A502" s="5">
        <v>44091</v>
      </c>
      <c r="B502">
        <v>0.3543</v>
      </c>
      <c r="C502">
        <v>0.3609</v>
      </c>
      <c r="D502">
        <v>0.30409999999999998</v>
      </c>
      <c r="E502">
        <v>0.3236</v>
      </c>
      <c r="F502">
        <v>3678563.57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-0.31338028169014043</v>
      </c>
      <c r="Q502">
        <f t="shared" si="980"/>
        <v>-1152789.2877816886</v>
      </c>
      <c r="R502">
        <f t="shared" si="981"/>
        <v>-12188656.941541824</v>
      </c>
      <c r="S502">
        <f t="shared" si="982"/>
        <v>-121.88656941541825</v>
      </c>
      <c r="T502">
        <f t="shared" si="983"/>
        <v>-0.12188656941541826</v>
      </c>
    </row>
    <row r="503" spans="1:20" x14ac:dyDescent="0.25">
      <c r="A503" s="5">
        <v>44090</v>
      </c>
      <c r="B503">
        <v>0.32240000000000002</v>
      </c>
      <c r="C503">
        <v>0.38619999999999999</v>
      </c>
      <c r="D503">
        <v>0.30080000000000001</v>
      </c>
      <c r="E503">
        <v>0.3528</v>
      </c>
      <c r="F503">
        <v>4590381.76</v>
      </c>
      <c r="G503">
        <v>0</v>
      </c>
      <c r="L503" t="s">
        <v>8</v>
      </c>
      <c r="M503" t="s">
        <v>8</v>
      </c>
      <c r="N503" t="s">
        <v>7</v>
      </c>
      <c r="P503">
        <f t="shared" si="979"/>
        <v>0.21779859484777531</v>
      </c>
      <c r="Q503">
        <f t="shared" si="980"/>
        <v>999778.69714285771</v>
      </c>
      <c r="R503">
        <f t="shared" si="981"/>
        <v>-11035867.653760135</v>
      </c>
      <c r="S503">
        <f t="shared" si="982"/>
        <v>-110.35867653760135</v>
      </c>
      <c r="T503">
        <f t="shared" si="983"/>
        <v>-0.11035867653760136</v>
      </c>
    </row>
    <row r="504" spans="1:20" x14ac:dyDescent="0.25">
      <c r="A504" s="5">
        <v>44089</v>
      </c>
      <c r="B504">
        <v>0.35499999999999998</v>
      </c>
      <c r="C504">
        <v>0.3715</v>
      </c>
      <c r="D504">
        <v>0.3</v>
      </c>
      <c r="E504">
        <v>0.32229999999999998</v>
      </c>
      <c r="F504">
        <v>3573843.52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-0.37622377622377667</v>
      </c>
      <c r="Q504">
        <f t="shared" si="980"/>
        <v>-1344564.9047272743</v>
      </c>
      <c r="R504">
        <f t="shared" si="981"/>
        <v>-12035646.350902993</v>
      </c>
      <c r="S504">
        <f t="shared" si="982"/>
        <v>-120.35646350902994</v>
      </c>
      <c r="T504">
        <f t="shared" si="983"/>
        <v>-0.12035646350902994</v>
      </c>
    </row>
    <row r="505" spans="1:20" x14ac:dyDescent="0.25">
      <c r="A505" s="5">
        <v>44088</v>
      </c>
      <c r="B505">
        <v>0.3448</v>
      </c>
      <c r="C505">
        <v>0.38040000000000002</v>
      </c>
      <c r="D505">
        <v>0.33700000000000002</v>
      </c>
      <c r="E505">
        <v>0.35510000000000003</v>
      </c>
      <c r="F505">
        <v>2708056.91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-0.16589861751152041</v>
      </c>
      <c r="Q505">
        <f t="shared" si="980"/>
        <v>-449262.89751151984</v>
      </c>
      <c r="R505">
        <f t="shared" si="981"/>
        <v>-10691081.446175719</v>
      </c>
      <c r="S505">
        <f t="shared" si="982"/>
        <v>-106.91081446175718</v>
      </c>
      <c r="T505">
        <f t="shared" si="983"/>
        <v>-0.10691081446175718</v>
      </c>
    </row>
    <row r="506" spans="1:20" x14ac:dyDescent="0.25">
      <c r="A506" s="5">
        <v>44087</v>
      </c>
      <c r="B506">
        <v>0.36820000000000003</v>
      </c>
      <c r="C506">
        <v>0.41</v>
      </c>
      <c r="D506">
        <v>0.33450000000000002</v>
      </c>
      <c r="E506">
        <v>0.34460000000000002</v>
      </c>
      <c r="F506">
        <v>3228197.17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-0.73245033112582769</v>
      </c>
      <c r="Q506">
        <f t="shared" si="980"/>
        <v>-2364494.08610596</v>
      </c>
      <c r="R506">
        <f t="shared" si="981"/>
        <v>-10241818.548664199</v>
      </c>
      <c r="S506">
        <f t="shared" si="982"/>
        <v>-102.41818548664199</v>
      </c>
      <c r="T506">
        <f t="shared" si="983"/>
        <v>-0.10241818548664199</v>
      </c>
    </row>
    <row r="507" spans="1:20" x14ac:dyDescent="0.25">
      <c r="A507" s="5">
        <v>44086</v>
      </c>
      <c r="B507">
        <v>0.38629999999999998</v>
      </c>
      <c r="C507">
        <v>0.4</v>
      </c>
      <c r="D507">
        <v>0.35049999999999998</v>
      </c>
      <c r="E507">
        <v>0.36699999999999999</v>
      </c>
      <c r="F507">
        <v>3590857.16</v>
      </c>
      <c r="G507">
        <v>0</v>
      </c>
      <c r="L507" t="s">
        <v>7</v>
      </c>
      <c r="M507" t="s">
        <v>7</v>
      </c>
      <c r="N507" t="s">
        <v>8</v>
      </c>
      <c r="P507">
        <f t="shared" si="979"/>
        <v>-0.33333333333333331</v>
      </c>
      <c r="Q507">
        <f t="shared" si="980"/>
        <v>-1196952.3866666667</v>
      </c>
      <c r="R507">
        <f t="shared" si="981"/>
        <v>-7877324.4625582388</v>
      </c>
      <c r="S507">
        <f t="shared" si="982"/>
        <v>-78.773244625582393</v>
      </c>
      <c r="T507">
        <f t="shared" si="983"/>
        <v>-7.8773244625582398E-2</v>
      </c>
    </row>
    <row r="508" spans="1:20" x14ac:dyDescent="0.25">
      <c r="A508" s="5">
        <v>44085</v>
      </c>
      <c r="B508">
        <v>0.39369999999999999</v>
      </c>
      <c r="C508">
        <v>0.4</v>
      </c>
      <c r="D508">
        <v>0.36280000000000001</v>
      </c>
      <c r="E508">
        <v>0.3876</v>
      </c>
      <c r="F508">
        <v>2902934.77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0.33333333333333232</v>
      </c>
      <c r="Q508">
        <f t="shared" si="980"/>
        <v>967644.92333333043</v>
      </c>
      <c r="R508">
        <f t="shared" si="981"/>
        <v>-6680372.0758915721</v>
      </c>
      <c r="S508">
        <f t="shared" si="982"/>
        <v>-66.803720758915716</v>
      </c>
      <c r="T508">
        <f t="shared" si="983"/>
        <v>-6.6803720758915719E-2</v>
      </c>
    </row>
    <row r="509" spans="1:20" x14ac:dyDescent="0.25">
      <c r="A509" s="5">
        <v>44084</v>
      </c>
      <c r="B509">
        <v>0.36599999999999999</v>
      </c>
      <c r="C509">
        <v>0.4541</v>
      </c>
      <c r="D509">
        <v>0.36599999999999999</v>
      </c>
      <c r="E509">
        <v>0.39410000000000001</v>
      </c>
      <c r="F509">
        <v>3999802.78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-0.36208853575482386</v>
      </c>
      <c r="Q509">
        <f t="shared" si="980"/>
        <v>-1448282.7319182737</v>
      </c>
      <c r="R509">
        <f t="shared" si="981"/>
        <v>-7648016.9992249021</v>
      </c>
      <c r="S509">
        <f t="shared" si="982"/>
        <v>-76.480169992249017</v>
      </c>
      <c r="T509">
        <f t="shared" si="983"/>
        <v>-7.648016999224902E-2</v>
      </c>
    </row>
    <row r="510" spans="1:20" x14ac:dyDescent="0.25">
      <c r="A510" s="5">
        <v>44083</v>
      </c>
      <c r="B510">
        <v>0.34570000000000001</v>
      </c>
      <c r="C510">
        <v>0.39350000000000002</v>
      </c>
      <c r="D510">
        <v>0.3256</v>
      </c>
      <c r="E510">
        <v>0.36599999999999999</v>
      </c>
      <c r="F510">
        <v>2775148.53</v>
      </c>
      <c r="G510">
        <v>0</v>
      </c>
      <c r="L510" t="s">
        <v>7</v>
      </c>
      <c r="M510" t="s">
        <v>8</v>
      </c>
      <c r="N510" t="s">
        <v>8</v>
      </c>
      <c r="P510">
        <f t="shared" si="979"/>
        <v>0.18998527245949873</v>
      </c>
      <c r="Q510">
        <f t="shared" si="980"/>
        <v>527237.34958762734</v>
      </c>
      <c r="R510">
        <f t="shared" si="981"/>
        <v>-6199734.2673066286</v>
      </c>
      <c r="S510">
        <f t="shared" si="982"/>
        <v>-61.997342673066285</v>
      </c>
      <c r="T510">
        <f t="shared" si="983"/>
        <v>-6.1997342673066287E-2</v>
      </c>
    </row>
    <row r="511" spans="1:20" x14ac:dyDescent="0.25">
      <c r="A511" s="5">
        <v>44082</v>
      </c>
      <c r="B511">
        <v>0.38479999999999998</v>
      </c>
      <c r="C511">
        <v>0.39250000000000002</v>
      </c>
      <c r="D511">
        <v>0.32929999999999998</v>
      </c>
      <c r="E511">
        <v>0.34839999999999999</v>
      </c>
      <c r="F511">
        <v>4225117.8499999996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-0.39556962025316472</v>
      </c>
      <c r="Q511">
        <f t="shared" si="980"/>
        <v>-1671328.2634493676</v>
      </c>
      <c r="R511">
        <f t="shared" si="981"/>
        <v>-6726971.6168942563</v>
      </c>
      <c r="S511">
        <f t="shared" si="982"/>
        <v>-67.269716168942566</v>
      </c>
      <c r="T511">
        <f t="shared" si="983"/>
        <v>-6.7269716168942562E-2</v>
      </c>
    </row>
    <row r="512" spans="1:20" x14ac:dyDescent="0.25">
      <c r="A512" s="5">
        <v>44081</v>
      </c>
      <c r="B512">
        <v>0.39329999999999998</v>
      </c>
      <c r="C512">
        <v>0.42649999999999999</v>
      </c>
      <c r="D512">
        <v>0.32179999999999997</v>
      </c>
      <c r="E512">
        <v>0.38479999999999998</v>
      </c>
      <c r="F512">
        <v>6316847.3099999996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0.20343839541547262</v>
      </c>
      <c r="Q512">
        <f t="shared" si="980"/>
        <v>1285089.2808309444</v>
      </c>
      <c r="R512">
        <f t="shared" si="981"/>
        <v>-5055643.3534448892</v>
      </c>
      <c r="S512">
        <f t="shared" si="982"/>
        <v>-50.556433534448892</v>
      </c>
      <c r="T512">
        <f t="shared" si="983"/>
        <v>-5.0556433534448893E-2</v>
      </c>
    </row>
    <row r="513" spans="1:20" x14ac:dyDescent="0.25">
      <c r="A513" s="5">
        <v>44080</v>
      </c>
      <c r="B513">
        <v>0.32500000000000001</v>
      </c>
      <c r="C513">
        <v>0.45</v>
      </c>
      <c r="D513">
        <v>0.28499999999999998</v>
      </c>
      <c r="E513">
        <v>0.39329999999999998</v>
      </c>
      <c r="F513">
        <v>5857174.7000000002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0.31272727272727252</v>
      </c>
      <c r="Q513">
        <f t="shared" si="980"/>
        <v>1831698.2698181807</v>
      </c>
      <c r="R513">
        <f t="shared" si="981"/>
        <v>-6340732.6342758331</v>
      </c>
      <c r="S513">
        <f t="shared" si="982"/>
        <v>-63.407326342758331</v>
      </c>
      <c r="T513">
        <f t="shared" si="983"/>
        <v>-6.3407326342758336E-2</v>
      </c>
    </row>
    <row r="514" spans="1:20" x14ac:dyDescent="0.25">
      <c r="A514" s="5">
        <v>44079</v>
      </c>
      <c r="B514">
        <v>0.4037</v>
      </c>
      <c r="C514">
        <v>0.44</v>
      </c>
      <c r="D514">
        <v>0.27689999999999998</v>
      </c>
      <c r="E514">
        <v>0.3271</v>
      </c>
      <c r="F514">
        <v>4467148.32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-0.38442673206621686</v>
      </c>
      <c r="Q514">
        <f t="shared" si="980"/>
        <v>-1717291.2303126908</v>
      </c>
      <c r="R514">
        <f t="shared" si="981"/>
        <v>-8172430.9040940143</v>
      </c>
      <c r="S514">
        <f t="shared" si="982"/>
        <v>-81.724309040940142</v>
      </c>
      <c r="T514">
        <f t="shared" si="983"/>
        <v>-8.1724309040940135E-2</v>
      </c>
    </row>
    <row r="515" spans="1:20" x14ac:dyDescent="0.25">
      <c r="A515" s="5">
        <v>44078</v>
      </c>
      <c r="B515">
        <v>0.4289</v>
      </c>
      <c r="C515">
        <v>0.4582</v>
      </c>
      <c r="D515">
        <v>0.35</v>
      </c>
      <c r="E515">
        <v>0.4037</v>
      </c>
      <c r="F515">
        <v>4865052.72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-7.3937153419590318E-3</v>
      </c>
      <c r="Q515">
        <f t="shared" si="980"/>
        <v>-35970.814935303519</v>
      </c>
      <c r="R515">
        <f t="shared" si="981"/>
        <v>-6455139.6737813232</v>
      </c>
      <c r="S515">
        <f t="shared" si="982"/>
        <v>-64.551396737813235</v>
      </c>
      <c r="T515">
        <f t="shared" si="983"/>
        <v>-6.4551396737813238E-2</v>
      </c>
    </row>
    <row r="516" spans="1:20" x14ac:dyDescent="0.25">
      <c r="A516" s="5">
        <v>44077</v>
      </c>
      <c r="B516">
        <v>0.52329999999999999</v>
      </c>
      <c r="C516">
        <v>0.53459999999999996</v>
      </c>
      <c r="D516">
        <v>0.41</v>
      </c>
      <c r="E516">
        <v>0.4264</v>
      </c>
      <c r="F516">
        <v>3863833.94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-0.73675762439807335</v>
      </c>
      <c r="Q516">
        <f t="shared" si="980"/>
        <v>-2846709.114703048</v>
      </c>
      <c r="R516">
        <f t="shared" si="981"/>
        <v>-6419168.85884602</v>
      </c>
      <c r="S516">
        <f t="shared" si="982"/>
        <v>-64.191688588460195</v>
      </c>
      <c r="T516">
        <f t="shared" si="983"/>
        <v>-6.4191688588460194E-2</v>
      </c>
    </row>
    <row r="517" spans="1:20" x14ac:dyDescent="0.25">
      <c r="A517" s="5">
        <v>44076</v>
      </c>
      <c r="B517">
        <v>0.53380000000000005</v>
      </c>
      <c r="C517">
        <v>0.55989999999999995</v>
      </c>
      <c r="D517">
        <v>0.46989999999999998</v>
      </c>
      <c r="E517">
        <v>0.5212</v>
      </c>
      <c r="F517">
        <v>3494046.07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0.14000000000000068</v>
      </c>
      <c r="Q517">
        <f t="shared" si="980"/>
        <v>489166.44980000233</v>
      </c>
      <c r="R517">
        <f t="shared" si="981"/>
        <v>-3572459.7441429715</v>
      </c>
      <c r="S517">
        <f t="shared" si="982"/>
        <v>-35.724597441429715</v>
      </c>
      <c r="T517">
        <f t="shared" si="983"/>
        <v>-3.5724597441429716E-2</v>
      </c>
    </row>
    <row r="518" spans="1:20" x14ac:dyDescent="0.25">
      <c r="A518" s="5">
        <v>44075</v>
      </c>
      <c r="B518">
        <v>0.56979999999999997</v>
      </c>
      <c r="C518">
        <v>0.56979999999999997</v>
      </c>
      <c r="D518">
        <v>0.52010000000000001</v>
      </c>
      <c r="E518">
        <v>0.53380000000000005</v>
      </c>
      <c r="F518">
        <v>3846917.96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-0.44869215291750281</v>
      </c>
      <c r="Q518">
        <f t="shared" ref="Q518:Q581" si="985">F518*P518</f>
        <v>-1726081.9015694079</v>
      </c>
      <c r="R518">
        <f t="shared" ref="R518:R581" si="986">R519+Q518</f>
        <v>-4061626.1939429739</v>
      </c>
      <c r="S518">
        <f t="shared" ref="S518:S581" si="987">R518/100000</f>
        <v>-40.616261939429741</v>
      </c>
      <c r="T518">
        <f t="shared" ref="T518:T581" si="988">S518/1000</f>
        <v>-4.0616261939429743E-2</v>
      </c>
    </row>
    <row r="519" spans="1:20" x14ac:dyDescent="0.25">
      <c r="A519" s="5">
        <v>44074</v>
      </c>
      <c r="B519">
        <v>0.63319999999999999</v>
      </c>
      <c r="C519">
        <v>0.63560000000000005</v>
      </c>
      <c r="D519">
        <v>0.55810000000000004</v>
      </c>
      <c r="E519">
        <v>0.56950000000000001</v>
      </c>
      <c r="F519">
        <v>4198470.5999999996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-0.70580645161290412</v>
      </c>
      <c r="Q519">
        <f t="shared" si="985"/>
        <v>-2963307.6363871004</v>
      </c>
      <c r="R519">
        <f t="shared" si="986"/>
        <v>-2335544.292373566</v>
      </c>
      <c r="S519">
        <f t="shared" si="987"/>
        <v>-23.355442923735659</v>
      </c>
      <c r="T519">
        <f t="shared" si="988"/>
        <v>-2.3355442923735658E-2</v>
      </c>
    </row>
    <row r="520" spans="1:20" x14ac:dyDescent="0.25">
      <c r="A520" s="5">
        <v>44073</v>
      </c>
      <c r="B520">
        <v>0.62350000000000005</v>
      </c>
      <c r="C520">
        <v>0.67010000000000003</v>
      </c>
      <c r="D520">
        <v>0.60009999999999997</v>
      </c>
      <c r="E520">
        <v>0.63329999999999997</v>
      </c>
      <c r="F520">
        <v>5697472.9000000004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-5.1428571428572066E-2</v>
      </c>
      <c r="Q520">
        <f t="shared" si="985"/>
        <v>-293012.89200000366</v>
      </c>
      <c r="R520">
        <f t="shared" si="986"/>
        <v>627763.34401353449</v>
      </c>
      <c r="S520">
        <f t="shared" si="987"/>
        <v>6.2776334401353449</v>
      </c>
      <c r="T520">
        <f t="shared" si="988"/>
        <v>6.2776334401353452E-3</v>
      </c>
    </row>
    <row r="521" spans="1:20" x14ac:dyDescent="0.25">
      <c r="A521" s="5">
        <v>44072</v>
      </c>
      <c r="B521">
        <v>0.54500000000000004</v>
      </c>
      <c r="C521">
        <v>0.63</v>
      </c>
      <c r="D521">
        <v>0.54120000000000001</v>
      </c>
      <c r="E521">
        <v>0.622</v>
      </c>
      <c r="F521">
        <v>4164016.48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0.81981981981981966</v>
      </c>
      <c r="Q521">
        <f t="shared" si="985"/>
        <v>3413743.2403603597</v>
      </c>
      <c r="R521">
        <f t="shared" si="986"/>
        <v>920776.2360135382</v>
      </c>
      <c r="S521">
        <f t="shared" si="987"/>
        <v>9.2077623601353817</v>
      </c>
      <c r="T521">
        <f t="shared" si="988"/>
        <v>9.2077623601353811E-3</v>
      </c>
    </row>
    <row r="522" spans="1:20" x14ac:dyDescent="0.25">
      <c r="A522" s="5">
        <v>44071</v>
      </c>
      <c r="B522">
        <v>0.51470000000000005</v>
      </c>
      <c r="C522">
        <v>0.59009999999999996</v>
      </c>
      <c r="D522">
        <v>0.51039999999999996</v>
      </c>
      <c r="E522">
        <v>0.54490000000000005</v>
      </c>
      <c r="F522">
        <v>3006960.35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-0.13425345043914455</v>
      </c>
      <c r="Q522">
        <f t="shared" si="985"/>
        <v>-403694.80232119776</v>
      </c>
      <c r="R522">
        <f t="shared" si="986"/>
        <v>-2492967.0043468215</v>
      </c>
      <c r="S522">
        <f t="shared" si="987"/>
        <v>-24.929670043468214</v>
      </c>
      <c r="T522">
        <f t="shared" si="988"/>
        <v>-2.4929670043468213E-2</v>
      </c>
    </row>
    <row r="523" spans="1:20" x14ac:dyDescent="0.25">
      <c r="A523" s="5">
        <v>44070</v>
      </c>
      <c r="B523">
        <v>0.55600000000000005</v>
      </c>
      <c r="C523">
        <v>0.6</v>
      </c>
      <c r="D523">
        <v>0.4904</v>
      </c>
      <c r="E523">
        <v>0.51200000000000001</v>
      </c>
      <c r="F523">
        <v>3800845.13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-0.60583941605839398</v>
      </c>
      <c r="Q523">
        <f t="shared" si="985"/>
        <v>-2302701.7940875906</v>
      </c>
      <c r="R523">
        <f t="shared" si="986"/>
        <v>-2089272.2020256235</v>
      </c>
      <c r="S523">
        <f t="shared" si="987"/>
        <v>-20.892722020256237</v>
      </c>
      <c r="T523">
        <f t="shared" si="988"/>
        <v>-2.0892722020256237E-2</v>
      </c>
    </row>
    <row r="524" spans="1:20" x14ac:dyDescent="0.25">
      <c r="A524" s="5">
        <v>44069</v>
      </c>
      <c r="B524">
        <v>0.50580000000000003</v>
      </c>
      <c r="C524">
        <v>0.59499999999999997</v>
      </c>
      <c r="D524">
        <v>0.47770000000000001</v>
      </c>
      <c r="E524">
        <v>0.55510000000000004</v>
      </c>
      <c r="F524">
        <v>3396164.55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0.3196930946291569</v>
      </c>
      <c r="Q524">
        <f t="shared" si="985"/>
        <v>1085730.3548593379</v>
      </c>
      <c r="R524">
        <f t="shared" si="986"/>
        <v>213429.59206196712</v>
      </c>
      <c r="S524">
        <f t="shared" si="987"/>
        <v>2.1342959206196714</v>
      </c>
      <c r="T524">
        <f t="shared" si="988"/>
        <v>2.1342959206196712E-3</v>
      </c>
    </row>
    <row r="525" spans="1:20" x14ac:dyDescent="0.25">
      <c r="A525" s="5">
        <v>44068</v>
      </c>
      <c r="B525">
        <v>0.55479999999999996</v>
      </c>
      <c r="C525">
        <v>0.57769999999999999</v>
      </c>
      <c r="D525">
        <v>0.47799999999999998</v>
      </c>
      <c r="E525">
        <v>0.504</v>
      </c>
      <c r="F525">
        <v>2360738.6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-0.47843530591775285</v>
      </c>
      <c r="Q525">
        <f t="shared" si="985"/>
        <v>-1129460.6942828477</v>
      </c>
      <c r="R525">
        <f t="shared" si="986"/>
        <v>-872300.76279737079</v>
      </c>
      <c r="S525">
        <f t="shared" si="987"/>
        <v>-8.7230076279737077</v>
      </c>
      <c r="T525">
        <f t="shared" si="988"/>
        <v>-8.7230076279737074E-3</v>
      </c>
    </row>
    <row r="526" spans="1:20" x14ac:dyDescent="0.25">
      <c r="A526" s="5">
        <v>44067</v>
      </c>
      <c r="B526">
        <v>0.59450000000000003</v>
      </c>
      <c r="C526">
        <v>0.61709999999999998</v>
      </c>
      <c r="D526">
        <v>0.54190000000000005</v>
      </c>
      <c r="E526">
        <v>0.55479999999999996</v>
      </c>
      <c r="F526">
        <v>1876521.8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-0.65691489361702338</v>
      </c>
      <c r="Q526">
        <f t="shared" si="985"/>
        <v>-1232715.1186170252</v>
      </c>
      <c r="R526">
        <f t="shared" si="986"/>
        <v>257159.9314854769</v>
      </c>
      <c r="S526">
        <f t="shared" si="987"/>
        <v>2.5715993148547689</v>
      </c>
      <c r="T526">
        <f t="shared" si="988"/>
        <v>2.5715993148547689E-3</v>
      </c>
    </row>
    <row r="527" spans="1:20" x14ac:dyDescent="0.25">
      <c r="A527" s="5">
        <v>44066</v>
      </c>
      <c r="B527">
        <v>0.5363</v>
      </c>
      <c r="C527">
        <v>0.60870000000000002</v>
      </c>
      <c r="D527">
        <v>0.52300000000000002</v>
      </c>
      <c r="E527">
        <v>0.59450000000000003</v>
      </c>
      <c r="F527">
        <v>2265337.5499999998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0.66861143523920674</v>
      </c>
      <c r="Q527">
        <f t="shared" si="985"/>
        <v>1514630.5906067681</v>
      </c>
      <c r="R527">
        <f t="shared" si="986"/>
        <v>1489875.0501025021</v>
      </c>
      <c r="S527">
        <f t="shared" si="987"/>
        <v>14.89875050102502</v>
      </c>
      <c r="T527">
        <f t="shared" si="988"/>
        <v>1.4898750501025021E-2</v>
      </c>
    </row>
    <row r="528" spans="1:20" x14ac:dyDescent="0.25">
      <c r="A528" s="5">
        <v>44065</v>
      </c>
      <c r="B528">
        <v>0.51759999999999995</v>
      </c>
      <c r="C528">
        <v>0.54759999999999998</v>
      </c>
      <c r="D528">
        <v>0.42499999999999999</v>
      </c>
      <c r="E528">
        <v>0.53310000000000002</v>
      </c>
      <c r="F528">
        <v>2458497.96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0.76345840130505782</v>
      </c>
      <c r="Q528">
        <f t="shared" si="985"/>
        <v>1876960.922153346</v>
      </c>
      <c r="R528">
        <f t="shared" si="986"/>
        <v>-24755.540504266042</v>
      </c>
      <c r="S528">
        <f t="shared" si="987"/>
        <v>-0.24755540504266041</v>
      </c>
      <c r="T528">
        <f t="shared" si="988"/>
        <v>-2.4755540504266043E-4</v>
      </c>
    </row>
    <row r="529" spans="1:20" x14ac:dyDescent="0.25">
      <c r="A529" s="5">
        <v>44064</v>
      </c>
      <c r="B529">
        <v>0.61140000000000005</v>
      </c>
      <c r="C529">
        <v>0.62839999999999996</v>
      </c>
      <c r="D529">
        <v>0.51049999999999995</v>
      </c>
      <c r="E529">
        <v>0.52049999999999996</v>
      </c>
      <c r="F529">
        <v>2333052.73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-0.83036471586089888</v>
      </c>
      <c r="Q529">
        <f t="shared" si="985"/>
        <v>-1937284.6672349444</v>
      </c>
      <c r="R529">
        <f t="shared" si="986"/>
        <v>-1901716.462657612</v>
      </c>
      <c r="S529">
        <f t="shared" si="987"/>
        <v>-19.017164626576122</v>
      </c>
      <c r="T529">
        <f t="shared" si="988"/>
        <v>-1.901716462657612E-2</v>
      </c>
    </row>
    <row r="530" spans="1:20" x14ac:dyDescent="0.25">
      <c r="A530" s="5">
        <v>44063</v>
      </c>
      <c r="B530">
        <v>0.54730000000000001</v>
      </c>
      <c r="C530">
        <v>0.64</v>
      </c>
      <c r="D530">
        <v>0.54700000000000004</v>
      </c>
      <c r="E530">
        <v>0.61140000000000005</v>
      </c>
      <c r="F530">
        <v>4229768.0999999996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0.38494623655914051</v>
      </c>
      <c r="Q530">
        <f t="shared" si="985"/>
        <v>1628233.3116129062</v>
      </c>
      <c r="R530">
        <f t="shared" si="986"/>
        <v>35568.204577332363</v>
      </c>
      <c r="S530">
        <f t="shared" si="987"/>
        <v>0.35568204577332363</v>
      </c>
      <c r="T530">
        <f t="shared" si="988"/>
        <v>3.5568204577332362E-4</v>
      </c>
    </row>
    <row r="531" spans="1:20" x14ac:dyDescent="0.25">
      <c r="A531" s="5">
        <v>44062</v>
      </c>
      <c r="B531">
        <v>0.5101</v>
      </c>
      <c r="C531">
        <v>0.72</v>
      </c>
      <c r="D531">
        <v>0.49230000000000002</v>
      </c>
      <c r="E531">
        <v>0.55259999999999998</v>
      </c>
      <c r="F531">
        <v>3386086.32</v>
      </c>
      <c r="G531">
        <v>0</v>
      </c>
      <c r="P531">
        <f t="shared" si="984"/>
        <v>-0.47035573122529667</v>
      </c>
      <c r="Q531">
        <f t="shared" si="985"/>
        <v>-1592665.1070355738</v>
      </c>
      <c r="R531">
        <f t="shared" si="986"/>
        <v>-1592665.1070355738</v>
      </c>
      <c r="S531">
        <f t="shared" si="987"/>
        <v>-15.926651070355739</v>
      </c>
      <c r="T531">
        <f t="shared" si="988"/>
        <v>-1.5926651070355739E-2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L616" sqref="JL61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$A$615</v>
      </c>
      <c r="D111" s="1" t="str">
        <f>ADDRESS(C121-1,D121,1,1)</f>
        <v>$JL$615</v>
      </c>
      <c r="E111"/>
    </row>
    <row r="112" spans="1:5" x14ac:dyDescent="0.25">
      <c r="A112" s="7">
        <v>12164.144957890772</v>
      </c>
      <c r="C112" s="1" t="str">
        <f>ADDRESS(C121,1,1,1)</f>
        <v>$A$616</v>
      </c>
      <c r="D112" s="1" t="str">
        <f>ADDRESS(C121,D121-1,1,1)</f>
        <v>$JK$616</v>
      </c>
      <c r="E112"/>
    </row>
    <row r="113" spans="1:5" x14ac:dyDescent="0.25">
      <c r="A113" s="7">
        <v>11925.63231165762</v>
      </c>
      <c r="C113" s="1" t="str">
        <f>ADDRESS(C121+1,1,1,1)</f>
        <v>$A$617</v>
      </c>
      <c r="D113" s="1" t="str">
        <f>ADDRESS(C121-1,D121+1,1,1)</f>
        <v>$JM$615</v>
      </c>
    </row>
    <row r="114" spans="1:5" x14ac:dyDescent="0.25">
      <c r="A114" s="7">
        <v>11691.796383978059</v>
      </c>
      <c r="C114" s="1" t="str">
        <f>ADDRESS(C121,D121,1,1)</f>
        <v>$JL$616</v>
      </c>
      <c r="D114" s="1" t="str">
        <f>ADDRESS(C121+1,D121+1,1,1)</f>
        <v>$JM$617</v>
      </c>
    </row>
    <row r="115" spans="1:5" x14ac:dyDescent="0.25">
      <c r="A115" s="7">
        <v>11462.545474488292</v>
      </c>
      <c r="C115" s="1" t="str">
        <f>ADDRESS(C121+1,D121,1,1)</f>
        <v>$JL$617</v>
      </c>
    </row>
    <row r="116" spans="1:5" x14ac:dyDescent="0.25">
      <c r="A116" s="7">
        <v>11237.789680870874</v>
      </c>
      <c r="C116" s="1">
        <f>C117-1</f>
        <v>615</v>
      </c>
    </row>
    <row r="117" spans="1:5" x14ac:dyDescent="0.25">
      <c r="A117" s="7">
        <v>11017.440863598895</v>
      </c>
      <c r="C117" s="1">
        <f>C121</f>
        <v>616</v>
      </c>
      <c r="D117" s="1">
        <f>D121</f>
        <v>272</v>
      </c>
    </row>
    <row r="118" spans="1:5" x14ac:dyDescent="0.25">
      <c r="A118" s="7">
        <v>10801.412611371465</v>
      </c>
      <c r="C118" s="1">
        <f>C117+1</f>
        <v>617</v>
      </c>
      <c r="D118" s="1">
        <f>D117+1</f>
        <v>273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616</v>
      </c>
      <c r="D121" s="19">
        <v>272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R616</v>
      </c>
      <c r="D123" s="1" t="str">
        <f>"C"&amp;D121</f>
        <v>C272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0.56311230675951029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126" x14ac:dyDescent="0.25">
      <c r="A545" s="7">
        <v>2.2972444660248938</v>
      </c>
      <c r="B545"/>
      <c r="C545"/>
      <c r="D545"/>
      <c r="E545"/>
    </row>
    <row r="546" spans="1:126" x14ac:dyDescent="0.25">
      <c r="A546" s="7">
        <v>2.252200456887151</v>
      </c>
      <c r="B546"/>
      <c r="C546"/>
      <c r="D546"/>
      <c r="E546"/>
    </row>
    <row r="547" spans="1:126" x14ac:dyDescent="0.25">
      <c r="A547" s="7">
        <v>2.208039663614854</v>
      </c>
      <c r="B547"/>
      <c r="C547"/>
      <c r="D547"/>
      <c r="E547"/>
    </row>
    <row r="548" spans="1:126" x14ac:dyDescent="0.25">
      <c r="A548" s="7">
        <v>2.1647447682498568</v>
      </c>
      <c r="B548"/>
      <c r="C548"/>
      <c r="D548"/>
      <c r="E548"/>
    </row>
    <row r="549" spans="1:126" x14ac:dyDescent="0.25">
      <c r="A549" s="7">
        <v>2.1222987924018204</v>
      </c>
      <c r="B549"/>
      <c r="C549"/>
      <c r="D549"/>
      <c r="E549"/>
    </row>
    <row r="550" spans="1:126" x14ac:dyDescent="0.25">
      <c r="A550" s="7">
        <v>2.0806850905900198</v>
      </c>
      <c r="B550"/>
      <c r="C550"/>
      <c r="D550"/>
      <c r="E550"/>
    </row>
    <row r="551" spans="1:126" x14ac:dyDescent="0.25">
      <c r="A551" s="7">
        <v>2.0398873437157055</v>
      </c>
      <c r="B551"/>
      <c r="C551"/>
      <c r="D551"/>
      <c r="E551"/>
    </row>
    <row r="552" spans="1:126" x14ac:dyDescent="0.25">
      <c r="A552" s="7">
        <v>1.9998895526624565</v>
      </c>
      <c r="B552"/>
      <c r="C552"/>
      <c r="D552"/>
      <c r="E552"/>
    </row>
    <row r="553" spans="1:126" x14ac:dyDescent="0.25">
      <c r="A553" s="7">
        <v>1.9606760320220162</v>
      </c>
      <c r="B553"/>
      <c r="C553"/>
      <c r="D553"/>
      <c r="E553"/>
    </row>
    <row r="554" spans="1:126" x14ac:dyDescent="0.25">
      <c r="A554" s="7">
        <v>1.9222314039431532</v>
      </c>
      <c r="B554"/>
      <c r="C554"/>
      <c r="D554"/>
      <c r="E554"/>
      <c r="DQ554" s="27" t="s">
        <v>8</v>
      </c>
    </row>
    <row r="555" spans="1:126" x14ac:dyDescent="0.25">
      <c r="A555" s="7">
        <v>1.8845405921011305</v>
      </c>
      <c r="B555"/>
      <c r="C555"/>
      <c r="D555"/>
      <c r="E555"/>
      <c r="DQ555" s="27" t="s">
        <v>8</v>
      </c>
      <c r="DR555" s="27" t="s">
        <v>7</v>
      </c>
    </row>
    <row r="556" spans="1:126" x14ac:dyDescent="0.25">
      <c r="A556" s="7">
        <v>1.8475888157854219</v>
      </c>
      <c r="B556"/>
      <c r="C556"/>
      <c r="D556"/>
      <c r="E556"/>
      <c r="DQ556" s="27" t="s">
        <v>8</v>
      </c>
      <c r="DR556" s="27" t="s">
        <v>7</v>
      </c>
    </row>
    <row r="557" spans="1:126" x14ac:dyDescent="0.25">
      <c r="A557" s="7">
        <v>1.8113615841033548</v>
      </c>
      <c r="B557"/>
      <c r="C557"/>
      <c r="D557"/>
      <c r="E557"/>
      <c r="DQ557" s="27" t="s">
        <v>8</v>
      </c>
      <c r="DR557" s="27" t="s">
        <v>7</v>
      </c>
      <c r="DS557" s="27" t="s">
        <v>8</v>
      </c>
    </row>
    <row r="558" spans="1:126" x14ac:dyDescent="0.25">
      <c r="A558" s="7">
        <v>1.7758446902974065</v>
      </c>
      <c r="B558"/>
      <c r="C558"/>
      <c r="D558"/>
      <c r="E558"/>
      <c r="DQ558" s="27" t="s">
        <v>8</v>
      </c>
      <c r="DR558" s="27" t="s">
        <v>7</v>
      </c>
      <c r="DS558" s="27" t="s">
        <v>8</v>
      </c>
      <c r="DT558" s="27" t="s">
        <v>7</v>
      </c>
    </row>
    <row r="559" spans="1:126" x14ac:dyDescent="0.25">
      <c r="A559" s="7">
        <v>1.7410242061739281</v>
      </c>
      <c r="B559"/>
      <c r="C559"/>
      <c r="D559"/>
      <c r="E559"/>
      <c r="DQ559" s="27" t="s">
        <v>8</v>
      </c>
      <c r="DR559" s="27" t="s">
        <v>7</v>
      </c>
      <c r="DS559" s="27" t="s">
        <v>8</v>
      </c>
      <c r="DT559" s="27" t="s">
        <v>7</v>
      </c>
      <c r="DU559" s="27" t="s">
        <v>8</v>
      </c>
    </row>
    <row r="560" spans="1:126" x14ac:dyDescent="0.25">
      <c r="A560" s="7">
        <v>1.7068864766411058</v>
      </c>
      <c r="B560"/>
      <c r="C560"/>
      <c r="D560"/>
      <c r="E560"/>
      <c r="DQ560" s="27" t="s">
        <v>8</v>
      </c>
      <c r="DR560" s="27" t="s">
        <v>7</v>
      </c>
      <c r="DS560" s="27" t="s">
        <v>8</v>
      </c>
      <c r="DT560" s="27" t="s">
        <v>7</v>
      </c>
      <c r="DU560" s="27" t="s">
        <v>8</v>
      </c>
      <c r="DV560" s="27" t="s">
        <v>7</v>
      </c>
    </row>
    <row r="561" spans="1:254" x14ac:dyDescent="0.25">
      <c r="A561" s="7">
        <v>1.6734181143540252</v>
      </c>
      <c r="B561"/>
      <c r="C561"/>
      <c r="D561"/>
      <c r="E561"/>
      <c r="CY561" s="27" t="s">
        <v>8</v>
      </c>
      <c r="DQ561" s="27" t="s">
        <v>8</v>
      </c>
      <c r="DR561" s="27" t="s">
        <v>7</v>
      </c>
      <c r="DS561" s="27" t="s">
        <v>8</v>
      </c>
      <c r="DT561" s="27" t="s">
        <v>7</v>
      </c>
      <c r="DU561" s="27" t="s">
        <v>8</v>
      </c>
      <c r="DV561" s="27" t="s">
        <v>7</v>
      </c>
      <c r="EI561" s="27" t="s">
        <v>8</v>
      </c>
    </row>
    <row r="562" spans="1:254" x14ac:dyDescent="0.25">
      <c r="A562" s="7">
        <v>1.6406059944647307</v>
      </c>
      <c r="B562"/>
      <c r="C562"/>
      <c r="D562"/>
      <c r="E562"/>
      <c r="CY562" s="27" t="s">
        <v>8</v>
      </c>
      <c r="CZ562" s="27" t="s">
        <v>7</v>
      </c>
      <c r="DO562" s="27" t="s">
        <v>8</v>
      </c>
      <c r="DQ562" s="27" t="s">
        <v>8</v>
      </c>
      <c r="DR562" s="27" t="s">
        <v>7</v>
      </c>
      <c r="DS562" s="27" t="s">
        <v>8</v>
      </c>
      <c r="DT562" s="27" t="s">
        <v>7</v>
      </c>
      <c r="DV562" s="27" t="s">
        <v>7</v>
      </c>
      <c r="EI562" s="27" t="s">
        <v>8</v>
      </c>
      <c r="EJ562" s="27" t="s">
        <v>7</v>
      </c>
    </row>
    <row r="563" spans="1:254" x14ac:dyDescent="0.25">
      <c r="A563" s="7">
        <v>1.6084372494752261</v>
      </c>
      <c r="B563"/>
      <c r="C563"/>
      <c r="D563"/>
      <c r="E563"/>
      <c r="CY563" s="27" t="s">
        <v>8</v>
      </c>
      <c r="CZ563" s="27" t="s">
        <v>7</v>
      </c>
      <c r="DE563" s="27" t="s">
        <v>8</v>
      </c>
      <c r="DG563" s="27" t="s">
        <v>8</v>
      </c>
      <c r="DO563" s="27" t="s">
        <v>8</v>
      </c>
      <c r="DP563" s="27" t="s">
        <v>7</v>
      </c>
      <c r="DQ563" s="27" t="s">
        <v>8</v>
      </c>
      <c r="DR563" s="27" t="s">
        <v>7</v>
      </c>
      <c r="DS563" s="27" t="s">
        <v>8</v>
      </c>
      <c r="DV563" s="27" t="s">
        <v>7</v>
      </c>
      <c r="EI563" s="27" t="s">
        <v>8</v>
      </c>
      <c r="EJ563" s="27" t="s">
        <v>7</v>
      </c>
    </row>
    <row r="564" spans="1:254" x14ac:dyDescent="0.25">
      <c r="A564" s="7">
        <v>1.5768992641913981</v>
      </c>
      <c r="B564"/>
      <c r="C564"/>
      <c r="D564"/>
      <c r="E564"/>
      <c r="CY564" s="27" t="s">
        <v>8</v>
      </c>
      <c r="CZ564" s="27" t="s">
        <v>7</v>
      </c>
      <c r="DE564" s="27" t="s">
        <v>8</v>
      </c>
      <c r="DF564" s="27" t="s">
        <v>7</v>
      </c>
      <c r="DG564" s="27" t="s">
        <v>8</v>
      </c>
      <c r="DH564" s="27" t="s">
        <v>7</v>
      </c>
      <c r="DO564" s="27" t="s">
        <v>8</v>
      </c>
      <c r="DP564" s="27" t="s">
        <v>7</v>
      </c>
      <c r="DQ564" s="27" t="s">
        <v>8</v>
      </c>
      <c r="DR564" s="27" t="s">
        <v>7</v>
      </c>
      <c r="DV564" s="27" t="s">
        <v>7</v>
      </c>
      <c r="EI564" s="27" t="s">
        <v>8</v>
      </c>
      <c r="EJ564" s="27" t="s">
        <v>7</v>
      </c>
    </row>
    <row r="565" spans="1:254" x14ac:dyDescent="0.25">
      <c r="A565" s="7">
        <v>1.5459796707758806</v>
      </c>
      <c r="B565"/>
      <c r="C565"/>
      <c r="D565"/>
      <c r="E565"/>
      <c r="CY565" s="27" t="s">
        <v>8</v>
      </c>
      <c r="CZ565" s="27" t="s">
        <v>7</v>
      </c>
      <c r="DA565" s="27" t="s">
        <v>8</v>
      </c>
      <c r="DE565" s="27" t="s">
        <v>8</v>
      </c>
      <c r="DF565" s="27" t="s">
        <v>7</v>
      </c>
      <c r="DG565" s="27" t="s">
        <v>8</v>
      </c>
      <c r="DH565" s="27" t="s">
        <v>7</v>
      </c>
      <c r="DK565" s="27" t="s">
        <v>8</v>
      </c>
      <c r="DO565" s="27" t="s">
        <v>8</v>
      </c>
      <c r="DP565" s="27" t="s">
        <v>7</v>
      </c>
      <c r="DQ565" s="27" t="s">
        <v>8</v>
      </c>
      <c r="DV565" s="27" t="s">
        <v>7</v>
      </c>
      <c r="EE565" s="27" t="s">
        <v>8</v>
      </c>
      <c r="EG565" s="27" t="s">
        <v>8</v>
      </c>
      <c r="EI565" s="27" t="s">
        <v>8</v>
      </c>
      <c r="EJ565" s="27" t="s">
        <v>7</v>
      </c>
    </row>
    <row r="566" spans="1:254" x14ac:dyDescent="0.25">
      <c r="A566" s="7">
        <v>1.5156663438979221</v>
      </c>
      <c r="B566"/>
      <c r="C566"/>
      <c r="D566"/>
      <c r="E566"/>
      <c r="CY566" s="27" t="s">
        <v>8</v>
      </c>
      <c r="CZ566" s="27" t="s">
        <v>7</v>
      </c>
      <c r="DA566" s="27" t="s">
        <v>8</v>
      </c>
      <c r="DB566" s="27" t="s">
        <v>7</v>
      </c>
      <c r="DC566" s="27" t="s">
        <v>8</v>
      </c>
      <c r="DE566" s="27" t="s">
        <v>8</v>
      </c>
      <c r="DF566" s="27" t="s">
        <v>7</v>
      </c>
      <c r="DG566" s="27" t="s">
        <v>8</v>
      </c>
      <c r="DH566" s="27" t="s">
        <v>7</v>
      </c>
      <c r="DK566" s="27" t="s">
        <v>8</v>
      </c>
      <c r="DL566" s="27" t="s">
        <v>7</v>
      </c>
      <c r="DM566" s="27" t="s">
        <v>8</v>
      </c>
      <c r="DO566" s="27" t="s">
        <v>8</v>
      </c>
      <c r="DP566" s="27" t="s">
        <v>7</v>
      </c>
      <c r="DQ566" s="27" t="s">
        <v>8</v>
      </c>
      <c r="DV566" s="27" t="s">
        <v>7</v>
      </c>
      <c r="DW566" s="27" t="s">
        <v>8</v>
      </c>
      <c r="EE566" s="27" t="s">
        <v>8</v>
      </c>
      <c r="EF566" s="27" t="s">
        <v>7</v>
      </c>
      <c r="EG566" s="27" t="s">
        <v>8</v>
      </c>
      <c r="EH566" s="27" t="s">
        <v>7</v>
      </c>
      <c r="EI566" s="27" t="s">
        <v>8</v>
      </c>
      <c r="EJ566" s="27" t="s">
        <v>7</v>
      </c>
    </row>
    <row r="567" spans="1:254" x14ac:dyDescent="0.25">
      <c r="A567" s="7">
        <v>1.4859473959783549</v>
      </c>
      <c r="B567"/>
      <c r="C567"/>
      <c r="D567"/>
      <c r="E567"/>
      <c r="CY567" s="27" t="s">
        <v>8</v>
      </c>
      <c r="CZ567" s="27" t="s">
        <v>7</v>
      </c>
      <c r="DA567" s="27" t="s">
        <v>8</v>
      </c>
      <c r="DB567" s="27" t="s">
        <v>7</v>
      </c>
      <c r="DC567" s="27" t="s">
        <v>8</v>
      </c>
      <c r="DD567" s="27" t="s">
        <v>7</v>
      </c>
      <c r="DE567" s="27" t="s">
        <v>8</v>
      </c>
      <c r="DF567" s="27" t="s">
        <v>7</v>
      </c>
      <c r="DG567" s="27" t="s">
        <v>8</v>
      </c>
      <c r="DH567" s="27" t="s">
        <v>7</v>
      </c>
      <c r="DK567" s="27" t="s">
        <v>8</v>
      </c>
      <c r="DL567" s="27" t="s">
        <v>7</v>
      </c>
      <c r="DM567" s="27" t="s">
        <v>8</v>
      </c>
      <c r="DN567" s="27" t="s">
        <v>7</v>
      </c>
      <c r="DO567" s="27" t="s">
        <v>8</v>
      </c>
      <c r="DP567" s="27" t="s">
        <v>7</v>
      </c>
      <c r="DQ567" s="27" t="s">
        <v>8</v>
      </c>
      <c r="DV567" s="27" t="s">
        <v>7</v>
      </c>
      <c r="DW567" s="27" t="s">
        <v>8</v>
      </c>
      <c r="DX567" s="27" t="s">
        <v>7</v>
      </c>
      <c r="EE567" s="27" t="s">
        <v>8</v>
      </c>
      <c r="EF567" s="27" t="s">
        <v>7</v>
      </c>
      <c r="EG567" s="27" t="s">
        <v>8</v>
      </c>
      <c r="EH567" s="27" t="s">
        <v>7</v>
      </c>
      <c r="EI567" s="27" t="s">
        <v>8</v>
      </c>
      <c r="EJ567" s="27" t="s">
        <v>7</v>
      </c>
    </row>
    <row r="568" spans="1:254" x14ac:dyDescent="0.25">
      <c r="A568" s="7">
        <v>1.4568111725277988</v>
      </c>
      <c r="B568"/>
      <c r="C568"/>
      <c r="D568"/>
      <c r="E568"/>
      <c r="CY568" s="27" t="s">
        <v>8</v>
      </c>
      <c r="CZ568" s="27" t="s">
        <v>7</v>
      </c>
      <c r="DA568" s="27" t="s">
        <v>8</v>
      </c>
      <c r="DB568" s="27" t="s">
        <v>7</v>
      </c>
      <c r="DC568" s="27" t="s">
        <v>8</v>
      </c>
      <c r="DD568" s="27" t="s">
        <v>7</v>
      </c>
      <c r="DE568" s="27" t="s">
        <v>8</v>
      </c>
      <c r="DF568" s="27" t="s">
        <v>7</v>
      </c>
      <c r="DG568" s="27" t="s">
        <v>8</v>
      </c>
      <c r="DH568" s="27" t="s">
        <v>7</v>
      </c>
      <c r="DK568" s="27" t="s">
        <v>8</v>
      </c>
      <c r="DL568" s="27" t="s">
        <v>7</v>
      </c>
      <c r="DM568" s="27" t="s">
        <v>8</v>
      </c>
      <c r="DN568" s="27" t="s">
        <v>7</v>
      </c>
      <c r="DO568" s="27" t="s">
        <v>8</v>
      </c>
      <c r="DP568" s="27" t="s">
        <v>7</v>
      </c>
      <c r="DV568" s="27" t="s">
        <v>7</v>
      </c>
      <c r="DW568" s="27" t="s">
        <v>8</v>
      </c>
      <c r="DX568" s="27" t="s">
        <v>7</v>
      </c>
      <c r="DY568" s="27" t="s">
        <v>8</v>
      </c>
      <c r="EE568" s="27" t="s">
        <v>8</v>
      </c>
      <c r="EF568" s="27" t="s">
        <v>7</v>
      </c>
      <c r="EG568" s="27" t="s">
        <v>8</v>
      </c>
      <c r="EH568" s="27" t="s">
        <v>7</v>
      </c>
      <c r="EI568" s="27" t="s">
        <v>8</v>
      </c>
      <c r="EJ568" s="27" t="s">
        <v>7</v>
      </c>
    </row>
    <row r="569" spans="1:254" x14ac:dyDescent="0.25">
      <c r="A569" s="7">
        <v>1.4282462475762734</v>
      </c>
      <c r="B569"/>
      <c r="C569"/>
      <c r="D569"/>
      <c r="E569"/>
      <c r="CY569" s="27" t="s">
        <v>8</v>
      </c>
      <c r="CZ569" s="27" t="s">
        <v>7</v>
      </c>
      <c r="DA569" s="27" t="s">
        <v>8</v>
      </c>
      <c r="DB569" s="27" t="s">
        <v>7</v>
      </c>
      <c r="DC569" s="27" t="s">
        <v>8</v>
      </c>
      <c r="DD569" s="27" t="s">
        <v>7</v>
      </c>
      <c r="DE569" s="27" t="s">
        <v>8</v>
      </c>
      <c r="DF569" s="27" t="s">
        <v>7</v>
      </c>
      <c r="DG569" s="27" t="s">
        <v>8</v>
      </c>
      <c r="DH569" s="27" t="s">
        <v>7</v>
      </c>
      <c r="DI569" s="27" t="s">
        <v>8</v>
      </c>
      <c r="DK569" s="27" t="s">
        <v>8</v>
      </c>
      <c r="DL569" s="27" t="s">
        <v>7</v>
      </c>
      <c r="DM569" s="27" t="s">
        <v>8</v>
      </c>
      <c r="DN569" s="27" t="s">
        <v>7</v>
      </c>
      <c r="DO569" s="27" t="s">
        <v>8</v>
      </c>
      <c r="DV569" s="27" t="s">
        <v>7</v>
      </c>
      <c r="DW569" s="27" t="s">
        <v>8</v>
      </c>
      <c r="DX569" s="27" t="s">
        <v>7</v>
      </c>
      <c r="DY569" s="27" t="s">
        <v>8</v>
      </c>
      <c r="DZ569" s="27" t="s">
        <v>7</v>
      </c>
      <c r="EE569" s="27" t="s">
        <v>8</v>
      </c>
      <c r="EF569" s="27" t="s">
        <v>7</v>
      </c>
      <c r="EG569" s="27" t="s">
        <v>8</v>
      </c>
      <c r="EH569" s="27" t="s">
        <v>7</v>
      </c>
      <c r="EI569" s="27" t="s">
        <v>8</v>
      </c>
      <c r="EJ569" s="27" t="s">
        <v>7</v>
      </c>
      <c r="IC569" s="27" t="s">
        <v>8</v>
      </c>
    </row>
    <row r="570" spans="1:254" x14ac:dyDescent="0.25">
      <c r="A570" s="7">
        <v>1.4002414191924248</v>
      </c>
      <c r="B570"/>
      <c r="C570"/>
      <c r="D570"/>
      <c r="E570"/>
      <c r="CY570" s="27" t="s">
        <v>8</v>
      </c>
      <c r="CZ570" s="27" t="s">
        <v>7</v>
      </c>
      <c r="DB570" s="27" t="s">
        <v>7</v>
      </c>
      <c r="DC570" s="27" t="s">
        <v>8</v>
      </c>
      <c r="DD570" s="27" t="s">
        <v>7</v>
      </c>
      <c r="DE570" s="27" t="s">
        <v>8</v>
      </c>
      <c r="DF570" s="27" t="s">
        <v>7</v>
      </c>
      <c r="DG570" s="27" t="s">
        <v>8</v>
      </c>
      <c r="DH570" s="27" t="s">
        <v>7</v>
      </c>
      <c r="DI570" s="27" t="s">
        <v>8</v>
      </c>
      <c r="DJ570" s="27" t="s">
        <v>7</v>
      </c>
      <c r="DK570" s="27" t="s">
        <v>8</v>
      </c>
      <c r="DL570" s="27" t="s">
        <v>7</v>
      </c>
      <c r="DN570" s="27" t="s">
        <v>7</v>
      </c>
      <c r="DO570" s="27" t="s">
        <v>8</v>
      </c>
      <c r="DV570" s="27" t="s">
        <v>7</v>
      </c>
      <c r="DW570" s="27" t="s">
        <v>8</v>
      </c>
      <c r="DX570" s="27" t="s">
        <v>7</v>
      </c>
      <c r="DY570" s="27" t="s">
        <v>8</v>
      </c>
      <c r="DZ570" s="27" t="s">
        <v>7</v>
      </c>
      <c r="EC570" s="27" t="s">
        <v>8</v>
      </c>
      <c r="EE570" s="27" t="s">
        <v>8</v>
      </c>
      <c r="EF570" s="27" t="s">
        <v>7</v>
      </c>
      <c r="EG570" s="27" t="s">
        <v>8</v>
      </c>
      <c r="EH570" s="27" t="s">
        <v>7</v>
      </c>
      <c r="EI570" s="27" t="s">
        <v>8</v>
      </c>
      <c r="EJ570" s="27" t="s">
        <v>7</v>
      </c>
      <c r="IC570" s="27" t="s">
        <v>8</v>
      </c>
      <c r="ID570" s="27" t="s">
        <v>7</v>
      </c>
    </row>
    <row r="571" spans="1:254" x14ac:dyDescent="0.25">
      <c r="A571" s="7">
        <v>1.3727857050906125</v>
      </c>
      <c r="B571"/>
      <c r="C571"/>
      <c r="D571"/>
      <c r="E571"/>
      <c r="CM571" s="27" t="s">
        <v>8</v>
      </c>
      <c r="CY571" s="27" t="s">
        <v>8</v>
      </c>
      <c r="DB571" s="27" t="s">
        <v>7</v>
      </c>
      <c r="DC571" s="27" t="s">
        <v>8</v>
      </c>
      <c r="DD571" s="27" t="s">
        <v>7</v>
      </c>
      <c r="DE571" s="27" t="s">
        <v>8</v>
      </c>
      <c r="DF571" s="27" t="s">
        <v>7</v>
      </c>
      <c r="DG571" s="27" t="s">
        <v>8</v>
      </c>
      <c r="DH571" s="27" t="s">
        <v>7</v>
      </c>
      <c r="DI571" s="27" t="s">
        <v>8</v>
      </c>
      <c r="DJ571" s="27" t="s">
        <v>7</v>
      </c>
      <c r="DK571" s="27" t="s">
        <v>8</v>
      </c>
      <c r="DN571" s="27" t="s">
        <v>7</v>
      </c>
      <c r="DV571" s="27" t="s">
        <v>7</v>
      </c>
      <c r="DW571" s="27" t="s">
        <v>8</v>
      </c>
      <c r="DX571" s="27" t="s">
        <v>7</v>
      </c>
      <c r="DY571" s="27" t="s">
        <v>8</v>
      </c>
      <c r="DZ571" s="27" t="s">
        <v>7</v>
      </c>
      <c r="EC571" s="27" t="s">
        <v>8</v>
      </c>
      <c r="ED571" s="27" t="s">
        <v>7</v>
      </c>
      <c r="EE571" s="27" t="s">
        <v>8</v>
      </c>
      <c r="EF571" s="27" t="s">
        <v>7</v>
      </c>
      <c r="EG571" s="27" t="s">
        <v>8</v>
      </c>
      <c r="EH571" s="27" t="s">
        <v>7</v>
      </c>
      <c r="EJ571" s="27" t="s">
        <v>7</v>
      </c>
      <c r="IA571" s="27" t="s">
        <v>8</v>
      </c>
      <c r="IC571" s="27" t="s">
        <v>8</v>
      </c>
      <c r="ID571" s="27" t="s">
        <v>7</v>
      </c>
      <c r="IE571" s="27" t="s">
        <v>8</v>
      </c>
    </row>
    <row r="572" spans="1:254" x14ac:dyDescent="0.25">
      <c r="A572" s="7">
        <v>1.3458683383241299</v>
      </c>
      <c r="B572"/>
      <c r="C572"/>
      <c r="D572"/>
      <c r="E572"/>
      <c r="CM572" s="27" t="s">
        <v>8</v>
      </c>
      <c r="CN572" s="27" t="s">
        <v>7</v>
      </c>
      <c r="CY572" s="27" t="s">
        <v>8</v>
      </c>
      <c r="DB572" s="27" t="s">
        <v>7</v>
      </c>
      <c r="DC572" s="27" t="s">
        <v>8</v>
      </c>
      <c r="DD572" s="27" t="s">
        <v>7</v>
      </c>
      <c r="DE572" s="27" t="s">
        <v>8</v>
      </c>
      <c r="DF572" s="27" t="s">
        <v>7</v>
      </c>
      <c r="DH572" s="27" t="s">
        <v>7</v>
      </c>
      <c r="DI572" s="27" t="s">
        <v>8</v>
      </c>
      <c r="DJ572" s="27" t="s">
        <v>7</v>
      </c>
      <c r="DV572" s="27" t="s">
        <v>7</v>
      </c>
      <c r="DW572" s="27" t="s">
        <v>8</v>
      </c>
      <c r="DX572" s="27" t="s">
        <v>7</v>
      </c>
      <c r="DY572" s="27" t="s">
        <v>8</v>
      </c>
      <c r="DZ572" s="27" t="s">
        <v>7</v>
      </c>
      <c r="EC572" s="27" t="s">
        <v>8</v>
      </c>
      <c r="ED572" s="27" t="s">
        <v>7</v>
      </c>
      <c r="EE572" s="27" t="s">
        <v>8</v>
      </c>
      <c r="EF572" s="27" t="s">
        <v>7</v>
      </c>
      <c r="EG572" s="27" t="s">
        <v>8</v>
      </c>
      <c r="EJ572" s="27" t="s">
        <v>7</v>
      </c>
      <c r="IA572" s="27" t="s">
        <v>8</v>
      </c>
      <c r="IB572" s="27" t="s">
        <v>7</v>
      </c>
      <c r="IC572" s="27" t="s">
        <v>8</v>
      </c>
      <c r="ID572" s="27" t="s">
        <v>7</v>
      </c>
      <c r="IE572" s="27" t="s">
        <v>8</v>
      </c>
      <c r="IF572" s="27" t="s">
        <v>7</v>
      </c>
    </row>
    <row r="573" spans="1:254" x14ac:dyDescent="0.25">
      <c r="A573" s="7">
        <v>1.3194787630628724</v>
      </c>
      <c r="B573"/>
      <c r="C573"/>
      <c r="D573"/>
      <c r="E573"/>
      <c r="CM573" s="27" t="s">
        <v>8</v>
      </c>
      <c r="CN573" s="27" t="s">
        <v>7</v>
      </c>
      <c r="CQ573" s="27" t="s">
        <v>8</v>
      </c>
      <c r="CY573" s="27" t="s">
        <v>8</v>
      </c>
      <c r="DB573" s="27" t="s">
        <v>7</v>
      </c>
      <c r="DC573" s="27" t="s">
        <v>8</v>
      </c>
      <c r="DD573" s="27" t="s">
        <v>7</v>
      </c>
      <c r="DH573" s="27" t="s">
        <v>7</v>
      </c>
      <c r="DI573" s="27" t="s">
        <v>8</v>
      </c>
      <c r="DV573" s="27" t="s">
        <v>7</v>
      </c>
      <c r="DW573" s="27" t="s">
        <v>8</v>
      </c>
      <c r="DX573" s="27" t="s">
        <v>7</v>
      </c>
      <c r="DY573" s="27" t="s">
        <v>8</v>
      </c>
      <c r="DZ573" s="27" t="s">
        <v>7</v>
      </c>
      <c r="EC573" s="27" t="s">
        <v>8</v>
      </c>
      <c r="ED573" s="27" t="s">
        <v>7</v>
      </c>
      <c r="EE573" s="27" t="s">
        <v>8</v>
      </c>
      <c r="EF573" s="27" t="s">
        <v>7</v>
      </c>
      <c r="EG573" s="27" t="s">
        <v>8</v>
      </c>
      <c r="EJ573" s="27" t="s">
        <v>7</v>
      </c>
      <c r="IA573" s="27" t="s">
        <v>8</v>
      </c>
      <c r="IB573" s="27" t="s">
        <v>7</v>
      </c>
      <c r="IC573" s="27" t="s">
        <v>8</v>
      </c>
      <c r="ID573" s="27" t="s">
        <v>7</v>
      </c>
      <c r="IE573" s="27" t="s">
        <v>8</v>
      </c>
      <c r="IF573" s="27" t="s">
        <v>7</v>
      </c>
    </row>
    <row r="574" spans="1:254" x14ac:dyDescent="0.25">
      <c r="A574" s="7">
        <v>1.2936066304537963</v>
      </c>
      <c r="B574"/>
      <c r="C574"/>
      <c r="D574"/>
      <c r="E574"/>
      <c r="CM574" s="27" t="s">
        <v>8</v>
      </c>
      <c r="CN574" s="27" t="s">
        <v>7</v>
      </c>
      <c r="CQ574" s="27" t="s">
        <v>8</v>
      </c>
      <c r="CR574" s="27" t="s">
        <v>7</v>
      </c>
      <c r="CY574" s="27" t="s">
        <v>8</v>
      </c>
      <c r="DB574" s="27" t="s">
        <v>7</v>
      </c>
      <c r="DH574" s="27" t="s">
        <v>7</v>
      </c>
      <c r="DI574" s="27" t="s">
        <v>8</v>
      </c>
      <c r="DV574" s="27" t="s">
        <v>7</v>
      </c>
      <c r="DW574" s="27" t="s">
        <v>8</v>
      </c>
      <c r="DX574" s="27" t="s">
        <v>7</v>
      </c>
      <c r="DY574" s="27" t="s">
        <v>8</v>
      </c>
      <c r="DZ574" s="27" t="s">
        <v>7</v>
      </c>
      <c r="EC574" s="27" t="s">
        <v>8</v>
      </c>
      <c r="ED574" s="27" t="s">
        <v>7</v>
      </c>
      <c r="EE574" s="27" t="s">
        <v>8</v>
      </c>
      <c r="EF574" s="27" t="s">
        <v>7</v>
      </c>
      <c r="EG574" s="27" t="s">
        <v>8</v>
      </c>
      <c r="EJ574" s="27" t="s">
        <v>7</v>
      </c>
      <c r="EK574" s="27" t="s">
        <v>8</v>
      </c>
      <c r="IA574" s="27" t="s">
        <v>8</v>
      </c>
      <c r="IB574" s="27" t="s">
        <v>7</v>
      </c>
      <c r="IC574" s="27" t="s">
        <v>8</v>
      </c>
      <c r="ID574" s="27" t="s">
        <v>7</v>
      </c>
      <c r="IE574" s="27" t="s">
        <v>8</v>
      </c>
      <c r="IF574" s="27" t="s">
        <v>7</v>
      </c>
    </row>
    <row r="575" spans="1:254" x14ac:dyDescent="0.25">
      <c r="A575" s="7">
        <v>1.2682417945625455</v>
      </c>
      <c r="B575"/>
      <c r="C575"/>
      <c r="D575"/>
      <c r="E575"/>
      <c r="CM575" s="27" t="s">
        <v>8</v>
      </c>
      <c r="CN575" s="27" t="s">
        <v>7</v>
      </c>
      <c r="CQ575" s="27" t="s">
        <v>8</v>
      </c>
      <c r="CR575" s="27" t="s">
        <v>7</v>
      </c>
      <c r="CY575" s="27" t="s">
        <v>8</v>
      </c>
      <c r="DH575" s="27" t="s">
        <v>7</v>
      </c>
      <c r="DI575" s="27" t="s">
        <v>8</v>
      </c>
      <c r="DV575" s="27" t="s">
        <v>7</v>
      </c>
      <c r="DW575" s="27" t="s">
        <v>8</v>
      </c>
      <c r="DX575" s="27" t="s">
        <v>7</v>
      </c>
      <c r="DY575" s="27" t="s">
        <v>8</v>
      </c>
      <c r="DZ575" s="27" t="s">
        <v>7</v>
      </c>
      <c r="EC575" s="27" t="s">
        <v>8</v>
      </c>
      <c r="ED575" s="27" t="s">
        <v>7</v>
      </c>
      <c r="EF575" s="27" t="s">
        <v>7</v>
      </c>
      <c r="EJ575" s="27" t="s">
        <v>7</v>
      </c>
      <c r="EK575" s="27" t="s">
        <v>8</v>
      </c>
      <c r="EL575" s="27" t="s">
        <v>7</v>
      </c>
      <c r="IA575" s="27" t="s">
        <v>8</v>
      </c>
      <c r="IB575" s="27" t="s">
        <v>7</v>
      </c>
      <c r="IC575" s="27" t="s">
        <v>8</v>
      </c>
      <c r="ID575" s="27" t="s">
        <v>7</v>
      </c>
      <c r="IE575" s="27" t="s">
        <v>8</v>
      </c>
      <c r="IF575" s="27" t="s">
        <v>7</v>
      </c>
      <c r="IS575" s="27" t="s">
        <v>8</v>
      </c>
    </row>
    <row r="576" spans="1:254" x14ac:dyDescent="0.25">
      <c r="A576" s="7">
        <v>1.2433743083946525</v>
      </c>
      <c r="B576"/>
      <c r="C576"/>
      <c r="D576"/>
      <c r="E576"/>
      <c r="CM576" s="27" t="s">
        <v>8</v>
      </c>
      <c r="CN576" s="27" t="s">
        <v>7</v>
      </c>
      <c r="CQ576" s="27" t="s">
        <v>8</v>
      </c>
      <c r="CR576" s="27" t="s">
        <v>7</v>
      </c>
      <c r="CY576" s="27" t="s">
        <v>8</v>
      </c>
      <c r="DH576" s="27" t="s">
        <v>7</v>
      </c>
      <c r="DI576" s="27" t="s">
        <v>8</v>
      </c>
      <c r="DV576" s="27" t="s">
        <v>7</v>
      </c>
      <c r="DW576" s="27" t="s">
        <v>8</v>
      </c>
      <c r="DX576" s="27" t="s">
        <v>7</v>
      </c>
      <c r="DY576" s="27" t="s">
        <v>8</v>
      </c>
      <c r="DZ576" s="27" t="s">
        <v>7</v>
      </c>
      <c r="EC576" s="27" t="s">
        <v>8</v>
      </c>
      <c r="EJ576" s="27" t="s">
        <v>7</v>
      </c>
      <c r="EK576" s="27" t="s">
        <v>8</v>
      </c>
      <c r="EL576" s="27" t="s">
        <v>7</v>
      </c>
      <c r="HM576" s="27" t="s">
        <v>8</v>
      </c>
      <c r="IA576" s="27" t="s">
        <v>8</v>
      </c>
      <c r="IB576" s="27" t="s">
        <v>7</v>
      </c>
      <c r="IC576" s="27" t="s">
        <v>8</v>
      </c>
      <c r="ID576" s="27" t="s">
        <v>7</v>
      </c>
      <c r="IE576" s="27" t="s">
        <v>8</v>
      </c>
      <c r="IF576" s="27" t="s">
        <v>7</v>
      </c>
      <c r="IS576" s="27" t="s">
        <v>8</v>
      </c>
      <c r="IT576" s="27" t="s">
        <v>7</v>
      </c>
    </row>
    <row r="577" spans="1:262" x14ac:dyDescent="0.25">
      <c r="A577" s="7">
        <v>1.2189944199947573</v>
      </c>
      <c r="B577"/>
      <c r="C577"/>
      <c r="D577"/>
      <c r="E577"/>
      <c r="CM577" s="27" t="s">
        <v>8</v>
      </c>
      <c r="CN577" s="27" t="s">
        <v>7</v>
      </c>
      <c r="CO577" s="27" t="s">
        <v>8</v>
      </c>
      <c r="CQ577" s="27" t="s">
        <v>8</v>
      </c>
      <c r="CR577" s="27" t="s">
        <v>7</v>
      </c>
      <c r="CY577" s="27" t="s">
        <v>8</v>
      </c>
      <c r="DH577" s="27" t="s">
        <v>7</v>
      </c>
      <c r="DI577" s="27" t="s">
        <v>8</v>
      </c>
      <c r="DV577" s="27" t="s">
        <v>7</v>
      </c>
      <c r="DX577" s="27" t="s">
        <v>7</v>
      </c>
      <c r="DZ577" s="27" t="s">
        <v>7</v>
      </c>
      <c r="EC577" s="27" t="s">
        <v>8</v>
      </c>
      <c r="EJ577" s="27" t="s">
        <v>7</v>
      </c>
      <c r="EK577" s="27" t="s">
        <v>8</v>
      </c>
      <c r="EL577" s="27" t="s">
        <v>7</v>
      </c>
      <c r="HM577" s="27" t="s">
        <v>8</v>
      </c>
      <c r="HN577" s="27" t="s">
        <v>7</v>
      </c>
      <c r="IA577" s="27" t="s">
        <v>8</v>
      </c>
      <c r="IB577" s="27" t="s">
        <v>7</v>
      </c>
      <c r="IC577" s="27" t="s">
        <v>8</v>
      </c>
      <c r="ID577" s="27" t="s">
        <v>7</v>
      </c>
      <c r="IE577" s="27" t="s">
        <v>8</v>
      </c>
      <c r="IF577" s="27" t="s">
        <v>7</v>
      </c>
      <c r="IS577" s="27" t="s">
        <v>8</v>
      </c>
      <c r="IT577" s="27" t="s">
        <v>7</v>
      </c>
    </row>
    <row r="578" spans="1:262" x14ac:dyDescent="0.25">
      <c r="A578" s="7">
        <v>1.1950925686223111</v>
      </c>
      <c r="B578"/>
      <c r="C578"/>
      <c r="D578"/>
      <c r="E578"/>
      <c r="CM578" s="27" t="s">
        <v>8</v>
      </c>
      <c r="CN578" s="27" t="s">
        <v>7</v>
      </c>
      <c r="CO578" s="27" t="s">
        <v>8</v>
      </c>
      <c r="CP578" s="27" t="s">
        <v>7</v>
      </c>
      <c r="CQ578" s="27" t="s">
        <v>8</v>
      </c>
      <c r="CR578" s="27" t="s">
        <v>7</v>
      </c>
      <c r="CY578" s="27" t="s">
        <v>8</v>
      </c>
      <c r="DH578" s="27" t="s">
        <v>7</v>
      </c>
      <c r="DI578" s="27" t="s">
        <v>8</v>
      </c>
      <c r="DZ578" s="27" t="s">
        <v>7</v>
      </c>
      <c r="EC578" s="27" t="s">
        <v>8</v>
      </c>
      <c r="EJ578" s="27" t="s">
        <v>7</v>
      </c>
      <c r="EK578" s="27" t="s">
        <v>8</v>
      </c>
      <c r="EL578" s="27" t="s">
        <v>7</v>
      </c>
      <c r="HM578" s="27" t="s">
        <v>8</v>
      </c>
      <c r="HN578" s="27" t="s">
        <v>7</v>
      </c>
      <c r="IA578" s="27" t="s">
        <v>8</v>
      </c>
      <c r="IB578" s="27" t="s">
        <v>7</v>
      </c>
      <c r="IC578" s="27" t="s">
        <v>8</v>
      </c>
      <c r="ID578" s="27" t="s">
        <v>7</v>
      </c>
      <c r="IE578" s="27" t="s">
        <v>8</v>
      </c>
      <c r="IF578" s="27" t="s">
        <v>7</v>
      </c>
      <c r="IS578" s="27" t="s">
        <v>8</v>
      </c>
      <c r="IT578" s="27" t="s">
        <v>7</v>
      </c>
    </row>
    <row r="579" spans="1:262" x14ac:dyDescent="0.25">
      <c r="A579" s="7">
        <v>1.1716593810022657</v>
      </c>
      <c r="B579"/>
      <c r="C579"/>
      <c r="D579"/>
      <c r="E579"/>
      <c r="CM579" s="27" t="s">
        <v>8</v>
      </c>
      <c r="CN579" s="27" t="s">
        <v>7</v>
      </c>
      <c r="CO579" s="27" t="s">
        <v>8</v>
      </c>
      <c r="CP579" s="27" t="s">
        <v>7</v>
      </c>
      <c r="CQ579" s="27" t="s">
        <v>8</v>
      </c>
      <c r="CR579" s="27" t="s">
        <v>7</v>
      </c>
      <c r="CW579" s="27" t="s">
        <v>8</v>
      </c>
      <c r="CY579" s="27" t="s">
        <v>8</v>
      </c>
      <c r="DH579" s="27" t="s">
        <v>7</v>
      </c>
      <c r="DZ579" s="27" t="s">
        <v>7</v>
      </c>
      <c r="EC579" s="27" t="s">
        <v>8</v>
      </c>
      <c r="EJ579" s="27" t="s">
        <v>7</v>
      </c>
      <c r="EK579" s="27" t="s">
        <v>8</v>
      </c>
      <c r="EL579" s="27" t="s">
        <v>7</v>
      </c>
      <c r="HM579" s="27" t="s">
        <v>8</v>
      </c>
      <c r="HN579" s="27" t="s">
        <v>7</v>
      </c>
      <c r="IA579" s="27" t="s">
        <v>8</v>
      </c>
      <c r="IB579" s="27" t="s">
        <v>7</v>
      </c>
      <c r="IC579" s="27" t="s">
        <v>8</v>
      </c>
      <c r="ID579" s="27" t="s">
        <v>7</v>
      </c>
      <c r="IF579" s="27" t="s">
        <v>7</v>
      </c>
      <c r="IS579" s="27" t="s">
        <v>8</v>
      </c>
      <c r="IT579" s="27" t="s">
        <v>7</v>
      </c>
    </row>
    <row r="580" spans="1:262" x14ac:dyDescent="0.25">
      <c r="A580" s="7">
        <v>1.14868566764928</v>
      </c>
      <c r="B580"/>
      <c r="C580"/>
      <c r="D580"/>
      <c r="E580"/>
      <c r="CM580" s="27" t="s">
        <v>8</v>
      </c>
      <c r="CN580" s="27" t="s">
        <v>7</v>
      </c>
      <c r="CO580" s="27" t="s">
        <v>8</v>
      </c>
      <c r="CP580" s="27" t="s">
        <v>7</v>
      </c>
      <c r="CQ580" s="27" t="s">
        <v>8</v>
      </c>
      <c r="CR580" s="27" t="s">
        <v>7</v>
      </c>
      <c r="CW580" s="27" t="s">
        <v>8</v>
      </c>
      <c r="CX580" s="27" t="s">
        <v>7</v>
      </c>
      <c r="CY580" s="27" t="s">
        <v>8</v>
      </c>
      <c r="DZ580" s="27" t="s">
        <v>7</v>
      </c>
      <c r="EC580" s="27" t="s">
        <v>8</v>
      </c>
      <c r="EJ580" s="27" t="s">
        <v>7</v>
      </c>
      <c r="EK580" s="27" t="s">
        <v>8</v>
      </c>
      <c r="EL580" s="27" t="s">
        <v>7</v>
      </c>
      <c r="HM580" s="27" t="s">
        <v>8</v>
      </c>
      <c r="HN580" s="27" t="s">
        <v>7</v>
      </c>
      <c r="HY580" s="27" t="s">
        <v>8</v>
      </c>
      <c r="IA580" s="27" t="s">
        <v>8</v>
      </c>
      <c r="IB580" s="27" t="s">
        <v>7</v>
      </c>
      <c r="IC580" s="27" t="s">
        <v>8</v>
      </c>
      <c r="IF580" s="27" t="s">
        <v>7</v>
      </c>
      <c r="IS580" s="27" t="s">
        <v>8</v>
      </c>
      <c r="IT580" s="27" t="s">
        <v>7</v>
      </c>
    </row>
    <row r="581" spans="1:262" x14ac:dyDescent="0.25">
      <c r="A581" s="7">
        <v>1.1261624192640001</v>
      </c>
      <c r="B581"/>
      <c r="C581"/>
      <c r="D581"/>
      <c r="E581"/>
      <c r="CM581" s="27" t="s">
        <v>8</v>
      </c>
      <c r="CN581" s="27" t="s">
        <v>7</v>
      </c>
      <c r="CO581" s="27" t="s">
        <v>8</v>
      </c>
      <c r="CP581" s="27" t="s">
        <v>7</v>
      </c>
      <c r="CQ581" s="27" t="s">
        <v>8</v>
      </c>
      <c r="CR581" s="27" t="s">
        <v>7</v>
      </c>
      <c r="CW581" s="27" t="s">
        <v>8</v>
      </c>
      <c r="CX581" s="27" t="s">
        <v>7</v>
      </c>
      <c r="CY581" s="27" t="s">
        <v>8</v>
      </c>
      <c r="DZ581" s="27" t="s">
        <v>7</v>
      </c>
      <c r="EA581" s="27" t="s">
        <v>8</v>
      </c>
      <c r="EC581" s="27" t="s">
        <v>8</v>
      </c>
      <c r="EJ581" s="27" t="s">
        <v>7</v>
      </c>
      <c r="EL581" s="27" t="s">
        <v>7</v>
      </c>
      <c r="EM581" s="27" t="s">
        <v>8</v>
      </c>
      <c r="GG581" s="27" t="s">
        <v>8</v>
      </c>
      <c r="HM581" s="27" t="s">
        <v>8</v>
      </c>
      <c r="HN581" s="27" t="s">
        <v>7</v>
      </c>
      <c r="HY581" s="27" t="s">
        <v>8</v>
      </c>
      <c r="HZ581" s="27" t="s">
        <v>7</v>
      </c>
      <c r="IA581" s="27" t="s">
        <v>8</v>
      </c>
      <c r="IB581" s="27" t="s">
        <v>7</v>
      </c>
      <c r="IC581" s="27" t="s">
        <v>8</v>
      </c>
      <c r="IF581" s="27" t="s">
        <v>7</v>
      </c>
      <c r="IS581" s="27" t="s">
        <v>8</v>
      </c>
      <c r="IT581" s="27" t="s">
        <v>7</v>
      </c>
    </row>
    <row r="582" spans="1:262" x14ac:dyDescent="0.25">
      <c r="A582" s="7">
        <v>1.1040808032</v>
      </c>
      <c r="B582"/>
      <c r="C582"/>
      <c r="D582"/>
      <c r="E582"/>
      <c r="CM582" s="27" t="s">
        <v>8</v>
      </c>
      <c r="CN582" s="27" t="s">
        <v>7</v>
      </c>
      <c r="CO582" s="27" t="s">
        <v>8</v>
      </c>
      <c r="CP582" s="27" t="s">
        <v>7</v>
      </c>
      <c r="CQ582" s="27" t="s">
        <v>8</v>
      </c>
      <c r="CR582" s="27" t="s">
        <v>7</v>
      </c>
      <c r="CW582" s="27" t="s">
        <v>8</v>
      </c>
      <c r="CX582" s="27" t="s">
        <v>7</v>
      </c>
      <c r="CY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L582" s="27" t="s">
        <v>7</v>
      </c>
      <c r="EM582" s="27" t="s">
        <v>8</v>
      </c>
      <c r="EN582" s="27" t="s">
        <v>7</v>
      </c>
      <c r="GG582" s="27" t="s">
        <v>8</v>
      </c>
      <c r="GH582" s="27" t="s">
        <v>7</v>
      </c>
      <c r="HM582" s="27" t="s">
        <v>8</v>
      </c>
      <c r="HN582" s="27" t="s">
        <v>7</v>
      </c>
      <c r="HY582" s="27" t="s">
        <v>8</v>
      </c>
      <c r="HZ582" s="27" t="s">
        <v>7</v>
      </c>
      <c r="IA582" s="27" t="s">
        <v>8</v>
      </c>
      <c r="IB582" s="27" t="s">
        <v>7</v>
      </c>
      <c r="IC582" s="27" t="s">
        <v>8</v>
      </c>
      <c r="IF582" s="27" t="s">
        <v>7</v>
      </c>
      <c r="IS582" s="27" t="s">
        <v>8</v>
      </c>
      <c r="IT582" s="27" t="s">
        <v>7</v>
      </c>
    </row>
    <row r="583" spans="1:262" x14ac:dyDescent="0.25">
      <c r="A583" s="7">
        <v>1.08243216</v>
      </c>
      <c r="B583"/>
      <c r="C583"/>
      <c r="D583"/>
      <c r="E583"/>
      <c r="CM583" s="27" t="s">
        <v>8</v>
      </c>
      <c r="CN583" s="27" t="s">
        <v>7</v>
      </c>
      <c r="CO583" s="27" t="s">
        <v>8</v>
      </c>
      <c r="CP583" s="27" t="s">
        <v>7</v>
      </c>
      <c r="CR583" s="27" t="s">
        <v>7</v>
      </c>
      <c r="CW583" s="27" t="s">
        <v>8</v>
      </c>
      <c r="CX583" s="27" t="s">
        <v>7</v>
      </c>
      <c r="CY583" s="27" t="s">
        <v>8</v>
      </c>
      <c r="DZ583" s="27" t="s">
        <v>7</v>
      </c>
      <c r="EA583" s="27" t="s">
        <v>8</v>
      </c>
      <c r="EB583" s="27" t="s">
        <v>7</v>
      </c>
      <c r="EC583" s="27" t="s">
        <v>8</v>
      </c>
      <c r="EL583" s="27" t="s">
        <v>7</v>
      </c>
      <c r="EM583" s="27" t="s">
        <v>8</v>
      </c>
      <c r="EN583" s="27" t="s">
        <v>7</v>
      </c>
      <c r="GG583" s="27" t="s">
        <v>8</v>
      </c>
      <c r="GH583" s="27" t="s">
        <v>7</v>
      </c>
      <c r="HM583" s="27" t="s">
        <v>8</v>
      </c>
      <c r="HN583" s="27" t="s">
        <v>7</v>
      </c>
      <c r="HY583" s="27" t="s">
        <v>8</v>
      </c>
      <c r="HZ583" s="27" t="s">
        <v>7</v>
      </c>
      <c r="IA583" s="27" t="s">
        <v>8</v>
      </c>
      <c r="IB583" s="27" t="s">
        <v>7</v>
      </c>
      <c r="IC583" s="27" t="s">
        <v>8</v>
      </c>
      <c r="IF583" s="27" t="s">
        <v>7</v>
      </c>
      <c r="IS583" s="27" t="s">
        <v>8</v>
      </c>
      <c r="IT583" s="27" t="s">
        <v>7</v>
      </c>
    </row>
    <row r="584" spans="1:262" x14ac:dyDescent="0.25">
      <c r="A584" s="7">
        <v>1.0612079999999999</v>
      </c>
      <c r="B584"/>
      <c r="C584"/>
      <c r="D584"/>
      <c r="E584"/>
      <c r="CM584" s="27" t="s">
        <v>8</v>
      </c>
      <c r="CN584" s="27" t="s">
        <v>7</v>
      </c>
      <c r="CO584" s="27" t="s">
        <v>8</v>
      </c>
      <c r="CR584" s="27" t="s">
        <v>7</v>
      </c>
      <c r="CW584" s="27" t="s">
        <v>8</v>
      </c>
      <c r="CX584" s="27" t="s">
        <v>7</v>
      </c>
      <c r="CY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L584" s="27" t="s">
        <v>7</v>
      </c>
      <c r="EM584" s="27" t="s">
        <v>8</v>
      </c>
      <c r="EN584" s="27" t="s">
        <v>7</v>
      </c>
      <c r="GG584" s="27" t="s">
        <v>8</v>
      </c>
      <c r="GH584" s="27" t="s">
        <v>7</v>
      </c>
      <c r="HM584" s="27" t="s">
        <v>8</v>
      </c>
      <c r="HN584" s="27" t="s">
        <v>7</v>
      </c>
      <c r="HY584" s="27" t="s">
        <v>8</v>
      </c>
      <c r="HZ584" s="27" t="s">
        <v>7</v>
      </c>
      <c r="IA584" s="27" t="s">
        <v>8</v>
      </c>
      <c r="IB584" s="27" t="s">
        <v>7</v>
      </c>
      <c r="IC584" s="27" t="s">
        <v>8</v>
      </c>
      <c r="IF584" s="27" t="s">
        <v>7</v>
      </c>
      <c r="IG584" s="27" t="s">
        <v>8</v>
      </c>
      <c r="IS584" s="27" t="s">
        <v>8</v>
      </c>
      <c r="IT584" s="27" t="s">
        <v>7</v>
      </c>
    </row>
    <row r="585" spans="1:262" x14ac:dyDescent="0.25">
      <c r="A585" s="7">
        <v>1.0404</v>
      </c>
      <c r="B585"/>
      <c r="C585"/>
      <c r="D585"/>
      <c r="E585"/>
      <c r="CM585" s="27" t="s">
        <v>8</v>
      </c>
      <c r="CN585" s="27" t="s">
        <v>7</v>
      </c>
      <c r="CO585" s="27" t="s">
        <v>8</v>
      </c>
      <c r="CR585" s="27" t="s">
        <v>7</v>
      </c>
      <c r="CW585" s="27" t="s">
        <v>8</v>
      </c>
      <c r="CX585" s="27" t="s">
        <v>7</v>
      </c>
      <c r="CY585" s="27" t="s">
        <v>8</v>
      </c>
      <c r="DZ585" s="27" t="s">
        <v>7</v>
      </c>
      <c r="EA585" s="27" t="s">
        <v>8</v>
      </c>
      <c r="EB585" s="27" t="s">
        <v>7</v>
      </c>
      <c r="EC585" s="27" t="s">
        <v>8</v>
      </c>
      <c r="EL585" s="27" t="s">
        <v>7</v>
      </c>
      <c r="EM585" s="27" t="s">
        <v>8</v>
      </c>
      <c r="EN585" s="27" t="s">
        <v>7</v>
      </c>
      <c r="GG585" s="27" t="s">
        <v>8</v>
      </c>
      <c r="GH585" s="27" t="s">
        <v>7</v>
      </c>
      <c r="HM585" s="27" t="s">
        <v>8</v>
      </c>
      <c r="HN585" s="27" t="s">
        <v>7</v>
      </c>
      <c r="HQ585" s="27" t="s">
        <v>8</v>
      </c>
      <c r="HY585" s="27" t="s">
        <v>8</v>
      </c>
      <c r="HZ585" s="27" t="s">
        <v>7</v>
      </c>
      <c r="IA585" s="27" t="s">
        <v>8</v>
      </c>
      <c r="IB585" s="27" t="s">
        <v>7</v>
      </c>
      <c r="IC585" s="27" t="s">
        <v>8</v>
      </c>
      <c r="IF585" s="27" t="s">
        <v>7</v>
      </c>
      <c r="IG585" s="27" t="s">
        <v>8</v>
      </c>
      <c r="IH585" s="27" t="s">
        <v>7</v>
      </c>
      <c r="IS585" s="27" t="s">
        <v>8</v>
      </c>
      <c r="IT585" s="27" t="s">
        <v>7</v>
      </c>
    </row>
    <row r="586" spans="1:262" x14ac:dyDescent="0.25">
      <c r="A586" s="7">
        <v>1.02</v>
      </c>
      <c r="B586"/>
      <c r="C586"/>
      <c r="D586"/>
      <c r="E586"/>
      <c r="CM586" s="27" t="s">
        <v>8</v>
      </c>
      <c r="CN586" s="27" t="s">
        <v>7</v>
      </c>
      <c r="CO586" s="27" t="s">
        <v>8</v>
      </c>
      <c r="CR586" s="27" t="s">
        <v>7</v>
      </c>
      <c r="CW586" s="27" t="s">
        <v>8</v>
      </c>
      <c r="CX586" s="27" t="s">
        <v>7</v>
      </c>
      <c r="DZ586" s="27" t="s">
        <v>7</v>
      </c>
      <c r="EA586" s="27" t="s">
        <v>8</v>
      </c>
      <c r="EB586" s="27" t="s">
        <v>7</v>
      </c>
      <c r="EC586" s="27" t="s">
        <v>8</v>
      </c>
      <c r="EL586" s="27" t="s">
        <v>7</v>
      </c>
      <c r="EM586" s="27" t="s">
        <v>8</v>
      </c>
      <c r="EN586" s="27" t="s">
        <v>7</v>
      </c>
      <c r="GG586" s="27" t="s">
        <v>8</v>
      </c>
      <c r="GH586" s="27" t="s">
        <v>7</v>
      </c>
      <c r="HM586" s="27" t="s">
        <v>8</v>
      </c>
      <c r="HN586" s="27" t="s">
        <v>7</v>
      </c>
      <c r="HO586" s="27" t="s">
        <v>8</v>
      </c>
      <c r="HQ586" s="27" t="s">
        <v>8</v>
      </c>
      <c r="HR586" s="27" t="s">
        <v>7</v>
      </c>
      <c r="HY586" s="27" t="s">
        <v>8</v>
      </c>
      <c r="HZ586" s="27" t="s">
        <v>7</v>
      </c>
      <c r="IA586" s="27" t="s">
        <v>8</v>
      </c>
      <c r="IB586" s="27" t="s">
        <v>7</v>
      </c>
      <c r="IC586" s="27" t="s">
        <v>8</v>
      </c>
      <c r="IF586" s="27" t="s">
        <v>7</v>
      </c>
      <c r="IG586" s="27" t="s">
        <v>8</v>
      </c>
      <c r="IH586" s="27" t="s">
        <v>7</v>
      </c>
      <c r="IS586" s="27" t="s">
        <v>8</v>
      </c>
      <c r="IT586" s="27" t="s">
        <v>7</v>
      </c>
      <c r="IU586" s="27" t="s">
        <v>8</v>
      </c>
      <c r="IW586" s="27" t="s">
        <v>8</v>
      </c>
      <c r="JA586" s="27" t="s">
        <v>8</v>
      </c>
    </row>
    <row r="587" spans="1:262" x14ac:dyDescent="0.25">
      <c r="A587" s="7">
        <v>1</v>
      </c>
      <c r="B587"/>
      <c r="C587"/>
      <c r="D587"/>
      <c r="E587" s="29" t="s">
        <v>8</v>
      </c>
      <c r="CM587" s="27" t="s">
        <v>8</v>
      </c>
      <c r="CN587" s="27" t="s">
        <v>7</v>
      </c>
      <c r="CO587" s="27" t="s">
        <v>8</v>
      </c>
      <c r="CR587" s="27" t="s">
        <v>7</v>
      </c>
      <c r="CS587" s="27" t="s">
        <v>8</v>
      </c>
      <c r="CW587" s="27" t="s">
        <v>8</v>
      </c>
      <c r="DZ587" s="27" t="s">
        <v>7</v>
      </c>
      <c r="EA587" s="27" t="s">
        <v>8</v>
      </c>
      <c r="EB587" s="27" t="s">
        <v>7</v>
      </c>
      <c r="EC587" s="27" t="s">
        <v>8</v>
      </c>
      <c r="EL587" s="27" t="s">
        <v>7</v>
      </c>
      <c r="EN587" s="27" t="s">
        <v>7</v>
      </c>
      <c r="GG587" s="27" t="s">
        <v>8</v>
      </c>
      <c r="GH587" s="27" t="s">
        <v>7</v>
      </c>
      <c r="GM587" s="27" t="s">
        <v>8</v>
      </c>
      <c r="HM587" s="27" t="s">
        <v>8</v>
      </c>
      <c r="HN587" s="27" t="s">
        <v>7</v>
      </c>
      <c r="HO587" s="27" t="s">
        <v>8</v>
      </c>
      <c r="HP587" s="27" t="s">
        <v>7</v>
      </c>
      <c r="HQ587" s="27" t="s">
        <v>8</v>
      </c>
      <c r="HR587" s="27" t="s">
        <v>7</v>
      </c>
      <c r="HY587" s="27" t="s">
        <v>8</v>
      </c>
      <c r="HZ587" s="27" t="s">
        <v>7</v>
      </c>
      <c r="IA587" s="27" t="s">
        <v>8</v>
      </c>
      <c r="IB587" s="27" t="s">
        <v>7</v>
      </c>
      <c r="IF587" s="27" t="s">
        <v>7</v>
      </c>
      <c r="IG587" s="27" t="s">
        <v>8</v>
      </c>
      <c r="IH587" s="27" t="s">
        <v>7</v>
      </c>
      <c r="IK587" s="27" t="s">
        <v>8</v>
      </c>
      <c r="IS587" s="27" t="s">
        <v>8</v>
      </c>
      <c r="IT587" s="27" t="s">
        <v>7</v>
      </c>
      <c r="IU587" s="27" t="s">
        <v>8</v>
      </c>
      <c r="IV587" s="27" t="s">
        <v>7</v>
      </c>
      <c r="IW587" s="27" t="s">
        <v>8</v>
      </c>
      <c r="IX587" s="27" t="s">
        <v>7</v>
      </c>
      <c r="JA587" s="27" t="s">
        <v>8</v>
      </c>
      <c r="JB587" s="27" t="s">
        <v>7</v>
      </c>
    </row>
    <row r="588" spans="1:262" x14ac:dyDescent="0.25">
      <c r="A588" s="7">
        <v>0.98039215686274506</v>
      </c>
      <c r="B588"/>
      <c r="C588"/>
      <c r="D588"/>
      <c r="E588"/>
      <c r="F588" s="27" t="s">
        <v>7</v>
      </c>
      <c r="CM588" s="27" t="s">
        <v>8</v>
      </c>
      <c r="CN588" s="27" t="s">
        <v>7</v>
      </c>
      <c r="CO588" s="27" t="s">
        <v>8</v>
      </c>
      <c r="CR588" s="27" t="s">
        <v>7</v>
      </c>
      <c r="CS588" s="27" t="s">
        <v>8</v>
      </c>
      <c r="CT588" s="27" t="s">
        <v>7</v>
      </c>
      <c r="CW588" s="27" t="s">
        <v>8</v>
      </c>
      <c r="DZ588" s="27" t="s">
        <v>7</v>
      </c>
      <c r="EA588" s="27" t="s">
        <v>8</v>
      </c>
      <c r="EB588" s="27" t="s">
        <v>7</v>
      </c>
      <c r="EN588" s="27" t="s">
        <v>7</v>
      </c>
      <c r="GG588" s="27" t="s">
        <v>8</v>
      </c>
      <c r="GH588" s="27" t="s">
        <v>7</v>
      </c>
      <c r="GM588" s="27" t="s">
        <v>8</v>
      </c>
      <c r="GN588" s="27" t="s">
        <v>7</v>
      </c>
      <c r="HM588" s="27" t="s">
        <v>8</v>
      </c>
      <c r="HN588" s="27" t="s">
        <v>7</v>
      </c>
      <c r="HO588" s="27" t="s">
        <v>8</v>
      </c>
      <c r="HP588" s="27" t="s">
        <v>7</v>
      </c>
      <c r="HQ588" s="27" t="s">
        <v>8</v>
      </c>
      <c r="HR588" s="27" t="s">
        <v>7</v>
      </c>
      <c r="HY588" s="27" t="s">
        <v>8</v>
      </c>
      <c r="HZ588" s="27" t="s">
        <v>7</v>
      </c>
      <c r="IA588" s="27" t="s">
        <v>8</v>
      </c>
      <c r="IF588" s="27" t="s">
        <v>7</v>
      </c>
      <c r="IG588" s="27" t="s">
        <v>8</v>
      </c>
      <c r="IH588" s="27" t="s">
        <v>7</v>
      </c>
      <c r="II588" s="27" t="s">
        <v>8</v>
      </c>
      <c r="IK588" s="27" t="s">
        <v>8</v>
      </c>
      <c r="IL588" s="27" t="s">
        <v>7</v>
      </c>
      <c r="IS588" s="27" t="s">
        <v>8</v>
      </c>
      <c r="IT588" s="27" t="s">
        <v>7</v>
      </c>
      <c r="IU588" s="27" t="s">
        <v>8</v>
      </c>
      <c r="IV588" s="27" t="s">
        <v>7</v>
      </c>
      <c r="IW588" s="27" t="s">
        <v>8</v>
      </c>
      <c r="IX588" s="27" t="s">
        <v>7</v>
      </c>
      <c r="JA588" s="27" t="s">
        <v>8</v>
      </c>
      <c r="JB588" s="27" t="s">
        <v>7</v>
      </c>
    </row>
    <row r="589" spans="1:262" x14ac:dyDescent="0.25">
      <c r="A589" s="7">
        <v>0.96116878123798544</v>
      </c>
      <c r="B589"/>
      <c r="C589"/>
      <c r="D589"/>
      <c r="E589"/>
      <c r="F589" s="27" t="s">
        <v>7</v>
      </c>
      <c r="CM589" s="27" t="s">
        <v>8</v>
      </c>
      <c r="CN589" s="27" t="s">
        <v>7</v>
      </c>
      <c r="CO589" s="27" t="s">
        <v>8</v>
      </c>
      <c r="CR589" s="27" t="s">
        <v>7</v>
      </c>
      <c r="CS589" s="27" t="s">
        <v>8</v>
      </c>
      <c r="CT589" s="27" t="s">
        <v>7</v>
      </c>
      <c r="CW589" s="27" t="s">
        <v>8</v>
      </c>
      <c r="DZ589" s="27" t="s">
        <v>7</v>
      </c>
      <c r="EA589" s="27" t="s">
        <v>8</v>
      </c>
      <c r="EN589" s="27" t="s">
        <v>7</v>
      </c>
      <c r="GG589" s="27" t="s">
        <v>8</v>
      </c>
      <c r="GH589" s="27" t="s">
        <v>7</v>
      </c>
      <c r="GM589" s="27" t="s">
        <v>8</v>
      </c>
      <c r="GN589" s="27" t="s">
        <v>7</v>
      </c>
      <c r="HG589" s="27" t="s">
        <v>8</v>
      </c>
      <c r="HI589" s="27" t="s">
        <v>8</v>
      </c>
      <c r="HM589" s="27" t="s">
        <v>8</v>
      </c>
      <c r="HN589" s="27" t="s">
        <v>7</v>
      </c>
      <c r="HO589" s="27" t="s">
        <v>8</v>
      </c>
      <c r="HP589" s="27" t="s">
        <v>7</v>
      </c>
      <c r="HQ589" s="27" t="s">
        <v>8</v>
      </c>
      <c r="HR589" s="27" t="s">
        <v>7</v>
      </c>
      <c r="HS589" s="27" t="s">
        <v>8</v>
      </c>
      <c r="HY589" s="27" t="s">
        <v>8</v>
      </c>
      <c r="HZ589" s="27" t="s">
        <v>7</v>
      </c>
      <c r="IA589" s="27" t="s">
        <v>8</v>
      </c>
      <c r="IF589" s="27" t="s">
        <v>7</v>
      </c>
      <c r="IG589" s="27" t="s">
        <v>8</v>
      </c>
      <c r="IH589" s="27" t="s">
        <v>7</v>
      </c>
      <c r="II589" s="27" t="s">
        <v>8</v>
      </c>
      <c r="IJ589" s="27" t="s">
        <v>7</v>
      </c>
      <c r="IK589" s="27" t="s">
        <v>8</v>
      </c>
      <c r="IL589" s="27" t="s">
        <v>7</v>
      </c>
      <c r="IS589" s="27" t="s">
        <v>8</v>
      </c>
      <c r="IT589" s="27" t="s">
        <v>7</v>
      </c>
      <c r="IU589" s="27" t="s">
        <v>8</v>
      </c>
      <c r="IV589" s="27" t="s">
        <v>7</v>
      </c>
      <c r="IW589" s="27" t="s">
        <v>8</v>
      </c>
      <c r="IX589" s="27" t="s">
        <v>7</v>
      </c>
      <c r="JA589" s="27" t="s">
        <v>8</v>
      </c>
      <c r="JB589" s="27" t="s">
        <v>7</v>
      </c>
    </row>
    <row r="590" spans="1:262" x14ac:dyDescent="0.25">
      <c r="A590" s="7">
        <v>0.94232233454704462</v>
      </c>
      <c r="B590"/>
      <c r="C590"/>
      <c r="D590"/>
      <c r="E590"/>
      <c r="F590" s="27" t="s">
        <v>7</v>
      </c>
      <c r="CM590" s="27" t="s">
        <v>8</v>
      </c>
      <c r="CN590" s="27" t="s">
        <v>7</v>
      </c>
      <c r="CO590" s="27" t="s">
        <v>8</v>
      </c>
      <c r="CR590" s="27" t="s">
        <v>7</v>
      </c>
      <c r="CS590" s="27" t="s">
        <v>8</v>
      </c>
      <c r="CT590" s="27" t="s">
        <v>7</v>
      </c>
      <c r="CU590" s="27" t="s">
        <v>8</v>
      </c>
      <c r="CW590" s="27" t="s">
        <v>8</v>
      </c>
      <c r="DZ590" s="27" t="s">
        <v>7</v>
      </c>
      <c r="EN590" s="27" t="s">
        <v>7</v>
      </c>
      <c r="GG590" s="27" t="s">
        <v>8</v>
      </c>
      <c r="GH590" s="27" t="s">
        <v>7</v>
      </c>
      <c r="GK590" s="27" t="s">
        <v>8</v>
      </c>
      <c r="GM590" s="27" t="s">
        <v>8</v>
      </c>
      <c r="GN590" s="27" t="s">
        <v>7</v>
      </c>
      <c r="HG590" s="27" t="s">
        <v>8</v>
      </c>
      <c r="HH590" s="27" t="s">
        <v>7</v>
      </c>
      <c r="HI590" s="27" t="s">
        <v>8</v>
      </c>
      <c r="HJ590" s="27" t="s">
        <v>7</v>
      </c>
      <c r="HM590" s="27" t="s">
        <v>8</v>
      </c>
      <c r="HN590" s="27" t="s">
        <v>7</v>
      </c>
      <c r="HO590" s="27" t="s">
        <v>8</v>
      </c>
      <c r="HP590" s="27" t="s">
        <v>7</v>
      </c>
      <c r="HQ590" s="27" t="s">
        <v>8</v>
      </c>
      <c r="HR590" s="27" t="s">
        <v>7</v>
      </c>
      <c r="HS590" s="27" t="s">
        <v>8</v>
      </c>
      <c r="HT590" s="27" t="s">
        <v>7</v>
      </c>
      <c r="HW590" s="27" t="s">
        <v>8</v>
      </c>
      <c r="HY590" s="27" t="s">
        <v>8</v>
      </c>
      <c r="HZ590" s="27" t="s">
        <v>7</v>
      </c>
      <c r="IA590" s="27" t="s">
        <v>8</v>
      </c>
      <c r="IF590" s="27" t="s">
        <v>7</v>
      </c>
      <c r="IG590" s="27" t="s">
        <v>8</v>
      </c>
      <c r="IH590" s="27" t="s">
        <v>7</v>
      </c>
      <c r="II590" s="27" t="s">
        <v>8</v>
      </c>
      <c r="IJ590" s="27" t="s">
        <v>7</v>
      </c>
      <c r="IK590" s="27" t="s">
        <v>8</v>
      </c>
      <c r="IL590" s="27" t="s">
        <v>7</v>
      </c>
      <c r="IS590" s="27" t="s">
        <v>8</v>
      </c>
      <c r="IT590" s="27" t="s">
        <v>7</v>
      </c>
      <c r="IU590" s="27" t="s">
        <v>8</v>
      </c>
      <c r="IV590" s="27" t="s">
        <v>7</v>
      </c>
      <c r="IW590" s="27" t="s">
        <v>8</v>
      </c>
      <c r="IX590" s="27" t="s">
        <v>7</v>
      </c>
      <c r="JA590" s="27" t="s">
        <v>8</v>
      </c>
      <c r="JB590" s="27" t="s">
        <v>7</v>
      </c>
    </row>
    <row r="591" spans="1:262" x14ac:dyDescent="0.25">
      <c r="A591" s="7">
        <v>0.92384542602651432</v>
      </c>
      <c r="B591"/>
      <c r="C591"/>
      <c r="D591"/>
      <c r="E591"/>
      <c r="F591" s="27" t="s">
        <v>7</v>
      </c>
      <c r="CM591" s="27" t="s">
        <v>8</v>
      </c>
      <c r="CN591" s="27" t="s">
        <v>7</v>
      </c>
      <c r="CO591" s="27" t="s">
        <v>8</v>
      </c>
      <c r="CR591" s="27" t="s">
        <v>7</v>
      </c>
      <c r="CS591" s="27" t="s">
        <v>8</v>
      </c>
      <c r="CT591" s="27" t="s">
        <v>7</v>
      </c>
      <c r="CU591" s="27" t="s">
        <v>8</v>
      </c>
      <c r="CV591" s="27" t="s">
        <v>7</v>
      </c>
      <c r="CW591" s="27" t="s">
        <v>8</v>
      </c>
      <c r="EN591" s="27" t="s">
        <v>7</v>
      </c>
      <c r="GG591" s="27" t="s">
        <v>8</v>
      </c>
      <c r="GH591" s="27" t="s">
        <v>7</v>
      </c>
      <c r="GK591" s="27" t="s">
        <v>8</v>
      </c>
      <c r="GL591" s="27" t="s">
        <v>7</v>
      </c>
      <c r="GM591" s="27" t="s">
        <v>8</v>
      </c>
      <c r="GN591" s="27" t="s">
        <v>7</v>
      </c>
      <c r="HG591" s="27" t="s">
        <v>8</v>
      </c>
      <c r="HH591" s="27" t="s">
        <v>7</v>
      </c>
      <c r="HI591" s="27" t="s">
        <v>8</v>
      </c>
      <c r="HJ591" s="27" t="s">
        <v>7</v>
      </c>
      <c r="HM591" s="27" t="s">
        <v>8</v>
      </c>
      <c r="HN591" s="27" t="s">
        <v>7</v>
      </c>
      <c r="HO591" s="27" t="s">
        <v>8</v>
      </c>
      <c r="HP591" s="27" t="s">
        <v>7</v>
      </c>
      <c r="HQ591" s="27" t="s">
        <v>8</v>
      </c>
      <c r="HR591" s="27" t="s">
        <v>7</v>
      </c>
      <c r="HS591" s="27" t="s">
        <v>8</v>
      </c>
      <c r="HT591" s="27" t="s">
        <v>7</v>
      </c>
      <c r="HW591" s="27" t="s">
        <v>8</v>
      </c>
      <c r="HX591" s="27" t="s">
        <v>7</v>
      </c>
      <c r="HY591" s="27" t="s">
        <v>8</v>
      </c>
      <c r="HZ591" s="27" t="s">
        <v>7</v>
      </c>
      <c r="IA591" s="27" t="s">
        <v>8</v>
      </c>
      <c r="IF591" s="27" t="s">
        <v>7</v>
      </c>
      <c r="IG591" s="27" t="s">
        <v>8</v>
      </c>
      <c r="IH591" s="27" t="s">
        <v>7</v>
      </c>
      <c r="II591" s="27" t="s">
        <v>8</v>
      </c>
      <c r="IJ591" s="27" t="s">
        <v>7</v>
      </c>
      <c r="IK591" s="27" t="s">
        <v>8</v>
      </c>
      <c r="IL591" s="27" t="s">
        <v>7</v>
      </c>
      <c r="IS591" s="27" t="s">
        <v>8</v>
      </c>
      <c r="IT591" s="27" t="s">
        <v>7</v>
      </c>
      <c r="IU591" s="27" t="s">
        <v>8</v>
      </c>
      <c r="IV591" s="27" t="s">
        <v>7</v>
      </c>
      <c r="IX591" s="27" t="s">
        <v>7</v>
      </c>
      <c r="IY591" s="27" t="s">
        <v>8</v>
      </c>
      <c r="JA591" s="27" t="s">
        <v>8</v>
      </c>
      <c r="JB591" s="27" t="s">
        <v>7</v>
      </c>
    </row>
    <row r="592" spans="1:262" x14ac:dyDescent="0.25">
      <c r="A592" s="7">
        <v>0.90573080982991594</v>
      </c>
      <c r="B592"/>
      <c r="C592"/>
      <c r="D592"/>
      <c r="E592"/>
      <c r="F592" s="27" t="s">
        <v>7</v>
      </c>
      <c r="CM592" s="27" t="s">
        <v>8</v>
      </c>
      <c r="CN592" s="27" t="s">
        <v>7</v>
      </c>
      <c r="CO592" s="27" t="s">
        <v>8</v>
      </c>
      <c r="CR592" s="27" t="s">
        <v>7</v>
      </c>
      <c r="CS592" s="27" t="s">
        <v>8</v>
      </c>
      <c r="CT592" s="27" t="s">
        <v>7</v>
      </c>
      <c r="CU592" s="27" t="s">
        <v>8</v>
      </c>
      <c r="CV592" s="27" t="s">
        <v>7</v>
      </c>
      <c r="CW592" s="27" t="s">
        <v>8</v>
      </c>
      <c r="EN592" s="27" t="s">
        <v>7</v>
      </c>
      <c r="GG592" s="27" t="s">
        <v>8</v>
      </c>
      <c r="GH592" s="27" t="s">
        <v>7</v>
      </c>
      <c r="GI592" s="27" t="s">
        <v>8</v>
      </c>
      <c r="GK592" s="27" t="s">
        <v>8</v>
      </c>
      <c r="GL592" s="27" t="s">
        <v>7</v>
      </c>
      <c r="GM592" s="27" t="s">
        <v>8</v>
      </c>
      <c r="GN592" s="27" t="s">
        <v>7</v>
      </c>
      <c r="HA592" s="27" t="s">
        <v>8</v>
      </c>
      <c r="HG592" s="27" t="s">
        <v>8</v>
      </c>
      <c r="HH592" s="27" t="s">
        <v>7</v>
      </c>
      <c r="HI592" s="27" t="s">
        <v>8</v>
      </c>
      <c r="HJ592" s="27" t="s">
        <v>7</v>
      </c>
      <c r="HM592" s="27" t="s">
        <v>8</v>
      </c>
      <c r="HN592" s="27" t="s">
        <v>7</v>
      </c>
      <c r="HP592" s="27" t="s">
        <v>7</v>
      </c>
      <c r="HQ592" s="27" t="s">
        <v>8</v>
      </c>
      <c r="HR592" s="27" t="s">
        <v>7</v>
      </c>
      <c r="HT592" s="27" t="s">
        <v>7</v>
      </c>
      <c r="HU592" s="27" t="s">
        <v>8</v>
      </c>
      <c r="HW592" s="27" t="s">
        <v>8</v>
      </c>
      <c r="HX592" s="27" t="s">
        <v>7</v>
      </c>
      <c r="HY592" s="27" t="s">
        <v>8</v>
      </c>
      <c r="HZ592" s="27" t="s">
        <v>7</v>
      </c>
      <c r="IF592" s="27" t="s">
        <v>7</v>
      </c>
      <c r="IG592" s="27" t="s">
        <v>8</v>
      </c>
      <c r="IH592" s="27" t="s">
        <v>7</v>
      </c>
      <c r="II592" s="27" t="s">
        <v>8</v>
      </c>
      <c r="IJ592" s="27" t="s">
        <v>7</v>
      </c>
      <c r="IK592" s="27" t="s">
        <v>8</v>
      </c>
      <c r="IL592" s="27" t="s">
        <v>7</v>
      </c>
      <c r="IS592" s="27" t="s">
        <v>8</v>
      </c>
      <c r="IT592" s="27" t="s">
        <v>7</v>
      </c>
      <c r="IX592" s="27" t="s">
        <v>7</v>
      </c>
      <c r="IY592" s="27" t="s">
        <v>8</v>
      </c>
      <c r="IZ592" s="27" t="s">
        <v>7</v>
      </c>
      <c r="JA592" s="27" t="s">
        <v>8</v>
      </c>
      <c r="JB592" s="27" t="s">
        <v>7</v>
      </c>
    </row>
    <row r="593" spans="1:270" x14ac:dyDescent="0.25">
      <c r="A593" s="7">
        <v>0.8879713821861922</v>
      </c>
      <c r="B593"/>
      <c r="C593"/>
      <c r="D593"/>
      <c r="E593"/>
      <c r="F593" s="27" t="s">
        <v>7</v>
      </c>
      <c r="CM593" s="27" t="s">
        <v>8</v>
      </c>
      <c r="CN593" s="27" t="s">
        <v>7</v>
      </c>
      <c r="CR593" s="27" t="s">
        <v>7</v>
      </c>
      <c r="CS593" s="27" t="s">
        <v>8</v>
      </c>
      <c r="CT593" s="27" t="s">
        <v>7</v>
      </c>
      <c r="CU593" s="27" t="s">
        <v>8</v>
      </c>
      <c r="CV593" s="27" t="s">
        <v>7</v>
      </c>
      <c r="CW593" s="27" t="s">
        <v>8</v>
      </c>
      <c r="EN593" s="27" t="s">
        <v>7</v>
      </c>
      <c r="GG593" s="27" t="s">
        <v>8</v>
      </c>
      <c r="GH593" s="27" t="s">
        <v>7</v>
      </c>
      <c r="GI593" s="27" t="s">
        <v>8</v>
      </c>
      <c r="GJ593" s="27" t="s">
        <v>7</v>
      </c>
      <c r="GK593" s="27" t="s">
        <v>8</v>
      </c>
      <c r="GL593" s="27" t="s">
        <v>7</v>
      </c>
      <c r="GN593" s="27" t="s">
        <v>7</v>
      </c>
      <c r="GS593" s="27" t="s">
        <v>8</v>
      </c>
      <c r="HA593" s="27" t="s">
        <v>8</v>
      </c>
      <c r="HB593" s="27" t="s">
        <v>7</v>
      </c>
      <c r="HC593" s="27" t="s">
        <v>8</v>
      </c>
      <c r="HG593" s="27" t="s">
        <v>8</v>
      </c>
      <c r="HH593" s="27" t="s">
        <v>7</v>
      </c>
      <c r="HI593" s="27" t="s">
        <v>8</v>
      </c>
      <c r="HJ593" s="27" t="s">
        <v>7</v>
      </c>
      <c r="HM593" s="27" t="s">
        <v>8</v>
      </c>
      <c r="HP593" s="27" t="s">
        <v>7</v>
      </c>
      <c r="HQ593" s="27" t="s">
        <v>8</v>
      </c>
      <c r="HT593" s="27" t="s">
        <v>7</v>
      </c>
      <c r="HU593" s="27" t="s">
        <v>8</v>
      </c>
      <c r="HV593" s="27" t="s">
        <v>7</v>
      </c>
      <c r="HW593" s="27" t="s">
        <v>8</v>
      </c>
      <c r="HX593" s="27" t="s">
        <v>7</v>
      </c>
      <c r="IF593" s="27" t="s">
        <v>7</v>
      </c>
      <c r="IG593" s="27" t="s">
        <v>8</v>
      </c>
      <c r="IH593" s="27" t="s">
        <v>7</v>
      </c>
      <c r="II593" s="27" t="s">
        <v>8</v>
      </c>
      <c r="IJ593" s="27" t="s">
        <v>7</v>
      </c>
      <c r="IK593" s="27" t="s">
        <v>8</v>
      </c>
      <c r="IL593" s="27" t="s">
        <v>7</v>
      </c>
      <c r="IS593" s="27" t="s">
        <v>8</v>
      </c>
      <c r="IX593" s="27" t="s">
        <v>7</v>
      </c>
      <c r="IY593" s="27" t="s">
        <v>8</v>
      </c>
      <c r="IZ593" s="27" t="s">
        <v>7</v>
      </c>
      <c r="JA593" s="27" t="s">
        <v>8</v>
      </c>
      <c r="JB593" s="27" t="s">
        <v>7</v>
      </c>
    </row>
    <row r="594" spans="1:270" x14ac:dyDescent="0.25">
      <c r="A594" s="7">
        <v>0.87056017861391399</v>
      </c>
      <c r="B594"/>
      <c r="C594"/>
      <c r="D594"/>
      <c r="E594"/>
      <c r="F594" s="27" t="s">
        <v>7</v>
      </c>
      <c r="CM594" s="27" t="s">
        <v>8</v>
      </c>
      <c r="CR594" s="27" t="s">
        <v>7</v>
      </c>
      <c r="CS594" s="27" t="s">
        <v>8</v>
      </c>
      <c r="CT594" s="27" t="s">
        <v>7</v>
      </c>
      <c r="CU594" s="27" t="s">
        <v>8</v>
      </c>
      <c r="CV594" s="27" t="s">
        <v>7</v>
      </c>
      <c r="CW594" s="27" t="s">
        <v>8</v>
      </c>
      <c r="EN594" s="27" t="s">
        <v>7</v>
      </c>
      <c r="EO594" s="27" t="s">
        <v>8</v>
      </c>
      <c r="GG594" s="27" t="s">
        <v>8</v>
      </c>
      <c r="GH594" s="27" t="s">
        <v>7</v>
      </c>
      <c r="GI594" s="27" t="s">
        <v>8</v>
      </c>
      <c r="GJ594" s="27" t="s">
        <v>7</v>
      </c>
      <c r="GK594" s="27" t="s">
        <v>8</v>
      </c>
      <c r="GN594" s="27" t="s">
        <v>7</v>
      </c>
      <c r="GS594" s="27" t="s">
        <v>8</v>
      </c>
      <c r="GT594" s="27" t="s">
        <v>7</v>
      </c>
      <c r="HA594" s="27" t="s">
        <v>8</v>
      </c>
      <c r="HB594" s="27" t="s">
        <v>7</v>
      </c>
      <c r="HC594" s="27" t="s">
        <v>8</v>
      </c>
      <c r="HD594" s="27" t="s">
        <v>7</v>
      </c>
      <c r="HE594" s="27" t="s">
        <v>8</v>
      </c>
      <c r="HG594" s="27" t="s">
        <v>8</v>
      </c>
      <c r="HH594" s="27" t="s">
        <v>7</v>
      </c>
      <c r="HJ594" s="27" t="s">
        <v>7</v>
      </c>
      <c r="HM594" s="27" t="s">
        <v>8</v>
      </c>
      <c r="HP594" s="27" t="s">
        <v>7</v>
      </c>
      <c r="HQ594" s="27" t="s">
        <v>8</v>
      </c>
      <c r="HT594" s="27" t="s">
        <v>7</v>
      </c>
      <c r="HU594" s="27" t="s">
        <v>8</v>
      </c>
      <c r="HV594" s="27" t="s">
        <v>7</v>
      </c>
      <c r="HW594" s="27" t="s">
        <v>8</v>
      </c>
      <c r="IF594" s="27" t="s">
        <v>7</v>
      </c>
      <c r="IG594" s="27" t="s">
        <v>8</v>
      </c>
      <c r="IH594" s="27" t="s">
        <v>7</v>
      </c>
      <c r="II594" s="27" t="s">
        <v>8</v>
      </c>
      <c r="IJ594" s="27" t="s">
        <v>7</v>
      </c>
      <c r="IK594" s="27" t="s">
        <v>8</v>
      </c>
      <c r="IL594" s="27" t="s">
        <v>7</v>
      </c>
      <c r="IM594" s="27" t="s">
        <v>8</v>
      </c>
      <c r="IS594" s="27" t="s">
        <v>8</v>
      </c>
      <c r="IX594" s="27" t="s">
        <v>7</v>
      </c>
      <c r="IY594" s="27" t="s">
        <v>8</v>
      </c>
      <c r="IZ594" s="27" t="s">
        <v>7</v>
      </c>
      <c r="JA594" s="27" t="s">
        <v>8</v>
      </c>
      <c r="JB594" s="27" t="s">
        <v>7</v>
      </c>
    </row>
    <row r="595" spans="1:270" x14ac:dyDescent="0.25">
      <c r="A595" s="7">
        <v>0.85349037119011173</v>
      </c>
      <c r="B595"/>
      <c r="C595"/>
      <c r="D595"/>
      <c r="E595"/>
      <c r="F595" s="27" t="s">
        <v>7</v>
      </c>
      <c r="CM595" s="27" t="s">
        <v>8</v>
      </c>
      <c r="CR595" s="27" t="s">
        <v>7</v>
      </c>
      <c r="CS595" s="27" t="s">
        <v>8</v>
      </c>
      <c r="CT595" s="27" t="s">
        <v>7</v>
      </c>
      <c r="CU595" s="27" t="s">
        <v>8</v>
      </c>
      <c r="CV595" s="27" t="s">
        <v>7</v>
      </c>
      <c r="CW595" s="27" t="s">
        <v>8</v>
      </c>
      <c r="EN595" s="27" t="s">
        <v>7</v>
      </c>
      <c r="EO595" s="27" t="s">
        <v>8</v>
      </c>
      <c r="EP595" s="27" t="s">
        <v>7</v>
      </c>
      <c r="GG595" s="27" t="s">
        <v>8</v>
      </c>
      <c r="GH595" s="27" t="s">
        <v>7</v>
      </c>
      <c r="GI595" s="27" t="s">
        <v>8</v>
      </c>
      <c r="GJ595" s="27" t="s">
        <v>7</v>
      </c>
      <c r="GK595" s="27" t="s">
        <v>8</v>
      </c>
      <c r="GN595" s="27" t="s">
        <v>7</v>
      </c>
      <c r="GQ595" s="27" t="s">
        <v>8</v>
      </c>
      <c r="GS595" s="27" t="s">
        <v>8</v>
      </c>
      <c r="GT595" s="27" t="s">
        <v>7</v>
      </c>
      <c r="HA595" s="27" t="s">
        <v>8</v>
      </c>
      <c r="HB595" s="27" t="s">
        <v>7</v>
      </c>
      <c r="HC595" s="27" t="s">
        <v>8</v>
      </c>
      <c r="HD595" s="27" t="s">
        <v>7</v>
      </c>
      <c r="HE595" s="27" t="s">
        <v>8</v>
      </c>
      <c r="HF595" s="27" t="s">
        <v>7</v>
      </c>
      <c r="HG595" s="27" t="s">
        <v>8</v>
      </c>
      <c r="HJ595" s="27" t="s">
        <v>7</v>
      </c>
      <c r="HK595" s="27" t="s">
        <v>8</v>
      </c>
      <c r="HM595" s="27" t="s">
        <v>8</v>
      </c>
      <c r="HP595" s="27" t="s">
        <v>7</v>
      </c>
      <c r="HQ595" s="27" t="s">
        <v>8</v>
      </c>
      <c r="HT595" s="27" t="s">
        <v>7</v>
      </c>
      <c r="HU595" s="27" t="s">
        <v>8</v>
      </c>
      <c r="HV595" s="27" t="s">
        <v>7</v>
      </c>
      <c r="HW595" s="27" t="s">
        <v>8</v>
      </c>
      <c r="IF595" s="27" t="s">
        <v>7</v>
      </c>
      <c r="IG595" s="27" t="s">
        <v>8</v>
      </c>
      <c r="IH595" s="27" t="s">
        <v>7</v>
      </c>
      <c r="II595" s="27" t="s">
        <v>8</v>
      </c>
      <c r="IJ595" s="27" t="s">
        <v>7</v>
      </c>
      <c r="IL595" s="27" t="s">
        <v>7</v>
      </c>
      <c r="IM595" s="27" t="s">
        <v>8</v>
      </c>
      <c r="IN595" s="27" t="s">
        <v>7</v>
      </c>
      <c r="IO595" s="27" t="s">
        <v>8</v>
      </c>
      <c r="IS595" s="27" t="s">
        <v>8</v>
      </c>
      <c r="IX595" s="27" t="s">
        <v>7</v>
      </c>
      <c r="IY595" s="27" t="s">
        <v>8</v>
      </c>
      <c r="IZ595" s="27" t="s">
        <v>7</v>
      </c>
      <c r="JB595" s="27" t="s">
        <v>7</v>
      </c>
      <c r="JE595" s="27" t="s">
        <v>8</v>
      </c>
    </row>
    <row r="596" spans="1:270" x14ac:dyDescent="0.25">
      <c r="A596" s="7">
        <v>0.83675526587265858</v>
      </c>
      <c r="B596"/>
      <c r="C596"/>
      <c r="D596"/>
      <c r="E596"/>
      <c r="F596" s="27" t="s">
        <v>7</v>
      </c>
      <c r="CM596" s="27" t="s">
        <v>8</v>
      </c>
      <c r="CR596" s="27" t="s">
        <v>7</v>
      </c>
      <c r="CS596" s="27" t="s">
        <v>8</v>
      </c>
      <c r="CT596" s="27" t="s">
        <v>7</v>
      </c>
      <c r="CU596" s="27" t="s">
        <v>8</v>
      </c>
      <c r="CV596" s="27" t="s">
        <v>7</v>
      </c>
      <c r="CW596" s="27" t="s">
        <v>8</v>
      </c>
      <c r="EN596" s="27" t="s">
        <v>7</v>
      </c>
      <c r="EO596" s="27" t="s">
        <v>8</v>
      </c>
      <c r="EP596" s="27" t="s">
        <v>7</v>
      </c>
      <c r="GG596" s="27" t="s">
        <v>8</v>
      </c>
      <c r="GH596" s="27" t="s">
        <v>7</v>
      </c>
      <c r="GI596" s="27" t="s">
        <v>8</v>
      </c>
      <c r="GJ596" s="27" t="s">
        <v>7</v>
      </c>
      <c r="GK596" s="27" t="s">
        <v>8</v>
      </c>
      <c r="GN596" s="27" t="s">
        <v>7</v>
      </c>
      <c r="GQ596" s="27" t="s">
        <v>8</v>
      </c>
      <c r="GR596" s="27" t="s">
        <v>7</v>
      </c>
      <c r="GS596" s="27" t="s">
        <v>8</v>
      </c>
      <c r="GT596" s="27" t="s">
        <v>7</v>
      </c>
      <c r="HA596" s="27" t="s">
        <v>8</v>
      </c>
      <c r="HB596" s="27" t="s">
        <v>7</v>
      </c>
      <c r="HC596" s="27" t="s">
        <v>8</v>
      </c>
      <c r="HD596" s="27" t="s">
        <v>7</v>
      </c>
      <c r="HE596" s="27" t="s">
        <v>8</v>
      </c>
      <c r="HF596" s="27" t="s">
        <v>7</v>
      </c>
      <c r="HG596" s="27" t="s">
        <v>8</v>
      </c>
      <c r="HJ596" s="27" t="s">
        <v>7</v>
      </c>
      <c r="HK596" s="27" t="s">
        <v>8</v>
      </c>
      <c r="HL596" s="27" t="s">
        <v>7</v>
      </c>
      <c r="HM596" s="27" t="s">
        <v>8</v>
      </c>
      <c r="HP596" s="27" t="s">
        <v>7</v>
      </c>
      <c r="HT596" s="27" t="s">
        <v>7</v>
      </c>
      <c r="HU596" s="27" t="s">
        <v>8</v>
      </c>
      <c r="HV596" s="27" t="s">
        <v>7</v>
      </c>
      <c r="HW596" s="27" t="s">
        <v>8</v>
      </c>
      <c r="IF596" s="27" t="s">
        <v>7</v>
      </c>
      <c r="IG596" s="27" t="s">
        <v>8</v>
      </c>
      <c r="IH596" s="27" t="s">
        <v>7</v>
      </c>
      <c r="IL596" s="27" t="s">
        <v>7</v>
      </c>
      <c r="IM596" s="27" t="s">
        <v>8</v>
      </c>
      <c r="IN596" s="27" t="s">
        <v>7</v>
      </c>
      <c r="IO596" s="27" t="s">
        <v>8</v>
      </c>
      <c r="IP596" s="27" t="s">
        <v>7</v>
      </c>
      <c r="IS596" s="27" t="s">
        <v>8</v>
      </c>
      <c r="IX596" s="27" t="s">
        <v>7</v>
      </c>
      <c r="IY596" s="27" t="s">
        <v>8</v>
      </c>
      <c r="JB596" s="27" t="s">
        <v>7</v>
      </c>
      <c r="JE596" s="27" t="s">
        <v>8</v>
      </c>
      <c r="JF596" s="27" t="s">
        <v>7</v>
      </c>
    </row>
    <row r="597" spans="1:270" x14ac:dyDescent="0.25">
      <c r="A597" s="7">
        <v>0.82034829987515545</v>
      </c>
      <c r="B597"/>
      <c r="C597"/>
      <c r="D597"/>
      <c r="E597"/>
      <c r="F597" s="27" t="s">
        <v>7</v>
      </c>
      <c r="CM597" s="27" t="s">
        <v>8</v>
      </c>
      <c r="CR597" s="27" t="s">
        <v>7</v>
      </c>
      <c r="CS597" s="27" t="s">
        <v>8</v>
      </c>
      <c r="CT597" s="27" t="s">
        <v>7</v>
      </c>
      <c r="CU597" s="27" t="s">
        <v>8</v>
      </c>
      <c r="CV597" s="27" t="s">
        <v>7</v>
      </c>
      <c r="CW597" s="27" t="s">
        <v>8</v>
      </c>
      <c r="EN597" s="27" t="s">
        <v>7</v>
      </c>
      <c r="EO597" s="27" t="s">
        <v>8</v>
      </c>
      <c r="EP597" s="27" t="s">
        <v>7</v>
      </c>
      <c r="GE597" s="27" t="s">
        <v>8</v>
      </c>
      <c r="GG597" s="27" t="s">
        <v>8</v>
      </c>
      <c r="GH597" s="27" t="s">
        <v>7</v>
      </c>
      <c r="GI597" s="27" t="s">
        <v>8</v>
      </c>
      <c r="GJ597" s="27" t="s">
        <v>7</v>
      </c>
      <c r="GK597" s="27" t="s">
        <v>8</v>
      </c>
      <c r="GN597" s="27" t="s">
        <v>7</v>
      </c>
      <c r="GQ597" s="27" t="s">
        <v>8</v>
      </c>
      <c r="GR597" s="27" t="s">
        <v>7</v>
      </c>
      <c r="GS597" s="27" t="s">
        <v>8</v>
      </c>
      <c r="GT597" s="27" t="s">
        <v>7</v>
      </c>
      <c r="HA597" s="27" t="s">
        <v>8</v>
      </c>
      <c r="HB597" s="27" t="s">
        <v>7</v>
      </c>
      <c r="HC597" s="27" t="s">
        <v>8</v>
      </c>
      <c r="HD597" s="27" t="s">
        <v>7</v>
      </c>
      <c r="HE597" s="27" t="s">
        <v>8</v>
      </c>
      <c r="HF597" s="27" t="s">
        <v>7</v>
      </c>
      <c r="HJ597" s="27" t="s">
        <v>7</v>
      </c>
      <c r="HK597" s="27" t="s">
        <v>8</v>
      </c>
      <c r="HL597" s="27" t="s">
        <v>7</v>
      </c>
      <c r="HM597" s="27" t="s">
        <v>8</v>
      </c>
      <c r="HT597" s="27" t="s">
        <v>7</v>
      </c>
      <c r="HU597" s="27" t="s">
        <v>8</v>
      </c>
      <c r="HV597" s="27" t="s">
        <v>7</v>
      </c>
      <c r="HW597" s="27" t="s">
        <v>8</v>
      </c>
      <c r="IF597" s="27" t="s">
        <v>7</v>
      </c>
      <c r="IG597" s="27" t="s">
        <v>8</v>
      </c>
      <c r="IL597" s="27" t="s">
        <v>7</v>
      </c>
      <c r="IM597" s="27" t="s">
        <v>8</v>
      </c>
      <c r="IN597" s="27" t="s">
        <v>7</v>
      </c>
      <c r="IO597" s="27" t="s">
        <v>8</v>
      </c>
      <c r="IP597" s="27" t="s">
        <v>7</v>
      </c>
      <c r="IS597" s="27" t="s">
        <v>8</v>
      </c>
      <c r="IX597" s="27" t="s">
        <v>7</v>
      </c>
      <c r="JB597" s="27" t="s">
        <v>7</v>
      </c>
      <c r="JE597" s="27" t="s">
        <v>8</v>
      </c>
      <c r="JF597" s="27" t="s">
        <v>7</v>
      </c>
      <c r="JG597" s="27" t="s">
        <v>8</v>
      </c>
    </row>
    <row r="598" spans="1:270" x14ac:dyDescent="0.25">
      <c r="A598" s="7">
        <v>0.80426303909328967</v>
      </c>
      <c r="B598"/>
      <c r="C598"/>
      <c r="D598"/>
      <c r="E598"/>
      <c r="F598" s="27" t="s">
        <v>7</v>
      </c>
      <c r="CM598" s="27" t="s">
        <v>8</v>
      </c>
      <c r="CR598" s="27" t="s">
        <v>7</v>
      </c>
      <c r="CS598" s="27" t="s">
        <v>8</v>
      </c>
      <c r="CT598" s="27" t="s">
        <v>7</v>
      </c>
      <c r="CU598" s="27" t="s">
        <v>8</v>
      </c>
      <c r="CV598" s="27" t="s">
        <v>7</v>
      </c>
      <c r="CW598" s="27" t="s">
        <v>8</v>
      </c>
      <c r="EN598" s="27" t="s">
        <v>7</v>
      </c>
      <c r="EO598" s="27" t="s">
        <v>8</v>
      </c>
      <c r="EP598" s="27" t="s">
        <v>7</v>
      </c>
      <c r="GE598" s="27" t="s">
        <v>8</v>
      </c>
      <c r="GF598" s="27" t="s">
        <v>7</v>
      </c>
      <c r="GG598" s="27" t="s">
        <v>8</v>
      </c>
      <c r="GH598" s="27" t="s">
        <v>7</v>
      </c>
      <c r="GI598" s="27" t="s">
        <v>8</v>
      </c>
      <c r="GJ598" s="27" t="s">
        <v>7</v>
      </c>
      <c r="GN598" s="27" t="s">
        <v>7</v>
      </c>
      <c r="GQ598" s="27" t="s">
        <v>8</v>
      </c>
      <c r="GR598" s="27" t="s">
        <v>7</v>
      </c>
      <c r="GS598" s="27" t="s">
        <v>8</v>
      </c>
      <c r="GT598" s="27" t="s">
        <v>7</v>
      </c>
      <c r="HA598" s="27" t="s">
        <v>8</v>
      </c>
      <c r="HB598" s="27" t="s">
        <v>7</v>
      </c>
      <c r="HC598" s="27" t="s">
        <v>8</v>
      </c>
      <c r="HD598" s="27" t="s">
        <v>7</v>
      </c>
      <c r="HJ598" s="27" t="s">
        <v>7</v>
      </c>
      <c r="HK598" s="27" t="s">
        <v>8</v>
      </c>
      <c r="HL598" s="27" t="s">
        <v>7</v>
      </c>
      <c r="HT598" s="27" t="s">
        <v>7</v>
      </c>
      <c r="HU598" s="27" t="s">
        <v>8</v>
      </c>
      <c r="HV598" s="27" t="s">
        <v>7</v>
      </c>
      <c r="HW598" s="27" t="s">
        <v>8</v>
      </c>
      <c r="IF598" s="27" t="s">
        <v>7</v>
      </c>
      <c r="IL598" s="27" t="s">
        <v>7</v>
      </c>
      <c r="IN598" s="27" t="s">
        <v>7</v>
      </c>
      <c r="IO598" s="27" t="s">
        <v>8</v>
      </c>
      <c r="IP598" s="27" t="s">
        <v>7</v>
      </c>
      <c r="IQ598" s="27" t="s">
        <v>8</v>
      </c>
      <c r="IS598" s="27" t="s">
        <v>8</v>
      </c>
      <c r="JB598" s="27" t="s">
        <v>7</v>
      </c>
      <c r="JC598" s="27" t="s">
        <v>8</v>
      </c>
      <c r="JE598" s="27" t="s">
        <v>8</v>
      </c>
      <c r="JF598" s="27" t="s">
        <v>7</v>
      </c>
      <c r="JG598" s="27" t="s">
        <v>8</v>
      </c>
      <c r="JH598" s="27" t="s">
        <v>7</v>
      </c>
    </row>
    <row r="599" spans="1:270" x14ac:dyDescent="0.25">
      <c r="A599" s="7">
        <v>0.78849317558165644</v>
      </c>
      <c r="B599"/>
      <c r="C599"/>
      <c r="D599"/>
      <c r="E599"/>
      <c r="F599" s="27" t="s">
        <v>7</v>
      </c>
      <c r="CK599" s="27" t="s">
        <v>8</v>
      </c>
      <c r="CM599" s="27" t="s">
        <v>8</v>
      </c>
      <c r="CR599" s="27" t="s">
        <v>7</v>
      </c>
      <c r="CT599" s="27" t="s">
        <v>7</v>
      </c>
      <c r="CV599" s="27" t="s">
        <v>7</v>
      </c>
      <c r="EN599" s="27" t="s">
        <v>7</v>
      </c>
      <c r="EO599" s="27" t="s">
        <v>8</v>
      </c>
      <c r="EP599" s="27" t="s">
        <v>7</v>
      </c>
      <c r="GE599" s="27" t="s">
        <v>8</v>
      </c>
      <c r="GF599" s="27" t="s">
        <v>7</v>
      </c>
      <c r="GG599" s="27" t="s">
        <v>8</v>
      </c>
      <c r="GH599" s="27" t="s">
        <v>7</v>
      </c>
      <c r="GN599" s="27" t="s">
        <v>7</v>
      </c>
      <c r="GO599" s="27" t="s">
        <v>8</v>
      </c>
      <c r="GQ599" s="27" t="s">
        <v>8</v>
      </c>
      <c r="GR599" s="27" t="s">
        <v>7</v>
      </c>
      <c r="GS599" s="27" t="s">
        <v>8</v>
      </c>
      <c r="GT599" s="27" t="s">
        <v>7</v>
      </c>
      <c r="HA599" s="27" t="s">
        <v>8</v>
      </c>
      <c r="HB599" s="27" t="s">
        <v>7</v>
      </c>
      <c r="HC599" s="27" t="s">
        <v>8</v>
      </c>
      <c r="HJ599" s="27" t="s">
        <v>7</v>
      </c>
      <c r="HT599" s="27" t="s">
        <v>7</v>
      </c>
      <c r="HU599" s="27" t="s">
        <v>8</v>
      </c>
      <c r="HV599" s="27" t="s">
        <v>7</v>
      </c>
      <c r="HW599" s="27" t="s">
        <v>8</v>
      </c>
      <c r="IN599" s="27" t="s">
        <v>7</v>
      </c>
      <c r="IO599" s="27" t="s">
        <v>8</v>
      </c>
      <c r="IP599" s="27" t="s">
        <v>7</v>
      </c>
      <c r="IQ599" s="27" t="s">
        <v>8</v>
      </c>
      <c r="IR599" s="27" t="s">
        <v>7</v>
      </c>
      <c r="IS599" s="27" t="s">
        <v>8</v>
      </c>
      <c r="JB599" s="27" t="s">
        <v>7</v>
      </c>
      <c r="JC599" s="27" t="s">
        <v>8</v>
      </c>
      <c r="JD599" s="27" t="s">
        <v>7</v>
      </c>
      <c r="JE599" s="27" t="s">
        <v>8</v>
      </c>
      <c r="JF599" s="27" t="s">
        <v>7</v>
      </c>
      <c r="JG599" s="27" t="s">
        <v>8</v>
      </c>
      <c r="JH599" s="27" t="s">
        <v>7</v>
      </c>
    </row>
    <row r="600" spans="1:270" x14ac:dyDescent="0.25">
      <c r="A600" s="7">
        <v>0.77303252508005538</v>
      </c>
      <c r="B600"/>
      <c r="C600"/>
      <c r="D600"/>
      <c r="E600"/>
      <c r="F600" s="27" t="s">
        <v>7</v>
      </c>
      <c r="CK600" s="27" t="s">
        <v>8</v>
      </c>
      <c r="CL600" s="27" t="s">
        <v>7</v>
      </c>
      <c r="CM600" s="27" t="s">
        <v>8</v>
      </c>
      <c r="EN600" s="27" t="s">
        <v>7</v>
      </c>
      <c r="EO600" s="27" t="s">
        <v>8</v>
      </c>
      <c r="EP600" s="27" t="s">
        <v>7</v>
      </c>
      <c r="GE600" s="27" t="s">
        <v>8</v>
      </c>
      <c r="GF600" s="27" t="s">
        <v>7</v>
      </c>
      <c r="GG600" s="27" t="s">
        <v>8</v>
      </c>
      <c r="GN600" s="27" t="s">
        <v>7</v>
      </c>
      <c r="GO600" s="27" t="s">
        <v>8</v>
      </c>
      <c r="GP600" s="27" t="s">
        <v>7</v>
      </c>
      <c r="GQ600" s="27" t="s">
        <v>8</v>
      </c>
      <c r="GR600" s="27" t="s">
        <v>7</v>
      </c>
      <c r="GS600" s="27" t="s">
        <v>8</v>
      </c>
      <c r="GT600" s="27" t="s">
        <v>7</v>
      </c>
      <c r="HA600" s="27" t="s">
        <v>8</v>
      </c>
      <c r="HB600" s="27" t="s">
        <v>7</v>
      </c>
      <c r="HC600" s="27" t="s">
        <v>8</v>
      </c>
      <c r="HT600" s="27" t="s">
        <v>7</v>
      </c>
      <c r="HU600" s="27" t="s">
        <v>8</v>
      </c>
      <c r="HV600" s="27" t="s">
        <v>7</v>
      </c>
      <c r="HW600" s="27" t="s">
        <v>8</v>
      </c>
      <c r="IN600" s="27" t="s">
        <v>7</v>
      </c>
      <c r="IO600" s="27" t="s">
        <v>8</v>
      </c>
      <c r="IP600" s="27" t="s">
        <v>7</v>
      </c>
      <c r="IQ600" s="27" t="s">
        <v>8</v>
      </c>
      <c r="IR600" s="27" t="s">
        <v>7</v>
      </c>
      <c r="IS600" s="27" t="s">
        <v>8</v>
      </c>
      <c r="JB600" s="27" t="s">
        <v>7</v>
      </c>
      <c r="JC600" s="27" t="s">
        <v>8</v>
      </c>
      <c r="JD600" s="27" t="s">
        <v>7</v>
      </c>
      <c r="JE600" s="27" t="s">
        <v>8</v>
      </c>
      <c r="JF600" s="27" t="s">
        <v>7</v>
      </c>
      <c r="JG600" s="27" t="s">
        <v>8</v>
      </c>
      <c r="JH600" s="27" t="s">
        <v>7</v>
      </c>
    </row>
    <row r="601" spans="1:270" x14ac:dyDescent="0.25">
      <c r="A601" s="7">
        <v>0.75787502458828959</v>
      </c>
      <c r="B601"/>
      <c r="C601"/>
      <c r="D601"/>
      <c r="E601"/>
      <c r="F601" s="27" t="s">
        <v>7</v>
      </c>
      <c r="CK601" s="27" t="s">
        <v>8</v>
      </c>
      <c r="CL601" s="27" t="s">
        <v>7</v>
      </c>
      <c r="CM601" s="27" t="s">
        <v>8</v>
      </c>
      <c r="EN601" s="27" t="s">
        <v>7</v>
      </c>
      <c r="EO601" s="27" t="s">
        <v>8</v>
      </c>
      <c r="EP601" s="27" t="s">
        <v>7</v>
      </c>
      <c r="EW601" s="27" t="s">
        <v>8</v>
      </c>
      <c r="GE601" s="27" t="s">
        <v>8</v>
      </c>
      <c r="GF601" s="27" t="s">
        <v>7</v>
      </c>
      <c r="GG601" s="27" t="s">
        <v>8</v>
      </c>
      <c r="GN601" s="27" t="s">
        <v>7</v>
      </c>
      <c r="GO601" s="27" t="s">
        <v>8</v>
      </c>
      <c r="GP601" s="27" t="s">
        <v>7</v>
      </c>
      <c r="GQ601" s="27" t="s">
        <v>8</v>
      </c>
      <c r="GR601" s="27" t="s">
        <v>7</v>
      </c>
      <c r="GS601" s="27" t="s">
        <v>8</v>
      </c>
      <c r="GT601" s="27" t="s">
        <v>7</v>
      </c>
      <c r="HA601" s="27" t="s">
        <v>8</v>
      </c>
      <c r="HB601" s="27" t="s">
        <v>7</v>
      </c>
      <c r="HC601" s="27" t="s">
        <v>8</v>
      </c>
      <c r="HT601" s="27" t="s">
        <v>7</v>
      </c>
      <c r="HV601" s="27" t="s">
        <v>7</v>
      </c>
      <c r="IN601" s="27" t="s">
        <v>7</v>
      </c>
      <c r="IP601" s="27" t="s">
        <v>7</v>
      </c>
      <c r="IR601" s="27" t="s">
        <v>7</v>
      </c>
      <c r="IS601" s="27" t="s">
        <v>8</v>
      </c>
      <c r="JB601" s="27" t="s">
        <v>7</v>
      </c>
      <c r="JC601" s="27" t="s">
        <v>8</v>
      </c>
      <c r="JD601" s="27" t="s">
        <v>7</v>
      </c>
      <c r="JE601" s="27" t="s">
        <v>8</v>
      </c>
      <c r="JF601" s="27" t="s">
        <v>7</v>
      </c>
      <c r="JG601" s="27" t="s">
        <v>8</v>
      </c>
      <c r="JH601" s="27" t="s">
        <v>7</v>
      </c>
    </row>
    <row r="602" spans="1:270" x14ac:dyDescent="0.25">
      <c r="A602" s="7">
        <v>0.74301472998851925</v>
      </c>
      <c r="B602"/>
      <c r="C602"/>
      <c r="D602"/>
      <c r="E602"/>
      <c r="F602" s="27" t="s">
        <v>7</v>
      </c>
      <c r="CK602" s="27" t="s">
        <v>8</v>
      </c>
      <c r="CL602" s="27" t="s">
        <v>7</v>
      </c>
      <c r="CM602" s="27" t="s">
        <v>8</v>
      </c>
      <c r="EN602" s="27" t="s">
        <v>7</v>
      </c>
      <c r="EO602" s="27" t="s">
        <v>8</v>
      </c>
      <c r="EP602" s="27" t="s">
        <v>7</v>
      </c>
      <c r="EW602" s="27" t="s">
        <v>8</v>
      </c>
      <c r="EX602" s="27" t="s">
        <v>7</v>
      </c>
      <c r="GE602" s="27" t="s">
        <v>8</v>
      </c>
      <c r="GF602" s="27" t="s">
        <v>7</v>
      </c>
      <c r="GG602" s="27" t="s">
        <v>8</v>
      </c>
      <c r="GN602" s="27" t="s">
        <v>7</v>
      </c>
      <c r="GO602" s="27" t="s">
        <v>8</v>
      </c>
      <c r="GP602" s="27" t="s">
        <v>7</v>
      </c>
      <c r="GQ602" s="27" t="s">
        <v>8</v>
      </c>
      <c r="GR602" s="27" t="s">
        <v>7</v>
      </c>
      <c r="GS602" s="27" t="s">
        <v>8</v>
      </c>
      <c r="GT602" s="27" t="s">
        <v>7</v>
      </c>
      <c r="GU602" s="27" t="s">
        <v>8</v>
      </c>
      <c r="GY602" s="27" t="s">
        <v>8</v>
      </c>
      <c r="HA602" s="27" t="s">
        <v>8</v>
      </c>
      <c r="HB602" s="27" t="s">
        <v>7</v>
      </c>
      <c r="HC602" s="27" t="s">
        <v>8</v>
      </c>
      <c r="IR602" s="27" t="s">
        <v>7</v>
      </c>
      <c r="IS602" s="27" t="s">
        <v>8</v>
      </c>
      <c r="JB602" s="27" t="s">
        <v>7</v>
      </c>
      <c r="JC602" s="27" t="s">
        <v>8</v>
      </c>
      <c r="JD602" s="27" t="s">
        <v>7</v>
      </c>
      <c r="JF602" s="27" t="s">
        <v>7</v>
      </c>
      <c r="JG602" s="27" t="s">
        <v>8</v>
      </c>
      <c r="JH602" s="27" t="s">
        <v>7</v>
      </c>
    </row>
    <row r="603" spans="1:270" x14ac:dyDescent="0.25">
      <c r="A603" s="7">
        <v>0.72844581371423456</v>
      </c>
      <c r="B603"/>
      <c r="C603"/>
      <c r="D603"/>
      <c r="E603"/>
      <c r="F603" s="27" t="s">
        <v>7</v>
      </c>
      <c r="CK603" s="27" t="s">
        <v>8</v>
      </c>
      <c r="CL603" s="27" t="s">
        <v>7</v>
      </c>
      <c r="CM603" s="27" t="s">
        <v>8</v>
      </c>
      <c r="EN603" s="27" t="s">
        <v>7</v>
      </c>
      <c r="EO603" s="27" t="s">
        <v>8</v>
      </c>
      <c r="EP603" s="27" t="s">
        <v>7</v>
      </c>
      <c r="EU603" s="27" t="s">
        <v>8</v>
      </c>
      <c r="EW603" s="27" t="s">
        <v>8</v>
      </c>
      <c r="EX603" s="27" t="s">
        <v>7</v>
      </c>
      <c r="GE603" s="27" t="s">
        <v>8</v>
      </c>
      <c r="GF603" s="27" t="s">
        <v>7</v>
      </c>
      <c r="GG603" s="27" t="s">
        <v>8</v>
      </c>
      <c r="GN603" s="27" t="s">
        <v>7</v>
      </c>
      <c r="GO603" s="27" t="s">
        <v>8</v>
      </c>
      <c r="GP603" s="27" t="s">
        <v>7</v>
      </c>
      <c r="GQ603" s="27" t="s">
        <v>8</v>
      </c>
      <c r="GR603" s="27" t="s">
        <v>7</v>
      </c>
      <c r="GT603" s="27" t="s">
        <v>7</v>
      </c>
      <c r="GU603" s="27" t="s">
        <v>8</v>
      </c>
      <c r="GV603" s="27" t="s">
        <v>7</v>
      </c>
      <c r="GY603" s="27" t="s">
        <v>8</v>
      </c>
      <c r="GZ603" s="27" t="s">
        <v>7</v>
      </c>
      <c r="HA603" s="27" t="s">
        <v>8</v>
      </c>
      <c r="HB603" s="27" t="s">
        <v>7</v>
      </c>
      <c r="IR603" s="27" t="s">
        <v>7</v>
      </c>
      <c r="JB603" s="27" t="s">
        <v>7</v>
      </c>
      <c r="JC603" s="27" t="s">
        <v>8</v>
      </c>
      <c r="JF603" s="27" t="s">
        <v>7</v>
      </c>
      <c r="JH603" s="27" t="s">
        <v>7</v>
      </c>
    </row>
    <row r="604" spans="1:270" x14ac:dyDescent="0.25">
      <c r="A604" s="7">
        <v>0.71416256246493581</v>
      </c>
      <c r="B604"/>
      <c r="C604"/>
      <c r="D604"/>
      <c r="E604"/>
      <c r="F604" s="27" t="s">
        <v>7</v>
      </c>
      <c r="CK604" s="27" t="s">
        <v>8</v>
      </c>
      <c r="CL604" s="27" t="s">
        <v>7</v>
      </c>
      <c r="CM604" s="27" t="s">
        <v>8</v>
      </c>
      <c r="EN604" s="27" t="s">
        <v>7</v>
      </c>
      <c r="EO604" s="27" t="s">
        <v>8</v>
      </c>
      <c r="EP604" s="27" t="s">
        <v>7</v>
      </c>
      <c r="EU604" s="27" t="s">
        <v>8</v>
      </c>
      <c r="EV604" s="27" t="s">
        <v>7</v>
      </c>
      <c r="EW604" s="27" t="s">
        <v>8</v>
      </c>
      <c r="EX604" s="27" t="s">
        <v>7</v>
      </c>
      <c r="GC604" s="27" t="s">
        <v>8</v>
      </c>
      <c r="GE604" s="27" t="s">
        <v>8</v>
      </c>
      <c r="GF604" s="27" t="s">
        <v>7</v>
      </c>
      <c r="GG604" s="27" t="s">
        <v>8</v>
      </c>
      <c r="GN604" s="27" t="s">
        <v>7</v>
      </c>
      <c r="GO604" s="27" t="s">
        <v>8</v>
      </c>
      <c r="GP604" s="27" t="s">
        <v>7</v>
      </c>
      <c r="GQ604" s="27" t="s">
        <v>8</v>
      </c>
      <c r="GT604" s="27" t="s">
        <v>7</v>
      </c>
      <c r="GU604" s="27" t="s">
        <v>8</v>
      </c>
      <c r="GV604" s="27" t="s">
        <v>7</v>
      </c>
      <c r="GY604" s="27" t="s">
        <v>8</v>
      </c>
      <c r="GZ604" s="27" t="s">
        <v>7</v>
      </c>
      <c r="HA604" s="27" t="s">
        <v>8</v>
      </c>
      <c r="JB604" s="27" t="s">
        <v>7</v>
      </c>
      <c r="JC604" s="27" t="s">
        <v>8</v>
      </c>
      <c r="JH604" s="27" t="s">
        <v>7</v>
      </c>
    </row>
    <row r="605" spans="1:270" x14ac:dyDescent="0.25">
      <c r="A605" s="7">
        <v>0.7001593749656233</v>
      </c>
      <c r="B605"/>
      <c r="C605"/>
      <c r="D605"/>
      <c r="E605"/>
      <c r="F605" s="27" t="s">
        <v>7</v>
      </c>
      <c r="CK605" s="27" t="s">
        <v>8</v>
      </c>
      <c r="CL605" s="27" t="s">
        <v>7</v>
      </c>
      <c r="CM605" s="27" t="s">
        <v>8</v>
      </c>
      <c r="EN605" s="27" t="s">
        <v>7</v>
      </c>
      <c r="EO605" s="27" t="s">
        <v>8</v>
      </c>
      <c r="EP605" s="27" t="s">
        <v>7</v>
      </c>
      <c r="EU605" s="27" t="s">
        <v>8</v>
      </c>
      <c r="EV605" s="27" t="s">
        <v>7</v>
      </c>
      <c r="EW605" s="27" t="s">
        <v>8</v>
      </c>
      <c r="EX605" s="27" t="s">
        <v>7</v>
      </c>
      <c r="GC605" s="27" t="s">
        <v>8</v>
      </c>
      <c r="GD605" s="27" t="s">
        <v>7</v>
      </c>
      <c r="GE605" s="27" t="s">
        <v>8</v>
      </c>
      <c r="GF605" s="27" t="s">
        <v>7</v>
      </c>
      <c r="GG605" s="27" t="s">
        <v>8</v>
      </c>
      <c r="GN605" s="27" t="s">
        <v>7</v>
      </c>
      <c r="GO605" s="27" t="s">
        <v>8</v>
      </c>
      <c r="GP605" s="27" t="s">
        <v>7</v>
      </c>
      <c r="GT605" s="27" t="s">
        <v>7</v>
      </c>
      <c r="GU605" s="27" t="s">
        <v>8</v>
      </c>
      <c r="GV605" s="27" t="s">
        <v>7</v>
      </c>
      <c r="GW605" s="27" t="s">
        <v>8</v>
      </c>
      <c r="GY605" s="27" t="s">
        <v>8</v>
      </c>
      <c r="GZ605" s="27" t="s">
        <v>7</v>
      </c>
      <c r="HA605" s="27" t="s">
        <v>8</v>
      </c>
      <c r="JB605" s="27" t="s">
        <v>7</v>
      </c>
      <c r="JC605" s="27" t="s">
        <v>8</v>
      </c>
      <c r="JH605" s="27" t="s">
        <v>7</v>
      </c>
    </row>
    <row r="606" spans="1:270" x14ac:dyDescent="0.25">
      <c r="A606" s="7">
        <v>0.68643075977021883</v>
      </c>
      <c r="B606"/>
      <c r="C606"/>
      <c r="D606"/>
      <c r="E606"/>
      <c r="F606" s="27" t="s">
        <v>7</v>
      </c>
      <c r="CE606" s="27" t="s">
        <v>8</v>
      </c>
      <c r="CK606" s="27" t="s">
        <v>8</v>
      </c>
      <c r="CL606" s="27" t="s">
        <v>7</v>
      </c>
      <c r="CM606" s="27" t="s">
        <v>8</v>
      </c>
      <c r="EN606" s="27" t="s">
        <v>7</v>
      </c>
      <c r="EO606" s="27" t="s">
        <v>8</v>
      </c>
      <c r="EP606" s="27" t="s">
        <v>7</v>
      </c>
      <c r="EU606" s="27" t="s">
        <v>8</v>
      </c>
      <c r="EV606" s="27" t="s">
        <v>7</v>
      </c>
      <c r="EW606" s="27" t="s">
        <v>8</v>
      </c>
      <c r="EX606" s="27" t="s">
        <v>7</v>
      </c>
      <c r="GC606" s="27" t="s">
        <v>8</v>
      </c>
      <c r="GD606" s="27" t="s">
        <v>7</v>
      </c>
      <c r="GE606" s="27" t="s">
        <v>8</v>
      </c>
      <c r="GF606" s="27" t="s">
        <v>7</v>
      </c>
      <c r="GN606" s="27" t="s">
        <v>7</v>
      </c>
      <c r="GO606" s="27" t="s">
        <v>8</v>
      </c>
      <c r="GT606" s="27" t="s">
        <v>7</v>
      </c>
      <c r="GU606" s="27" t="s">
        <v>8</v>
      </c>
      <c r="GV606" s="27" t="s">
        <v>7</v>
      </c>
      <c r="GW606" s="27" t="s">
        <v>8</v>
      </c>
      <c r="GX606" s="27" t="s">
        <v>7</v>
      </c>
      <c r="GY606" s="27" t="s">
        <v>8</v>
      </c>
      <c r="GZ606" s="27" t="s">
        <v>7</v>
      </c>
      <c r="JB606" s="27" t="s">
        <v>7</v>
      </c>
      <c r="JH606" s="27" t="s">
        <v>7</v>
      </c>
    </row>
    <row r="607" spans="1:270" x14ac:dyDescent="0.25">
      <c r="A607" s="7">
        <v>0.67297133310805768</v>
      </c>
      <c r="B607"/>
      <c r="C607"/>
      <c r="D607"/>
      <c r="E607"/>
      <c r="F607" s="27" t="s">
        <v>7</v>
      </c>
      <c r="CE607" s="27" t="s">
        <v>8</v>
      </c>
      <c r="CF607" s="27" t="s">
        <v>7</v>
      </c>
      <c r="CK607" s="27" t="s">
        <v>8</v>
      </c>
      <c r="CL607" s="27" t="s">
        <v>7</v>
      </c>
      <c r="CM607" s="27" t="s">
        <v>8</v>
      </c>
      <c r="EN607" s="27" t="s">
        <v>7</v>
      </c>
      <c r="EO607" s="27" t="s">
        <v>8</v>
      </c>
      <c r="EP607" s="27" t="s">
        <v>7</v>
      </c>
      <c r="EQ607" s="27" t="s">
        <v>8</v>
      </c>
      <c r="EU607" s="27" t="s">
        <v>8</v>
      </c>
      <c r="EV607" s="27" t="s">
        <v>7</v>
      </c>
      <c r="EW607" s="27" t="s">
        <v>8</v>
      </c>
      <c r="EX607" s="27" t="s">
        <v>7</v>
      </c>
      <c r="EY607" s="27" t="s">
        <v>8</v>
      </c>
      <c r="GC607" s="27" t="s">
        <v>8</v>
      </c>
      <c r="GD607" s="27" t="s">
        <v>7</v>
      </c>
      <c r="GE607" s="27" t="s">
        <v>8</v>
      </c>
      <c r="GN607" s="27" t="s">
        <v>7</v>
      </c>
      <c r="GT607" s="27" t="s">
        <v>7</v>
      </c>
      <c r="GU607" s="27" t="s">
        <v>8</v>
      </c>
      <c r="GV607" s="27" t="s">
        <v>7</v>
      </c>
      <c r="GW607" s="27" t="s">
        <v>8</v>
      </c>
      <c r="GX607" s="27" t="s">
        <v>7</v>
      </c>
      <c r="GY607" s="27" t="s">
        <v>8</v>
      </c>
      <c r="JH607" s="27" t="s">
        <v>7</v>
      </c>
      <c r="JI607" s="27" t="s">
        <v>8</v>
      </c>
    </row>
    <row r="608" spans="1:270" x14ac:dyDescent="0.25">
      <c r="A608" s="7">
        <v>0.65977581677260566</v>
      </c>
      <c r="B608"/>
      <c r="C608"/>
      <c r="D608"/>
      <c r="E608"/>
      <c r="F608" s="27" t="s">
        <v>7</v>
      </c>
      <c r="K608" s="27" t="s">
        <v>8</v>
      </c>
      <c r="CE608" s="27" t="s">
        <v>8</v>
      </c>
      <c r="CF608" s="27" t="s">
        <v>7</v>
      </c>
      <c r="CK608" s="27" t="s">
        <v>8</v>
      </c>
      <c r="CL608" s="27" t="s">
        <v>7</v>
      </c>
      <c r="CM608" s="27" t="s">
        <v>8</v>
      </c>
      <c r="EN608" s="27" t="s">
        <v>7</v>
      </c>
      <c r="EO608" s="27" t="s">
        <v>8</v>
      </c>
      <c r="EP608" s="27" t="s">
        <v>7</v>
      </c>
      <c r="EQ608" s="27" t="s">
        <v>8</v>
      </c>
      <c r="ER608" s="27" t="s">
        <v>7</v>
      </c>
      <c r="EU608" s="27" t="s">
        <v>8</v>
      </c>
      <c r="EV608" s="27" t="s">
        <v>7</v>
      </c>
      <c r="EW608" s="27" t="s">
        <v>8</v>
      </c>
      <c r="EX608" s="27" t="s">
        <v>7</v>
      </c>
      <c r="EY608" s="27" t="s">
        <v>8</v>
      </c>
      <c r="EZ608" s="27" t="s">
        <v>7</v>
      </c>
      <c r="GC608" s="27" t="s">
        <v>8</v>
      </c>
      <c r="GD608" s="27" t="s">
        <v>7</v>
      </c>
      <c r="GE608" s="27" t="s">
        <v>8</v>
      </c>
      <c r="GT608" s="27" t="s">
        <v>7</v>
      </c>
      <c r="GU608" s="27" t="s">
        <v>8</v>
      </c>
      <c r="GV608" s="27" t="s">
        <v>7</v>
      </c>
      <c r="GW608" s="27" t="s">
        <v>8</v>
      </c>
      <c r="GX608" s="27" t="s">
        <v>7</v>
      </c>
      <c r="GY608" s="27" t="s">
        <v>8</v>
      </c>
      <c r="JH608" s="27" t="s">
        <v>7</v>
      </c>
      <c r="JI608" s="27" t="s">
        <v>8</v>
      </c>
      <c r="JJ608" s="27" t="s">
        <v>7</v>
      </c>
    </row>
    <row r="609" spans="1:272" x14ac:dyDescent="0.25">
      <c r="A609" s="7">
        <v>0.64683903605157422</v>
      </c>
      <c r="B609"/>
      <c r="C609"/>
      <c r="D609"/>
      <c r="E609"/>
      <c r="F609" s="27" t="s">
        <v>7</v>
      </c>
      <c r="K609" s="27" t="s">
        <v>8</v>
      </c>
      <c r="L609" s="27" t="s">
        <v>7</v>
      </c>
      <c r="CE609" s="27" t="s">
        <v>8</v>
      </c>
      <c r="CF609" s="27" t="s">
        <v>7</v>
      </c>
      <c r="CK609" s="27" t="s">
        <v>8</v>
      </c>
      <c r="CL609" s="27" t="s">
        <v>7</v>
      </c>
      <c r="EN609" s="27" t="s">
        <v>7</v>
      </c>
      <c r="EO609" s="27" t="s">
        <v>8</v>
      </c>
      <c r="EP609" s="27" t="s">
        <v>7</v>
      </c>
      <c r="EQ609" s="27" t="s">
        <v>8</v>
      </c>
      <c r="ER609" s="27" t="s">
        <v>7</v>
      </c>
      <c r="EU609" s="27" t="s">
        <v>8</v>
      </c>
      <c r="EV609" s="27" t="s">
        <v>7</v>
      </c>
      <c r="EW609" s="27" t="s">
        <v>8</v>
      </c>
      <c r="EX609" s="27" t="s">
        <v>7</v>
      </c>
      <c r="EY609" s="27" t="s">
        <v>8</v>
      </c>
      <c r="EZ609" s="27" t="s">
        <v>7</v>
      </c>
      <c r="GC609" s="27" t="s">
        <v>8</v>
      </c>
      <c r="GD609" s="27" t="s">
        <v>7</v>
      </c>
      <c r="GE609" s="27" t="s">
        <v>8</v>
      </c>
      <c r="GT609" s="27" t="s">
        <v>7</v>
      </c>
      <c r="GU609" s="27" t="s">
        <v>8</v>
      </c>
      <c r="GV609" s="27" t="s">
        <v>7</v>
      </c>
      <c r="GW609" s="27" t="s">
        <v>8</v>
      </c>
      <c r="GX609" s="27" t="s">
        <v>7</v>
      </c>
      <c r="GY609" s="27" t="s">
        <v>8</v>
      </c>
      <c r="JH609" s="27" t="s">
        <v>7</v>
      </c>
      <c r="JI609" s="27" t="s">
        <v>8</v>
      </c>
      <c r="JJ609" s="27" t="s">
        <v>7</v>
      </c>
    </row>
    <row r="610" spans="1:272" x14ac:dyDescent="0.25">
      <c r="A610" s="7">
        <v>0.63415591769762181</v>
      </c>
      <c r="B610"/>
      <c r="C610"/>
      <c r="D610"/>
      <c r="E610"/>
      <c r="F610" s="27" t="s">
        <v>7</v>
      </c>
      <c r="K610" s="27" t="s">
        <v>8</v>
      </c>
      <c r="L610" s="27" t="s">
        <v>7</v>
      </c>
      <c r="CE610" s="27" t="s">
        <v>8</v>
      </c>
      <c r="CF610" s="27" t="s">
        <v>7</v>
      </c>
      <c r="CK610" s="27" t="s">
        <v>8</v>
      </c>
      <c r="EN610" s="27" t="s">
        <v>7</v>
      </c>
      <c r="EO610" s="27" t="s">
        <v>8</v>
      </c>
      <c r="EP610" s="27" t="s">
        <v>7</v>
      </c>
      <c r="EQ610" s="27" t="s">
        <v>8</v>
      </c>
      <c r="ER610" s="27" t="s">
        <v>7</v>
      </c>
      <c r="ES610" s="27" t="s">
        <v>8</v>
      </c>
      <c r="EU610" s="27" t="s">
        <v>8</v>
      </c>
      <c r="EV610" s="27" t="s">
        <v>7</v>
      </c>
      <c r="EW610" s="27" t="s">
        <v>8</v>
      </c>
      <c r="EX610" s="27" t="s">
        <v>7</v>
      </c>
      <c r="EY610" s="27" t="s">
        <v>8</v>
      </c>
      <c r="EZ610" s="27" t="s">
        <v>7</v>
      </c>
      <c r="GA610" s="27" t="s">
        <v>8</v>
      </c>
      <c r="GC610" s="27" t="s">
        <v>8</v>
      </c>
      <c r="GD610" s="27" t="s">
        <v>7</v>
      </c>
      <c r="GE610" s="27" t="s">
        <v>8</v>
      </c>
      <c r="GT610" s="27" t="s">
        <v>7</v>
      </c>
      <c r="GU610" s="27" t="s">
        <v>8</v>
      </c>
      <c r="GV610" s="27" t="s">
        <v>7</v>
      </c>
      <c r="GW610" s="27" t="s">
        <v>8</v>
      </c>
      <c r="GX610" s="27" t="s">
        <v>7</v>
      </c>
      <c r="GY610" s="27" t="s">
        <v>8</v>
      </c>
      <c r="JH610" s="27" t="s">
        <v>7</v>
      </c>
      <c r="JI610" s="27" t="s">
        <v>8</v>
      </c>
      <c r="JJ610" s="27" t="s">
        <v>7</v>
      </c>
    </row>
    <row r="611" spans="1:272" x14ac:dyDescent="0.25">
      <c r="A611" s="7">
        <v>0.62172148793884496</v>
      </c>
      <c r="B611"/>
      <c r="C611"/>
      <c r="D611"/>
      <c r="E611"/>
      <c r="F611" s="27" t="s">
        <v>7</v>
      </c>
      <c r="K611" s="27" t="s">
        <v>8</v>
      </c>
      <c r="L611" s="27" t="s">
        <v>7</v>
      </c>
      <c r="AQ611" s="27" t="s">
        <v>8</v>
      </c>
      <c r="CE611" s="27" t="s">
        <v>8</v>
      </c>
      <c r="CF611" s="27" t="s">
        <v>7</v>
      </c>
      <c r="CK611" s="27" t="s">
        <v>8</v>
      </c>
      <c r="EN611" s="27" t="s">
        <v>7</v>
      </c>
      <c r="EO611" s="27" t="s">
        <v>8</v>
      </c>
      <c r="EP611" s="27" t="s">
        <v>7</v>
      </c>
      <c r="EQ611" s="27" t="s">
        <v>8</v>
      </c>
      <c r="ER611" s="27" t="s">
        <v>7</v>
      </c>
      <c r="ES611" s="27" t="s">
        <v>8</v>
      </c>
      <c r="ET611" s="27" t="s">
        <v>7</v>
      </c>
      <c r="EU611" s="27" t="s">
        <v>8</v>
      </c>
      <c r="EV611" s="27" t="s">
        <v>7</v>
      </c>
      <c r="EW611" s="27" t="s">
        <v>8</v>
      </c>
      <c r="EX611" s="27" t="s">
        <v>7</v>
      </c>
      <c r="EY611" s="27" t="s">
        <v>8</v>
      </c>
      <c r="EZ611" s="27" t="s">
        <v>7</v>
      </c>
      <c r="GA611" s="27" t="s">
        <v>8</v>
      </c>
      <c r="GB611" s="27" t="s">
        <v>7</v>
      </c>
      <c r="GC611" s="27" t="s">
        <v>8</v>
      </c>
      <c r="GD611" s="27" t="s">
        <v>7</v>
      </c>
      <c r="GE611" s="27" t="s">
        <v>8</v>
      </c>
      <c r="GT611" s="27" t="s">
        <v>7</v>
      </c>
      <c r="GU611" s="27" t="s">
        <v>8</v>
      </c>
      <c r="GV611" s="27" t="s">
        <v>7</v>
      </c>
      <c r="GX611" s="27" t="s">
        <v>7</v>
      </c>
      <c r="GY611" s="27" t="s">
        <v>8</v>
      </c>
      <c r="JH611" s="27" t="s">
        <v>7</v>
      </c>
      <c r="JI611" s="27" t="s">
        <v>8</v>
      </c>
      <c r="JJ611" s="27" t="s">
        <v>7</v>
      </c>
    </row>
    <row r="612" spans="1:272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K612" s="27" t="s">
        <v>8</v>
      </c>
      <c r="L612" s="27" t="s">
        <v>7</v>
      </c>
      <c r="AQ612" s="27" t="s">
        <v>8</v>
      </c>
      <c r="AR612" s="27" t="s">
        <v>7</v>
      </c>
      <c r="CC612" s="27" t="s">
        <v>8</v>
      </c>
      <c r="CE612" s="27" t="s">
        <v>8</v>
      </c>
      <c r="CF612" s="27" t="s">
        <v>7</v>
      </c>
      <c r="CK612" s="27" t="s">
        <v>8</v>
      </c>
      <c r="EN612" s="27" t="s">
        <v>7</v>
      </c>
      <c r="EO612" s="27" t="s">
        <v>8</v>
      </c>
      <c r="EP612" s="27" t="s">
        <v>7</v>
      </c>
      <c r="EQ612" s="27" t="s">
        <v>8</v>
      </c>
      <c r="ER612" s="27" t="s">
        <v>7</v>
      </c>
      <c r="ES612" s="27" t="s">
        <v>8</v>
      </c>
      <c r="ET612" s="27" t="s">
        <v>7</v>
      </c>
      <c r="EU612" s="27" t="s">
        <v>8</v>
      </c>
      <c r="EV612" s="27" t="s">
        <v>7</v>
      </c>
      <c r="EW612" s="27" t="s">
        <v>8</v>
      </c>
      <c r="EX612" s="27" t="s">
        <v>7</v>
      </c>
      <c r="EZ612" s="27" t="s">
        <v>7</v>
      </c>
      <c r="FA612" s="27" t="s">
        <v>8</v>
      </c>
      <c r="GA612" s="27" t="s">
        <v>8</v>
      </c>
      <c r="GB612" s="27" t="s">
        <v>7</v>
      </c>
      <c r="GC612" s="27" t="s">
        <v>8</v>
      </c>
      <c r="GD612" s="27" t="s">
        <v>7</v>
      </c>
      <c r="GE612" s="27" t="s">
        <v>8</v>
      </c>
      <c r="GT612" s="27" t="s">
        <v>7</v>
      </c>
      <c r="GU612" s="27" t="s">
        <v>8</v>
      </c>
      <c r="GX612" s="27" t="s">
        <v>7</v>
      </c>
      <c r="GY612" s="27" t="s">
        <v>8</v>
      </c>
      <c r="JH612" s="27" t="s">
        <v>7</v>
      </c>
      <c r="JI612" s="27" t="s">
        <v>8</v>
      </c>
      <c r="JJ612" s="27" t="s">
        <v>7</v>
      </c>
      <c r="JK612" s="27" t="s">
        <v>8</v>
      </c>
    </row>
    <row r="613" spans="1:272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I613" s="27" t="s">
        <v>8</v>
      </c>
      <c r="K613" s="27" t="s">
        <v>8</v>
      </c>
      <c r="L613" s="27" t="s">
        <v>7</v>
      </c>
      <c r="AQ613" s="27" t="s">
        <v>8</v>
      </c>
      <c r="AR613" s="27" t="s">
        <v>7</v>
      </c>
      <c r="AW613" s="27" t="s">
        <v>8</v>
      </c>
      <c r="CC613" s="27" t="s">
        <v>8</v>
      </c>
      <c r="CD613" s="27" t="s">
        <v>7</v>
      </c>
      <c r="CE613" s="27" t="s">
        <v>8</v>
      </c>
      <c r="CF613" s="27" t="s">
        <v>7</v>
      </c>
      <c r="CK613" s="27" t="s">
        <v>8</v>
      </c>
      <c r="EN613" s="27" t="s">
        <v>7</v>
      </c>
      <c r="EO613" s="27" t="s">
        <v>8</v>
      </c>
      <c r="EP613" s="27" t="s">
        <v>7</v>
      </c>
      <c r="EQ613" s="27" t="s">
        <v>8</v>
      </c>
      <c r="ER613" s="27" t="s">
        <v>7</v>
      </c>
      <c r="ES613" s="27" t="s">
        <v>8</v>
      </c>
      <c r="ET613" s="27" t="s">
        <v>7</v>
      </c>
      <c r="EU613" s="27" t="s">
        <v>8</v>
      </c>
      <c r="EV613" s="27" t="s">
        <v>7</v>
      </c>
      <c r="EW613" s="27" t="s">
        <v>8</v>
      </c>
      <c r="EZ613" s="27" t="s">
        <v>7</v>
      </c>
      <c r="FA613" s="27" t="s">
        <v>8</v>
      </c>
      <c r="FB613" s="27" t="s">
        <v>7</v>
      </c>
      <c r="GA613" s="27" t="s">
        <v>8</v>
      </c>
      <c r="GB613" s="27" t="s">
        <v>7</v>
      </c>
      <c r="GC613" s="27" t="s">
        <v>8</v>
      </c>
      <c r="GD613" s="27" t="s">
        <v>7</v>
      </c>
      <c r="GE613" s="27" t="s">
        <v>8</v>
      </c>
      <c r="GT613" s="27" t="s">
        <v>7</v>
      </c>
      <c r="GX613" s="27" t="s">
        <v>7</v>
      </c>
      <c r="JH613" s="27" t="s">
        <v>7</v>
      </c>
      <c r="JI613" s="27" t="s">
        <v>8</v>
      </c>
      <c r="JJ613" s="27" t="s">
        <v>7</v>
      </c>
      <c r="JK613" s="27" t="s">
        <v>8</v>
      </c>
      <c r="JL613" s="27" t="s">
        <v>7</v>
      </c>
    </row>
    <row r="614" spans="1:272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I614" s="27" t="s">
        <v>8</v>
      </c>
      <c r="J614" s="27" t="s">
        <v>7</v>
      </c>
      <c r="K614" s="27" t="s">
        <v>8</v>
      </c>
      <c r="L614" s="27" t="s">
        <v>7</v>
      </c>
      <c r="AQ614" s="27" t="s">
        <v>8</v>
      </c>
      <c r="AR614" s="27" t="s">
        <v>7</v>
      </c>
      <c r="AW614" s="27" t="s">
        <v>8</v>
      </c>
      <c r="AX614" s="27" t="s">
        <v>7</v>
      </c>
      <c r="CC614" s="27" t="s">
        <v>8</v>
      </c>
      <c r="CD614" s="27" t="s">
        <v>7</v>
      </c>
      <c r="CE614" s="27" t="s">
        <v>8</v>
      </c>
      <c r="CF614" s="27" t="s">
        <v>7</v>
      </c>
      <c r="CI614" s="27" t="s">
        <v>8</v>
      </c>
      <c r="CK614" s="27" t="s">
        <v>8</v>
      </c>
      <c r="EN614" s="27" t="s">
        <v>7</v>
      </c>
      <c r="EO614" s="27" t="s">
        <v>8</v>
      </c>
      <c r="EP614" s="27" t="s">
        <v>7</v>
      </c>
      <c r="ER614" s="27" t="s">
        <v>7</v>
      </c>
      <c r="ES614" s="27" t="s">
        <v>8</v>
      </c>
      <c r="ET614" s="27" t="s">
        <v>7</v>
      </c>
      <c r="EU614" s="27" t="s">
        <v>8</v>
      </c>
      <c r="EV614" s="27" t="s">
        <v>7</v>
      </c>
      <c r="EW614" s="27" t="s">
        <v>8</v>
      </c>
      <c r="EZ614" s="27" t="s">
        <v>7</v>
      </c>
      <c r="FA614" s="27" t="s">
        <v>8</v>
      </c>
      <c r="FB614" s="27" t="s">
        <v>7</v>
      </c>
      <c r="FE614" s="27" t="s">
        <v>8</v>
      </c>
      <c r="GA614" s="27" t="s">
        <v>8</v>
      </c>
      <c r="GB614" s="27" t="s">
        <v>7</v>
      </c>
      <c r="GC614" s="27" t="s">
        <v>8</v>
      </c>
      <c r="GD614" s="27" t="s">
        <v>7</v>
      </c>
      <c r="GE614" s="27" t="s">
        <v>8</v>
      </c>
      <c r="JH614" s="27" t="s">
        <v>7</v>
      </c>
      <c r="JI614" s="27" t="s">
        <v>8</v>
      </c>
      <c r="JJ614" s="27" t="s">
        <v>7</v>
      </c>
      <c r="JK614" s="27" t="s">
        <v>8</v>
      </c>
      <c r="JL614" s="27" t="s">
        <v>7</v>
      </c>
    </row>
    <row r="615" spans="1:272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I615" s="27" t="s">
        <v>8</v>
      </c>
      <c r="J615" s="27" t="s">
        <v>7</v>
      </c>
      <c r="K615" s="27" t="s">
        <v>8</v>
      </c>
      <c r="L615" s="27" t="s">
        <v>7</v>
      </c>
      <c r="AK615" s="27" t="s">
        <v>8</v>
      </c>
      <c r="AQ615" s="27" t="s">
        <v>8</v>
      </c>
      <c r="AR615" s="27" t="s">
        <v>7</v>
      </c>
      <c r="AW615" s="27" t="s">
        <v>8</v>
      </c>
      <c r="AX615" s="27" t="s">
        <v>7</v>
      </c>
      <c r="CC615" s="27" t="s">
        <v>8</v>
      </c>
      <c r="CD615" s="27" t="s">
        <v>7</v>
      </c>
      <c r="CE615" s="27" t="s">
        <v>8</v>
      </c>
      <c r="CF615" s="27" t="s">
        <v>7</v>
      </c>
      <c r="CG615" s="27" t="s">
        <v>8</v>
      </c>
      <c r="CI615" s="27" t="s">
        <v>8</v>
      </c>
      <c r="CJ615" s="27" t="s">
        <v>7</v>
      </c>
      <c r="CK615" s="27" t="s">
        <v>8</v>
      </c>
      <c r="EN615" s="27" t="s">
        <v>7</v>
      </c>
      <c r="EO615" s="27" t="s">
        <v>8</v>
      </c>
      <c r="ER615" s="27" t="s">
        <v>7</v>
      </c>
      <c r="ES615" s="27" t="s">
        <v>8</v>
      </c>
      <c r="ET615" s="27" t="s">
        <v>7</v>
      </c>
      <c r="EU615" s="27" t="s">
        <v>8</v>
      </c>
      <c r="EV615" s="27" t="s">
        <v>7</v>
      </c>
      <c r="EW615" s="27" t="s">
        <v>8</v>
      </c>
      <c r="EZ615" s="27" t="s">
        <v>7</v>
      </c>
      <c r="FA615" s="27" t="s">
        <v>8</v>
      </c>
      <c r="FB615" s="27" t="s">
        <v>7</v>
      </c>
      <c r="FC615" s="27" t="s">
        <v>8</v>
      </c>
      <c r="FE615" s="27" t="s">
        <v>8</v>
      </c>
      <c r="FF615" s="27" t="s">
        <v>7</v>
      </c>
      <c r="GA615" s="27" t="s">
        <v>8</v>
      </c>
      <c r="GB615" s="27" t="s">
        <v>7</v>
      </c>
      <c r="GC615" s="27" t="s">
        <v>8</v>
      </c>
      <c r="GD615" s="27" t="s">
        <v>7</v>
      </c>
      <c r="JH615" s="27" t="s">
        <v>7</v>
      </c>
      <c r="JI615" s="27" t="s">
        <v>8</v>
      </c>
      <c r="JJ615" s="27" t="s">
        <v>7</v>
      </c>
      <c r="JK615" s="27" t="s">
        <v>8</v>
      </c>
      <c r="JL615" s="27" t="s">
        <v>7</v>
      </c>
    </row>
    <row r="616" spans="1:272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I616" s="27" t="s">
        <v>8</v>
      </c>
      <c r="J616" s="27" t="s">
        <v>7</v>
      </c>
      <c r="K616" s="27" t="s">
        <v>8</v>
      </c>
      <c r="L616" s="27" t="s">
        <v>7</v>
      </c>
      <c r="AK616" s="27" t="s">
        <v>8</v>
      </c>
      <c r="AL616" s="27" t="s">
        <v>7</v>
      </c>
      <c r="AQ616" s="27" t="s">
        <v>8</v>
      </c>
      <c r="AR616" s="27" t="s">
        <v>7</v>
      </c>
      <c r="AS616" s="27" t="s">
        <v>8</v>
      </c>
      <c r="AU616" s="27" t="s">
        <v>8</v>
      </c>
      <c r="AW616" s="27" t="s">
        <v>8</v>
      </c>
      <c r="AX616" s="27" t="s">
        <v>7</v>
      </c>
      <c r="CC616" s="27" t="s">
        <v>8</v>
      </c>
      <c r="CD616" s="27" t="s">
        <v>7</v>
      </c>
      <c r="CE616" s="27" t="s">
        <v>8</v>
      </c>
      <c r="CF616" s="27" t="s">
        <v>7</v>
      </c>
      <c r="CG616" s="27" t="s">
        <v>8</v>
      </c>
      <c r="CH616" s="27" t="s">
        <v>7</v>
      </c>
      <c r="CI616" s="27" t="s">
        <v>8</v>
      </c>
      <c r="CJ616" s="27" t="s">
        <v>7</v>
      </c>
      <c r="CK616" s="27" t="s">
        <v>8</v>
      </c>
      <c r="EN616" s="27" t="s">
        <v>7</v>
      </c>
      <c r="EO616" s="27" t="s">
        <v>8</v>
      </c>
      <c r="ER616" s="27" t="s">
        <v>7</v>
      </c>
      <c r="ES616" s="27" t="s">
        <v>8</v>
      </c>
      <c r="ET616" s="27" t="s">
        <v>7</v>
      </c>
      <c r="EU616" s="27" t="s">
        <v>8</v>
      </c>
      <c r="EV616" s="27" t="s">
        <v>7</v>
      </c>
      <c r="EW616" s="27" t="s">
        <v>8</v>
      </c>
      <c r="EZ616" s="27" t="s">
        <v>7</v>
      </c>
      <c r="FA616" s="27" t="s">
        <v>8</v>
      </c>
      <c r="FB616" s="27" t="s">
        <v>7</v>
      </c>
      <c r="FC616" s="27" t="s">
        <v>8</v>
      </c>
      <c r="FD616" s="27" t="s">
        <v>7</v>
      </c>
      <c r="FE616" s="27" t="s">
        <v>8</v>
      </c>
      <c r="FF616" s="27" t="s">
        <v>7</v>
      </c>
      <c r="GA616" s="27" t="s">
        <v>8</v>
      </c>
      <c r="GB616" s="27" t="s">
        <v>7</v>
      </c>
      <c r="GC616" s="27" t="s">
        <v>8</v>
      </c>
      <c r="JH616" s="27" t="s">
        <v>7</v>
      </c>
      <c r="JJ616" s="27" t="s">
        <v>7</v>
      </c>
      <c r="JK616" s="27" t="s">
        <v>8</v>
      </c>
      <c r="JL616" s="27" t="s">
        <v>7</v>
      </c>
    </row>
    <row r="617" spans="1:272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I617" s="27" t="s">
        <v>8</v>
      </c>
      <c r="J617" s="27" t="s">
        <v>7</v>
      </c>
      <c r="K617" s="27" t="s">
        <v>8</v>
      </c>
      <c r="L617" s="27" t="s">
        <v>7</v>
      </c>
      <c r="AK617" s="27" t="s">
        <v>8</v>
      </c>
      <c r="AL617" s="27" t="s">
        <v>7</v>
      </c>
      <c r="AQ617" s="27" t="s">
        <v>8</v>
      </c>
      <c r="AR617" s="27" t="s">
        <v>7</v>
      </c>
      <c r="AS617" s="27" t="s">
        <v>8</v>
      </c>
      <c r="AT617" s="27" t="s">
        <v>7</v>
      </c>
      <c r="AU617" s="27" t="s">
        <v>8</v>
      </c>
      <c r="AV617" s="27" t="s">
        <v>7</v>
      </c>
      <c r="AW617" s="27" t="s">
        <v>8</v>
      </c>
      <c r="AX617" s="27" t="s">
        <v>7</v>
      </c>
      <c r="AY617" s="27" t="s">
        <v>8</v>
      </c>
      <c r="CC617" s="27" t="s">
        <v>8</v>
      </c>
      <c r="CD617" s="27" t="s">
        <v>7</v>
      </c>
      <c r="CE617" s="27" t="s">
        <v>8</v>
      </c>
      <c r="CF617" s="27" t="s">
        <v>7</v>
      </c>
      <c r="CG617" s="27" t="s">
        <v>8</v>
      </c>
      <c r="CH617" s="27" t="s">
        <v>7</v>
      </c>
      <c r="CI617" s="27" t="s">
        <v>8</v>
      </c>
      <c r="CJ617" s="27" t="s">
        <v>7</v>
      </c>
      <c r="CK617" s="27" t="s">
        <v>8</v>
      </c>
      <c r="EN617" s="27" t="s">
        <v>7</v>
      </c>
      <c r="EO617" s="27" t="s">
        <v>8</v>
      </c>
      <c r="ER617" s="27" t="s">
        <v>7</v>
      </c>
      <c r="ES617" s="27" t="s">
        <v>8</v>
      </c>
      <c r="ET617" s="27" t="s">
        <v>7</v>
      </c>
      <c r="EV617" s="27" t="s">
        <v>7</v>
      </c>
      <c r="EW617" s="27" t="s">
        <v>8</v>
      </c>
      <c r="EZ617" s="27" t="s">
        <v>7</v>
      </c>
      <c r="FA617" s="27" t="s">
        <v>8</v>
      </c>
      <c r="FB617" s="27" t="s">
        <v>7</v>
      </c>
      <c r="FC617" s="27" t="s">
        <v>8</v>
      </c>
      <c r="FD617" s="27" t="s">
        <v>7</v>
      </c>
      <c r="FE617" s="27" t="s">
        <v>8</v>
      </c>
      <c r="FF617" s="27" t="s">
        <v>7</v>
      </c>
      <c r="FY617" s="27" t="s">
        <v>8</v>
      </c>
      <c r="GA617" s="27" t="s">
        <v>8</v>
      </c>
      <c r="GB617" s="27" t="s">
        <v>7</v>
      </c>
      <c r="GC617" s="27" t="s">
        <v>8</v>
      </c>
      <c r="JJ617" s="27" t="s">
        <v>7</v>
      </c>
      <c r="JK617" s="27" t="s">
        <v>8</v>
      </c>
    </row>
    <row r="618" spans="1:272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AK618" s="27" t="s">
        <v>8</v>
      </c>
      <c r="AL618" s="27" t="s">
        <v>7</v>
      </c>
      <c r="AO618" s="27" t="s">
        <v>8</v>
      </c>
      <c r="AQ618" s="27" t="s">
        <v>8</v>
      </c>
      <c r="AR618" s="27" t="s">
        <v>7</v>
      </c>
      <c r="AS618" s="27" t="s">
        <v>8</v>
      </c>
      <c r="AT618" s="27" t="s">
        <v>7</v>
      </c>
      <c r="AU618" s="27" t="s">
        <v>8</v>
      </c>
      <c r="AV618" s="27" t="s">
        <v>7</v>
      </c>
      <c r="AW618" s="27" t="s">
        <v>8</v>
      </c>
      <c r="AX618" s="27" t="s">
        <v>7</v>
      </c>
      <c r="AY618" s="27" t="s">
        <v>8</v>
      </c>
      <c r="AZ618" s="27" t="s">
        <v>7</v>
      </c>
      <c r="CC618" s="27" t="s">
        <v>8</v>
      </c>
      <c r="CD618" s="27" t="s">
        <v>7</v>
      </c>
      <c r="CE618" s="27" t="s">
        <v>8</v>
      </c>
      <c r="CF618" s="27" t="s">
        <v>7</v>
      </c>
      <c r="CG618" s="27" t="s">
        <v>8</v>
      </c>
      <c r="CH618" s="27" t="s">
        <v>7</v>
      </c>
      <c r="CI618" s="27" t="s">
        <v>8</v>
      </c>
      <c r="CJ618" s="27" t="s">
        <v>7</v>
      </c>
      <c r="CK618" s="27" t="s">
        <v>8</v>
      </c>
      <c r="EN618" s="27" t="s">
        <v>7</v>
      </c>
      <c r="EO618" s="27" t="s">
        <v>8</v>
      </c>
      <c r="ER618" s="27" t="s">
        <v>7</v>
      </c>
      <c r="ES618" s="27" t="s">
        <v>8</v>
      </c>
      <c r="EV618" s="27" t="s">
        <v>7</v>
      </c>
      <c r="EW618" s="27" t="s">
        <v>8</v>
      </c>
      <c r="EZ618" s="27" t="s">
        <v>7</v>
      </c>
      <c r="FA618" s="27" t="s">
        <v>8</v>
      </c>
      <c r="FB618" s="27" t="s">
        <v>7</v>
      </c>
      <c r="FC618" s="27" t="s">
        <v>8</v>
      </c>
      <c r="FD618" s="27" t="s">
        <v>7</v>
      </c>
      <c r="FE618" s="27" t="s">
        <v>8</v>
      </c>
      <c r="FF618" s="27" t="s">
        <v>7</v>
      </c>
      <c r="FY618" s="27" t="s">
        <v>8</v>
      </c>
      <c r="FZ618" s="27" t="s">
        <v>7</v>
      </c>
      <c r="GA618" s="27" t="s">
        <v>8</v>
      </c>
      <c r="GB618" s="27" t="s">
        <v>7</v>
      </c>
      <c r="GC618" s="27" t="s">
        <v>8</v>
      </c>
      <c r="JJ618" s="27" t="s">
        <v>7</v>
      </c>
    </row>
    <row r="619" spans="1:272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J619" s="27" t="s">
        <v>7</v>
      </c>
      <c r="K619" s="27" t="s">
        <v>8</v>
      </c>
      <c r="L619" s="27" t="s">
        <v>7</v>
      </c>
      <c r="AK619" s="27" t="s">
        <v>8</v>
      </c>
      <c r="AL619" s="27" t="s">
        <v>7</v>
      </c>
      <c r="AO619" s="27" t="s">
        <v>8</v>
      </c>
      <c r="AP619" s="27" t="s">
        <v>7</v>
      </c>
      <c r="AQ619" s="27" t="s">
        <v>8</v>
      </c>
      <c r="AR619" s="27" t="s">
        <v>7</v>
      </c>
      <c r="AS619" s="27" t="s">
        <v>8</v>
      </c>
      <c r="AT619" s="27" t="s">
        <v>7</v>
      </c>
      <c r="AU619" s="27" t="s">
        <v>8</v>
      </c>
      <c r="AV619" s="27" t="s">
        <v>7</v>
      </c>
      <c r="AX619" s="27" t="s">
        <v>7</v>
      </c>
      <c r="AY619" s="27" t="s">
        <v>8</v>
      </c>
      <c r="AZ619" s="27" t="s">
        <v>7</v>
      </c>
      <c r="CC619" s="27" t="s">
        <v>8</v>
      </c>
      <c r="CD619" s="27" t="s">
        <v>7</v>
      </c>
      <c r="CE619" s="27" t="s">
        <v>8</v>
      </c>
      <c r="CF619" s="27" t="s">
        <v>7</v>
      </c>
      <c r="CG619" s="27" t="s">
        <v>8</v>
      </c>
      <c r="CH619" s="27" t="s">
        <v>7</v>
      </c>
      <c r="CJ619" s="27" t="s">
        <v>7</v>
      </c>
      <c r="CK619" s="27" t="s">
        <v>8</v>
      </c>
      <c r="EN619" s="27" t="s">
        <v>7</v>
      </c>
      <c r="ER619" s="27" t="s">
        <v>7</v>
      </c>
      <c r="ES619" s="27" t="s">
        <v>8</v>
      </c>
      <c r="EV619" s="27" t="s">
        <v>7</v>
      </c>
      <c r="EW619" s="27" t="s">
        <v>8</v>
      </c>
      <c r="EZ619" s="27" t="s">
        <v>7</v>
      </c>
      <c r="FA619" s="27" t="s">
        <v>8</v>
      </c>
      <c r="FB619" s="27" t="s">
        <v>7</v>
      </c>
      <c r="FC619" s="27" t="s">
        <v>8</v>
      </c>
      <c r="FD619" s="27" t="s">
        <v>7</v>
      </c>
      <c r="FF619" s="27" t="s">
        <v>7</v>
      </c>
      <c r="FY619" s="27" t="s">
        <v>8</v>
      </c>
      <c r="FZ619" s="27" t="s">
        <v>7</v>
      </c>
      <c r="GA619" s="27" t="s">
        <v>8</v>
      </c>
      <c r="GB619" s="27" t="s">
        <v>7</v>
      </c>
    </row>
    <row r="620" spans="1:272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L620" s="27" t="s">
        <v>7</v>
      </c>
      <c r="AK620" s="27" t="s">
        <v>8</v>
      </c>
      <c r="AL620" s="27" t="s">
        <v>7</v>
      </c>
      <c r="AO620" s="27" t="s">
        <v>8</v>
      </c>
      <c r="AP620" s="27" t="s">
        <v>7</v>
      </c>
      <c r="AQ620" s="27" t="s">
        <v>8</v>
      </c>
      <c r="AR620" s="27" t="s">
        <v>7</v>
      </c>
      <c r="AS620" s="27" t="s">
        <v>8</v>
      </c>
      <c r="AT620" s="27" t="s">
        <v>7</v>
      </c>
      <c r="AU620" s="27" t="s">
        <v>8</v>
      </c>
      <c r="AX620" s="27" t="s">
        <v>7</v>
      </c>
      <c r="AY620" s="27" t="s">
        <v>8</v>
      </c>
      <c r="AZ620" s="27" t="s">
        <v>7</v>
      </c>
      <c r="CC620" s="27" t="s">
        <v>8</v>
      </c>
      <c r="CD620" s="27" t="s">
        <v>7</v>
      </c>
      <c r="CE620" s="27" t="s">
        <v>8</v>
      </c>
      <c r="CF620" s="27" t="s">
        <v>7</v>
      </c>
      <c r="CG620" s="27" t="s">
        <v>8</v>
      </c>
      <c r="CJ620" s="27" t="s">
        <v>7</v>
      </c>
      <c r="ER620" s="27" t="s">
        <v>7</v>
      </c>
      <c r="ES620" s="27" t="s">
        <v>8</v>
      </c>
      <c r="EV620" s="27" t="s">
        <v>7</v>
      </c>
      <c r="EW620" s="27" t="s">
        <v>8</v>
      </c>
      <c r="EZ620" s="27" t="s">
        <v>7</v>
      </c>
      <c r="FB620" s="27" t="s">
        <v>7</v>
      </c>
      <c r="FC620" s="27" t="s">
        <v>8</v>
      </c>
      <c r="FF620" s="27" t="s">
        <v>7</v>
      </c>
      <c r="FY620" s="27" t="s">
        <v>8</v>
      </c>
      <c r="FZ620" s="27" t="s">
        <v>7</v>
      </c>
      <c r="GA620" s="27" t="s">
        <v>8</v>
      </c>
    </row>
    <row r="621" spans="1:272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I621" s="27" t="s">
        <v>8</v>
      </c>
      <c r="L621" s="27" t="s">
        <v>7</v>
      </c>
      <c r="AK621" s="27" t="s">
        <v>8</v>
      </c>
      <c r="AL621" s="27" t="s">
        <v>7</v>
      </c>
      <c r="AM621" s="27" t="s">
        <v>8</v>
      </c>
      <c r="AO621" s="27" t="s">
        <v>8</v>
      </c>
      <c r="AP621" s="27" t="s">
        <v>7</v>
      </c>
      <c r="AQ621" s="27" t="s">
        <v>8</v>
      </c>
      <c r="AR621" s="27" t="s">
        <v>7</v>
      </c>
      <c r="AT621" s="27" t="s">
        <v>7</v>
      </c>
      <c r="AX621" s="27" t="s">
        <v>7</v>
      </c>
      <c r="AY621" s="27" t="s">
        <v>8</v>
      </c>
      <c r="AZ621" s="27" t="s">
        <v>7</v>
      </c>
      <c r="BC621" s="27" t="s">
        <v>8</v>
      </c>
      <c r="CC621" s="27" t="s">
        <v>8</v>
      </c>
      <c r="CD621" s="27" t="s">
        <v>7</v>
      </c>
      <c r="CE621" s="27" t="s">
        <v>8</v>
      </c>
      <c r="CF621" s="27" t="s">
        <v>7</v>
      </c>
      <c r="CG621" s="27" t="s">
        <v>8</v>
      </c>
      <c r="ER621" s="27" t="s">
        <v>7</v>
      </c>
      <c r="ES621" s="27" t="s">
        <v>8</v>
      </c>
      <c r="EV621" s="27" t="s">
        <v>7</v>
      </c>
      <c r="FB621" s="27" t="s">
        <v>7</v>
      </c>
      <c r="FC621" s="27" t="s">
        <v>8</v>
      </c>
      <c r="FF621" s="27" t="s">
        <v>7</v>
      </c>
      <c r="FY621" s="27" t="s">
        <v>8</v>
      </c>
      <c r="FZ621" s="27" t="s">
        <v>7</v>
      </c>
      <c r="GA621" s="27" t="s">
        <v>8</v>
      </c>
    </row>
    <row r="622" spans="1:272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I622" s="27" t="s">
        <v>8</v>
      </c>
      <c r="L622" s="27" t="s">
        <v>7</v>
      </c>
      <c r="AK622" s="27" t="s">
        <v>8</v>
      </c>
      <c r="AL622" s="27" t="s">
        <v>7</v>
      </c>
      <c r="AM622" s="27" t="s">
        <v>8</v>
      </c>
      <c r="AN622" s="27" t="s">
        <v>7</v>
      </c>
      <c r="AO622" s="27" t="s">
        <v>8</v>
      </c>
      <c r="AP622" s="27" t="s">
        <v>7</v>
      </c>
      <c r="AQ622" s="27" t="s">
        <v>8</v>
      </c>
      <c r="AX622" s="27" t="s">
        <v>7</v>
      </c>
      <c r="AY622" s="27" t="s">
        <v>8</v>
      </c>
      <c r="AZ622" s="27" t="s">
        <v>7</v>
      </c>
      <c r="BA622" s="27" t="s">
        <v>8</v>
      </c>
      <c r="BC622" s="27" t="s">
        <v>8</v>
      </c>
      <c r="BD622" s="27" t="s">
        <v>7</v>
      </c>
      <c r="CC622" s="27" t="s">
        <v>8</v>
      </c>
      <c r="CD622" s="27" t="s">
        <v>7</v>
      </c>
      <c r="CE622" s="27" t="s">
        <v>8</v>
      </c>
      <c r="CF622" s="27" t="s">
        <v>7</v>
      </c>
      <c r="CG622" s="27" t="s">
        <v>8</v>
      </c>
      <c r="ER622" s="27" t="s">
        <v>7</v>
      </c>
      <c r="ES622" s="27" t="s">
        <v>8</v>
      </c>
      <c r="FB622" s="27" t="s">
        <v>7</v>
      </c>
      <c r="FC622" s="27" t="s">
        <v>8</v>
      </c>
      <c r="FF622" s="27" t="s">
        <v>7</v>
      </c>
      <c r="FK622" s="27" t="s">
        <v>8</v>
      </c>
      <c r="FY622" s="27" t="s">
        <v>8</v>
      </c>
      <c r="FZ622" s="27" t="s">
        <v>7</v>
      </c>
    </row>
    <row r="623" spans="1:272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I623" s="27" t="s">
        <v>8</v>
      </c>
      <c r="L623" s="27" t="s">
        <v>7</v>
      </c>
      <c r="AK623" s="27" t="s">
        <v>8</v>
      </c>
      <c r="AL623" s="27" t="s">
        <v>7</v>
      </c>
      <c r="AM623" s="27" t="s">
        <v>8</v>
      </c>
      <c r="AN623" s="27" t="s">
        <v>7</v>
      </c>
      <c r="AO623" s="27" t="s">
        <v>8</v>
      </c>
      <c r="AP623" s="27" t="s">
        <v>7</v>
      </c>
      <c r="AQ623" s="27" t="s">
        <v>8</v>
      </c>
      <c r="AX623" s="27" t="s">
        <v>7</v>
      </c>
      <c r="AY623" s="27" t="s">
        <v>8</v>
      </c>
      <c r="AZ623" s="27" t="s">
        <v>7</v>
      </c>
      <c r="BA623" s="27" t="s">
        <v>8</v>
      </c>
      <c r="BB623" s="27" t="s">
        <v>7</v>
      </c>
      <c r="BC623" s="27" t="s">
        <v>8</v>
      </c>
      <c r="BD623" s="27" t="s">
        <v>7</v>
      </c>
      <c r="BY623" s="27" t="s">
        <v>8</v>
      </c>
      <c r="CC623" s="27" t="s">
        <v>8</v>
      </c>
      <c r="CD623" s="27" t="s">
        <v>7</v>
      </c>
      <c r="CE623" s="27" t="s">
        <v>8</v>
      </c>
      <c r="CF623" s="27" t="s">
        <v>7</v>
      </c>
      <c r="CG623" s="27" t="s">
        <v>8</v>
      </c>
      <c r="ER623" s="27" t="s">
        <v>7</v>
      </c>
      <c r="ES623" s="27" t="s">
        <v>8</v>
      </c>
      <c r="FB623" s="27" t="s">
        <v>7</v>
      </c>
      <c r="FC623" s="27" t="s">
        <v>8</v>
      </c>
      <c r="FF623" s="27" t="s">
        <v>7</v>
      </c>
      <c r="FK623" s="27" t="s">
        <v>8</v>
      </c>
      <c r="FL623" s="27" t="s">
        <v>7</v>
      </c>
      <c r="FY623" s="27" t="s">
        <v>8</v>
      </c>
    </row>
    <row r="624" spans="1:272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L624" s="27" t="s">
        <v>7</v>
      </c>
      <c r="AK624" s="27" t="s">
        <v>8</v>
      </c>
      <c r="AL624" s="27" t="s">
        <v>7</v>
      </c>
      <c r="AM624" s="27" t="s">
        <v>8</v>
      </c>
      <c r="AN624" s="27" t="s">
        <v>7</v>
      </c>
      <c r="AO624" s="27" t="s">
        <v>8</v>
      </c>
      <c r="AP624" s="27" t="s">
        <v>7</v>
      </c>
      <c r="AQ624" s="27" t="s">
        <v>8</v>
      </c>
      <c r="AX624" s="27" t="s">
        <v>7</v>
      </c>
      <c r="AY624" s="27" t="s">
        <v>8</v>
      </c>
      <c r="AZ624" s="27" t="s">
        <v>7</v>
      </c>
      <c r="BA624" s="27" t="s">
        <v>8</v>
      </c>
      <c r="BB624" s="27" t="s">
        <v>7</v>
      </c>
      <c r="BC624" s="27" t="s">
        <v>8</v>
      </c>
      <c r="BD624" s="27" t="s">
        <v>7</v>
      </c>
      <c r="BM624" s="27" t="s">
        <v>8</v>
      </c>
      <c r="BY624" s="27" t="s">
        <v>8</v>
      </c>
      <c r="BZ624" s="27" t="s">
        <v>7</v>
      </c>
      <c r="CA624" s="27" t="s">
        <v>8</v>
      </c>
      <c r="CC624" s="27" t="s">
        <v>8</v>
      </c>
      <c r="CD624" s="27" t="s">
        <v>7</v>
      </c>
      <c r="CE624" s="27" t="s">
        <v>8</v>
      </c>
      <c r="CF624" s="27" t="s">
        <v>7</v>
      </c>
      <c r="ER624" s="27" t="s">
        <v>7</v>
      </c>
      <c r="ES624" s="27" t="s">
        <v>8</v>
      </c>
      <c r="FB624" s="27" t="s">
        <v>7</v>
      </c>
      <c r="FC624" s="27" t="s">
        <v>8</v>
      </c>
      <c r="FF624" s="27" t="s">
        <v>7</v>
      </c>
      <c r="FK624" s="27" t="s">
        <v>8</v>
      </c>
      <c r="FL624" s="27" t="s">
        <v>7</v>
      </c>
      <c r="FY624" s="27" t="s">
        <v>8</v>
      </c>
    </row>
    <row r="625" spans="1:181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L625" s="27" t="s">
        <v>7</v>
      </c>
      <c r="AK625" s="27" t="s">
        <v>8</v>
      </c>
      <c r="AL625" s="27" t="s">
        <v>7</v>
      </c>
      <c r="AM625" s="27" t="s">
        <v>8</v>
      </c>
      <c r="AN625" s="27" t="s">
        <v>7</v>
      </c>
      <c r="AO625" s="27" t="s">
        <v>8</v>
      </c>
      <c r="AP625" s="27" t="s">
        <v>7</v>
      </c>
      <c r="AX625" s="27" t="s">
        <v>7</v>
      </c>
      <c r="AZ625" s="27" t="s">
        <v>7</v>
      </c>
      <c r="BA625" s="27" t="s">
        <v>8</v>
      </c>
      <c r="BB625" s="27" t="s">
        <v>7</v>
      </c>
      <c r="BC625" s="27" t="s">
        <v>8</v>
      </c>
      <c r="BD625" s="27" t="s">
        <v>7</v>
      </c>
      <c r="BM625" s="27" t="s">
        <v>8</v>
      </c>
      <c r="BN625" s="27" t="s">
        <v>7</v>
      </c>
      <c r="BY625" s="27" t="s">
        <v>8</v>
      </c>
      <c r="BZ625" s="27" t="s">
        <v>7</v>
      </c>
      <c r="CA625" s="27" t="s">
        <v>8</v>
      </c>
      <c r="CB625" s="27" t="s">
        <v>7</v>
      </c>
      <c r="CC625" s="27" t="s">
        <v>8</v>
      </c>
      <c r="CD625" s="27" t="s">
        <v>7</v>
      </c>
      <c r="CE625" s="27" t="s">
        <v>8</v>
      </c>
      <c r="ER625" s="27" t="s">
        <v>7</v>
      </c>
      <c r="ES625" s="27" t="s">
        <v>8</v>
      </c>
      <c r="FB625" s="27" t="s">
        <v>7</v>
      </c>
      <c r="FC625" s="27" t="s">
        <v>8</v>
      </c>
      <c r="FF625" s="27" t="s">
        <v>7</v>
      </c>
      <c r="FK625" s="27" t="s">
        <v>8</v>
      </c>
      <c r="FL625" s="27" t="s">
        <v>7</v>
      </c>
      <c r="FY625" s="27" t="s">
        <v>8</v>
      </c>
    </row>
    <row r="626" spans="1:181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L626" s="27" t="s">
        <v>7</v>
      </c>
      <c r="AK626" s="27" t="s">
        <v>8</v>
      </c>
      <c r="AL626" s="27" t="s">
        <v>7</v>
      </c>
      <c r="AM626" s="27" t="s">
        <v>8</v>
      </c>
      <c r="AN626" s="27" t="s">
        <v>7</v>
      </c>
      <c r="AO626" s="27" t="s">
        <v>8</v>
      </c>
      <c r="AZ626" s="27" t="s">
        <v>7</v>
      </c>
      <c r="BA626" s="27" t="s">
        <v>8</v>
      </c>
      <c r="BB626" s="27" t="s">
        <v>7</v>
      </c>
      <c r="BC626" s="27" t="s">
        <v>8</v>
      </c>
      <c r="BD626" s="27" t="s">
        <v>7</v>
      </c>
      <c r="BE626" s="27" t="s">
        <v>8</v>
      </c>
      <c r="BM626" s="27" t="s">
        <v>8</v>
      </c>
      <c r="BN626" s="27" t="s">
        <v>7</v>
      </c>
      <c r="BY626" s="27" t="s">
        <v>8</v>
      </c>
      <c r="BZ626" s="27" t="s">
        <v>7</v>
      </c>
      <c r="CA626" s="27" t="s">
        <v>8</v>
      </c>
      <c r="CB626" s="27" t="s">
        <v>7</v>
      </c>
      <c r="CC626" s="27" t="s">
        <v>8</v>
      </c>
      <c r="CD626" s="27" t="s">
        <v>7</v>
      </c>
      <c r="CE626" s="27" t="s">
        <v>8</v>
      </c>
      <c r="ER626" s="27" t="s">
        <v>7</v>
      </c>
      <c r="ES626" s="27" t="s">
        <v>8</v>
      </c>
      <c r="FB626" s="27" t="s">
        <v>7</v>
      </c>
      <c r="FF626" s="27" t="s">
        <v>7</v>
      </c>
      <c r="FI626" s="27" t="s">
        <v>8</v>
      </c>
      <c r="FK626" s="27" t="s">
        <v>8</v>
      </c>
      <c r="FL626" s="27" t="s">
        <v>7</v>
      </c>
      <c r="FU626" s="27" t="s">
        <v>8</v>
      </c>
      <c r="FY626" s="27" t="s">
        <v>8</v>
      </c>
    </row>
    <row r="627" spans="1:181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L627" s="27" t="s">
        <v>7</v>
      </c>
      <c r="Q627" s="27" t="s">
        <v>8</v>
      </c>
      <c r="AK627" s="27" t="s">
        <v>8</v>
      </c>
      <c r="AL627" s="27" t="s">
        <v>7</v>
      </c>
      <c r="AM627" s="27" t="s">
        <v>8</v>
      </c>
      <c r="AN627" s="27" t="s">
        <v>7</v>
      </c>
      <c r="AO627" s="27" t="s">
        <v>8</v>
      </c>
      <c r="AZ627" s="27" t="s">
        <v>7</v>
      </c>
      <c r="BA627" s="27" t="s">
        <v>8</v>
      </c>
      <c r="BB627" s="27" t="s">
        <v>7</v>
      </c>
      <c r="BC627" s="27" t="s">
        <v>8</v>
      </c>
      <c r="BD627" s="27" t="s">
        <v>7</v>
      </c>
      <c r="BE627" s="27" t="s">
        <v>8</v>
      </c>
      <c r="BF627" s="27" t="s">
        <v>7</v>
      </c>
      <c r="BK627" s="27" t="s">
        <v>8</v>
      </c>
      <c r="BM627" s="27" t="s">
        <v>8</v>
      </c>
      <c r="BN627" s="27" t="s">
        <v>7</v>
      </c>
      <c r="BO627" s="27" t="s">
        <v>8</v>
      </c>
      <c r="BY627" s="27" t="s">
        <v>8</v>
      </c>
      <c r="BZ627" s="27" t="s">
        <v>7</v>
      </c>
      <c r="CA627" s="27" t="s">
        <v>8</v>
      </c>
      <c r="CB627" s="27" t="s">
        <v>7</v>
      </c>
      <c r="CC627" s="27" t="s">
        <v>8</v>
      </c>
      <c r="CD627" s="27" t="s">
        <v>7</v>
      </c>
      <c r="CE627" s="27" t="s">
        <v>8</v>
      </c>
      <c r="ER627" s="27" t="s">
        <v>7</v>
      </c>
      <c r="ES627" s="27" t="s">
        <v>8</v>
      </c>
      <c r="FF627" s="27" t="s">
        <v>7</v>
      </c>
      <c r="FI627" s="27" t="s">
        <v>8</v>
      </c>
      <c r="FJ627" s="27" t="s">
        <v>7</v>
      </c>
      <c r="FK627" s="27" t="s">
        <v>8</v>
      </c>
      <c r="FL627" s="27" t="s">
        <v>7</v>
      </c>
      <c r="FM627" s="27" t="s">
        <v>8</v>
      </c>
      <c r="FU627" s="27" t="s">
        <v>8</v>
      </c>
      <c r="FV627" s="27" t="s">
        <v>7</v>
      </c>
      <c r="FW627" s="27" t="s">
        <v>8</v>
      </c>
      <c r="FY627" s="27" t="s">
        <v>8</v>
      </c>
    </row>
    <row r="628" spans="1:181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L628" s="27" t="s">
        <v>7</v>
      </c>
      <c r="M628" s="27" t="s">
        <v>8</v>
      </c>
      <c r="Q628" s="27" t="s">
        <v>8</v>
      </c>
      <c r="R628" s="27" t="s">
        <v>7</v>
      </c>
      <c r="AK628" s="27" t="s">
        <v>8</v>
      </c>
      <c r="AL628" s="27" t="s">
        <v>7</v>
      </c>
      <c r="AM628" s="27" t="s">
        <v>8</v>
      </c>
      <c r="AN628" s="27" t="s">
        <v>7</v>
      </c>
      <c r="AO628" s="27" t="s">
        <v>8</v>
      </c>
      <c r="AZ628" s="27" t="s">
        <v>7</v>
      </c>
      <c r="BA628" s="27" t="s">
        <v>8</v>
      </c>
      <c r="BB628" s="27" t="s">
        <v>7</v>
      </c>
      <c r="BD628" s="27" t="s">
        <v>7</v>
      </c>
      <c r="BE628" s="27" t="s">
        <v>8</v>
      </c>
      <c r="BF628" s="27" t="s">
        <v>7</v>
      </c>
      <c r="BK628" s="27" t="s">
        <v>8</v>
      </c>
      <c r="BL628" s="27" t="s">
        <v>7</v>
      </c>
      <c r="BM628" s="27" t="s">
        <v>8</v>
      </c>
      <c r="BN628" s="27" t="s">
        <v>7</v>
      </c>
      <c r="BO628" s="27" t="s">
        <v>8</v>
      </c>
      <c r="BP628" s="27" t="s">
        <v>7</v>
      </c>
      <c r="BY628" s="27" t="s">
        <v>8</v>
      </c>
      <c r="BZ628" s="27" t="s">
        <v>7</v>
      </c>
      <c r="CA628" s="27" t="s">
        <v>8</v>
      </c>
      <c r="CB628" s="27" t="s">
        <v>7</v>
      </c>
      <c r="CC628" s="27" t="s">
        <v>8</v>
      </c>
      <c r="CD628" s="27" t="s">
        <v>7</v>
      </c>
      <c r="ER628" s="27" t="s">
        <v>7</v>
      </c>
      <c r="ES628" s="27" t="s">
        <v>8</v>
      </c>
      <c r="FF628" s="27" t="s">
        <v>7</v>
      </c>
      <c r="FG628" s="27" t="s">
        <v>8</v>
      </c>
      <c r="FI628" s="27" t="s">
        <v>8</v>
      </c>
      <c r="FJ628" s="27" t="s">
        <v>7</v>
      </c>
      <c r="FK628" s="27" t="s">
        <v>8</v>
      </c>
      <c r="FL628" s="27" t="s">
        <v>7</v>
      </c>
      <c r="FM628" s="27" t="s">
        <v>8</v>
      </c>
      <c r="FN628" s="27" t="s">
        <v>7</v>
      </c>
      <c r="FU628" s="27" t="s">
        <v>8</v>
      </c>
      <c r="FV628" s="27" t="s">
        <v>7</v>
      </c>
      <c r="FW628" s="27" t="s">
        <v>8</v>
      </c>
      <c r="FX628" s="27" t="s">
        <v>7</v>
      </c>
      <c r="FY628" s="27" t="s">
        <v>8</v>
      </c>
    </row>
    <row r="629" spans="1:181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L629" s="27" t="s">
        <v>7</v>
      </c>
      <c r="M629" s="27" t="s">
        <v>8</v>
      </c>
      <c r="N629" s="27" t="s">
        <v>7</v>
      </c>
      <c r="Q629" s="27" t="s">
        <v>8</v>
      </c>
      <c r="R629" s="27" t="s">
        <v>7</v>
      </c>
      <c r="AK629" s="27" t="s">
        <v>8</v>
      </c>
      <c r="AL629" s="27" t="s">
        <v>7</v>
      </c>
      <c r="AM629" s="27" t="s">
        <v>8</v>
      </c>
      <c r="AN629" s="27" t="s">
        <v>7</v>
      </c>
      <c r="AO629" s="27" t="s">
        <v>8</v>
      </c>
      <c r="AZ629" s="27" t="s">
        <v>7</v>
      </c>
      <c r="BA629" s="27" t="s">
        <v>8</v>
      </c>
      <c r="BD629" s="27" t="s">
        <v>7</v>
      </c>
      <c r="BF629" s="27" t="s">
        <v>7</v>
      </c>
      <c r="BK629" s="27" t="s">
        <v>8</v>
      </c>
      <c r="BL629" s="27" t="s">
        <v>7</v>
      </c>
      <c r="BM629" s="27" t="s">
        <v>8</v>
      </c>
      <c r="BN629" s="27" t="s">
        <v>7</v>
      </c>
      <c r="BO629" s="27" t="s">
        <v>8</v>
      </c>
      <c r="BP629" s="27" t="s">
        <v>7</v>
      </c>
      <c r="BY629" s="27" t="s">
        <v>8</v>
      </c>
      <c r="BZ629" s="27" t="s">
        <v>7</v>
      </c>
      <c r="CA629" s="27" t="s">
        <v>8</v>
      </c>
      <c r="CB629" s="27" t="s">
        <v>7</v>
      </c>
      <c r="CC629" s="27" t="s">
        <v>8</v>
      </c>
      <c r="ER629" s="27" t="s">
        <v>7</v>
      </c>
      <c r="ES629" s="27" t="s">
        <v>8</v>
      </c>
      <c r="FF629" s="27" t="s">
        <v>7</v>
      </c>
      <c r="FG629" s="27" t="s">
        <v>8</v>
      </c>
      <c r="FH629" s="27" t="s">
        <v>7</v>
      </c>
      <c r="FI629" s="27" t="s">
        <v>8</v>
      </c>
      <c r="FJ629" s="27" t="s">
        <v>7</v>
      </c>
      <c r="FK629" s="27" t="s">
        <v>8</v>
      </c>
      <c r="FL629" s="27" t="s">
        <v>7</v>
      </c>
      <c r="FM629" s="27" t="s">
        <v>8</v>
      </c>
      <c r="FN629" s="27" t="s">
        <v>7</v>
      </c>
      <c r="FU629" s="27" t="s">
        <v>8</v>
      </c>
      <c r="FV629" s="27" t="s">
        <v>7</v>
      </c>
      <c r="FW629" s="27" t="s">
        <v>8</v>
      </c>
      <c r="FX629" s="27" t="s">
        <v>7</v>
      </c>
      <c r="FY629" s="27" t="s">
        <v>8</v>
      </c>
    </row>
    <row r="630" spans="1:181" x14ac:dyDescent="0.25">
      <c r="A630" s="7">
        <v>0.4267687533313323</v>
      </c>
      <c r="B630"/>
      <c r="C630"/>
      <c r="D630"/>
      <c r="E630"/>
      <c r="F630" s="27" t="s">
        <v>7</v>
      </c>
      <c r="L630" s="27" t="s">
        <v>7</v>
      </c>
      <c r="M630" s="27" t="s">
        <v>8</v>
      </c>
      <c r="N630" s="27" t="s">
        <v>7</v>
      </c>
      <c r="Q630" s="27" t="s">
        <v>8</v>
      </c>
      <c r="R630" s="27" t="s">
        <v>7</v>
      </c>
      <c r="W630" s="27" t="s">
        <v>8</v>
      </c>
      <c r="AK630" s="27" t="s">
        <v>8</v>
      </c>
      <c r="AL630" s="27" t="s">
        <v>7</v>
      </c>
      <c r="AM630" s="27" t="s">
        <v>8</v>
      </c>
      <c r="AN630" s="27" t="s">
        <v>7</v>
      </c>
      <c r="AO630" s="27" t="s">
        <v>8</v>
      </c>
      <c r="AZ630" s="27" t="s">
        <v>7</v>
      </c>
      <c r="BA630" s="27" t="s">
        <v>8</v>
      </c>
      <c r="BF630" s="27" t="s">
        <v>7</v>
      </c>
      <c r="BK630" s="27" t="s">
        <v>8</v>
      </c>
      <c r="BL630" s="27" t="s">
        <v>7</v>
      </c>
      <c r="BM630" s="27" t="s">
        <v>8</v>
      </c>
      <c r="BN630" s="27" t="s">
        <v>7</v>
      </c>
      <c r="BO630" s="27" t="s">
        <v>8</v>
      </c>
      <c r="BP630" s="27" t="s">
        <v>7</v>
      </c>
      <c r="BY630" s="27" t="s">
        <v>8</v>
      </c>
      <c r="BZ630" s="27" t="s">
        <v>7</v>
      </c>
      <c r="CA630" s="27" t="s">
        <v>8</v>
      </c>
      <c r="CB630" s="27" t="s">
        <v>7</v>
      </c>
      <c r="CC630" s="27" t="s">
        <v>8</v>
      </c>
      <c r="ER630" s="27" t="s">
        <v>7</v>
      </c>
      <c r="ES630" s="27" t="s">
        <v>8</v>
      </c>
      <c r="FF630" s="27" t="s">
        <v>7</v>
      </c>
      <c r="FG630" s="27" t="s">
        <v>8</v>
      </c>
      <c r="FH630" s="27" t="s">
        <v>7</v>
      </c>
      <c r="FI630" s="27" t="s">
        <v>8</v>
      </c>
      <c r="FJ630" s="27" t="s">
        <v>7</v>
      </c>
      <c r="FK630" s="27" t="s">
        <v>8</v>
      </c>
      <c r="FL630" s="27" t="s">
        <v>7</v>
      </c>
      <c r="FM630" s="27" t="s">
        <v>8</v>
      </c>
      <c r="FN630" s="27" t="s">
        <v>7</v>
      </c>
      <c r="FO630" s="27" t="s">
        <v>8</v>
      </c>
      <c r="FS630" s="27" t="s">
        <v>8</v>
      </c>
      <c r="FU630" s="27" t="s">
        <v>8</v>
      </c>
      <c r="FV630" s="27" t="s">
        <v>7</v>
      </c>
      <c r="FW630" s="27" t="s">
        <v>8</v>
      </c>
      <c r="FX630" s="27" t="s">
        <v>7</v>
      </c>
    </row>
    <row r="631" spans="1:181" x14ac:dyDescent="0.25">
      <c r="A631" s="7">
        <v>0.41840073856012971</v>
      </c>
      <c r="B631"/>
      <c r="C631"/>
      <c r="D631"/>
      <c r="E631"/>
      <c r="L631" s="27" t="s">
        <v>7</v>
      </c>
      <c r="M631" s="27" t="s">
        <v>8</v>
      </c>
      <c r="N631" s="27" t="s">
        <v>7</v>
      </c>
      <c r="Q631" s="27" t="s">
        <v>8</v>
      </c>
      <c r="R631" s="27" t="s">
        <v>7</v>
      </c>
      <c r="W631" s="27" t="s">
        <v>8</v>
      </c>
      <c r="X631" s="27" t="s">
        <v>7</v>
      </c>
      <c r="Y631" s="27" t="s">
        <v>8</v>
      </c>
      <c r="AK631" s="27" t="s">
        <v>8</v>
      </c>
      <c r="AL631" s="27" t="s">
        <v>7</v>
      </c>
      <c r="AM631" s="27" t="s">
        <v>8</v>
      </c>
      <c r="AN631" s="27" t="s">
        <v>7</v>
      </c>
      <c r="AZ631" s="27" t="s">
        <v>7</v>
      </c>
      <c r="BA631" s="27" t="s">
        <v>8</v>
      </c>
      <c r="BF631" s="27" t="s">
        <v>7</v>
      </c>
      <c r="BK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  <c r="BP631" s="27" t="s">
        <v>7</v>
      </c>
      <c r="BY631" s="27" t="s">
        <v>8</v>
      </c>
      <c r="BZ631" s="27" t="s">
        <v>7</v>
      </c>
      <c r="CA631" s="27" t="s">
        <v>8</v>
      </c>
      <c r="CB631" s="27" t="s">
        <v>7</v>
      </c>
      <c r="CC631" s="27" t="s">
        <v>8</v>
      </c>
      <c r="ER631" s="27" t="s">
        <v>7</v>
      </c>
      <c r="ES631" s="27" t="s">
        <v>8</v>
      </c>
      <c r="FF631" s="27" t="s">
        <v>7</v>
      </c>
      <c r="FG631" s="27" t="s">
        <v>8</v>
      </c>
      <c r="FH631" s="27" t="s">
        <v>7</v>
      </c>
      <c r="FI631" s="27" t="s">
        <v>8</v>
      </c>
      <c r="FJ631" s="27" t="s">
        <v>7</v>
      </c>
      <c r="FL631" s="27" t="s">
        <v>7</v>
      </c>
      <c r="FM631" s="27" t="s">
        <v>8</v>
      </c>
      <c r="FN631" s="27" t="s">
        <v>7</v>
      </c>
      <c r="FO631" s="27" t="s">
        <v>8</v>
      </c>
      <c r="FP631" s="27" t="s">
        <v>7</v>
      </c>
      <c r="FS631" s="27" t="s">
        <v>8</v>
      </c>
      <c r="FT631" s="27" t="s">
        <v>7</v>
      </c>
      <c r="FU631" s="27" t="s">
        <v>8</v>
      </c>
      <c r="FV631" s="27" t="s">
        <v>7</v>
      </c>
      <c r="FW631" s="27" t="s">
        <v>8</v>
      </c>
    </row>
    <row r="632" spans="1:181" x14ac:dyDescent="0.25">
      <c r="A632" s="7">
        <v>0.41019680250993112</v>
      </c>
      <c r="B632"/>
      <c r="C632"/>
      <c r="D632"/>
      <c r="E632"/>
      <c r="L632" s="27" t="s">
        <v>7</v>
      </c>
      <c r="M632" s="27" t="s">
        <v>8</v>
      </c>
      <c r="N632" s="27" t="s">
        <v>7</v>
      </c>
      <c r="Q632" s="27" t="s">
        <v>8</v>
      </c>
      <c r="R632" s="27" t="s">
        <v>7</v>
      </c>
      <c r="W632" s="27" t="s">
        <v>8</v>
      </c>
      <c r="X632" s="27" t="s">
        <v>7</v>
      </c>
      <c r="Y632" s="27" t="s">
        <v>8</v>
      </c>
      <c r="Z632" s="27" t="s">
        <v>7</v>
      </c>
      <c r="AK632" s="27" t="s">
        <v>8</v>
      </c>
      <c r="AL632" s="27" t="s">
        <v>7</v>
      </c>
      <c r="AZ632" s="27" t="s">
        <v>7</v>
      </c>
      <c r="BA632" s="27" t="s">
        <v>8</v>
      </c>
      <c r="BF632" s="27" t="s">
        <v>7</v>
      </c>
      <c r="BK632" s="27" t="s">
        <v>8</v>
      </c>
      <c r="BL632" s="27" t="s">
        <v>7</v>
      </c>
      <c r="BN632" s="27" t="s">
        <v>7</v>
      </c>
      <c r="BP632" s="27" t="s">
        <v>7</v>
      </c>
      <c r="BY632" s="27" t="s">
        <v>8</v>
      </c>
      <c r="BZ632" s="27" t="s">
        <v>7</v>
      </c>
      <c r="CA632" s="27" t="s">
        <v>8</v>
      </c>
      <c r="CB632" s="27" t="s">
        <v>7</v>
      </c>
      <c r="CC632" s="27" t="s">
        <v>8</v>
      </c>
      <c r="ER632" s="27" t="s">
        <v>7</v>
      </c>
      <c r="FF632" s="27" t="s">
        <v>7</v>
      </c>
      <c r="FG632" s="27" t="s">
        <v>8</v>
      </c>
      <c r="FH632" s="27" t="s">
        <v>7</v>
      </c>
      <c r="FI632" s="27" t="s">
        <v>8</v>
      </c>
      <c r="FL632" s="27" t="s">
        <v>7</v>
      </c>
      <c r="FM632" s="27" t="s">
        <v>8</v>
      </c>
      <c r="FN632" s="27" t="s">
        <v>7</v>
      </c>
      <c r="FO632" s="27" t="s">
        <v>8</v>
      </c>
      <c r="FP632" s="27" t="s">
        <v>7</v>
      </c>
      <c r="FS632" s="27" t="s">
        <v>8</v>
      </c>
      <c r="FT632" s="27" t="s">
        <v>7</v>
      </c>
      <c r="FU632" s="27" t="s">
        <v>8</v>
      </c>
      <c r="FV632" s="27" t="s">
        <v>7</v>
      </c>
    </row>
    <row r="633" spans="1:181" x14ac:dyDescent="0.25">
      <c r="A633" s="7">
        <v>0.40215372795091286</v>
      </c>
      <c r="B633"/>
      <c r="C633"/>
      <c r="D633"/>
      <c r="E633"/>
      <c r="L633" s="27" t="s">
        <v>7</v>
      </c>
      <c r="M633" s="27" t="s">
        <v>8</v>
      </c>
      <c r="N633" s="27" t="s">
        <v>7</v>
      </c>
      <c r="Q633" s="27" t="s">
        <v>8</v>
      </c>
      <c r="R633" s="27" t="s">
        <v>7</v>
      </c>
      <c r="W633" s="27" t="s">
        <v>8</v>
      </c>
      <c r="X633" s="27" t="s">
        <v>7</v>
      </c>
      <c r="Y633" s="27" t="s">
        <v>8</v>
      </c>
      <c r="Z633" s="27" t="s">
        <v>7</v>
      </c>
      <c r="AA633" s="27" t="s">
        <v>8</v>
      </c>
      <c r="AK633" s="27" t="s">
        <v>8</v>
      </c>
      <c r="AZ633" s="27" t="s">
        <v>7</v>
      </c>
      <c r="BA633" s="27" t="s">
        <v>8</v>
      </c>
      <c r="BF633" s="27" t="s">
        <v>7</v>
      </c>
      <c r="BI633" s="27" t="s">
        <v>8</v>
      </c>
      <c r="BK633" s="27" t="s">
        <v>8</v>
      </c>
      <c r="BP633" s="27" t="s">
        <v>7</v>
      </c>
      <c r="BY633" s="27" t="s">
        <v>8</v>
      </c>
      <c r="BZ633" s="27" t="s">
        <v>7</v>
      </c>
      <c r="CA633" s="27" t="s">
        <v>8</v>
      </c>
      <c r="CB633" s="27" t="s">
        <v>7</v>
      </c>
      <c r="CC633" s="27" t="s">
        <v>8</v>
      </c>
      <c r="FF633" s="27" t="s">
        <v>7</v>
      </c>
      <c r="FG633" s="27" t="s">
        <v>8</v>
      </c>
      <c r="FH633" s="27" t="s">
        <v>7</v>
      </c>
      <c r="FI633" s="27" t="s">
        <v>8</v>
      </c>
      <c r="FL633" s="27" t="s">
        <v>7</v>
      </c>
      <c r="FN633" s="27" t="s">
        <v>7</v>
      </c>
      <c r="FO633" s="27" t="s">
        <v>8</v>
      </c>
      <c r="FP633" s="27" t="s">
        <v>7</v>
      </c>
      <c r="FQ633" s="27" t="s">
        <v>8</v>
      </c>
      <c r="FS633" s="27" t="s">
        <v>8</v>
      </c>
      <c r="FT633" s="27" t="s">
        <v>7</v>
      </c>
      <c r="FU633" s="27" t="s">
        <v>8</v>
      </c>
    </row>
    <row r="634" spans="1:181" x14ac:dyDescent="0.25">
      <c r="A634" s="7">
        <v>0.39426836073618904</v>
      </c>
      <c r="B634"/>
      <c r="C634"/>
      <c r="D634"/>
      <c r="E634"/>
      <c r="L634" s="27" t="s">
        <v>7</v>
      </c>
      <c r="M634" s="27" t="s">
        <v>8</v>
      </c>
      <c r="N634" s="27" t="s">
        <v>7</v>
      </c>
      <c r="Q634" s="27" t="s">
        <v>8</v>
      </c>
      <c r="R634" s="27" t="s">
        <v>7</v>
      </c>
      <c r="W634" s="27" t="s">
        <v>8</v>
      </c>
      <c r="X634" s="27" t="s">
        <v>7</v>
      </c>
      <c r="Y634" s="27" t="s">
        <v>8</v>
      </c>
      <c r="Z634" s="27" t="s">
        <v>7</v>
      </c>
      <c r="AA634" s="27" t="s">
        <v>8</v>
      </c>
      <c r="AB634" s="27" t="s">
        <v>7</v>
      </c>
      <c r="AK634" s="27" t="s">
        <v>8</v>
      </c>
      <c r="AZ634" s="27" t="s">
        <v>7</v>
      </c>
      <c r="BF634" s="27" t="s">
        <v>7</v>
      </c>
      <c r="BI634" s="27" t="s">
        <v>8</v>
      </c>
      <c r="BJ634" s="27" t="s">
        <v>7</v>
      </c>
      <c r="BK634" s="27" t="s">
        <v>8</v>
      </c>
      <c r="BP634" s="27" t="s">
        <v>7</v>
      </c>
      <c r="BQ634" s="27" t="s">
        <v>8</v>
      </c>
      <c r="BY634" s="27" t="s">
        <v>8</v>
      </c>
      <c r="BZ634" s="27" t="s">
        <v>7</v>
      </c>
      <c r="CA634" s="27" t="s">
        <v>8</v>
      </c>
      <c r="CB634" s="27" t="s">
        <v>7</v>
      </c>
      <c r="CC634" s="27" t="s">
        <v>8</v>
      </c>
      <c r="FF634" s="27" t="s">
        <v>7</v>
      </c>
      <c r="FG634" s="27" t="s">
        <v>8</v>
      </c>
      <c r="FH634" s="27" t="s">
        <v>7</v>
      </c>
      <c r="FI634" s="27" t="s">
        <v>8</v>
      </c>
      <c r="FN634" s="27" t="s">
        <v>7</v>
      </c>
      <c r="FO634" s="27" t="s">
        <v>8</v>
      </c>
      <c r="FP634" s="27" t="s">
        <v>7</v>
      </c>
      <c r="FQ634" s="27" t="s">
        <v>8</v>
      </c>
      <c r="FR634" s="27" t="s">
        <v>7</v>
      </c>
      <c r="FS634" s="27" t="s">
        <v>8</v>
      </c>
      <c r="FT634" s="27" t="s">
        <v>7</v>
      </c>
    </row>
    <row r="635" spans="1:181" x14ac:dyDescent="0.25">
      <c r="A635" s="7">
        <v>0.38653760856489122</v>
      </c>
      <c r="B635"/>
      <c r="C635"/>
      <c r="D635"/>
      <c r="E635"/>
      <c r="L635" s="27" t="s">
        <v>7</v>
      </c>
      <c r="M635" s="27" t="s">
        <v>8</v>
      </c>
      <c r="N635" s="27" t="s">
        <v>7</v>
      </c>
      <c r="O635" s="27" t="s">
        <v>8</v>
      </c>
      <c r="Q635" s="27" t="s">
        <v>8</v>
      </c>
      <c r="R635" s="27" t="s">
        <v>7</v>
      </c>
      <c r="W635" s="27" t="s">
        <v>8</v>
      </c>
      <c r="X635" s="27" t="s">
        <v>7</v>
      </c>
      <c r="Y635" s="27" t="s">
        <v>8</v>
      </c>
      <c r="Z635" s="27" t="s">
        <v>7</v>
      </c>
      <c r="AA635" s="27" t="s">
        <v>8</v>
      </c>
      <c r="AB635" s="27" t="s">
        <v>7</v>
      </c>
      <c r="AG635" s="27" t="s">
        <v>8</v>
      </c>
      <c r="AK635" s="27" t="s">
        <v>8</v>
      </c>
      <c r="BF635" s="27" t="s">
        <v>7</v>
      </c>
      <c r="BG635" s="27" t="s">
        <v>8</v>
      </c>
      <c r="BI635" s="27" t="s">
        <v>8</v>
      </c>
      <c r="BJ635" s="27" t="s">
        <v>7</v>
      </c>
      <c r="BK635" s="27" t="s">
        <v>8</v>
      </c>
      <c r="BP635" s="27" t="s">
        <v>7</v>
      </c>
      <c r="BQ635" s="27" t="s">
        <v>8</v>
      </c>
      <c r="BR635" s="27" t="s">
        <v>7</v>
      </c>
      <c r="BY635" s="27" t="s">
        <v>8</v>
      </c>
      <c r="BZ635" s="27" t="s">
        <v>7</v>
      </c>
      <c r="CB635" s="27" t="s">
        <v>7</v>
      </c>
      <c r="CC635" s="27" t="s">
        <v>8</v>
      </c>
      <c r="FF635" s="27" t="s">
        <v>7</v>
      </c>
      <c r="FG635" s="27" t="s">
        <v>8</v>
      </c>
      <c r="FH635" s="27" t="s">
        <v>7</v>
      </c>
      <c r="FI635" s="27" t="s">
        <v>8</v>
      </c>
      <c r="FN635" s="27" t="s">
        <v>7</v>
      </c>
      <c r="FP635" s="27" t="s">
        <v>7</v>
      </c>
      <c r="FQ635" s="27" t="s">
        <v>8</v>
      </c>
      <c r="FR635" s="27" t="s">
        <v>7</v>
      </c>
      <c r="FS635" s="27" t="s">
        <v>8</v>
      </c>
    </row>
    <row r="636" spans="1:181" x14ac:dyDescent="0.25">
      <c r="A636" s="7">
        <v>0.37895843976950117</v>
      </c>
      <c r="B636"/>
      <c r="C636"/>
      <c r="D636"/>
      <c r="E636"/>
      <c r="L636" s="27" t="s">
        <v>7</v>
      </c>
      <c r="M636" s="27" t="s">
        <v>8</v>
      </c>
      <c r="N636" s="27" t="s">
        <v>7</v>
      </c>
      <c r="O636" s="27" t="s">
        <v>8</v>
      </c>
      <c r="P636" s="27" t="s">
        <v>7</v>
      </c>
      <c r="Q636" s="27" t="s">
        <v>8</v>
      </c>
      <c r="R636" s="27" t="s">
        <v>7</v>
      </c>
      <c r="S636" s="27" t="s">
        <v>8</v>
      </c>
      <c r="U636" s="27" t="s">
        <v>8</v>
      </c>
      <c r="W636" s="27" t="s">
        <v>8</v>
      </c>
      <c r="X636" s="27" t="s">
        <v>7</v>
      </c>
      <c r="Y636" s="27" t="s">
        <v>8</v>
      </c>
      <c r="Z636" s="27" t="s">
        <v>7</v>
      </c>
      <c r="AA636" s="27" t="s">
        <v>8</v>
      </c>
      <c r="AB636" s="27" t="s">
        <v>7</v>
      </c>
      <c r="AE636" s="27" t="s">
        <v>8</v>
      </c>
      <c r="AG636" s="27" t="s">
        <v>8</v>
      </c>
      <c r="AH636" s="27" t="s">
        <v>7</v>
      </c>
      <c r="AI636" s="27" t="s">
        <v>8</v>
      </c>
      <c r="AK636" s="27" t="s">
        <v>8</v>
      </c>
      <c r="BF636" s="27" t="s">
        <v>7</v>
      </c>
      <c r="BG636" s="27" t="s">
        <v>8</v>
      </c>
      <c r="BH636" s="27" t="s">
        <v>7</v>
      </c>
      <c r="BI636" s="27" t="s">
        <v>8</v>
      </c>
      <c r="BJ636" s="27" t="s">
        <v>7</v>
      </c>
      <c r="BP636" s="27" t="s">
        <v>7</v>
      </c>
      <c r="BQ636" s="27" t="s">
        <v>8</v>
      </c>
      <c r="BR636" s="27" t="s">
        <v>7</v>
      </c>
      <c r="BU636" s="27" t="s">
        <v>8</v>
      </c>
      <c r="BY636" s="27" t="s">
        <v>8</v>
      </c>
      <c r="CB636" s="27" t="s">
        <v>7</v>
      </c>
      <c r="CC636" s="27" t="s">
        <v>8</v>
      </c>
      <c r="FF636" s="27" t="s">
        <v>7</v>
      </c>
      <c r="FG636" s="27" t="s">
        <v>8</v>
      </c>
      <c r="FH636" s="27" t="s">
        <v>7</v>
      </c>
      <c r="FI636" s="27" t="s">
        <v>8</v>
      </c>
      <c r="FP636" s="27" t="s">
        <v>7</v>
      </c>
      <c r="FR636" s="27" t="s">
        <v>7</v>
      </c>
      <c r="FS636" s="27" t="s">
        <v>8</v>
      </c>
    </row>
    <row r="637" spans="1:181" x14ac:dyDescent="0.25">
      <c r="A637" s="7">
        <v>0.37152788212696197</v>
      </c>
      <c r="B637"/>
      <c r="C637"/>
      <c r="D637"/>
      <c r="E637"/>
      <c r="L637" s="27" t="s">
        <v>7</v>
      </c>
      <c r="M637" s="27" t="s">
        <v>8</v>
      </c>
      <c r="N637" s="27" t="s">
        <v>7</v>
      </c>
      <c r="O637" s="27" t="s">
        <v>8</v>
      </c>
      <c r="P637" s="27" t="s">
        <v>7</v>
      </c>
      <c r="Q637" s="27" t="s">
        <v>8</v>
      </c>
      <c r="R637" s="27" t="s">
        <v>7</v>
      </c>
      <c r="S637" s="27" t="s">
        <v>8</v>
      </c>
      <c r="T637" s="27" t="s">
        <v>7</v>
      </c>
      <c r="U637" s="27" t="s">
        <v>8</v>
      </c>
      <c r="V637" s="27" t="s">
        <v>7</v>
      </c>
      <c r="W637" s="27" t="s">
        <v>8</v>
      </c>
      <c r="X637" s="27" t="s">
        <v>7</v>
      </c>
      <c r="Y637" s="27" t="s">
        <v>8</v>
      </c>
      <c r="Z637" s="27" t="s">
        <v>7</v>
      </c>
      <c r="AA637" s="27" t="s">
        <v>8</v>
      </c>
      <c r="AB637" s="27" t="s">
        <v>7</v>
      </c>
      <c r="AE637" s="27" t="s">
        <v>8</v>
      </c>
      <c r="AF637" s="27" t="s">
        <v>7</v>
      </c>
      <c r="AG637" s="27" t="s">
        <v>8</v>
      </c>
      <c r="AH637" s="27" t="s">
        <v>7</v>
      </c>
      <c r="AI637" s="27" t="s">
        <v>8</v>
      </c>
      <c r="AJ637" s="27" t="s">
        <v>7</v>
      </c>
      <c r="AK637" s="27" t="s">
        <v>8</v>
      </c>
      <c r="BF637" s="27" t="s">
        <v>7</v>
      </c>
      <c r="BG637" s="27" t="s">
        <v>8</v>
      </c>
      <c r="BH637" s="27" t="s">
        <v>7</v>
      </c>
      <c r="BI637" s="27" t="s">
        <v>8</v>
      </c>
      <c r="BP637" s="27" t="s">
        <v>7</v>
      </c>
      <c r="BQ637" s="27" t="s">
        <v>8</v>
      </c>
      <c r="BR637" s="27" t="s">
        <v>7</v>
      </c>
      <c r="BU637" s="27" t="s">
        <v>8</v>
      </c>
      <c r="BV637" s="27" t="s">
        <v>7</v>
      </c>
      <c r="BY637" s="27" t="s">
        <v>8</v>
      </c>
      <c r="CB637" s="27" t="s">
        <v>7</v>
      </c>
      <c r="CC637" s="27" t="s">
        <v>8</v>
      </c>
      <c r="FF637" s="27" t="s">
        <v>7</v>
      </c>
      <c r="FG637" s="27" t="s">
        <v>8</v>
      </c>
      <c r="FH637" s="27" t="s">
        <v>7</v>
      </c>
      <c r="FR637" s="27" t="s">
        <v>7</v>
      </c>
      <c r="FS637" s="27" t="s">
        <v>8</v>
      </c>
    </row>
    <row r="638" spans="1:181" x14ac:dyDescent="0.25">
      <c r="A638" s="7">
        <v>0.36424302169310002</v>
      </c>
      <c r="B638"/>
      <c r="C638"/>
      <c r="D638"/>
      <c r="E638"/>
      <c r="L638" s="27" t="s">
        <v>7</v>
      </c>
      <c r="M638" s="27" t="s">
        <v>8</v>
      </c>
      <c r="N638" s="27" t="s">
        <v>7</v>
      </c>
      <c r="O638" s="27" t="s">
        <v>8</v>
      </c>
      <c r="P638" s="27" t="s">
        <v>7</v>
      </c>
      <c r="Q638" s="27" t="s">
        <v>8</v>
      </c>
      <c r="R638" s="27" t="s">
        <v>7</v>
      </c>
      <c r="S638" s="27" t="s">
        <v>8</v>
      </c>
      <c r="T638" s="27" t="s">
        <v>7</v>
      </c>
      <c r="U638" s="27" t="s">
        <v>8</v>
      </c>
      <c r="V638" s="27" t="s">
        <v>7</v>
      </c>
      <c r="W638" s="27" t="s">
        <v>8</v>
      </c>
      <c r="X638" s="27" t="s">
        <v>7</v>
      </c>
      <c r="Y638" s="27" t="s">
        <v>8</v>
      </c>
      <c r="Z638" s="27" t="s">
        <v>7</v>
      </c>
      <c r="AA638" s="27" t="s">
        <v>8</v>
      </c>
      <c r="AB638" s="27" t="s">
        <v>7</v>
      </c>
      <c r="AE638" s="27" t="s">
        <v>8</v>
      </c>
      <c r="AF638" s="27" t="s">
        <v>7</v>
      </c>
      <c r="AG638" s="27" t="s">
        <v>8</v>
      </c>
      <c r="AH638" s="27" t="s">
        <v>7</v>
      </c>
      <c r="AI638" s="27" t="s">
        <v>8</v>
      </c>
      <c r="AJ638" s="27" t="s">
        <v>7</v>
      </c>
      <c r="AK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BP638" s="27" t="s">
        <v>7</v>
      </c>
      <c r="BQ638" s="27" t="s">
        <v>8</v>
      </c>
      <c r="BR638" s="27" t="s">
        <v>7</v>
      </c>
      <c r="BU638" s="27" t="s">
        <v>8</v>
      </c>
      <c r="BV638" s="27" t="s">
        <v>7</v>
      </c>
      <c r="BW638" s="27" t="s">
        <v>8</v>
      </c>
      <c r="BY638" s="27" t="s">
        <v>8</v>
      </c>
      <c r="CB638" s="27" t="s">
        <v>7</v>
      </c>
      <c r="CC638" s="27" t="s">
        <v>8</v>
      </c>
      <c r="FF638" s="27" t="s">
        <v>7</v>
      </c>
      <c r="FG638" s="27" t="s">
        <v>8</v>
      </c>
      <c r="FR638" s="27" t="s">
        <v>7</v>
      </c>
      <c r="FS638" s="27" t="s">
        <v>8</v>
      </c>
    </row>
    <row r="639" spans="1:181" x14ac:dyDescent="0.25">
      <c r="A639" s="7">
        <v>0.35710100165990194</v>
      </c>
      <c r="B639"/>
      <c r="C639"/>
      <c r="D639"/>
      <c r="E639"/>
      <c r="L639" s="27" t="s">
        <v>7</v>
      </c>
      <c r="M639" s="27" t="s">
        <v>8</v>
      </c>
      <c r="N639" s="27" t="s">
        <v>7</v>
      </c>
      <c r="O639" s="27" t="s">
        <v>8</v>
      </c>
      <c r="P639" s="27" t="s">
        <v>7</v>
      </c>
      <c r="Q639" s="27" t="s">
        <v>8</v>
      </c>
      <c r="R639" s="27" t="s">
        <v>7</v>
      </c>
      <c r="S639" s="27" t="s">
        <v>8</v>
      </c>
      <c r="T639" s="27" t="s">
        <v>7</v>
      </c>
      <c r="U639" s="27" t="s">
        <v>8</v>
      </c>
      <c r="V639" s="27" t="s">
        <v>7</v>
      </c>
      <c r="W639" s="27" t="s">
        <v>8</v>
      </c>
      <c r="X639" s="27" t="s">
        <v>7</v>
      </c>
      <c r="Y639" s="27" t="s">
        <v>8</v>
      </c>
      <c r="Z639" s="27" t="s">
        <v>7</v>
      </c>
      <c r="AA639" s="27" t="s">
        <v>8</v>
      </c>
      <c r="AB639" s="27" t="s">
        <v>7</v>
      </c>
      <c r="AE639" s="27" t="s">
        <v>8</v>
      </c>
      <c r="AF639" s="27" t="s">
        <v>7</v>
      </c>
      <c r="AG639" s="27" t="s">
        <v>8</v>
      </c>
      <c r="AH639" s="27" t="s">
        <v>7</v>
      </c>
      <c r="AI639" s="27" t="s">
        <v>8</v>
      </c>
      <c r="AJ639" s="27" t="s">
        <v>7</v>
      </c>
      <c r="AK639" s="27" t="s">
        <v>8</v>
      </c>
      <c r="BF639" s="27" t="s">
        <v>7</v>
      </c>
      <c r="BG639" s="27" t="s">
        <v>8</v>
      </c>
      <c r="BH639" s="27" t="s">
        <v>7</v>
      </c>
      <c r="BI639" s="27" t="s">
        <v>8</v>
      </c>
      <c r="BP639" s="27" t="s">
        <v>7</v>
      </c>
      <c r="BR639" s="27" t="s">
        <v>7</v>
      </c>
      <c r="BU639" s="27" t="s">
        <v>8</v>
      </c>
      <c r="BV639" s="27" t="s">
        <v>7</v>
      </c>
      <c r="BW639" s="27" t="s">
        <v>8</v>
      </c>
      <c r="BX639" s="27" t="s">
        <v>7</v>
      </c>
      <c r="BY639" s="27" t="s">
        <v>8</v>
      </c>
      <c r="CB639" s="27" t="s">
        <v>7</v>
      </c>
      <c r="CC639" s="27" t="s">
        <v>8</v>
      </c>
      <c r="FF639" s="27" t="s">
        <v>7</v>
      </c>
      <c r="FG639" s="27" t="s">
        <v>8</v>
      </c>
      <c r="FR639" s="18" t="s">
        <v>7</v>
      </c>
      <c r="FS639" s="27" t="s">
        <v>8</v>
      </c>
    </row>
    <row r="640" spans="1:181" x14ac:dyDescent="0.25">
      <c r="A640" s="7">
        <v>0.35009902123519804</v>
      </c>
      <c r="B640"/>
      <c r="C640"/>
      <c r="D640"/>
      <c r="E640"/>
      <c r="L640" s="27" t="s">
        <v>7</v>
      </c>
      <c r="M640" s="27" t="s">
        <v>8</v>
      </c>
      <c r="N640" s="27" t="s">
        <v>7</v>
      </c>
      <c r="O640" s="27" t="s">
        <v>8</v>
      </c>
      <c r="P640" s="27" t="s">
        <v>7</v>
      </c>
      <c r="Q640" s="27" t="s">
        <v>8</v>
      </c>
      <c r="R640" s="27" t="s">
        <v>7</v>
      </c>
      <c r="S640" s="27" t="s">
        <v>8</v>
      </c>
      <c r="T640" s="27" t="s">
        <v>7</v>
      </c>
      <c r="U640" s="27" t="s">
        <v>8</v>
      </c>
      <c r="V640" s="27" t="s">
        <v>7</v>
      </c>
      <c r="W640" s="27" t="s">
        <v>8</v>
      </c>
      <c r="X640" s="27" t="s">
        <v>7</v>
      </c>
      <c r="Y640" s="27" t="s">
        <v>8</v>
      </c>
      <c r="Z640" s="27" t="s">
        <v>7</v>
      </c>
      <c r="AA640" s="27" t="s">
        <v>8</v>
      </c>
      <c r="AB640" s="27" t="s">
        <v>7</v>
      </c>
      <c r="AE640" s="27" t="s">
        <v>8</v>
      </c>
      <c r="AF640" s="27" t="s">
        <v>7</v>
      </c>
      <c r="AH640" s="27" t="s">
        <v>7</v>
      </c>
      <c r="AI640" s="27" t="s">
        <v>8</v>
      </c>
      <c r="AJ640" s="27" t="s">
        <v>7</v>
      </c>
      <c r="AK640" s="27" t="s">
        <v>8</v>
      </c>
      <c r="BF640" s="27" t="s">
        <v>7</v>
      </c>
      <c r="BH640" s="27" t="s">
        <v>7</v>
      </c>
      <c r="BR640" s="27" t="s">
        <v>7</v>
      </c>
      <c r="BS640" s="27" t="s">
        <v>8</v>
      </c>
      <c r="BU640" s="27" t="s">
        <v>8</v>
      </c>
      <c r="BV640" s="27" t="s">
        <v>7</v>
      </c>
      <c r="BW640" s="27" t="s">
        <v>8</v>
      </c>
      <c r="BX640" s="27" t="s">
        <v>7</v>
      </c>
      <c r="BY640" s="27" t="s">
        <v>8</v>
      </c>
      <c r="CB640" s="27" t="s">
        <v>7</v>
      </c>
      <c r="CC640" s="27" t="s">
        <v>8</v>
      </c>
      <c r="FF640" s="27" t="s">
        <v>7</v>
      </c>
      <c r="FG640" s="27" t="s">
        <v>8</v>
      </c>
      <c r="FR640" s="27" t="s">
        <v>7</v>
      </c>
      <c r="FS640" s="27" t="s">
        <v>8</v>
      </c>
    </row>
    <row r="641" spans="1:175" x14ac:dyDescent="0.25">
      <c r="A641" s="7">
        <v>0.34323433454431179</v>
      </c>
      <c r="B641"/>
      <c r="C641"/>
      <c r="D641"/>
      <c r="E641"/>
      <c r="L641" s="27" t="s">
        <v>7</v>
      </c>
      <c r="M641" s="27" t="s">
        <v>8</v>
      </c>
      <c r="N641" s="27" t="s">
        <v>7</v>
      </c>
      <c r="O641" s="27" t="s">
        <v>8</v>
      </c>
      <c r="P641" s="27" t="s">
        <v>7</v>
      </c>
      <c r="Q641" s="27" t="s">
        <v>8</v>
      </c>
      <c r="R641" s="27" t="s">
        <v>7</v>
      </c>
      <c r="S641" s="27" t="s">
        <v>8</v>
      </c>
      <c r="T641" s="27" t="s">
        <v>7</v>
      </c>
      <c r="U641" s="27" t="s">
        <v>8</v>
      </c>
      <c r="V641" s="27" t="s">
        <v>7</v>
      </c>
      <c r="W641" s="27" t="s">
        <v>8</v>
      </c>
      <c r="X641" s="27" t="s">
        <v>7</v>
      </c>
      <c r="Y641" s="27" t="s">
        <v>8</v>
      </c>
      <c r="Z641" s="27" t="s">
        <v>7</v>
      </c>
      <c r="AB641" s="27" t="s">
        <v>7</v>
      </c>
      <c r="AC641" s="27" t="s">
        <v>8</v>
      </c>
      <c r="AE641" s="27" t="s">
        <v>8</v>
      </c>
      <c r="AH641" s="27" t="s">
        <v>7</v>
      </c>
      <c r="AI641" s="27" t="s">
        <v>8</v>
      </c>
      <c r="AJ641" s="27" t="s">
        <v>7</v>
      </c>
      <c r="AK641" s="27" t="s">
        <v>8</v>
      </c>
      <c r="BR641" s="27" t="s">
        <v>7</v>
      </c>
      <c r="BS641" s="27" t="s">
        <v>8</v>
      </c>
      <c r="BT641" s="27" t="s">
        <v>7</v>
      </c>
      <c r="BU641" s="27" t="s">
        <v>8</v>
      </c>
      <c r="BV641" s="27" t="s">
        <v>7</v>
      </c>
      <c r="BW641" s="27" t="s">
        <v>8</v>
      </c>
      <c r="BX641" s="27" t="s">
        <v>7</v>
      </c>
      <c r="BY641" s="27" t="s">
        <v>8</v>
      </c>
      <c r="CB641" s="27" t="s">
        <v>7</v>
      </c>
      <c r="CC641" s="27" t="s">
        <v>8</v>
      </c>
      <c r="FF641" s="27" t="s">
        <v>7</v>
      </c>
      <c r="FG641" s="27" t="s">
        <v>8</v>
      </c>
      <c r="FR641" s="27" t="s">
        <v>7</v>
      </c>
      <c r="FS641" s="27" t="s">
        <v>8</v>
      </c>
    </row>
    <row r="642" spans="1:175" x14ac:dyDescent="0.25">
      <c r="A642" s="7">
        <v>0.33650424955324681</v>
      </c>
      <c r="B642"/>
      <c r="C642"/>
      <c r="D642"/>
      <c r="E642"/>
      <c r="L642" s="27" t="s">
        <v>7</v>
      </c>
      <c r="M642" s="27" t="s">
        <v>8</v>
      </c>
      <c r="N642" s="27" t="s">
        <v>7</v>
      </c>
      <c r="O642" s="27" t="s">
        <v>8</v>
      </c>
      <c r="P642" s="27" t="s">
        <v>7</v>
      </c>
      <c r="Q642" s="27" t="s">
        <v>8</v>
      </c>
      <c r="R642" s="27" t="s">
        <v>7</v>
      </c>
      <c r="T642" s="27" t="s">
        <v>7</v>
      </c>
      <c r="U642" s="27" t="s">
        <v>8</v>
      </c>
      <c r="V642" s="27" t="s">
        <v>7</v>
      </c>
      <c r="W642" s="27" t="s">
        <v>8</v>
      </c>
      <c r="X642" s="27" t="s">
        <v>7</v>
      </c>
      <c r="Y642" s="27" t="s">
        <v>8</v>
      </c>
      <c r="AB642" s="27" t="s">
        <v>7</v>
      </c>
      <c r="AC642" s="27" t="s">
        <v>8</v>
      </c>
      <c r="AD642" s="27" t="s">
        <v>7</v>
      </c>
      <c r="AE642" s="27" t="s">
        <v>8</v>
      </c>
      <c r="AH642" s="27" t="s">
        <v>7</v>
      </c>
      <c r="AJ642" s="27" t="s">
        <v>7</v>
      </c>
      <c r="AK642" s="27" t="s">
        <v>8</v>
      </c>
      <c r="BR642" s="27" t="s">
        <v>7</v>
      </c>
      <c r="BS642" s="27" t="s">
        <v>8</v>
      </c>
      <c r="BT642" s="27" t="s">
        <v>7</v>
      </c>
      <c r="BU642" s="27" t="s">
        <v>8</v>
      </c>
      <c r="BV642" s="27" t="s">
        <v>7</v>
      </c>
      <c r="BW642" s="27" t="s">
        <v>8</v>
      </c>
      <c r="BX642" s="27" t="s">
        <v>7</v>
      </c>
      <c r="BY642" s="27" t="s">
        <v>8</v>
      </c>
      <c r="CB642" s="27" t="s">
        <v>7</v>
      </c>
      <c r="CC642" s="27" t="s">
        <v>8</v>
      </c>
      <c r="FF642" s="27" t="s">
        <v>7</v>
      </c>
      <c r="FG642" s="27" t="s">
        <v>8</v>
      </c>
      <c r="FR642" s="27" t="s">
        <v>7</v>
      </c>
      <c r="FS642" s="27" t="s">
        <v>8</v>
      </c>
    </row>
    <row r="643" spans="1:175" x14ac:dyDescent="0.25">
      <c r="A643" s="7">
        <v>0.3299061270129871</v>
      </c>
      <c r="B643"/>
      <c r="C643"/>
      <c r="D643"/>
      <c r="E643"/>
      <c r="L643" s="27" t="s">
        <v>7</v>
      </c>
      <c r="M643" s="27" t="s">
        <v>8</v>
      </c>
      <c r="N643" s="27" t="s">
        <v>7</v>
      </c>
      <c r="O643" s="27" t="s">
        <v>8</v>
      </c>
      <c r="P643" s="27" t="s">
        <v>7</v>
      </c>
      <c r="T643" s="27" t="s">
        <v>7</v>
      </c>
      <c r="U643" s="27" t="s">
        <v>8</v>
      </c>
      <c r="V643" s="27" t="s">
        <v>7</v>
      </c>
      <c r="W643" s="27" t="s">
        <v>8</v>
      </c>
      <c r="X643" s="27" t="s">
        <v>7</v>
      </c>
      <c r="Y643" s="27" t="s">
        <v>8</v>
      </c>
      <c r="AB643" s="27" t="s">
        <v>7</v>
      </c>
      <c r="AC643" s="27" t="s">
        <v>8</v>
      </c>
      <c r="AD643" s="27" t="s">
        <v>7</v>
      </c>
      <c r="AE643" s="27" t="s">
        <v>8</v>
      </c>
      <c r="AJ643" s="27" t="s">
        <v>7</v>
      </c>
      <c r="BR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CB643" s="27" t="s">
        <v>7</v>
      </c>
      <c r="CC643" s="27" t="s">
        <v>8</v>
      </c>
      <c r="FF643" s="27" t="s">
        <v>7</v>
      </c>
      <c r="FG643" s="27" t="s">
        <v>8</v>
      </c>
      <c r="FR643" s="27" t="s">
        <v>7</v>
      </c>
    </row>
    <row r="644" spans="1:175" x14ac:dyDescent="0.25">
      <c r="A644" s="7">
        <v>0.32343737942449713</v>
      </c>
      <c r="B644"/>
      <c r="C644"/>
      <c r="D644"/>
      <c r="E644"/>
      <c r="L644" s="27" t="s">
        <v>7</v>
      </c>
      <c r="M644" s="27" t="s">
        <v>8</v>
      </c>
      <c r="N644" s="27" t="s">
        <v>7</v>
      </c>
      <c r="T644" s="27" t="s">
        <v>7</v>
      </c>
      <c r="U644" s="27" t="s">
        <v>8</v>
      </c>
      <c r="V644" s="27" t="s">
        <v>7</v>
      </c>
      <c r="W644" s="27" t="s">
        <v>8</v>
      </c>
      <c r="X644" s="27" t="s">
        <v>7</v>
      </c>
      <c r="Y644" s="27" t="s">
        <v>8</v>
      </c>
      <c r="AB644" s="27" t="s">
        <v>7</v>
      </c>
      <c r="AC644" s="27" t="s">
        <v>8</v>
      </c>
      <c r="AD644" s="27" t="s">
        <v>7</v>
      </c>
      <c r="AE644" s="27" t="s">
        <v>8</v>
      </c>
      <c r="BR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BX644" s="27" t="s">
        <v>7</v>
      </c>
      <c r="CB644" s="27" t="s">
        <v>7</v>
      </c>
      <c r="CC644" s="27" t="s">
        <v>8</v>
      </c>
      <c r="FF644" s="27" t="s">
        <v>7</v>
      </c>
    </row>
    <row r="645" spans="1:175" x14ac:dyDescent="0.25">
      <c r="A645" s="7">
        <v>0.31709547002401678</v>
      </c>
      <c r="B645"/>
      <c r="C645"/>
      <c r="D645"/>
      <c r="E645"/>
      <c r="L645" s="27" t="s">
        <v>7</v>
      </c>
      <c r="M645" s="27" t="s">
        <v>8</v>
      </c>
      <c r="T645" s="27" t="s">
        <v>7</v>
      </c>
      <c r="U645" s="27" t="s">
        <v>8</v>
      </c>
      <c r="V645" s="27" t="s">
        <v>7</v>
      </c>
      <c r="W645" s="27" t="s">
        <v>8</v>
      </c>
      <c r="X645" s="27" t="s">
        <v>7</v>
      </c>
      <c r="Y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  <c r="BR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CB645" s="27" t="s">
        <v>7</v>
      </c>
    </row>
    <row r="646" spans="1:175" x14ac:dyDescent="0.25">
      <c r="A646" s="7">
        <v>0.31087791178825175</v>
      </c>
      <c r="B646"/>
      <c r="C646"/>
      <c r="D646"/>
      <c r="E646"/>
      <c r="L646" s="27" t="s">
        <v>7</v>
      </c>
      <c r="M646" s="27" t="s">
        <v>8</v>
      </c>
      <c r="T646" s="27" t="s">
        <v>7</v>
      </c>
      <c r="U646" s="27" t="s">
        <v>8</v>
      </c>
      <c r="V646" s="27" t="s">
        <v>7</v>
      </c>
      <c r="W646" s="27" t="s">
        <v>8</v>
      </c>
      <c r="X646" s="27" t="s">
        <v>7</v>
      </c>
      <c r="Y646" s="27" t="s">
        <v>8</v>
      </c>
      <c r="AB646" s="27" t="s">
        <v>7</v>
      </c>
      <c r="AC646" s="27" t="s">
        <v>8</v>
      </c>
      <c r="AD646" s="27" t="s">
        <v>7</v>
      </c>
      <c r="AE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</row>
    <row r="647" spans="1:175" x14ac:dyDescent="0.25">
      <c r="A647" s="7">
        <v>0.30478226645907036</v>
      </c>
      <c r="B647"/>
      <c r="C647"/>
      <c r="D647"/>
      <c r="E647"/>
      <c r="L647" s="27" t="s">
        <v>7</v>
      </c>
      <c r="M647" s="27" t="s">
        <v>8</v>
      </c>
      <c r="T647" s="27" t="s">
        <v>7</v>
      </c>
      <c r="V647" s="27" t="s">
        <v>7</v>
      </c>
      <c r="X647" s="27" t="s">
        <v>7</v>
      </c>
      <c r="Y647" s="27" t="s">
        <v>8</v>
      </c>
      <c r="AB647" s="27" t="s">
        <v>7</v>
      </c>
      <c r="AC647" s="27" t="s">
        <v>8</v>
      </c>
      <c r="AD647" s="27" t="s">
        <v>7</v>
      </c>
      <c r="BR647" s="27" t="s">
        <v>7</v>
      </c>
      <c r="BS647" s="27" t="s">
        <v>8</v>
      </c>
      <c r="BT647" s="27" t="s">
        <v>7</v>
      </c>
      <c r="BU647" s="27" t="s">
        <v>8</v>
      </c>
    </row>
    <row r="648" spans="1:175" x14ac:dyDescent="0.25">
      <c r="A648" s="7">
        <v>0.29880614358732388</v>
      </c>
      <c r="B648"/>
      <c r="C648"/>
      <c r="D648"/>
      <c r="E648"/>
      <c r="L648" s="27" t="s">
        <v>7</v>
      </c>
      <c r="M648" s="27" t="s">
        <v>8</v>
      </c>
      <c r="X648" s="27" t="s">
        <v>7</v>
      </c>
      <c r="AB648" s="27" t="s">
        <v>7</v>
      </c>
      <c r="AC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</row>
    <row r="649" spans="1:175" x14ac:dyDescent="0.25">
      <c r="A649" s="7">
        <v>0.2929471995954156</v>
      </c>
      <c r="B649"/>
      <c r="C649"/>
      <c r="D649"/>
      <c r="E649"/>
      <c r="L649" s="27" t="s">
        <v>7</v>
      </c>
      <c r="M649" s="27" t="s">
        <v>8</v>
      </c>
      <c r="AB649" s="27" t="s">
        <v>7</v>
      </c>
      <c r="AC649" s="27" t="s">
        <v>8</v>
      </c>
      <c r="BR649" s="27" t="s">
        <v>7</v>
      </c>
      <c r="BS649" s="27" t="s">
        <v>8</v>
      </c>
      <c r="BT649" s="27" t="s">
        <v>7</v>
      </c>
    </row>
    <row r="650" spans="1:175" x14ac:dyDescent="0.25">
      <c r="A650" s="7">
        <v>0.28720313685825055</v>
      </c>
      <c r="B650"/>
      <c r="C650"/>
      <c r="D650"/>
      <c r="E650"/>
      <c r="L650" s="27" t="s">
        <v>7</v>
      </c>
      <c r="M650" s="27" t="s">
        <v>8</v>
      </c>
      <c r="AB650" s="27" t="s">
        <v>7</v>
      </c>
      <c r="AC650" s="27" t="s">
        <v>8</v>
      </c>
      <c r="BR650" s="27" t="s">
        <v>7</v>
      </c>
      <c r="BS650" s="27" t="s">
        <v>8</v>
      </c>
    </row>
    <row r="651" spans="1:175" x14ac:dyDescent="0.25">
      <c r="A651" s="7">
        <v>0.28157170280220645</v>
      </c>
      <c r="B651"/>
      <c r="C651"/>
      <c r="D651"/>
      <c r="E651"/>
      <c r="L651" s="27" t="s">
        <v>7</v>
      </c>
      <c r="AB651" s="27" t="s">
        <v>7</v>
      </c>
      <c r="AC651" s="27" t="s">
        <v>8</v>
      </c>
      <c r="BR651" s="27" t="s">
        <v>7</v>
      </c>
      <c r="BS651" s="27" t="s">
        <v>8</v>
      </c>
    </row>
    <row r="652" spans="1:175" x14ac:dyDescent="0.25">
      <c r="A652" s="7">
        <v>0.27605068902177105</v>
      </c>
      <c r="B652"/>
      <c r="C652"/>
      <c r="D652"/>
      <c r="E652"/>
      <c r="AB652" s="27" t="s">
        <v>7</v>
      </c>
      <c r="AC652" s="27" t="s">
        <v>8</v>
      </c>
      <c r="BR652" s="27" t="s">
        <v>7</v>
      </c>
      <c r="BS652" s="27" t="s">
        <v>8</v>
      </c>
    </row>
    <row r="653" spans="1:175" x14ac:dyDescent="0.25">
      <c r="A653" s="7">
        <v>0.27063793041350104</v>
      </c>
      <c r="B653"/>
      <c r="C653"/>
      <c r="D653"/>
      <c r="E653"/>
      <c r="AB653" s="27" t="s">
        <v>7</v>
      </c>
      <c r="AC653" s="27" t="s">
        <v>8</v>
      </c>
      <c r="BR653" s="27" t="s">
        <v>7</v>
      </c>
    </row>
    <row r="654" spans="1:175" x14ac:dyDescent="0.25">
      <c r="A654" s="7">
        <v>0.26533130432696184</v>
      </c>
      <c r="B654"/>
      <c r="C654"/>
      <c r="D654"/>
      <c r="E654"/>
      <c r="AB654" s="27" t="s">
        <v>7</v>
      </c>
      <c r="AC654" s="27" t="s">
        <v>8</v>
      </c>
    </row>
    <row r="655" spans="1:175" x14ac:dyDescent="0.25">
      <c r="A655" s="7">
        <v>0.26012872973231554</v>
      </c>
      <c r="B655"/>
      <c r="C655"/>
      <c r="D655"/>
      <c r="E655"/>
      <c r="AB655" s="27" t="s">
        <v>7</v>
      </c>
      <c r="AC655" s="27" t="s">
        <v>8</v>
      </c>
    </row>
    <row r="656" spans="1:175" x14ac:dyDescent="0.25">
      <c r="A656" s="7">
        <v>0.25502816640423093</v>
      </c>
      <c r="B656"/>
      <c r="C656"/>
      <c r="D656"/>
      <c r="E656"/>
      <c r="AB656" s="27" t="s">
        <v>7</v>
      </c>
      <c r="AC656" s="27" t="s">
        <v>8</v>
      </c>
    </row>
    <row r="657" spans="1:29" x14ac:dyDescent="0.25">
      <c r="A657" s="7">
        <v>0.25002761412179503</v>
      </c>
      <c r="B657"/>
      <c r="C657"/>
      <c r="D657"/>
      <c r="E657"/>
      <c r="AB657" s="27" t="s">
        <v>7</v>
      </c>
      <c r="AC657" s="27" t="s">
        <v>8</v>
      </c>
    </row>
    <row r="658" spans="1:29" x14ac:dyDescent="0.25">
      <c r="A658" s="7">
        <v>0.24512511188411276</v>
      </c>
      <c r="B658"/>
      <c r="C658"/>
      <c r="D658"/>
      <c r="E658"/>
      <c r="AB658" s="27" t="s">
        <v>7</v>
      </c>
      <c r="AC658" s="27" t="s">
        <v>8</v>
      </c>
    </row>
    <row r="659" spans="1:29" x14ac:dyDescent="0.25">
      <c r="A659" s="7">
        <v>0.24031873714128701</v>
      </c>
      <c r="B659"/>
      <c r="C659"/>
      <c r="D659"/>
      <c r="E659"/>
      <c r="AB659" s="27" t="s">
        <v>7</v>
      </c>
    </row>
    <row r="660" spans="1:29" x14ac:dyDescent="0.25">
      <c r="A660" s="7">
        <v>0.23560660504047748</v>
      </c>
      <c r="B660"/>
      <c r="C660"/>
      <c r="D660"/>
      <c r="E660"/>
    </row>
    <row r="661" spans="1:29" x14ac:dyDescent="0.25">
      <c r="A661" s="7">
        <v>0.23098686768674265</v>
      </c>
      <c r="B661"/>
      <c r="C661"/>
      <c r="D661"/>
      <c r="E661"/>
    </row>
    <row r="662" spans="1:29" x14ac:dyDescent="0.25">
      <c r="A662" s="7">
        <v>0.22645771341837515</v>
      </c>
      <c r="B662"/>
      <c r="C662"/>
      <c r="D662"/>
      <c r="E662"/>
    </row>
    <row r="663" spans="1:29" x14ac:dyDescent="0.25">
      <c r="A663" s="7">
        <v>0.22201736609644623</v>
      </c>
      <c r="B663"/>
      <c r="C663"/>
      <c r="D663"/>
      <c r="E663"/>
    </row>
    <row r="664" spans="1:29" x14ac:dyDescent="0.25">
      <c r="A664" s="7">
        <v>0.21766408440828061</v>
      </c>
      <c r="B664"/>
      <c r="C664"/>
      <c r="D664"/>
      <c r="E664"/>
    </row>
    <row r="665" spans="1:29" x14ac:dyDescent="0.25">
      <c r="A665" s="7">
        <v>0.21339616118458882</v>
      </c>
      <c r="B665"/>
      <c r="C665"/>
      <c r="D665"/>
      <c r="E665"/>
    </row>
    <row r="666" spans="1:29" x14ac:dyDescent="0.25">
      <c r="A666" s="7">
        <v>0.20921192272998904</v>
      </c>
      <c r="B666"/>
      <c r="C666"/>
      <c r="D666"/>
      <c r="E666"/>
    </row>
    <row r="667" spans="1:29" x14ac:dyDescent="0.25">
      <c r="A667" s="7">
        <v>0.20510972816665593</v>
      </c>
      <c r="B667"/>
      <c r="C667"/>
      <c r="D667"/>
      <c r="E667"/>
    </row>
    <row r="668" spans="1:29" x14ac:dyDescent="0.25">
      <c r="A668" s="7">
        <v>0.20108796879083912</v>
      </c>
      <c r="B668"/>
      <c r="C668"/>
      <c r="D668"/>
      <c r="E668"/>
    </row>
    <row r="669" spans="1:29" x14ac:dyDescent="0.25">
      <c r="A669" s="7">
        <v>0.19714506744199917</v>
      </c>
      <c r="B669"/>
      <c r="C669"/>
      <c r="D669"/>
      <c r="E669"/>
    </row>
    <row r="670" spans="1:29" x14ac:dyDescent="0.25">
      <c r="A670" s="7">
        <v>0.19327947788431293</v>
      </c>
      <c r="B670"/>
      <c r="C670"/>
      <c r="D670"/>
      <c r="E670"/>
    </row>
    <row r="671" spans="1:29" x14ac:dyDescent="0.25">
      <c r="A671" s="7">
        <v>0.18948968420030682</v>
      </c>
      <c r="B671"/>
      <c r="C671"/>
      <c r="D671"/>
      <c r="E671"/>
    </row>
    <row r="672" spans="1:29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2" operator="equal">
      <formula>$U$1</formula>
    </cfRule>
    <cfRule type="cellIs" dxfId="89" priority="933" operator="equal">
      <formula>$S$1</formula>
    </cfRule>
  </conditionalFormatting>
  <conditionalFormatting sqref="D27">
    <cfRule type="cellIs" dxfId="88" priority="930" operator="equal">
      <formula>$S$1</formula>
    </cfRule>
    <cfRule type="cellIs" dxfId="87" priority="931" operator="equal">
      <formula>$U$1</formula>
    </cfRule>
  </conditionalFormatting>
  <conditionalFormatting sqref="C164">
    <cfRule type="cellIs" dxfId="86" priority="928" operator="equal">
      <formula>$U$1</formula>
    </cfRule>
    <cfRule type="cellIs" dxfId="85" priority="929" operator="equal">
      <formula>$S$1</formula>
    </cfRule>
  </conditionalFormatting>
  <conditionalFormatting sqref="D164">
    <cfRule type="cellIs" dxfId="84" priority="926" operator="equal">
      <formula>$S$1</formula>
    </cfRule>
    <cfRule type="cellIs" dxfId="83" priority="927" operator="equal">
      <formula>$U$1</formula>
    </cfRule>
  </conditionalFormatting>
  <conditionalFormatting sqref="C55">
    <cfRule type="cellIs" dxfId="82" priority="924" operator="equal">
      <formula>$U$1</formula>
    </cfRule>
    <cfRule type="cellIs" dxfId="81" priority="925" operator="equal">
      <formula>$S$1</formula>
    </cfRule>
  </conditionalFormatting>
  <conditionalFormatting sqref="D55">
    <cfRule type="cellIs" dxfId="80" priority="922" operator="equal">
      <formula>$S$1</formula>
    </cfRule>
    <cfRule type="cellIs" dxfId="79" priority="923" operator="equal">
      <formula>$U$1</formula>
    </cfRule>
  </conditionalFormatting>
  <conditionalFormatting sqref="C89">
    <cfRule type="cellIs" dxfId="78" priority="920" operator="equal">
      <formula>$U$1</formula>
    </cfRule>
    <cfRule type="cellIs" dxfId="77" priority="921" operator="equal">
      <formula>$S$1</formula>
    </cfRule>
  </conditionalFormatting>
  <conditionalFormatting sqref="D89">
    <cfRule type="cellIs" dxfId="76" priority="918" operator="equal">
      <formula>$S$1</formula>
    </cfRule>
    <cfRule type="cellIs" dxfId="75" priority="919" operator="equal">
      <formula>$U$1</formula>
    </cfRule>
  </conditionalFormatting>
  <conditionalFormatting sqref="C136">
    <cfRule type="cellIs" dxfId="74" priority="916" operator="equal">
      <formula>$U$1</formula>
    </cfRule>
    <cfRule type="cellIs" dxfId="73" priority="917" operator="equal">
      <formula>$S$1</formula>
    </cfRule>
  </conditionalFormatting>
  <conditionalFormatting sqref="D136">
    <cfRule type="cellIs" dxfId="72" priority="914" operator="equal">
      <formula>$S$1</formula>
    </cfRule>
    <cfRule type="cellIs" dxfId="71" priority="915" operator="equal">
      <formula>$U$1</formula>
    </cfRule>
  </conditionalFormatting>
  <conditionalFormatting sqref="C1">
    <cfRule type="cellIs" dxfId="70" priority="91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1" zoomScale="90" zoomScaleNormal="90" workbookViewId="0">
      <pane xSplit="4" topLeftCell="BS1" activePane="topRight" state="frozen"/>
      <selection activeCell="A109" sqref="A109"/>
      <selection pane="topRight" activeCell="DZ252" sqref="DZ2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$A$251</v>
      </c>
      <c r="D111" s="1" t="str">
        <f>ADDRESS(C121-1,D121,1,1)</f>
        <v>$DZ$251</v>
      </c>
      <c r="E111"/>
    </row>
    <row r="112" spans="1:5" x14ac:dyDescent="0.25">
      <c r="A112" s="30">
        <v>515.50191262726139</v>
      </c>
      <c r="C112" s="1" t="str">
        <f>ADDRESS(C121,1,1,1)</f>
        <v>$A$252</v>
      </c>
      <c r="D112" s="1" t="str">
        <f>ADDRESS(C121,D121-1,1,1)</f>
        <v>$DY$252</v>
      </c>
      <c r="E112"/>
    </row>
    <row r="113" spans="1:5" x14ac:dyDescent="0.25">
      <c r="A113" s="30">
        <v>490.95420250215363</v>
      </c>
      <c r="C113" s="1" t="str">
        <f>ADDRESS(C121+1,1,1,1)</f>
        <v>$A$253</v>
      </c>
      <c r="D113" s="1" t="str">
        <f>ADDRESS(C121-1,D121+1,1,1)</f>
        <v>$EA$251</v>
      </c>
    </row>
    <row r="114" spans="1:5" x14ac:dyDescent="0.25">
      <c r="A114" s="30">
        <v>467.57543095443202</v>
      </c>
      <c r="C114" s="1" t="str">
        <f>ADDRESS(C121,D121,1,1)</f>
        <v>$DZ$252</v>
      </c>
      <c r="D114" s="1" t="str">
        <f>ADDRESS(C121+1,D121+1,1,1)</f>
        <v>$EA$253</v>
      </c>
    </row>
    <row r="115" spans="1:5" x14ac:dyDescent="0.25">
      <c r="A115" s="30">
        <v>445.30993424231622</v>
      </c>
      <c r="C115" s="1" t="str">
        <f>ADDRESS(C121+1,D121,1,1)</f>
        <v>$DZ$253</v>
      </c>
    </row>
    <row r="116" spans="1:5" x14ac:dyDescent="0.25">
      <c r="A116" s="30">
        <v>424.10469927839637</v>
      </c>
      <c r="C116" s="1">
        <f>C117-1</f>
        <v>251</v>
      </c>
    </row>
    <row r="117" spans="1:5" x14ac:dyDescent="0.25">
      <c r="A117" s="30">
        <v>403.9092374079965</v>
      </c>
      <c r="C117" s="1">
        <f>C121</f>
        <v>252</v>
      </c>
      <c r="D117" s="1">
        <f>D121</f>
        <v>130</v>
      </c>
    </row>
    <row r="118" spans="1:5" x14ac:dyDescent="0.25">
      <c r="A118" s="30">
        <v>384.6754641980919</v>
      </c>
      <c r="C118" s="1">
        <f>C117+1</f>
        <v>253</v>
      </c>
      <c r="D118" s="1">
        <f>D117+1</f>
        <v>131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252</v>
      </c>
      <c r="D121" s="19">
        <v>130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R252</v>
      </c>
      <c r="D123" s="1" t="str">
        <f>"C"&amp;D121</f>
        <v>C130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0.55683741817755672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25" x14ac:dyDescent="0.25">
      <c r="A225" s="30">
        <v>2.0789281794113688</v>
      </c>
      <c r="E225"/>
    </row>
    <row r="226" spans="1:125" x14ac:dyDescent="0.25">
      <c r="A226" s="30">
        <v>1.9799315994393987</v>
      </c>
      <c r="E226"/>
    </row>
    <row r="227" spans="1:125" x14ac:dyDescent="0.25">
      <c r="A227" s="30">
        <v>1.8856491423232367</v>
      </c>
      <c r="E227"/>
      <c r="BQ227" s="27" t="s">
        <v>8</v>
      </c>
    </row>
    <row r="228" spans="1:125" x14ac:dyDescent="0.25">
      <c r="A228" s="30">
        <v>1.7958563260221301</v>
      </c>
      <c r="C228" s="7"/>
      <c r="D228"/>
      <c r="E228"/>
      <c r="BQ228" s="27" t="s">
        <v>8</v>
      </c>
      <c r="BR228" s="27" t="s">
        <v>7</v>
      </c>
    </row>
    <row r="229" spans="1:125" x14ac:dyDescent="0.25">
      <c r="A229" s="30">
        <v>1.7103393581163142</v>
      </c>
      <c r="E229"/>
      <c r="BQ229" s="32" t="s">
        <v>8</v>
      </c>
      <c r="BR229" s="27" t="s">
        <v>7</v>
      </c>
    </row>
    <row r="230" spans="1:125" x14ac:dyDescent="0.25">
      <c r="A230" s="30">
        <v>1.628894626777442</v>
      </c>
      <c r="E230"/>
      <c r="BK230" s="27" t="s">
        <v>8</v>
      </c>
      <c r="BO230" s="27" t="s">
        <v>8</v>
      </c>
      <c r="BQ230" s="27" t="s">
        <v>8</v>
      </c>
      <c r="BR230" s="27" t="s">
        <v>7</v>
      </c>
      <c r="BW230" s="31" t="s">
        <v>8</v>
      </c>
    </row>
    <row r="231" spans="1:125" x14ac:dyDescent="0.25">
      <c r="A231" s="30">
        <v>1.5513282159785162</v>
      </c>
      <c r="C231"/>
      <c r="D231"/>
      <c r="E231"/>
      <c r="BK231" s="27" t="s">
        <v>8</v>
      </c>
      <c r="BL231" s="27" t="s">
        <v>7</v>
      </c>
      <c r="BM231" s="27" t="s">
        <v>8</v>
      </c>
      <c r="BO231" s="27" t="s">
        <v>8</v>
      </c>
      <c r="BP231" s="27" t="s">
        <v>7</v>
      </c>
      <c r="BQ231" s="27" t="s">
        <v>8</v>
      </c>
      <c r="BR231" s="27" t="s">
        <v>7</v>
      </c>
      <c r="BW231" s="32" t="s">
        <v>8</v>
      </c>
      <c r="BX231" s="31" t="s">
        <v>7</v>
      </c>
    </row>
    <row r="232" spans="1:125" x14ac:dyDescent="0.25">
      <c r="A232" s="30">
        <v>1.477455443789063</v>
      </c>
      <c r="E232"/>
      <c r="BK232" s="27" t="s">
        <v>8</v>
      </c>
      <c r="BL232" s="27" t="s">
        <v>7</v>
      </c>
      <c r="BM232" s="27" t="s">
        <v>8</v>
      </c>
      <c r="BN232" s="27" t="s">
        <v>7</v>
      </c>
      <c r="BO232" s="27" t="s">
        <v>8</v>
      </c>
      <c r="BP232" s="27" t="s">
        <v>7</v>
      </c>
      <c r="BQ232" s="27" t="s">
        <v>8</v>
      </c>
      <c r="BR232" s="27" t="s">
        <v>7</v>
      </c>
      <c r="BS232" s="34" t="s">
        <v>8</v>
      </c>
      <c r="BU232" s="34" t="s">
        <v>8</v>
      </c>
      <c r="BW232" s="27" t="s">
        <v>8</v>
      </c>
      <c r="BX232" s="27" t="s">
        <v>7</v>
      </c>
      <c r="BY232" s="31"/>
    </row>
    <row r="233" spans="1:125" x14ac:dyDescent="0.25">
      <c r="A233" s="30">
        <v>1.4071004226562505</v>
      </c>
      <c r="E233"/>
      <c r="BK233" s="27" t="s">
        <v>8</v>
      </c>
      <c r="BL233" s="27" t="s">
        <v>7</v>
      </c>
      <c r="BM233" s="27" t="s">
        <v>8</v>
      </c>
      <c r="BN233" s="27" t="s">
        <v>7</v>
      </c>
      <c r="BO233" s="27" t="s">
        <v>8</v>
      </c>
      <c r="BP233" s="27" t="s">
        <v>7</v>
      </c>
      <c r="BQ233" s="27" t="s">
        <v>8</v>
      </c>
      <c r="BR233" s="27" t="s">
        <v>7</v>
      </c>
      <c r="BS233" s="27" t="s">
        <v>8</v>
      </c>
      <c r="BT233" s="27" t="s">
        <v>7</v>
      </c>
      <c r="BU233" s="27" t="s">
        <v>8</v>
      </c>
      <c r="BV233" s="27" t="s">
        <v>7</v>
      </c>
      <c r="BW233" s="27" t="s">
        <v>8</v>
      </c>
      <c r="BX233" s="27" t="s">
        <v>7</v>
      </c>
      <c r="BZ233" s="31"/>
      <c r="DK233" s="27" t="s">
        <v>8</v>
      </c>
    </row>
    <row r="234" spans="1:125" x14ac:dyDescent="0.25">
      <c r="A234" s="30">
        <v>1.3400956406250004</v>
      </c>
      <c r="E234"/>
      <c r="BA234" s="27" t="s">
        <v>8</v>
      </c>
      <c r="BK234" s="27" t="s">
        <v>8</v>
      </c>
      <c r="BL234" s="27" t="s">
        <v>7</v>
      </c>
      <c r="BM234" s="27" t="s">
        <v>8</v>
      </c>
      <c r="BN234" s="27" t="s">
        <v>7</v>
      </c>
      <c r="BP234" s="27" t="s">
        <v>7</v>
      </c>
      <c r="BQ234" s="27" t="s">
        <v>8</v>
      </c>
      <c r="BR234" s="27" t="s">
        <v>7</v>
      </c>
      <c r="BS234" s="27" t="s">
        <v>8</v>
      </c>
      <c r="BT234" s="27" t="s">
        <v>7</v>
      </c>
      <c r="BU234" s="27" t="s">
        <v>8</v>
      </c>
      <c r="BV234" s="27" t="s">
        <v>7</v>
      </c>
      <c r="BW234" s="27" t="s">
        <v>8</v>
      </c>
      <c r="BX234" s="27" t="s">
        <v>7</v>
      </c>
      <c r="CA234" s="31"/>
      <c r="DI234" s="27" t="s">
        <v>8</v>
      </c>
      <c r="DK234" s="27" t="s">
        <v>8</v>
      </c>
      <c r="DL234" s="27" t="s">
        <v>7</v>
      </c>
    </row>
    <row r="235" spans="1:125" x14ac:dyDescent="0.25">
      <c r="A235" s="30">
        <v>1.2762815625000004</v>
      </c>
      <c r="C235"/>
      <c r="E235"/>
      <c r="BA235" s="27" t="s">
        <v>8</v>
      </c>
      <c r="BB235" s="27" t="s">
        <v>7</v>
      </c>
      <c r="BE235" s="27" t="s">
        <v>8</v>
      </c>
      <c r="BK235" s="27" t="s">
        <v>8</v>
      </c>
      <c r="BL235" s="27" t="s">
        <v>7</v>
      </c>
      <c r="BP235" s="33" t="s">
        <v>7</v>
      </c>
      <c r="BQ235" s="27" t="s">
        <v>8</v>
      </c>
      <c r="BR235" s="27" t="s">
        <v>7</v>
      </c>
      <c r="BS235" s="27" t="s">
        <v>8</v>
      </c>
      <c r="BT235" s="27" t="s">
        <v>7</v>
      </c>
      <c r="BU235" s="27" t="s">
        <v>8</v>
      </c>
      <c r="BV235" s="27" t="s">
        <v>7</v>
      </c>
      <c r="BX235" s="27" t="s">
        <v>7</v>
      </c>
      <c r="CB235" s="31"/>
      <c r="DI235" s="27" t="s">
        <v>8</v>
      </c>
      <c r="DJ235" s="27" t="s">
        <v>7</v>
      </c>
      <c r="DK235" s="27" t="s">
        <v>8</v>
      </c>
      <c r="DL235" s="27" t="s">
        <v>7</v>
      </c>
      <c r="DS235" s="27" t="s">
        <v>8</v>
      </c>
    </row>
    <row r="236" spans="1:125" x14ac:dyDescent="0.25">
      <c r="A236" s="30">
        <v>1.2155062500000002</v>
      </c>
      <c r="E236"/>
      <c r="BA236" s="27" t="s">
        <v>8</v>
      </c>
      <c r="BB236" s="27" t="s">
        <v>7</v>
      </c>
      <c r="BE236" s="27" t="s">
        <v>8</v>
      </c>
      <c r="BF236" s="27" t="s">
        <v>7</v>
      </c>
      <c r="BK236" s="27" t="s">
        <v>8</v>
      </c>
      <c r="BP236" s="34" t="s">
        <v>7</v>
      </c>
      <c r="BR236" s="34" t="s">
        <v>7</v>
      </c>
      <c r="BT236" s="27" t="s">
        <v>7</v>
      </c>
      <c r="BU236" s="27" t="s">
        <v>8</v>
      </c>
      <c r="BX236" s="33" t="s">
        <v>7</v>
      </c>
      <c r="CC236" s="31"/>
      <c r="DC236" s="27" t="s">
        <v>8</v>
      </c>
      <c r="DI236" s="27" t="s">
        <v>8</v>
      </c>
      <c r="DJ236" s="27" t="s">
        <v>7</v>
      </c>
      <c r="DK236" s="27" t="s">
        <v>8</v>
      </c>
      <c r="DL236" s="27" t="s">
        <v>7</v>
      </c>
      <c r="DS236" s="27" t="s">
        <v>8</v>
      </c>
      <c r="DT236" s="27" t="s">
        <v>7</v>
      </c>
    </row>
    <row r="237" spans="1:12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A237" s="27" t="s">
        <v>8</v>
      </c>
      <c r="BB237" s="27" t="s">
        <v>7</v>
      </c>
      <c r="BE237" s="27" t="s">
        <v>8</v>
      </c>
      <c r="BF237" s="27" t="s">
        <v>7</v>
      </c>
      <c r="BK237" s="27" t="s">
        <v>8</v>
      </c>
      <c r="BT237" s="33" t="s">
        <v>7</v>
      </c>
      <c r="BU237" s="27" t="s">
        <v>8</v>
      </c>
      <c r="BX237" s="27" t="s">
        <v>7</v>
      </c>
      <c r="CD237" s="31"/>
      <c r="DC237" s="27" t="s">
        <v>8</v>
      </c>
      <c r="DD237" s="27" t="s">
        <v>7</v>
      </c>
      <c r="DG237" s="27" t="s">
        <v>8</v>
      </c>
      <c r="DI237" s="27" t="s">
        <v>8</v>
      </c>
      <c r="DJ237" s="27" t="s">
        <v>7</v>
      </c>
      <c r="DK237" s="27" t="s">
        <v>8</v>
      </c>
      <c r="DL237" s="27" t="s">
        <v>7</v>
      </c>
      <c r="DS237" s="27" t="s">
        <v>8</v>
      </c>
      <c r="DT237" s="27" t="s">
        <v>7</v>
      </c>
    </row>
    <row r="238" spans="1:125" x14ac:dyDescent="0.25">
      <c r="A238" s="30">
        <v>1.1025</v>
      </c>
      <c r="E238"/>
      <c r="BA238" s="27" t="s">
        <v>8</v>
      </c>
      <c r="BB238" s="27" t="s">
        <v>7</v>
      </c>
      <c r="BC238" s="27" t="s">
        <v>8</v>
      </c>
      <c r="BE238" s="27" t="s">
        <v>8</v>
      </c>
      <c r="BF238" s="27" t="s">
        <v>7</v>
      </c>
      <c r="BK238" s="27" t="s">
        <v>8</v>
      </c>
      <c r="BS238" s="31"/>
      <c r="BT238" s="27" t="s">
        <v>7</v>
      </c>
      <c r="BU238" s="27" t="s">
        <v>8</v>
      </c>
      <c r="BX238" s="27" t="s">
        <v>7</v>
      </c>
      <c r="CE238" s="31"/>
      <c r="CQ238" s="27" t="s">
        <v>8</v>
      </c>
      <c r="DC238" s="27" t="s">
        <v>8</v>
      </c>
      <c r="DD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L238" s="27" t="s">
        <v>7</v>
      </c>
      <c r="DS238" s="27" t="s">
        <v>8</v>
      </c>
      <c r="DT238" s="27" t="s">
        <v>7</v>
      </c>
    </row>
    <row r="239" spans="1:125" x14ac:dyDescent="0.25">
      <c r="A239" s="30">
        <v>1.05</v>
      </c>
      <c r="E239"/>
      <c r="BA239" s="27" t="s">
        <v>8</v>
      </c>
      <c r="BB239" s="27" t="s">
        <v>7</v>
      </c>
      <c r="BC239" s="27" t="s">
        <v>8</v>
      </c>
      <c r="BD239" s="27" t="s">
        <v>7</v>
      </c>
      <c r="BE239" s="27" t="s">
        <v>8</v>
      </c>
      <c r="BF239" s="27" t="s">
        <v>7</v>
      </c>
      <c r="BK239" s="27" t="s">
        <v>8</v>
      </c>
      <c r="BR239" s="31"/>
      <c r="BT239" s="27" t="s">
        <v>7</v>
      </c>
      <c r="BU239" s="27" t="s">
        <v>8</v>
      </c>
      <c r="BX239" s="27" t="s">
        <v>7</v>
      </c>
      <c r="CF239" s="31"/>
      <c r="CQ239" s="27" t="s">
        <v>8</v>
      </c>
      <c r="CR239" s="27" t="s">
        <v>7</v>
      </c>
      <c r="DC239" s="27" t="s">
        <v>8</v>
      </c>
      <c r="DD239" s="27" t="s">
        <v>7</v>
      </c>
      <c r="DE239" s="27" t="s">
        <v>8</v>
      </c>
      <c r="DG239" s="27" t="s">
        <v>8</v>
      </c>
      <c r="DH239" s="27" t="s">
        <v>7</v>
      </c>
      <c r="DI239" s="27" t="s">
        <v>8</v>
      </c>
      <c r="DJ239" s="27" t="s">
        <v>7</v>
      </c>
      <c r="DK239" s="27" t="s">
        <v>8</v>
      </c>
      <c r="DL239" s="27" t="s">
        <v>7</v>
      </c>
      <c r="DM239" s="27" t="s">
        <v>8</v>
      </c>
      <c r="DS239" s="27" t="s">
        <v>8</v>
      </c>
      <c r="DT239" s="27" t="s">
        <v>7</v>
      </c>
    </row>
    <row r="240" spans="1:125" x14ac:dyDescent="0.25">
      <c r="A240" s="30">
        <v>1</v>
      </c>
      <c r="E240" s="29" t="s">
        <v>8</v>
      </c>
      <c r="BA240" s="27" t="s">
        <v>8</v>
      </c>
      <c r="BB240" s="27" t="s">
        <v>7</v>
      </c>
      <c r="BC240" s="27" t="s">
        <v>8</v>
      </c>
      <c r="BD240" s="27" t="s">
        <v>7</v>
      </c>
      <c r="BE240" s="27" t="s">
        <v>8</v>
      </c>
      <c r="BF240" s="27" t="s">
        <v>7</v>
      </c>
      <c r="BG240" s="27" t="s">
        <v>8</v>
      </c>
      <c r="BK240" s="32" t="s">
        <v>8</v>
      </c>
      <c r="BQ240" s="31"/>
      <c r="BT240" s="27" t="s">
        <v>7</v>
      </c>
      <c r="BU240" s="27" t="s">
        <v>8</v>
      </c>
      <c r="BX240" s="27" t="s">
        <v>7</v>
      </c>
      <c r="CG240" s="31"/>
      <c r="CQ240" s="27" t="s">
        <v>8</v>
      </c>
      <c r="CR240" s="27" t="s">
        <v>7</v>
      </c>
      <c r="CS240" s="27" t="s">
        <v>8</v>
      </c>
      <c r="DC240" s="27" t="s">
        <v>8</v>
      </c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L240" s="27" t="s">
        <v>7</v>
      </c>
      <c r="DM240" s="27" t="s">
        <v>8</v>
      </c>
      <c r="DN240" s="27" t="s">
        <v>7</v>
      </c>
      <c r="DO240" s="27" t="s">
        <v>8</v>
      </c>
      <c r="DS240" s="27" t="s">
        <v>8</v>
      </c>
      <c r="DT240" s="27" t="s">
        <v>7</v>
      </c>
      <c r="DU240" s="27" t="s">
        <v>8</v>
      </c>
    </row>
    <row r="241" spans="1:130" x14ac:dyDescent="0.25">
      <c r="A241" s="30">
        <v>0.952380952380952</v>
      </c>
      <c r="B241"/>
      <c r="C241"/>
      <c r="D241"/>
      <c r="E241"/>
      <c r="F241" s="27" t="s">
        <v>7</v>
      </c>
      <c r="BA241" s="27" t="s">
        <v>8</v>
      </c>
      <c r="BB241" s="27" t="s">
        <v>7</v>
      </c>
      <c r="BC241" s="27" t="s">
        <v>8</v>
      </c>
      <c r="BD241" s="27" t="s">
        <v>7</v>
      </c>
      <c r="BF241" s="27" t="s">
        <v>7</v>
      </c>
      <c r="BG241" s="27" t="s">
        <v>8</v>
      </c>
      <c r="BH241" s="27" t="s">
        <v>7</v>
      </c>
      <c r="BI241" s="27" t="s">
        <v>8</v>
      </c>
      <c r="BK241" s="27" t="s">
        <v>8</v>
      </c>
      <c r="BP241" s="31"/>
      <c r="BT241" s="27" t="s">
        <v>7</v>
      </c>
      <c r="BX241" s="27" t="s">
        <v>7</v>
      </c>
      <c r="CH241" s="31"/>
      <c r="CQ241" s="27" t="s">
        <v>8</v>
      </c>
      <c r="CR241" s="27" t="s">
        <v>7</v>
      </c>
      <c r="CS241" s="27" t="s">
        <v>8</v>
      </c>
      <c r="CT241" s="27" t="s">
        <v>7</v>
      </c>
      <c r="DA241" s="27" t="s">
        <v>8</v>
      </c>
      <c r="DC241" s="27" t="s">
        <v>8</v>
      </c>
      <c r="DD241" s="27" t="s">
        <v>7</v>
      </c>
      <c r="DE241" s="27" t="s">
        <v>8</v>
      </c>
      <c r="DF241" s="27" t="s">
        <v>7</v>
      </c>
      <c r="DG241" s="27" t="s">
        <v>8</v>
      </c>
      <c r="DH241" s="27" t="s">
        <v>7</v>
      </c>
      <c r="DI241" s="27" t="s">
        <v>8</v>
      </c>
      <c r="DL241" s="27" t="s">
        <v>7</v>
      </c>
      <c r="DM241" s="27" t="s">
        <v>8</v>
      </c>
      <c r="DN241" s="27" t="s">
        <v>7</v>
      </c>
      <c r="DO241" s="27" t="s">
        <v>8</v>
      </c>
      <c r="DP241" s="27" t="s">
        <v>7</v>
      </c>
      <c r="DS241" s="27" t="s">
        <v>8</v>
      </c>
      <c r="DT241" s="27" t="s">
        <v>7</v>
      </c>
      <c r="DU241" s="27" t="s">
        <v>8</v>
      </c>
      <c r="DV241" s="27" t="s">
        <v>7</v>
      </c>
    </row>
    <row r="242" spans="1:130" x14ac:dyDescent="0.25">
      <c r="A242" s="30">
        <v>0.90702947845804915</v>
      </c>
      <c r="B242"/>
      <c r="C242"/>
      <c r="D242"/>
      <c r="E242"/>
      <c r="F242" s="27" t="s">
        <v>7</v>
      </c>
      <c r="BA242" s="27" t="s">
        <v>8</v>
      </c>
      <c r="BB242" s="27" t="s">
        <v>7</v>
      </c>
      <c r="BF242" s="33" t="s">
        <v>7</v>
      </c>
      <c r="BG242" s="27" t="s">
        <v>8</v>
      </c>
      <c r="BH242" s="27" t="s">
        <v>7</v>
      </c>
      <c r="BI242" s="27" t="s">
        <v>8</v>
      </c>
      <c r="BJ242" s="27" t="s">
        <v>7</v>
      </c>
      <c r="BK242" s="27" t="s">
        <v>8</v>
      </c>
      <c r="BO242" s="31"/>
      <c r="BX242" s="27" t="s">
        <v>7</v>
      </c>
      <c r="CI242" s="31"/>
      <c r="CQ242" s="27" t="s">
        <v>8</v>
      </c>
      <c r="CR242" s="27" t="s">
        <v>7</v>
      </c>
      <c r="CS242" s="27" t="s">
        <v>8</v>
      </c>
      <c r="CT242" s="27" t="s">
        <v>7</v>
      </c>
      <c r="CY242" s="27" t="s">
        <v>8</v>
      </c>
      <c r="DA242" s="27" t="s">
        <v>8</v>
      </c>
      <c r="DB242" s="27" t="s">
        <v>7</v>
      </c>
      <c r="DC242" s="27" t="s">
        <v>8</v>
      </c>
      <c r="DD242" s="27" t="s">
        <v>7</v>
      </c>
      <c r="DE242" s="27" t="s">
        <v>8</v>
      </c>
      <c r="DF242" s="27" t="s">
        <v>7</v>
      </c>
      <c r="DG242" s="27" t="s">
        <v>8</v>
      </c>
      <c r="DH242" s="27" t="s">
        <v>7</v>
      </c>
      <c r="DL242" s="27" t="s">
        <v>7</v>
      </c>
      <c r="DM242" s="27" t="s">
        <v>8</v>
      </c>
      <c r="DN242" s="27" t="s">
        <v>7</v>
      </c>
      <c r="DO242" s="27" t="s">
        <v>8</v>
      </c>
      <c r="DP242" s="27" t="s">
        <v>7</v>
      </c>
      <c r="DS242" s="27" t="s">
        <v>8</v>
      </c>
      <c r="DT242" s="27" t="s">
        <v>7</v>
      </c>
      <c r="DU242" s="27" t="s">
        <v>8</v>
      </c>
      <c r="DV242" s="27" t="s">
        <v>7</v>
      </c>
    </row>
    <row r="243" spans="1:130" x14ac:dyDescent="0.25">
      <c r="A243" s="30">
        <v>0.86383759853147501</v>
      </c>
      <c r="B243"/>
      <c r="C243"/>
      <c r="D243"/>
      <c r="E243"/>
      <c r="F243" s="27" t="s">
        <v>7</v>
      </c>
      <c r="BA243" s="27" t="s">
        <v>8</v>
      </c>
      <c r="BF243" s="27" t="s">
        <v>7</v>
      </c>
      <c r="BG243" s="27" t="s">
        <v>8</v>
      </c>
      <c r="BH243" s="27" t="s">
        <v>7</v>
      </c>
      <c r="BI243" s="27" t="s">
        <v>8</v>
      </c>
      <c r="BJ243" s="27" t="s">
        <v>7</v>
      </c>
      <c r="BK243" s="27" t="s">
        <v>8</v>
      </c>
      <c r="BN243" s="31"/>
      <c r="BX243" s="27" t="s">
        <v>7</v>
      </c>
      <c r="BY243" s="27" t="s">
        <v>8</v>
      </c>
      <c r="CJ243" s="31"/>
      <c r="CQ243" s="27" t="s">
        <v>8</v>
      </c>
      <c r="CR243" s="27" t="s">
        <v>7</v>
      </c>
      <c r="CS243" s="27" t="s">
        <v>8</v>
      </c>
      <c r="CT243" s="27" t="s">
        <v>7</v>
      </c>
      <c r="CU243" s="27" t="s">
        <v>8</v>
      </c>
      <c r="CY243" s="27" t="s">
        <v>8</v>
      </c>
      <c r="CZ243" s="27" t="s">
        <v>7</v>
      </c>
      <c r="DA243" s="27" t="s">
        <v>8</v>
      </c>
      <c r="DB243" s="27" t="s">
        <v>7</v>
      </c>
      <c r="DC243" s="27" t="s">
        <v>8</v>
      </c>
      <c r="DD243" s="27" t="s">
        <v>7</v>
      </c>
      <c r="DF243" s="27" t="s">
        <v>7</v>
      </c>
      <c r="DG243" s="27" t="s">
        <v>8</v>
      </c>
      <c r="DL243" s="27" t="s">
        <v>7</v>
      </c>
      <c r="DM243" s="27" t="s">
        <v>8</v>
      </c>
      <c r="DN243" s="27" t="s">
        <v>7</v>
      </c>
      <c r="DP243" s="27" t="s">
        <v>7</v>
      </c>
      <c r="DQ243" s="27" t="s">
        <v>8</v>
      </c>
      <c r="DS243" s="27" t="s">
        <v>8</v>
      </c>
      <c r="DT243" s="27" t="s">
        <v>7</v>
      </c>
      <c r="DU243" s="27" t="s">
        <v>8</v>
      </c>
      <c r="DV243" s="27" t="s">
        <v>7</v>
      </c>
    </row>
    <row r="244" spans="1:130" x14ac:dyDescent="0.25">
      <c r="A244" s="30">
        <v>0.82270247479188063</v>
      </c>
      <c r="B244"/>
      <c r="C244"/>
      <c r="D244"/>
      <c r="E244"/>
      <c r="F244" s="27" t="s">
        <v>7</v>
      </c>
      <c r="BA244" s="27" t="s">
        <v>8</v>
      </c>
      <c r="BF244" s="27" t="s">
        <v>7</v>
      </c>
      <c r="BG244" s="27" t="s">
        <v>8</v>
      </c>
      <c r="BH244" s="27" t="s">
        <v>7</v>
      </c>
      <c r="BI244" s="27" t="s">
        <v>8</v>
      </c>
      <c r="BJ244" s="27" t="s">
        <v>7</v>
      </c>
      <c r="BM244" s="31"/>
      <c r="BX244" s="27" t="s">
        <v>7</v>
      </c>
      <c r="BY244" s="27" t="s">
        <v>8</v>
      </c>
      <c r="BZ244" s="27" t="s">
        <v>7</v>
      </c>
      <c r="CK244" s="31"/>
      <c r="CO244" s="27" t="s">
        <v>8</v>
      </c>
      <c r="CQ244" s="27" t="s">
        <v>8</v>
      </c>
      <c r="CR244" s="27" t="s">
        <v>7</v>
      </c>
      <c r="CT244" s="27" t="s">
        <v>7</v>
      </c>
      <c r="CU244" s="27" t="s">
        <v>8</v>
      </c>
      <c r="CV244" s="27" t="s">
        <v>7</v>
      </c>
      <c r="CY244" s="27" t="s">
        <v>8</v>
      </c>
      <c r="CZ244" s="27" t="s">
        <v>7</v>
      </c>
      <c r="DA244" s="27" t="s">
        <v>8</v>
      </c>
      <c r="DB244" s="27" t="s">
        <v>7</v>
      </c>
      <c r="DF244" s="27" t="s">
        <v>7</v>
      </c>
      <c r="DG244" s="27" t="s">
        <v>8</v>
      </c>
      <c r="DL244" s="27" t="s">
        <v>7</v>
      </c>
      <c r="DP244" s="27" t="s">
        <v>7</v>
      </c>
      <c r="DQ244" s="27" t="s">
        <v>8</v>
      </c>
      <c r="DR244" s="27" t="s">
        <v>7</v>
      </c>
      <c r="DS244" s="27" t="s">
        <v>8</v>
      </c>
      <c r="DT244" s="27" t="s">
        <v>7</v>
      </c>
      <c r="DV244" s="27" t="s">
        <v>7</v>
      </c>
      <c r="DW244" s="27" t="s">
        <v>8</v>
      </c>
    </row>
    <row r="245" spans="1:130" x14ac:dyDescent="0.25">
      <c r="A245" s="30">
        <v>0.78352616646845741</v>
      </c>
      <c r="B245"/>
      <c r="C245"/>
      <c r="D245"/>
      <c r="E245"/>
      <c r="F245" s="27" t="s">
        <v>7</v>
      </c>
      <c r="AY245" s="27" t="s">
        <v>8</v>
      </c>
      <c r="BA245" s="27" t="s">
        <v>8</v>
      </c>
      <c r="BF245" s="34" t="s">
        <v>7</v>
      </c>
      <c r="BH245" s="34" t="s">
        <v>7</v>
      </c>
      <c r="BL245" s="31"/>
      <c r="BX245" s="27" t="s">
        <v>7</v>
      </c>
      <c r="BY245" s="27" t="s">
        <v>8</v>
      </c>
      <c r="BZ245" s="27" t="s">
        <v>7</v>
      </c>
      <c r="CL245" s="31"/>
      <c r="CO245" s="27" t="s">
        <v>8</v>
      </c>
      <c r="CP245" s="27" t="s">
        <v>7</v>
      </c>
      <c r="CQ245" s="27" t="s">
        <v>8</v>
      </c>
      <c r="CT245" s="27" t="s">
        <v>7</v>
      </c>
      <c r="CU245" s="27" t="s">
        <v>8</v>
      </c>
      <c r="CV245" s="27" t="s">
        <v>7</v>
      </c>
      <c r="CY245" s="27" t="s">
        <v>8</v>
      </c>
      <c r="CZ245" s="27" t="s">
        <v>7</v>
      </c>
      <c r="DA245" s="27" t="s">
        <v>8</v>
      </c>
      <c r="DF245" s="27" t="s">
        <v>7</v>
      </c>
      <c r="DP245" s="27" t="s">
        <v>7</v>
      </c>
      <c r="DQ245" s="27" t="s">
        <v>8</v>
      </c>
      <c r="DR245" s="27" t="s">
        <v>7</v>
      </c>
      <c r="DS245" s="27" t="s">
        <v>8</v>
      </c>
      <c r="DV245" s="27" t="s">
        <v>7</v>
      </c>
      <c r="DW245" s="27" t="s">
        <v>8</v>
      </c>
      <c r="DX245" s="27" t="s">
        <v>7</v>
      </c>
    </row>
    <row r="246" spans="1:130" x14ac:dyDescent="0.25">
      <c r="A246" s="30">
        <v>0.74621539663662584</v>
      </c>
      <c r="B246"/>
      <c r="C246"/>
      <c r="D246"/>
      <c r="E246"/>
      <c r="F246" s="27" t="s">
        <v>7</v>
      </c>
      <c r="AY246" s="27" t="s">
        <v>8</v>
      </c>
      <c r="AZ246" s="27" t="s">
        <v>7</v>
      </c>
      <c r="BA246" s="27" t="s">
        <v>8</v>
      </c>
      <c r="BK246" s="31"/>
      <c r="BX246" s="27" t="s">
        <v>7</v>
      </c>
      <c r="BY246" s="27" t="s">
        <v>8</v>
      </c>
      <c r="BZ246" s="27" t="s">
        <v>7</v>
      </c>
      <c r="CC246" s="32" t="s">
        <v>8</v>
      </c>
      <c r="CM246" s="31"/>
      <c r="CO246" s="27" t="s">
        <v>8</v>
      </c>
      <c r="CP246" s="27" t="s">
        <v>7</v>
      </c>
      <c r="CQ246" s="27" t="s">
        <v>8</v>
      </c>
      <c r="CT246" s="27" t="s">
        <v>7</v>
      </c>
      <c r="CU246" s="27" t="s">
        <v>8</v>
      </c>
      <c r="CV246" s="27" t="s">
        <v>7</v>
      </c>
      <c r="CY246" s="27" t="s">
        <v>8</v>
      </c>
      <c r="CZ246" s="27" t="s">
        <v>7</v>
      </c>
      <c r="DP246" s="27" t="s">
        <v>7</v>
      </c>
      <c r="DR246" s="27" t="s">
        <v>7</v>
      </c>
      <c r="DV246" s="27" t="s">
        <v>7</v>
      </c>
      <c r="DW246" s="27" t="s">
        <v>8</v>
      </c>
      <c r="DX246" s="27" t="s">
        <v>7</v>
      </c>
    </row>
    <row r="247" spans="1:130" x14ac:dyDescent="0.25">
      <c r="A247" s="30">
        <v>0.71068133013011958</v>
      </c>
      <c r="B247"/>
      <c r="C247"/>
      <c r="D247"/>
      <c r="E247"/>
      <c r="F247" s="27" t="s">
        <v>7</v>
      </c>
      <c r="AY247" s="27" t="s">
        <v>8</v>
      </c>
      <c r="AZ247" s="27" t="s">
        <v>7</v>
      </c>
      <c r="BA247" s="27" t="s">
        <v>8</v>
      </c>
      <c r="BJ247" s="31"/>
      <c r="BX247" s="27" t="s">
        <v>7</v>
      </c>
      <c r="BY247" s="27" t="s">
        <v>8</v>
      </c>
      <c r="BZ247" s="27" t="s">
        <v>7</v>
      </c>
      <c r="CA247" s="27" t="s">
        <v>8</v>
      </c>
      <c r="CC247" s="27" t="s">
        <v>8</v>
      </c>
      <c r="CD247" s="27" t="s">
        <v>7</v>
      </c>
      <c r="CM247" s="27" t="s">
        <v>8</v>
      </c>
      <c r="CN247" s="31"/>
      <c r="CO247" s="27" t="s">
        <v>8</v>
      </c>
      <c r="CP247" s="27" t="s">
        <v>7</v>
      </c>
      <c r="CT247" s="27" t="s">
        <v>7</v>
      </c>
      <c r="CU247" s="27" t="s">
        <v>8</v>
      </c>
      <c r="CV247" s="27" t="s">
        <v>7</v>
      </c>
      <c r="CW247" s="27" t="s">
        <v>8</v>
      </c>
      <c r="CY247" s="27" t="s">
        <v>8</v>
      </c>
      <c r="DV247" s="27" t="s">
        <v>7</v>
      </c>
      <c r="DW247" s="27" t="s">
        <v>8</v>
      </c>
      <c r="DX247" s="27" t="s">
        <v>7</v>
      </c>
    </row>
    <row r="248" spans="1:130" x14ac:dyDescent="0.25">
      <c r="A248" s="30">
        <v>0.676839362028685</v>
      </c>
      <c r="B248"/>
      <c r="C248"/>
      <c r="D248"/>
      <c r="E248"/>
      <c r="F248" s="27" t="s">
        <v>7</v>
      </c>
      <c r="AW248" s="27" t="s">
        <v>8</v>
      </c>
      <c r="AY248" s="27" t="s">
        <v>8</v>
      </c>
      <c r="AZ248" s="27" t="s">
        <v>7</v>
      </c>
      <c r="BA248" s="27" t="s">
        <v>8</v>
      </c>
      <c r="BI248" s="31"/>
      <c r="BX248" s="27" t="s">
        <v>7</v>
      </c>
      <c r="BY248" s="27" t="s">
        <v>8</v>
      </c>
      <c r="BZ248" s="27" t="s">
        <v>7</v>
      </c>
      <c r="CA248" s="27" t="s">
        <v>8</v>
      </c>
      <c r="CB248" s="27" t="s">
        <v>7</v>
      </c>
      <c r="CC248" s="27" t="s">
        <v>8</v>
      </c>
      <c r="CD248" s="27" t="s">
        <v>7</v>
      </c>
      <c r="CM248" s="27" t="s">
        <v>8</v>
      </c>
      <c r="CN248" s="27" t="s">
        <v>7</v>
      </c>
      <c r="CO248" s="31" t="s">
        <v>8</v>
      </c>
      <c r="CT248" s="27" t="s">
        <v>7</v>
      </c>
      <c r="CV248" s="27" t="s">
        <v>7</v>
      </c>
      <c r="CW248" s="27" t="s">
        <v>8</v>
      </c>
      <c r="CX248" s="27" t="s">
        <v>7</v>
      </c>
      <c r="CY248" s="27" t="s">
        <v>8</v>
      </c>
      <c r="DV248" s="27" t="s">
        <v>7</v>
      </c>
      <c r="DX248" s="27" t="s">
        <v>7</v>
      </c>
      <c r="DY248" s="27" t="s">
        <v>8</v>
      </c>
    </row>
    <row r="249" spans="1:130" x14ac:dyDescent="0.25">
      <c r="A249" s="30">
        <v>0.64460891621779492</v>
      </c>
      <c r="B249"/>
      <c r="C249"/>
      <c r="D249"/>
      <c r="E249"/>
      <c r="F249" s="27" t="s">
        <v>7</v>
      </c>
      <c r="K249" s="27" t="s">
        <v>8</v>
      </c>
      <c r="AU249" s="27" t="s">
        <v>8</v>
      </c>
      <c r="AW249" s="27" t="s">
        <v>8</v>
      </c>
      <c r="AX249" s="27" t="s">
        <v>7</v>
      </c>
      <c r="AY249" s="27" t="s">
        <v>8</v>
      </c>
      <c r="AZ249" s="27" t="s">
        <v>7</v>
      </c>
      <c r="BH249" s="31"/>
      <c r="BX249" s="27" t="s">
        <v>7</v>
      </c>
      <c r="BY249" s="27" t="s">
        <v>8</v>
      </c>
      <c r="BZ249" s="27" t="s">
        <v>7</v>
      </c>
      <c r="CA249" s="27" t="s">
        <v>8</v>
      </c>
      <c r="CB249" s="27" t="s">
        <v>7</v>
      </c>
      <c r="CC249" s="27" t="s">
        <v>8</v>
      </c>
      <c r="CD249" s="27" t="s">
        <v>7</v>
      </c>
      <c r="CM249" s="27" t="s">
        <v>8</v>
      </c>
      <c r="CN249" s="27" t="s">
        <v>7</v>
      </c>
      <c r="CO249" s="27" t="s">
        <v>8</v>
      </c>
      <c r="CP249" s="31"/>
      <c r="CV249" s="27" t="s">
        <v>7</v>
      </c>
      <c r="CW249" s="27" t="s">
        <v>8</v>
      </c>
      <c r="CX249" s="27" t="s">
        <v>7</v>
      </c>
      <c r="CY249" s="27" t="s">
        <v>8</v>
      </c>
      <c r="DX249" s="27" t="s">
        <v>7</v>
      </c>
      <c r="DY249" s="27" t="s">
        <v>8</v>
      </c>
      <c r="DZ249" s="27" t="s">
        <v>7</v>
      </c>
    </row>
    <row r="250" spans="1:130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K250" s="27" t="s">
        <v>8</v>
      </c>
      <c r="L250" s="27" t="s">
        <v>7</v>
      </c>
      <c r="AE250" s="27" t="s">
        <v>8</v>
      </c>
      <c r="AU250" s="27" t="s">
        <v>8</v>
      </c>
      <c r="AV250" s="27" t="s">
        <v>7</v>
      </c>
      <c r="AW250" s="27" t="s">
        <v>8</v>
      </c>
      <c r="AX250" s="27" t="s">
        <v>7</v>
      </c>
      <c r="AY250" s="27" t="s">
        <v>8</v>
      </c>
      <c r="BG250" s="31"/>
      <c r="BX250" s="27" t="s">
        <v>7</v>
      </c>
      <c r="BY250" s="27" t="s">
        <v>8</v>
      </c>
      <c r="BZ250" s="27" t="s">
        <v>7</v>
      </c>
      <c r="CA250" s="27" t="s">
        <v>8</v>
      </c>
      <c r="CB250" s="27" t="s">
        <v>7</v>
      </c>
      <c r="CC250" s="27" t="s">
        <v>8</v>
      </c>
      <c r="CD250" s="27" t="s">
        <v>7</v>
      </c>
      <c r="CK250" s="27" t="s">
        <v>8</v>
      </c>
      <c r="CM250" s="27" t="s">
        <v>8</v>
      </c>
      <c r="CN250" s="27" t="s">
        <v>7</v>
      </c>
      <c r="CO250" s="27" t="s">
        <v>8</v>
      </c>
      <c r="CV250" s="27" t="s">
        <v>7</v>
      </c>
      <c r="CX250" s="27" t="s">
        <v>7</v>
      </c>
      <c r="DX250" s="27" t="s">
        <v>7</v>
      </c>
      <c r="DY250" s="27" t="s">
        <v>8</v>
      </c>
      <c r="DZ250" s="27" t="s">
        <v>7</v>
      </c>
    </row>
    <row r="251" spans="1:130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K251" s="27" t="s">
        <v>8</v>
      </c>
      <c r="L251" s="27" t="s">
        <v>7</v>
      </c>
      <c r="AE251" s="27" t="s">
        <v>8</v>
      </c>
      <c r="AF251" s="27" t="s">
        <v>7</v>
      </c>
      <c r="AG251" s="27" t="s">
        <v>8</v>
      </c>
      <c r="AU251" s="27" t="s">
        <v>8</v>
      </c>
      <c r="AV251" s="27" t="s">
        <v>7</v>
      </c>
      <c r="AW251" s="27" t="s">
        <v>8</v>
      </c>
      <c r="AX251" s="27" t="s">
        <v>7</v>
      </c>
      <c r="AY251" s="27" t="s">
        <v>8</v>
      </c>
      <c r="BF251" s="31"/>
      <c r="BX251" s="27" t="s">
        <v>7</v>
      </c>
      <c r="BY251" s="27" t="s">
        <v>8</v>
      </c>
      <c r="BZ251" s="27" t="s">
        <v>7</v>
      </c>
      <c r="CA251" s="27" t="s">
        <v>8</v>
      </c>
      <c r="CB251" s="27" t="s">
        <v>7</v>
      </c>
      <c r="CC251" s="27" t="s">
        <v>8</v>
      </c>
      <c r="CD251" s="27" t="s">
        <v>7</v>
      </c>
      <c r="CE251" s="27" t="s">
        <v>8</v>
      </c>
      <c r="CK251" s="27" t="s">
        <v>8</v>
      </c>
      <c r="CL251" s="27" t="s">
        <v>7</v>
      </c>
      <c r="CM251" s="27" t="s">
        <v>8</v>
      </c>
      <c r="CN251" s="27" t="s">
        <v>7</v>
      </c>
      <c r="CU251" s="31"/>
      <c r="DX251" s="27" t="s">
        <v>7</v>
      </c>
      <c r="DZ251" s="27" t="s">
        <v>7</v>
      </c>
    </row>
    <row r="252" spans="1:130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AA252" s="27" t="s">
        <v>8</v>
      </c>
      <c r="AE252" s="27" t="s">
        <v>8</v>
      </c>
      <c r="AF252" s="27" t="s">
        <v>7</v>
      </c>
      <c r="AG252" s="27" t="s">
        <v>8</v>
      </c>
      <c r="AH252" s="27" t="s">
        <v>7</v>
      </c>
      <c r="AU252" s="27" t="s">
        <v>8</v>
      </c>
      <c r="AV252" s="27" t="s">
        <v>7</v>
      </c>
      <c r="AW252" s="27" t="s">
        <v>8</v>
      </c>
      <c r="AX252" s="27" t="s">
        <v>7</v>
      </c>
      <c r="AY252" s="27" t="s">
        <v>8</v>
      </c>
      <c r="BE252" s="31"/>
      <c r="BX252" s="27" t="s">
        <v>7</v>
      </c>
      <c r="BY252" s="27" t="s">
        <v>8</v>
      </c>
      <c r="BZ252" s="27" t="s">
        <v>7</v>
      </c>
      <c r="CA252" s="27" t="s">
        <v>8</v>
      </c>
      <c r="CB252" s="27" t="s">
        <v>7</v>
      </c>
      <c r="CC252" s="27" t="s">
        <v>8</v>
      </c>
      <c r="CD252" s="27" t="s">
        <v>7</v>
      </c>
      <c r="CE252" s="27" t="s">
        <v>8</v>
      </c>
      <c r="CF252" s="27" t="s">
        <v>7</v>
      </c>
      <c r="CK252" s="27" t="s">
        <v>8</v>
      </c>
      <c r="CL252" s="27" t="s">
        <v>7</v>
      </c>
      <c r="CM252" s="27" t="s">
        <v>8</v>
      </c>
      <c r="CT252" s="31"/>
      <c r="DZ252" s="27" t="s">
        <v>7</v>
      </c>
    </row>
    <row r="253" spans="1:130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AA253" s="27" t="s">
        <v>8</v>
      </c>
      <c r="AB253" s="27" t="s">
        <v>7</v>
      </c>
      <c r="AE253" s="27" t="s">
        <v>8</v>
      </c>
      <c r="AF253" s="27" t="s">
        <v>7</v>
      </c>
      <c r="AG253" s="27" t="s">
        <v>8</v>
      </c>
      <c r="AH253" s="27" t="s">
        <v>7</v>
      </c>
      <c r="AU253" s="27" t="s">
        <v>8</v>
      </c>
      <c r="AV253" s="27" t="s">
        <v>7</v>
      </c>
      <c r="AW253" s="27" t="s">
        <v>8</v>
      </c>
      <c r="AX253" s="27" t="s">
        <v>7</v>
      </c>
      <c r="AY253" s="27" t="s">
        <v>8</v>
      </c>
      <c r="BD253" s="31"/>
      <c r="BX253" s="27" t="s">
        <v>7</v>
      </c>
      <c r="BZ253" s="27" t="s">
        <v>7</v>
      </c>
      <c r="CA253" s="27" t="s">
        <v>8</v>
      </c>
      <c r="CB253" s="27" t="s">
        <v>7</v>
      </c>
      <c r="CC253" s="27" t="s">
        <v>8</v>
      </c>
      <c r="CD253" s="27" t="s">
        <v>7</v>
      </c>
      <c r="CE253" s="27" t="s">
        <v>8</v>
      </c>
      <c r="CF253" s="27" t="s">
        <v>7</v>
      </c>
      <c r="CK253" s="27" t="s">
        <v>8</v>
      </c>
      <c r="CL253" s="27" t="s">
        <v>7</v>
      </c>
      <c r="CS253" s="31"/>
    </row>
    <row r="254" spans="1:130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I254" s="27" t="s">
        <v>8</v>
      </c>
      <c r="J254" s="27" t="s">
        <v>7</v>
      </c>
      <c r="L254" s="27" t="s">
        <v>7</v>
      </c>
      <c r="AA254" s="27" t="s">
        <v>8</v>
      </c>
      <c r="AB254" s="27" t="s">
        <v>7</v>
      </c>
      <c r="AC254" s="27" t="s">
        <v>8</v>
      </c>
      <c r="AE254" s="27" t="s">
        <v>8</v>
      </c>
      <c r="AF254" s="27" t="s">
        <v>7</v>
      </c>
      <c r="AH254" s="27" t="s">
        <v>7</v>
      </c>
      <c r="AI254" s="27" t="s">
        <v>8</v>
      </c>
      <c r="AU254" s="32" t="s">
        <v>8</v>
      </c>
      <c r="AV254" s="27" t="s">
        <v>7</v>
      </c>
      <c r="AW254" s="27" t="s">
        <v>8</v>
      </c>
      <c r="AX254" s="27" t="s">
        <v>7</v>
      </c>
      <c r="AY254" s="27" t="s">
        <v>8</v>
      </c>
      <c r="BC254" s="31"/>
      <c r="BZ254" s="27" t="s">
        <v>7</v>
      </c>
      <c r="CA254" s="27" t="s">
        <v>8</v>
      </c>
      <c r="CB254" s="27" t="s">
        <v>7</v>
      </c>
      <c r="CD254" s="27" t="s">
        <v>7</v>
      </c>
      <c r="CE254" s="27" t="s">
        <v>8</v>
      </c>
      <c r="CF254" s="27" t="s">
        <v>7</v>
      </c>
      <c r="CK254" s="32" t="s">
        <v>8</v>
      </c>
      <c r="CR254" s="31"/>
    </row>
    <row r="255" spans="1:130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L255" s="27" t="s">
        <v>7</v>
      </c>
      <c r="AA255" s="27" t="s">
        <v>8</v>
      </c>
      <c r="AB255" s="27" t="s">
        <v>7</v>
      </c>
      <c r="AC255" s="27" t="s">
        <v>8</v>
      </c>
      <c r="AD255" s="27" t="s">
        <v>7</v>
      </c>
      <c r="AE255" s="27" t="s">
        <v>8</v>
      </c>
      <c r="AH255" s="27" t="s">
        <v>7</v>
      </c>
      <c r="AI255" s="27" t="s">
        <v>8</v>
      </c>
      <c r="AJ255" s="27" t="s">
        <v>7</v>
      </c>
      <c r="AK255" s="27" t="s">
        <v>8</v>
      </c>
      <c r="AQ255" s="34" t="s">
        <v>8</v>
      </c>
      <c r="AS255" s="34" t="s">
        <v>8</v>
      </c>
      <c r="AU255" s="27" t="s">
        <v>8</v>
      </c>
      <c r="AV255" s="27" t="s">
        <v>7</v>
      </c>
      <c r="AW255" s="27" t="s">
        <v>8</v>
      </c>
      <c r="AX255" s="27" t="s">
        <v>7</v>
      </c>
      <c r="BB255" s="31"/>
      <c r="BZ255" s="27" t="s">
        <v>7</v>
      </c>
      <c r="CA255" s="27" t="s">
        <v>8</v>
      </c>
      <c r="CD255" s="33" t="s">
        <v>7</v>
      </c>
      <c r="CF255" s="27" t="s">
        <v>7</v>
      </c>
      <c r="CI255" s="27" t="s">
        <v>8</v>
      </c>
      <c r="CK255" s="27" t="s">
        <v>8</v>
      </c>
      <c r="CQ255" s="31"/>
    </row>
    <row r="256" spans="1:130" x14ac:dyDescent="0.25">
      <c r="A256" s="30">
        <v>0.45811152199139726</v>
      </c>
      <c r="E256"/>
      <c r="F256" s="27" t="s">
        <v>7</v>
      </c>
      <c r="G256" s="27" t="s">
        <v>8</v>
      </c>
      <c r="L256" s="27" t="s">
        <v>7</v>
      </c>
      <c r="AA256" s="27" t="s">
        <v>8</v>
      </c>
      <c r="AB256" s="27" t="s">
        <v>7</v>
      </c>
      <c r="AC256" s="27" t="s">
        <v>8</v>
      </c>
      <c r="AD256" s="27" t="s">
        <v>7</v>
      </c>
      <c r="AE256" s="27" t="s">
        <v>8</v>
      </c>
      <c r="AH256" s="27" t="s">
        <v>7</v>
      </c>
      <c r="AI256" s="27" t="s">
        <v>8</v>
      </c>
      <c r="AJ256" s="27" t="s">
        <v>7</v>
      </c>
      <c r="AK256" s="27" t="s">
        <v>8</v>
      </c>
      <c r="AL256" s="27" t="s">
        <v>7</v>
      </c>
      <c r="AQ256" s="27" t="s">
        <v>8</v>
      </c>
      <c r="AR256" s="27" t="s">
        <v>7</v>
      </c>
      <c r="AS256" s="27" t="s">
        <v>8</v>
      </c>
      <c r="AT256" s="27" t="s">
        <v>7</v>
      </c>
      <c r="AU256" s="27" t="s">
        <v>8</v>
      </c>
      <c r="AV256" s="27" t="s">
        <v>7</v>
      </c>
      <c r="BA256" s="31"/>
      <c r="BZ256" s="27" t="s">
        <v>7</v>
      </c>
      <c r="CA256" s="27" t="s">
        <v>8</v>
      </c>
      <c r="CF256" s="27" t="s">
        <v>7</v>
      </c>
      <c r="CI256" s="32" t="s">
        <v>8</v>
      </c>
      <c r="CJ256" s="27" t="s">
        <v>7</v>
      </c>
      <c r="CK256" s="27" t="s">
        <v>8</v>
      </c>
      <c r="CP256" s="31"/>
    </row>
    <row r="257" spans="1:93" x14ac:dyDescent="0.25">
      <c r="A257" s="30">
        <v>0.43629668761085438</v>
      </c>
      <c r="B257"/>
      <c r="C257"/>
      <c r="D257"/>
      <c r="E257"/>
      <c r="F257" s="27" t="s">
        <v>7</v>
      </c>
      <c r="L257" s="27" t="s">
        <v>7</v>
      </c>
      <c r="M257" s="27" t="s">
        <v>8</v>
      </c>
      <c r="O257" s="27" t="s">
        <v>8</v>
      </c>
      <c r="AA257" s="27" t="s">
        <v>8</v>
      </c>
      <c r="AB257" s="27" t="s">
        <v>7</v>
      </c>
      <c r="AC257" s="27" t="s">
        <v>8</v>
      </c>
      <c r="AD257" s="27" t="s">
        <v>7</v>
      </c>
      <c r="AH257" s="27" t="s">
        <v>7</v>
      </c>
      <c r="AI257" s="27" t="s">
        <v>8</v>
      </c>
      <c r="AJ257" s="27" t="s">
        <v>7</v>
      </c>
      <c r="AK257" s="27" t="s">
        <v>8</v>
      </c>
      <c r="AL257" s="27" t="s">
        <v>7</v>
      </c>
      <c r="AQ257" s="27" t="s">
        <v>8</v>
      </c>
      <c r="AR257" s="27" t="s">
        <v>7</v>
      </c>
      <c r="AS257" s="27" t="s">
        <v>8</v>
      </c>
      <c r="AT257" s="27" t="s">
        <v>7</v>
      </c>
      <c r="AU257" s="27" t="s">
        <v>8</v>
      </c>
      <c r="AZ257" s="31"/>
      <c r="BZ257" s="27" t="s">
        <v>7</v>
      </c>
      <c r="CA257" s="27" t="s">
        <v>8</v>
      </c>
      <c r="CF257" s="27" t="s">
        <v>7</v>
      </c>
      <c r="CG257" s="27" t="s">
        <v>8</v>
      </c>
      <c r="CI257" s="27" t="s">
        <v>8</v>
      </c>
      <c r="CJ257" s="27" t="s">
        <v>7</v>
      </c>
      <c r="CK257" s="27" t="s">
        <v>8</v>
      </c>
      <c r="CO257" s="31"/>
    </row>
    <row r="258" spans="1:93" x14ac:dyDescent="0.25">
      <c r="A258" s="30">
        <v>0.41552065486748019</v>
      </c>
      <c r="B258"/>
      <c r="C258"/>
      <c r="D258"/>
      <c r="E258"/>
      <c r="L258" s="27" t="s">
        <v>7</v>
      </c>
      <c r="M258" s="27" t="s">
        <v>8</v>
      </c>
      <c r="N258" s="27" t="s">
        <v>7</v>
      </c>
      <c r="O258" s="27" t="s">
        <v>8</v>
      </c>
      <c r="P258" s="27" t="s">
        <v>7</v>
      </c>
      <c r="S258" s="27" t="s">
        <v>8</v>
      </c>
      <c r="U258" s="27" t="s">
        <v>8</v>
      </c>
      <c r="AA258" s="27" t="s">
        <v>8</v>
      </c>
      <c r="AB258" s="27" t="s">
        <v>7</v>
      </c>
      <c r="AH258" s="27" t="s">
        <v>7</v>
      </c>
      <c r="AI258" s="27" t="s">
        <v>8</v>
      </c>
      <c r="AJ258" s="27" t="s">
        <v>7</v>
      </c>
      <c r="AK258" s="27" t="s">
        <v>8</v>
      </c>
      <c r="AL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AY258" s="31"/>
      <c r="BZ258" s="27" t="s">
        <v>7</v>
      </c>
      <c r="CF258" s="27" t="s">
        <v>7</v>
      </c>
      <c r="CG258" s="27" t="s">
        <v>8</v>
      </c>
      <c r="CH258" s="27" t="s">
        <v>7</v>
      </c>
      <c r="CI258" s="27" t="s">
        <v>8</v>
      </c>
      <c r="CJ258" s="27" t="s">
        <v>7</v>
      </c>
      <c r="CK258" s="27" t="s">
        <v>8</v>
      </c>
      <c r="CN258" s="31"/>
    </row>
    <row r="259" spans="1:93" x14ac:dyDescent="0.25">
      <c r="A259" s="30">
        <v>0.39573395701664765</v>
      </c>
      <c r="B259"/>
      <c r="C259"/>
      <c r="D259"/>
      <c r="E259"/>
      <c r="L259" s="27" t="s">
        <v>7</v>
      </c>
      <c r="M259" s="27" t="s">
        <v>8</v>
      </c>
      <c r="N259" s="27" t="s">
        <v>7</v>
      </c>
      <c r="O259" s="27" t="s">
        <v>8</v>
      </c>
      <c r="P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AA259" s="27" t="s">
        <v>8</v>
      </c>
      <c r="AH259" s="27" t="s">
        <v>7</v>
      </c>
      <c r="AJ259" s="27" t="s">
        <v>7</v>
      </c>
      <c r="AK259" s="27" t="s">
        <v>8</v>
      </c>
      <c r="AL259" s="27" t="s">
        <v>7</v>
      </c>
      <c r="AQ259" s="27" t="s">
        <v>8</v>
      </c>
      <c r="AR259" s="27" t="s">
        <v>7</v>
      </c>
      <c r="AT259" s="27" t="s">
        <v>7</v>
      </c>
      <c r="AU259" s="27" t="s">
        <v>8</v>
      </c>
      <c r="AX259" s="31"/>
      <c r="CF259" s="27" t="s">
        <v>7</v>
      </c>
      <c r="CG259" s="27" t="s">
        <v>8</v>
      </c>
      <c r="CH259" s="27" t="s">
        <v>7</v>
      </c>
      <c r="CI259" s="27" t="s">
        <v>8</v>
      </c>
      <c r="CJ259" s="27" t="s">
        <v>7</v>
      </c>
      <c r="CK259" s="27" t="s">
        <v>8</v>
      </c>
      <c r="CM259" s="31"/>
    </row>
    <row r="260" spans="1:93" x14ac:dyDescent="0.25">
      <c r="A260" s="30">
        <v>0.37688948287299762</v>
      </c>
      <c r="B260"/>
      <c r="C260"/>
      <c r="D260"/>
      <c r="E260"/>
      <c r="L260" s="27" t="s">
        <v>7</v>
      </c>
      <c r="M260" s="27" t="s">
        <v>8</v>
      </c>
      <c r="N260" s="27" t="s">
        <v>7</v>
      </c>
      <c r="O260" s="27" t="s">
        <v>8</v>
      </c>
      <c r="P260" s="27" t="s">
        <v>7</v>
      </c>
      <c r="Q260" s="27" t="s">
        <v>8</v>
      </c>
      <c r="S260" s="27" t="s">
        <v>8</v>
      </c>
      <c r="T260" s="27" t="s">
        <v>7</v>
      </c>
      <c r="U260" s="27" t="s">
        <v>8</v>
      </c>
      <c r="V260" s="27" t="s">
        <v>7</v>
      </c>
      <c r="W260" s="27" t="s">
        <v>8</v>
      </c>
      <c r="X260" s="27" t="s">
        <v>7</v>
      </c>
      <c r="Y260" s="27" t="s">
        <v>8</v>
      </c>
      <c r="AA260" s="27" t="s">
        <v>8</v>
      </c>
      <c r="AJ260" s="27" t="s">
        <v>7</v>
      </c>
      <c r="AK260" s="27" t="s">
        <v>8</v>
      </c>
      <c r="AL260" s="27" t="s">
        <v>7</v>
      </c>
      <c r="AO260" s="27" t="s">
        <v>8</v>
      </c>
      <c r="AQ260" s="27" t="s">
        <v>8</v>
      </c>
      <c r="AT260" s="33" t="s">
        <v>7</v>
      </c>
      <c r="AU260" s="27" t="s">
        <v>8</v>
      </c>
      <c r="AW260" s="31"/>
      <c r="CF260" s="27" t="s">
        <v>7</v>
      </c>
      <c r="CG260" s="27" t="s">
        <v>8</v>
      </c>
      <c r="CH260" s="27" t="s">
        <v>7</v>
      </c>
      <c r="CJ260" s="27" t="s">
        <v>7</v>
      </c>
      <c r="CK260" s="27" t="s">
        <v>8</v>
      </c>
      <c r="CL260" s="31"/>
    </row>
    <row r="261" spans="1:93" x14ac:dyDescent="0.25">
      <c r="A261" s="30">
        <v>0.35894236464094997</v>
      </c>
      <c r="B261"/>
      <c r="C261"/>
      <c r="D261"/>
      <c r="E261"/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Q261" s="27" t="s">
        <v>8</v>
      </c>
      <c r="R261" s="27" t="s">
        <v>7</v>
      </c>
      <c r="S261" s="27" t="s">
        <v>8</v>
      </c>
      <c r="T261" s="27" t="s">
        <v>7</v>
      </c>
      <c r="U261" s="27" t="s">
        <v>8</v>
      </c>
      <c r="V261" s="27" t="s">
        <v>7</v>
      </c>
      <c r="W261" s="27" t="s">
        <v>8</v>
      </c>
      <c r="X261" s="27" t="s">
        <v>7</v>
      </c>
      <c r="Y261" s="27" t="s">
        <v>8</v>
      </c>
      <c r="Z261" s="27" t="s">
        <v>7</v>
      </c>
      <c r="AA261" s="27" t="s">
        <v>8</v>
      </c>
      <c r="AJ261" s="27" t="s">
        <v>7</v>
      </c>
      <c r="AL261" s="27" t="s">
        <v>7</v>
      </c>
      <c r="AO261" s="32" t="s">
        <v>8</v>
      </c>
      <c r="AP261" s="27" t="s">
        <v>7</v>
      </c>
      <c r="AQ261" s="27" t="s">
        <v>8</v>
      </c>
      <c r="AT261" s="27" t="s">
        <v>7</v>
      </c>
      <c r="AU261" s="27" t="s">
        <v>8</v>
      </c>
      <c r="AV261" s="31"/>
      <c r="CF261" s="27" t="s">
        <v>7</v>
      </c>
      <c r="CG261" s="27" t="s">
        <v>8</v>
      </c>
      <c r="CJ261" s="33" t="s">
        <v>7</v>
      </c>
      <c r="CK261" s="31" t="s">
        <v>8</v>
      </c>
    </row>
    <row r="262" spans="1:93" x14ac:dyDescent="0.25">
      <c r="A262" s="30">
        <v>0.34184987108661891</v>
      </c>
      <c r="B262"/>
      <c r="C262"/>
      <c r="D262"/>
      <c r="E262"/>
      <c r="L262" s="27" t="s">
        <v>7</v>
      </c>
      <c r="M262" s="27" t="s">
        <v>8</v>
      </c>
      <c r="N262" s="27" t="s">
        <v>7</v>
      </c>
      <c r="O262" s="27" t="s">
        <v>8</v>
      </c>
      <c r="P262" s="27" t="s">
        <v>7</v>
      </c>
      <c r="Q262" s="27" t="s">
        <v>8</v>
      </c>
      <c r="R262" s="27" t="s">
        <v>7</v>
      </c>
      <c r="S262" s="27" t="s">
        <v>8</v>
      </c>
      <c r="T262" s="27" t="s">
        <v>7</v>
      </c>
      <c r="U262" s="27" t="s">
        <v>8</v>
      </c>
      <c r="V262" s="27" t="s">
        <v>7</v>
      </c>
      <c r="X262" s="27" t="s">
        <v>7</v>
      </c>
      <c r="Y262" s="27" t="s">
        <v>8</v>
      </c>
      <c r="Z262" s="27" t="s">
        <v>7</v>
      </c>
      <c r="AA262" s="27" t="s">
        <v>8</v>
      </c>
      <c r="AL262" s="27" t="s">
        <v>7</v>
      </c>
      <c r="AM262" s="27" t="s">
        <v>8</v>
      </c>
      <c r="AO262" s="27" t="s">
        <v>8</v>
      </c>
      <c r="AP262" s="27" t="s">
        <v>7</v>
      </c>
      <c r="AQ262" s="27" t="s">
        <v>8</v>
      </c>
      <c r="AT262" s="27" t="s">
        <v>7</v>
      </c>
      <c r="AU262" s="31" t="s">
        <v>8</v>
      </c>
      <c r="CF262" s="27" t="s">
        <v>7</v>
      </c>
      <c r="CG262" s="27" t="s">
        <v>8</v>
      </c>
      <c r="CJ262" s="31" t="s">
        <v>7</v>
      </c>
    </row>
    <row r="263" spans="1:93" x14ac:dyDescent="0.25">
      <c r="A263" s="30">
        <v>0.32557130579677979</v>
      </c>
      <c r="B263"/>
      <c r="C263"/>
      <c r="D263"/>
      <c r="E263"/>
      <c r="L263" s="27" t="s">
        <v>7</v>
      </c>
      <c r="M263" s="27" t="s">
        <v>8</v>
      </c>
      <c r="N263" s="27" t="s">
        <v>7</v>
      </c>
      <c r="P263" s="27" t="s">
        <v>7</v>
      </c>
      <c r="Q263" s="27" t="s">
        <v>8</v>
      </c>
      <c r="R263" s="27" t="s">
        <v>7</v>
      </c>
      <c r="S263" s="27" t="s">
        <v>8</v>
      </c>
      <c r="T263" s="27" t="s">
        <v>7</v>
      </c>
      <c r="U263" s="27" t="s">
        <v>8</v>
      </c>
      <c r="X263" s="27" t="s">
        <v>7</v>
      </c>
      <c r="Y263" s="27" t="s">
        <v>8</v>
      </c>
      <c r="Z263" s="27" t="s">
        <v>7</v>
      </c>
      <c r="AL263" s="27" t="s">
        <v>7</v>
      </c>
      <c r="AM263" s="27" t="s">
        <v>8</v>
      </c>
      <c r="AN263" s="27" t="s">
        <v>7</v>
      </c>
      <c r="AO263" s="27" t="s">
        <v>8</v>
      </c>
      <c r="AP263" s="27" t="s">
        <v>7</v>
      </c>
      <c r="AQ263" s="27" t="s">
        <v>8</v>
      </c>
      <c r="AT263" s="31" t="s">
        <v>7</v>
      </c>
      <c r="CF263" s="27" t="s">
        <v>7</v>
      </c>
    </row>
    <row r="264" spans="1:93" x14ac:dyDescent="0.25">
      <c r="A264" s="30">
        <v>0.3100679102826473</v>
      </c>
      <c r="B264"/>
      <c r="C264"/>
      <c r="D264"/>
      <c r="E264"/>
      <c r="L264" s="27" t="s">
        <v>7</v>
      </c>
      <c r="M264" s="27" t="s">
        <v>8</v>
      </c>
      <c r="P264" s="27" t="s">
        <v>7</v>
      </c>
      <c r="R264" s="27" t="s">
        <v>7</v>
      </c>
      <c r="T264" s="27" t="s">
        <v>7</v>
      </c>
      <c r="U264" s="27" t="s">
        <v>8</v>
      </c>
      <c r="X264" s="27" t="s">
        <v>7</v>
      </c>
      <c r="Y264" s="27" t="s">
        <v>8</v>
      </c>
      <c r="AL264" s="27" t="s">
        <v>7</v>
      </c>
      <c r="AM264" s="27" t="s">
        <v>8</v>
      </c>
      <c r="AN264" s="27" t="s">
        <v>7</v>
      </c>
      <c r="AO264" s="27" t="s">
        <v>8</v>
      </c>
      <c r="AP264" s="27" t="s">
        <v>7</v>
      </c>
    </row>
    <row r="265" spans="1:93" x14ac:dyDescent="0.25">
      <c r="A265" s="30">
        <v>0.2953027716977592</v>
      </c>
      <c r="B265"/>
      <c r="C265"/>
      <c r="D265"/>
      <c r="E265"/>
      <c r="L265" s="27" t="s">
        <v>7</v>
      </c>
      <c r="M265" s="27" t="s">
        <v>8</v>
      </c>
      <c r="T265" s="27" t="s">
        <v>7</v>
      </c>
      <c r="X265" s="27" t="s">
        <v>7</v>
      </c>
      <c r="Y265" s="27" t="s">
        <v>8</v>
      </c>
      <c r="AL265" s="27" t="s">
        <v>7</v>
      </c>
      <c r="AM265" s="27" t="s">
        <v>8</v>
      </c>
      <c r="AN265" s="27" t="s">
        <v>7</v>
      </c>
    </row>
    <row r="266" spans="1:93" x14ac:dyDescent="0.25">
      <c r="A266" s="30">
        <v>0.28124073495024676</v>
      </c>
      <c r="B266"/>
      <c r="C266"/>
      <c r="D266"/>
      <c r="E266"/>
      <c r="L266" s="27" t="s">
        <v>7</v>
      </c>
      <c r="X266" s="27" t="s">
        <v>7</v>
      </c>
      <c r="Y266" s="27" t="s">
        <v>8</v>
      </c>
      <c r="AL266" s="27" t="s">
        <v>7</v>
      </c>
    </row>
    <row r="267" spans="1:93" x14ac:dyDescent="0.25">
      <c r="A267" s="30">
        <v>0.26784831900023492</v>
      </c>
      <c r="B267"/>
      <c r="C267"/>
      <c r="D267"/>
      <c r="E267"/>
      <c r="X267" s="27" t="s">
        <v>7</v>
      </c>
      <c r="Y267" s="27" t="s">
        <v>8</v>
      </c>
    </row>
    <row r="268" spans="1:93" x14ac:dyDescent="0.25">
      <c r="A268" s="30">
        <v>0.25509363714308075</v>
      </c>
      <c r="B268"/>
      <c r="C268"/>
      <c r="D268"/>
      <c r="E268"/>
      <c r="X268" s="27" t="s">
        <v>7</v>
      </c>
      <c r="Y268" s="27" t="s">
        <v>8</v>
      </c>
    </row>
    <row r="269" spans="1:93" x14ac:dyDescent="0.25">
      <c r="A269" s="30">
        <v>0.24294632108864825</v>
      </c>
      <c r="B269"/>
      <c r="C269"/>
      <c r="D269"/>
      <c r="E269"/>
      <c r="X269" s="27" t="s">
        <v>7</v>
      </c>
    </row>
    <row r="270" spans="1:93" x14ac:dyDescent="0.25">
      <c r="A270" s="30">
        <v>0.23137744865585538</v>
      </c>
      <c r="B270"/>
      <c r="C270"/>
      <c r="D270"/>
      <c r="E270"/>
    </row>
    <row r="271" spans="1:93" x14ac:dyDescent="0.25">
      <c r="A271" s="30">
        <v>0.22035947491033836</v>
      </c>
      <c r="B271"/>
      <c r="C271"/>
      <c r="D271"/>
      <c r="E271"/>
    </row>
    <row r="272" spans="1:9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47" operator="equal">
      <formula>$U$1</formula>
    </cfRule>
    <cfRule type="cellIs" dxfId="67" priority="948" operator="equal">
      <formula>$S$1</formula>
    </cfRule>
  </conditionalFormatting>
  <conditionalFormatting sqref="D136">
    <cfRule type="cellIs" dxfId="66" priority="945" operator="equal">
      <formula>$S$1</formula>
    </cfRule>
    <cfRule type="cellIs" dxfId="65" priority="946" operator="equal">
      <formula>$U$1</formula>
    </cfRule>
  </conditionalFormatting>
  <conditionalFormatting sqref="C162">
    <cfRule type="cellIs" dxfId="64" priority="943" operator="equal">
      <formula>$U$1</formula>
    </cfRule>
    <cfRule type="cellIs" dxfId="63" priority="944" operator="equal">
      <formula>$S$1</formula>
    </cfRule>
  </conditionalFormatting>
  <conditionalFormatting sqref="D162">
    <cfRule type="cellIs" dxfId="62" priority="941" operator="equal">
      <formula>$S$1</formula>
    </cfRule>
    <cfRule type="cellIs" dxfId="61" priority="942" operator="equal">
      <formula>$U$1</formula>
    </cfRule>
  </conditionalFormatting>
  <conditionalFormatting sqref="C187">
    <cfRule type="cellIs" dxfId="60" priority="939" operator="equal">
      <formula>$U$1</formula>
    </cfRule>
    <cfRule type="cellIs" dxfId="59" priority="940" operator="equal">
      <formula>$S$1</formula>
    </cfRule>
  </conditionalFormatting>
  <conditionalFormatting sqref="D187">
    <cfRule type="cellIs" dxfId="58" priority="937" operator="equal">
      <formula>$S$1</formula>
    </cfRule>
    <cfRule type="cellIs" dxfId="57" priority="938" operator="equal">
      <formula>$U$1</formula>
    </cfRule>
  </conditionalFormatting>
  <conditionalFormatting sqref="C212">
    <cfRule type="cellIs" dxfId="56" priority="935" operator="equal">
      <formula>$U$1</formula>
    </cfRule>
    <cfRule type="cellIs" dxfId="55" priority="936" operator="equal">
      <formula>$S$1</formula>
    </cfRule>
  </conditionalFormatting>
  <conditionalFormatting sqref="D212">
    <cfRule type="cellIs" dxfId="54" priority="933" operator="equal">
      <formula>$S$1</formula>
    </cfRule>
    <cfRule type="cellIs" dxfId="53" priority="934" operator="equal">
      <formula>$U$1</formula>
    </cfRule>
  </conditionalFormatting>
  <conditionalFormatting sqref="C237">
    <cfRule type="cellIs" dxfId="52" priority="931" operator="equal">
      <formula>$U$1</formula>
    </cfRule>
    <cfRule type="cellIs" dxfId="51" priority="932" operator="equal">
      <formula>$S$1</formula>
    </cfRule>
  </conditionalFormatting>
  <conditionalFormatting sqref="D237">
    <cfRule type="cellIs" dxfId="50" priority="929" operator="equal">
      <formula>$S$1</formula>
    </cfRule>
    <cfRule type="cellIs" dxfId="49" priority="930" operator="equal">
      <formula>$U$1</formula>
    </cfRule>
  </conditionalFormatting>
  <conditionalFormatting sqref="C106">
    <cfRule type="cellIs" dxfId="48" priority="927" operator="equal">
      <formula>$U$1</formula>
    </cfRule>
    <cfRule type="cellIs" dxfId="47" priority="928" operator="equal">
      <formula>$S$1</formula>
    </cfRule>
  </conditionalFormatting>
  <conditionalFormatting sqref="D106">
    <cfRule type="cellIs" dxfId="46" priority="925" operator="equal">
      <formula>$S$1</formula>
    </cfRule>
    <cfRule type="cellIs" dxfId="45" priority="926" operator="equal">
      <formula>$U$1</formula>
    </cfRule>
  </conditionalFormatting>
  <conditionalFormatting sqref="C81">
    <cfRule type="cellIs" dxfId="44" priority="923" operator="equal">
      <formula>$U$1</formula>
    </cfRule>
    <cfRule type="cellIs" dxfId="43" priority="924" operator="equal">
      <formula>$S$1</formula>
    </cfRule>
  </conditionalFormatting>
  <conditionalFormatting sqref="D81">
    <cfRule type="cellIs" dxfId="42" priority="921" operator="equal">
      <formula>$S$1</formula>
    </cfRule>
    <cfRule type="cellIs" dxfId="41" priority="922" operator="equal">
      <formula>$U$1</formula>
    </cfRule>
  </conditionalFormatting>
  <conditionalFormatting sqref="C56">
    <cfRule type="cellIs" dxfId="40" priority="919" operator="equal">
      <formula>$U$1</formula>
    </cfRule>
    <cfRule type="cellIs" dxfId="39" priority="920" operator="equal">
      <formula>$S$1</formula>
    </cfRule>
  </conditionalFormatting>
  <conditionalFormatting sqref="D56">
    <cfRule type="cellIs" dxfId="38" priority="917" operator="equal">
      <formula>$S$1</formula>
    </cfRule>
    <cfRule type="cellIs" dxfId="37" priority="918" operator="equal">
      <formula>$U$1</formula>
    </cfRule>
  </conditionalFormatting>
  <conditionalFormatting sqref="C31">
    <cfRule type="cellIs" dxfId="36" priority="915" operator="equal">
      <formula>$U$1</formula>
    </cfRule>
    <cfRule type="cellIs" dxfId="35" priority="916" operator="equal">
      <formula>$S$1</formula>
    </cfRule>
  </conditionalFormatting>
  <conditionalFormatting sqref="D31">
    <cfRule type="cellIs" dxfId="34" priority="913" operator="equal">
      <formula>$S$1</formula>
    </cfRule>
    <cfRule type="cellIs" dxfId="33" priority="91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5" zoomScale="90" zoomScaleNormal="90" workbookViewId="0">
      <pane xSplit="4" topLeftCell="G1" activePane="topRight" state="frozen"/>
      <selection activeCell="A109" sqref="A109"/>
      <selection pane="topRight" activeCell="BB127" sqref="BB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$BB$126</v>
      </c>
      <c r="E111"/>
    </row>
    <row r="112" spans="1:5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$BA$127</v>
      </c>
      <c r="E112"/>
    </row>
    <row r="113" spans="1:54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$BC$126</v>
      </c>
    </row>
    <row r="114" spans="1:54" x14ac:dyDescent="0.25">
      <c r="A114" s="30">
        <v>1.9487171000000014</v>
      </c>
      <c r="C114" s="1" t="str">
        <f>ADDRESS(C121,D121,1,1)</f>
        <v>$BB$127</v>
      </c>
      <c r="D114" s="1" t="str">
        <f>ADDRESS(C121+1,D121+1,1,1)</f>
        <v>$BC$128</v>
      </c>
    </row>
    <row r="115" spans="1:54" x14ac:dyDescent="0.25">
      <c r="A115" s="30">
        <v>1.7715610000000011</v>
      </c>
      <c r="C115" s="1" t="str">
        <f>ADDRESS(C121+1,D121,1,1)</f>
        <v>$BB$128</v>
      </c>
      <c r="AG115" s="27" t="s">
        <v>8</v>
      </c>
    </row>
    <row r="116" spans="1:54" x14ac:dyDescent="0.25">
      <c r="A116" s="30">
        <v>1.6105100000000008</v>
      </c>
      <c r="C116" s="1">
        <f>C117-1</f>
        <v>126</v>
      </c>
      <c r="AE116" s="27" t="s">
        <v>8</v>
      </c>
      <c r="AG116" s="27" t="s">
        <v>8</v>
      </c>
      <c r="AH116" s="27" t="s">
        <v>7</v>
      </c>
      <c r="AI116" s="31" t="s">
        <v>8</v>
      </c>
    </row>
    <row r="117" spans="1:54" x14ac:dyDescent="0.25">
      <c r="A117" s="30">
        <v>1.4641000000000006</v>
      </c>
      <c r="C117" s="1">
        <f>C121</f>
        <v>127</v>
      </c>
      <c r="D117" s="1">
        <f>D121</f>
        <v>54</v>
      </c>
      <c r="AE117" s="32" t="s">
        <v>8</v>
      </c>
      <c r="AF117" s="27" t="s">
        <v>7</v>
      </c>
      <c r="AG117" s="27" t="s">
        <v>8</v>
      </c>
      <c r="AH117" s="27" t="s">
        <v>7</v>
      </c>
      <c r="AI117" s="27" t="s">
        <v>8</v>
      </c>
      <c r="AJ117" s="31" t="s">
        <v>7</v>
      </c>
    </row>
    <row r="118" spans="1:54" x14ac:dyDescent="0.25">
      <c r="A118" s="30">
        <v>1.3310000000000004</v>
      </c>
      <c r="C118" s="1">
        <f>C117+1</f>
        <v>128</v>
      </c>
      <c r="D118" s="1">
        <f>D117+1</f>
        <v>55</v>
      </c>
      <c r="AA118" s="34" t="s">
        <v>8</v>
      </c>
      <c r="AC118" s="34" t="s">
        <v>8</v>
      </c>
      <c r="AE118" s="27" t="s">
        <v>8</v>
      </c>
      <c r="AF118" s="27" t="s">
        <v>7</v>
      </c>
      <c r="AG118" s="27" t="s">
        <v>8</v>
      </c>
      <c r="AH118" s="27" t="s">
        <v>7</v>
      </c>
      <c r="AI118" s="27" t="s">
        <v>8</v>
      </c>
      <c r="AJ118" s="27" t="s">
        <v>7</v>
      </c>
      <c r="AK118" s="31"/>
      <c r="AW118" s="27" t="s">
        <v>8</v>
      </c>
      <c r="AY118" s="27" t="s">
        <v>8</v>
      </c>
    </row>
    <row r="119" spans="1:54" x14ac:dyDescent="0.25">
      <c r="A119" s="30">
        <v>1.2100000000000002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H119" s="27" t="s">
        <v>7</v>
      </c>
      <c r="AI119" s="27" t="s">
        <v>8</v>
      </c>
      <c r="AJ119" s="27" t="s">
        <v>7</v>
      </c>
      <c r="AL119" s="31"/>
      <c r="AU119" s="27" t="s">
        <v>8</v>
      </c>
      <c r="AW119" s="27" t="s">
        <v>8</v>
      </c>
      <c r="AX119" s="27" t="s">
        <v>7</v>
      </c>
      <c r="AY119" s="27" t="s">
        <v>8</v>
      </c>
      <c r="AZ119" s="27" t="s">
        <v>7</v>
      </c>
      <c r="BA119" s="27" t="s">
        <v>8</v>
      </c>
    </row>
    <row r="120" spans="1:54" x14ac:dyDescent="0.25">
      <c r="A120" s="30">
        <v>1.1000000000000001</v>
      </c>
      <c r="C120" s="1" t="s">
        <v>9</v>
      </c>
      <c r="AA120" s="27" t="s">
        <v>8</v>
      </c>
      <c r="AB120" s="27" t="s">
        <v>7</v>
      </c>
      <c r="AC120" s="27" t="s">
        <v>8</v>
      </c>
      <c r="AD120" s="27" t="s">
        <v>7</v>
      </c>
      <c r="AE120" s="27" t="s">
        <v>8</v>
      </c>
      <c r="AH120" s="33" t="s">
        <v>7</v>
      </c>
      <c r="AI120" s="31" t="s">
        <v>8</v>
      </c>
      <c r="AJ120" s="27" t="s">
        <v>7</v>
      </c>
      <c r="AM120" s="31"/>
      <c r="AS120" s="27" t="s">
        <v>8</v>
      </c>
      <c r="AU120" s="27" t="s">
        <v>8</v>
      </c>
      <c r="AV120" s="27" t="s">
        <v>7</v>
      </c>
      <c r="AW120" s="27" t="s">
        <v>8</v>
      </c>
      <c r="AX120" s="27" t="s">
        <v>7</v>
      </c>
      <c r="AY120" s="27" t="s">
        <v>8</v>
      </c>
      <c r="AZ120" s="27" t="s">
        <v>7</v>
      </c>
      <c r="BA120" s="27" t="s">
        <v>8</v>
      </c>
      <c r="BB120" s="27" t="s">
        <v>7</v>
      </c>
    </row>
    <row r="121" spans="1:54" x14ac:dyDescent="0.25">
      <c r="A121" s="30">
        <v>1</v>
      </c>
      <c r="C121" s="18">
        <v>127</v>
      </c>
      <c r="D121" s="19">
        <v>54</v>
      </c>
      <c r="E121" s="18" t="s">
        <v>8</v>
      </c>
      <c r="AA121" s="27" t="s">
        <v>8</v>
      </c>
      <c r="AB121" s="27" t="s">
        <v>7</v>
      </c>
      <c r="AC121" s="27" t="s">
        <v>8</v>
      </c>
      <c r="AD121" s="27" t="s">
        <v>7</v>
      </c>
      <c r="AE121" s="27" t="s">
        <v>8</v>
      </c>
      <c r="AH121" s="31" t="s">
        <v>7</v>
      </c>
      <c r="AJ121" s="27" t="s">
        <v>7</v>
      </c>
      <c r="AN121" s="31"/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AZ121" s="27" t="s">
        <v>7</v>
      </c>
      <c r="BA121" s="27" t="s">
        <v>8</v>
      </c>
      <c r="BB121" s="27" t="s">
        <v>7</v>
      </c>
    </row>
    <row r="122" spans="1:54" x14ac:dyDescent="0.25">
      <c r="A122" s="30">
        <v>0.90909090909090895</v>
      </c>
      <c r="C122" s="1" t="str">
        <f>INDEX(1:1048576,C117,D117)</f>
        <v>O</v>
      </c>
      <c r="F122" s="27" t="s">
        <v>7</v>
      </c>
      <c r="AA122" s="27" t="s">
        <v>8</v>
      </c>
      <c r="AB122" s="27" t="s">
        <v>7</v>
      </c>
      <c r="AD122" s="27" t="s">
        <v>7</v>
      </c>
      <c r="AE122" s="27" t="s">
        <v>8</v>
      </c>
      <c r="AG122" s="31"/>
      <c r="AJ122" s="27" t="s">
        <v>7</v>
      </c>
      <c r="AO122" s="31"/>
      <c r="AS122" s="27" t="s">
        <v>8</v>
      </c>
      <c r="AT122" s="27" t="s">
        <v>7</v>
      </c>
      <c r="AU122" s="27" t="s">
        <v>8</v>
      </c>
      <c r="AV122" s="27" t="s">
        <v>7</v>
      </c>
      <c r="AW122" s="27" t="s">
        <v>8</v>
      </c>
      <c r="AZ122" s="27" t="s">
        <v>7</v>
      </c>
      <c r="BA122" s="27" t="s">
        <v>8</v>
      </c>
      <c r="BB122" s="27" t="s">
        <v>7</v>
      </c>
    </row>
    <row r="123" spans="1:54" x14ac:dyDescent="0.25">
      <c r="A123" s="30">
        <v>0.82644628099173523</v>
      </c>
      <c r="C123" s="1" t="str">
        <f>"R"&amp;C121</f>
        <v>R127</v>
      </c>
      <c r="D123" s="1" t="str">
        <f>"C"&amp;D121</f>
        <v>C54</v>
      </c>
      <c r="F123" s="27" t="s">
        <v>7</v>
      </c>
      <c r="AA123" s="27" t="s">
        <v>8</v>
      </c>
      <c r="AD123" s="33" t="s">
        <v>7</v>
      </c>
      <c r="AF123" s="31"/>
      <c r="AJ123" s="27" t="s">
        <v>7</v>
      </c>
      <c r="AK123" s="27" t="s">
        <v>8</v>
      </c>
      <c r="AP123" s="31"/>
      <c r="AS123" s="27" t="s">
        <v>8</v>
      </c>
      <c r="AT123" s="27" t="s">
        <v>7</v>
      </c>
      <c r="AU123" s="27" t="s">
        <v>8</v>
      </c>
      <c r="AV123" s="27" t="s">
        <v>7</v>
      </c>
      <c r="AZ123" s="27" t="s">
        <v>7</v>
      </c>
      <c r="BA123" s="27" t="s">
        <v>8</v>
      </c>
      <c r="BB123" s="27" t="s">
        <v>7</v>
      </c>
    </row>
    <row r="124" spans="1:5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A124" s="27" t="s">
        <v>8</v>
      </c>
      <c r="AE124" s="31"/>
      <c r="AJ124" s="27" t="s">
        <v>7</v>
      </c>
      <c r="AK124" s="27" t="s">
        <v>8</v>
      </c>
      <c r="AL124" s="27" t="s">
        <v>7</v>
      </c>
      <c r="AO124" s="32" t="s">
        <v>8</v>
      </c>
      <c r="AQ124" s="31"/>
      <c r="AS124" s="27" t="s">
        <v>8</v>
      </c>
      <c r="AT124" s="27" t="s">
        <v>7</v>
      </c>
      <c r="AU124" s="27" t="s">
        <v>8</v>
      </c>
      <c r="AZ124" s="27" t="s">
        <v>7</v>
      </c>
      <c r="BB124" s="27" t="s">
        <v>7</v>
      </c>
    </row>
    <row r="125" spans="1:54" x14ac:dyDescent="0.25">
      <c r="A125" s="30">
        <v>0.68301345536507019</v>
      </c>
      <c r="F125" s="27" t="s">
        <v>7</v>
      </c>
      <c r="Y125" s="27" t="s">
        <v>8</v>
      </c>
      <c r="AA125" s="27" t="s">
        <v>8</v>
      </c>
      <c r="AD125" s="31"/>
      <c r="AJ125" s="27" t="s">
        <v>7</v>
      </c>
      <c r="AK125" s="27" t="s">
        <v>8</v>
      </c>
      <c r="AL125" s="27" t="s">
        <v>7</v>
      </c>
      <c r="AM125" s="27" t="s">
        <v>8</v>
      </c>
      <c r="AO125" s="27" t="s">
        <v>8</v>
      </c>
      <c r="AP125" s="27" t="s">
        <v>7</v>
      </c>
      <c r="AR125" s="31"/>
      <c r="AS125" s="27" t="s">
        <v>8</v>
      </c>
      <c r="AT125" s="27" t="s">
        <v>7</v>
      </c>
      <c r="AU125" s="27" t="s">
        <v>8</v>
      </c>
      <c r="BB125" s="27" t="s">
        <v>7</v>
      </c>
    </row>
    <row r="126" spans="1:54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Q126" s="27" t="s">
        <v>8</v>
      </c>
      <c r="W126" s="27" t="s">
        <v>8</v>
      </c>
      <c r="Y126" s="27" t="s">
        <v>8</v>
      </c>
      <c r="Z126" s="27" t="s">
        <v>7</v>
      </c>
      <c r="AA126" s="27" t="s">
        <v>8</v>
      </c>
      <c r="AC126" s="31"/>
      <c r="AJ126" s="27" t="s">
        <v>7</v>
      </c>
      <c r="AK126" s="27" t="s">
        <v>8</v>
      </c>
      <c r="AL126" s="27" t="s">
        <v>7</v>
      </c>
      <c r="AM126" s="27" t="s">
        <v>8</v>
      </c>
      <c r="AN126" s="27" t="s">
        <v>7</v>
      </c>
      <c r="AO126" s="27" t="s">
        <v>8</v>
      </c>
      <c r="AP126" s="27" t="s">
        <v>7</v>
      </c>
      <c r="AS126" s="31" t="s">
        <v>8</v>
      </c>
      <c r="AT126" s="27" t="s">
        <v>7</v>
      </c>
      <c r="BB126" s="27" t="s">
        <v>7</v>
      </c>
    </row>
    <row r="127" spans="1:54" x14ac:dyDescent="0.25">
      <c r="A127" s="30">
        <v>0.56447393005377677</v>
      </c>
      <c r="C127" s="30">
        <v>0.56447393005377677</v>
      </c>
      <c r="D127"/>
      <c r="F127" s="27" t="s">
        <v>7</v>
      </c>
      <c r="G127" s="27" t="s">
        <v>8</v>
      </c>
      <c r="H127" s="27" t="s">
        <v>7</v>
      </c>
      <c r="O127" s="27" t="s">
        <v>8</v>
      </c>
      <c r="Q127" s="27" t="s">
        <v>8</v>
      </c>
      <c r="R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B127" s="31"/>
      <c r="AJ127" s="27" t="s">
        <v>7</v>
      </c>
      <c r="AL127" s="27" t="s">
        <v>7</v>
      </c>
      <c r="AM127" s="27" t="s">
        <v>8</v>
      </c>
      <c r="AN127" s="27" t="s">
        <v>7</v>
      </c>
      <c r="AO127" s="27" t="s">
        <v>8</v>
      </c>
      <c r="AP127" s="27" t="s">
        <v>7</v>
      </c>
      <c r="AS127" s="27" t="s">
        <v>8</v>
      </c>
      <c r="AT127" s="31"/>
      <c r="BB127" s="27" t="s">
        <v>7</v>
      </c>
    </row>
    <row r="128" spans="1:54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O128" s="27" t="s">
        <v>8</v>
      </c>
      <c r="P128" s="27" t="s">
        <v>7</v>
      </c>
      <c r="Q128" s="27" t="s">
        <v>8</v>
      </c>
      <c r="R128" s="27" t="s">
        <v>7</v>
      </c>
      <c r="W128" s="32" t="s">
        <v>8</v>
      </c>
      <c r="X128" s="27" t="s">
        <v>7</v>
      </c>
      <c r="Y128" s="27" t="s">
        <v>8</v>
      </c>
      <c r="Z128" s="27" t="s">
        <v>7</v>
      </c>
      <c r="AA128" s="31"/>
      <c r="AL128" s="27" t="s">
        <v>7</v>
      </c>
      <c r="AM128" s="27" t="s">
        <v>8</v>
      </c>
      <c r="AN128" s="27" t="s">
        <v>7</v>
      </c>
      <c r="AP128" s="27" t="s">
        <v>7</v>
      </c>
      <c r="AS128" s="32" t="s">
        <v>8</v>
      </c>
    </row>
    <row r="129" spans="1:4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H129" s="27" t="s">
        <v>7</v>
      </c>
      <c r="O129" s="32" t="s">
        <v>8</v>
      </c>
      <c r="P129" s="27" t="s">
        <v>7</v>
      </c>
      <c r="Q129" s="27" t="s">
        <v>8</v>
      </c>
      <c r="R129" s="27" t="s">
        <v>7</v>
      </c>
      <c r="S129" s="34" t="s">
        <v>8</v>
      </c>
      <c r="U129" s="34" t="s">
        <v>8</v>
      </c>
      <c r="W129" s="27" t="s">
        <v>8</v>
      </c>
      <c r="X129" s="27" t="s">
        <v>7</v>
      </c>
      <c r="Z129" s="31"/>
      <c r="AL129" s="27" t="s">
        <v>7</v>
      </c>
      <c r="AM129" s="27" t="s">
        <v>8</v>
      </c>
      <c r="AP129" s="33" t="s">
        <v>7</v>
      </c>
      <c r="AQ129" s="18" t="s">
        <v>8</v>
      </c>
      <c r="AS129" s="27" t="s">
        <v>8</v>
      </c>
    </row>
    <row r="130" spans="1:45" x14ac:dyDescent="0.25">
      <c r="A130" s="30">
        <v>0.42409761837248428</v>
      </c>
      <c r="C130" s="6"/>
      <c r="D130" s="6"/>
      <c r="E130"/>
      <c r="H130" s="27" t="s">
        <v>7</v>
      </c>
      <c r="I130" s="34" t="s">
        <v>8</v>
      </c>
      <c r="K130" s="34" t="s">
        <v>8</v>
      </c>
      <c r="M130" s="34" t="s">
        <v>8</v>
      </c>
      <c r="O130" s="27" t="s">
        <v>8</v>
      </c>
      <c r="P130" s="27" t="s">
        <v>7</v>
      </c>
      <c r="R130" s="27" t="s">
        <v>7</v>
      </c>
      <c r="S130" s="27" t="s">
        <v>8</v>
      </c>
      <c r="T130" s="27" t="s">
        <v>7</v>
      </c>
      <c r="U130" s="27" t="s">
        <v>8</v>
      </c>
      <c r="V130" s="27" t="s">
        <v>7</v>
      </c>
      <c r="W130" s="27" t="s">
        <v>8</v>
      </c>
      <c r="Y130" s="31"/>
      <c r="AL130" s="27" t="s">
        <v>7</v>
      </c>
      <c r="AP130" s="27" t="s">
        <v>7</v>
      </c>
      <c r="AQ130" s="27" t="s">
        <v>8</v>
      </c>
      <c r="AR130" s="27" t="s">
        <v>7</v>
      </c>
      <c r="AS130" s="27" t="s">
        <v>8</v>
      </c>
    </row>
    <row r="131" spans="1:45" x14ac:dyDescent="0.25">
      <c r="A131" s="30">
        <v>0.38554328942953109</v>
      </c>
      <c r="E131"/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  <c r="O131" s="27" t="s">
        <v>8</v>
      </c>
      <c r="R131" s="33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X131" s="31"/>
      <c r="AP131" s="27" t="s">
        <v>7</v>
      </c>
      <c r="AQ131" s="27" t="s">
        <v>8</v>
      </c>
      <c r="AR131" s="27" t="s">
        <v>7</v>
      </c>
      <c r="AS131" s="27" t="s">
        <v>8</v>
      </c>
    </row>
    <row r="132" spans="1:45" x14ac:dyDescent="0.25">
      <c r="A132" s="30">
        <v>0.35049389948139187</v>
      </c>
      <c r="C132" s="1" t="s">
        <v>13</v>
      </c>
      <c r="E132"/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O132" s="27" t="s">
        <v>8</v>
      </c>
      <c r="R132" s="27" t="s">
        <v>7</v>
      </c>
      <c r="T132" s="27" t="s">
        <v>7</v>
      </c>
      <c r="U132" s="27" t="s">
        <v>8</v>
      </c>
      <c r="V132" s="27" t="s">
        <v>7</v>
      </c>
      <c r="W132" s="31" t="s">
        <v>8</v>
      </c>
      <c r="AP132" s="34" t="s">
        <v>7</v>
      </c>
      <c r="AR132" s="34" t="s">
        <v>7</v>
      </c>
    </row>
    <row r="133" spans="1:45" x14ac:dyDescent="0.25">
      <c r="A133" s="30">
        <v>0.31863081771035617</v>
      </c>
      <c r="C133" s="1" t="str">
        <f>C122</f>
        <v>O</v>
      </c>
      <c r="E133"/>
      <c r="H133" s="27" t="s">
        <v>7</v>
      </c>
      <c r="I133" s="27" t="s">
        <v>8</v>
      </c>
      <c r="J133" s="34" t="s">
        <v>7</v>
      </c>
      <c r="L133" s="34" t="s">
        <v>7</v>
      </c>
      <c r="N133" s="27" t="s">
        <v>7</v>
      </c>
      <c r="O133" s="27" t="s">
        <v>8</v>
      </c>
      <c r="T133" s="27" t="s">
        <v>7</v>
      </c>
      <c r="U133" s="27" t="s">
        <v>8</v>
      </c>
      <c r="V133" s="31" t="s">
        <v>7</v>
      </c>
    </row>
    <row r="134" spans="1:45" x14ac:dyDescent="0.25">
      <c r="A134" s="30">
        <v>0.28966437973668741</v>
      </c>
      <c r="C134"/>
      <c r="D134"/>
      <c r="E134"/>
      <c r="H134" s="27" t="s">
        <v>7</v>
      </c>
      <c r="N134" s="27" t="s">
        <v>7</v>
      </c>
      <c r="O134" s="27" t="s">
        <v>8</v>
      </c>
      <c r="T134" s="27" t="s">
        <v>7</v>
      </c>
    </row>
    <row r="135" spans="1:45" x14ac:dyDescent="0.25">
      <c r="A135" s="30">
        <v>0.2633312543060794</v>
      </c>
      <c r="C135" s="1" t="s">
        <v>14</v>
      </c>
      <c r="E135"/>
      <c r="N135" s="27" t="s">
        <v>7</v>
      </c>
    </row>
    <row r="136" spans="1:4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45" x14ac:dyDescent="0.25">
      <c r="A137" s="30">
        <v>0.2176291357901482</v>
      </c>
      <c r="E137"/>
    </row>
    <row r="138" spans="1:4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45" x14ac:dyDescent="0.25">
      <c r="A139" s="30">
        <v>0.17985878990921333</v>
      </c>
      <c r="E139"/>
    </row>
    <row r="140" spans="1:45" x14ac:dyDescent="0.25">
      <c r="A140" s="30">
        <v>0.16350799082655756</v>
      </c>
      <c r="C140" s="1">
        <v>0</v>
      </c>
      <c r="E140"/>
    </row>
    <row r="141" spans="1:45" x14ac:dyDescent="0.25">
      <c r="A141" s="30">
        <v>0.14864362802414322</v>
      </c>
      <c r="C141" s="1">
        <v>1</v>
      </c>
      <c r="E141"/>
    </row>
    <row r="142" spans="1:45" x14ac:dyDescent="0.25">
      <c r="A142" s="30">
        <v>0.13513057093103928</v>
      </c>
      <c r="C142" s="1">
        <v>2</v>
      </c>
      <c r="E142"/>
    </row>
    <row r="143" spans="1:45" x14ac:dyDescent="0.25">
      <c r="A143" s="30">
        <v>0.12284597357367205</v>
      </c>
      <c r="C143" s="1">
        <v>3</v>
      </c>
      <c r="E143"/>
    </row>
    <row r="144" spans="1:4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1" operator="equal">
      <formula>$U$1</formula>
    </cfRule>
    <cfRule type="cellIs" dxfId="30" priority="932" operator="equal">
      <formula>$S$1</formula>
    </cfRule>
  </conditionalFormatting>
  <conditionalFormatting sqref="D136">
    <cfRule type="cellIs" dxfId="29" priority="929" operator="equal">
      <formula>$S$1</formula>
    </cfRule>
    <cfRule type="cellIs" dxfId="28" priority="930" operator="equal">
      <formula>$U$1</formula>
    </cfRule>
  </conditionalFormatting>
  <conditionalFormatting sqref="C102">
    <cfRule type="cellIs" dxfId="27" priority="927" operator="equal">
      <formula>$U$1</formula>
    </cfRule>
    <cfRule type="cellIs" dxfId="26" priority="928" operator="equal">
      <formula>$S$1</formula>
    </cfRule>
  </conditionalFormatting>
  <conditionalFormatting sqref="D102">
    <cfRule type="cellIs" dxfId="25" priority="925" operator="equal">
      <formula>$S$1</formula>
    </cfRule>
    <cfRule type="cellIs" dxfId="24" priority="926" operator="equal">
      <formula>$U$1</formula>
    </cfRule>
  </conditionalFormatting>
  <conditionalFormatting sqref="C77">
    <cfRule type="cellIs" dxfId="23" priority="923" operator="equal">
      <formula>$U$1</formula>
    </cfRule>
    <cfRule type="cellIs" dxfId="22" priority="924" operator="equal">
      <formula>$S$1</formula>
    </cfRule>
  </conditionalFormatting>
  <conditionalFormatting sqref="D77">
    <cfRule type="cellIs" dxfId="21" priority="921" operator="equal">
      <formula>$S$1</formula>
    </cfRule>
    <cfRule type="cellIs" dxfId="20" priority="922" operator="equal">
      <formula>$U$1</formula>
    </cfRule>
  </conditionalFormatting>
  <conditionalFormatting sqref="C52">
    <cfRule type="cellIs" dxfId="19" priority="919" operator="equal">
      <formula>$U$1</formula>
    </cfRule>
    <cfRule type="cellIs" dxfId="18" priority="920" operator="equal">
      <formula>$S$1</formula>
    </cfRule>
  </conditionalFormatting>
  <conditionalFormatting sqref="D52">
    <cfRule type="cellIs" dxfId="17" priority="917" operator="equal">
      <formula>$S$1</formula>
    </cfRule>
    <cfRule type="cellIs" dxfId="16" priority="918" operator="equal">
      <formula>$U$1</formula>
    </cfRule>
  </conditionalFormatting>
  <conditionalFormatting sqref="C26">
    <cfRule type="cellIs" dxfId="15" priority="915" operator="equal">
      <formula>$U$1</formula>
    </cfRule>
    <cfRule type="cellIs" dxfId="14" priority="916" operator="equal">
      <formula>$S$1</formula>
    </cfRule>
  </conditionalFormatting>
  <conditionalFormatting sqref="D26">
    <cfRule type="cellIs" dxfId="13" priority="913" operator="equal">
      <formula>$S$1</formula>
    </cfRule>
    <cfRule type="cellIs" dxfId="12" priority="91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0.34184987108661891</v>
      </c>
      <c r="F3" s="30">
        <v>0.35894236464094997</v>
      </c>
      <c r="G3" s="30">
        <v>0.61391325354075688</v>
      </c>
      <c r="H3" s="25">
        <f>IF(G3="","",(3*(G3-F3))+E3)</f>
        <v>1.1067625377860395</v>
      </c>
      <c r="I3" s="7"/>
      <c r="J3" s="7">
        <f>(E3+G3)/2</f>
        <v>0.47788156231368789</v>
      </c>
      <c r="K3" s="7">
        <f>H3/2</f>
        <v>0.55338126889301975</v>
      </c>
      <c r="M3" s="26">
        <f>IF(OR(J3="",H3=""),"",H3/J3)</f>
        <v>2.3159766458190862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2022-01-28T01:19:35Z</dcterms:modified>
</cp:coreProperties>
</file>