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05EB361-F730-4597-864E-4771E12C1B6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90" i="1"/>
  <c r="Q890" i="1" s="1"/>
  <c r="R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90" i="1"/>
  <c r="T890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5"/>
  <c r="C116" i="4"/>
  <c r="C122" i="3"/>
  <c r="C133" i="3" s="1"/>
  <c r="C136" i="3" s="1"/>
  <c r="C116" i="3"/>
  <c r="C122" i="4"/>
  <c r="C133" i="4" s="1"/>
  <c r="C136" i="4" s="1"/>
  <c r="R889" i="1"/>
  <c r="C136" i="5"/>
  <c r="D136" i="5"/>
  <c r="C118" i="3"/>
  <c r="D136" i="3" l="1"/>
  <c r="C138" i="3" s="1"/>
  <c r="C138" i="5"/>
  <c r="D136" i="4"/>
  <c r="C138" i="4" s="1"/>
  <c r="R888" i="1"/>
  <c r="S889" i="1"/>
  <c r="T889" i="1" s="1"/>
  <c r="S888" i="1" l="1"/>
  <c r="T888" i="1" s="1"/>
  <c r="R887" i="1"/>
  <c r="S887" i="1" l="1"/>
  <c r="T887" i="1" s="1"/>
  <c r="R886" i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S879" i="1" l="1"/>
  <c r="T879" i="1" s="1"/>
  <c r="R878" i="1"/>
  <c r="S878" i="1" l="1"/>
  <c r="T878" i="1" s="1"/>
  <c r="R877" i="1"/>
  <c r="S877" i="1" l="1"/>
  <c r="T877" i="1" s="1"/>
  <c r="R876" i="1"/>
  <c r="S876" i="1" l="1"/>
  <c r="T876" i="1" s="1"/>
  <c r="R875" i="1"/>
  <c r="R874" i="1" l="1"/>
  <c r="S875" i="1"/>
  <c r="T875" i="1" s="1"/>
  <c r="S874" i="1" l="1"/>
  <c r="T874" i="1" s="1"/>
  <c r="R873" i="1"/>
  <c r="S873" i="1" l="1"/>
  <c r="T873" i="1" s="1"/>
  <c r="R872" i="1"/>
  <c r="R871" i="1" l="1"/>
  <c r="S872" i="1"/>
  <c r="T872" i="1" s="1"/>
  <c r="S871" i="1" l="1"/>
  <c r="T871" i="1" s="1"/>
  <c r="R870" i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S865" i="1" l="1"/>
  <c r="T865" i="1" s="1"/>
  <c r="R864" i="1"/>
  <c r="R863" i="1" l="1"/>
  <c r="S864" i="1"/>
  <c r="T864" i="1" s="1"/>
  <c r="R862" i="1" l="1"/>
  <c r="S863" i="1"/>
  <c r="T863" i="1" s="1"/>
  <c r="S862" i="1" l="1"/>
  <c r="T862" i="1" s="1"/>
  <c r="R861" i="1"/>
  <c r="S861" i="1" l="1"/>
  <c r="T861" i="1" s="1"/>
  <c r="R860" i="1"/>
  <c r="S860" i="1" l="1"/>
  <c r="T860" i="1" s="1"/>
  <c r="R859" i="1"/>
  <c r="S859" i="1" l="1"/>
  <c r="T859" i="1" s="1"/>
  <c r="R858" i="1"/>
  <c r="R857" i="1" l="1"/>
  <c r="S858" i="1"/>
  <c r="T858" i="1" s="1"/>
  <c r="R856" i="1" l="1"/>
  <c r="S857" i="1"/>
  <c r="T857" i="1" s="1"/>
  <c r="S856" i="1" l="1"/>
  <c r="T856" i="1" s="1"/>
  <c r="R855" i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S851" i="1" l="1"/>
  <c r="T851" i="1" s="1"/>
  <c r="R850" i="1"/>
  <c r="S850" i="1" l="1"/>
  <c r="T850" i="1" s="1"/>
  <c r="R849" i="1"/>
  <c r="R848" i="1" l="1"/>
  <c r="S849" i="1"/>
  <c r="T849" i="1" s="1"/>
  <c r="S848" i="1" l="1"/>
  <c r="T848" i="1" s="1"/>
  <c r="R847" i="1"/>
  <c r="R846" i="1" l="1"/>
  <c r="S847" i="1"/>
  <c r="T847" i="1" s="1"/>
  <c r="S846" i="1" l="1"/>
  <c r="T846" i="1" s="1"/>
  <c r="R845" i="1"/>
  <c r="S845" i="1" l="1"/>
  <c r="T845" i="1" s="1"/>
  <c r="R844" i="1"/>
  <c r="S844" i="1" l="1"/>
  <c r="T844" i="1" s="1"/>
  <c r="R843" i="1"/>
  <c r="S843" i="1" l="1"/>
  <c r="T843" i="1" s="1"/>
  <c r="R842" i="1"/>
  <c r="S842" i="1" l="1"/>
  <c r="T842" i="1" s="1"/>
  <c r="R841" i="1"/>
  <c r="R840" i="1" l="1"/>
  <c r="S841" i="1"/>
  <c r="T841" i="1" s="1"/>
  <c r="S840" i="1" l="1"/>
  <c r="T840" i="1" s="1"/>
  <c r="R839" i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S834" i="1" l="1"/>
  <c r="T834" i="1" s="1"/>
  <c r="R833" i="1"/>
  <c r="R832" i="1" l="1"/>
  <c r="S833" i="1"/>
  <c r="T833" i="1" s="1"/>
  <c r="R831" i="1" l="1"/>
  <c r="S832" i="1"/>
  <c r="T832" i="1" s="1"/>
  <c r="S831" i="1" l="1"/>
  <c r="T831" i="1" s="1"/>
  <c r="R830" i="1"/>
  <c r="S830" i="1" l="1"/>
  <c r="T830" i="1" s="1"/>
  <c r="R829" i="1"/>
  <c r="S829" i="1" l="1"/>
  <c r="T829" i="1" s="1"/>
  <c r="R828" i="1"/>
  <c r="R827" i="1" l="1"/>
  <c r="S828" i="1"/>
  <c r="T828" i="1" s="1"/>
  <c r="R826" i="1" l="1"/>
  <c r="S827" i="1"/>
  <c r="T827" i="1" s="1"/>
  <c r="S826" i="1" l="1"/>
  <c r="T826" i="1" s="1"/>
  <c r="R825" i="1"/>
  <c r="S825" i="1" l="1"/>
  <c r="T825" i="1" s="1"/>
  <c r="R824" i="1"/>
  <c r="R823" i="1" l="1"/>
  <c r="S824" i="1"/>
  <c r="T824" i="1" s="1"/>
  <c r="S823" i="1" l="1"/>
  <c r="T823" i="1" s="1"/>
  <c r="R822" i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S817" i="1" l="1"/>
  <c r="T817" i="1" s="1"/>
  <c r="R816" i="1"/>
  <c r="S816" i="1" l="1"/>
  <c r="T816" i="1" s="1"/>
  <c r="R815" i="1"/>
  <c r="S815" i="1" l="1"/>
  <c r="T815" i="1" s="1"/>
  <c r="R814" i="1"/>
  <c r="R813" i="1" l="1"/>
  <c r="S814" i="1"/>
  <c r="T814" i="1" s="1"/>
  <c r="S813" i="1" l="1"/>
  <c r="T813" i="1" s="1"/>
  <c r="R812" i="1"/>
  <c r="S812" i="1" l="1"/>
  <c r="T812" i="1" s="1"/>
  <c r="R811" i="1"/>
  <c r="S811" i="1" l="1"/>
  <c r="T811" i="1" s="1"/>
  <c r="R810" i="1"/>
  <c r="R809" i="1" l="1"/>
  <c r="S810" i="1"/>
  <c r="T810" i="1" s="1"/>
  <c r="R808" i="1" l="1"/>
  <c r="S809" i="1"/>
  <c r="T809" i="1" s="1"/>
  <c r="R807" i="1" l="1"/>
  <c r="S808" i="1"/>
  <c r="T808" i="1" s="1"/>
  <c r="S807" i="1" l="1"/>
  <c r="T807" i="1" s="1"/>
  <c r="R806" i="1"/>
  <c r="R805" i="1" l="1"/>
  <c r="S806" i="1"/>
  <c r="T806" i="1" s="1"/>
  <c r="R804" i="1" l="1"/>
  <c r="S805" i="1"/>
  <c r="T805" i="1" s="1"/>
  <c r="R803" i="1" l="1"/>
  <c r="S804" i="1"/>
  <c r="T804" i="1" s="1"/>
  <c r="S803" i="1" l="1"/>
  <c r="T803" i="1" s="1"/>
  <c r="R802" i="1"/>
  <c r="S802" i="1" l="1"/>
  <c r="T802" i="1" s="1"/>
  <c r="R801" i="1"/>
  <c r="S801" i="1" l="1"/>
  <c r="T801" i="1" s="1"/>
  <c r="R800" i="1"/>
  <c r="R799" i="1" l="1"/>
  <c r="S800" i="1"/>
  <c r="T800" i="1" s="1"/>
  <c r="S799" i="1" l="1"/>
  <c r="T799" i="1" s="1"/>
  <c r="R798" i="1"/>
  <c r="S798" i="1" l="1"/>
  <c r="T798" i="1" s="1"/>
  <c r="R797" i="1"/>
  <c r="S797" i="1" l="1"/>
  <c r="T797" i="1" s="1"/>
  <c r="R796" i="1"/>
  <c r="R795" i="1" l="1"/>
  <c r="S796" i="1"/>
  <c r="T796" i="1" s="1"/>
  <c r="S795" i="1" l="1"/>
  <c r="T795" i="1" s="1"/>
  <c r="R794" i="1"/>
  <c r="R793" i="1" l="1"/>
  <c r="S794" i="1"/>
  <c r="T794" i="1" s="1"/>
  <c r="S793" i="1" l="1"/>
  <c r="T793" i="1" s="1"/>
  <c r="R792" i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S787" i="1" l="1"/>
  <c r="T787" i="1" s="1"/>
  <c r="R786" i="1"/>
  <c r="R785" i="1" l="1"/>
  <c r="S786" i="1"/>
  <c r="T786" i="1" s="1"/>
  <c r="R784" i="1" l="1"/>
  <c r="S785" i="1"/>
  <c r="T785" i="1" s="1"/>
  <c r="S784" i="1" l="1"/>
  <c r="T784" i="1" s="1"/>
  <c r="R783" i="1"/>
  <c r="S783" i="1" l="1"/>
  <c r="T783" i="1" s="1"/>
  <c r="R782" i="1"/>
  <c r="S782" i="1" l="1"/>
  <c r="T782" i="1" s="1"/>
  <c r="R781" i="1"/>
  <c r="S781" i="1" l="1"/>
  <c r="T781" i="1" s="1"/>
  <c r="R780" i="1"/>
  <c r="R779" i="1" l="1"/>
  <c r="S780" i="1"/>
  <c r="T780" i="1" s="1"/>
  <c r="S779" i="1" l="1"/>
  <c r="T779" i="1" s="1"/>
  <c r="R778" i="1"/>
  <c r="S778" i="1" l="1"/>
  <c r="T778" i="1" s="1"/>
  <c r="R777" i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S772" i="1" l="1"/>
  <c r="T772" i="1" s="1"/>
  <c r="R771" i="1"/>
  <c r="S771" i="1" l="1"/>
  <c r="T771" i="1" s="1"/>
  <c r="R770" i="1"/>
  <c r="S770" i="1" l="1"/>
  <c r="T770" i="1" s="1"/>
  <c r="R769" i="1"/>
  <c r="S769" i="1" l="1"/>
  <c r="T769" i="1" s="1"/>
  <c r="R768" i="1"/>
  <c r="S768" i="1" l="1"/>
  <c r="T768" i="1" s="1"/>
  <c r="R767" i="1"/>
  <c r="S767" i="1" l="1"/>
  <c r="T767" i="1" s="1"/>
  <c r="R766" i="1"/>
  <c r="S766" i="1" l="1"/>
  <c r="T766" i="1" s="1"/>
  <c r="R765" i="1"/>
  <c r="R764" i="1" l="1"/>
  <c r="S765" i="1"/>
  <c r="T765" i="1" s="1"/>
  <c r="S764" i="1" l="1"/>
  <c r="T764" i="1" s="1"/>
  <c r="R763" i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S758" i="1" l="1"/>
  <c r="T758" i="1" s="1"/>
  <c r="R757" i="1"/>
  <c r="R756" i="1" l="1"/>
  <c r="S757" i="1"/>
  <c r="T757" i="1" s="1"/>
  <c r="S756" i="1" l="1"/>
  <c r="T756" i="1" s="1"/>
  <c r="R755" i="1"/>
  <c r="S755" i="1" l="1"/>
  <c r="T755" i="1" s="1"/>
  <c r="R754" i="1"/>
  <c r="R753" i="1" l="1"/>
  <c r="S754" i="1"/>
  <c r="T754" i="1" s="1"/>
  <c r="S753" i="1" l="1"/>
  <c r="T753" i="1" s="1"/>
  <c r="R752" i="1"/>
  <c r="R751" i="1" l="1"/>
  <c r="S752" i="1"/>
  <c r="T752" i="1" s="1"/>
  <c r="S751" i="1" l="1"/>
  <c r="T751" i="1" s="1"/>
  <c r="R750" i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R745" i="1" l="1"/>
  <c r="S746" i="1"/>
  <c r="T746" i="1" s="1"/>
  <c r="S745" i="1" l="1"/>
  <c r="T745" i="1" s="1"/>
  <c r="R744" i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S740" i="1" l="1"/>
  <c r="T740" i="1" s="1"/>
  <c r="R739" i="1"/>
  <c r="S739" i="1" l="1"/>
  <c r="T739" i="1" s="1"/>
  <c r="R738" i="1"/>
  <c r="R737" i="1" l="1"/>
  <c r="S738" i="1"/>
  <c r="T738" i="1" s="1"/>
  <c r="S737" i="1" l="1"/>
  <c r="T737" i="1" s="1"/>
  <c r="R736" i="1"/>
  <c r="S736" i="1" l="1"/>
  <c r="T736" i="1" s="1"/>
  <c r="R735" i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S728" i="1" l="1"/>
  <c r="T728" i="1" s="1"/>
  <c r="R727" i="1"/>
  <c r="S727" i="1" l="1"/>
  <c r="T727" i="1" s="1"/>
  <c r="R726" i="1"/>
  <c r="S726" i="1" l="1"/>
  <c r="T726" i="1" s="1"/>
  <c r="R725" i="1"/>
  <c r="S725" i="1" l="1"/>
  <c r="T725" i="1" s="1"/>
  <c r="R724" i="1"/>
  <c r="R723" i="1" l="1"/>
  <c r="S724" i="1"/>
  <c r="T724" i="1" s="1"/>
  <c r="S723" i="1" l="1"/>
  <c r="T723" i="1" s="1"/>
  <c r="R722" i="1"/>
  <c r="S722" i="1" l="1"/>
  <c r="T722" i="1" s="1"/>
  <c r="R721" i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S714" i="1" l="1"/>
  <c r="T714" i="1" s="1"/>
  <c r="R713" i="1"/>
  <c r="S713" i="1" l="1"/>
  <c r="T713" i="1" s="1"/>
  <c r="R712" i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S703" i="1" l="1"/>
  <c r="T703" i="1" s="1"/>
  <c r="R702" i="1"/>
  <c r="S702" i="1" l="1"/>
  <c r="T702" i="1" s="1"/>
  <c r="R701" i="1"/>
  <c r="S701" i="1" l="1"/>
  <c r="T701" i="1" s="1"/>
  <c r="R700" i="1"/>
  <c r="S700" i="1" l="1"/>
  <c r="T700" i="1" s="1"/>
  <c r="R699" i="1"/>
  <c r="S699" i="1" l="1"/>
  <c r="T699" i="1" s="1"/>
  <c r="R698" i="1"/>
  <c r="S698" i="1" l="1"/>
  <c r="T698" i="1" s="1"/>
  <c r="R697" i="1"/>
  <c r="S697" i="1" l="1"/>
  <c r="T697" i="1" s="1"/>
  <c r="R696" i="1"/>
  <c r="R695" i="1" l="1"/>
  <c r="S696" i="1"/>
  <c r="T696" i="1" s="1"/>
  <c r="R694" i="1" l="1"/>
  <c r="S695" i="1"/>
  <c r="T695" i="1" s="1"/>
  <c r="R693" i="1" l="1"/>
  <c r="S694" i="1"/>
  <c r="T694" i="1" s="1"/>
  <c r="S693" i="1" l="1"/>
  <c r="T693" i="1" s="1"/>
  <c r="R692" i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S685" i="1" l="1"/>
  <c r="T685" i="1" s="1"/>
  <c r="R684" i="1"/>
  <c r="R683" i="1" l="1"/>
  <c r="S684" i="1"/>
  <c r="T684" i="1" s="1"/>
  <c r="R682" i="1" l="1"/>
  <c r="S683" i="1"/>
  <c r="T683" i="1" s="1"/>
  <c r="S682" i="1" l="1"/>
  <c r="T682" i="1" s="1"/>
  <c r="R681" i="1"/>
  <c r="S681" i="1" l="1"/>
  <c r="T681" i="1" s="1"/>
  <c r="R680" i="1"/>
  <c r="S680" i="1" l="1"/>
  <c r="T680" i="1" s="1"/>
  <c r="R679" i="1"/>
  <c r="S679" i="1" l="1"/>
  <c r="T679" i="1" s="1"/>
  <c r="R678" i="1"/>
  <c r="R677" i="1" l="1"/>
  <c r="S678" i="1"/>
  <c r="T678" i="1" s="1"/>
  <c r="S677" i="1" l="1"/>
  <c r="T677" i="1" s="1"/>
  <c r="R676" i="1"/>
  <c r="S676" i="1" l="1"/>
  <c r="T676" i="1" s="1"/>
  <c r="R675" i="1"/>
  <c r="S675" i="1" l="1"/>
  <c r="T675" i="1" s="1"/>
  <c r="R674" i="1"/>
  <c r="R673" i="1" l="1"/>
  <c r="S674" i="1"/>
  <c r="T674" i="1" s="1"/>
  <c r="S673" i="1" l="1"/>
  <c r="T673" i="1" s="1"/>
  <c r="R672" i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S667" i="1" l="1"/>
  <c r="T667" i="1" s="1"/>
  <c r="R666" i="1"/>
  <c r="R665" i="1" l="1"/>
  <c r="S666" i="1"/>
  <c r="T666" i="1" s="1"/>
  <c r="S665" i="1" l="1"/>
  <c r="T665" i="1" s="1"/>
  <c r="R664" i="1"/>
  <c r="S664" i="1" l="1"/>
  <c r="T664" i="1" s="1"/>
  <c r="R663" i="1"/>
  <c r="R662" i="1" l="1"/>
  <c r="S663" i="1"/>
  <c r="T663" i="1" s="1"/>
  <c r="S662" i="1" l="1"/>
  <c r="T662" i="1" s="1"/>
  <c r="R661" i="1"/>
  <c r="S661" i="1" l="1"/>
  <c r="T661" i="1" s="1"/>
  <c r="R660" i="1"/>
  <c r="R659" i="1" l="1"/>
  <c r="S660" i="1"/>
  <c r="T660" i="1" s="1"/>
  <c r="S659" i="1" l="1"/>
  <c r="T659" i="1" s="1"/>
  <c r="R658" i="1"/>
  <c r="R657" i="1" l="1"/>
  <c r="S658" i="1"/>
  <c r="T658" i="1" s="1"/>
  <c r="R656" i="1" l="1"/>
  <c r="S657" i="1"/>
  <c r="T657" i="1" s="1"/>
  <c r="S656" i="1" l="1"/>
  <c r="T656" i="1" s="1"/>
  <c r="R655" i="1"/>
  <c r="R654" i="1" l="1"/>
  <c r="S655" i="1"/>
  <c r="T655" i="1" s="1"/>
  <c r="R653" i="1" l="1"/>
  <c r="S654" i="1"/>
  <c r="T654" i="1" s="1"/>
  <c r="S653" i="1" l="1"/>
  <c r="T653" i="1" s="1"/>
  <c r="R652" i="1"/>
  <c r="R651" i="1" l="1"/>
  <c r="S652" i="1"/>
  <c r="T652" i="1" s="1"/>
  <c r="S651" i="1" l="1"/>
  <c r="T651" i="1" s="1"/>
  <c r="R650" i="1"/>
  <c r="S650" i="1" l="1"/>
  <c r="T650" i="1" s="1"/>
  <c r="R649" i="1"/>
  <c r="R648" i="1" l="1"/>
  <c r="S649" i="1"/>
  <c r="T649" i="1" s="1"/>
  <c r="S648" i="1" l="1"/>
  <c r="T648" i="1" s="1"/>
  <c r="R647" i="1"/>
  <c r="S647" i="1" l="1"/>
  <c r="T647" i="1" s="1"/>
  <c r="R646" i="1"/>
  <c r="S646" i="1" l="1"/>
  <c r="T646" i="1" s="1"/>
  <c r="R645" i="1"/>
  <c r="S645" i="1" l="1"/>
  <c r="T645" i="1" s="1"/>
  <c r="R644" i="1"/>
  <c r="S644" i="1" l="1"/>
  <c r="T644" i="1" s="1"/>
  <c r="R643" i="1"/>
  <c r="R642" i="1" l="1"/>
  <c r="S643" i="1"/>
  <c r="T643" i="1" s="1"/>
  <c r="S642" i="1" l="1"/>
  <c r="T642" i="1" s="1"/>
  <c r="R641" i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S634" i="1" l="1"/>
  <c r="T634" i="1" s="1"/>
  <c r="R633" i="1"/>
  <c r="S633" i="1" l="1"/>
  <c r="T633" i="1" s="1"/>
  <c r="R632" i="1"/>
  <c r="S632" i="1" l="1"/>
  <c r="T632" i="1" s="1"/>
  <c r="R631" i="1"/>
  <c r="S631" i="1" l="1"/>
  <c r="T631" i="1" s="1"/>
  <c r="R630" i="1"/>
  <c r="S630" i="1" l="1"/>
  <c r="T630" i="1" s="1"/>
  <c r="R629" i="1"/>
  <c r="S629" i="1" l="1"/>
  <c r="T629" i="1" s="1"/>
  <c r="R628" i="1"/>
  <c r="S628" i="1" l="1"/>
  <c r="T628" i="1" s="1"/>
  <c r="R627" i="1"/>
  <c r="S627" i="1" l="1"/>
  <c r="T627" i="1" s="1"/>
  <c r="R626" i="1"/>
  <c r="S626" i="1" l="1"/>
  <c r="T626" i="1" s="1"/>
  <c r="R625" i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S620" i="1" l="1"/>
  <c r="T620" i="1" s="1"/>
  <c r="R619" i="1"/>
  <c r="R618" i="1" l="1"/>
  <c r="S619" i="1"/>
  <c r="T619" i="1" s="1"/>
  <c r="S618" i="1" l="1"/>
  <c r="T618" i="1" s="1"/>
  <c r="R617" i="1"/>
  <c r="S617" i="1" l="1"/>
  <c r="T617" i="1" s="1"/>
  <c r="R616" i="1"/>
  <c r="S616" i="1" l="1"/>
  <c r="T616" i="1" s="1"/>
  <c r="R615" i="1"/>
  <c r="S615" i="1" l="1"/>
  <c r="T615" i="1" s="1"/>
  <c r="R614" i="1"/>
  <c r="S614" i="1" l="1"/>
  <c r="T614" i="1" s="1"/>
  <c r="R613" i="1"/>
  <c r="R612" i="1" l="1"/>
  <c r="S613" i="1"/>
  <c r="T613" i="1" s="1"/>
  <c r="R611" i="1" l="1"/>
  <c r="S612" i="1"/>
  <c r="T612" i="1" s="1"/>
  <c r="S611" i="1" l="1"/>
  <c r="T611" i="1" s="1"/>
  <c r="R610" i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S606" i="1" l="1"/>
  <c r="T606" i="1" s="1"/>
  <c r="R605" i="1"/>
  <c r="S605" i="1" l="1"/>
  <c r="T605" i="1" s="1"/>
  <c r="R604" i="1"/>
  <c r="R603" i="1" l="1"/>
  <c r="S604" i="1"/>
  <c r="T604" i="1" s="1"/>
  <c r="S603" i="1" l="1"/>
  <c r="T603" i="1" s="1"/>
  <c r="R602" i="1"/>
  <c r="S602" i="1" l="1"/>
  <c r="T602" i="1" s="1"/>
  <c r="R601" i="1"/>
  <c r="S601" i="1" l="1"/>
  <c r="T601" i="1" s="1"/>
  <c r="R600" i="1"/>
  <c r="S600" i="1" l="1"/>
  <c r="T600" i="1" s="1"/>
  <c r="R599" i="1"/>
  <c r="R598" i="1" l="1"/>
  <c r="S599" i="1"/>
  <c r="T599" i="1" s="1"/>
  <c r="R597" i="1" l="1"/>
  <c r="S598" i="1"/>
  <c r="T598" i="1" s="1"/>
  <c r="S597" i="1" l="1"/>
  <c r="T597" i="1" s="1"/>
  <c r="R596" i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S591" i="1" l="1"/>
  <c r="T591" i="1" s="1"/>
  <c r="R590" i="1"/>
  <c r="R589" i="1" l="1"/>
  <c r="S590" i="1"/>
  <c r="T590" i="1" s="1"/>
  <c r="S589" i="1" l="1"/>
  <c r="T589" i="1" s="1"/>
  <c r="R588" i="1"/>
  <c r="S588" i="1" l="1"/>
  <c r="T588" i="1" s="1"/>
  <c r="R587" i="1"/>
  <c r="S587" i="1" l="1"/>
  <c r="T587" i="1" s="1"/>
  <c r="R586" i="1"/>
  <c r="S586" i="1" l="1"/>
  <c r="T586" i="1" s="1"/>
  <c r="R585" i="1"/>
  <c r="S585" i="1" l="1"/>
  <c r="T585" i="1" s="1"/>
  <c r="R584" i="1"/>
  <c r="R583" i="1" l="1"/>
  <c r="S584" i="1"/>
  <c r="T584" i="1" s="1"/>
  <c r="S583" i="1" l="1"/>
  <c r="T583" i="1" s="1"/>
  <c r="R582" i="1"/>
  <c r="S582" i="1" l="1"/>
  <c r="T582" i="1" s="1"/>
  <c r="R581" i="1"/>
  <c r="R580" i="1" l="1"/>
  <c r="S581" i="1"/>
  <c r="T581" i="1" s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S571" i="1" l="1"/>
  <c r="T571" i="1" s="1"/>
  <c r="R570" i="1"/>
  <c r="R569" i="1" l="1"/>
  <c r="S570" i="1"/>
  <c r="T570" i="1" s="1"/>
  <c r="S569" i="1" l="1"/>
  <c r="T569" i="1" s="1"/>
  <c r="R568" i="1"/>
  <c r="S568" i="1" l="1"/>
  <c r="T568" i="1" s="1"/>
  <c r="R567" i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S563" i="1" l="1"/>
  <c r="T563" i="1" s="1"/>
  <c r="R562" i="1"/>
  <c r="R561" i="1" l="1"/>
  <c r="S562" i="1"/>
  <c r="T562" i="1" s="1"/>
  <c r="S561" i="1" l="1"/>
  <c r="T561" i="1" s="1"/>
  <c r="R560" i="1"/>
  <c r="R559" i="1" l="1"/>
  <c r="S560" i="1"/>
  <c r="T560" i="1" s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S555" i="1" l="1"/>
  <c r="T555" i="1" s="1"/>
  <c r="R554" i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S549" i="1" l="1"/>
  <c r="T549" i="1" s="1"/>
  <c r="R548" i="1"/>
  <c r="S548" i="1" l="1"/>
  <c r="T548" i="1" s="1"/>
  <c r="R547" i="1"/>
  <c r="S547" i="1" l="1"/>
  <c r="T547" i="1" s="1"/>
  <c r="R546" i="1"/>
  <c r="S546" i="1" l="1"/>
  <c r="T546" i="1" s="1"/>
  <c r="R545" i="1"/>
  <c r="R544" i="1" l="1"/>
  <c r="S545" i="1"/>
  <c r="T545" i="1" s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S538" i="1" l="1"/>
  <c r="T538" i="1" s="1"/>
  <c r="R537" i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S533" i="1" l="1"/>
  <c r="T533" i="1" s="1"/>
  <c r="R532" i="1"/>
  <c r="S532" i="1" l="1"/>
  <c r="T532" i="1" s="1"/>
  <c r="R531" i="1"/>
  <c r="R530" i="1" l="1"/>
  <c r="S531" i="1"/>
  <c r="T531" i="1" s="1"/>
  <c r="S530" i="1" l="1"/>
  <c r="T530" i="1" s="1"/>
  <c r="R529" i="1"/>
  <c r="S529" i="1" l="1"/>
  <c r="T529" i="1" s="1"/>
  <c r="R528" i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S523" i="1" l="1"/>
  <c r="T523" i="1" s="1"/>
  <c r="R522" i="1"/>
  <c r="R521" i="1" l="1"/>
  <c r="S522" i="1"/>
  <c r="T522" i="1" s="1"/>
  <c r="S521" i="1" l="1"/>
  <c r="T521" i="1" s="1"/>
  <c r="R520" i="1"/>
  <c r="S520" i="1" l="1"/>
  <c r="T520" i="1" s="1"/>
  <c r="R519" i="1"/>
  <c r="S519" i="1" l="1"/>
  <c r="T519" i="1" s="1"/>
  <c r="R518" i="1"/>
  <c r="S518" i="1" l="1"/>
  <c r="T518" i="1" s="1"/>
  <c r="R517" i="1"/>
  <c r="S517" i="1" l="1"/>
  <c r="T517" i="1" s="1"/>
  <c r="R516" i="1"/>
  <c r="R515" i="1" l="1"/>
  <c r="S516" i="1"/>
  <c r="T516" i="1" s="1"/>
  <c r="S515" i="1" l="1"/>
  <c r="T515" i="1" s="1"/>
  <c r="R514" i="1"/>
  <c r="S514" i="1" l="1"/>
  <c r="T514" i="1" s="1"/>
  <c r="R513" i="1"/>
  <c r="S513" i="1" l="1"/>
  <c r="T513" i="1" s="1"/>
  <c r="R512" i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S501" i="1" l="1"/>
  <c r="T501" i="1" s="1"/>
  <c r="R500" i="1"/>
  <c r="S500" i="1" l="1"/>
  <c r="T500" i="1" s="1"/>
  <c r="R499" i="1"/>
  <c r="S499" i="1" l="1"/>
  <c r="T499" i="1" s="1"/>
  <c r="R498" i="1"/>
  <c r="R497" i="1" l="1"/>
  <c r="S498" i="1"/>
  <c r="T498" i="1" s="1"/>
  <c r="S497" i="1" l="1"/>
  <c r="T497" i="1" s="1"/>
  <c r="R496" i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S486" i="1" l="1"/>
  <c r="T486" i="1" s="1"/>
  <c r="R485" i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S470" i="1" l="1"/>
  <c r="T470" i="1" s="1"/>
  <c r="R469" i="1"/>
  <c r="S469" i="1" l="1"/>
  <c r="T469" i="1" s="1"/>
  <c r="R468" i="1"/>
  <c r="S468" i="1" l="1"/>
  <c r="T468" i="1" s="1"/>
  <c r="R467" i="1"/>
  <c r="S467" i="1" l="1"/>
  <c r="T467" i="1" s="1"/>
  <c r="R466" i="1"/>
  <c r="S466" i="1" l="1"/>
  <c r="T466" i="1" s="1"/>
  <c r="R465" i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S458" i="1" l="1"/>
  <c r="T458" i="1" s="1"/>
  <c r="R457" i="1"/>
  <c r="S457" i="1" l="1"/>
  <c r="T457" i="1" s="1"/>
  <c r="R456" i="1"/>
  <c r="S456" i="1" l="1"/>
  <c r="T456" i="1" s="1"/>
  <c r="R455" i="1"/>
  <c r="S455" i="1" l="1"/>
  <c r="T455" i="1" s="1"/>
  <c r="R454" i="1"/>
  <c r="S454" i="1" l="1"/>
  <c r="T454" i="1" s="1"/>
  <c r="R453" i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S446" i="1" l="1"/>
  <c r="T446" i="1" s="1"/>
  <c r="R445" i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S441" i="1" l="1"/>
  <c r="T441" i="1" s="1"/>
  <c r="R440" i="1"/>
  <c r="R439" i="1" l="1"/>
  <c r="S440" i="1"/>
  <c r="T440" i="1" s="1"/>
  <c r="S439" i="1" l="1"/>
  <c r="T439" i="1" s="1"/>
  <c r="R438" i="1"/>
  <c r="S438" i="1" l="1"/>
  <c r="T438" i="1" s="1"/>
  <c r="R437" i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S428" i="1" l="1"/>
  <c r="T428" i="1" s="1"/>
  <c r="R427" i="1"/>
  <c r="S427" i="1" l="1"/>
  <c r="T427" i="1" s="1"/>
  <c r="R426" i="1"/>
  <c r="S426" i="1" l="1"/>
  <c r="T426" i="1" s="1"/>
  <c r="R425" i="1"/>
  <c r="S425" i="1" l="1"/>
  <c r="T425" i="1" s="1"/>
  <c r="R424" i="1"/>
  <c r="R423" i="1" l="1"/>
  <c r="S424" i="1"/>
  <c r="T424" i="1" s="1"/>
  <c r="R422" i="1" l="1"/>
  <c r="S423" i="1"/>
  <c r="T423" i="1" s="1"/>
  <c r="S422" i="1" l="1"/>
  <c r="T422" i="1" s="1"/>
  <c r="R421" i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R414" i="1" l="1"/>
  <c r="S415" i="1"/>
  <c r="T415" i="1" s="1"/>
  <c r="S414" i="1" l="1"/>
  <c r="T414" i="1" s="1"/>
  <c r="R413" i="1"/>
  <c r="S413" i="1" l="1"/>
  <c r="T413" i="1" s="1"/>
  <c r="R412" i="1"/>
  <c r="S412" i="1" l="1"/>
  <c r="T412" i="1" s="1"/>
  <c r="R411" i="1"/>
  <c r="S411" i="1" l="1"/>
  <c r="T411" i="1" s="1"/>
  <c r="R410" i="1"/>
  <c r="R409" i="1" l="1"/>
  <c r="S410" i="1"/>
  <c r="T410" i="1" s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S397" i="1" l="1"/>
  <c r="T397" i="1" s="1"/>
  <c r="R396" i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R391" i="1" l="1"/>
  <c r="S392" i="1"/>
  <c r="T392" i="1" s="1"/>
  <c r="S391" i="1" l="1"/>
  <c r="T391" i="1" s="1"/>
  <c r="R390" i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R381" i="1" l="1"/>
  <c r="S382" i="1"/>
  <c r="T382" i="1" s="1"/>
  <c r="S381" i="1" l="1"/>
  <c r="T381" i="1" s="1"/>
  <c r="R380" i="1"/>
  <c r="R379" i="1" l="1"/>
  <c r="S380" i="1"/>
  <c r="T380" i="1" s="1"/>
  <c r="S379" i="1" l="1"/>
  <c r="T379" i="1" s="1"/>
  <c r="R378" i="1"/>
  <c r="R377" i="1" l="1"/>
  <c r="S378" i="1"/>
  <c r="T378" i="1" s="1"/>
  <c r="S377" i="1" l="1"/>
  <c r="T377" i="1" s="1"/>
  <c r="R376" i="1"/>
  <c r="R375" i="1" l="1"/>
  <c r="S376" i="1"/>
  <c r="T376" i="1" s="1"/>
  <c r="S375" i="1" l="1"/>
  <c r="T375" i="1" s="1"/>
  <c r="R374" i="1"/>
  <c r="R373" i="1" l="1"/>
  <c r="S374" i="1"/>
  <c r="T374" i="1" s="1"/>
  <c r="S373" i="1" l="1"/>
  <c r="T373" i="1" s="1"/>
  <c r="R372" i="1"/>
  <c r="R371" i="1" l="1"/>
  <c r="S372" i="1"/>
  <c r="T372" i="1" s="1"/>
  <c r="S371" i="1" l="1"/>
  <c r="T371" i="1" s="1"/>
  <c r="R370" i="1"/>
  <c r="R369" i="1" l="1"/>
  <c r="S370" i="1"/>
  <c r="T370" i="1" s="1"/>
  <c r="S369" i="1" l="1"/>
  <c r="T369" i="1" s="1"/>
  <c r="R368" i="1"/>
  <c r="R367" i="1" l="1"/>
  <c r="S368" i="1"/>
  <c r="T368" i="1" s="1"/>
  <c r="R366" i="1" l="1"/>
  <c r="S367" i="1"/>
  <c r="T367" i="1" s="1"/>
  <c r="R365" i="1" l="1"/>
  <c r="S366" i="1"/>
  <c r="T366" i="1" s="1"/>
  <c r="S365" i="1" l="1"/>
  <c r="T365" i="1" s="1"/>
  <c r="R364" i="1"/>
  <c r="S364" i="1" l="1"/>
  <c r="T364" i="1" s="1"/>
  <c r="R363" i="1"/>
  <c r="S363" i="1" l="1"/>
  <c r="T363" i="1" s="1"/>
  <c r="R362" i="1"/>
  <c r="R361" i="1" l="1"/>
  <c r="S362" i="1"/>
  <c r="T362" i="1" s="1"/>
  <c r="S361" i="1" l="1"/>
  <c r="T361" i="1" s="1"/>
  <c r="R360" i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S351" i="1" l="1"/>
  <c r="T351" i="1" s="1"/>
  <c r="R350" i="1"/>
  <c r="R349" i="1" l="1"/>
  <c r="S350" i="1"/>
  <c r="T350" i="1" s="1"/>
  <c r="R348" i="1" l="1"/>
  <c r="S349" i="1"/>
  <c r="T349" i="1" s="1"/>
  <c r="R347" i="1" l="1"/>
  <c r="S348" i="1"/>
  <c r="T348" i="1" s="1"/>
  <c r="S347" i="1" l="1"/>
  <c r="T347" i="1" s="1"/>
  <c r="R346" i="1"/>
  <c r="S346" i="1" l="1"/>
  <c r="T346" i="1" s="1"/>
  <c r="R345" i="1"/>
  <c r="S345" i="1" l="1"/>
  <c r="T345" i="1" s="1"/>
  <c r="R344" i="1"/>
  <c r="R343" i="1" l="1"/>
  <c r="S344" i="1"/>
  <c r="T344" i="1" s="1"/>
  <c r="S343" i="1" l="1"/>
  <c r="T343" i="1" s="1"/>
  <c r="R342" i="1"/>
  <c r="S342" i="1" l="1"/>
  <c r="T342" i="1" s="1"/>
  <c r="R341" i="1"/>
  <c r="S341" i="1" l="1"/>
  <c r="T341" i="1" s="1"/>
  <c r="R340" i="1"/>
  <c r="S340" i="1" l="1"/>
  <c r="T340" i="1" s="1"/>
  <c r="R339" i="1"/>
  <c r="S339" i="1" l="1"/>
  <c r="T339" i="1" s="1"/>
  <c r="R338" i="1"/>
  <c r="S338" i="1" l="1"/>
  <c r="T338" i="1" s="1"/>
  <c r="R337" i="1"/>
  <c r="S337" i="1" l="1"/>
  <c r="T337" i="1" s="1"/>
  <c r="R336" i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R329" i="1" l="1"/>
  <c r="S330" i="1"/>
  <c r="T330" i="1" s="1"/>
  <c r="S329" i="1" l="1"/>
  <c r="T329" i="1" s="1"/>
  <c r="R328" i="1"/>
  <c r="S328" i="1" l="1"/>
  <c r="T328" i="1" s="1"/>
  <c r="R327" i="1"/>
  <c r="R326" i="1" l="1"/>
  <c r="S327" i="1"/>
  <c r="T327" i="1" s="1"/>
  <c r="S326" i="1" l="1"/>
  <c r="T326" i="1" s="1"/>
  <c r="R325" i="1"/>
  <c r="S325" i="1" l="1"/>
  <c r="T325" i="1" s="1"/>
  <c r="R324" i="1"/>
  <c r="R323" i="1" l="1"/>
  <c r="S324" i="1"/>
  <c r="T324" i="1" s="1"/>
  <c r="S323" i="1" l="1"/>
  <c r="T323" i="1" s="1"/>
  <c r="R322" i="1"/>
  <c r="S322" i="1" l="1"/>
  <c r="T322" i="1" s="1"/>
  <c r="R321" i="1"/>
  <c r="S321" i="1" l="1"/>
  <c r="T321" i="1" s="1"/>
  <c r="R320" i="1"/>
  <c r="S320" i="1" l="1"/>
  <c r="T320" i="1" s="1"/>
  <c r="R319" i="1"/>
  <c r="R318" i="1" l="1"/>
  <c r="S319" i="1"/>
  <c r="T319" i="1" s="1"/>
  <c r="R317" i="1" l="1"/>
  <c r="S318" i="1"/>
  <c r="T318" i="1" s="1"/>
  <c r="S317" i="1" l="1"/>
  <c r="T317" i="1" s="1"/>
  <c r="R316" i="1"/>
  <c r="S316" i="1" l="1"/>
  <c r="T316" i="1" s="1"/>
  <c r="R315" i="1"/>
  <c r="R314" i="1" l="1"/>
  <c r="S315" i="1"/>
  <c r="T315" i="1" s="1"/>
  <c r="S314" i="1" l="1"/>
  <c r="T314" i="1" s="1"/>
  <c r="R313" i="1"/>
  <c r="R312" i="1" l="1"/>
  <c r="S313" i="1"/>
  <c r="T313" i="1" s="1"/>
  <c r="R311" i="1" l="1"/>
  <c r="S312" i="1"/>
  <c r="T312" i="1" s="1"/>
  <c r="S311" i="1" l="1"/>
  <c r="T311" i="1" s="1"/>
  <c r="R310" i="1"/>
  <c r="S310" i="1" l="1"/>
  <c r="T310" i="1" s="1"/>
  <c r="R309" i="1"/>
  <c r="R308" i="1" l="1"/>
  <c r="S309" i="1"/>
  <c r="T309" i="1" s="1"/>
  <c r="S308" i="1" l="1"/>
  <c r="T308" i="1" s="1"/>
  <c r="R307" i="1"/>
  <c r="R306" i="1" l="1"/>
  <c r="S307" i="1"/>
  <c r="T307" i="1" s="1"/>
  <c r="S306" i="1" l="1"/>
  <c r="T306" i="1" s="1"/>
  <c r="R305" i="1"/>
  <c r="S305" i="1" l="1"/>
  <c r="T305" i="1" s="1"/>
  <c r="R304" i="1"/>
  <c r="R303" i="1" l="1"/>
  <c r="S304" i="1"/>
  <c r="T304" i="1" s="1"/>
  <c r="R302" i="1" l="1"/>
  <c r="S303" i="1"/>
  <c r="T303" i="1" s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R297" i="1" l="1"/>
  <c r="S298" i="1"/>
  <c r="T298" i="1" s="1"/>
  <c r="S297" i="1" l="1"/>
  <c r="T297" i="1" s="1"/>
  <c r="R296" i="1"/>
  <c r="S296" i="1" l="1"/>
  <c r="T296" i="1" s="1"/>
  <c r="R295" i="1"/>
  <c r="S295" i="1" l="1"/>
  <c r="T295" i="1" s="1"/>
  <c r="R294" i="1"/>
  <c r="S294" i="1" l="1"/>
  <c r="T294" i="1" s="1"/>
  <c r="R293" i="1"/>
  <c r="R292" i="1" l="1"/>
  <c r="S293" i="1"/>
  <c r="T293" i="1" s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S279" i="1" l="1"/>
  <c r="T279" i="1" s="1"/>
  <c r="R278" i="1"/>
  <c r="R277" i="1" l="1"/>
  <c r="S278" i="1"/>
  <c r="T278" i="1" s="1"/>
  <c r="S277" i="1" l="1"/>
  <c r="T277" i="1" s="1"/>
  <c r="R276" i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R269" i="1" l="1"/>
  <c r="S270" i="1"/>
  <c r="T270" i="1" s="1"/>
  <c r="S269" i="1" l="1"/>
  <c r="T269" i="1" s="1"/>
  <c r="R268" i="1"/>
  <c r="R267" i="1" l="1"/>
  <c r="S268" i="1"/>
  <c r="T268" i="1" s="1"/>
  <c r="S267" i="1" l="1"/>
  <c r="T267" i="1" s="1"/>
  <c r="R266" i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S257" i="1" l="1"/>
  <c r="T257" i="1" s="1"/>
  <c r="R256" i="1"/>
  <c r="S256" i="1" l="1"/>
  <c r="T256" i="1" s="1"/>
  <c r="R255" i="1"/>
  <c r="S255" i="1" l="1"/>
  <c r="T255" i="1" s="1"/>
  <c r="R254" i="1"/>
  <c r="R253" i="1" l="1"/>
  <c r="S254" i="1"/>
  <c r="T254" i="1" s="1"/>
  <c r="S253" i="1" l="1"/>
  <c r="T253" i="1" s="1"/>
  <c r="R252" i="1"/>
  <c r="S252" i="1" l="1"/>
  <c r="T252" i="1" s="1"/>
  <c r="R251" i="1"/>
  <c r="S251" i="1" l="1"/>
  <c r="T251" i="1" s="1"/>
  <c r="R250" i="1"/>
  <c r="S250" i="1" l="1"/>
  <c r="T250" i="1" s="1"/>
  <c r="R249" i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S242" i="1" l="1"/>
  <c r="T242" i="1" s="1"/>
  <c r="R241" i="1"/>
  <c r="S241" i="1" l="1"/>
  <c r="T241" i="1" s="1"/>
  <c r="R240" i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S233" i="1" l="1"/>
  <c r="T233" i="1" s="1"/>
  <c r="R232" i="1"/>
  <c r="R231" i="1" l="1"/>
  <c r="S232" i="1"/>
  <c r="T232" i="1" s="1"/>
  <c r="S231" i="1" l="1"/>
  <c r="T231" i="1" s="1"/>
  <c r="R230" i="1"/>
  <c r="S230" i="1" l="1"/>
  <c r="T230" i="1" s="1"/>
  <c r="R229" i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R220" i="1" l="1"/>
  <c r="S221" i="1"/>
  <c r="T221" i="1" s="1"/>
  <c r="S220" i="1" l="1"/>
  <c r="T220" i="1" s="1"/>
  <c r="R219" i="1"/>
  <c r="S219" i="1" l="1"/>
  <c r="T219" i="1" s="1"/>
  <c r="R218" i="1"/>
  <c r="S218" i="1" l="1"/>
  <c r="T218" i="1" s="1"/>
  <c r="R217" i="1"/>
  <c r="S217" i="1" l="1"/>
  <c r="T217" i="1" s="1"/>
  <c r="R216" i="1"/>
  <c r="S216" i="1" l="1"/>
  <c r="T216" i="1" s="1"/>
  <c r="R215" i="1"/>
  <c r="R214" i="1" l="1"/>
  <c r="S215" i="1"/>
  <c r="T215" i="1" s="1"/>
  <c r="S214" i="1" l="1"/>
  <c r="T214" i="1" s="1"/>
  <c r="R213" i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S209" i="1" l="1"/>
  <c r="T209" i="1" s="1"/>
  <c r="R208" i="1"/>
  <c r="S208" i="1" l="1"/>
  <c r="T208" i="1" s="1"/>
  <c r="R207" i="1"/>
  <c r="R206" i="1" l="1"/>
  <c r="S207" i="1"/>
  <c r="T207" i="1" s="1"/>
  <c r="S206" i="1" l="1"/>
  <c r="T206" i="1" s="1"/>
  <c r="R205" i="1"/>
  <c r="S205" i="1" l="1"/>
  <c r="T205" i="1" s="1"/>
  <c r="R204" i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S194" i="1" l="1"/>
  <c r="T194" i="1" s="1"/>
  <c r="R193" i="1"/>
  <c r="R192" i="1" l="1"/>
  <c r="S193" i="1"/>
  <c r="T193" i="1" s="1"/>
  <c r="S192" i="1" l="1"/>
  <c r="T192" i="1" s="1"/>
  <c r="R191" i="1"/>
  <c r="S191" i="1" l="1"/>
  <c r="T191" i="1" s="1"/>
  <c r="R190" i="1"/>
  <c r="S190" i="1" l="1"/>
  <c r="T190" i="1" s="1"/>
  <c r="R189" i="1"/>
  <c r="R188" i="1" l="1"/>
  <c r="S189" i="1"/>
  <c r="T189" i="1" s="1"/>
  <c r="S188" i="1" l="1"/>
  <c r="T188" i="1" s="1"/>
  <c r="R187" i="1"/>
  <c r="R186" i="1" l="1"/>
  <c r="S187" i="1"/>
  <c r="T187" i="1" s="1"/>
  <c r="S186" i="1" l="1"/>
  <c r="T186" i="1" s="1"/>
  <c r="R185" i="1"/>
  <c r="S185" i="1" l="1"/>
  <c r="T185" i="1" s="1"/>
  <c r="R184" i="1"/>
  <c r="S184" i="1" l="1"/>
  <c r="T184" i="1" s="1"/>
  <c r="R183" i="1"/>
  <c r="R182" i="1" l="1"/>
  <c r="S183" i="1"/>
  <c r="T183" i="1" s="1"/>
  <c r="S182" i="1" l="1"/>
  <c r="T182" i="1" s="1"/>
  <c r="R181" i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S174" i="1" l="1"/>
  <c r="T174" i="1" s="1"/>
  <c r="R173" i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S166" i="1" l="1"/>
  <c r="T166" i="1" s="1"/>
  <c r="R165" i="1"/>
  <c r="R164" i="1" l="1"/>
  <c r="S165" i="1"/>
  <c r="T165" i="1" s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S154" i="1" l="1"/>
  <c r="T154" i="1" s="1"/>
  <c r="R153" i="1"/>
  <c r="S153" i="1" l="1"/>
  <c r="T153" i="1" s="1"/>
  <c r="R152" i="1"/>
  <c r="S152" i="1" l="1"/>
  <c r="T152" i="1" s="1"/>
  <c r="R151" i="1"/>
  <c r="S151" i="1" l="1"/>
  <c r="T151" i="1" s="1"/>
  <c r="R150" i="1"/>
  <c r="S150" i="1" l="1"/>
  <c r="T150" i="1" s="1"/>
  <c r="R149" i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S145" i="1" l="1"/>
  <c r="T145" i="1" s="1"/>
  <c r="R144" i="1"/>
  <c r="S144" i="1" l="1"/>
  <c r="T144" i="1" s="1"/>
  <c r="R143" i="1"/>
  <c r="R142" i="1" l="1"/>
  <c r="S143" i="1"/>
  <c r="T143" i="1" s="1"/>
  <c r="S142" i="1" l="1"/>
  <c r="T142" i="1" s="1"/>
  <c r="R141" i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S130" i="1" l="1"/>
  <c r="T130" i="1" s="1"/>
  <c r="R129" i="1"/>
  <c r="S129" i="1" l="1"/>
  <c r="T129" i="1" s="1"/>
  <c r="R128" i="1"/>
  <c r="S128" i="1" l="1"/>
  <c r="T128" i="1" s="1"/>
  <c r="R127" i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S114" i="1" l="1"/>
  <c r="T114" i="1" s="1"/>
  <c r="R113" i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R59" i="1" l="1"/>
  <c r="S60" i="1"/>
  <c r="T60" i="1" s="1"/>
  <c r="S59" i="1" l="1"/>
  <c r="T59" i="1" s="1"/>
  <c r="R58" i="1"/>
  <c r="R57" i="1" l="1"/>
  <c r="S58" i="1"/>
  <c r="T58" i="1" s="1"/>
  <c r="S57" i="1" l="1"/>
  <c r="T57" i="1" s="1"/>
  <c r="R56" i="1"/>
  <c r="S56" i="1" l="1"/>
  <c r="T56" i="1" s="1"/>
  <c r="R55" i="1"/>
  <c r="S55" i="1" l="1"/>
  <c r="T55" i="1" s="1"/>
  <c r="R54" i="1"/>
  <c r="R53" i="1" l="1"/>
  <c r="S54" i="1"/>
  <c r="T54" i="1" s="1"/>
  <c r="S53" i="1" l="1"/>
  <c r="T53" i="1" s="1"/>
  <c r="R52" i="1"/>
  <c r="S52" i="1" l="1"/>
  <c r="T52" i="1" s="1"/>
  <c r="R51" i="1"/>
  <c r="S51" i="1" l="1"/>
  <c r="T51" i="1" s="1"/>
  <c r="R50" i="1"/>
  <c r="S50" i="1" l="1"/>
  <c r="T50" i="1" s="1"/>
  <c r="R49" i="1"/>
  <c r="R48" i="1" l="1"/>
  <c r="S49" i="1"/>
  <c r="T49" i="1" s="1"/>
  <c r="R47" i="1" l="1"/>
  <c r="S48" i="1"/>
  <c r="T48" i="1" s="1"/>
  <c r="S47" i="1" l="1"/>
  <c r="T47" i="1" s="1"/>
  <c r="R46" i="1"/>
  <c r="R45" i="1" l="1"/>
  <c r="S46" i="1"/>
  <c r="T46" i="1" s="1"/>
  <c r="S45" i="1" l="1"/>
  <c r="T45" i="1" s="1"/>
  <c r="R44" i="1"/>
  <c r="R43" i="1" l="1"/>
  <c r="S44" i="1"/>
  <c r="T44" i="1" s="1"/>
  <c r="S43" i="1" l="1"/>
  <c r="T43" i="1" s="1"/>
  <c r="R42" i="1"/>
  <c r="S42" i="1" l="1"/>
  <c r="T42" i="1" s="1"/>
  <c r="R41" i="1"/>
  <c r="R40" i="1" l="1"/>
  <c r="S41" i="1"/>
  <c r="T41" i="1" s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S34" i="1" l="1"/>
  <c r="T34" i="1" s="1"/>
  <c r="R33" i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<sst xmlns="http://schemas.openxmlformats.org/spreadsheetml/2006/main" count="10025" uniqueCount="34">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</sst>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4.5249999999999999E-2</c:v>
                </c:pt>
                <c:pt idx="1">
                  <c:v>4.6440000000000002E-2</c:v>
                </c:pt>
                <c:pt idx="2">
                  <c:v>4.7160000000000001E-2</c:v>
                </c:pt>
                <c:pt idx="3">
                  <c:v>4.5879999999999997E-2</c:v>
                </c:pt>
                <c:pt idx="4">
                  <c:v>4.6960000000000002E-2</c:v>
                </c:pt>
                <c:pt idx="5">
                  <c:v>4.5510000000000002E-2</c:v>
                </c:pt>
                <c:pt idx="6">
                  <c:v>5.1880000000000003E-2</c:v>
                </c:pt>
                <c:pt idx="7">
                  <c:v>6.2309999999999997E-2</c:v>
                </c:pt>
                <c:pt idx="8">
                  <c:v>6.5909999999999996E-2</c:v>
                </c:pt>
                <c:pt idx="9">
                  <c:v>7.0180000000000006E-2</c:v>
                </c:pt>
                <c:pt idx="10">
                  <c:v>7.077E-2</c:v>
                </c:pt>
                <c:pt idx="11">
                  <c:v>7.3510000000000006E-2</c:v>
                </c:pt>
                <c:pt idx="12">
                  <c:v>7.4649999999999994E-2</c:v>
                </c:pt>
                <c:pt idx="13">
                  <c:v>6.9260000000000002E-2</c:v>
                </c:pt>
                <c:pt idx="14">
                  <c:v>6.6949999999999996E-2</c:v>
                </c:pt>
                <c:pt idx="15">
                  <c:v>7.1510000000000004E-2</c:v>
                </c:pt>
                <c:pt idx="16">
                  <c:v>6.7589999999999997E-2</c:v>
                </c:pt>
                <c:pt idx="17">
                  <c:v>6.4890000000000003E-2</c:v>
                </c:pt>
                <c:pt idx="18">
                  <c:v>6.9379999999999997E-2</c:v>
                </c:pt>
                <c:pt idx="19">
                  <c:v>6.7400000000000002E-2</c:v>
                </c:pt>
                <c:pt idx="20">
                  <c:v>7.0360000000000006E-2</c:v>
                </c:pt>
                <c:pt idx="21">
                  <c:v>7.4999999999999997E-2</c:v>
                </c:pt>
                <c:pt idx="22">
                  <c:v>7.4490000000000001E-2</c:v>
                </c:pt>
                <c:pt idx="23">
                  <c:v>8.2600000000000007E-2</c:v>
                </c:pt>
                <c:pt idx="24">
                  <c:v>8.1909999999999997E-2</c:v>
                </c:pt>
                <c:pt idx="25">
                  <c:v>8.4989999999999996E-2</c:v>
                </c:pt>
                <c:pt idx="26">
                  <c:v>8.233E-2</c:v>
                </c:pt>
                <c:pt idx="27">
                  <c:v>8.0699999999999994E-2</c:v>
                </c:pt>
                <c:pt idx="28">
                  <c:v>8.1570000000000004E-2</c:v>
                </c:pt>
                <c:pt idx="29">
                  <c:v>8.072E-2</c:v>
                </c:pt>
                <c:pt idx="30">
                  <c:v>8.3210000000000006E-2</c:v>
                </c:pt>
                <c:pt idx="31">
                  <c:v>9.6379999999999993E-2</c:v>
                </c:pt>
                <c:pt idx="32">
                  <c:v>8.7720000000000006E-2</c:v>
                </c:pt>
                <c:pt idx="33">
                  <c:v>8.4010000000000001E-2</c:v>
                </c:pt>
                <c:pt idx="34">
                  <c:v>8.4629999999999997E-2</c:v>
                </c:pt>
                <c:pt idx="35">
                  <c:v>8.412E-2</c:v>
                </c:pt>
                <c:pt idx="36">
                  <c:v>8.2049999999999998E-2</c:v>
                </c:pt>
                <c:pt idx="37">
                  <c:v>8.4470000000000003E-2</c:v>
                </c:pt>
                <c:pt idx="38">
                  <c:v>8.6650000000000005E-2</c:v>
                </c:pt>
                <c:pt idx="39">
                  <c:v>8.0280000000000004E-2</c:v>
                </c:pt>
                <c:pt idx="40">
                  <c:v>7.7289999999999998E-2</c:v>
                </c:pt>
                <c:pt idx="41">
                  <c:v>7.5029999999999999E-2</c:v>
                </c:pt>
                <c:pt idx="42">
                  <c:v>7.3279999999999998E-2</c:v>
                </c:pt>
                <c:pt idx="43">
                  <c:v>7.4980000000000005E-2</c:v>
                </c:pt>
                <c:pt idx="44">
                  <c:v>7.0360000000000006E-2</c:v>
                </c:pt>
                <c:pt idx="45">
                  <c:v>6.6479999999999997E-2</c:v>
                </c:pt>
                <c:pt idx="46">
                  <c:v>7.8140000000000001E-2</c:v>
                </c:pt>
                <c:pt idx="47">
                  <c:v>7.5340000000000004E-2</c:v>
                </c:pt>
                <c:pt idx="48">
                  <c:v>7.4709999999999999E-2</c:v>
                </c:pt>
                <c:pt idx="49">
                  <c:v>7.714E-2</c:v>
                </c:pt>
                <c:pt idx="50">
                  <c:v>8.6309999999999998E-2</c:v>
                </c:pt>
                <c:pt idx="51">
                  <c:v>8.2809999999999995E-2</c:v>
                </c:pt>
                <c:pt idx="52">
                  <c:v>8.2699999999999996E-2</c:v>
                </c:pt>
                <c:pt idx="53">
                  <c:v>8.1210000000000004E-2</c:v>
                </c:pt>
                <c:pt idx="54">
                  <c:v>9.4060000000000005E-2</c:v>
                </c:pt>
                <c:pt idx="55">
                  <c:v>0.11999</c:v>
                </c:pt>
                <c:pt idx="56">
                  <c:v>0.10125000000000001</c:v>
                </c:pt>
                <c:pt idx="57">
                  <c:v>9.6829999999999999E-2</c:v>
                </c:pt>
                <c:pt idx="58">
                  <c:v>9.4159999999999994E-2</c:v>
                </c:pt>
                <c:pt idx="59">
                  <c:v>9.6790000000000001E-2</c:v>
                </c:pt>
                <c:pt idx="60">
                  <c:v>9.8659999999999998E-2</c:v>
                </c:pt>
                <c:pt idx="61">
                  <c:v>0.10135</c:v>
                </c:pt>
                <c:pt idx="62">
                  <c:v>9.6519999999999995E-2</c:v>
                </c:pt>
                <c:pt idx="63">
                  <c:v>9.9330000000000002E-2</c:v>
                </c:pt>
                <c:pt idx="64">
                  <c:v>0.10366</c:v>
                </c:pt>
                <c:pt idx="65">
                  <c:v>9.7559999999999994E-2</c:v>
                </c:pt>
                <c:pt idx="66">
                  <c:v>0.10133</c:v>
                </c:pt>
                <c:pt idx="67">
                  <c:v>0.11700000000000001</c:v>
                </c:pt>
                <c:pt idx="68">
                  <c:v>9.3539999999999998E-2</c:v>
                </c:pt>
                <c:pt idx="69">
                  <c:v>8.0170000000000005E-2</c:v>
                </c:pt>
                <c:pt idx="70">
                  <c:v>7.6069999999999999E-2</c:v>
                </c:pt>
                <c:pt idx="71">
                  <c:v>8.4580000000000002E-2</c:v>
                </c:pt>
                <c:pt idx="72">
                  <c:v>8.4750000000000006E-2</c:v>
                </c:pt>
                <c:pt idx="73">
                  <c:v>9.2509999999999995E-2</c:v>
                </c:pt>
                <c:pt idx="74">
                  <c:v>9.5850000000000005E-2</c:v>
                </c:pt>
                <c:pt idx="75">
                  <c:v>9.257E-2</c:v>
                </c:pt>
                <c:pt idx="76">
                  <c:v>9.2740000000000003E-2</c:v>
                </c:pt>
                <c:pt idx="77">
                  <c:v>9.5920000000000005E-2</c:v>
                </c:pt>
                <c:pt idx="78">
                  <c:v>8.9609999999999995E-2</c:v>
                </c:pt>
                <c:pt idx="79">
                  <c:v>9.715E-2</c:v>
                </c:pt>
                <c:pt idx="80">
                  <c:v>9.7000000000000003E-2</c:v>
                </c:pt>
                <c:pt idx="81">
                  <c:v>9.3490000000000004E-2</c:v>
                </c:pt>
                <c:pt idx="82">
                  <c:v>8.9230000000000004E-2</c:v>
                </c:pt>
                <c:pt idx="83">
                  <c:v>9.103E-2</c:v>
                </c:pt>
                <c:pt idx="84">
                  <c:v>9.2450000000000004E-2</c:v>
                </c:pt>
                <c:pt idx="85">
                  <c:v>9.8500000000000004E-2</c:v>
                </c:pt>
                <c:pt idx="86">
                  <c:v>9.1630000000000003E-2</c:v>
                </c:pt>
                <c:pt idx="87">
                  <c:v>8.8590000000000002E-2</c:v>
                </c:pt>
                <c:pt idx="88">
                  <c:v>8.8440000000000005E-2</c:v>
                </c:pt>
                <c:pt idx="89">
                  <c:v>8.7470000000000006E-2</c:v>
                </c:pt>
                <c:pt idx="90">
                  <c:v>8.6779999999999996E-2</c:v>
                </c:pt>
                <c:pt idx="91">
                  <c:v>8.3900000000000002E-2</c:v>
                </c:pt>
                <c:pt idx="92">
                  <c:v>8.1519999999999995E-2</c:v>
                </c:pt>
                <c:pt idx="93">
                  <c:v>9.0859999999999996E-2</c:v>
                </c:pt>
                <c:pt idx="94">
                  <c:v>9.2130000000000004E-2</c:v>
                </c:pt>
                <c:pt idx="95">
                  <c:v>9.0260000000000007E-2</c:v>
                </c:pt>
                <c:pt idx="96">
                  <c:v>9.3410000000000007E-2</c:v>
                </c:pt>
                <c:pt idx="97">
                  <c:v>9.1200000000000003E-2</c:v>
                </c:pt>
                <c:pt idx="98">
                  <c:v>9.2780000000000001E-2</c:v>
                </c:pt>
                <c:pt idx="99">
                  <c:v>9.2979999999999993E-2</c:v>
                </c:pt>
                <c:pt idx="100">
                  <c:v>9.0499999999999997E-2</c:v>
                </c:pt>
                <c:pt idx="101">
                  <c:v>9.0469999999999995E-2</c:v>
                </c:pt>
                <c:pt idx="102">
                  <c:v>9.0829999999999994E-2</c:v>
                </c:pt>
                <c:pt idx="103">
                  <c:v>9.1649999999999995E-2</c:v>
                </c:pt>
                <c:pt idx="104">
                  <c:v>9.4020000000000006E-2</c:v>
                </c:pt>
                <c:pt idx="105">
                  <c:v>8.6360000000000006E-2</c:v>
                </c:pt>
                <c:pt idx="106">
                  <c:v>8.4330000000000002E-2</c:v>
                </c:pt>
                <c:pt idx="107">
                  <c:v>8.4110000000000004E-2</c:v>
                </c:pt>
                <c:pt idx="108">
                  <c:v>8.4269999999999998E-2</c:v>
                </c:pt>
                <c:pt idx="109">
                  <c:v>8.48E-2</c:v>
                </c:pt>
                <c:pt idx="110">
                  <c:v>9.1950000000000004E-2</c:v>
                </c:pt>
                <c:pt idx="111">
                  <c:v>8.8480000000000003E-2</c:v>
                </c:pt>
                <c:pt idx="112">
                  <c:v>8.6800000000000002E-2</c:v>
                </c:pt>
                <c:pt idx="113">
                  <c:v>8.1809999999999994E-2</c:v>
                </c:pt>
                <c:pt idx="114">
                  <c:v>8.2640000000000005E-2</c:v>
                </c:pt>
                <c:pt idx="115">
                  <c:v>8.201E-2</c:v>
                </c:pt>
                <c:pt idx="116">
                  <c:v>8.4820000000000007E-2</c:v>
                </c:pt>
                <c:pt idx="117">
                  <c:v>8.6410000000000001E-2</c:v>
                </c:pt>
                <c:pt idx="118">
                  <c:v>8.4970000000000004E-2</c:v>
                </c:pt>
                <c:pt idx="119">
                  <c:v>7.9939999999999997E-2</c:v>
                </c:pt>
                <c:pt idx="120">
                  <c:v>7.6079999999999995E-2</c:v>
                </c:pt>
                <c:pt idx="121">
                  <c:v>7.4899999999999994E-2</c:v>
                </c:pt>
                <c:pt idx="122">
                  <c:v>7.8630000000000005E-2</c:v>
                </c:pt>
                <c:pt idx="123">
                  <c:v>8.269E-2</c:v>
                </c:pt>
                <c:pt idx="124">
                  <c:v>8.1180000000000002E-2</c:v>
                </c:pt>
                <c:pt idx="125">
                  <c:v>8.2809999999999995E-2</c:v>
                </c:pt>
                <c:pt idx="126">
                  <c:v>8.8039999999999993E-2</c:v>
                </c:pt>
                <c:pt idx="127">
                  <c:v>8.6580000000000004E-2</c:v>
                </c:pt>
                <c:pt idx="128">
                  <c:v>7.5700000000000003E-2</c:v>
                </c:pt>
                <c:pt idx="129">
                  <c:v>9.0050000000000005E-2</c:v>
                </c:pt>
                <c:pt idx="130">
                  <c:v>9.06E-2</c:v>
                </c:pt>
                <c:pt idx="131">
                  <c:v>9.4619999999999996E-2</c:v>
                </c:pt>
                <c:pt idx="132">
                  <c:v>9.1619999999999993E-2</c:v>
                </c:pt>
                <c:pt idx="133">
                  <c:v>9.4939999999999997E-2</c:v>
                </c:pt>
                <c:pt idx="134">
                  <c:v>9.9089999999999998E-2</c:v>
                </c:pt>
                <c:pt idx="135">
                  <c:v>9.8000000000000004E-2</c:v>
                </c:pt>
                <c:pt idx="136">
                  <c:v>9.7070000000000004E-2</c:v>
                </c:pt>
                <c:pt idx="137">
                  <c:v>9.6750000000000003E-2</c:v>
                </c:pt>
                <c:pt idx="138">
                  <c:v>9.3189999999999995E-2</c:v>
                </c:pt>
                <c:pt idx="139">
                  <c:v>0.10085</c:v>
                </c:pt>
                <c:pt idx="140">
                  <c:v>8.8830000000000006E-2</c:v>
                </c:pt>
                <c:pt idx="141">
                  <c:v>8.8450000000000001E-2</c:v>
                </c:pt>
                <c:pt idx="142">
                  <c:v>8.7410000000000002E-2</c:v>
                </c:pt>
                <c:pt idx="143">
                  <c:v>0.108</c:v>
                </c:pt>
                <c:pt idx="144">
                  <c:v>0.10395</c:v>
                </c:pt>
                <c:pt idx="145">
                  <c:v>9.9299999999999999E-2</c:v>
                </c:pt>
                <c:pt idx="146">
                  <c:v>9.7860000000000003E-2</c:v>
                </c:pt>
                <c:pt idx="147">
                  <c:v>9.5930000000000001E-2</c:v>
                </c:pt>
                <c:pt idx="148">
                  <c:v>9.6570000000000003E-2</c:v>
                </c:pt>
                <c:pt idx="149">
                  <c:v>9.2369999999999994E-2</c:v>
                </c:pt>
                <c:pt idx="150">
                  <c:v>9.2999999999999999E-2</c:v>
                </c:pt>
                <c:pt idx="151">
                  <c:v>0.10099</c:v>
                </c:pt>
                <c:pt idx="152">
                  <c:v>9.7619999999999998E-2</c:v>
                </c:pt>
                <c:pt idx="153">
                  <c:v>9.8299999999999998E-2</c:v>
                </c:pt>
                <c:pt idx="154">
                  <c:v>9.3710000000000002E-2</c:v>
                </c:pt>
                <c:pt idx="155">
                  <c:v>9.6299999999999997E-2</c:v>
                </c:pt>
                <c:pt idx="156">
                  <c:v>9.0300000000000005E-2</c:v>
                </c:pt>
                <c:pt idx="157">
                  <c:v>0.10001</c:v>
                </c:pt>
                <c:pt idx="158">
                  <c:v>9.7650000000000001E-2</c:v>
                </c:pt>
                <c:pt idx="159">
                  <c:v>9.7170000000000006E-2</c:v>
                </c:pt>
                <c:pt idx="160">
                  <c:v>9.4700000000000006E-2</c:v>
                </c:pt>
                <c:pt idx="161">
                  <c:v>9.1350000000000001E-2</c:v>
                </c:pt>
                <c:pt idx="162">
                  <c:v>8.4000000000000005E-2</c:v>
                </c:pt>
                <c:pt idx="163">
                  <c:v>8.3799999999999999E-2</c:v>
                </c:pt>
                <c:pt idx="164">
                  <c:v>9.1759999999999994E-2</c:v>
                </c:pt>
                <c:pt idx="165">
                  <c:v>9.0450000000000003E-2</c:v>
                </c:pt>
                <c:pt idx="166">
                  <c:v>8.9510000000000006E-2</c:v>
                </c:pt>
                <c:pt idx="167">
                  <c:v>9.2719999999999997E-2</c:v>
                </c:pt>
                <c:pt idx="168">
                  <c:v>8.5999999999999993E-2</c:v>
                </c:pt>
                <c:pt idx="169">
                  <c:v>8.7980000000000003E-2</c:v>
                </c:pt>
                <c:pt idx="170">
                  <c:v>8.337E-2</c:v>
                </c:pt>
                <c:pt idx="171">
                  <c:v>8.3159999999999998E-2</c:v>
                </c:pt>
                <c:pt idx="172">
                  <c:v>7.3469999999999994E-2</c:v>
                </c:pt>
                <c:pt idx="173">
                  <c:v>7.9519999999999993E-2</c:v>
                </c:pt>
                <c:pt idx="174">
                  <c:v>7.8380000000000005E-2</c:v>
                </c:pt>
                <c:pt idx="175">
                  <c:v>7.1790000000000007E-2</c:v>
                </c:pt>
                <c:pt idx="176">
                  <c:v>6.4329999999999998E-2</c:v>
                </c:pt>
                <c:pt idx="177">
                  <c:v>6.3219999999999998E-2</c:v>
                </c:pt>
                <c:pt idx="178">
                  <c:v>6.3579999999999998E-2</c:v>
                </c:pt>
                <c:pt idx="179">
                  <c:v>6.2449999999999999E-2</c:v>
                </c:pt>
                <c:pt idx="180">
                  <c:v>6.404E-2</c:v>
                </c:pt>
                <c:pt idx="181">
                  <c:v>6.4939999999999998E-2</c:v>
                </c:pt>
                <c:pt idx="182">
                  <c:v>6.2579999999999997E-2</c:v>
                </c:pt>
                <c:pt idx="183">
                  <c:v>6.0970000000000003E-2</c:v>
                </c:pt>
                <c:pt idx="184">
                  <c:v>6.0100000000000001E-2</c:v>
                </c:pt>
                <c:pt idx="185">
                  <c:v>5.7529999999999998E-2</c:v>
                </c:pt>
                <c:pt idx="186">
                  <c:v>5.8119999999999998E-2</c:v>
                </c:pt>
                <c:pt idx="187">
                  <c:v>5.833E-2</c:v>
                </c:pt>
                <c:pt idx="188">
                  <c:v>5.7529999999999998E-2</c:v>
                </c:pt>
                <c:pt idx="189">
                  <c:v>5.423E-2</c:v>
                </c:pt>
                <c:pt idx="190">
                  <c:v>5.491E-2</c:v>
                </c:pt>
                <c:pt idx="191">
                  <c:v>4.8000000000000001E-2</c:v>
                </c:pt>
                <c:pt idx="192">
                  <c:v>5.0709999999999998E-2</c:v>
                </c:pt>
                <c:pt idx="193">
                  <c:v>5.6099999999999997E-2</c:v>
                </c:pt>
                <c:pt idx="194">
                  <c:v>5.5910000000000001E-2</c:v>
                </c:pt>
                <c:pt idx="195">
                  <c:v>5.74E-2</c:v>
                </c:pt>
                <c:pt idx="196">
                  <c:v>6.096E-2</c:v>
                </c:pt>
                <c:pt idx="197">
                  <c:v>6.1060000000000003E-2</c:v>
                </c:pt>
                <c:pt idx="198">
                  <c:v>6.1449999999999998E-2</c:v>
                </c:pt>
                <c:pt idx="199">
                  <c:v>6.5509999999999999E-2</c:v>
                </c:pt>
                <c:pt idx="200">
                  <c:v>6.3899999999999998E-2</c:v>
                </c:pt>
                <c:pt idx="201">
                  <c:v>6.2030000000000002E-2</c:v>
                </c:pt>
                <c:pt idx="202">
                  <c:v>6.3930000000000001E-2</c:v>
                </c:pt>
                <c:pt idx="203">
                  <c:v>6.3880000000000006E-2</c:v>
                </c:pt>
                <c:pt idx="204">
                  <c:v>6.6780000000000006E-2</c:v>
                </c:pt>
                <c:pt idx="205">
                  <c:v>6.8949999999999997E-2</c:v>
                </c:pt>
                <c:pt idx="206">
                  <c:v>6.3149999999999998E-2</c:v>
                </c:pt>
                <c:pt idx="207">
                  <c:v>6.6089999999999996E-2</c:v>
                </c:pt>
                <c:pt idx="208">
                  <c:v>6.7129999999999995E-2</c:v>
                </c:pt>
                <c:pt idx="209">
                  <c:v>6.8110000000000004E-2</c:v>
                </c:pt>
                <c:pt idx="210">
                  <c:v>6.4119999999999996E-2</c:v>
                </c:pt>
                <c:pt idx="211">
                  <c:v>7.0510000000000003E-2</c:v>
                </c:pt>
                <c:pt idx="212">
                  <c:v>7.4120000000000005E-2</c:v>
                </c:pt>
                <c:pt idx="213">
                  <c:v>6.4689999999999998E-2</c:v>
                </c:pt>
                <c:pt idx="214">
                  <c:v>6.089E-2</c:v>
                </c:pt>
                <c:pt idx="215">
                  <c:v>5.8880000000000002E-2</c:v>
                </c:pt>
                <c:pt idx="216">
                  <c:v>5.8799999999999998E-2</c:v>
                </c:pt>
                <c:pt idx="217">
                  <c:v>6.6710000000000005E-2</c:v>
                </c:pt>
                <c:pt idx="218">
                  <c:v>6.6180000000000003E-2</c:v>
                </c:pt>
                <c:pt idx="219">
                  <c:v>6.0449999999999997E-2</c:v>
                </c:pt>
                <c:pt idx="220">
                  <c:v>6.3299999999999995E-2</c:v>
                </c:pt>
                <c:pt idx="221">
                  <c:v>8.7559999999999999E-2</c:v>
                </c:pt>
                <c:pt idx="222">
                  <c:v>9.2749999999999999E-2</c:v>
                </c:pt>
                <c:pt idx="223">
                  <c:v>0.10725</c:v>
                </c:pt>
                <c:pt idx="224">
                  <c:v>0.10052</c:v>
                </c:pt>
                <c:pt idx="225">
                  <c:v>0.10556</c:v>
                </c:pt>
                <c:pt idx="226">
                  <c:v>9.3149999999999997E-2</c:v>
                </c:pt>
                <c:pt idx="227">
                  <c:v>6.9570000000000007E-2</c:v>
                </c:pt>
                <c:pt idx="228">
                  <c:v>6.4060000000000006E-2</c:v>
                </c:pt>
                <c:pt idx="229">
                  <c:v>5.9859999999999997E-2</c:v>
                </c:pt>
                <c:pt idx="230">
                  <c:v>6.4000000000000001E-2</c:v>
                </c:pt>
                <c:pt idx="231">
                  <c:v>6.3960000000000003E-2</c:v>
                </c:pt>
                <c:pt idx="232">
                  <c:v>7.1179999999999993E-2</c:v>
                </c:pt>
                <c:pt idx="233">
                  <c:v>6.1890000000000001E-2</c:v>
                </c:pt>
                <c:pt idx="234">
                  <c:v>5.9560000000000002E-2</c:v>
                </c:pt>
                <c:pt idx="235">
                  <c:v>7.4649999999999994E-2</c:v>
                </c:pt>
                <c:pt idx="236">
                  <c:v>5.5E-2</c:v>
                </c:pt>
                <c:pt idx="237">
                  <c:v>5.6210000000000003E-2</c:v>
                </c:pt>
                <c:pt idx="238">
                  <c:v>6.3570000000000002E-2</c:v>
                </c:pt>
                <c:pt idx="239">
                  <c:v>6.2449999999999999E-2</c:v>
                </c:pt>
                <c:pt idx="240">
                  <c:v>6.1150000000000003E-2</c:v>
                </c:pt>
                <c:pt idx="241">
                  <c:v>5.8549999999999998E-2</c:v>
                </c:pt>
                <c:pt idx="242">
                  <c:v>5.3990000000000003E-2</c:v>
                </c:pt>
                <c:pt idx="243">
                  <c:v>5.1679999999999997E-2</c:v>
                </c:pt>
                <c:pt idx="244">
                  <c:v>5.6980000000000003E-2</c:v>
                </c:pt>
                <c:pt idx="245">
                  <c:v>6.8040000000000003E-2</c:v>
                </c:pt>
                <c:pt idx="246">
                  <c:v>6.7809999999999995E-2</c:v>
                </c:pt>
                <c:pt idx="247">
                  <c:v>6.4000000000000001E-2</c:v>
                </c:pt>
                <c:pt idx="248">
                  <c:v>5.552E-2</c:v>
                </c:pt>
                <c:pt idx="249">
                  <c:v>4.614E-2</c:v>
                </c:pt>
                <c:pt idx="250">
                  <c:v>5.7020000000000001E-2</c:v>
                </c:pt>
                <c:pt idx="251">
                  <c:v>6.2600000000000003E-2</c:v>
                </c:pt>
                <c:pt idx="252">
                  <c:v>7.7130000000000004E-2</c:v>
                </c:pt>
                <c:pt idx="253">
                  <c:v>6.8739999999999996E-2</c:v>
                </c:pt>
                <c:pt idx="254">
                  <c:v>0.11342000000000001</c:v>
                </c:pt>
                <c:pt idx="255">
                  <c:v>9.9830000000000002E-2</c:v>
                </c:pt>
                <c:pt idx="256">
                  <c:v>0.10851</c:v>
                </c:pt>
                <c:pt idx="257">
                  <c:v>0.11027000000000001</c:v>
                </c:pt>
                <c:pt idx="258">
                  <c:v>0.11956</c:v>
                </c:pt>
                <c:pt idx="259">
                  <c:v>0.11366999999999999</c:v>
                </c:pt>
                <c:pt idx="260">
                  <c:v>0.1158</c:v>
                </c:pt>
                <c:pt idx="261">
                  <c:v>0.14344000000000001</c:v>
                </c:pt>
                <c:pt idx="262">
                  <c:v>0.13655</c:v>
                </c:pt>
                <c:pt idx="263">
                  <c:v>0.13750000000000001</c:v>
                </c:pt>
                <c:pt idx="264">
                  <c:v>0.14180000000000001</c:v>
                </c:pt>
                <c:pt idx="265">
                  <c:v>0.14000000000000001</c:v>
                </c:pt>
                <c:pt idx="266">
                  <c:v>0.14457999999999999</c:v>
                </c:pt>
                <c:pt idx="267">
                  <c:v>0.15337999999999999</c:v>
                </c:pt>
                <c:pt idx="268">
                  <c:v>0.14162</c:v>
                </c:pt>
                <c:pt idx="269">
                  <c:v>0.16678999999999999</c:v>
                </c:pt>
                <c:pt idx="270">
                  <c:v>0.14996000000000001</c:v>
                </c:pt>
                <c:pt idx="271">
                  <c:v>0.15439</c:v>
                </c:pt>
                <c:pt idx="272">
                  <c:v>0.15081</c:v>
                </c:pt>
                <c:pt idx="273">
                  <c:v>0.14384</c:v>
                </c:pt>
                <c:pt idx="274">
                  <c:v>0.14082</c:v>
                </c:pt>
                <c:pt idx="275">
                  <c:v>0.14921000000000001</c:v>
                </c:pt>
                <c:pt idx="276">
                  <c:v>0.13111</c:v>
                </c:pt>
                <c:pt idx="277">
                  <c:v>0.11379</c:v>
                </c:pt>
                <c:pt idx="278">
                  <c:v>0.10131</c:v>
                </c:pt>
                <c:pt idx="279">
                  <c:v>0.11117</c:v>
                </c:pt>
                <c:pt idx="280">
                  <c:v>0.11484999999999999</c:v>
                </c:pt>
                <c:pt idx="281">
                  <c:v>0.13070000000000001</c:v>
                </c:pt>
                <c:pt idx="282">
                  <c:v>0.14688999999999999</c:v>
                </c:pt>
                <c:pt idx="283">
                  <c:v>0.13966999999999999</c:v>
                </c:pt>
                <c:pt idx="284">
                  <c:v>0.16300000000000001</c:v>
                </c:pt>
                <c:pt idx="285">
                  <c:v>0.1978</c:v>
                </c:pt>
                <c:pt idx="286">
                  <c:v>0.19592999999999999</c:v>
                </c:pt>
                <c:pt idx="287">
                  <c:v>0.21432999999999999</c:v>
                </c:pt>
                <c:pt idx="288">
                  <c:v>0.21454999999999999</c:v>
                </c:pt>
                <c:pt idx="289">
                  <c:v>0.21401000000000001</c:v>
                </c:pt>
                <c:pt idx="290">
                  <c:v>0.21481</c:v>
                </c:pt>
                <c:pt idx="291">
                  <c:v>0.20691000000000001</c:v>
                </c:pt>
                <c:pt idx="292">
                  <c:v>0.2082</c:v>
                </c:pt>
                <c:pt idx="293">
                  <c:v>0.22006000000000001</c:v>
                </c:pt>
                <c:pt idx="294">
                  <c:v>0.23164999999999999</c:v>
                </c:pt>
                <c:pt idx="295">
                  <c:v>0.20523</c:v>
                </c:pt>
                <c:pt idx="296">
                  <c:v>0.22484999999999999</c:v>
                </c:pt>
                <c:pt idx="297">
                  <c:v>0.23141</c:v>
                </c:pt>
                <c:pt idx="298">
                  <c:v>0.22009000000000001</c:v>
                </c:pt>
                <c:pt idx="299">
                  <c:v>0.16591</c:v>
                </c:pt>
                <c:pt idx="300">
                  <c:v>0.17305000000000001</c:v>
                </c:pt>
                <c:pt idx="301">
                  <c:v>0.18038999999999999</c:v>
                </c:pt>
                <c:pt idx="302">
                  <c:v>0.20019000000000001</c:v>
                </c:pt>
                <c:pt idx="303">
                  <c:v>0.17519000000000001</c:v>
                </c:pt>
                <c:pt idx="304">
                  <c:v>0.16067000000000001</c:v>
                </c:pt>
                <c:pt idx="305">
                  <c:v>0.14385999999999999</c:v>
                </c:pt>
                <c:pt idx="306">
                  <c:v>0.1424</c:v>
                </c:pt>
                <c:pt idx="307">
                  <c:v>0.14760000000000001</c:v>
                </c:pt>
                <c:pt idx="308">
                  <c:v>0.13108</c:v>
                </c:pt>
                <c:pt idx="309">
                  <c:v>0.13350000000000001</c:v>
                </c:pt>
                <c:pt idx="310">
                  <c:v>0.13941000000000001</c:v>
                </c:pt>
                <c:pt idx="311">
                  <c:v>0.13200999999999999</c:v>
                </c:pt>
                <c:pt idx="312">
                  <c:v>0.14093</c:v>
                </c:pt>
                <c:pt idx="313">
                  <c:v>0.14978</c:v>
                </c:pt>
                <c:pt idx="314">
                  <c:v>0.14632999999999999</c:v>
                </c:pt>
                <c:pt idx="315">
                  <c:v>0.14988000000000001</c:v>
                </c:pt>
                <c:pt idx="316">
                  <c:v>0.16197</c:v>
                </c:pt>
                <c:pt idx="317">
                  <c:v>0.17488000000000001</c:v>
                </c:pt>
                <c:pt idx="318">
                  <c:v>0.18325</c:v>
                </c:pt>
                <c:pt idx="319">
                  <c:v>0.16938</c:v>
                </c:pt>
                <c:pt idx="320">
                  <c:v>0.15903</c:v>
                </c:pt>
                <c:pt idx="321">
                  <c:v>0.13674</c:v>
                </c:pt>
                <c:pt idx="322">
                  <c:v>0.14357</c:v>
                </c:pt>
                <c:pt idx="323">
                  <c:v>0.11291</c:v>
                </c:pt>
                <c:pt idx="324">
                  <c:v>0.11799</c:v>
                </c:pt>
                <c:pt idx="325">
                  <c:v>9.9250000000000005E-2</c:v>
                </c:pt>
                <c:pt idx="326">
                  <c:v>8.3729999999999999E-2</c:v>
                </c:pt>
                <c:pt idx="327">
                  <c:v>8.9410000000000003E-2</c:v>
                </c:pt>
                <c:pt idx="328">
                  <c:v>9.3549999999999994E-2</c:v>
                </c:pt>
                <c:pt idx="329">
                  <c:v>7.4679999999999996E-2</c:v>
                </c:pt>
                <c:pt idx="330">
                  <c:v>6.0139999999999999E-2</c:v>
                </c:pt>
                <c:pt idx="331">
                  <c:v>5.7509999999999999E-2</c:v>
                </c:pt>
                <c:pt idx="332">
                  <c:v>5.8180000000000003E-2</c:v>
                </c:pt>
                <c:pt idx="333">
                  <c:v>4.9529999999999998E-2</c:v>
                </c:pt>
                <c:pt idx="334">
                  <c:v>5.3839999999999999E-2</c:v>
                </c:pt>
                <c:pt idx="335">
                  <c:v>5.0590000000000003E-2</c:v>
                </c:pt>
                <c:pt idx="336">
                  <c:v>5.2999999999999999E-2</c:v>
                </c:pt>
                <c:pt idx="337">
                  <c:v>6.1780000000000002E-2</c:v>
                </c:pt>
                <c:pt idx="338">
                  <c:v>0.05</c:v>
                </c:pt>
                <c:pt idx="339">
                  <c:v>6.447E-2</c:v>
                </c:pt>
                <c:pt idx="340">
                  <c:v>7.3260000000000006E-2</c:v>
                </c:pt>
                <c:pt idx="341">
                  <c:v>6.9389999999999993E-2</c:v>
                </c:pt>
                <c:pt idx="342">
                  <c:v>7.5410000000000005E-2</c:v>
                </c:pt>
                <c:pt idx="343">
                  <c:v>7.7149999999999996E-2</c:v>
                </c:pt>
                <c:pt idx="344">
                  <c:v>7.2550000000000003E-2</c:v>
                </c:pt>
                <c:pt idx="345">
                  <c:v>7.3279999999999998E-2</c:v>
                </c:pt>
                <c:pt idx="346">
                  <c:v>7.2139999999999996E-2</c:v>
                </c:pt>
                <c:pt idx="347">
                  <c:v>7.886E-2</c:v>
                </c:pt>
                <c:pt idx="348">
                  <c:v>9.0959999999999999E-2</c:v>
                </c:pt>
                <c:pt idx="349">
                  <c:v>8.4250000000000005E-2</c:v>
                </c:pt>
                <c:pt idx="350">
                  <c:v>7.5509999999999994E-2</c:v>
                </c:pt>
                <c:pt idx="351">
                  <c:v>7.8509999999999996E-2</c:v>
                </c:pt>
                <c:pt idx="352">
                  <c:v>6.6879999999999995E-2</c:v>
                </c:pt>
                <c:pt idx="353">
                  <c:v>5.4899999999999997E-2</c:v>
                </c:pt>
                <c:pt idx="354">
                  <c:v>4.9939999999999998E-2</c:v>
                </c:pt>
                <c:pt idx="355">
                  <c:v>5.2670000000000002E-2</c:v>
                </c:pt>
                <c:pt idx="356">
                  <c:v>5.6230000000000002E-2</c:v>
                </c:pt>
                <c:pt idx="357">
                  <c:v>4.8149999999999998E-2</c:v>
                </c:pt>
                <c:pt idx="358">
                  <c:v>4.7129999999999998E-2</c:v>
                </c:pt>
                <c:pt idx="359">
                  <c:v>4.011E-2</c:v>
                </c:pt>
                <c:pt idx="360">
                  <c:v>3.773E-2</c:v>
                </c:pt>
                <c:pt idx="361">
                  <c:v>3.9600000000000003E-2</c:v>
                </c:pt>
                <c:pt idx="362">
                  <c:v>3.7879999999999997E-2</c:v>
                </c:pt>
                <c:pt idx="363">
                  <c:v>4.0189999999999997E-2</c:v>
                </c:pt>
                <c:pt idx="364">
                  <c:v>3.798E-2</c:v>
                </c:pt>
                <c:pt idx="365">
                  <c:v>3.8629999999999998E-2</c:v>
                </c:pt>
                <c:pt idx="366">
                  <c:v>4.2680000000000003E-2</c:v>
                </c:pt>
                <c:pt idx="367">
                  <c:v>3.8289999999999998E-2</c:v>
                </c:pt>
                <c:pt idx="368">
                  <c:v>3.4470000000000001E-2</c:v>
                </c:pt>
                <c:pt idx="369">
                  <c:v>3.671E-2</c:v>
                </c:pt>
                <c:pt idx="370">
                  <c:v>3.3890000000000003E-2</c:v>
                </c:pt>
                <c:pt idx="371">
                  <c:v>3.7010000000000001E-2</c:v>
                </c:pt>
                <c:pt idx="372">
                  <c:v>3.0700000000000002E-2</c:v>
                </c:pt>
                <c:pt idx="373">
                  <c:v>3.143E-2</c:v>
                </c:pt>
                <c:pt idx="374">
                  <c:v>3.3000000000000002E-2</c:v>
                </c:pt>
                <c:pt idx="375">
                  <c:v>3.049E-2</c:v>
                </c:pt>
                <c:pt idx="376">
                  <c:v>3.0609999999999998E-2</c:v>
                </c:pt>
                <c:pt idx="377">
                  <c:v>2.7529999999999999E-2</c:v>
                </c:pt>
                <c:pt idx="378">
                  <c:v>2.6120000000000001E-2</c:v>
                </c:pt>
                <c:pt idx="379">
                  <c:v>2.7210000000000002E-2</c:v>
                </c:pt>
                <c:pt idx="380">
                  <c:v>2.5499999999999998E-2</c:v>
                </c:pt>
                <c:pt idx="381">
                  <c:v>2.6159999999999999E-2</c:v>
                </c:pt>
                <c:pt idx="382">
                  <c:v>2.887E-2</c:v>
                </c:pt>
                <c:pt idx="383">
                  <c:v>3.1019999999999999E-2</c:v>
                </c:pt>
                <c:pt idx="384">
                  <c:v>3.175E-2</c:v>
                </c:pt>
                <c:pt idx="385">
                  <c:v>2.7570000000000001E-2</c:v>
                </c:pt>
                <c:pt idx="386">
                  <c:v>2.7869999999999999E-2</c:v>
                </c:pt>
                <c:pt idx="387">
                  <c:v>2.435E-2</c:v>
                </c:pt>
                <c:pt idx="388">
                  <c:v>2.4830000000000001E-2</c:v>
                </c:pt>
                <c:pt idx="389">
                  <c:v>2.6419999999999999E-2</c:v>
                </c:pt>
                <c:pt idx="390">
                  <c:v>2.3560000000000001E-2</c:v>
                </c:pt>
                <c:pt idx="391">
                  <c:v>2.426E-2</c:v>
                </c:pt>
                <c:pt idx="392">
                  <c:v>2.333E-2</c:v>
                </c:pt>
                <c:pt idx="393">
                  <c:v>2.3259999999999999E-2</c:v>
                </c:pt>
                <c:pt idx="394">
                  <c:v>2.5870000000000001E-2</c:v>
                </c:pt>
                <c:pt idx="395">
                  <c:v>2.6970000000000001E-2</c:v>
                </c:pt>
                <c:pt idx="396">
                  <c:v>2.4490000000000001E-2</c:v>
                </c:pt>
                <c:pt idx="397">
                  <c:v>2.5190000000000001E-2</c:v>
                </c:pt>
                <c:pt idx="398">
                  <c:v>2.3040000000000001E-2</c:v>
                </c:pt>
                <c:pt idx="399">
                  <c:v>2.445E-2</c:v>
                </c:pt>
                <c:pt idx="400">
                  <c:v>2.2970000000000001E-2</c:v>
                </c:pt>
                <c:pt idx="401">
                  <c:v>2.7560000000000001E-2</c:v>
                </c:pt>
                <c:pt idx="402">
                  <c:v>2.538E-2</c:v>
                </c:pt>
                <c:pt idx="403">
                  <c:v>2.7029999999999998E-2</c:v>
                </c:pt>
                <c:pt idx="404">
                  <c:v>2.826E-2</c:v>
                </c:pt>
                <c:pt idx="405">
                  <c:v>3.0700000000000002E-2</c:v>
                </c:pt>
                <c:pt idx="406">
                  <c:v>2.886E-2</c:v>
                </c:pt>
                <c:pt idx="407">
                  <c:v>3.347E-2</c:v>
                </c:pt>
                <c:pt idx="408">
                  <c:v>2.6749999999999999E-2</c:v>
                </c:pt>
                <c:pt idx="409">
                  <c:v>2.3029999999999998E-2</c:v>
                </c:pt>
                <c:pt idx="410">
                  <c:v>2.2200000000000001E-2</c:v>
                </c:pt>
                <c:pt idx="411">
                  <c:v>2.1919999999999999E-2</c:v>
                </c:pt>
                <c:pt idx="412">
                  <c:v>2.0580000000000001E-2</c:v>
                </c:pt>
                <c:pt idx="413">
                  <c:v>2.1729999999999999E-2</c:v>
                </c:pt>
                <c:pt idx="414">
                  <c:v>2.044E-2</c:v>
                </c:pt>
                <c:pt idx="415">
                  <c:v>1.9060000000000001E-2</c:v>
                </c:pt>
                <c:pt idx="416">
                  <c:v>2.0389999999999998E-2</c:v>
                </c:pt>
                <c:pt idx="417">
                  <c:v>2.0420000000000001E-2</c:v>
                </c:pt>
                <c:pt idx="418">
                  <c:v>2.094E-2</c:v>
                </c:pt>
                <c:pt idx="419">
                  <c:v>0.02</c:v>
                </c:pt>
                <c:pt idx="420">
                  <c:v>2.1760000000000002E-2</c:v>
                </c:pt>
                <c:pt idx="421">
                  <c:v>2.196E-2</c:v>
                </c:pt>
                <c:pt idx="422">
                  <c:v>2.0150000000000001E-2</c:v>
                </c:pt>
                <c:pt idx="423">
                  <c:v>2.1260000000000001E-2</c:v>
                </c:pt>
                <c:pt idx="424">
                  <c:v>2.0549999999999999E-2</c:v>
                </c:pt>
                <c:pt idx="425">
                  <c:v>2.0379999999999999E-2</c:v>
                </c:pt>
                <c:pt idx="426">
                  <c:v>1.9910000000000001E-2</c:v>
                </c:pt>
                <c:pt idx="427">
                  <c:v>2.0199999999999999E-2</c:v>
                </c:pt>
                <c:pt idx="428">
                  <c:v>2.418E-2</c:v>
                </c:pt>
                <c:pt idx="429">
                  <c:v>2.5360000000000001E-2</c:v>
                </c:pt>
                <c:pt idx="430">
                  <c:v>2.2460000000000001E-2</c:v>
                </c:pt>
                <c:pt idx="431">
                  <c:v>2.1000000000000001E-2</c:v>
                </c:pt>
                <c:pt idx="432">
                  <c:v>2.2929999999999999E-2</c:v>
                </c:pt>
                <c:pt idx="433">
                  <c:v>2.1080000000000002E-2</c:v>
                </c:pt>
                <c:pt idx="434">
                  <c:v>1.9390000000000001E-2</c:v>
                </c:pt>
                <c:pt idx="435">
                  <c:v>1.865E-2</c:v>
                </c:pt>
                <c:pt idx="436">
                  <c:v>2.0250000000000001E-2</c:v>
                </c:pt>
                <c:pt idx="437">
                  <c:v>1.9949999999999999E-2</c:v>
                </c:pt>
                <c:pt idx="438">
                  <c:v>1.9689999999999999E-2</c:v>
                </c:pt>
                <c:pt idx="439">
                  <c:v>2.0920000000000001E-2</c:v>
                </c:pt>
                <c:pt idx="440">
                  <c:v>2.002E-2</c:v>
                </c:pt>
                <c:pt idx="441">
                  <c:v>1.8450000000000001E-2</c:v>
                </c:pt>
                <c:pt idx="442">
                  <c:v>2.0129999999999999E-2</c:v>
                </c:pt>
                <c:pt idx="443">
                  <c:v>2.1000000000000001E-2</c:v>
                </c:pt>
                <c:pt idx="444">
                  <c:v>2.1590000000000002E-2</c:v>
                </c:pt>
                <c:pt idx="445">
                  <c:v>1.7809999999999999E-2</c:v>
                </c:pt>
                <c:pt idx="446">
                  <c:v>1.719E-2</c:v>
                </c:pt>
                <c:pt idx="447">
                  <c:v>1.797E-2</c:v>
                </c:pt>
                <c:pt idx="448">
                  <c:v>1.6049999999999998E-2</c:v>
                </c:pt>
                <c:pt idx="449">
                  <c:v>1.5820000000000001E-2</c:v>
                </c:pt>
                <c:pt idx="450">
                  <c:v>1.617E-2</c:v>
                </c:pt>
                <c:pt idx="451">
                  <c:v>1.6570000000000001E-2</c:v>
                </c:pt>
                <c:pt idx="452">
                  <c:v>1.7860000000000001E-2</c:v>
                </c:pt>
                <c:pt idx="453">
                  <c:v>1.6959999999999999E-2</c:v>
                </c:pt>
                <c:pt idx="454">
                  <c:v>1.7299999999999999E-2</c:v>
                </c:pt>
                <c:pt idx="455">
                  <c:v>1.7100000000000001E-2</c:v>
                </c:pt>
                <c:pt idx="456">
                  <c:v>1.8329999999999999E-2</c:v>
                </c:pt>
                <c:pt idx="457">
                  <c:v>1.951E-2</c:v>
                </c:pt>
                <c:pt idx="458">
                  <c:v>1.959E-2</c:v>
                </c:pt>
                <c:pt idx="459">
                  <c:v>2.0480000000000002E-2</c:v>
                </c:pt>
                <c:pt idx="460">
                  <c:v>2.213E-2</c:v>
                </c:pt>
                <c:pt idx="461">
                  <c:v>2.1430000000000001E-2</c:v>
                </c:pt>
                <c:pt idx="462">
                  <c:v>2.1520000000000001E-2</c:v>
                </c:pt>
                <c:pt idx="463">
                  <c:v>2.103E-2</c:v>
                </c:pt>
                <c:pt idx="464">
                  <c:v>2.0729999999999998E-2</c:v>
                </c:pt>
                <c:pt idx="465">
                  <c:v>2.1850000000000001E-2</c:v>
                </c:pt>
                <c:pt idx="466">
                  <c:v>2.3029999999999998E-2</c:v>
                </c:pt>
                <c:pt idx="467">
                  <c:v>2.2009999999999998E-2</c:v>
                </c:pt>
                <c:pt idx="468">
                  <c:v>2.1080000000000002E-2</c:v>
                </c:pt>
                <c:pt idx="469">
                  <c:v>2.2450000000000001E-2</c:v>
                </c:pt>
                <c:pt idx="470">
                  <c:v>2.3390000000000001E-2</c:v>
                </c:pt>
                <c:pt idx="471">
                  <c:v>2.4240000000000001E-2</c:v>
                </c:pt>
                <c:pt idx="472">
                  <c:v>2.4570000000000002E-2</c:v>
                </c:pt>
                <c:pt idx="473">
                  <c:v>2.579E-2</c:v>
                </c:pt>
                <c:pt idx="474">
                  <c:v>2.4989999999999998E-2</c:v>
                </c:pt>
                <c:pt idx="475">
                  <c:v>2.2800000000000001E-2</c:v>
                </c:pt>
                <c:pt idx="476">
                  <c:v>2.078E-2</c:v>
                </c:pt>
                <c:pt idx="477">
                  <c:v>2.0459999999999999E-2</c:v>
                </c:pt>
                <c:pt idx="478">
                  <c:v>2.0449999999999999E-2</c:v>
                </c:pt>
                <c:pt idx="479">
                  <c:v>2.2440000000000002E-2</c:v>
                </c:pt>
                <c:pt idx="480">
                  <c:v>2.2349999999999998E-2</c:v>
                </c:pt>
                <c:pt idx="481">
                  <c:v>2.1579999999999998E-2</c:v>
                </c:pt>
                <c:pt idx="482">
                  <c:v>2.2159999999999999E-2</c:v>
                </c:pt>
                <c:pt idx="483">
                  <c:v>2.426E-2</c:v>
                </c:pt>
                <c:pt idx="484">
                  <c:v>2.545E-2</c:v>
                </c:pt>
                <c:pt idx="485">
                  <c:v>2.3779999999999999E-2</c:v>
                </c:pt>
                <c:pt idx="486">
                  <c:v>2.444E-2</c:v>
                </c:pt>
                <c:pt idx="487">
                  <c:v>2.3599999999999999E-2</c:v>
                </c:pt>
                <c:pt idx="488">
                  <c:v>2.3189999999999999E-2</c:v>
                </c:pt>
                <c:pt idx="489">
                  <c:v>2.35E-2</c:v>
                </c:pt>
                <c:pt idx="490">
                  <c:v>2.1930000000000002E-2</c:v>
                </c:pt>
                <c:pt idx="491">
                  <c:v>1.9300000000000001E-2</c:v>
                </c:pt>
                <c:pt idx="492">
                  <c:v>2.18E-2</c:v>
                </c:pt>
                <c:pt idx="493">
                  <c:v>2.0449999999999999E-2</c:v>
                </c:pt>
                <c:pt idx="494">
                  <c:v>2.4129999999999999E-2</c:v>
                </c:pt>
                <c:pt idx="495">
                  <c:v>2.6069999999999999E-2</c:v>
                </c:pt>
                <c:pt idx="496">
                  <c:v>2.5149999999999999E-2</c:v>
                </c:pt>
                <c:pt idx="497">
                  <c:v>2.572E-2</c:v>
                </c:pt>
                <c:pt idx="498">
                  <c:v>2.52E-2</c:v>
                </c:pt>
                <c:pt idx="499">
                  <c:v>2.6839999999999999E-2</c:v>
                </c:pt>
                <c:pt idx="500">
                  <c:v>3.0499999999999999E-2</c:v>
                </c:pt>
                <c:pt idx="501">
                  <c:v>3.159E-2</c:v>
                </c:pt>
                <c:pt idx="502">
                  <c:v>3.5680000000000003E-2</c:v>
                </c:pt>
                <c:pt idx="503">
                  <c:v>3.2320000000000002E-2</c:v>
                </c:pt>
                <c:pt idx="504">
                  <c:v>3.3550000000000003E-2</c:v>
                </c:pt>
                <c:pt idx="505">
                  <c:v>3.0779999999999998E-2</c:v>
                </c:pt>
                <c:pt idx="506">
                  <c:v>2.9819999999999999E-2</c:v>
                </c:pt>
                <c:pt idx="507">
                  <c:v>3.0679999999999999E-2</c:v>
                </c:pt>
                <c:pt idx="508">
                  <c:v>3.1460000000000002E-2</c:v>
                </c:pt>
                <c:pt idx="509">
                  <c:v>2.9510000000000002E-2</c:v>
                </c:pt>
                <c:pt idx="510">
                  <c:v>3.6920000000000001E-2</c:v>
                </c:pt>
                <c:pt idx="511">
                  <c:v>3.3320000000000002E-2</c:v>
                </c:pt>
                <c:pt idx="512">
                  <c:v>4.4609999999999997E-2</c:v>
                </c:pt>
                <c:pt idx="513">
                  <c:v>4.9299999999999997E-2</c:v>
                </c:pt>
                <c:pt idx="514">
                  <c:v>5.3620000000000001E-2</c:v>
                </c:pt>
                <c:pt idx="515">
                  <c:v>5.5550000000000002E-2</c:v>
                </c:pt>
                <c:pt idx="516">
                  <c:v>5.0630000000000001E-2</c:v>
                </c:pt>
                <c:pt idx="517">
                  <c:v>5.3600000000000002E-2</c:v>
                </c:pt>
                <c:pt idx="518">
                  <c:v>5.0279999999999998E-2</c:v>
                </c:pt>
                <c:pt idx="519">
                  <c:v>5.4989999999999997E-2</c:v>
                </c:pt>
                <c:pt idx="520">
                  <c:v>5.6460000000000003E-2</c:v>
                </c:pt>
                <c:pt idx="521">
                  <c:v>6.3030000000000003E-2</c:v>
                </c:pt>
                <c:pt idx="522">
                  <c:v>6.1240000000000003E-2</c:v>
                </c:pt>
                <c:pt idx="523">
                  <c:v>6.5699999999999995E-2</c:v>
                </c:pt>
                <c:pt idx="524">
                  <c:v>6.3320000000000001E-2</c:v>
                </c:pt>
                <c:pt idx="525">
                  <c:v>7.6929999999999998E-2</c:v>
                </c:pt>
                <c:pt idx="526">
                  <c:v>7.1559999999999999E-2</c:v>
                </c:pt>
                <c:pt idx="527">
                  <c:v>8.3940000000000001E-2</c:v>
                </c:pt>
                <c:pt idx="528">
                  <c:v>8.0399999999999999E-2</c:v>
                </c:pt>
                <c:pt idx="529">
                  <c:v>7.936E-2</c:v>
                </c:pt>
                <c:pt idx="530">
                  <c:v>7.5939999999999994E-2</c:v>
                </c:pt>
                <c:pt idx="531">
                  <c:v>7.9890000000000003E-2</c:v>
                </c:pt>
                <c:pt idx="532">
                  <c:v>7.3999999999999996E-2</c:v>
                </c:pt>
                <c:pt idx="533">
                  <c:v>7.911E-2</c:v>
                </c:pt>
                <c:pt idx="534">
                  <c:v>7.1499999999999994E-2</c:v>
                </c:pt>
                <c:pt idx="535">
                  <c:v>7.6200000000000004E-2</c:v>
                </c:pt>
                <c:pt idx="536">
                  <c:v>7.5810000000000002E-2</c:v>
                </c:pt>
                <c:pt idx="537">
                  <c:v>7.9960000000000003E-2</c:v>
                </c:pt>
                <c:pt idx="538">
                  <c:v>8.2750000000000004E-2</c:v>
                </c:pt>
                <c:pt idx="539">
                  <c:v>7.9530000000000003E-2</c:v>
                </c:pt>
                <c:pt idx="540">
                  <c:v>7.2900000000000006E-2</c:v>
                </c:pt>
                <c:pt idx="541">
                  <c:v>6.6710000000000005E-2</c:v>
                </c:pt>
                <c:pt idx="542">
                  <c:v>6.1620000000000001E-2</c:v>
                </c:pt>
                <c:pt idx="543">
                  <c:v>6.1940000000000002E-2</c:v>
                </c:pt>
                <c:pt idx="544">
                  <c:v>6.046E-2</c:v>
                </c:pt>
                <c:pt idx="545">
                  <c:v>6.6930000000000003E-2</c:v>
                </c:pt>
                <c:pt idx="546">
                  <c:v>6.8820000000000006E-2</c:v>
                </c:pt>
                <c:pt idx="547">
                  <c:v>5.8349999999999999E-2</c:v>
                </c:pt>
                <c:pt idx="548">
                  <c:v>6.1499999999999999E-2</c:v>
                </c:pt>
                <c:pt idx="549">
                  <c:v>5.0099999999999999E-2</c:v>
                </c:pt>
                <c:pt idx="550">
                  <c:v>6.4490000000000006E-2</c:v>
                </c:pt>
                <c:pt idx="551">
                  <c:v>4.9520000000000002E-2</c:v>
                </c:pt>
                <c:pt idx="552">
                  <c:v>4.267E-2</c:v>
                </c:pt>
                <c:pt idx="553">
                  <c:v>3.5589999999999997E-2</c:v>
                </c:pt>
                <c:pt idx="554">
                  <c:v>3.1570000000000001E-2</c:v>
                </c:pt>
                <c:pt idx="555">
                  <c:v>2.835E-2</c:v>
                </c:pt>
                <c:pt idx="556">
                  <c:v>2.9860000000000001E-2</c:v>
                </c:pt>
                <c:pt idx="557">
                  <c:v>2.6360000000000001E-2</c:v>
                </c:pt>
                <c:pt idx="558">
                  <c:v>2.5649999999999999E-2</c:v>
                </c:pt>
                <c:pt idx="559">
                  <c:v>2.2069999999999999E-2</c:v>
                </c:pt>
                <c:pt idx="560">
                  <c:v>2.214E-2</c:v>
                </c:pt>
                <c:pt idx="561">
                  <c:v>2.2859999999999998E-2</c:v>
                </c:pt>
                <c:pt idx="562">
                  <c:v>2.1510000000000001E-2</c:v>
                </c:pt>
                <c:pt idx="563">
                  <c:v>2.1000000000000001E-2</c:v>
                </c:pt>
                <c:pt idx="564">
                  <c:v>2.0840000000000001E-2</c:v>
                </c:pt>
                <c:pt idx="565">
                  <c:v>2.1780000000000001E-2</c:v>
                </c:pt>
                <c:pt idx="566">
                  <c:v>2.0830000000000001E-2</c:v>
                </c:pt>
                <c:pt idx="567">
                  <c:v>2.019E-2</c:v>
                </c:pt>
                <c:pt idx="568">
                  <c:v>2.0199999999999999E-2</c:v>
                </c:pt>
                <c:pt idx="569">
                  <c:v>1.9109999999999999E-2</c:v>
                </c:pt>
                <c:pt idx="570">
                  <c:v>1.917E-2</c:v>
                </c:pt>
                <c:pt idx="571">
                  <c:v>1.8089999999999998E-2</c:v>
                </c:pt>
                <c:pt idx="572">
                  <c:v>1.839E-2</c:v>
                </c:pt>
                <c:pt idx="573">
                  <c:v>1.8460000000000001E-2</c:v>
                </c:pt>
                <c:pt idx="574">
                  <c:v>1.788E-2</c:v>
                </c:pt>
                <c:pt idx="575">
                  <c:v>1.8489999999999999E-2</c:v>
                </c:pt>
                <c:pt idx="576">
                  <c:v>1.83E-2</c:v>
                </c:pt>
                <c:pt idx="577">
                  <c:v>1.8710000000000001E-2</c:v>
                </c:pt>
                <c:pt idx="578">
                  <c:v>1.8350000000000002E-2</c:v>
                </c:pt>
                <c:pt idx="579">
                  <c:v>1.7680000000000001E-2</c:v>
                </c:pt>
                <c:pt idx="580">
                  <c:v>1.993E-2</c:v>
                </c:pt>
                <c:pt idx="581">
                  <c:v>2.0199999999999999E-2</c:v>
                </c:pt>
                <c:pt idx="582">
                  <c:v>2.121E-2</c:v>
                </c:pt>
                <c:pt idx="583">
                  <c:v>2.308E-2</c:v>
                </c:pt>
                <c:pt idx="584">
                  <c:v>2.23E-2</c:v>
                </c:pt>
                <c:pt idx="585">
                  <c:v>2.315E-2</c:v>
                </c:pt>
                <c:pt idx="586">
                  <c:v>2.3029999999999998E-2</c:v>
                </c:pt>
                <c:pt idx="587">
                  <c:v>2.103E-2</c:v>
                </c:pt>
                <c:pt idx="588">
                  <c:v>2.1090000000000001E-2</c:v>
                </c:pt>
                <c:pt idx="589">
                  <c:v>2.137E-2</c:v>
                </c:pt>
                <c:pt idx="590">
                  <c:v>2.0549999999999999E-2</c:v>
                </c:pt>
                <c:pt idx="591">
                  <c:v>1.984E-2</c:v>
                </c:pt>
                <c:pt idx="592">
                  <c:v>2.0660000000000001E-2</c:v>
                </c:pt>
                <c:pt idx="593">
                  <c:v>2.0500000000000001E-2</c:v>
                </c:pt>
                <c:pt idx="594">
                  <c:v>1.95E-2</c:v>
                </c:pt>
                <c:pt idx="595">
                  <c:v>1.8270000000000002E-2</c:v>
                </c:pt>
                <c:pt idx="596">
                  <c:v>2.1090000000000001E-2</c:v>
                </c:pt>
                <c:pt idx="597">
                  <c:v>0.02</c:v>
                </c:pt>
                <c:pt idx="598">
                  <c:v>1.9699999999999999E-2</c:v>
                </c:pt>
                <c:pt idx="599">
                  <c:v>1.975E-2</c:v>
                </c:pt>
                <c:pt idx="600">
                  <c:v>0.02</c:v>
                </c:pt>
                <c:pt idx="601">
                  <c:v>1.865E-2</c:v>
                </c:pt>
                <c:pt idx="602">
                  <c:v>1.881E-2</c:v>
                </c:pt>
                <c:pt idx="603">
                  <c:v>1.8890000000000001E-2</c:v>
                </c:pt>
                <c:pt idx="604">
                  <c:v>1.7819999999999999E-2</c:v>
                </c:pt>
                <c:pt idx="605">
                  <c:v>1.7919999999999998E-2</c:v>
                </c:pt>
                <c:pt idx="606">
                  <c:v>1.6889999999999999E-2</c:v>
                </c:pt>
                <c:pt idx="607">
                  <c:v>1.881E-2</c:v>
                </c:pt>
                <c:pt idx="608">
                  <c:v>1.9970000000000002E-2</c:v>
                </c:pt>
                <c:pt idx="609">
                  <c:v>1.9E-2</c:v>
                </c:pt>
                <c:pt idx="610">
                  <c:v>1.7319999999999999E-2</c:v>
                </c:pt>
                <c:pt idx="611">
                  <c:v>1.7569999999999999E-2</c:v>
                </c:pt>
                <c:pt idx="612">
                  <c:v>1.8759999999999999E-2</c:v>
                </c:pt>
                <c:pt idx="613">
                  <c:v>1.559E-2</c:v>
                </c:pt>
                <c:pt idx="614">
                  <c:v>1.507E-2</c:v>
                </c:pt>
                <c:pt idx="615">
                  <c:v>1.5339999999999999E-2</c:v>
                </c:pt>
                <c:pt idx="616">
                  <c:v>1.405E-2</c:v>
                </c:pt>
                <c:pt idx="617">
                  <c:v>1.468E-2</c:v>
                </c:pt>
                <c:pt idx="618">
                  <c:v>1.506E-2</c:v>
                </c:pt>
                <c:pt idx="619">
                  <c:v>1.5089999999999999E-2</c:v>
                </c:pt>
                <c:pt idx="620">
                  <c:v>1.536E-2</c:v>
                </c:pt>
                <c:pt idx="621">
                  <c:v>1.4789999999999999E-2</c:v>
                </c:pt>
                <c:pt idx="622">
                  <c:v>1.312E-2</c:v>
                </c:pt>
                <c:pt idx="623">
                  <c:v>1.3390000000000001E-2</c:v>
                </c:pt>
                <c:pt idx="624">
                  <c:v>1.329E-2</c:v>
                </c:pt>
                <c:pt idx="625">
                  <c:v>1.281E-2</c:v>
                </c:pt>
                <c:pt idx="626">
                  <c:v>1.256E-2</c:v>
                </c:pt>
                <c:pt idx="627">
                  <c:v>1.2449999999999999E-2</c:v>
                </c:pt>
                <c:pt idx="628">
                  <c:v>1.404E-2</c:v>
                </c:pt>
                <c:pt idx="629">
                  <c:v>1.3650000000000001E-2</c:v>
                </c:pt>
                <c:pt idx="630">
                  <c:v>1.321E-2</c:v>
                </c:pt>
                <c:pt idx="631">
                  <c:v>1.357E-2</c:v>
                </c:pt>
                <c:pt idx="632">
                  <c:v>1.4E-2</c:v>
                </c:pt>
                <c:pt idx="633">
                  <c:v>1.393E-2</c:v>
                </c:pt>
                <c:pt idx="634">
                  <c:v>1.44E-2</c:v>
                </c:pt>
                <c:pt idx="635">
                  <c:v>1.473E-2</c:v>
                </c:pt>
                <c:pt idx="636">
                  <c:v>1.4619999999999999E-2</c:v>
                </c:pt>
                <c:pt idx="637">
                  <c:v>1.405E-2</c:v>
                </c:pt>
                <c:pt idx="638">
                  <c:v>1.499E-2</c:v>
                </c:pt>
                <c:pt idx="639">
                  <c:v>1.474E-2</c:v>
                </c:pt>
                <c:pt idx="640">
                  <c:v>1.44E-2</c:v>
                </c:pt>
                <c:pt idx="641">
                  <c:v>1.438E-2</c:v>
                </c:pt>
                <c:pt idx="642">
                  <c:v>1.465E-2</c:v>
                </c:pt>
                <c:pt idx="643">
                  <c:v>1.3599999999999999E-2</c:v>
                </c:pt>
                <c:pt idx="644">
                  <c:v>1.3089999999999999E-2</c:v>
                </c:pt>
                <c:pt idx="645">
                  <c:v>1.302E-2</c:v>
                </c:pt>
                <c:pt idx="646">
                  <c:v>1.23E-2</c:v>
                </c:pt>
                <c:pt idx="647">
                  <c:v>1.23E-2</c:v>
                </c:pt>
                <c:pt idx="648">
                  <c:v>1.345E-2</c:v>
                </c:pt>
                <c:pt idx="649">
                  <c:v>1.2829999999999999E-2</c:v>
                </c:pt>
                <c:pt idx="650">
                  <c:v>1.259E-2</c:v>
                </c:pt>
                <c:pt idx="651">
                  <c:v>1.257E-2</c:v>
                </c:pt>
                <c:pt idx="652">
                  <c:v>1.1820000000000001E-2</c:v>
                </c:pt>
                <c:pt idx="653">
                  <c:v>1.265E-2</c:v>
                </c:pt>
                <c:pt idx="654">
                  <c:v>1.2239999999999999E-2</c:v>
                </c:pt>
                <c:pt idx="655">
                  <c:v>1.278E-2</c:v>
                </c:pt>
                <c:pt idx="656">
                  <c:v>1.2540000000000001E-2</c:v>
                </c:pt>
                <c:pt idx="657">
                  <c:v>1.2529999999999999E-2</c:v>
                </c:pt>
                <c:pt idx="658">
                  <c:v>1.439E-2</c:v>
                </c:pt>
                <c:pt idx="659">
                  <c:v>1.4880000000000001E-2</c:v>
                </c:pt>
                <c:pt idx="660">
                  <c:v>1.436E-2</c:v>
                </c:pt>
                <c:pt idx="661">
                  <c:v>1.3050000000000001E-2</c:v>
                </c:pt>
                <c:pt idx="662">
                  <c:v>1.2200000000000001E-2</c:v>
                </c:pt>
                <c:pt idx="663">
                  <c:v>1.242E-2</c:v>
                </c:pt>
                <c:pt idx="664">
                  <c:v>1.274E-2</c:v>
                </c:pt>
                <c:pt idx="665">
                  <c:v>1.259E-2</c:v>
                </c:pt>
                <c:pt idx="666">
                  <c:v>1.2789999999999999E-2</c:v>
                </c:pt>
                <c:pt idx="667">
                  <c:v>1.3100000000000001E-2</c:v>
                </c:pt>
                <c:pt idx="668">
                  <c:v>1.2999999999999999E-2</c:v>
                </c:pt>
                <c:pt idx="669">
                  <c:v>1.082E-2</c:v>
                </c:pt>
                <c:pt idx="670">
                  <c:v>1.116E-2</c:v>
                </c:pt>
                <c:pt idx="671">
                  <c:v>1.128E-2</c:v>
                </c:pt>
                <c:pt idx="672">
                  <c:v>1.18E-2</c:v>
                </c:pt>
                <c:pt idx="673">
                  <c:v>1.1679999999999999E-2</c:v>
                </c:pt>
                <c:pt idx="674">
                  <c:v>1.2160000000000001E-2</c:v>
                </c:pt>
                <c:pt idx="675">
                  <c:v>1.1780000000000001E-2</c:v>
                </c:pt>
                <c:pt idx="676">
                  <c:v>1.1050000000000001E-2</c:v>
                </c:pt>
                <c:pt idx="677">
                  <c:v>1.2800000000000001E-2</c:v>
                </c:pt>
                <c:pt idx="678">
                  <c:v>1.29E-2</c:v>
                </c:pt>
                <c:pt idx="679">
                  <c:v>1.7000000000000001E-2</c:v>
                </c:pt>
                <c:pt idx="680">
                  <c:v>1.332E-2</c:v>
                </c:pt>
                <c:pt idx="681">
                  <c:v>1.345E-2</c:v>
                </c:pt>
                <c:pt idx="682">
                  <c:v>1.1900000000000001E-2</c:v>
                </c:pt>
                <c:pt idx="683">
                  <c:v>1.4749999999999999E-2</c:v>
                </c:pt>
                <c:pt idx="684">
                  <c:v>1.4749999999999999E-2</c:v>
                </c:pt>
                <c:pt idx="685">
                  <c:v>1.6740000000000001E-2</c:v>
                </c:pt>
                <c:pt idx="686">
                  <c:v>1.4370000000000001E-2</c:v>
                </c:pt>
                <c:pt idx="687">
                  <c:v>3.3709999999999997E-2</c:v>
                </c:pt>
                <c:pt idx="688">
                  <c:v>3.5720000000000002E-2</c:v>
                </c:pt>
                <c:pt idx="689">
                  <c:v>3.0099999999999998E-2</c:v>
                </c:pt>
                <c:pt idx="690">
                  <c:v>3.0329999999999999E-2</c:v>
                </c:pt>
                <c:pt idx="691">
                  <c:v>3.7900000000000003E-2</c:v>
                </c:pt>
                <c:pt idx="692">
                  <c:v>3.6850000000000001E-2</c:v>
                </c:pt>
                <c:pt idx="693">
                  <c:v>3.5999999999999997E-2</c:v>
                </c:pt>
                <c:pt idx="694">
                  <c:v>3.4790000000000001E-2</c:v>
                </c:pt>
                <c:pt idx="695">
                  <c:v>3.1189999999999999E-2</c:v>
                </c:pt>
                <c:pt idx="696">
                  <c:v>2.997E-2</c:v>
                </c:pt>
                <c:pt idx="697">
                  <c:v>2.6349999999999998E-2</c:v>
                </c:pt>
                <c:pt idx="698">
                  <c:v>2.7089999999999999E-2</c:v>
                </c:pt>
                <c:pt idx="699">
                  <c:v>2.69E-2</c:v>
                </c:pt>
                <c:pt idx="700">
                  <c:v>2.7470000000000001E-2</c:v>
                </c:pt>
                <c:pt idx="701">
                  <c:v>2.7459999999999998E-2</c:v>
                </c:pt>
                <c:pt idx="702">
                  <c:v>3.0329999999999999E-2</c:v>
                </c:pt>
                <c:pt idx="703">
                  <c:v>3.6909999999999998E-2</c:v>
                </c:pt>
                <c:pt idx="704">
                  <c:v>4.1090000000000002E-2</c:v>
                </c:pt>
                <c:pt idx="705">
                  <c:v>4.2000000000000003E-2</c:v>
                </c:pt>
                <c:pt idx="706">
                  <c:v>3.9E-2</c:v>
                </c:pt>
                <c:pt idx="707">
                  <c:v>3.6499999999999998E-2</c:v>
                </c:pt>
                <c:pt idx="708">
                  <c:v>3.7400000000000003E-2</c:v>
                </c:pt>
                <c:pt idx="709">
                  <c:v>4.24E-2</c:v>
                </c:pt>
                <c:pt idx="710">
                  <c:v>3.9789999999999999E-2</c:v>
                </c:pt>
                <c:pt idx="711">
                  <c:v>4.1770000000000002E-2</c:v>
                </c:pt>
                <c:pt idx="712">
                  <c:v>4.58E-2</c:v>
                </c:pt>
                <c:pt idx="713">
                  <c:v>4.6030000000000001E-2</c:v>
                </c:pt>
                <c:pt idx="714">
                  <c:v>4.7289999999999999E-2</c:v>
                </c:pt>
                <c:pt idx="715">
                  <c:v>5.16E-2</c:v>
                </c:pt>
                <c:pt idx="716">
                  <c:v>5.1769999999999997E-2</c:v>
                </c:pt>
                <c:pt idx="717">
                  <c:v>5.2819999999999999E-2</c:v>
                </c:pt>
                <c:pt idx="718">
                  <c:v>4.6539999999999998E-2</c:v>
                </c:pt>
                <c:pt idx="719">
                  <c:v>4.165E-2</c:v>
                </c:pt>
                <c:pt idx="720">
                  <c:v>4.6289999999999998E-2</c:v>
                </c:pt>
                <c:pt idx="721">
                  <c:v>3.6319999999999998E-2</c:v>
                </c:pt>
                <c:pt idx="722">
                  <c:v>3.3349999999999998E-2</c:v>
                </c:pt>
                <c:pt idx="723">
                  <c:v>3.2410000000000001E-2</c:v>
                </c:pt>
                <c:pt idx="724">
                  <c:v>3.3459999999999997E-2</c:v>
                </c:pt>
                <c:pt idx="725">
                  <c:v>3.526E-2</c:v>
                </c:pt>
                <c:pt idx="726">
                  <c:v>3.585E-2</c:v>
                </c:pt>
                <c:pt idx="727">
                  <c:v>3.7900000000000003E-2</c:v>
                </c:pt>
                <c:pt idx="728">
                  <c:v>4.0079999999999998E-2</c:v>
                </c:pt>
                <c:pt idx="729">
                  <c:v>3.61E-2</c:v>
                </c:pt>
                <c:pt idx="730">
                  <c:v>3.6389999999999999E-2</c:v>
                </c:pt>
                <c:pt idx="731">
                  <c:v>3.1870000000000002E-2</c:v>
                </c:pt>
                <c:pt idx="732">
                  <c:v>3.3250000000000002E-2</c:v>
                </c:pt>
                <c:pt idx="733">
                  <c:v>3.4599999999999999E-2</c:v>
                </c:pt>
                <c:pt idx="734">
                  <c:v>2.8500000000000001E-2</c:v>
                </c:pt>
                <c:pt idx="735">
                  <c:v>2.5100000000000001E-2</c:v>
                </c:pt>
                <c:pt idx="736">
                  <c:v>2.5399999999999999E-2</c:v>
                </c:pt>
                <c:pt idx="737">
                  <c:v>2.196E-2</c:v>
                </c:pt>
                <c:pt idx="738">
                  <c:v>2.0719999999999999E-2</c:v>
                </c:pt>
                <c:pt idx="739">
                  <c:v>2.06E-2</c:v>
                </c:pt>
                <c:pt idx="740">
                  <c:v>2.1299999999999999E-2</c:v>
                </c:pt>
                <c:pt idx="741">
                  <c:v>2.2040000000000001E-2</c:v>
                </c:pt>
                <c:pt idx="742">
                  <c:v>2.18E-2</c:v>
                </c:pt>
                <c:pt idx="743">
                  <c:v>2.1999999999999999E-2</c:v>
                </c:pt>
                <c:pt idx="744">
                  <c:v>2.155E-2</c:v>
                </c:pt>
                <c:pt idx="745">
                  <c:v>2.239E-2</c:v>
                </c:pt>
                <c:pt idx="746">
                  <c:v>2.1999999999999999E-2</c:v>
                </c:pt>
                <c:pt idx="747">
                  <c:v>2.2159999999999999E-2</c:v>
                </c:pt>
                <c:pt idx="748">
                  <c:v>2.1999999999999999E-2</c:v>
                </c:pt>
                <c:pt idx="749">
                  <c:v>2.154E-2</c:v>
                </c:pt>
                <c:pt idx="750">
                  <c:v>2.1999999999999999E-2</c:v>
                </c:pt>
                <c:pt idx="751">
                  <c:v>2.2610000000000002E-2</c:v>
                </c:pt>
                <c:pt idx="752">
                  <c:v>2.3609999999999999E-2</c:v>
                </c:pt>
                <c:pt idx="753">
                  <c:v>2.2620000000000001E-2</c:v>
                </c:pt>
                <c:pt idx="754">
                  <c:v>2.2380000000000001E-2</c:v>
                </c:pt>
                <c:pt idx="755">
                  <c:v>2.214E-2</c:v>
                </c:pt>
                <c:pt idx="756">
                  <c:v>2.0449999999999999E-2</c:v>
                </c:pt>
                <c:pt idx="757">
                  <c:v>2.0639999999999999E-2</c:v>
                </c:pt>
                <c:pt idx="758">
                  <c:v>2.0990000000000002E-2</c:v>
                </c:pt>
                <c:pt idx="759">
                  <c:v>2.1250000000000002E-2</c:v>
                </c:pt>
                <c:pt idx="760">
                  <c:v>2.1909999999999999E-2</c:v>
                </c:pt>
                <c:pt idx="761">
                  <c:v>2.249E-2</c:v>
                </c:pt>
                <c:pt idx="762">
                  <c:v>2.1309999999999999E-2</c:v>
                </c:pt>
                <c:pt idx="763">
                  <c:v>2.0899999999999998E-2</c:v>
                </c:pt>
                <c:pt idx="764">
                  <c:v>2.1270000000000001E-2</c:v>
                </c:pt>
                <c:pt idx="765">
                  <c:v>2.3040000000000001E-2</c:v>
                </c:pt>
                <c:pt idx="766">
                  <c:v>2.095E-2</c:v>
                </c:pt>
                <c:pt idx="767">
                  <c:v>2.0539999999999999E-2</c:v>
                </c:pt>
                <c:pt idx="768">
                  <c:v>2.0490000000000001E-2</c:v>
                </c:pt>
                <c:pt idx="769">
                  <c:v>2.0670000000000001E-2</c:v>
                </c:pt>
                <c:pt idx="770">
                  <c:v>2.026E-2</c:v>
                </c:pt>
                <c:pt idx="771">
                  <c:v>1.9890000000000001E-2</c:v>
                </c:pt>
                <c:pt idx="772">
                  <c:v>1.7950000000000001E-2</c:v>
                </c:pt>
                <c:pt idx="773">
                  <c:v>1.959E-2</c:v>
                </c:pt>
                <c:pt idx="774">
                  <c:v>2.0959999999999999E-2</c:v>
                </c:pt>
                <c:pt idx="775">
                  <c:v>2.0449999999999999E-2</c:v>
                </c:pt>
                <c:pt idx="776">
                  <c:v>2.2890000000000001E-2</c:v>
                </c:pt>
                <c:pt idx="777">
                  <c:v>2.231E-2</c:v>
                </c:pt>
                <c:pt idx="778">
                  <c:v>2.316E-2</c:v>
                </c:pt>
                <c:pt idx="779">
                  <c:v>2.231E-2</c:v>
                </c:pt>
                <c:pt idx="780">
                  <c:v>2.7230000000000001E-2</c:v>
                </c:pt>
                <c:pt idx="781">
                  <c:v>2.9430000000000001E-2</c:v>
                </c:pt>
                <c:pt idx="782">
                  <c:v>2.7220000000000001E-2</c:v>
                </c:pt>
                <c:pt idx="783">
                  <c:v>2.8199999999999999E-2</c:v>
                </c:pt>
                <c:pt idx="784">
                  <c:v>2.7040000000000002E-2</c:v>
                </c:pt>
                <c:pt idx="785">
                  <c:v>2.555E-2</c:v>
                </c:pt>
                <c:pt idx="786">
                  <c:v>2.384E-2</c:v>
                </c:pt>
                <c:pt idx="787">
                  <c:v>2.3050000000000001E-2</c:v>
                </c:pt>
                <c:pt idx="788">
                  <c:v>2.3120000000000002E-2</c:v>
                </c:pt>
                <c:pt idx="789">
                  <c:v>2.444E-2</c:v>
                </c:pt>
                <c:pt idx="790">
                  <c:v>2.4209999999999999E-2</c:v>
                </c:pt>
                <c:pt idx="791">
                  <c:v>2.375E-2</c:v>
                </c:pt>
                <c:pt idx="792">
                  <c:v>2.2440000000000002E-2</c:v>
                </c:pt>
                <c:pt idx="793">
                  <c:v>2.3429999999999999E-2</c:v>
                </c:pt>
                <c:pt idx="794">
                  <c:v>2.0650000000000002E-2</c:v>
                </c:pt>
                <c:pt idx="795">
                  <c:v>1.8679999999999999E-2</c:v>
                </c:pt>
                <c:pt idx="796">
                  <c:v>2.0330000000000001E-2</c:v>
                </c:pt>
                <c:pt idx="797">
                  <c:v>1.9949999999999999E-2</c:v>
                </c:pt>
                <c:pt idx="798">
                  <c:v>2.197E-2</c:v>
                </c:pt>
                <c:pt idx="799">
                  <c:v>2.4819999999999998E-2</c:v>
                </c:pt>
                <c:pt idx="800">
                  <c:v>2.5260000000000001E-2</c:v>
                </c:pt>
                <c:pt idx="801">
                  <c:v>2.5700000000000001E-2</c:v>
                </c:pt>
                <c:pt idx="802">
                  <c:v>2.7550000000000002E-2</c:v>
                </c:pt>
                <c:pt idx="803">
                  <c:v>2.826E-2</c:v>
                </c:pt>
                <c:pt idx="804">
                  <c:v>2.674E-2</c:v>
                </c:pt>
                <c:pt idx="805">
                  <c:v>2.7029999999999998E-2</c:v>
                </c:pt>
                <c:pt idx="806">
                  <c:v>2.784E-2</c:v>
                </c:pt>
                <c:pt idx="807">
                  <c:v>2.75E-2</c:v>
                </c:pt>
                <c:pt idx="808">
                  <c:v>2.7279999999999999E-2</c:v>
                </c:pt>
                <c:pt idx="809">
                  <c:v>2.792E-2</c:v>
                </c:pt>
                <c:pt idx="810">
                  <c:v>2.784E-2</c:v>
                </c:pt>
                <c:pt idx="811">
                  <c:v>2.8230000000000002E-2</c:v>
                </c:pt>
                <c:pt idx="812">
                  <c:v>3.006E-2</c:v>
                </c:pt>
                <c:pt idx="813">
                  <c:v>3.0949999999999998E-2</c:v>
                </c:pt>
                <c:pt idx="814">
                  <c:v>3.1220000000000001E-2</c:v>
                </c:pt>
                <c:pt idx="815">
                  <c:v>2.9940000000000001E-2</c:v>
                </c:pt>
                <c:pt idx="816">
                  <c:v>2.9530000000000001E-2</c:v>
                </c:pt>
                <c:pt idx="817">
                  <c:v>2.887E-2</c:v>
                </c:pt>
                <c:pt idx="818">
                  <c:v>2.912E-2</c:v>
                </c:pt>
                <c:pt idx="819">
                  <c:v>2.9780000000000001E-2</c:v>
                </c:pt>
                <c:pt idx="820">
                  <c:v>3.134E-2</c:v>
                </c:pt>
                <c:pt idx="821">
                  <c:v>2.8039999999999999E-2</c:v>
                </c:pt>
                <c:pt idx="822">
                  <c:v>2.7869999999999999E-2</c:v>
                </c:pt>
                <c:pt idx="823">
                  <c:v>2.6710000000000001E-2</c:v>
                </c:pt>
                <c:pt idx="824">
                  <c:v>2.674E-2</c:v>
                </c:pt>
                <c:pt idx="825">
                  <c:v>2.8740000000000002E-2</c:v>
                </c:pt>
                <c:pt idx="826">
                  <c:v>2.7640000000000001E-2</c:v>
                </c:pt>
                <c:pt idx="827">
                  <c:v>2.7910000000000001E-2</c:v>
                </c:pt>
                <c:pt idx="828">
                  <c:v>3.116E-2</c:v>
                </c:pt>
                <c:pt idx="829">
                  <c:v>3.2410000000000001E-2</c:v>
                </c:pt>
                <c:pt idx="830">
                  <c:v>3.2199999999999999E-2</c:v>
                </c:pt>
                <c:pt idx="831">
                  <c:v>3.2000000000000001E-2</c:v>
                </c:pt>
                <c:pt idx="832">
                  <c:v>3.1899999999999998E-2</c:v>
                </c:pt>
                <c:pt idx="833">
                  <c:v>3.3799999999999997E-2</c:v>
                </c:pt>
                <c:pt idx="834">
                  <c:v>3.3300000000000003E-2</c:v>
                </c:pt>
                <c:pt idx="835">
                  <c:v>3.5799999999999998E-2</c:v>
                </c:pt>
                <c:pt idx="836">
                  <c:v>3.6900000000000002E-2</c:v>
                </c:pt>
                <c:pt idx="837">
                  <c:v>3.5000000000000003E-2</c:v>
                </c:pt>
                <c:pt idx="838">
                  <c:v>3.6600000000000001E-2</c:v>
                </c:pt>
                <c:pt idx="839">
                  <c:v>3.6400000000000002E-2</c:v>
                </c:pt>
                <c:pt idx="840">
                  <c:v>3.4799999999999998E-2</c:v>
                </c:pt>
                <c:pt idx="841">
                  <c:v>3.5299999999999998E-2</c:v>
                </c:pt>
                <c:pt idx="842">
                  <c:v>3.39E-2</c:v>
                </c:pt>
                <c:pt idx="843">
                  <c:v>3.3799999999999997E-2</c:v>
                </c:pt>
                <c:pt idx="844">
                  <c:v>3.1699999999999999E-2</c:v>
                </c:pt>
                <c:pt idx="845">
                  <c:v>3.3000000000000002E-2</c:v>
                </c:pt>
                <c:pt idx="846">
                  <c:v>3.32E-2</c:v>
                </c:pt>
                <c:pt idx="847">
                  <c:v>3.3399999999999999E-2</c:v>
                </c:pt>
                <c:pt idx="848">
                  <c:v>3.4799999999999998E-2</c:v>
                </c:pt>
                <c:pt idx="849">
                  <c:v>3.5499999999999997E-2</c:v>
                </c:pt>
                <c:pt idx="850">
                  <c:v>3.2800000000000003E-2</c:v>
                </c:pt>
                <c:pt idx="851">
                  <c:v>3.2399999999999998E-2</c:v>
                </c:pt>
                <c:pt idx="852">
                  <c:v>3.4099999999999998E-2</c:v>
                </c:pt>
                <c:pt idx="853">
                  <c:v>3.44E-2</c:v>
                </c:pt>
                <c:pt idx="854">
                  <c:v>3.2800000000000003E-2</c:v>
                </c:pt>
                <c:pt idx="855">
                  <c:v>3.6200000000000003E-2</c:v>
                </c:pt>
                <c:pt idx="856">
                  <c:v>3.56E-2</c:v>
                </c:pt>
                <c:pt idx="857">
                  <c:v>4.7300000000000002E-2</c:v>
                </c:pt>
                <c:pt idx="858">
                  <c:v>5.2299999999999999E-2</c:v>
                </c:pt>
                <c:pt idx="859">
                  <c:v>5.8500000000000003E-2</c:v>
                </c:pt>
                <c:pt idx="860">
                  <c:v>5.6000000000000001E-2</c:v>
                </c:pt>
                <c:pt idx="861">
                  <c:v>5.57E-2</c:v>
                </c:pt>
                <c:pt idx="862">
                  <c:v>6.0299999999999999E-2</c:v>
                </c:pt>
                <c:pt idx="863">
                  <c:v>5.7299999999999997E-2</c:v>
                </c:pt>
                <c:pt idx="864">
                  <c:v>5.7700000000000001E-2</c:v>
                </c:pt>
                <c:pt idx="865">
                  <c:v>6.3E-2</c:v>
                </c:pt>
                <c:pt idx="866">
                  <c:v>6.1199999999999997E-2</c:v>
                </c:pt>
                <c:pt idx="867">
                  <c:v>6.4399999999999999E-2</c:v>
                </c:pt>
                <c:pt idx="868">
                  <c:v>6.6400000000000001E-2</c:v>
                </c:pt>
                <c:pt idx="869">
                  <c:v>6.7599999999999993E-2</c:v>
                </c:pt>
                <c:pt idx="870">
                  <c:v>7.8600000000000003E-2</c:v>
                </c:pt>
                <c:pt idx="871">
                  <c:v>7.9600000000000004E-2</c:v>
                </c:pt>
                <c:pt idx="872">
                  <c:v>8.1199999999999994E-2</c:v>
                </c:pt>
                <c:pt idx="873">
                  <c:v>8.1000000000000003E-2</c:v>
                </c:pt>
                <c:pt idx="874">
                  <c:v>8.1600000000000006E-2</c:v>
                </c:pt>
                <c:pt idx="875">
                  <c:v>8.8800000000000004E-2</c:v>
                </c:pt>
                <c:pt idx="876">
                  <c:v>9.2799999999999994E-2</c:v>
                </c:pt>
                <c:pt idx="877">
                  <c:v>8.6099999999999996E-2</c:v>
                </c:pt>
                <c:pt idx="878">
                  <c:v>8.4000000000000005E-2</c:v>
                </c:pt>
                <c:pt idx="879">
                  <c:v>8.9599999999999999E-2</c:v>
                </c:pt>
                <c:pt idx="880">
                  <c:v>8.6900000000000005E-2</c:v>
                </c:pt>
                <c:pt idx="881">
                  <c:v>9.2299999999999993E-2</c:v>
                </c:pt>
                <c:pt idx="882">
                  <c:v>9.11E-2</c:v>
                </c:pt>
                <c:pt idx="883">
                  <c:v>9.69E-2</c:v>
                </c:pt>
                <c:pt idx="884">
                  <c:v>0.1124</c:v>
                </c:pt>
                <c:pt idx="885">
                  <c:v>0.11509999999999999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8-49F6-988C-A9991DC9AF1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-46.857065541275531</c:v>
                </c:pt>
                <c:pt idx="1">
                  <c:v>-46.85286846502553</c:v>
                </c:pt>
                <c:pt idx="2">
                  <c:v>-46.719571891133242</c:v>
                </c:pt>
                <c:pt idx="3">
                  <c:v>-46.773211634340136</c:v>
                </c:pt>
                <c:pt idx="4">
                  <c:v>-46.862115905068322</c:v>
                </c:pt>
                <c:pt idx="5">
                  <c:v>-46.86273127850675</c:v>
                </c:pt>
                <c:pt idx="6">
                  <c:v>-46.749524056715593</c:v>
                </c:pt>
                <c:pt idx="7">
                  <c:v>-46.564476528591982</c:v>
                </c:pt>
                <c:pt idx="8">
                  <c:v>-46.450260973452743</c:v>
                </c:pt>
                <c:pt idx="9">
                  <c:v>-46.382894040741526</c:v>
                </c:pt>
                <c:pt idx="10">
                  <c:v>-46.402317869738781</c:v>
                </c:pt>
                <c:pt idx="11">
                  <c:v>-46.326518123563751</c:v>
                </c:pt>
                <c:pt idx="12">
                  <c:v>-45.80185424034832</c:v>
                </c:pt>
                <c:pt idx="13">
                  <c:v>-45.890525674072244</c:v>
                </c:pt>
                <c:pt idx="14">
                  <c:v>-45.822153502293112</c:v>
                </c:pt>
                <c:pt idx="15">
                  <c:v>-45.734018887971565</c:v>
                </c:pt>
                <c:pt idx="16">
                  <c:v>-45.820646585239082</c:v>
                </c:pt>
                <c:pt idx="17">
                  <c:v>-45.882652852849475</c:v>
                </c:pt>
                <c:pt idx="18">
                  <c:v>-45.851803383876153</c:v>
                </c:pt>
                <c:pt idx="19">
                  <c:v>-45.849316943444961</c:v>
                </c:pt>
                <c:pt idx="20">
                  <c:v>-45.743381841913859</c:v>
                </c:pt>
                <c:pt idx="21">
                  <c:v>-45.656067678987831</c:v>
                </c:pt>
                <c:pt idx="22">
                  <c:v>-45.703015540068137</c:v>
                </c:pt>
                <c:pt idx="23">
                  <c:v>-45.474369077213026</c:v>
                </c:pt>
                <c:pt idx="24">
                  <c:v>-45.436426067572</c:v>
                </c:pt>
                <c:pt idx="25">
                  <c:v>-45.351291189947219</c:v>
                </c:pt>
                <c:pt idx="26">
                  <c:v>-45.438017263204351</c:v>
                </c:pt>
                <c:pt idx="27">
                  <c:v>-45.453190688528096</c:v>
                </c:pt>
                <c:pt idx="28">
                  <c:v>-45.401119888917478</c:v>
                </c:pt>
                <c:pt idx="29">
                  <c:v>-45.380280615019316</c:v>
                </c:pt>
                <c:pt idx="30">
                  <c:v>-45.267300249253317</c:v>
                </c:pt>
                <c:pt idx="31">
                  <c:v>-44.546904961836333</c:v>
                </c:pt>
                <c:pt idx="32">
                  <c:v>-44.460991317323419</c:v>
                </c:pt>
                <c:pt idx="33">
                  <c:v>-44.033355188653402</c:v>
                </c:pt>
                <c:pt idx="34">
                  <c:v>-43.847540198179921</c:v>
                </c:pt>
                <c:pt idx="35">
                  <c:v>-43.794906009714467</c:v>
                </c:pt>
                <c:pt idx="36">
                  <c:v>-43.831121898988712</c:v>
                </c:pt>
                <c:pt idx="37">
                  <c:v>-43.635014035426373</c:v>
                </c:pt>
                <c:pt idx="38">
                  <c:v>-43.384765020301366</c:v>
                </c:pt>
                <c:pt idx="39">
                  <c:v>-42.419395874211503</c:v>
                </c:pt>
                <c:pt idx="40">
                  <c:v>-42.150025364938784</c:v>
                </c:pt>
                <c:pt idx="41">
                  <c:v>-42.1190503605876</c:v>
                </c:pt>
                <c:pt idx="42">
                  <c:v>-42.141441621982466</c:v>
                </c:pt>
                <c:pt idx="43">
                  <c:v>-41.982630389973956</c:v>
                </c:pt>
                <c:pt idx="44">
                  <c:v>-42.239209506331107</c:v>
                </c:pt>
                <c:pt idx="45">
                  <c:v>-42.228571275129575</c:v>
                </c:pt>
                <c:pt idx="46">
                  <c:v>-42.033150267555193</c:v>
                </c:pt>
                <c:pt idx="47">
                  <c:v>-42.068860604865542</c:v>
                </c:pt>
                <c:pt idx="48">
                  <c:v>-42.072855295165148</c:v>
                </c:pt>
                <c:pt idx="49">
                  <c:v>-41.881237666241795</c:v>
                </c:pt>
                <c:pt idx="50">
                  <c:v>-41.644612471191287</c:v>
                </c:pt>
                <c:pt idx="51">
                  <c:v>-41.824617366321007</c:v>
                </c:pt>
                <c:pt idx="52">
                  <c:v>-41.504628547042316</c:v>
                </c:pt>
                <c:pt idx="53">
                  <c:v>-41.779925037042318</c:v>
                </c:pt>
                <c:pt idx="54">
                  <c:v>-41.371943388174579</c:v>
                </c:pt>
                <c:pt idx="55">
                  <c:v>-41.056369761176413</c:v>
                </c:pt>
                <c:pt idx="56">
                  <c:v>-39.148749075387443</c:v>
                </c:pt>
                <c:pt idx="57">
                  <c:v>-39.357875634997882</c:v>
                </c:pt>
                <c:pt idx="58">
                  <c:v>-39.299451630275222</c:v>
                </c:pt>
                <c:pt idx="59">
                  <c:v>-39.115053804047434</c:v>
                </c:pt>
                <c:pt idx="60">
                  <c:v>-39.040686401988616</c:v>
                </c:pt>
                <c:pt idx="61">
                  <c:v>-39.206463804422349</c:v>
                </c:pt>
                <c:pt idx="62">
                  <c:v>-39.210105884091995</c:v>
                </c:pt>
                <c:pt idx="63">
                  <c:v>-38.681688452526039</c:v>
                </c:pt>
                <c:pt idx="64">
                  <c:v>-38.54087580150965</c:v>
                </c:pt>
                <c:pt idx="65">
                  <c:v>-38.643034258889507</c:v>
                </c:pt>
                <c:pt idx="66">
                  <c:v>-38.547357205783683</c:v>
                </c:pt>
                <c:pt idx="67">
                  <c:v>-37.404889163372097</c:v>
                </c:pt>
                <c:pt idx="68">
                  <c:v>-32.231670386893171</c:v>
                </c:pt>
                <c:pt idx="69">
                  <c:v>-32.487006172176358</c:v>
                </c:pt>
                <c:pt idx="70">
                  <c:v>-32.593429499811712</c:v>
                </c:pt>
                <c:pt idx="71">
                  <c:v>-32.464505151386668</c:v>
                </c:pt>
                <c:pt idx="72">
                  <c:v>-32.484689792671077</c:v>
                </c:pt>
                <c:pt idx="73">
                  <c:v>-32.426831760462782</c:v>
                </c:pt>
                <c:pt idx="74">
                  <c:v>-32.304610056988587</c:v>
                </c:pt>
                <c:pt idx="75">
                  <c:v>-32.483387954045043</c:v>
                </c:pt>
                <c:pt idx="76">
                  <c:v>-32.51267842234401</c:v>
                </c:pt>
                <c:pt idx="77">
                  <c:v>-32.481838424030173</c:v>
                </c:pt>
                <c:pt idx="78">
                  <c:v>-32.568040407318151</c:v>
                </c:pt>
                <c:pt idx="79">
                  <c:v>-32.451079742941545</c:v>
                </c:pt>
                <c:pt idx="80">
                  <c:v>-32.261344471082822</c:v>
                </c:pt>
                <c:pt idx="81">
                  <c:v>-31.758588246551742</c:v>
                </c:pt>
                <c:pt idx="82">
                  <c:v>-31.890115674248374</c:v>
                </c:pt>
                <c:pt idx="83">
                  <c:v>-31.869223807956455</c:v>
                </c:pt>
                <c:pt idx="84">
                  <c:v>-31.76140326493125</c:v>
                </c:pt>
                <c:pt idx="85">
                  <c:v>-31.59989462777925</c:v>
                </c:pt>
                <c:pt idx="86">
                  <c:v>-31.638673894522682</c:v>
                </c:pt>
                <c:pt idx="87">
                  <c:v>-31.659593455613859</c:v>
                </c:pt>
                <c:pt idx="88">
                  <c:v>-31.667817080809943</c:v>
                </c:pt>
                <c:pt idx="89">
                  <c:v>-31.639995577336428</c:v>
                </c:pt>
                <c:pt idx="90">
                  <c:v>-31.607522748372979</c:v>
                </c:pt>
                <c:pt idx="91">
                  <c:v>-31.594997423331879</c:v>
                </c:pt>
                <c:pt idx="92">
                  <c:v>-31.624533022151638</c:v>
                </c:pt>
                <c:pt idx="93">
                  <c:v>-31.484543522594315</c:v>
                </c:pt>
                <c:pt idx="94">
                  <c:v>-31.281149015837556</c:v>
                </c:pt>
                <c:pt idx="95">
                  <c:v>-31.302766150527063</c:v>
                </c:pt>
                <c:pt idx="96">
                  <c:v>-31.203155388894682</c:v>
                </c:pt>
                <c:pt idx="97">
                  <c:v>-31.196810951986112</c:v>
                </c:pt>
                <c:pt idx="98">
                  <c:v>-31.055368213504362</c:v>
                </c:pt>
                <c:pt idx="99">
                  <c:v>-31.134328681460325</c:v>
                </c:pt>
                <c:pt idx="100">
                  <c:v>-31.197919670280836</c:v>
                </c:pt>
                <c:pt idx="101">
                  <c:v>-31.218262832921123</c:v>
                </c:pt>
                <c:pt idx="102">
                  <c:v>-31.233309632221971</c:v>
                </c:pt>
                <c:pt idx="103">
                  <c:v>-31.062771169221968</c:v>
                </c:pt>
                <c:pt idx="104">
                  <c:v>-30.914429556553753</c:v>
                </c:pt>
                <c:pt idx="105">
                  <c:v>-31.05643308548818</c:v>
                </c:pt>
                <c:pt idx="106">
                  <c:v>-31.011636451086236</c:v>
                </c:pt>
                <c:pt idx="107">
                  <c:v>-31.140971932192343</c:v>
                </c:pt>
                <c:pt idx="108">
                  <c:v>-31.160310630912825</c:v>
                </c:pt>
                <c:pt idx="109">
                  <c:v>-31.108363094853342</c:v>
                </c:pt>
                <c:pt idx="110">
                  <c:v>-30.878849036296671</c:v>
                </c:pt>
                <c:pt idx="111">
                  <c:v>-30.699285031829266</c:v>
                </c:pt>
                <c:pt idx="112">
                  <c:v>-30.747931211693189</c:v>
                </c:pt>
                <c:pt idx="113">
                  <c:v>-30.834423221623421</c:v>
                </c:pt>
                <c:pt idx="114">
                  <c:v>-30.952640758360033</c:v>
                </c:pt>
                <c:pt idx="115">
                  <c:v>-30.995271948960031</c:v>
                </c:pt>
                <c:pt idx="116">
                  <c:v>-30.962229712388606</c:v>
                </c:pt>
                <c:pt idx="117">
                  <c:v>-30.87135659593655</c:v>
                </c:pt>
                <c:pt idx="118">
                  <c:v>-30.889148677466892</c:v>
                </c:pt>
                <c:pt idx="119">
                  <c:v>-31.075544620298867</c:v>
                </c:pt>
                <c:pt idx="120">
                  <c:v>-31.132830086225525</c:v>
                </c:pt>
                <c:pt idx="121">
                  <c:v>-30.941997507920316</c:v>
                </c:pt>
                <c:pt idx="122">
                  <c:v>-30.711985580108337</c:v>
                </c:pt>
                <c:pt idx="123">
                  <c:v>-30.23457358781766</c:v>
                </c:pt>
                <c:pt idx="124">
                  <c:v>-30.513854995780466</c:v>
                </c:pt>
                <c:pt idx="125">
                  <c:v>-30.47313704723917</c:v>
                </c:pt>
                <c:pt idx="126">
                  <c:v>-30.513320627831266</c:v>
                </c:pt>
                <c:pt idx="127">
                  <c:v>-30.661741208409044</c:v>
                </c:pt>
                <c:pt idx="128">
                  <c:v>-30.979117159518946</c:v>
                </c:pt>
                <c:pt idx="129">
                  <c:v>-30.506473403887952</c:v>
                </c:pt>
                <c:pt idx="130">
                  <c:v>-30.006543516118715</c:v>
                </c:pt>
                <c:pt idx="131">
                  <c:v>-29.746319278751542</c:v>
                </c:pt>
                <c:pt idx="132">
                  <c:v>-29.82343953062994</c:v>
                </c:pt>
                <c:pt idx="133">
                  <c:v>-29.698646144902153</c:v>
                </c:pt>
                <c:pt idx="134">
                  <c:v>-29.621464782416421</c:v>
                </c:pt>
                <c:pt idx="135">
                  <c:v>-29.716689881328421</c:v>
                </c:pt>
                <c:pt idx="136">
                  <c:v>-29.123991570871567</c:v>
                </c:pt>
                <c:pt idx="137">
                  <c:v>-28.90431486587498</c:v>
                </c:pt>
                <c:pt idx="138">
                  <c:v>-29.138044139979986</c:v>
                </c:pt>
                <c:pt idx="139">
                  <c:v>-28.436175945662644</c:v>
                </c:pt>
                <c:pt idx="140">
                  <c:v>-28.683708651164043</c:v>
                </c:pt>
                <c:pt idx="141">
                  <c:v>-28.757691470592619</c:v>
                </c:pt>
                <c:pt idx="142">
                  <c:v>-29.043018870343598</c:v>
                </c:pt>
                <c:pt idx="143">
                  <c:v>-28.06117756615647</c:v>
                </c:pt>
                <c:pt idx="144">
                  <c:v>-28.118453403938624</c:v>
                </c:pt>
                <c:pt idx="145">
                  <c:v>-28.399984883799963</c:v>
                </c:pt>
                <c:pt idx="146">
                  <c:v>-28.324844317854708</c:v>
                </c:pt>
                <c:pt idx="147">
                  <c:v>-28.229992082686966</c:v>
                </c:pt>
                <c:pt idx="148">
                  <c:v>-28.089020108228745</c:v>
                </c:pt>
                <c:pt idx="149">
                  <c:v>-28.309008238895412</c:v>
                </c:pt>
                <c:pt idx="150">
                  <c:v>-28.172938647286529</c:v>
                </c:pt>
                <c:pt idx="151">
                  <c:v>-27.877061101301873</c:v>
                </c:pt>
                <c:pt idx="152">
                  <c:v>-28.136859418771113</c:v>
                </c:pt>
                <c:pt idx="153">
                  <c:v>-28.243653347088735</c:v>
                </c:pt>
                <c:pt idx="154">
                  <c:v>-28.391082210083162</c:v>
                </c:pt>
                <c:pt idx="155">
                  <c:v>-28.371120341337466</c:v>
                </c:pt>
                <c:pt idx="156">
                  <c:v>-28.627105058568748</c:v>
                </c:pt>
                <c:pt idx="157">
                  <c:v>-28.344763926661422</c:v>
                </c:pt>
                <c:pt idx="158">
                  <c:v>-28.055313006778192</c:v>
                </c:pt>
                <c:pt idx="159">
                  <c:v>-28.061433988189957</c:v>
                </c:pt>
                <c:pt idx="160">
                  <c:v>-28.099276027035874</c:v>
                </c:pt>
                <c:pt idx="161">
                  <c:v>-28.371478650604839</c:v>
                </c:pt>
                <c:pt idx="162">
                  <c:v>-28.71643338581336</c:v>
                </c:pt>
                <c:pt idx="163">
                  <c:v>-28.857467144980031</c:v>
                </c:pt>
                <c:pt idx="164">
                  <c:v>-28.565250272199759</c:v>
                </c:pt>
                <c:pt idx="165">
                  <c:v>-28.295331124419302</c:v>
                </c:pt>
                <c:pt idx="166">
                  <c:v>-28.597530489643184</c:v>
                </c:pt>
                <c:pt idx="167">
                  <c:v>-28.514603018020907</c:v>
                </c:pt>
                <c:pt idx="168">
                  <c:v>-28.752449559155092</c:v>
                </c:pt>
                <c:pt idx="169">
                  <c:v>-28.543818387804503</c:v>
                </c:pt>
                <c:pt idx="170">
                  <c:v>-28.218373859852647</c:v>
                </c:pt>
                <c:pt idx="171">
                  <c:v>-28.14223819452349</c:v>
                </c:pt>
                <c:pt idx="172">
                  <c:v>-28.670554289378696</c:v>
                </c:pt>
                <c:pt idx="173">
                  <c:v>-28.377935868133733</c:v>
                </c:pt>
                <c:pt idx="174">
                  <c:v>-28.050088363928602</c:v>
                </c:pt>
                <c:pt idx="175">
                  <c:v>-28.254385560052338</c:v>
                </c:pt>
                <c:pt idx="176">
                  <c:v>-28.573109713055434</c:v>
                </c:pt>
                <c:pt idx="177">
                  <c:v>-28.750662840055433</c:v>
                </c:pt>
                <c:pt idx="178">
                  <c:v>-28.639307633536916</c:v>
                </c:pt>
                <c:pt idx="179">
                  <c:v>-28.653309185886776</c:v>
                </c:pt>
                <c:pt idx="180">
                  <c:v>-28.484698103945053</c:v>
                </c:pt>
                <c:pt idx="181">
                  <c:v>-28.444029137192022</c:v>
                </c:pt>
                <c:pt idx="182">
                  <c:v>-28.63721883278075</c:v>
                </c:pt>
                <c:pt idx="183">
                  <c:v>-28.739692255054717</c:v>
                </c:pt>
                <c:pt idx="184">
                  <c:v>-28.747727868744374</c:v>
                </c:pt>
                <c:pt idx="185">
                  <c:v>-29.039279429125656</c:v>
                </c:pt>
                <c:pt idx="186">
                  <c:v>-28.317638071067993</c:v>
                </c:pt>
                <c:pt idx="187">
                  <c:v>-28.393570446646116</c:v>
                </c:pt>
                <c:pt idx="188">
                  <c:v>-28.407503116457345</c:v>
                </c:pt>
                <c:pt idx="189">
                  <c:v>-28.61538893908617</c:v>
                </c:pt>
                <c:pt idx="190">
                  <c:v>-28.521995862580795</c:v>
                </c:pt>
                <c:pt idx="191">
                  <c:v>-28.797734682231525</c:v>
                </c:pt>
                <c:pt idx="192">
                  <c:v>-28.774698563461293</c:v>
                </c:pt>
                <c:pt idx="193">
                  <c:v>-28.62201828798543</c:v>
                </c:pt>
                <c:pt idx="194">
                  <c:v>-28.493422087533819</c:v>
                </c:pt>
                <c:pt idx="195">
                  <c:v>-28.402822417108421</c:v>
                </c:pt>
                <c:pt idx="196">
                  <c:v>-27.563662400567633</c:v>
                </c:pt>
                <c:pt idx="197">
                  <c:v>-27.703269976361288</c:v>
                </c:pt>
                <c:pt idx="198">
                  <c:v>-27.837739207871927</c:v>
                </c:pt>
                <c:pt idx="199">
                  <c:v>-27.613102669980233</c:v>
                </c:pt>
                <c:pt idx="200">
                  <c:v>-27.590721253050283</c:v>
                </c:pt>
                <c:pt idx="201">
                  <c:v>-27.615658975003196</c:v>
                </c:pt>
                <c:pt idx="202">
                  <c:v>-27.489316947699454</c:v>
                </c:pt>
                <c:pt idx="203">
                  <c:v>-27.578389712659234</c:v>
                </c:pt>
                <c:pt idx="204">
                  <c:v>-27.466834048568838</c:v>
                </c:pt>
                <c:pt idx="205">
                  <c:v>-26.90135188935685</c:v>
                </c:pt>
                <c:pt idx="206">
                  <c:v>-27.506514397807553</c:v>
                </c:pt>
                <c:pt idx="207">
                  <c:v>-27.391224724207554</c:v>
                </c:pt>
                <c:pt idx="208">
                  <c:v>-26.900033544940229</c:v>
                </c:pt>
                <c:pt idx="209">
                  <c:v>-26.615855105475205</c:v>
                </c:pt>
                <c:pt idx="210">
                  <c:v>-26.917904810051727</c:v>
                </c:pt>
                <c:pt idx="211">
                  <c:v>-26.547481484804415</c:v>
                </c:pt>
                <c:pt idx="212">
                  <c:v>-26.506980262873761</c:v>
                </c:pt>
                <c:pt idx="213">
                  <c:v>-26.195825952948518</c:v>
                </c:pt>
                <c:pt idx="214">
                  <c:v>-26.406223812786546</c:v>
                </c:pt>
                <c:pt idx="215">
                  <c:v>-26.791218161230987</c:v>
                </c:pt>
                <c:pt idx="216">
                  <c:v>-26.95597822280369</c:v>
                </c:pt>
                <c:pt idx="217">
                  <c:v>-26.454807806567324</c:v>
                </c:pt>
                <c:pt idx="218">
                  <c:v>-26.53000263476676</c:v>
                </c:pt>
                <c:pt idx="219">
                  <c:v>-26.867386173877872</c:v>
                </c:pt>
                <c:pt idx="220">
                  <c:v>-26.819511357241421</c:v>
                </c:pt>
                <c:pt idx="221">
                  <c:v>-25.188952985437002</c:v>
                </c:pt>
                <c:pt idx="222">
                  <c:v>-24.662496462437002</c:v>
                </c:pt>
                <c:pt idx="223">
                  <c:v>-22.841614945597065</c:v>
                </c:pt>
                <c:pt idx="224">
                  <c:v>-20.35042238642394</c:v>
                </c:pt>
                <c:pt idx="225">
                  <c:v>-16.766149644830943</c:v>
                </c:pt>
                <c:pt idx="226">
                  <c:v>-15.888224186932719</c:v>
                </c:pt>
                <c:pt idx="227">
                  <c:v>-17.835854372488683</c:v>
                </c:pt>
                <c:pt idx="228">
                  <c:v>-18.078997304911304</c:v>
                </c:pt>
                <c:pt idx="229">
                  <c:v>-18.250564756339873</c:v>
                </c:pt>
                <c:pt idx="230">
                  <c:v>-18.183109003961498</c:v>
                </c:pt>
                <c:pt idx="231">
                  <c:v>-17.858018959571272</c:v>
                </c:pt>
                <c:pt idx="232">
                  <c:v>-17.328495885734206</c:v>
                </c:pt>
                <c:pt idx="233">
                  <c:v>-17.882466552400874</c:v>
                </c:pt>
                <c:pt idx="234">
                  <c:v>-17.342477258684081</c:v>
                </c:pt>
                <c:pt idx="235">
                  <c:v>-15.723075901993065</c:v>
                </c:pt>
                <c:pt idx="236">
                  <c:v>-14.159243399743985</c:v>
                </c:pt>
                <c:pt idx="237">
                  <c:v>-14.091205204316941</c:v>
                </c:pt>
                <c:pt idx="238">
                  <c:v>-13.988168899997614</c:v>
                </c:pt>
                <c:pt idx="239">
                  <c:v>-14.022834626603119</c:v>
                </c:pt>
                <c:pt idx="240">
                  <c:v>-14.037197880730837</c:v>
                </c:pt>
                <c:pt idx="241">
                  <c:v>-14.243911333506503</c:v>
                </c:pt>
                <c:pt idx="242">
                  <c:v>-14.4456902127296</c:v>
                </c:pt>
                <c:pt idx="243">
                  <c:v>-14.500066076441213</c:v>
                </c:pt>
                <c:pt idx="244">
                  <c:v>-14.408292998257306</c:v>
                </c:pt>
                <c:pt idx="245">
                  <c:v>-14.19123571521231</c:v>
                </c:pt>
                <c:pt idx="246">
                  <c:v>-14.431308223351175</c:v>
                </c:pt>
                <c:pt idx="247">
                  <c:v>-14.77605532118104</c:v>
                </c:pt>
                <c:pt idx="248">
                  <c:v>-15.435339263512763</c:v>
                </c:pt>
                <c:pt idx="249">
                  <c:v>-15.668792140773956</c:v>
                </c:pt>
                <c:pt idx="250">
                  <c:v>-15.549193672471977</c:v>
                </c:pt>
                <c:pt idx="251">
                  <c:v>-15.46558871379221</c:v>
                </c:pt>
                <c:pt idx="252">
                  <c:v>-15.242688392713346</c:v>
                </c:pt>
                <c:pt idx="253">
                  <c:v>-15.444206341577045</c:v>
                </c:pt>
                <c:pt idx="254">
                  <c:v>-14.616606127098136</c:v>
                </c:pt>
                <c:pt idx="255">
                  <c:v>-14.945765640336532</c:v>
                </c:pt>
                <c:pt idx="256">
                  <c:v>-14.870770879264109</c:v>
                </c:pt>
                <c:pt idx="257">
                  <c:v>-14.807670527451231</c:v>
                </c:pt>
                <c:pt idx="258">
                  <c:v>-14.707205108335131</c:v>
                </c:pt>
                <c:pt idx="259">
                  <c:v>-14.675400395299807</c:v>
                </c:pt>
                <c:pt idx="260">
                  <c:v>-14.598788500456797</c:v>
                </c:pt>
                <c:pt idx="261">
                  <c:v>-14.196973958079905</c:v>
                </c:pt>
                <c:pt idx="262">
                  <c:v>-13.853832593438881</c:v>
                </c:pt>
                <c:pt idx="263">
                  <c:v>-13.627378066708065</c:v>
                </c:pt>
                <c:pt idx="264">
                  <c:v>-13.530262730708065</c:v>
                </c:pt>
                <c:pt idx="265">
                  <c:v>-13.572555986182293</c:v>
                </c:pt>
                <c:pt idx="266">
                  <c:v>-13.441026188580583</c:v>
                </c:pt>
                <c:pt idx="267">
                  <c:v>-13.32676085909671</c:v>
                </c:pt>
                <c:pt idx="268">
                  <c:v>-13.393549269190562</c:v>
                </c:pt>
                <c:pt idx="269">
                  <c:v>-13.079508175610062</c:v>
                </c:pt>
                <c:pt idx="270">
                  <c:v>-13.363913845732323</c:v>
                </c:pt>
                <c:pt idx="271">
                  <c:v>-13.413525474368162</c:v>
                </c:pt>
                <c:pt idx="272">
                  <c:v>-13.501120652717109</c:v>
                </c:pt>
                <c:pt idx="273">
                  <c:v>-13.542076643840234</c:v>
                </c:pt>
                <c:pt idx="274">
                  <c:v>-13.868872432924038</c:v>
                </c:pt>
                <c:pt idx="275">
                  <c:v>-13.83465958751381</c:v>
                </c:pt>
                <c:pt idx="276">
                  <c:v>-14.15804176919672</c:v>
                </c:pt>
                <c:pt idx="277">
                  <c:v>-14.583514645485151</c:v>
                </c:pt>
                <c:pt idx="278">
                  <c:v>-14.662677442108405</c:v>
                </c:pt>
                <c:pt idx="279">
                  <c:v>-14.370141141949</c:v>
                </c:pt>
                <c:pt idx="280">
                  <c:v>-14.574601140344992</c:v>
                </c:pt>
                <c:pt idx="281">
                  <c:v>-14.17443692092681</c:v>
                </c:pt>
                <c:pt idx="282">
                  <c:v>-13.892420796277531</c:v>
                </c:pt>
                <c:pt idx="283">
                  <c:v>-14.247700263066958</c:v>
                </c:pt>
                <c:pt idx="284">
                  <c:v>-13.789242600588977</c:v>
                </c:pt>
                <c:pt idx="285">
                  <c:v>-13.587503434858508</c:v>
                </c:pt>
                <c:pt idx="286">
                  <c:v>-13.302131649243982</c:v>
                </c:pt>
                <c:pt idx="287">
                  <c:v>-13.044440923607507</c:v>
                </c:pt>
                <c:pt idx="288">
                  <c:v>-12.880084794197156</c:v>
                </c:pt>
                <c:pt idx="289">
                  <c:v>-12.867417168080401</c:v>
                </c:pt>
                <c:pt idx="290">
                  <c:v>-13.220688757185203</c:v>
                </c:pt>
                <c:pt idx="291">
                  <c:v>-13.397088181028543</c:v>
                </c:pt>
                <c:pt idx="292">
                  <c:v>-13.288198556625989</c:v>
                </c:pt>
                <c:pt idx="293">
                  <c:v>-13.278738062581215</c:v>
                </c:pt>
                <c:pt idx="294">
                  <c:v>-13.045567299664352</c:v>
                </c:pt>
                <c:pt idx="295">
                  <c:v>-13.240326360285483</c:v>
                </c:pt>
                <c:pt idx="296">
                  <c:v>-12.57832076007049</c:v>
                </c:pt>
                <c:pt idx="297">
                  <c:v>-12.641721964644708</c:v>
                </c:pt>
                <c:pt idx="298">
                  <c:v>-10.601335699125725</c:v>
                </c:pt>
                <c:pt idx="299">
                  <c:v>-11.14015864298441</c:v>
                </c:pt>
                <c:pt idx="300">
                  <c:v>-10.630891466512578</c:v>
                </c:pt>
                <c:pt idx="301">
                  <c:v>-10.252747658627595</c:v>
                </c:pt>
                <c:pt idx="302">
                  <c:v>-9.5776531438956596</c:v>
                </c:pt>
                <c:pt idx="303">
                  <c:v>-10.158609327499327</c:v>
                </c:pt>
                <c:pt idx="304">
                  <c:v>-10.373460205002418</c:v>
                </c:pt>
                <c:pt idx="305">
                  <c:v>-10.786668746231177</c:v>
                </c:pt>
                <c:pt idx="306">
                  <c:v>-10.803273557209637</c:v>
                </c:pt>
                <c:pt idx="307">
                  <c:v>-10.394140422868038</c:v>
                </c:pt>
                <c:pt idx="308">
                  <c:v>-10.629786374915074</c:v>
                </c:pt>
                <c:pt idx="309">
                  <c:v>-10.333720553282649</c:v>
                </c:pt>
                <c:pt idx="310">
                  <c:v>-9.5124995787242366</c:v>
                </c:pt>
                <c:pt idx="311">
                  <c:v>-9.57843174956359</c:v>
                </c:pt>
                <c:pt idx="312">
                  <c:v>-9.1180899872852077</c:v>
                </c:pt>
                <c:pt idx="313">
                  <c:v>-9.0260898963000233</c:v>
                </c:pt>
                <c:pt idx="314">
                  <c:v>-8.5356953179581971</c:v>
                </c:pt>
                <c:pt idx="315">
                  <c:v>-8.1619803291931259</c:v>
                </c:pt>
                <c:pt idx="316">
                  <c:v>-7.7901393716685181</c:v>
                </c:pt>
                <c:pt idx="317">
                  <c:v>-7.657488570837697</c:v>
                </c:pt>
                <c:pt idx="318">
                  <c:v>-7.3222527596376965</c:v>
                </c:pt>
                <c:pt idx="319">
                  <c:v>-7.7511070740552031</c:v>
                </c:pt>
                <c:pt idx="320">
                  <c:v>-7.9319772854750266</c:v>
                </c:pt>
                <c:pt idx="321">
                  <c:v>-8.2463936653662895</c:v>
                </c:pt>
                <c:pt idx="322">
                  <c:v>-8.5675062548920469</c:v>
                </c:pt>
                <c:pt idx="323">
                  <c:v>-9.7577018256075156</c:v>
                </c:pt>
                <c:pt idx="324">
                  <c:v>-8.5538073990587176</c:v>
                </c:pt>
                <c:pt idx="325">
                  <c:v>-9.0097429645983986</c:v>
                </c:pt>
                <c:pt idx="326">
                  <c:v>-9.5955974819420664</c:v>
                </c:pt>
                <c:pt idx="327">
                  <c:v>-9.3388477042385709</c:v>
                </c:pt>
                <c:pt idx="328">
                  <c:v>-9.0882820535845195</c:v>
                </c:pt>
                <c:pt idx="329">
                  <c:v>-9.4901349526817409</c:v>
                </c:pt>
                <c:pt idx="330">
                  <c:v>-9.7082885360076769</c:v>
                </c:pt>
                <c:pt idx="331">
                  <c:v>-9.7659838783508714</c:v>
                </c:pt>
                <c:pt idx="332">
                  <c:v>-9.3490512767892273</c:v>
                </c:pt>
                <c:pt idx="333">
                  <c:v>-9.401104849982989</c:v>
                </c:pt>
                <c:pt idx="334">
                  <c:v>-9.395219966969961</c:v>
                </c:pt>
                <c:pt idx="335">
                  <c:v>-9.346115482001327</c:v>
                </c:pt>
                <c:pt idx="336">
                  <c:v>-9.2870269096000868</c:v>
                </c:pt>
                <c:pt idx="337">
                  <c:v>-8.9182639836636497</c:v>
                </c:pt>
                <c:pt idx="338">
                  <c:v>-9.2404464846745356</c:v>
                </c:pt>
                <c:pt idx="339">
                  <c:v>-9.0547658691950588</c:v>
                </c:pt>
                <c:pt idx="340">
                  <c:v>-9.0910282078961089</c:v>
                </c:pt>
                <c:pt idx="341">
                  <c:v>-9.1409267612992107</c:v>
                </c:pt>
                <c:pt idx="342">
                  <c:v>-8.7827803098879311</c:v>
                </c:pt>
                <c:pt idx="343">
                  <c:v>-8.7431399480838863</c:v>
                </c:pt>
                <c:pt idx="344">
                  <c:v>-8.8402083510572549</c:v>
                </c:pt>
                <c:pt idx="345">
                  <c:v>-8.8756622509947558</c:v>
                </c:pt>
                <c:pt idx="346">
                  <c:v>-8.676936430054214</c:v>
                </c:pt>
                <c:pt idx="347">
                  <c:v>-8.6339045695820182</c:v>
                </c:pt>
                <c:pt idx="348">
                  <c:v>-8.2133321089420193</c:v>
                </c:pt>
                <c:pt idx="349">
                  <c:v>-8.1015174292914853</c:v>
                </c:pt>
                <c:pt idx="350">
                  <c:v>-8.3990099870692632</c:v>
                </c:pt>
                <c:pt idx="351">
                  <c:v>-7.8991487851553934</c:v>
                </c:pt>
                <c:pt idx="352">
                  <c:v>-9.2825203735884454</c:v>
                </c:pt>
                <c:pt idx="353">
                  <c:v>-10.111706195619105</c:v>
                </c:pt>
                <c:pt idx="354">
                  <c:v>-10.362610568121957</c:v>
                </c:pt>
                <c:pt idx="355">
                  <c:v>-10.314631002634149</c:v>
                </c:pt>
                <c:pt idx="356">
                  <c:v>-10.30235688256734</c:v>
                </c:pt>
                <c:pt idx="357">
                  <c:v>-10.624009079486887</c:v>
                </c:pt>
                <c:pt idx="358">
                  <c:v>-9.5890169656635855</c:v>
                </c:pt>
                <c:pt idx="359">
                  <c:v>-10.157981333360429</c:v>
                </c:pt>
                <c:pt idx="360">
                  <c:v>-10.056050710493572</c:v>
                </c:pt>
                <c:pt idx="361">
                  <c:v>-9.933887762406906</c:v>
                </c:pt>
                <c:pt idx="362">
                  <c:v>-10.071464755920534</c:v>
                </c:pt>
                <c:pt idx="363">
                  <c:v>-9.8664571696688039</c:v>
                </c:pt>
                <c:pt idx="364">
                  <c:v>-10.330257432312401</c:v>
                </c:pt>
                <c:pt idx="365">
                  <c:v>-9.9719959348243989</c:v>
                </c:pt>
                <c:pt idx="366">
                  <c:v>-9.5399727903910687</c:v>
                </c:pt>
                <c:pt idx="367">
                  <c:v>-10.07183822863592</c:v>
                </c:pt>
                <c:pt idx="368">
                  <c:v>-10.051123394412363</c:v>
                </c:pt>
                <c:pt idx="369">
                  <c:v>-10.012631031452177</c:v>
                </c:pt>
                <c:pt idx="370">
                  <c:v>-10.226587642347031</c:v>
                </c:pt>
                <c:pt idx="371">
                  <c:v>-9.7155589412070338</c:v>
                </c:pt>
                <c:pt idx="372">
                  <c:v>-10.220795412919843</c:v>
                </c:pt>
                <c:pt idx="373">
                  <c:v>-10.263314484288262</c:v>
                </c:pt>
                <c:pt idx="374">
                  <c:v>-9.733354810729578</c:v>
                </c:pt>
                <c:pt idx="375">
                  <c:v>-9.9221143018600131</c:v>
                </c:pt>
                <c:pt idx="376">
                  <c:v>-10.072052077189126</c:v>
                </c:pt>
                <c:pt idx="377">
                  <c:v>-10.233657183840577</c:v>
                </c:pt>
                <c:pt idx="378">
                  <c:v>-10.325457942537644</c:v>
                </c:pt>
                <c:pt idx="379">
                  <c:v>-10.188164343807644</c:v>
                </c:pt>
                <c:pt idx="380">
                  <c:v>-10.32786786963859</c:v>
                </c:pt>
                <c:pt idx="381">
                  <c:v>-10.321849503757761</c:v>
                </c:pt>
                <c:pt idx="382">
                  <c:v>-10.334979018990976</c:v>
                </c:pt>
                <c:pt idx="383">
                  <c:v>-10.169641967912415</c:v>
                </c:pt>
                <c:pt idx="384">
                  <c:v>-9.6367878560765021</c:v>
                </c:pt>
                <c:pt idx="385">
                  <c:v>-9.7831300922472089</c:v>
                </c:pt>
                <c:pt idx="386">
                  <c:v>-9.5054118969887824</c:v>
                </c:pt>
                <c:pt idx="387">
                  <c:v>-9.8128531048847805</c:v>
                </c:pt>
                <c:pt idx="388">
                  <c:v>-9.5622692694514484</c:v>
                </c:pt>
                <c:pt idx="389">
                  <c:v>-9.5179861342525083</c:v>
                </c:pt>
                <c:pt idx="390">
                  <c:v>-9.6988888902817489</c:v>
                </c:pt>
                <c:pt idx="391">
                  <c:v>-9.6849157425544767</c:v>
                </c:pt>
                <c:pt idx="392">
                  <c:v>-9.7085810897501261</c:v>
                </c:pt>
                <c:pt idx="393">
                  <c:v>-9.6548283479101276</c:v>
                </c:pt>
                <c:pt idx="394">
                  <c:v>-9.3640384945080122</c:v>
                </c:pt>
                <c:pt idx="395">
                  <c:v>-9.4094164235792643</c:v>
                </c:pt>
                <c:pt idx="396">
                  <c:v>-9.554067572872194</c:v>
                </c:pt>
                <c:pt idx="397">
                  <c:v>-9.5178298337310903</c:v>
                </c:pt>
                <c:pt idx="398">
                  <c:v>-9.6323392978564168</c:v>
                </c:pt>
                <c:pt idx="399">
                  <c:v>-9.5670924538909006</c:v>
                </c:pt>
                <c:pt idx="400">
                  <c:v>-9.7601330218908995</c:v>
                </c:pt>
                <c:pt idx="401">
                  <c:v>-9.6073845121168038</c:v>
                </c:pt>
                <c:pt idx="402">
                  <c:v>-9.7912046510582655</c:v>
                </c:pt>
                <c:pt idx="403">
                  <c:v>-9.6463686675680282</c:v>
                </c:pt>
                <c:pt idx="404">
                  <c:v>-9.597969428576361</c:v>
                </c:pt>
                <c:pt idx="405">
                  <c:v>-9.2676980693025737</c:v>
                </c:pt>
                <c:pt idx="406">
                  <c:v>-9.8611489939868928</c:v>
                </c:pt>
                <c:pt idx="407">
                  <c:v>-8.6904274349227713</c:v>
                </c:pt>
                <c:pt idx="408">
                  <c:v>-9.5913068904320795</c:v>
                </c:pt>
                <c:pt idx="409">
                  <c:v>-10.036982223198036</c:v>
                </c:pt>
                <c:pt idx="410">
                  <c:v>-10.051516439620146</c:v>
                </c:pt>
                <c:pt idx="411">
                  <c:v>-10.048296224429063</c:v>
                </c:pt>
                <c:pt idx="412">
                  <c:v>-9.9844799261366646</c:v>
                </c:pt>
                <c:pt idx="413">
                  <c:v>-9.9856466587741135</c:v>
                </c:pt>
                <c:pt idx="414">
                  <c:v>-10.033348000235653</c:v>
                </c:pt>
                <c:pt idx="415">
                  <c:v>-10.145397102717471</c:v>
                </c:pt>
                <c:pt idx="416">
                  <c:v>-10.049254342551757</c:v>
                </c:pt>
                <c:pt idx="417">
                  <c:v>-10.002861760916243</c:v>
                </c:pt>
                <c:pt idx="418">
                  <c:v>-9.9971965431726524</c:v>
                </c:pt>
                <c:pt idx="419">
                  <c:v>-10.121135734799447</c:v>
                </c:pt>
                <c:pt idx="420">
                  <c:v>-10.013811598194405</c:v>
                </c:pt>
                <c:pt idx="421">
                  <c:v>-9.9377436280804812</c:v>
                </c:pt>
                <c:pt idx="422">
                  <c:v>-10.006062644012959</c:v>
                </c:pt>
                <c:pt idx="423">
                  <c:v>-9.8090906568945382</c:v>
                </c:pt>
                <c:pt idx="424">
                  <c:v>-9.8622430938945378</c:v>
                </c:pt>
                <c:pt idx="425">
                  <c:v>-9.9187001441372562</c:v>
                </c:pt>
                <c:pt idx="426">
                  <c:v>-9.9311441101764704</c:v>
                </c:pt>
                <c:pt idx="427">
                  <c:v>-9.9175122899730788</c:v>
                </c:pt>
                <c:pt idx="428">
                  <c:v>-9.727774065111765</c:v>
                </c:pt>
                <c:pt idx="429">
                  <c:v>-9.4695490818819277</c:v>
                </c:pt>
                <c:pt idx="430">
                  <c:v>-9.9417401990782146</c:v>
                </c:pt>
                <c:pt idx="431">
                  <c:v>-10.195120641195864</c:v>
                </c:pt>
                <c:pt idx="432">
                  <c:v>-10.084856813155458</c:v>
                </c:pt>
                <c:pt idx="433">
                  <c:v>-10.244158098953028</c:v>
                </c:pt>
                <c:pt idx="434">
                  <c:v>-10.255147075001222</c:v>
                </c:pt>
                <c:pt idx="435">
                  <c:v>-10.277389395291078</c:v>
                </c:pt>
                <c:pt idx="436">
                  <c:v>-10.165115232554236</c:v>
                </c:pt>
                <c:pt idx="437">
                  <c:v>-10.154876390589695</c:v>
                </c:pt>
                <c:pt idx="438">
                  <c:v>-10.172307709339696</c:v>
                </c:pt>
                <c:pt idx="439">
                  <c:v>-9.97651532688948</c:v>
                </c:pt>
                <c:pt idx="440">
                  <c:v>-10.068512596987519</c:v>
                </c:pt>
                <c:pt idx="441">
                  <c:v>-10.141313052319068</c:v>
                </c:pt>
                <c:pt idx="442">
                  <c:v>-9.9733135618535531</c:v>
                </c:pt>
                <c:pt idx="443">
                  <c:v>-9.770757939445387</c:v>
                </c:pt>
                <c:pt idx="444">
                  <c:v>-9.5281319986018129</c:v>
                </c:pt>
                <c:pt idx="445">
                  <c:v>-9.8477170331509214</c:v>
                </c:pt>
                <c:pt idx="446">
                  <c:v>-9.8705399131842544</c:v>
                </c:pt>
                <c:pt idx="447">
                  <c:v>-9.7346137708021203</c:v>
                </c:pt>
                <c:pt idx="448">
                  <c:v>-9.8847792821765683</c:v>
                </c:pt>
                <c:pt idx="449">
                  <c:v>-9.9474259682110535</c:v>
                </c:pt>
                <c:pt idx="450">
                  <c:v>-9.9712019194212438</c:v>
                </c:pt>
                <c:pt idx="451">
                  <c:v>-9.9723936787681815</c:v>
                </c:pt>
                <c:pt idx="452">
                  <c:v>-9.8906260114590907</c:v>
                </c:pt>
                <c:pt idx="453">
                  <c:v>-9.8869147294781374</c:v>
                </c:pt>
                <c:pt idx="454">
                  <c:v>-9.8392375081704468</c:v>
                </c:pt>
                <c:pt idx="455">
                  <c:v>-9.906612997800881</c:v>
                </c:pt>
                <c:pt idx="456">
                  <c:v>-9.8473413819082261</c:v>
                </c:pt>
                <c:pt idx="457">
                  <c:v>-9.8016143221225107</c:v>
                </c:pt>
                <c:pt idx="458">
                  <c:v>-9.8006372898238077</c:v>
                </c:pt>
                <c:pt idx="459">
                  <c:v>-9.7530785138883243</c:v>
                </c:pt>
                <c:pt idx="460">
                  <c:v>-9.6861472526638348</c:v>
                </c:pt>
                <c:pt idx="461">
                  <c:v>-9.7182512445711193</c:v>
                </c:pt>
                <c:pt idx="462">
                  <c:v>-9.7037035628299417</c:v>
                </c:pt>
                <c:pt idx="463">
                  <c:v>-9.6768623683061339</c:v>
                </c:pt>
                <c:pt idx="464">
                  <c:v>-9.6867681841327986</c:v>
                </c:pt>
                <c:pt idx="465">
                  <c:v>-9.6820330540880235</c:v>
                </c:pt>
                <c:pt idx="466">
                  <c:v>-9.6223405445081909</c:v>
                </c:pt>
                <c:pt idx="467">
                  <c:v>-9.6263526096100787</c:v>
                </c:pt>
                <c:pt idx="468">
                  <c:v>-9.6324753892464408</c:v>
                </c:pt>
                <c:pt idx="469">
                  <c:v>-9.5601636490200264</c:v>
                </c:pt>
                <c:pt idx="470">
                  <c:v>-9.5695319438798396</c:v>
                </c:pt>
                <c:pt idx="471">
                  <c:v>-9.493038112115892</c:v>
                </c:pt>
                <c:pt idx="472">
                  <c:v>-9.445412446452341</c:v>
                </c:pt>
                <c:pt idx="473">
                  <c:v>-9.3561046192836681</c:v>
                </c:pt>
                <c:pt idx="474">
                  <c:v>-9.4188996410211683</c:v>
                </c:pt>
                <c:pt idx="475">
                  <c:v>-9.4949951785329159</c:v>
                </c:pt>
                <c:pt idx="476">
                  <c:v>-9.4542382241093659</c:v>
                </c:pt>
                <c:pt idx="477">
                  <c:v>-9.5162292997680495</c:v>
                </c:pt>
                <c:pt idx="478">
                  <c:v>-9.5704600922918583</c:v>
                </c:pt>
                <c:pt idx="479">
                  <c:v>-9.392912445048335</c:v>
                </c:pt>
                <c:pt idx="480">
                  <c:v>-9.4045791290138521</c:v>
                </c:pt>
                <c:pt idx="481">
                  <c:v>-9.444247538437164</c:v>
                </c:pt>
                <c:pt idx="482">
                  <c:v>-9.3799022635984546</c:v>
                </c:pt>
                <c:pt idx="483">
                  <c:v>-9.3211697702019531</c:v>
                </c:pt>
                <c:pt idx="484">
                  <c:v>-9.1466024575703759</c:v>
                </c:pt>
                <c:pt idx="485">
                  <c:v>-9.2189016009518649</c:v>
                </c:pt>
                <c:pt idx="486">
                  <c:v>-9.1653704290758959</c:v>
                </c:pt>
                <c:pt idx="487">
                  <c:v>-9.1019941703668046</c:v>
                </c:pt>
                <c:pt idx="488">
                  <c:v>-9.1449605790624577</c:v>
                </c:pt>
                <c:pt idx="489">
                  <c:v>-9.1117447205149453</c:v>
                </c:pt>
                <c:pt idx="490">
                  <c:v>-9.2019449141176839</c:v>
                </c:pt>
                <c:pt idx="491">
                  <c:v>-9.3102149588499685</c:v>
                </c:pt>
                <c:pt idx="492">
                  <c:v>-9.2389815937730457</c:v>
                </c:pt>
                <c:pt idx="493">
                  <c:v>-9.305604357829651</c:v>
                </c:pt>
                <c:pt idx="494">
                  <c:v>-9.2127961792899793</c:v>
                </c:pt>
                <c:pt idx="495">
                  <c:v>-9.0990705517110317</c:v>
                </c:pt>
                <c:pt idx="496">
                  <c:v>-9.1306839073040535</c:v>
                </c:pt>
                <c:pt idx="497">
                  <c:v>-9.0556339158225736</c:v>
                </c:pt>
                <c:pt idx="498">
                  <c:v>-9.0159291529078001</c:v>
                </c:pt>
                <c:pt idx="499">
                  <c:v>-8.8753361277134513</c:v>
                </c:pt>
                <c:pt idx="500">
                  <c:v>-8.6218772482558244</c:v>
                </c:pt>
                <c:pt idx="501">
                  <c:v>-8.5260268987173635</c:v>
                </c:pt>
                <c:pt idx="502">
                  <c:v>-8.4070651938479362</c:v>
                </c:pt>
                <c:pt idx="503">
                  <c:v>-8.5088774630235378</c:v>
                </c:pt>
                <c:pt idx="504">
                  <c:v>-8.5127460331769313</c:v>
                </c:pt>
                <c:pt idx="505">
                  <c:v>-8.5327798277065749</c:v>
                </c:pt>
                <c:pt idx="506">
                  <c:v>-8.5353825856399084</c:v>
                </c:pt>
                <c:pt idx="507">
                  <c:v>-8.4395267219561134</c:v>
                </c:pt>
                <c:pt idx="508">
                  <c:v>-8.5781116031277111</c:v>
                </c:pt>
                <c:pt idx="509">
                  <c:v>-8.8016777412590237</c:v>
                </c:pt>
                <c:pt idx="510">
                  <c:v>-8.6800003660809413</c:v>
                </c:pt>
                <c:pt idx="511">
                  <c:v>-8.7363180431108987</c:v>
                </c:pt>
                <c:pt idx="512">
                  <c:v>-8.3308948380857597</c:v>
                </c:pt>
                <c:pt idx="513">
                  <c:v>-8.2083420564561287</c:v>
                </c:pt>
                <c:pt idx="514">
                  <c:v>-7.9537426260561288</c:v>
                </c:pt>
                <c:pt idx="515">
                  <c:v>-7.784286726114952</c:v>
                </c:pt>
                <c:pt idx="516">
                  <c:v>-7.9378330785244895</c:v>
                </c:pt>
                <c:pt idx="517">
                  <c:v>-7.8081002403260564</c:v>
                </c:pt>
                <c:pt idx="518">
                  <c:v>-7.8710433346908371</c:v>
                </c:pt>
                <c:pt idx="519">
                  <c:v>-7.7796040740480672</c:v>
                </c:pt>
                <c:pt idx="520">
                  <c:v>-7.7541149197847004</c:v>
                </c:pt>
                <c:pt idx="521">
                  <c:v>-7.6802481866265619</c:v>
                </c:pt>
                <c:pt idx="522">
                  <c:v>-7.5747430070994302</c:v>
                </c:pt>
                <c:pt idx="523">
                  <c:v>-7.4686188034783587</c:v>
                </c:pt>
                <c:pt idx="524">
                  <c:v>-7.5342223829566191</c:v>
                </c:pt>
                <c:pt idx="525">
                  <c:v>-7.1129906902899531</c:v>
                </c:pt>
                <c:pt idx="526">
                  <c:v>-7.2207917513594975</c:v>
                </c:pt>
                <c:pt idx="527">
                  <c:v>-6.9478067889729038</c:v>
                </c:pt>
                <c:pt idx="528">
                  <c:v>-6.7759298102808883</c:v>
                </c:pt>
                <c:pt idx="529">
                  <c:v>-6.391735064738719</c:v>
                </c:pt>
                <c:pt idx="530">
                  <c:v>-6.4988819915451712</c:v>
                </c:pt>
                <c:pt idx="531">
                  <c:v>-6.4309368213514118</c:v>
                </c:pt>
                <c:pt idx="532">
                  <c:v>-6.6629601738255326</c:v>
                </c:pt>
                <c:pt idx="533">
                  <c:v>-6.453308350869011</c:v>
                </c:pt>
                <c:pt idx="534">
                  <c:v>-6.7460287308406022</c:v>
                </c:pt>
                <c:pt idx="535">
                  <c:v>-6.7828062915527791</c:v>
                </c:pt>
                <c:pt idx="536">
                  <c:v>-6.9915146113084186</c:v>
                </c:pt>
                <c:pt idx="537">
                  <c:v>-6.6974433523526784</c:v>
                </c:pt>
                <c:pt idx="538">
                  <c:v>-6.4574290323504888</c:v>
                </c:pt>
                <c:pt idx="539">
                  <c:v>-6.6325176785622535</c:v>
                </c:pt>
                <c:pt idx="540">
                  <c:v>-6.9868736219901821</c:v>
                </c:pt>
                <c:pt idx="541">
                  <c:v>-7.1529165253630635</c:v>
                </c:pt>
                <c:pt idx="542">
                  <c:v>-7.3006815952758366</c:v>
                </c:pt>
                <c:pt idx="543">
                  <c:v>-7.3461731418322582</c:v>
                </c:pt>
                <c:pt idx="544">
                  <c:v>-7.5648724968685146</c:v>
                </c:pt>
                <c:pt idx="545">
                  <c:v>-7.2514011556554676</c:v>
                </c:pt>
                <c:pt idx="546">
                  <c:v>-7.0716154317603319</c:v>
                </c:pt>
                <c:pt idx="547">
                  <c:v>-7.3890479032016048</c:v>
                </c:pt>
                <c:pt idx="548">
                  <c:v>-6.8259455610587478</c:v>
                </c:pt>
                <c:pt idx="549">
                  <c:v>-7.3868739474417264</c:v>
                </c:pt>
                <c:pt idx="550">
                  <c:v>-6.9230520876261092</c:v>
                </c:pt>
                <c:pt idx="551">
                  <c:v>-7.6880672814641136</c:v>
                </c:pt>
                <c:pt idx="552">
                  <c:v>-7.0775027749767272</c:v>
                </c:pt>
                <c:pt idx="553">
                  <c:v>-7.3453789362145478</c:v>
                </c:pt>
                <c:pt idx="554">
                  <c:v>-7.5614354105180448</c:v>
                </c:pt>
                <c:pt idx="555">
                  <c:v>-7.6039887908667776</c:v>
                </c:pt>
                <c:pt idx="556">
                  <c:v>-7.4584556966475999</c:v>
                </c:pt>
                <c:pt idx="557">
                  <c:v>-7.6181745585364888</c:v>
                </c:pt>
                <c:pt idx="558">
                  <c:v>-7.1007447540350253</c:v>
                </c:pt>
                <c:pt idx="559">
                  <c:v>-7.3388228627521563</c:v>
                </c:pt>
                <c:pt idx="560">
                  <c:v>-7.2664066100034654</c:v>
                </c:pt>
                <c:pt idx="561">
                  <c:v>-7.1842602743796125</c:v>
                </c:pt>
                <c:pt idx="562">
                  <c:v>-7.2762017089392446</c:v>
                </c:pt>
                <c:pt idx="563">
                  <c:v>-7.1904721268984284</c:v>
                </c:pt>
                <c:pt idx="564">
                  <c:v>-7.1191071645477795</c:v>
                </c:pt>
                <c:pt idx="565">
                  <c:v>-7.0895446589036082</c:v>
                </c:pt>
                <c:pt idx="566">
                  <c:v>-7.1832506263059761</c:v>
                </c:pt>
                <c:pt idx="567">
                  <c:v>-7.1652918139803941</c:v>
                </c:pt>
                <c:pt idx="568">
                  <c:v>-7.0793906198949674</c:v>
                </c:pt>
                <c:pt idx="569">
                  <c:v>-7.1905112798949666</c:v>
                </c:pt>
                <c:pt idx="570">
                  <c:v>-7.1802689117131484</c:v>
                </c:pt>
                <c:pt idx="571">
                  <c:v>-7.2160322701315156</c:v>
                </c:pt>
                <c:pt idx="572">
                  <c:v>-7.2344193022396226</c:v>
                </c:pt>
                <c:pt idx="573">
                  <c:v>-7.258168381924663</c:v>
                </c:pt>
                <c:pt idx="574">
                  <c:v>-7.2455412085246627</c:v>
                </c:pt>
                <c:pt idx="575">
                  <c:v>-7.2537542355838331</c:v>
                </c:pt>
                <c:pt idx="576">
                  <c:v>-7.300522913456561</c:v>
                </c:pt>
                <c:pt idx="577">
                  <c:v>-7.2489577833398933</c:v>
                </c:pt>
                <c:pt idx="578">
                  <c:v>-7.2523730381460956</c:v>
                </c:pt>
                <c:pt idx="579">
                  <c:v>-7.3088465606740138</c:v>
                </c:pt>
                <c:pt idx="580">
                  <c:v>-7.2320850513406816</c:v>
                </c:pt>
                <c:pt idx="581">
                  <c:v>-7.2788854236973251</c:v>
                </c:pt>
                <c:pt idx="582">
                  <c:v>-7.2349188274973253</c:v>
                </c:pt>
                <c:pt idx="583">
                  <c:v>-7.1581090664082838</c:v>
                </c:pt>
                <c:pt idx="584">
                  <c:v>-7.2208751460749507</c:v>
                </c:pt>
                <c:pt idx="585">
                  <c:v>-6.9597428494947042</c:v>
                </c:pt>
                <c:pt idx="586">
                  <c:v>-6.7163578987343211</c:v>
                </c:pt>
                <c:pt idx="587">
                  <c:v>-6.8940911648762553</c:v>
                </c:pt>
                <c:pt idx="588">
                  <c:v>-6.9238853158865643</c:v>
                </c:pt>
                <c:pt idx="589">
                  <c:v>-6.9591649146865642</c:v>
                </c:pt>
                <c:pt idx="590">
                  <c:v>-7.1308231655354861</c:v>
                </c:pt>
                <c:pt idx="591">
                  <c:v>-7.247867802241367</c:v>
                </c:pt>
                <c:pt idx="592">
                  <c:v>-7.3322465634413678</c:v>
                </c:pt>
                <c:pt idx="593">
                  <c:v>-7.0561994747406382</c:v>
                </c:pt>
                <c:pt idx="594">
                  <c:v>-7.1092409225581559</c:v>
                </c:pt>
                <c:pt idx="595">
                  <c:v>-7.2076556325689092</c:v>
                </c:pt>
                <c:pt idx="596">
                  <c:v>-7.0257349169022429</c:v>
                </c:pt>
                <c:pt idx="597">
                  <c:v>-7.1756195689409532</c:v>
                </c:pt>
                <c:pt idx="598">
                  <c:v>-7.2488768796288516</c:v>
                </c:pt>
                <c:pt idx="599">
                  <c:v>-7.0833474428618608</c:v>
                </c:pt>
                <c:pt idx="600">
                  <c:v>-6.9878365900618613</c:v>
                </c:pt>
                <c:pt idx="601">
                  <c:v>-7.1354080082907778</c:v>
                </c:pt>
                <c:pt idx="602">
                  <c:v>-7.0739432389608803</c:v>
                </c:pt>
                <c:pt idx="603">
                  <c:v>-7.1883882194860602</c:v>
                </c:pt>
                <c:pt idx="604">
                  <c:v>-7.2905999471190874</c:v>
                </c:pt>
                <c:pt idx="605">
                  <c:v>-7.172866301685124</c:v>
                </c:pt>
                <c:pt idx="606">
                  <c:v>-7.172044371685125</c:v>
                </c:pt>
                <c:pt idx="607">
                  <c:v>-7.1514618683910074</c:v>
                </c:pt>
                <c:pt idx="608">
                  <c:v>-7.1227932077072129</c:v>
                </c:pt>
                <c:pt idx="609">
                  <c:v>-7.292163445378856</c:v>
                </c:pt>
                <c:pt idx="610">
                  <c:v>-7.3109957427701593</c:v>
                </c:pt>
                <c:pt idx="611">
                  <c:v>-6.9932567348331514</c:v>
                </c:pt>
                <c:pt idx="612">
                  <c:v>-5.3073130204150791</c:v>
                </c:pt>
                <c:pt idx="613">
                  <c:v>-5.8043296454731701</c:v>
                </c:pt>
                <c:pt idx="614">
                  <c:v>-5.6018764339838087</c:v>
                </c:pt>
                <c:pt idx="615">
                  <c:v>-5.5733861631266652</c:v>
                </c:pt>
                <c:pt idx="616">
                  <c:v>-5.6964842485384297</c:v>
                </c:pt>
                <c:pt idx="617">
                  <c:v>-5.6772987353229611</c:v>
                </c:pt>
                <c:pt idx="618">
                  <c:v>-5.6425112984554904</c:v>
                </c:pt>
                <c:pt idx="619">
                  <c:v>-5.7436510032012551</c:v>
                </c:pt>
                <c:pt idx="620">
                  <c:v>-5.4892303623741867</c:v>
                </c:pt>
                <c:pt idx="621">
                  <c:v>-5.625450376032723</c:v>
                </c:pt>
                <c:pt idx="622">
                  <c:v>-5.8297269008552082</c:v>
                </c:pt>
                <c:pt idx="623">
                  <c:v>-5.6048346228552095</c:v>
                </c:pt>
                <c:pt idx="624">
                  <c:v>-5.6364451437440977</c:v>
                </c:pt>
                <c:pt idx="625">
                  <c:v>-5.6803241918690981</c:v>
                </c:pt>
                <c:pt idx="626">
                  <c:v>-5.6431137019141433</c:v>
                </c:pt>
                <c:pt idx="627">
                  <c:v>-5.7440102067108922</c:v>
                </c:pt>
                <c:pt idx="628">
                  <c:v>-5.7046052431266228</c:v>
                </c:pt>
                <c:pt idx="629">
                  <c:v>-5.7159017057903396</c:v>
                </c:pt>
                <c:pt idx="630">
                  <c:v>-5.730584945623673</c:v>
                </c:pt>
                <c:pt idx="631">
                  <c:v>-5.6974549626903386</c:v>
                </c:pt>
                <c:pt idx="632">
                  <c:v>-5.5681235971021046</c:v>
                </c:pt>
                <c:pt idx="633">
                  <c:v>-5.6077864413495266</c:v>
                </c:pt>
                <c:pt idx="634">
                  <c:v>-5.6060893260608662</c:v>
                </c:pt>
                <c:pt idx="635">
                  <c:v>-5.5656807020846761</c:v>
                </c:pt>
                <c:pt idx="636">
                  <c:v>-5.5788619197688867</c:v>
                </c:pt>
                <c:pt idx="637">
                  <c:v>-5.6168728138114394</c:v>
                </c:pt>
                <c:pt idx="638">
                  <c:v>-5.366288644004988</c:v>
                </c:pt>
                <c:pt idx="639">
                  <c:v>-5.2571080477006387</c:v>
                </c:pt>
                <c:pt idx="640">
                  <c:v>-5.3128282537228619</c:v>
                </c:pt>
                <c:pt idx="641">
                  <c:v>-5.2977335596817658</c:v>
                </c:pt>
                <c:pt idx="642">
                  <c:v>-4.990938427120363</c:v>
                </c:pt>
                <c:pt idx="643">
                  <c:v>-5.262794230280857</c:v>
                </c:pt>
                <c:pt idx="644">
                  <c:v>-5.2838260709617071</c:v>
                </c:pt>
                <c:pt idx="645">
                  <c:v>-5.2928882999071618</c:v>
                </c:pt>
                <c:pt idx="646">
                  <c:v>-5.3895802797145009</c:v>
                </c:pt>
                <c:pt idx="647">
                  <c:v>-5.3768614235716443</c:v>
                </c:pt>
                <c:pt idx="648">
                  <c:v>-5.0780944658786211</c:v>
                </c:pt>
                <c:pt idx="649">
                  <c:v>-5.2112263184019847</c:v>
                </c:pt>
                <c:pt idx="650">
                  <c:v>-5.2502074281219846</c:v>
                </c:pt>
                <c:pt idx="651">
                  <c:v>-5.2457043697145771</c:v>
                </c:pt>
                <c:pt idx="652">
                  <c:v>-5.4253047196842745</c:v>
                </c:pt>
                <c:pt idx="653">
                  <c:v>-5.2358669359867953</c:v>
                </c:pt>
                <c:pt idx="654">
                  <c:v>-5.2836240563277039</c:v>
                </c:pt>
                <c:pt idx="655">
                  <c:v>-5.2509373635524232</c:v>
                </c:pt>
                <c:pt idx="656">
                  <c:v>-5.2391499319690888</c:v>
                </c:pt>
                <c:pt idx="657">
                  <c:v>-5.2540348678426527</c:v>
                </c:pt>
                <c:pt idx="658">
                  <c:v>-5.037226029090359</c:v>
                </c:pt>
                <c:pt idx="659">
                  <c:v>-4.9853012704903588</c:v>
                </c:pt>
                <c:pt idx="660">
                  <c:v>-5.0742205844511439</c:v>
                </c:pt>
                <c:pt idx="661">
                  <c:v>-5.4962166067214131</c:v>
                </c:pt>
                <c:pt idx="662">
                  <c:v>-5.6656717616305041</c:v>
                </c:pt>
                <c:pt idx="663">
                  <c:v>-5.5997370367883992</c:v>
                </c:pt>
                <c:pt idx="664">
                  <c:v>-5.5109433769007588</c:v>
                </c:pt>
                <c:pt idx="665">
                  <c:v>-5.4172762991571686</c:v>
                </c:pt>
                <c:pt idx="666">
                  <c:v>-5.016254628757169</c:v>
                </c:pt>
                <c:pt idx="667">
                  <c:v>-5.1105500869602931</c:v>
                </c:pt>
                <c:pt idx="668">
                  <c:v>-4.8824701265888653</c:v>
                </c:pt>
                <c:pt idx="669">
                  <c:v>-5.0812606651740735</c:v>
                </c:pt>
                <c:pt idx="670">
                  <c:v>-4.8120333732416407</c:v>
                </c:pt>
                <c:pt idx="671">
                  <c:v>-4.8818479767375091</c:v>
                </c:pt>
                <c:pt idx="672">
                  <c:v>-4.7215914276137987</c:v>
                </c:pt>
                <c:pt idx="673">
                  <c:v>-4.6500984936137986</c:v>
                </c:pt>
                <c:pt idx="674">
                  <c:v>-4.4685002900521553</c:v>
                </c:pt>
                <c:pt idx="675">
                  <c:v>-4.3104812966728439</c:v>
                </c:pt>
                <c:pt idx="676">
                  <c:v>-4.4301382519758743</c:v>
                </c:pt>
                <c:pt idx="677">
                  <c:v>-4.2120892285260938</c:v>
                </c:pt>
                <c:pt idx="678">
                  <c:v>-4.1134812464465487</c:v>
                </c:pt>
                <c:pt idx="679">
                  <c:v>-3.6523526117322622</c:v>
                </c:pt>
                <c:pt idx="680">
                  <c:v>-3.8214450207322619</c:v>
                </c:pt>
                <c:pt idx="681">
                  <c:v>-3.8187181142303754</c:v>
                </c:pt>
                <c:pt idx="682">
                  <c:v>-3.8315785885286799</c:v>
                </c:pt>
                <c:pt idx="683">
                  <c:v>-3.7697116180023644</c:v>
                </c:pt>
                <c:pt idx="684">
                  <c:v>-3.7015805593067119</c:v>
                </c:pt>
                <c:pt idx="685">
                  <c:v>-3.586674729364852</c:v>
                </c:pt>
                <c:pt idx="686">
                  <c:v>-3.7162061880164785</c:v>
                </c:pt>
                <c:pt idx="687">
                  <c:v>-3.3274794839181574</c:v>
                </c:pt>
                <c:pt idx="688">
                  <c:v>-3.0858318710173935</c:v>
                </c:pt>
                <c:pt idx="689">
                  <c:v>-3.1556852448151465</c:v>
                </c:pt>
                <c:pt idx="690">
                  <c:v>-3.1340032686702184</c:v>
                </c:pt>
                <c:pt idx="691">
                  <c:v>-3.0170085336950936</c:v>
                </c:pt>
                <c:pt idx="692">
                  <c:v>-2.9887997375746931</c:v>
                </c:pt>
                <c:pt idx="693">
                  <c:v>-2.9677207503788887</c:v>
                </c:pt>
                <c:pt idx="694">
                  <c:v>-3.0032074705109015</c:v>
                </c:pt>
                <c:pt idx="695">
                  <c:v>-3.0114024114088611</c:v>
                </c:pt>
                <c:pt idx="696">
                  <c:v>-3.0178398973894436</c:v>
                </c:pt>
                <c:pt idx="697">
                  <c:v>-3.0410514974097014</c:v>
                </c:pt>
                <c:pt idx="698">
                  <c:v>-3.0038463600133376</c:v>
                </c:pt>
                <c:pt idx="699">
                  <c:v>-2.9781206918641665</c:v>
                </c:pt>
                <c:pt idx="700">
                  <c:v>-3.0029871069033822</c:v>
                </c:pt>
                <c:pt idx="701">
                  <c:v>-2.9474364888129134</c:v>
                </c:pt>
                <c:pt idx="702">
                  <c:v>-2.8970473577424167</c:v>
                </c:pt>
                <c:pt idx="703">
                  <c:v>-2.7650351836398532</c:v>
                </c:pt>
                <c:pt idx="704">
                  <c:v>-2.7303757487939748</c:v>
                </c:pt>
                <c:pt idx="705">
                  <c:v>-2.7334126806541144</c:v>
                </c:pt>
                <c:pt idx="706">
                  <c:v>-2.8494819320648732</c:v>
                </c:pt>
                <c:pt idx="707">
                  <c:v>-2.8802119316648729</c:v>
                </c:pt>
                <c:pt idx="708">
                  <c:v>-2.9033601359789523</c:v>
                </c:pt>
                <c:pt idx="709">
                  <c:v>-2.8698204958313509</c:v>
                </c:pt>
                <c:pt idx="710">
                  <c:v>-2.9351353851254687</c:v>
                </c:pt>
                <c:pt idx="711">
                  <c:v>-2.9640421715730558</c:v>
                </c:pt>
                <c:pt idx="712">
                  <c:v>-2.9639233004202885</c:v>
                </c:pt>
                <c:pt idx="713">
                  <c:v>-2.9493116391475609</c:v>
                </c:pt>
                <c:pt idx="714">
                  <c:v>-2.9741470988909571</c:v>
                </c:pt>
                <c:pt idx="715">
                  <c:v>-2.8789939984216835</c:v>
                </c:pt>
                <c:pt idx="716">
                  <c:v>-3.0190326454216834</c:v>
                </c:pt>
                <c:pt idx="717">
                  <c:v>-2.8715914966587097</c:v>
                </c:pt>
                <c:pt idx="718">
                  <c:v>-3.0736617685309819</c:v>
                </c:pt>
                <c:pt idx="719">
                  <c:v>-3.1697238691328828</c:v>
                </c:pt>
                <c:pt idx="720">
                  <c:v>-2.9791480580333349</c:v>
                </c:pt>
                <c:pt idx="721">
                  <c:v>-3.2292605617437453</c:v>
                </c:pt>
                <c:pt idx="722">
                  <c:v>-3.3943116966407008</c:v>
                </c:pt>
                <c:pt idx="723">
                  <c:v>-3.4070913006757877</c:v>
                </c:pt>
                <c:pt idx="724">
                  <c:v>-3.3687429357077883</c:v>
                </c:pt>
                <c:pt idx="725">
                  <c:v>-3.3324931287805639</c:v>
                </c:pt>
                <c:pt idx="726">
                  <c:v>-3.3131031601456433</c:v>
                </c:pt>
                <c:pt idx="727">
                  <c:v>-3.2446842440184755</c:v>
                </c:pt>
                <c:pt idx="728">
                  <c:v>-3.168444308867532</c:v>
                </c:pt>
                <c:pt idx="729">
                  <c:v>-3.2444672447737819</c:v>
                </c:pt>
                <c:pt idx="730">
                  <c:v>-3.2022627113503583</c:v>
                </c:pt>
                <c:pt idx="731">
                  <c:v>-3.283946249687256</c:v>
                </c:pt>
                <c:pt idx="732">
                  <c:v>-3.2354509260855431</c:v>
                </c:pt>
                <c:pt idx="733">
                  <c:v>-3.263141069452546</c:v>
                </c:pt>
                <c:pt idx="734">
                  <c:v>-3.2572919579053305</c:v>
                </c:pt>
                <c:pt idx="735">
                  <c:v>-3.3014470417714721</c:v>
                </c:pt>
                <c:pt idx="736">
                  <c:v>-3.2580530979284972</c:v>
                </c:pt>
                <c:pt idx="737">
                  <c:v>-3.3891087103241806</c:v>
                </c:pt>
                <c:pt idx="738">
                  <c:v>-3.4137117450825452</c:v>
                </c:pt>
                <c:pt idx="739">
                  <c:v>-3.421900581759965</c:v>
                </c:pt>
                <c:pt idx="740">
                  <c:v>-3.4014633880456797</c:v>
                </c:pt>
                <c:pt idx="741">
                  <c:v>-3.3835684792195919</c:v>
                </c:pt>
                <c:pt idx="742">
                  <c:v>-3.3966789653105014</c:v>
                </c:pt>
                <c:pt idx="743">
                  <c:v>-3.3741227807505014</c:v>
                </c:pt>
                <c:pt idx="744">
                  <c:v>-3.3969631286292898</c:v>
                </c:pt>
                <c:pt idx="745">
                  <c:v>-3.3608732112320299</c:v>
                </c:pt>
                <c:pt idx="746">
                  <c:v>-3.3683423774166452</c:v>
                </c:pt>
                <c:pt idx="747">
                  <c:v>-3.349898082130931</c:v>
                </c:pt>
                <c:pt idx="748">
                  <c:v>-3.349898082130931</c:v>
                </c:pt>
                <c:pt idx="749">
                  <c:v>-3.3533915612688618</c:v>
                </c:pt>
                <c:pt idx="750">
                  <c:v>-3.3404422023799731</c:v>
                </c:pt>
                <c:pt idx="751">
                  <c:v>-3.324092444472996</c:v>
                </c:pt>
                <c:pt idx="752">
                  <c:v>-3.2803165583631921</c:v>
                </c:pt>
                <c:pt idx="753">
                  <c:v>-3.2981144950298589</c:v>
                </c:pt>
                <c:pt idx="754">
                  <c:v>-3.2941264955269003</c:v>
                </c:pt>
                <c:pt idx="755">
                  <c:v>-3.2976586081632635</c:v>
                </c:pt>
                <c:pt idx="756">
                  <c:v>-3.3132237031466527</c:v>
                </c:pt>
                <c:pt idx="757">
                  <c:v>-3.3045603851945566</c:v>
                </c:pt>
                <c:pt idx="758">
                  <c:v>-3.292729423171656</c:v>
                </c:pt>
                <c:pt idx="759">
                  <c:v>-3.3055390307590686</c:v>
                </c:pt>
                <c:pt idx="760">
                  <c:v>-3.310207919759069</c:v>
                </c:pt>
                <c:pt idx="761">
                  <c:v>-3.2828670018767161</c:v>
                </c:pt>
                <c:pt idx="762">
                  <c:v>-3.2949938071740132</c:v>
                </c:pt>
                <c:pt idx="763">
                  <c:v>-3.2979820657173202</c:v>
                </c:pt>
                <c:pt idx="764">
                  <c:v>-3.2589632714399008</c:v>
                </c:pt>
                <c:pt idx="765">
                  <c:v>-3.1944707441740396</c:v>
                </c:pt>
                <c:pt idx="766">
                  <c:v>-3.2275334241611922</c:v>
                </c:pt>
                <c:pt idx="767">
                  <c:v>-3.2238612769588797</c:v>
                </c:pt>
                <c:pt idx="768">
                  <c:v>-3.225501068202123</c:v>
                </c:pt>
                <c:pt idx="769">
                  <c:v>-3.196412906914698</c:v>
                </c:pt>
                <c:pt idx="770">
                  <c:v>-3.1667732785735216</c:v>
                </c:pt>
                <c:pt idx="771">
                  <c:v>-3.17554157923905</c:v>
                </c:pt>
                <c:pt idx="772">
                  <c:v>-3.2013589988785487</c:v>
                </c:pt>
                <c:pt idx="773">
                  <c:v>-3.1850287470312582</c:v>
                </c:pt>
                <c:pt idx="774">
                  <c:v>-3.1639928893910909</c:v>
                </c:pt>
                <c:pt idx="775">
                  <c:v>-3.1753852674401704</c:v>
                </c:pt>
                <c:pt idx="776">
                  <c:v>-3.1428996390765347</c:v>
                </c:pt>
                <c:pt idx="777">
                  <c:v>-3.1455078928947162</c:v>
                </c:pt>
                <c:pt idx="778">
                  <c:v>-3.1376642680147167</c:v>
                </c:pt>
                <c:pt idx="779">
                  <c:v>-3.1364870094432877</c:v>
                </c:pt>
                <c:pt idx="780">
                  <c:v>-3.0105414520039813</c:v>
                </c:pt>
                <c:pt idx="781">
                  <c:v>-2.9573716000538348</c:v>
                </c:pt>
                <c:pt idx="782">
                  <c:v>-2.9891566769404325</c:v>
                </c:pt>
                <c:pt idx="783">
                  <c:v>-2.9574256611865866</c:v>
                </c:pt>
                <c:pt idx="784">
                  <c:v>-3.0114800233847849</c:v>
                </c:pt>
                <c:pt idx="785">
                  <c:v>-3.0653841547773779</c:v>
                </c:pt>
                <c:pt idx="786">
                  <c:v>-3.0998304781107109</c:v>
                </c:pt>
                <c:pt idx="787">
                  <c:v>-3.0896325512397436</c:v>
                </c:pt>
                <c:pt idx="788">
                  <c:v>-3.08771472004987</c:v>
                </c:pt>
                <c:pt idx="789">
                  <c:v>-3.0686780941249876</c:v>
                </c:pt>
                <c:pt idx="790">
                  <c:v>-3.0568807076621054</c:v>
                </c:pt>
                <c:pt idx="791">
                  <c:v>-3.025365110515152</c:v>
                </c:pt>
                <c:pt idx="792">
                  <c:v>-3.0357317545488223</c:v>
                </c:pt>
                <c:pt idx="793">
                  <c:v>-2.9525336470751382</c:v>
                </c:pt>
                <c:pt idx="794">
                  <c:v>-3.0051193221382961</c:v>
                </c:pt>
                <c:pt idx="795">
                  <c:v>-3.0304410311135026</c:v>
                </c:pt>
                <c:pt idx="796">
                  <c:v>-3.0042064011135028</c:v>
                </c:pt>
                <c:pt idx="797">
                  <c:v>-3.0139389843233788</c:v>
                </c:pt>
                <c:pt idx="798">
                  <c:v>-2.9889809265428298</c:v>
                </c:pt>
                <c:pt idx="799">
                  <c:v>-2.9377668577411771</c:v>
                </c:pt>
                <c:pt idx="800">
                  <c:v>-2.9331373255832824</c:v>
                </c:pt>
                <c:pt idx="801">
                  <c:v>-2.9536403624823295</c:v>
                </c:pt>
                <c:pt idx="802">
                  <c:v>-2.9370789762366551</c:v>
                </c:pt>
                <c:pt idx="803">
                  <c:v>-2.886844042236655</c:v>
                </c:pt>
                <c:pt idx="804">
                  <c:v>-2.9193890242994573</c:v>
                </c:pt>
                <c:pt idx="805">
                  <c:v>-2.9135495432562926</c:v>
                </c:pt>
                <c:pt idx="806">
                  <c:v>-2.9025303805578795</c:v>
                </c:pt>
                <c:pt idx="807">
                  <c:v>-2.9037914824592881</c:v>
                </c:pt>
                <c:pt idx="808">
                  <c:v>-2.9005266836021453</c:v>
                </c:pt>
                <c:pt idx="809">
                  <c:v>-2.8782087686021454</c:v>
                </c:pt>
                <c:pt idx="810">
                  <c:v>-2.8556686056234217</c:v>
                </c:pt>
                <c:pt idx="811">
                  <c:v>-2.8979346374923871</c:v>
                </c:pt>
                <c:pt idx="812">
                  <c:v>-2.8731221799345237</c:v>
                </c:pt>
                <c:pt idx="813">
                  <c:v>-2.8613961921876885</c:v>
                </c:pt>
                <c:pt idx="814">
                  <c:v>-2.8090395189569195</c:v>
                </c:pt>
                <c:pt idx="815">
                  <c:v>-2.8309646266904616</c:v>
                </c:pt>
                <c:pt idx="816">
                  <c:v>-2.8378468003120831</c:v>
                </c:pt>
                <c:pt idx="817">
                  <c:v>-2.8338648681538099</c:v>
                </c:pt>
                <c:pt idx="818">
                  <c:v>-2.8094685230410277</c:v>
                </c:pt>
                <c:pt idx="819">
                  <c:v>-2.7884095597775551</c:v>
                </c:pt>
                <c:pt idx="820">
                  <c:v>-2.5543630166314872</c:v>
                </c:pt>
                <c:pt idx="821">
                  <c:v>-2.6485448303711099</c:v>
                </c:pt>
                <c:pt idx="822">
                  <c:v>-2.5913543585370489</c:v>
                </c:pt>
                <c:pt idx="823">
                  <c:v>-2.5909683866583877</c:v>
                </c:pt>
                <c:pt idx="824">
                  <c:v>-2.6398493703667212</c:v>
                </c:pt>
                <c:pt idx="825">
                  <c:v>-2.5651499976512739</c:v>
                </c:pt>
                <c:pt idx="826">
                  <c:v>-2.6222111141512747</c:v>
                </c:pt>
                <c:pt idx="827">
                  <c:v>-2.6302053259156053</c:v>
                </c:pt>
                <c:pt idx="828">
                  <c:v>-2.5982678577823362</c:v>
                </c:pt>
                <c:pt idx="829">
                  <c:v>-2.5694663412623364</c:v>
                </c:pt>
                <c:pt idx="830">
                  <c:v>-2.5623656160970025</c:v>
                </c:pt>
                <c:pt idx="831">
                  <c:v>-2.5644057961793556</c:v>
                </c:pt>
                <c:pt idx="832">
                  <c:v>-2.5714806337562788</c:v>
                </c:pt>
                <c:pt idx="833">
                  <c:v>-2.5636999358825943</c:v>
                </c:pt>
                <c:pt idx="834">
                  <c:v>-2.5609108396916849</c:v>
                </c:pt>
                <c:pt idx="835">
                  <c:v>-2.5387236010895577</c:v>
                </c:pt>
                <c:pt idx="836">
                  <c:v>-2.4536203046949625</c:v>
                </c:pt>
                <c:pt idx="837">
                  <c:v>-2.5050011619676904</c:v>
                </c:pt>
                <c:pt idx="838">
                  <c:v>-2.4582297391850818</c:v>
                </c:pt>
                <c:pt idx="839">
                  <c:v>-2.3556700914350817</c:v>
                </c:pt>
                <c:pt idx="840">
                  <c:v>-2.4690820000350819</c:v>
                </c:pt>
                <c:pt idx="841">
                  <c:v>-2.433354136975622</c:v>
                </c:pt>
                <c:pt idx="842">
                  <c:v>-2.4448419316137171</c:v>
                </c:pt>
                <c:pt idx="843">
                  <c:v>-2.4448419316137171</c:v>
                </c:pt>
                <c:pt idx="844">
                  <c:v>-2.4875781689349292</c:v>
                </c:pt>
                <c:pt idx="845">
                  <c:v>-2.4630494690849289</c:v>
                </c:pt>
                <c:pt idx="846">
                  <c:v>-2.4822711764182621</c:v>
                </c:pt>
                <c:pt idx="847">
                  <c:v>-2.4853141184761571</c:v>
                </c:pt>
                <c:pt idx="848">
                  <c:v>-2.4651583122761567</c:v>
                </c:pt>
                <c:pt idx="849">
                  <c:v>-2.4783355722579747</c:v>
                </c:pt>
                <c:pt idx="850">
                  <c:v>-2.5157562126919371</c:v>
                </c:pt>
                <c:pt idx="851">
                  <c:v>-2.5669281262022818</c:v>
                </c:pt>
                <c:pt idx="852">
                  <c:v>-2.5687718898447054</c:v>
                </c:pt>
                <c:pt idx="853">
                  <c:v>-2.5874611790083422</c:v>
                </c:pt>
                <c:pt idx="854">
                  <c:v>-2.6608454697659183</c:v>
                </c:pt>
                <c:pt idx="855">
                  <c:v>-2.6023192619152331</c:v>
                </c:pt>
                <c:pt idx="856">
                  <c:v>-2.6074631338580905</c:v>
                </c:pt>
                <c:pt idx="857">
                  <c:v>-2.5222838158580903</c:v>
                </c:pt>
                <c:pt idx="858">
                  <c:v>-2.4689906777834425</c:v>
                </c:pt>
                <c:pt idx="859">
                  <c:v>-2.3886125176219037</c:v>
                </c:pt>
                <c:pt idx="860">
                  <c:v>-2.3683242931405482</c:v>
                </c:pt>
                <c:pt idx="861">
                  <c:v>-2.1215971308580484</c:v>
                </c:pt>
                <c:pt idx="862">
                  <c:v>-2.0966072460382952</c:v>
                </c:pt>
                <c:pt idx="863">
                  <c:v>-2.1662867999049618</c:v>
                </c:pt>
                <c:pt idx="864">
                  <c:v>-2.1150944659049613</c:v>
                </c:pt>
                <c:pt idx="865">
                  <c:v>-2.0511120581340752</c:v>
                </c:pt>
                <c:pt idx="866">
                  <c:v>-2.0798069170912181</c:v>
                </c:pt>
                <c:pt idx="867">
                  <c:v>-2.0405024621689956</c:v>
                </c:pt>
                <c:pt idx="868">
                  <c:v>-2.0209863827356624</c:v>
                </c:pt>
                <c:pt idx="869">
                  <c:v>-1.9671438292461101</c:v>
                </c:pt>
                <c:pt idx="870">
                  <c:v>-1.8542154268107716</c:v>
                </c:pt>
                <c:pt idx="871">
                  <c:v>-1.8011418560671351</c:v>
                </c:pt>
                <c:pt idx="872">
                  <c:v>-1.7928106493046352</c:v>
                </c:pt>
                <c:pt idx="873">
                  <c:v>-1.7563323766189205</c:v>
                </c:pt>
                <c:pt idx="874">
                  <c:v>-1.7780639770270288</c:v>
                </c:pt>
                <c:pt idx="875">
                  <c:v>-1.6316002794855875</c:v>
                </c:pt>
                <c:pt idx="876">
                  <c:v>-1.4239715721696935</c:v>
                </c:pt>
                <c:pt idx="877">
                  <c:v>-1.4540527745830265</c:v>
                </c:pt>
                <c:pt idx="878">
                  <c:v>-1.4443297895624787</c:v>
                </c:pt>
                <c:pt idx="879">
                  <c:v>-1.3872847916326916</c:v>
                </c:pt>
                <c:pt idx="880">
                  <c:v>-1.3936046835407374</c:v>
                </c:pt>
                <c:pt idx="881">
                  <c:v>-1.3456269154787375</c:v>
                </c:pt>
                <c:pt idx="882">
                  <c:v>-1.192750528332285</c:v>
                </c:pt>
                <c:pt idx="883">
                  <c:v>-1.1305739640728794</c:v>
                </c:pt>
                <c:pt idx="884">
                  <c:v>-0.88107576784304054</c:v>
                </c:pt>
                <c:pt idx="885">
                  <c:v>-0.66460808077480549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48-49F6-988C-A9991DC9A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143600"/>
        <c:axId val="634476624"/>
      </c:lineChart>
      <c:dateAx>
        <c:axId val="422143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76624"/>
        <c:crosses val="autoZero"/>
        <c:auto val="1"/>
        <c:lblOffset val="100"/>
        <c:baseTimeUnit val="days"/>
      </c:dateAx>
      <c:valAx>
        <c:axId val="63447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14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BACDF-90A5-46F1-B37E-3A4D6D0C42E6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B8CE7C-9867-40C2-B9C1-4FC22F81B49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0.29631999999999997</v>
      </c>
      <c r="D2" s="4">
        <f>MIN(D3:D1912)</f>
        <v>1.018E-2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4.6440000000000002E-2</v>
      </c>
      <c r="C5">
        <v>4.6940000000000003E-2</v>
      </c>
      <c r="D5">
        <v>4.4859999999999997E-2</v>
      </c>
      <c r="E5">
        <v>4.5249999999999999E-2</v>
      </c>
      <c r="F5">
        <v>671532.2</v>
      </c>
      <c r="G5">
        <v>4.5249999999999999E-2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-0.62499999999999956</v>
      </c>
      <c r="Q5">
        <f t="shared" ref="Q5" si="1">F5*P5</f>
        <v>-419707.62499999965</v>
      </c>
      <c r="R5">
        <f t="shared" ref="R5" si="2">R6+Q5</f>
        <v>-4685706554.127553</v>
      </c>
      <c r="S5">
        <f t="shared" ref="S5" si="3">R5/100000</f>
        <v>-46857.06554127553</v>
      </c>
      <c r="T5">
        <f t="shared" ref="T5" si="4">S5/1000</f>
        <v>-46.857065541275531</v>
      </c>
    </row>
    <row r="6" spans="1:20" x14ac:dyDescent="0.25">
      <c r="A6" s="5">
        <v>44587</v>
      </c>
      <c r="B6">
        <v>4.7070000000000001E-2</v>
      </c>
      <c r="C6">
        <v>5.3190000000000001E-2</v>
      </c>
      <c r="D6">
        <v>4.5019999999999998E-2</v>
      </c>
      <c r="E6">
        <v>4.6440000000000002E-2</v>
      </c>
      <c r="F6">
        <v>20432139</v>
      </c>
      <c r="G6">
        <v>4.6440000000000002E-2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-0.65238678090575175</v>
      </c>
      <c r="Q6">
        <f t="shared" ref="Q6" si="6">F6*P6</f>
        <v>-13329657.389228866</v>
      </c>
      <c r="R6">
        <f t="shared" ref="R6" si="7">R7+Q6</f>
        <v>-4685286846.502553</v>
      </c>
      <c r="S6">
        <f t="shared" ref="S6" si="8">R6/100000</f>
        <v>-46852.868465025531</v>
      </c>
      <c r="T6">
        <f t="shared" ref="T6" si="9">S6/1000</f>
        <v>-46.85286846502553</v>
      </c>
    </row>
    <row r="7" spans="1:20" x14ac:dyDescent="0.25">
      <c r="A7" s="5">
        <v>44586</v>
      </c>
      <c r="B7">
        <v>4.5780000000000001E-2</v>
      </c>
      <c r="C7">
        <v>4.7759999999999997E-2</v>
      </c>
      <c r="D7">
        <v>4.428E-2</v>
      </c>
      <c r="E7">
        <v>4.7160000000000001E-2</v>
      </c>
      <c r="F7">
        <v>8187118.7000000002</v>
      </c>
      <c r="G7">
        <v>4.7160000000000001E-2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0.6551724137931052</v>
      </c>
      <c r="Q7">
        <f t="shared" ref="Q7" si="11">F7*P7</f>
        <v>5363974.3206896698</v>
      </c>
      <c r="R7">
        <f t="shared" ref="R7" si="12">R8+Q7</f>
        <v>-4671957189.1133242</v>
      </c>
      <c r="S7">
        <f t="shared" ref="S7" si="13">R7/100000</f>
        <v>-46719.571891133244</v>
      </c>
      <c r="T7">
        <f t="shared" ref="T7" si="14">S7/1000</f>
        <v>-46.719571891133242</v>
      </c>
    </row>
    <row r="8" spans="1:20" x14ac:dyDescent="0.25">
      <c r="A8" s="5">
        <v>44585</v>
      </c>
      <c r="B8">
        <v>4.6960000000000002E-2</v>
      </c>
      <c r="C8">
        <v>4.7579999999999997E-2</v>
      </c>
      <c r="D8">
        <v>3.9669999999999997E-2</v>
      </c>
      <c r="E8">
        <v>4.5879999999999997E-2</v>
      </c>
      <c r="F8">
        <v>15592744.6</v>
      </c>
      <c r="G8">
        <v>4.5879999999999997E-2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0.5701643489254109</v>
      </c>
      <c r="Q8">
        <f t="shared" ref="Q8" si="16">F8*P8</f>
        <v>8890427.0728192162</v>
      </c>
      <c r="R8">
        <f t="shared" ref="R8" si="17">R9+Q8</f>
        <v>-4677321163.4340134</v>
      </c>
      <c r="S8">
        <f t="shared" ref="S8" si="18">R8/100000</f>
        <v>-46773.211634340136</v>
      </c>
      <c r="T8">
        <f t="shared" ref="T8" si="19">S8/1000</f>
        <v>-46.773211634340136</v>
      </c>
    </row>
    <row r="9" spans="1:20" x14ac:dyDescent="0.25">
      <c r="A9" s="5">
        <v>44584</v>
      </c>
      <c r="B9">
        <v>4.5560000000000003E-2</v>
      </c>
      <c r="C9">
        <v>4.999E-2</v>
      </c>
      <c r="D9">
        <v>4.3900000000000002E-2</v>
      </c>
      <c r="E9">
        <v>4.6960000000000002E-2</v>
      </c>
      <c r="F9">
        <v>12492080.800000001</v>
      </c>
      <c r="G9">
        <v>4.6960000000000002E-2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4.9261083743846069E-3</v>
      </c>
      <c r="Q9">
        <f t="shared" ref="Q9" si="21">F9*P9</f>
        <v>61537.343842369162</v>
      </c>
      <c r="R9">
        <f t="shared" ref="R9" si="22">R10+Q9</f>
        <v>-4686211590.5068321</v>
      </c>
      <c r="S9">
        <f t="shared" ref="S9" si="23">R9/100000</f>
        <v>-46862.11590506832</v>
      </c>
      <c r="T9">
        <f t="shared" ref="T9" si="24">S9/1000</f>
        <v>-46.862115905068322</v>
      </c>
    </row>
    <row r="10" spans="1:20" x14ac:dyDescent="0.25">
      <c r="A10" s="5">
        <v>44583</v>
      </c>
      <c r="B10">
        <v>5.1880000000000003E-2</v>
      </c>
      <c r="C10">
        <v>5.2850000000000001E-2</v>
      </c>
      <c r="D10">
        <v>4.1549999999999997E-2</v>
      </c>
      <c r="E10">
        <v>4.5510000000000002E-2</v>
      </c>
      <c r="F10">
        <v>37847384.799999997</v>
      </c>
      <c r="G10">
        <v>4.5510000000000002E-2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-0.29911504424778695</v>
      </c>
      <c r="Q10">
        <f t="shared" ref="Q10" si="26">F10*P10</f>
        <v>-11320722.179115018</v>
      </c>
      <c r="R10">
        <f t="shared" ref="R10" si="27">R11+Q10</f>
        <v>-4686273127.8506746</v>
      </c>
      <c r="S10">
        <f t="shared" ref="S10" si="28">R10/100000</f>
        <v>-46862.731278506748</v>
      </c>
      <c r="T10">
        <f t="shared" ref="T10" si="29">S10/1000</f>
        <v>-46.86273127850675</v>
      </c>
    </row>
    <row r="11" spans="1:20" x14ac:dyDescent="0.25">
      <c r="A11" s="5">
        <v>44582</v>
      </c>
      <c r="B11">
        <v>6.2289999999999998E-2</v>
      </c>
      <c r="C11">
        <v>6.3119999999999996E-2</v>
      </c>
      <c r="D11">
        <v>5.0500000000000003E-2</v>
      </c>
      <c r="E11">
        <v>5.1880000000000003E-2</v>
      </c>
      <c r="F11">
        <v>23684582.199999999</v>
      </c>
      <c r="G11">
        <v>5.1880000000000003E-2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-0.78129952456418383</v>
      </c>
      <c r="Q11">
        <f t="shared" ref="Q11" si="31">F11*P11</f>
        <v>-18504752.81236133</v>
      </c>
      <c r="R11">
        <f t="shared" ref="R11" si="32">R12+Q11</f>
        <v>-4674952405.6715593</v>
      </c>
      <c r="S11">
        <f t="shared" ref="S11" si="33">R11/100000</f>
        <v>-46749.524056715592</v>
      </c>
      <c r="T11">
        <f t="shared" ref="T11" si="34">S11/1000</f>
        <v>-46.749524056715593</v>
      </c>
    </row>
    <row r="12" spans="1:20" x14ac:dyDescent="0.25">
      <c r="A12" s="5">
        <v>44581</v>
      </c>
      <c r="B12">
        <v>6.5909999999999996E-2</v>
      </c>
      <c r="C12">
        <v>7.0050000000000001E-2</v>
      </c>
      <c r="D12">
        <v>6.2149999999999997E-2</v>
      </c>
      <c r="E12">
        <v>6.2309999999999997E-2</v>
      </c>
      <c r="F12">
        <v>11903732</v>
      </c>
      <c r="G12">
        <v>6.2309999999999997E-2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-0.95949367088607584</v>
      </c>
      <c r="Q12">
        <f t="shared" ref="Q12" si="36">F12*P12</f>
        <v>-11421555.513924049</v>
      </c>
      <c r="R12">
        <f t="shared" ref="R12" si="37">R13+Q12</f>
        <v>-4656447652.8591976</v>
      </c>
      <c r="S12">
        <f t="shared" ref="S12" si="38">R12/100000</f>
        <v>-46564.476528591978</v>
      </c>
      <c r="T12">
        <f t="shared" ref="T12" si="39">S12/1000</f>
        <v>-46.564476528591982</v>
      </c>
    </row>
    <row r="13" spans="1:20" x14ac:dyDescent="0.25">
      <c r="A13" s="5">
        <v>44580</v>
      </c>
      <c r="B13">
        <v>7.0120000000000002E-2</v>
      </c>
      <c r="C13">
        <v>7.0120000000000002E-2</v>
      </c>
      <c r="D13">
        <v>6.5479999999999997E-2</v>
      </c>
      <c r="E13">
        <v>6.5909999999999996E-2</v>
      </c>
      <c r="F13">
        <v>8269380.0999999996</v>
      </c>
      <c r="G13">
        <v>6.5909999999999996E-2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-0.81465517241379337</v>
      </c>
      <c r="Q13">
        <f t="shared" ref="Q13" si="41">F13*P13</f>
        <v>-6736693.2711206917</v>
      </c>
      <c r="R13">
        <f t="shared" ref="R13" si="42">R14+Q13</f>
        <v>-4645026097.345274</v>
      </c>
      <c r="S13">
        <f t="shared" ref="S13" si="43">R13/100000</f>
        <v>-46450.260973452743</v>
      </c>
      <c r="T13">
        <f t="shared" ref="T13" si="44">S13/1000</f>
        <v>-46.450260973452743</v>
      </c>
    </row>
    <row r="14" spans="1:20" x14ac:dyDescent="0.25">
      <c r="A14" s="5">
        <v>44579</v>
      </c>
      <c r="B14">
        <v>7.077E-2</v>
      </c>
      <c r="C14">
        <v>7.1429999999999993E-2</v>
      </c>
      <c r="D14">
        <v>6.7799999999999999E-2</v>
      </c>
      <c r="E14">
        <v>7.0180000000000006E-2</v>
      </c>
      <c r="F14">
        <v>6239690.2000000002</v>
      </c>
      <c r="G14">
        <v>7.0180000000000006E-2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0.31129476584022636</v>
      </c>
      <c r="Q14">
        <f t="shared" ref="Q14" si="46">F14*P14</f>
        <v>1942382.8997245552</v>
      </c>
      <c r="R14">
        <f t="shared" ref="R14" si="47">R15+Q14</f>
        <v>-4638289404.0741529</v>
      </c>
      <c r="S14">
        <f t="shared" ref="S14" si="48">R14/100000</f>
        <v>-46382.894040741528</v>
      </c>
      <c r="T14">
        <f t="shared" ref="T14" si="49">S14/1000</f>
        <v>-46.382894040741526</v>
      </c>
    </row>
    <row r="15" spans="1:20" x14ac:dyDescent="0.25">
      <c r="A15" s="5">
        <v>44578</v>
      </c>
      <c r="B15">
        <v>7.3779999999999998E-2</v>
      </c>
      <c r="C15">
        <v>7.5969999999999996E-2</v>
      </c>
      <c r="D15">
        <v>6.9000000000000006E-2</v>
      </c>
      <c r="E15">
        <v>7.077E-2</v>
      </c>
      <c r="F15">
        <v>15403038.800000001</v>
      </c>
      <c r="G15">
        <v>7.077E-2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-0.49210903873744727</v>
      </c>
      <c r="Q15">
        <f t="shared" ref="Q15" si="51">F15*P15</f>
        <v>-7579974.6175036039</v>
      </c>
      <c r="R15">
        <f t="shared" ref="R15" si="52">R16+Q15</f>
        <v>-4640231786.9738779</v>
      </c>
      <c r="S15">
        <f t="shared" ref="S15" si="53">R15/100000</f>
        <v>-46402.317869738778</v>
      </c>
      <c r="T15">
        <f t="shared" ref="T15" si="54">S15/1000</f>
        <v>-46.402317869738781</v>
      </c>
    </row>
    <row r="16" spans="1:20" x14ac:dyDescent="0.25">
      <c r="A16" s="5">
        <v>44577</v>
      </c>
      <c r="B16">
        <v>7.4660000000000004E-2</v>
      </c>
      <c r="C16">
        <v>0.08</v>
      </c>
      <c r="D16">
        <v>7.2480000000000003E-2</v>
      </c>
      <c r="E16">
        <v>7.3510000000000006E-2</v>
      </c>
      <c r="F16">
        <v>72261399.299999997</v>
      </c>
      <c r="G16">
        <v>7.3510000000000006E-2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-0.72606382978723316</v>
      </c>
      <c r="Q16">
        <f t="shared" ref="Q16" si="56">F16*P16</f>
        <v>-52466388.321542487</v>
      </c>
      <c r="R16">
        <f t="shared" ref="R16" si="57">R17+Q16</f>
        <v>-4632651812.3563747</v>
      </c>
      <c r="S16">
        <f t="shared" ref="S16" si="58">R16/100000</f>
        <v>-46326.51812356375</v>
      </c>
      <c r="T16">
        <f t="shared" ref="T16" si="59">S16/1000</f>
        <v>-46.326518123563751</v>
      </c>
    </row>
    <row r="17" spans="1:20" x14ac:dyDescent="0.25">
      <c r="A17" s="5">
        <v>44576</v>
      </c>
      <c r="B17">
        <v>6.9260000000000002E-2</v>
      </c>
      <c r="C17">
        <v>7.8770000000000007E-2</v>
      </c>
      <c r="D17">
        <v>6.8989999999999996E-2</v>
      </c>
      <c r="E17">
        <v>7.4649999999999994E-2</v>
      </c>
      <c r="F17">
        <v>56312118.299999997</v>
      </c>
      <c r="G17">
        <v>7.4649999999999994E-2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0.15746421267893498</v>
      </c>
      <c r="Q17">
        <f t="shared" ref="Q17" si="61">F17*P17</f>
        <v>8867143.3723925464</v>
      </c>
      <c r="R17">
        <f t="shared" ref="R17" si="62">R18+Q17</f>
        <v>-4580185424.034832</v>
      </c>
      <c r="S17">
        <f t="shared" ref="S17" si="63">R17/100000</f>
        <v>-45801.854240348322</v>
      </c>
      <c r="T17">
        <f t="shared" ref="T17" si="64">S17/1000</f>
        <v>-45.80185424034832</v>
      </c>
    </row>
    <row r="18" spans="1:20" x14ac:dyDescent="0.25">
      <c r="A18" s="5">
        <v>44575</v>
      </c>
      <c r="B18">
        <v>6.6949999999999996E-2</v>
      </c>
      <c r="C18">
        <v>7.535E-2</v>
      </c>
      <c r="D18">
        <v>6.5570000000000003E-2</v>
      </c>
      <c r="E18">
        <v>6.9260000000000002E-2</v>
      </c>
      <c r="F18">
        <v>27861660</v>
      </c>
      <c r="G18">
        <v>6.9260000000000002E-2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-0.24539877300613497</v>
      </c>
      <c r="Q18">
        <f t="shared" ref="Q18" si="66">F18*P18</f>
        <v>-6837217.17791411</v>
      </c>
      <c r="R18">
        <f t="shared" ref="R18" si="67">R19+Q18</f>
        <v>-4589052567.4072247</v>
      </c>
      <c r="S18">
        <f t="shared" ref="S18" si="68">R18/100000</f>
        <v>-45890.525674072247</v>
      </c>
      <c r="T18">
        <f t="shared" ref="T18" si="69">S18/1000</f>
        <v>-45.890525674072244</v>
      </c>
    </row>
    <row r="19" spans="1:20" x14ac:dyDescent="0.25">
      <c r="A19" s="5">
        <v>44574</v>
      </c>
      <c r="B19">
        <v>7.1669999999999998E-2</v>
      </c>
      <c r="C19">
        <v>7.2919999999999999E-2</v>
      </c>
      <c r="D19">
        <v>6.6699999999999995E-2</v>
      </c>
      <c r="E19">
        <v>6.6949999999999996E-2</v>
      </c>
      <c r="F19">
        <v>9583868.9000000004</v>
      </c>
      <c r="G19">
        <v>6.6949999999999996E-2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-0.91961414790996787</v>
      </c>
      <c r="Q19">
        <f t="shared" ref="Q19" si="71">F19*P19</f>
        <v>-8813461.4321543407</v>
      </c>
      <c r="R19">
        <f t="shared" ref="R19" si="72">R20+Q19</f>
        <v>-4582215350.229311</v>
      </c>
      <c r="S19">
        <f t="shared" ref="S19" si="73">R19/100000</f>
        <v>-45822.153502293113</v>
      </c>
      <c r="T19">
        <f t="shared" ref="T19" si="74">S19/1000</f>
        <v>-45.822153502293112</v>
      </c>
    </row>
    <row r="20" spans="1:20" x14ac:dyDescent="0.25">
      <c r="A20" s="5">
        <v>44573</v>
      </c>
      <c r="B20">
        <v>6.7589999999999997E-2</v>
      </c>
      <c r="C20">
        <v>7.2999999999999995E-2</v>
      </c>
      <c r="D20">
        <v>6.6009999999999999E-2</v>
      </c>
      <c r="E20">
        <v>7.1510000000000004E-2</v>
      </c>
      <c r="F20">
        <v>15100439</v>
      </c>
      <c r="G20">
        <v>7.1510000000000004E-2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0.57367668097282054</v>
      </c>
      <c r="Q20">
        <f t="shared" ref="Q20" si="76">F20*P20</f>
        <v>8662769.7267525364</v>
      </c>
      <c r="R20">
        <f t="shared" ref="R20" si="77">R21+Q20</f>
        <v>-4573401888.7971563</v>
      </c>
      <c r="S20">
        <f t="shared" ref="S20" si="78">R20/100000</f>
        <v>-45734.018887971564</v>
      </c>
      <c r="T20">
        <f t="shared" ref="T20" si="79">S20/1000</f>
        <v>-45.734018887971565</v>
      </c>
    </row>
    <row r="21" spans="1:20" x14ac:dyDescent="0.25">
      <c r="A21" s="5">
        <v>44572</v>
      </c>
      <c r="B21">
        <v>6.4890000000000003E-2</v>
      </c>
      <c r="C21">
        <v>6.8879999999999997E-2</v>
      </c>
      <c r="D21">
        <v>6.4259999999999998E-2</v>
      </c>
      <c r="E21">
        <v>6.7589999999999997E-2</v>
      </c>
      <c r="F21">
        <v>14042595.9</v>
      </c>
      <c r="G21">
        <v>6.7589999999999997E-2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0.44155844155844165</v>
      </c>
      <c r="Q21">
        <f t="shared" ref="Q21" si="81">F21*P21</f>
        <v>6200626.7610389628</v>
      </c>
      <c r="R21">
        <f t="shared" ref="R21" si="82">R22+Q21</f>
        <v>-4582064658.5239086</v>
      </c>
      <c r="S21">
        <f t="shared" ref="S21" si="83">R21/100000</f>
        <v>-45820.646585239083</v>
      </c>
      <c r="T21">
        <f t="shared" ref="T21" si="84">S21/1000</f>
        <v>-45.820646585239082</v>
      </c>
    </row>
    <row r="22" spans="1:20" x14ac:dyDescent="0.25">
      <c r="A22" s="5">
        <v>44571</v>
      </c>
      <c r="B22">
        <v>6.9419999999999996E-2</v>
      </c>
      <c r="C22">
        <v>7.0760000000000003E-2</v>
      </c>
      <c r="D22">
        <v>6.139E-2</v>
      </c>
      <c r="E22">
        <v>6.4890000000000003E-2</v>
      </c>
      <c r="F22">
        <v>12196604.4</v>
      </c>
      <c r="G22">
        <v>6.4890000000000003E-2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-0.252934898612593</v>
      </c>
      <c r="Q22">
        <f t="shared" ref="Q22" si="86">F22*P22</f>
        <v>-3084946.8973319056</v>
      </c>
      <c r="R22">
        <f t="shared" ref="R22" si="87">R23+Q22</f>
        <v>-4588265285.2849474</v>
      </c>
      <c r="S22">
        <f t="shared" ref="S22" si="88">R22/100000</f>
        <v>-45882.652852849475</v>
      </c>
      <c r="T22">
        <f t="shared" ref="T22" si="89">S22/1000</f>
        <v>-45.882652852849475</v>
      </c>
    </row>
    <row r="23" spans="1:20" x14ac:dyDescent="0.25">
      <c r="A23" s="5">
        <v>44570</v>
      </c>
      <c r="B23">
        <v>6.7339999999999997E-2</v>
      </c>
      <c r="C23">
        <v>7.2179999999999994E-2</v>
      </c>
      <c r="D23">
        <v>6.6729999999999998E-2</v>
      </c>
      <c r="E23">
        <v>6.9379999999999997E-2</v>
      </c>
      <c r="F23">
        <v>9034066.9000000004</v>
      </c>
      <c r="G23">
        <v>6.9379999999999997E-2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-2.7522935779816047E-2</v>
      </c>
      <c r="Q23">
        <f t="shared" ref="Q23" si="91">F23*P23</f>
        <v>-248644.04311926186</v>
      </c>
      <c r="R23">
        <f t="shared" ref="R23" si="92">R24+Q23</f>
        <v>-4585180338.3876152</v>
      </c>
      <c r="S23">
        <f t="shared" ref="S23" si="93">R23/100000</f>
        <v>-45851.803383876155</v>
      </c>
      <c r="T23">
        <f t="shared" ref="T23" si="94">S23/1000</f>
        <v>-45.851803383876153</v>
      </c>
    </row>
    <row r="24" spans="1:20" x14ac:dyDescent="0.25">
      <c r="A24" s="5">
        <v>44569</v>
      </c>
      <c r="B24">
        <v>7.0400000000000004E-2</v>
      </c>
      <c r="C24">
        <v>7.4060000000000001E-2</v>
      </c>
      <c r="D24">
        <v>6.5699999999999995E-2</v>
      </c>
      <c r="E24">
        <v>6.7400000000000002E-2</v>
      </c>
      <c r="F24">
        <v>17855190.5</v>
      </c>
      <c r="G24">
        <v>6.7400000000000002E-2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-0.59330143540669722</v>
      </c>
      <c r="Q24">
        <f t="shared" ref="Q24" si="96">F24*P24</f>
        <v>-10593510.153110024</v>
      </c>
      <c r="R24">
        <f t="shared" ref="R24" si="97">R25+Q24</f>
        <v>-4584931694.3444958</v>
      </c>
      <c r="S24">
        <f t="shared" ref="S24" si="98">R24/100000</f>
        <v>-45849.316943444959</v>
      </c>
      <c r="T24">
        <f t="shared" ref="T24" si="99">S24/1000</f>
        <v>-45.849316943444961</v>
      </c>
    </row>
    <row r="25" spans="1:20" x14ac:dyDescent="0.25">
      <c r="A25" s="5">
        <v>44568</v>
      </c>
      <c r="B25">
        <v>7.4969999999999995E-2</v>
      </c>
      <c r="C25">
        <v>7.5569999999999998E-2</v>
      </c>
      <c r="D25">
        <v>6.8269999999999997E-2</v>
      </c>
      <c r="E25">
        <v>7.0360000000000006E-2</v>
      </c>
      <c r="F25">
        <v>20429275.300000001</v>
      </c>
      <c r="G25">
        <v>7.0360000000000006E-2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-0.42739726027397035</v>
      </c>
      <c r="Q25">
        <f t="shared" ref="Q25" si="101">F25*P25</f>
        <v>-8731416.2926026937</v>
      </c>
      <c r="R25">
        <f t="shared" ref="R25" si="102">R26+Q25</f>
        <v>-4574338184.1913862</v>
      </c>
      <c r="S25">
        <f t="shared" ref="S25" si="103">R25/100000</f>
        <v>-45743.381841913862</v>
      </c>
      <c r="T25">
        <f t="shared" ref="T25" si="104">S25/1000</f>
        <v>-45.743381841913859</v>
      </c>
    </row>
    <row r="26" spans="1:20" x14ac:dyDescent="0.25">
      <c r="A26" s="5">
        <v>44567</v>
      </c>
      <c r="B26">
        <v>7.442E-2</v>
      </c>
      <c r="C26">
        <v>7.6560000000000003E-2</v>
      </c>
      <c r="D26">
        <v>7.1330000000000005E-2</v>
      </c>
      <c r="E26">
        <v>7.4999999999999997E-2</v>
      </c>
      <c r="F26">
        <v>11636839.5</v>
      </c>
      <c r="G26">
        <v>7.4999999999999997E-2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0.40344168260037999</v>
      </c>
      <c r="Q26">
        <f t="shared" ref="Q26" si="106">F26*P26</f>
        <v>4694786.1080305642</v>
      </c>
      <c r="R26">
        <f t="shared" ref="R26" si="107">R27+Q26</f>
        <v>-4565606767.8987837</v>
      </c>
      <c r="S26">
        <f t="shared" ref="S26" si="108">R26/100000</f>
        <v>-45656.067678987834</v>
      </c>
      <c r="T26">
        <f t="shared" ref="T26" si="109">S26/1000</f>
        <v>-45.656067678987831</v>
      </c>
    </row>
    <row r="27" spans="1:20" x14ac:dyDescent="0.25">
      <c r="A27" s="5">
        <v>44566</v>
      </c>
      <c r="B27">
        <v>8.2769999999999996E-2</v>
      </c>
      <c r="C27">
        <v>8.7550000000000003E-2</v>
      </c>
      <c r="D27">
        <v>7.1400000000000005E-2</v>
      </c>
      <c r="E27">
        <v>7.4490000000000001E-2</v>
      </c>
      <c r="F27">
        <v>37037516.299999997</v>
      </c>
      <c r="G27">
        <v>7.4490000000000001E-2</v>
      </c>
      <c r="L27" t="s">
        <v>8</v>
      </c>
      <c r="M27" t="s">
        <v>7</v>
      </c>
      <c r="N27" t="s">
        <v>7</v>
      </c>
      <c r="P27">
        <f t="shared" ref="P27" si="110">IF(C27=D27,0,((E27-D27)-(C27-E27))/(C27-D27))</f>
        <v>-0.61733746130031009</v>
      </c>
      <c r="Q27">
        <f t="shared" ref="Q27" si="111">F27*P27</f>
        <v>-22864646.285510853</v>
      </c>
      <c r="R27">
        <f t="shared" ref="R27" si="112">R28+Q27</f>
        <v>-4570301554.006814</v>
      </c>
      <c r="S27">
        <f t="shared" ref="S27" si="113">R27/100000</f>
        <v>-45703.01554006814</v>
      </c>
      <c r="T27">
        <f t="shared" ref="T27" si="114">S27/1000</f>
        <v>-45.703015540068137</v>
      </c>
    </row>
    <row r="28" spans="1:20" x14ac:dyDescent="0.25">
      <c r="A28" s="5">
        <v>44565</v>
      </c>
      <c r="B28">
        <v>8.2150000000000001E-2</v>
      </c>
      <c r="C28">
        <v>8.6989999999999998E-2</v>
      </c>
      <c r="D28">
        <v>7.9969999999999999E-2</v>
      </c>
      <c r="E28">
        <v>8.2600000000000007E-2</v>
      </c>
      <c r="F28">
        <v>15134086.800000001</v>
      </c>
      <c r="G28">
        <v>8.2600000000000007E-2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-0.25071225071224845</v>
      </c>
      <c r="Q28">
        <f t="shared" ref="Q28" si="116">F28*P28</f>
        <v>-3794300.9641025299</v>
      </c>
      <c r="R28">
        <f t="shared" ref="R28" si="117">R29+Q28</f>
        <v>-4547436907.721303</v>
      </c>
      <c r="S28">
        <f t="shared" ref="S28" si="118">R28/100000</f>
        <v>-45474.369077213029</v>
      </c>
      <c r="T28">
        <f t="shared" ref="T28" si="119">S28/1000</f>
        <v>-45.474369077213026</v>
      </c>
    </row>
    <row r="29" spans="1:20" x14ac:dyDescent="0.25">
      <c r="A29" s="5">
        <v>44564</v>
      </c>
      <c r="B29">
        <v>8.5019999999999998E-2</v>
      </c>
      <c r="C29">
        <v>8.6290000000000006E-2</v>
      </c>
      <c r="D29">
        <v>8.0479999999999996E-2</v>
      </c>
      <c r="E29">
        <v>8.1909999999999997E-2</v>
      </c>
      <c r="F29">
        <v>16767242</v>
      </c>
      <c r="G29">
        <v>8.1909999999999997E-2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-0.50774526678141196</v>
      </c>
      <c r="Q29">
        <f t="shared" ref="Q29" si="121">F29*P29</f>
        <v>-8513487.762478495</v>
      </c>
      <c r="R29">
        <f t="shared" ref="R29" si="122">R30+Q29</f>
        <v>-4543642606.7572002</v>
      </c>
      <c r="S29">
        <f t="shared" ref="S29" si="123">R29/100000</f>
        <v>-45436.426067572</v>
      </c>
      <c r="T29">
        <f t="shared" ref="T29" si="124">S29/1000</f>
        <v>-45.436426067572</v>
      </c>
    </row>
    <row r="30" spans="1:20" x14ac:dyDescent="0.25">
      <c r="A30" s="5">
        <v>44563</v>
      </c>
      <c r="B30">
        <v>8.2339999999999997E-2</v>
      </c>
      <c r="C30">
        <v>8.6999999999999994E-2</v>
      </c>
      <c r="D30">
        <v>8.0699999999999994E-2</v>
      </c>
      <c r="E30">
        <v>8.4989999999999996E-2</v>
      </c>
      <c r="F30">
        <v>23963783.399999999</v>
      </c>
      <c r="G30">
        <v>8.4989999999999996E-2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0.36190476190476256</v>
      </c>
      <c r="Q30">
        <f t="shared" ref="Q30" si="126">F30*P30</f>
        <v>8672607.3257143013</v>
      </c>
      <c r="R30">
        <f t="shared" ref="R30" si="127">R31+Q30</f>
        <v>-4535129118.9947214</v>
      </c>
      <c r="S30">
        <f t="shared" ref="S30" si="128">R30/100000</f>
        <v>-45351.291189947216</v>
      </c>
      <c r="T30">
        <f t="shared" ref="T30" si="129">S30/1000</f>
        <v>-45.351291189947219</v>
      </c>
    </row>
    <row r="31" spans="1:20" x14ac:dyDescent="0.25">
      <c r="A31" s="5">
        <v>44562</v>
      </c>
      <c r="B31">
        <v>8.072E-2</v>
      </c>
      <c r="C31">
        <v>8.3500000000000005E-2</v>
      </c>
      <c r="D31">
        <v>8.072E-2</v>
      </c>
      <c r="E31">
        <v>8.233E-2</v>
      </c>
      <c r="F31">
        <v>9586846</v>
      </c>
      <c r="G31">
        <v>8.233E-2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0.1582733812949623</v>
      </c>
      <c r="Q31">
        <f t="shared" ref="Q31" si="131">F31*P31</f>
        <v>1517342.532374084</v>
      </c>
      <c r="R31">
        <f t="shared" ref="R31" si="132">R32+Q31</f>
        <v>-4543801726.3204355</v>
      </c>
      <c r="S31">
        <f t="shared" ref="S31" si="133">R31/100000</f>
        <v>-45438.017263204354</v>
      </c>
      <c r="T31">
        <f t="shared" ref="T31" si="134">S31/1000</f>
        <v>-45.438017263204351</v>
      </c>
    </row>
    <row r="32" spans="1:20" x14ac:dyDescent="0.25">
      <c r="A32" s="5">
        <v>44561</v>
      </c>
      <c r="B32">
        <v>8.1570000000000004E-2</v>
      </c>
      <c r="C32">
        <v>8.4500000000000006E-2</v>
      </c>
      <c r="D32">
        <v>7.8850000000000003E-2</v>
      </c>
      <c r="E32">
        <v>8.0699999999999994E-2</v>
      </c>
      <c r="F32">
        <v>15087180.4</v>
      </c>
      <c r="G32">
        <v>8.0699999999999994E-2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-0.34513274336283545</v>
      </c>
      <c r="Q32">
        <f t="shared" ref="Q32" si="136">F32*P32</f>
        <v>-5207079.9610620011</v>
      </c>
      <c r="R32">
        <f t="shared" ref="R32" si="137">R33+Q32</f>
        <v>-4545319068.8528099</v>
      </c>
      <c r="S32">
        <f t="shared" ref="S32" si="138">R32/100000</f>
        <v>-45453.190688528099</v>
      </c>
      <c r="T32">
        <f t="shared" ref="T32" si="139">S32/1000</f>
        <v>-45.453190688528096</v>
      </c>
    </row>
    <row r="33" spans="1:20" x14ac:dyDescent="0.25">
      <c r="A33" s="5">
        <v>44560</v>
      </c>
      <c r="B33">
        <v>8.0850000000000005E-2</v>
      </c>
      <c r="C33">
        <v>8.4989999999999996E-2</v>
      </c>
      <c r="D33">
        <v>7.9000000000000001E-2</v>
      </c>
      <c r="E33">
        <v>8.1570000000000004E-2</v>
      </c>
      <c r="F33">
        <v>14685558.9</v>
      </c>
      <c r="G33">
        <v>8.1570000000000004E-2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-0.1419031719532538</v>
      </c>
      <c r="Q33">
        <f t="shared" ref="Q33" si="141">F33*P33</f>
        <v>-2083927.3898163368</v>
      </c>
      <c r="R33">
        <f t="shared" ref="R33" si="142">R34+Q33</f>
        <v>-4540111988.8917475</v>
      </c>
      <c r="S33">
        <f t="shared" ref="S33" si="143">R33/100000</f>
        <v>-45401.119888917478</v>
      </c>
      <c r="T33">
        <f t="shared" ref="T33" si="144">S33/1000</f>
        <v>-45.401119888917478</v>
      </c>
    </row>
    <row r="34" spans="1:20" x14ac:dyDescent="0.25">
      <c r="A34" s="5">
        <v>44559</v>
      </c>
      <c r="B34">
        <v>8.3049999999999999E-2</v>
      </c>
      <c r="C34">
        <v>8.5019999999999998E-2</v>
      </c>
      <c r="D34">
        <v>7.8609999999999999E-2</v>
      </c>
      <c r="E34">
        <v>8.072E-2</v>
      </c>
      <c r="F34">
        <v>33068682.399999999</v>
      </c>
      <c r="G34">
        <v>8.072E-2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-0.34165366614664555</v>
      </c>
      <c r="Q34">
        <f t="shared" ref="Q34" si="146">F34*P34</f>
        <v>-11298036.576599052</v>
      </c>
      <c r="R34">
        <f t="shared" ref="R34" si="147">R35+Q34</f>
        <v>-4538028061.5019312</v>
      </c>
      <c r="S34">
        <f t="shared" ref="S34" si="148">R34/100000</f>
        <v>-45380.280615019314</v>
      </c>
      <c r="T34">
        <f t="shared" ref="T34" si="149">S34/1000</f>
        <v>-45.380280615019316</v>
      </c>
    </row>
    <row r="35" spans="1:20" x14ac:dyDescent="0.25">
      <c r="A35" s="5">
        <v>44558</v>
      </c>
      <c r="B35">
        <v>9.6439999999999998E-2</v>
      </c>
      <c r="C35">
        <v>0.1012</v>
      </c>
      <c r="D35">
        <v>8.2949999999999996E-2</v>
      </c>
      <c r="E35">
        <v>8.3210000000000006E-2</v>
      </c>
      <c r="F35">
        <v>74152363.200000003</v>
      </c>
      <c r="G35">
        <v>8.3210000000000006E-2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-0.97150684931506737</v>
      </c>
      <c r="Q35">
        <f t="shared" ref="Q35" si="151">F35*P35</f>
        <v>-72039528.741698548</v>
      </c>
      <c r="R35">
        <f t="shared" ref="R35" si="152">R36+Q35</f>
        <v>-4526730024.9253321</v>
      </c>
      <c r="S35">
        <f t="shared" ref="S35" si="153">R35/100000</f>
        <v>-45267.30024925332</v>
      </c>
      <c r="T35">
        <f t="shared" ref="T35" si="154">S35/1000</f>
        <v>-45.267300249253317</v>
      </c>
    </row>
    <row r="36" spans="1:20" x14ac:dyDescent="0.25">
      <c r="A36" s="5">
        <v>44557</v>
      </c>
      <c r="B36">
        <v>8.7770000000000001E-2</v>
      </c>
      <c r="C36">
        <v>0.10798000000000001</v>
      </c>
      <c r="D36">
        <v>8.6300000000000002E-2</v>
      </c>
      <c r="E36">
        <v>9.6379999999999993E-2</v>
      </c>
      <c r="F36">
        <v>122539987.7</v>
      </c>
      <c r="G36">
        <v>9.6379999999999993E-2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-7.0110701107012036E-2</v>
      </c>
      <c r="Q36">
        <f t="shared" ref="Q36" si="156">F36*P36</f>
        <v>-8591364.4512916319</v>
      </c>
      <c r="R36">
        <f t="shared" ref="R36" si="157">R37+Q36</f>
        <v>-4454690496.1836338</v>
      </c>
      <c r="S36">
        <f t="shared" ref="S36" si="158">R36/100000</f>
        <v>-44546.904961836335</v>
      </c>
      <c r="T36">
        <f t="shared" ref="T36" si="159">S36/1000</f>
        <v>-44.546904961836333</v>
      </c>
    </row>
    <row r="37" spans="1:20" x14ac:dyDescent="0.25">
      <c r="A37" s="5">
        <v>44556</v>
      </c>
      <c r="B37">
        <v>8.4019999999999997E-2</v>
      </c>
      <c r="C37">
        <v>0.10215</v>
      </c>
      <c r="D37">
        <v>8.3239999999999995E-2</v>
      </c>
      <c r="E37">
        <v>8.7720000000000006E-2</v>
      </c>
      <c r="F37">
        <v>81272353.700000003</v>
      </c>
      <c r="G37">
        <v>8.7720000000000006E-2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-0.52617662612374305</v>
      </c>
      <c r="Q37">
        <f t="shared" ref="Q37" si="161">F37*P37</f>
        <v>-42763612.867001504</v>
      </c>
      <c r="R37">
        <f t="shared" ref="R37" si="162">R38+Q37</f>
        <v>-4446099131.7323418</v>
      </c>
      <c r="S37">
        <f t="shared" ref="S37" si="163">R37/100000</f>
        <v>-44460.991317323416</v>
      </c>
      <c r="T37">
        <f t="shared" ref="T37" si="164">S37/1000</f>
        <v>-44.460991317323419</v>
      </c>
    </row>
    <row r="38" spans="1:20" x14ac:dyDescent="0.25">
      <c r="A38" s="5">
        <v>44555</v>
      </c>
      <c r="B38">
        <v>8.4640000000000007E-2</v>
      </c>
      <c r="C38">
        <v>8.8999999999999996E-2</v>
      </c>
      <c r="D38">
        <v>8.3720000000000003E-2</v>
      </c>
      <c r="E38">
        <v>8.4010000000000001E-2</v>
      </c>
      <c r="F38">
        <v>20874535.100000001</v>
      </c>
      <c r="G38">
        <v>8.4010000000000001E-2</v>
      </c>
      <c r="L38" t="s">
        <v>8</v>
      </c>
      <c r="M38" t="s">
        <v>7</v>
      </c>
      <c r="N38" t="s">
        <v>8</v>
      </c>
      <c r="P38">
        <f t="shared" ref="P38" si="165">IF(C38=D38,0,((E38-D38)-(C38-E38))/(C38-D38))</f>
        <v>-0.89015151515151558</v>
      </c>
      <c r="Q38">
        <f t="shared" ref="Q38" si="166">F38*P38</f>
        <v>-18581499.047348496</v>
      </c>
      <c r="R38">
        <f t="shared" ref="R38" si="167">R39+Q38</f>
        <v>-4403335518.8653402</v>
      </c>
      <c r="S38">
        <f t="shared" ref="S38" si="168">R38/100000</f>
        <v>-44033.355188653404</v>
      </c>
      <c r="T38">
        <f t="shared" ref="T38" si="169">S38/1000</f>
        <v>-44.033355188653402</v>
      </c>
    </row>
    <row r="39" spans="1:20" x14ac:dyDescent="0.25">
      <c r="A39" s="5">
        <v>44554</v>
      </c>
      <c r="B39">
        <v>8.412E-2</v>
      </c>
      <c r="C39">
        <v>8.7999999999999995E-2</v>
      </c>
      <c r="D39">
        <v>8.2500000000000004E-2</v>
      </c>
      <c r="E39">
        <v>8.4629999999999997E-2</v>
      </c>
      <c r="F39">
        <v>23345809.399999999</v>
      </c>
      <c r="G39">
        <v>8.4629999999999997E-2</v>
      </c>
      <c r="L39" t="s">
        <v>8</v>
      </c>
      <c r="M39" t="s">
        <v>7</v>
      </c>
      <c r="N39" t="s">
        <v>8</v>
      </c>
      <c r="P39">
        <f t="shared" ref="P39" si="170">IF(C39=D39,0,((E39-D39)-(C39-E39))/(C39-D39))</f>
        <v>-0.22545454545454674</v>
      </c>
      <c r="Q39">
        <f t="shared" ref="Q39" si="171">F39*P39</f>
        <v>-5263418.8465454839</v>
      </c>
      <c r="R39">
        <f t="shared" ref="R39" si="172">R40+Q39</f>
        <v>-4384754019.8179922</v>
      </c>
      <c r="S39">
        <f t="shared" ref="S39" si="173">R39/100000</f>
        <v>-43847.540198179922</v>
      </c>
      <c r="T39">
        <f t="shared" ref="T39" si="174">S39/1000</f>
        <v>-43.847540198179921</v>
      </c>
    </row>
    <row r="40" spans="1:20" x14ac:dyDescent="0.25">
      <c r="A40" s="5">
        <v>44553</v>
      </c>
      <c r="B40">
        <v>8.1909999999999997E-2</v>
      </c>
      <c r="C40">
        <v>8.6580000000000004E-2</v>
      </c>
      <c r="D40">
        <v>8.0600000000000005E-2</v>
      </c>
      <c r="E40">
        <v>8.412E-2</v>
      </c>
      <c r="F40">
        <v>20431228.100000001</v>
      </c>
      <c r="G40">
        <v>8.412E-2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0.17725752508361065</v>
      </c>
      <c r="Q40">
        <f t="shared" ref="Q40" si="176">F40*P40</f>
        <v>3621588.927424721</v>
      </c>
      <c r="R40">
        <f t="shared" ref="R40" si="177">R41+Q40</f>
        <v>-4379490600.971447</v>
      </c>
      <c r="S40">
        <f t="shared" ref="S40" si="178">R40/100000</f>
        <v>-43794.906009714468</v>
      </c>
      <c r="T40">
        <f t="shared" ref="T40" si="179">S40/1000</f>
        <v>-43.794906009714467</v>
      </c>
    </row>
    <row r="41" spans="1:20" x14ac:dyDescent="0.25">
      <c r="A41" s="5">
        <v>44552</v>
      </c>
      <c r="B41">
        <v>8.4260000000000002E-2</v>
      </c>
      <c r="C41">
        <v>8.5800000000000001E-2</v>
      </c>
      <c r="D41">
        <v>8.1710000000000005E-2</v>
      </c>
      <c r="E41">
        <v>8.2049999999999998E-2</v>
      </c>
      <c r="F41">
        <v>23521441.699999999</v>
      </c>
      <c r="G41">
        <v>8.2049999999999998E-2</v>
      </c>
      <c r="L41" t="s">
        <v>7</v>
      </c>
      <c r="M41" t="s">
        <v>7</v>
      </c>
      <c r="N41" t="s">
        <v>8</v>
      </c>
      <c r="P41">
        <f t="shared" ref="P41" si="180">IF(C41=D41,0,((E41-D41)-(C41-E41))/(C41-D41))</f>
        <v>-0.83374083129584675</v>
      </c>
      <c r="Q41">
        <f t="shared" ref="Q41" si="181">F41*P41</f>
        <v>-19610786.356234793</v>
      </c>
      <c r="R41">
        <f t="shared" ref="R41" si="182">R42+Q41</f>
        <v>-4383112189.8988714</v>
      </c>
      <c r="S41">
        <f t="shared" ref="S41" si="183">R41/100000</f>
        <v>-43831.121898988713</v>
      </c>
      <c r="T41">
        <f t="shared" ref="T41" si="184">S41/1000</f>
        <v>-43.831121898988712</v>
      </c>
    </row>
    <row r="42" spans="1:20" x14ac:dyDescent="0.25">
      <c r="A42" s="5">
        <v>44551</v>
      </c>
      <c r="B42">
        <v>8.6650000000000005E-2</v>
      </c>
      <c r="C42">
        <v>8.9200000000000002E-2</v>
      </c>
      <c r="D42">
        <v>8.2320000000000004E-2</v>
      </c>
      <c r="E42">
        <v>8.4470000000000003E-2</v>
      </c>
      <c r="F42">
        <v>66733070.700000003</v>
      </c>
      <c r="G42">
        <v>8.4470000000000003E-2</v>
      </c>
      <c r="L42" t="s">
        <v>7</v>
      </c>
      <c r="M42" t="s">
        <v>7</v>
      </c>
      <c r="N42" t="s">
        <v>8</v>
      </c>
      <c r="P42">
        <f t="shared" ref="P42" si="185">IF(C42=D42,0,((E42-D42)-(C42-E42))/(C42-D42))</f>
        <v>-0.375</v>
      </c>
      <c r="Q42">
        <f t="shared" ref="Q42" si="186">F42*P42</f>
        <v>-25024901.512500003</v>
      </c>
      <c r="R42">
        <f t="shared" ref="R42" si="187">R43+Q42</f>
        <v>-4363501403.5426369</v>
      </c>
      <c r="S42">
        <f t="shared" ref="S42" si="188">R42/100000</f>
        <v>-43635.014035426371</v>
      </c>
      <c r="T42">
        <f t="shared" ref="T42" si="189">S42/1000</f>
        <v>-43.635014035426373</v>
      </c>
    </row>
    <row r="43" spans="1:20" x14ac:dyDescent="0.25">
      <c r="A43" s="5">
        <v>44550</v>
      </c>
      <c r="B43">
        <v>8.0170000000000005E-2</v>
      </c>
      <c r="C43">
        <v>0.10199999999999999</v>
      </c>
      <c r="D43">
        <v>7.8409999999999994E-2</v>
      </c>
      <c r="E43">
        <v>8.6650000000000005E-2</v>
      </c>
      <c r="F43">
        <v>320296176.60000002</v>
      </c>
      <c r="G43">
        <v>8.6650000000000005E-2</v>
      </c>
      <c r="L43" t="s">
        <v>8</v>
      </c>
      <c r="M43" t="s">
        <v>8</v>
      </c>
      <c r="N43" t="s">
        <v>8</v>
      </c>
      <c r="P43">
        <f t="shared" ref="P43" si="190">IF(C43=D43,0,((E43-D43)-(C43-E43))/(C43-D43))</f>
        <v>-0.301398897838066</v>
      </c>
      <c r="Q43">
        <f t="shared" ref="Q43" si="191">F43*P43</f>
        <v>-96536914.608986557</v>
      </c>
      <c r="R43">
        <f t="shared" ref="R43" si="192">R44+Q43</f>
        <v>-4338476502.0301371</v>
      </c>
      <c r="S43">
        <f t="shared" ref="S43" si="193">R43/100000</f>
        <v>-43384.765020301369</v>
      </c>
      <c r="T43">
        <f t="shared" ref="T43" si="194">S43/1000</f>
        <v>-43.384765020301366</v>
      </c>
    </row>
    <row r="44" spans="1:20" x14ac:dyDescent="0.25">
      <c r="A44" s="5">
        <v>44549</v>
      </c>
      <c r="B44">
        <v>7.7219999999999997E-2</v>
      </c>
      <c r="C44">
        <v>8.8859999999999995E-2</v>
      </c>
      <c r="D44">
        <v>7.6759999999999995E-2</v>
      </c>
      <c r="E44">
        <v>8.0280000000000004E-2</v>
      </c>
      <c r="F44">
        <v>64414687</v>
      </c>
      <c r="G44">
        <v>8.0280000000000004E-2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-0.41818181818181666</v>
      </c>
      <c r="Q44">
        <f t="shared" ref="Q44" si="196">F44*P44</f>
        <v>-26937050.927272629</v>
      </c>
      <c r="R44">
        <f t="shared" ref="R44" si="197">R45+Q44</f>
        <v>-4241939587.4211507</v>
      </c>
      <c r="S44">
        <f t="shared" ref="S44" si="198">R44/100000</f>
        <v>-42419.395874211506</v>
      </c>
      <c r="T44">
        <f t="shared" ref="T44" si="199">S44/1000</f>
        <v>-42.419395874211503</v>
      </c>
    </row>
    <row r="45" spans="1:20" x14ac:dyDescent="0.25">
      <c r="A45" s="5">
        <v>44548</v>
      </c>
      <c r="B45">
        <v>7.5079999999999994E-2</v>
      </c>
      <c r="C45">
        <v>8.2479999999999998E-2</v>
      </c>
      <c r="D45">
        <v>7.3139999999999997E-2</v>
      </c>
      <c r="E45">
        <v>7.7289999999999998E-2</v>
      </c>
      <c r="F45">
        <v>27817936.600000001</v>
      </c>
      <c r="G45">
        <v>7.7289999999999998E-2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-0.1113490364025695</v>
      </c>
      <c r="Q45">
        <f t="shared" ref="Q45" si="201">F45*P45</f>
        <v>-3097500.4351177709</v>
      </c>
      <c r="R45">
        <f t="shared" ref="R45" si="202">R46+Q45</f>
        <v>-4215002536.4938779</v>
      </c>
      <c r="S45">
        <f t="shared" ref="S45" si="203">R45/100000</f>
        <v>-42150.025364938781</v>
      </c>
      <c r="T45">
        <f t="shared" ref="T45" si="204">S45/1000</f>
        <v>-42.150025364938784</v>
      </c>
    </row>
    <row r="46" spans="1:20" x14ac:dyDescent="0.25">
      <c r="A46" s="5">
        <v>44547</v>
      </c>
      <c r="B46">
        <v>7.3529999999999998E-2</v>
      </c>
      <c r="C46">
        <v>7.9000000000000001E-2</v>
      </c>
      <c r="D46">
        <v>7.0440000000000003E-2</v>
      </c>
      <c r="E46">
        <v>7.5029999999999999E-2</v>
      </c>
      <c r="F46">
        <v>30914386.699999999</v>
      </c>
      <c r="G46">
        <v>7.5029999999999999E-2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7.2429906542055569E-2</v>
      </c>
      <c r="Q46">
        <f t="shared" ref="Q46" si="206">F46*P46</f>
        <v>2239126.1394859655</v>
      </c>
      <c r="R46">
        <f t="shared" ref="R46" si="207">R47+Q46</f>
        <v>-4211905036.0587602</v>
      </c>
      <c r="S46">
        <f t="shared" ref="S46" si="208">R46/100000</f>
        <v>-42119.0503605876</v>
      </c>
      <c r="T46">
        <f t="shared" ref="T46" si="209">S46/1000</f>
        <v>-42.1190503605876</v>
      </c>
    </row>
    <row r="47" spans="1:20" x14ac:dyDescent="0.25">
      <c r="A47" s="5">
        <v>44546</v>
      </c>
      <c r="B47">
        <v>7.4999999999999997E-2</v>
      </c>
      <c r="C47">
        <v>0.08</v>
      </c>
      <c r="D47">
        <v>7.2940000000000005E-2</v>
      </c>
      <c r="E47">
        <v>7.3279999999999998E-2</v>
      </c>
      <c r="F47">
        <v>17573782.100000001</v>
      </c>
      <c r="G47">
        <v>7.3279999999999998E-2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-0.90368271954674417</v>
      </c>
      <c r="Q47">
        <f t="shared" ref="Q47" si="211">F47*P47</f>
        <v>-15881123.200849894</v>
      </c>
      <c r="R47">
        <f t="shared" ref="R47" si="212">R48+Q47</f>
        <v>-4214144162.198246</v>
      </c>
      <c r="S47">
        <f t="shared" ref="S47" si="213">R47/100000</f>
        <v>-42141.441621982463</v>
      </c>
      <c r="T47">
        <f t="shared" ref="T47" si="214">S47/1000</f>
        <v>-42.141441621982466</v>
      </c>
    </row>
    <row r="48" spans="1:20" x14ac:dyDescent="0.25">
      <c r="A48" s="5">
        <v>44545</v>
      </c>
      <c r="B48">
        <v>7.0360000000000006E-2</v>
      </c>
      <c r="C48">
        <v>7.5829999999999995E-2</v>
      </c>
      <c r="D48">
        <v>6.8269999999999997E-2</v>
      </c>
      <c r="E48">
        <v>7.4980000000000005E-2</v>
      </c>
      <c r="F48">
        <v>33101333.100000001</v>
      </c>
      <c r="G48">
        <v>7.4980000000000005E-2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0.77513227513227778</v>
      </c>
      <c r="Q48">
        <f t="shared" ref="Q48" si="216">F48*P48</f>
        <v>25657911.635714374</v>
      </c>
      <c r="R48">
        <f t="shared" ref="R48" si="217">R49+Q48</f>
        <v>-4198263038.997396</v>
      </c>
      <c r="S48">
        <f t="shared" ref="S48" si="218">R48/100000</f>
        <v>-41982.630389973958</v>
      </c>
      <c r="T48">
        <f t="shared" ref="T48" si="219">S48/1000</f>
        <v>-41.982630389973956</v>
      </c>
    </row>
    <row r="49" spans="1:20" x14ac:dyDescent="0.25">
      <c r="A49" s="5">
        <v>44544</v>
      </c>
      <c r="B49">
        <v>6.6479999999999997E-2</v>
      </c>
      <c r="C49">
        <v>7.5749999999999998E-2</v>
      </c>
      <c r="D49">
        <v>6.5329999999999999E-2</v>
      </c>
      <c r="E49">
        <v>7.0360000000000006E-2</v>
      </c>
      <c r="F49">
        <v>30791769.199999999</v>
      </c>
      <c r="G49">
        <v>7.0360000000000006E-2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-3.45489443378105E-2</v>
      </c>
      <c r="Q49">
        <f t="shared" ref="Q49" si="221">F49*P49</f>
        <v>-1063823.1201535077</v>
      </c>
      <c r="R49">
        <f t="shared" ref="R49" si="222">R50+Q49</f>
        <v>-4223920950.6331105</v>
      </c>
      <c r="S49">
        <f t="shared" ref="S49" si="223">R49/100000</f>
        <v>-42239.209506331106</v>
      </c>
      <c r="T49">
        <f t="shared" ref="T49" si="224">S49/1000</f>
        <v>-42.239209506331107</v>
      </c>
    </row>
    <row r="50" spans="1:20" x14ac:dyDescent="0.25">
      <c r="A50" s="5">
        <v>44543</v>
      </c>
      <c r="B50">
        <v>7.8179999999999999E-2</v>
      </c>
      <c r="C50">
        <v>7.8390000000000001E-2</v>
      </c>
      <c r="D50">
        <v>6.5280000000000005E-2</v>
      </c>
      <c r="E50">
        <v>6.6479999999999997E-2</v>
      </c>
      <c r="F50">
        <v>23921283</v>
      </c>
      <c r="G50">
        <v>6.6479999999999997E-2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-0.81693363844393696</v>
      </c>
      <c r="Q50">
        <f t="shared" ref="Q50" si="226">F50*P50</f>
        <v>-19542100.757437095</v>
      </c>
      <c r="R50">
        <f t="shared" ref="R50" si="227">R51+Q50</f>
        <v>-4222857127.5129571</v>
      </c>
      <c r="S50">
        <f t="shared" ref="S50" si="228">R50/100000</f>
        <v>-42228.571275129572</v>
      </c>
      <c r="T50">
        <f t="shared" ref="T50" si="229">S50/1000</f>
        <v>-42.228571275129575</v>
      </c>
    </row>
    <row r="51" spans="1:20" x14ac:dyDescent="0.25">
      <c r="A51" s="5">
        <v>44542</v>
      </c>
      <c r="B51">
        <v>7.7579999999999996E-2</v>
      </c>
      <c r="C51">
        <v>7.979E-2</v>
      </c>
      <c r="D51">
        <v>7.5439999999999993E-2</v>
      </c>
      <c r="E51">
        <v>7.8140000000000001E-2</v>
      </c>
      <c r="F51">
        <v>14794282.6</v>
      </c>
      <c r="G51">
        <v>7.8140000000000001E-2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0.24137931034482935</v>
      </c>
      <c r="Q51">
        <f t="shared" ref="Q51" si="231">F51*P51</f>
        <v>3571033.7310345089</v>
      </c>
      <c r="R51">
        <f t="shared" ref="R51" si="232">R52+Q51</f>
        <v>-4203315026.7555199</v>
      </c>
      <c r="S51">
        <f t="shared" ref="S51" si="233">R51/100000</f>
        <v>-42033.150267555196</v>
      </c>
      <c r="T51">
        <f t="shared" ref="T51" si="234">S51/1000</f>
        <v>-42.033150267555193</v>
      </c>
    </row>
    <row r="52" spans="1:20" x14ac:dyDescent="0.25">
      <c r="A52" s="5">
        <v>44541</v>
      </c>
      <c r="B52">
        <v>7.4380000000000002E-2</v>
      </c>
      <c r="C52">
        <v>7.6119999999999993E-2</v>
      </c>
      <c r="D52">
        <v>7.3550000000000004E-2</v>
      </c>
      <c r="E52">
        <v>7.5340000000000004E-2</v>
      </c>
      <c r="F52">
        <v>1016470.7</v>
      </c>
      <c r="G52">
        <v>7.5340000000000004E-2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0.39299610894942227</v>
      </c>
      <c r="Q52">
        <f t="shared" ref="Q52" si="236">F52*P52</f>
        <v>399469.02996109548</v>
      </c>
      <c r="R52">
        <f t="shared" ref="R52" si="237">R53+Q52</f>
        <v>-4206886060.4865541</v>
      </c>
      <c r="S52">
        <f t="shared" ref="S52" si="238">R52/100000</f>
        <v>-42068.860604865542</v>
      </c>
      <c r="T52">
        <f t="shared" ref="T52" si="239">S52/1000</f>
        <v>-42.068860604865542</v>
      </c>
    </row>
    <row r="53" spans="1:20" x14ac:dyDescent="0.25">
      <c r="A53" s="5">
        <v>44540</v>
      </c>
      <c r="B53">
        <v>7.6960000000000001E-2</v>
      </c>
      <c r="C53">
        <v>8.5000000000000006E-2</v>
      </c>
      <c r="D53">
        <v>7.4039999999999995E-2</v>
      </c>
      <c r="E53">
        <v>7.4709999999999999E-2</v>
      </c>
      <c r="F53">
        <v>21830865</v>
      </c>
      <c r="G53">
        <v>7.4709999999999999E-2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-0.87773722627737172</v>
      </c>
      <c r="Q53">
        <f t="shared" ref="Q53" si="241">F53*P53</f>
        <v>-19161762.892335754</v>
      </c>
      <c r="R53">
        <f t="shared" ref="R53" si="242">R54+Q53</f>
        <v>-4207285529.5165153</v>
      </c>
      <c r="S53">
        <f t="shared" ref="S53" si="243">R53/100000</f>
        <v>-42072.855295165151</v>
      </c>
      <c r="T53">
        <f t="shared" ref="T53" si="244">S53/1000</f>
        <v>-42.072855295165148</v>
      </c>
    </row>
    <row r="54" spans="1:20" x14ac:dyDescent="0.25">
      <c r="A54" s="5">
        <v>44539</v>
      </c>
      <c r="B54">
        <v>8.6319999999999994E-2</v>
      </c>
      <c r="C54">
        <v>8.8999999999999996E-2</v>
      </c>
      <c r="D54">
        <v>7.6130000000000003E-2</v>
      </c>
      <c r="E54">
        <v>7.714E-2</v>
      </c>
      <c r="F54">
        <v>28067891.800000001</v>
      </c>
      <c r="G54">
        <v>7.714E-2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-0.8430458430458434</v>
      </c>
      <c r="Q54">
        <f t="shared" ref="Q54" si="246">F54*P54</f>
        <v>-23662519.505050514</v>
      </c>
      <c r="R54">
        <f t="shared" ref="R54" si="247">R55+Q54</f>
        <v>-4188123766.6241794</v>
      </c>
      <c r="S54">
        <f t="shared" ref="S54" si="248">R54/100000</f>
        <v>-41881.237666241796</v>
      </c>
      <c r="T54">
        <f t="shared" ref="T54" si="249">S54/1000</f>
        <v>-41.881237666241795</v>
      </c>
    </row>
    <row r="55" spans="1:20" x14ac:dyDescent="0.25">
      <c r="A55" s="5">
        <v>44538</v>
      </c>
      <c r="B55">
        <v>8.2710000000000006E-2</v>
      </c>
      <c r="C55">
        <v>8.7999999999999995E-2</v>
      </c>
      <c r="D55">
        <v>7.9519999999999993E-2</v>
      </c>
      <c r="E55">
        <v>8.6309999999999998E-2</v>
      </c>
      <c r="F55">
        <v>29930225.699999999</v>
      </c>
      <c r="G55">
        <v>8.6309999999999998E-2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0.60141509433962337</v>
      </c>
      <c r="Q55">
        <f t="shared" ref="Q55" si="251">F55*P55</f>
        <v>18000489.512971718</v>
      </c>
      <c r="R55">
        <f t="shared" ref="R55" si="252">R56+Q55</f>
        <v>-4164461247.1191287</v>
      </c>
      <c r="S55">
        <f t="shared" ref="S55" si="253">R55/100000</f>
        <v>-41644.612471191285</v>
      </c>
      <c r="T55">
        <f t="shared" ref="T55" si="254">S55/1000</f>
        <v>-41.644612471191287</v>
      </c>
    </row>
    <row r="56" spans="1:20" x14ac:dyDescent="0.25">
      <c r="A56" s="5">
        <v>44537</v>
      </c>
      <c r="B56">
        <v>8.2339999999999997E-2</v>
      </c>
      <c r="C56">
        <v>9.3740000000000004E-2</v>
      </c>
      <c r="D56">
        <v>8.0320000000000003E-2</v>
      </c>
      <c r="E56">
        <v>8.2809999999999995E-2</v>
      </c>
      <c r="F56">
        <v>50879738.799999997</v>
      </c>
      <c r="G56">
        <v>8.2809999999999995E-2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-0.6289120715350236</v>
      </c>
      <c r="Q56">
        <f t="shared" ref="Q56" si="256">F56*P56</f>
        <v>-31998881.927868914</v>
      </c>
      <c r="R56">
        <f t="shared" ref="R56" si="257">R57+Q56</f>
        <v>-4182461736.6321006</v>
      </c>
      <c r="S56">
        <f t="shared" ref="S56" si="258">R56/100000</f>
        <v>-41824.617366321007</v>
      </c>
      <c r="T56">
        <f t="shared" ref="T56" si="259">S56/1000</f>
        <v>-41.824617366321007</v>
      </c>
    </row>
    <row r="57" spans="1:20" x14ac:dyDescent="0.25">
      <c r="A57" s="5">
        <v>44536</v>
      </c>
      <c r="B57">
        <v>8.1210000000000004E-2</v>
      </c>
      <c r="C57">
        <v>8.5290000000000005E-2</v>
      </c>
      <c r="D57">
        <v>7.2709999999999997E-2</v>
      </c>
      <c r="E57">
        <v>8.2699999999999996E-2</v>
      </c>
      <c r="F57">
        <v>46800403.299999997</v>
      </c>
      <c r="G57">
        <v>8.2699999999999996E-2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0.58823529411764586</v>
      </c>
      <c r="Q57">
        <f t="shared" ref="Q57" si="261">F57*P57</f>
        <v>27529648.99999994</v>
      </c>
      <c r="R57">
        <f t="shared" ref="R57" si="262">R58+Q57</f>
        <v>-4150462854.7042317</v>
      </c>
      <c r="S57">
        <f t="shared" ref="S57" si="263">R57/100000</f>
        <v>-41504.628547042317</v>
      </c>
      <c r="T57">
        <f t="shared" ref="T57" si="264">S57/1000</f>
        <v>-41.504628547042316</v>
      </c>
    </row>
    <row r="58" spans="1:20" x14ac:dyDescent="0.25">
      <c r="A58" s="5">
        <v>44535</v>
      </c>
      <c r="B58">
        <v>9.3829999999999997E-2</v>
      </c>
      <c r="C58">
        <v>9.4189999999999996E-2</v>
      </c>
      <c r="D58">
        <v>7.9219999999999999E-2</v>
      </c>
      <c r="E58">
        <v>8.1210000000000004E-2</v>
      </c>
      <c r="F58">
        <v>55573114.5</v>
      </c>
      <c r="G58">
        <v>8.1210000000000004E-2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-0.73413493653974538</v>
      </c>
      <c r="Q58">
        <f t="shared" ref="Q58" si="266">F58*P58</f>
        <v>-40798164.886773504</v>
      </c>
      <c r="R58">
        <f t="shared" ref="R58" si="267">R59+Q58</f>
        <v>-4177992503.7042317</v>
      </c>
      <c r="S58">
        <f t="shared" ref="S58" si="268">R58/100000</f>
        <v>-41779.925037042318</v>
      </c>
      <c r="T58">
        <f t="shared" ref="T58" si="269">S58/1000</f>
        <v>-41.779925037042318</v>
      </c>
    </row>
    <row r="59" spans="1:20" x14ac:dyDescent="0.25">
      <c r="A59" s="5">
        <v>44534</v>
      </c>
      <c r="B59">
        <v>0.11988</v>
      </c>
      <c r="C59">
        <v>0.12217</v>
      </c>
      <c r="D59">
        <v>7.2999999999999995E-2</v>
      </c>
      <c r="E59">
        <v>9.4060000000000005E-2</v>
      </c>
      <c r="F59">
        <v>220095819</v>
      </c>
      <c r="G59">
        <v>9.4060000000000005E-2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-0.14338010982306257</v>
      </c>
      <c r="Q59">
        <f t="shared" ref="Q59" si="271">F59*P59</f>
        <v>-31557362.699816901</v>
      </c>
      <c r="R59">
        <f t="shared" ref="R59" si="272">R60+Q59</f>
        <v>-4137194338.8174582</v>
      </c>
      <c r="S59">
        <f t="shared" ref="S59" si="273">R59/100000</f>
        <v>-41371.943388174579</v>
      </c>
      <c r="T59">
        <f t="shared" ref="T59" si="274">S59/1000</f>
        <v>-41.371943388174579</v>
      </c>
    </row>
    <row r="60" spans="1:20" x14ac:dyDescent="0.25">
      <c r="A60" s="5">
        <v>44533</v>
      </c>
      <c r="B60">
        <v>0.10125000000000001</v>
      </c>
      <c r="C60">
        <v>0.1588</v>
      </c>
      <c r="D60">
        <v>0.10042</v>
      </c>
      <c r="E60">
        <v>0.11999</v>
      </c>
      <c r="F60">
        <v>578830018.89999998</v>
      </c>
      <c r="G60">
        <v>0.11999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-0.32956491949297695</v>
      </c>
      <c r="Q60">
        <f t="shared" ref="Q60" si="276">F60*P60</f>
        <v>-190762068.57889682</v>
      </c>
      <c r="R60">
        <f t="shared" ref="R60" si="277">R61+Q60</f>
        <v>-4105636976.1176414</v>
      </c>
      <c r="S60">
        <f t="shared" ref="S60" si="278">R60/100000</f>
        <v>-41056.369761176415</v>
      </c>
      <c r="T60">
        <f t="shared" ref="T60" si="279">S60/1000</f>
        <v>-41.056369761176413</v>
      </c>
    </row>
    <row r="61" spans="1:20" x14ac:dyDescent="0.25">
      <c r="A61" s="5">
        <v>44532</v>
      </c>
      <c r="B61">
        <v>9.6670000000000006E-2</v>
      </c>
      <c r="C61">
        <v>0.1075</v>
      </c>
      <c r="D61">
        <v>9.1020000000000004E-2</v>
      </c>
      <c r="E61">
        <v>0.10125000000000001</v>
      </c>
      <c r="F61">
        <v>86593108.099999994</v>
      </c>
      <c r="G61">
        <v>0.10125000000000001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0.24150485436893279</v>
      </c>
      <c r="Q61">
        <f t="shared" ref="Q61" si="281">F61*P61</f>
        <v>20912655.961043753</v>
      </c>
      <c r="R61">
        <f t="shared" ref="R61" si="282">R62+Q61</f>
        <v>-3914874907.5387444</v>
      </c>
      <c r="S61">
        <f t="shared" ref="S61" si="283">R61/100000</f>
        <v>-39148.749075387444</v>
      </c>
      <c r="T61">
        <f t="shared" ref="T61" si="284">S61/1000</f>
        <v>-39.148749075387443</v>
      </c>
    </row>
    <row r="62" spans="1:20" x14ac:dyDescent="0.25">
      <c r="A62" s="5">
        <v>44531</v>
      </c>
      <c r="B62">
        <v>9.4070000000000001E-2</v>
      </c>
      <c r="C62">
        <v>0.10206999999999999</v>
      </c>
      <c r="D62">
        <v>9.3200000000000005E-2</v>
      </c>
      <c r="E62">
        <v>9.6829999999999999E-2</v>
      </c>
      <c r="F62">
        <v>32187634.899999999</v>
      </c>
      <c r="G62">
        <v>9.6829999999999999E-2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-0.18151071025930127</v>
      </c>
      <c r="Q62">
        <f t="shared" ref="Q62" si="286">F62*P62</f>
        <v>-5842400.4722660733</v>
      </c>
      <c r="R62">
        <f t="shared" ref="R62" si="287">R63+Q62</f>
        <v>-3935787563.4997883</v>
      </c>
      <c r="S62">
        <f t="shared" ref="S62" si="288">R62/100000</f>
        <v>-39357.875634997879</v>
      </c>
      <c r="T62">
        <f t="shared" ref="T62" si="289">S62/1000</f>
        <v>-39.357875634997882</v>
      </c>
    </row>
    <row r="63" spans="1:20" x14ac:dyDescent="0.25">
      <c r="A63" s="5">
        <v>44530</v>
      </c>
      <c r="B63">
        <v>9.6949999999999995E-2</v>
      </c>
      <c r="C63">
        <v>9.9989999999999996E-2</v>
      </c>
      <c r="D63">
        <v>9.1999999999999998E-2</v>
      </c>
      <c r="E63">
        <v>9.4159999999999994E-2</v>
      </c>
      <c r="F63">
        <v>40145466.799999997</v>
      </c>
      <c r="G63">
        <v>9.4159999999999994E-2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-0.4593241551939935</v>
      </c>
      <c r="Q63">
        <f t="shared" ref="Q63" si="291">F63*P63</f>
        <v>-18439782.622778513</v>
      </c>
      <c r="R63">
        <f t="shared" ref="R63" si="292">R64+Q63</f>
        <v>-3929945163.0275221</v>
      </c>
      <c r="S63">
        <f t="shared" ref="S63" si="293">R63/100000</f>
        <v>-39299.451630275224</v>
      </c>
      <c r="T63">
        <f t="shared" ref="T63" si="294">S63/1000</f>
        <v>-39.299451630275222</v>
      </c>
    </row>
    <row r="64" spans="1:20" x14ac:dyDescent="0.25">
      <c r="A64" s="5">
        <v>44529</v>
      </c>
      <c r="B64">
        <v>9.8659999999999998E-2</v>
      </c>
      <c r="C64">
        <v>9.9540000000000003E-2</v>
      </c>
      <c r="D64">
        <v>9.529E-2</v>
      </c>
      <c r="E64">
        <v>9.6790000000000001E-2</v>
      </c>
      <c r="F64">
        <v>25284916.699999999</v>
      </c>
      <c r="G64">
        <v>9.6790000000000001E-2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-0.29411764705882354</v>
      </c>
      <c r="Q64">
        <f t="shared" ref="Q64" si="296">F64*P64</f>
        <v>-7436740.2058823528</v>
      </c>
      <c r="R64">
        <f t="shared" ref="R64" si="297">R65+Q64</f>
        <v>-3911505380.4047437</v>
      </c>
      <c r="S64">
        <f t="shared" ref="S64" si="298">R64/100000</f>
        <v>-39115.053804047435</v>
      </c>
      <c r="T64">
        <f t="shared" ref="T64" si="299">S64/1000</f>
        <v>-39.115053804047434</v>
      </c>
    </row>
    <row r="65" spans="1:20" x14ac:dyDescent="0.25">
      <c r="A65" s="5">
        <v>44528</v>
      </c>
      <c r="B65">
        <v>0.10159</v>
      </c>
      <c r="C65">
        <v>0.10328</v>
      </c>
      <c r="D65">
        <v>9.0829999999999994E-2</v>
      </c>
      <c r="E65">
        <v>9.8659999999999998E-2</v>
      </c>
      <c r="F65">
        <v>64296843</v>
      </c>
      <c r="G65">
        <v>9.8659999999999998E-2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0.25783132530120512</v>
      </c>
      <c r="Q65">
        <f t="shared" ref="Q65" si="301">F65*P65</f>
        <v>16577740.243373513</v>
      </c>
      <c r="R65">
        <f t="shared" ref="R65" si="302">R66+Q65</f>
        <v>-3904068640.1988611</v>
      </c>
      <c r="S65">
        <f t="shared" ref="S65" si="303">R65/100000</f>
        <v>-39040.686401988612</v>
      </c>
      <c r="T65">
        <f t="shared" ref="T65" si="304">S65/1000</f>
        <v>-39.040686401988616</v>
      </c>
    </row>
    <row r="66" spans="1:20" x14ac:dyDescent="0.25">
      <c r="A66" s="5">
        <v>44527</v>
      </c>
      <c r="B66">
        <v>9.6640000000000004E-2</v>
      </c>
      <c r="C66">
        <v>0.10858</v>
      </c>
      <c r="D66">
        <v>9.4049999999999995E-2</v>
      </c>
      <c r="E66">
        <v>0.10135</v>
      </c>
      <c r="F66">
        <v>75599168</v>
      </c>
      <c r="G66">
        <v>0.10135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4.8176187198899247E-3</v>
      </c>
      <c r="Q66">
        <f t="shared" ref="Q66" si="306">F66*P66</f>
        <v>364207.96696490335</v>
      </c>
      <c r="R66">
        <f t="shared" ref="R66" si="307">R67+Q66</f>
        <v>-3920646380.4422345</v>
      </c>
      <c r="S66">
        <f t="shared" ref="S66" si="308">R66/100000</f>
        <v>-39206.463804422347</v>
      </c>
      <c r="T66">
        <f t="shared" ref="T66" si="309">S66/1000</f>
        <v>-39.206463804422349</v>
      </c>
    </row>
    <row r="67" spans="1:20" x14ac:dyDescent="0.25">
      <c r="A67" s="5">
        <v>44526</v>
      </c>
      <c r="B67">
        <v>9.9220000000000003E-2</v>
      </c>
      <c r="C67">
        <v>0.11494</v>
      </c>
      <c r="D67">
        <v>8.8859999999999995E-2</v>
      </c>
      <c r="E67">
        <v>9.6519999999999995E-2</v>
      </c>
      <c r="F67">
        <v>128077384.90000001</v>
      </c>
      <c r="G67">
        <v>9.6519999999999995E-2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-0.41257668711656453</v>
      </c>
      <c r="Q67">
        <f t="shared" ref="Q67" si="311">F67*P67</f>
        <v>-52841743.156595111</v>
      </c>
      <c r="R67">
        <f t="shared" ref="R67" si="312">R68+Q67</f>
        <v>-3921010588.4091992</v>
      </c>
      <c r="S67">
        <f t="shared" ref="S67" si="313">R67/100000</f>
        <v>-39210.105884091994</v>
      </c>
      <c r="T67">
        <f t="shared" ref="T67" si="314">S67/1000</f>
        <v>-39.210105884091995</v>
      </c>
    </row>
    <row r="68" spans="1:20" x14ac:dyDescent="0.25">
      <c r="A68" s="5">
        <v>44525</v>
      </c>
      <c r="B68">
        <v>0.10119</v>
      </c>
      <c r="C68">
        <v>0.10385999999999999</v>
      </c>
      <c r="D68">
        <v>9.6540000000000001E-2</v>
      </c>
      <c r="E68">
        <v>9.9330000000000002E-2</v>
      </c>
      <c r="F68">
        <v>59238425.600000001</v>
      </c>
      <c r="G68">
        <v>9.9330000000000002E-2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-0.23770491803278596</v>
      </c>
      <c r="Q68">
        <f t="shared" ref="Q68" si="316">F68*P68</f>
        <v>-14081265.101639289</v>
      </c>
      <c r="R68">
        <f t="shared" ref="R68" si="317">R69+Q68</f>
        <v>-3868168845.252604</v>
      </c>
      <c r="S68">
        <f t="shared" ref="S68" si="318">R68/100000</f>
        <v>-38681.688452526039</v>
      </c>
      <c r="T68">
        <f t="shared" ref="T68" si="319">S68/1000</f>
        <v>-38.681688452526039</v>
      </c>
    </row>
    <row r="69" spans="1:20" x14ac:dyDescent="0.25">
      <c r="A69" s="5">
        <v>44524</v>
      </c>
      <c r="B69">
        <v>9.7589999999999996E-2</v>
      </c>
      <c r="C69">
        <v>0.10748000000000001</v>
      </c>
      <c r="D69">
        <v>9.7449999999999995E-2</v>
      </c>
      <c r="E69">
        <v>0.10366</v>
      </c>
      <c r="F69">
        <v>42872356.799999997</v>
      </c>
      <c r="G69">
        <v>0.10366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0.23828514456630115</v>
      </c>
      <c r="Q69">
        <f t="shared" ref="Q69" si="321">F69*P69</f>
        <v>10215845.737986043</v>
      </c>
      <c r="R69">
        <f t="shared" ref="R69" si="322">R70+Q69</f>
        <v>-3854087580.1509647</v>
      </c>
      <c r="S69">
        <f t="shared" ref="S69" si="323">R69/100000</f>
        <v>-38540.875801509646</v>
      </c>
      <c r="T69">
        <f t="shared" ref="T69" si="324">S69/1000</f>
        <v>-38.54087580150965</v>
      </c>
    </row>
    <row r="70" spans="1:20" x14ac:dyDescent="0.25">
      <c r="A70" s="5">
        <v>44523</v>
      </c>
      <c r="B70">
        <v>0.10127</v>
      </c>
      <c r="C70">
        <v>0.10384</v>
      </c>
      <c r="D70">
        <v>9.2499999999999999E-2</v>
      </c>
      <c r="E70">
        <v>9.7559999999999994E-2</v>
      </c>
      <c r="F70">
        <v>88932605.099999994</v>
      </c>
      <c r="G70">
        <v>9.7559999999999994E-2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-0.10758377425044201</v>
      </c>
      <c r="Q70">
        <f t="shared" ref="Q70" si="326">F70*P70</f>
        <v>-9567705.3105821069</v>
      </c>
      <c r="R70">
        <f t="shared" ref="R70" si="327">R71+Q70</f>
        <v>-3864303425.8889508</v>
      </c>
      <c r="S70">
        <f t="shared" ref="S70" si="328">R70/100000</f>
        <v>-38643.034258889507</v>
      </c>
      <c r="T70">
        <f t="shared" ref="T70" si="329">S70/1000</f>
        <v>-38.643034258889507</v>
      </c>
    </row>
    <row r="71" spans="1:20" x14ac:dyDescent="0.25">
      <c r="A71" s="5">
        <v>44522</v>
      </c>
      <c r="B71">
        <v>0.11752</v>
      </c>
      <c r="C71">
        <v>0.11752</v>
      </c>
      <c r="D71">
        <v>9.7159999999999996E-2</v>
      </c>
      <c r="E71">
        <v>0.10133</v>
      </c>
      <c r="F71">
        <v>193516217.5</v>
      </c>
      <c r="G71">
        <v>0.10133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-0.59037328094302488</v>
      </c>
      <c r="Q71">
        <f t="shared" ref="Q71" si="331">F71*P71</f>
        <v>-114246804.24115901</v>
      </c>
      <c r="R71">
        <f t="shared" ref="R71" si="332">R72+Q71</f>
        <v>-3854735720.5783687</v>
      </c>
      <c r="S71">
        <f t="shared" ref="S71" si="333">R71/100000</f>
        <v>-38547.357205783686</v>
      </c>
      <c r="T71">
        <f t="shared" ref="T71" si="334">S71/1000</f>
        <v>-38.547357205783683</v>
      </c>
    </row>
    <row r="72" spans="1:20" x14ac:dyDescent="0.25">
      <c r="A72" s="5">
        <v>44521</v>
      </c>
      <c r="B72">
        <v>9.3859999999999999E-2</v>
      </c>
      <c r="C72">
        <v>0.17097000000000001</v>
      </c>
      <c r="D72">
        <v>9.0999999999999998E-2</v>
      </c>
      <c r="E72">
        <v>0.11700000000000001</v>
      </c>
      <c r="F72">
        <v>1479092976.5999999</v>
      </c>
      <c r="G72">
        <v>0.11700000000000001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-0.34975615855945968</v>
      </c>
      <c r="Q72">
        <f t="shared" ref="Q72" si="336">F72*P72</f>
        <v>-517321877.64789277</v>
      </c>
      <c r="R72">
        <f t="shared" ref="R72" si="337">R73+Q72</f>
        <v>-3740488916.3372097</v>
      </c>
      <c r="S72">
        <f t="shared" ref="S72" si="338">R72/100000</f>
        <v>-37404.8891633721</v>
      </c>
      <c r="T72">
        <f t="shared" ref="T72" si="339">S72/1000</f>
        <v>-37.404889163372097</v>
      </c>
    </row>
    <row r="73" spans="1:20" x14ac:dyDescent="0.25">
      <c r="A73" s="5">
        <v>44520</v>
      </c>
      <c r="B73">
        <v>8.0170000000000005E-2</v>
      </c>
      <c r="C73">
        <v>0.1</v>
      </c>
      <c r="D73">
        <v>7.8460000000000002E-2</v>
      </c>
      <c r="E73">
        <v>9.3539999999999998E-2</v>
      </c>
      <c r="F73">
        <v>63804325</v>
      </c>
      <c r="G73">
        <v>9.3539999999999998E-2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0.40018570102135503</v>
      </c>
      <c r="Q73">
        <f t="shared" ref="Q73" si="341">F73*P73</f>
        <v>25533578.52831937</v>
      </c>
      <c r="R73">
        <f t="shared" ref="R73" si="342">R74+Q73</f>
        <v>-3223167038.6893167</v>
      </c>
      <c r="S73">
        <f t="shared" ref="S73" si="343">R73/100000</f>
        <v>-32231.670386893169</v>
      </c>
      <c r="T73">
        <f t="shared" ref="T73" si="344">S73/1000</f>
        <v>-32.231670386893171</v>
      </c>
    </row>
    <row r="74" spans="1:20" x14ac:dyDescent="0.25">
      <c r="A74" s="5">
        <v>44519</v>
      </c>
      <c r="B74">
        <v>7.6160000000000005E-2</v>
      </c>
      <c r="C74">
        <v>8.1019999999999995E-2</v>
      </c>
      <c r="D74">
        <v>7.2929999999999995E-2</v>
      </c>
      <c r="E74">
        <v>8.0170000000000005E-2</v>
      </c>
      <c r="F74">
        <v>13473626.300000001</v>
      </c>
      <c r="G74">
        <v>8.0170000000000005E-2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0.78986402966625724</v>
      </c>
      <c r="Q74">
        <f t="shared" ref="Q74" si="346">F74*P74</f>
        <v>10642332.763535265</v>
      </c>
      <c r="R74">
        <f t="shared" ref="R74" si="347">R75+Q74</f>
        <v>-3248700617.2176361</v>
      </c>
      <c r="S74">
        <f t="shared" ref="S74" si="348">R74/100000</f>
        <v>-32487.00617217636</v>
      </c>
      <c r="T74">
        <f t="shared" ref="T74" si="349">S74/1000</f>
        <v>-32.487006172176358</v>
      </c>
    </row>
    <row r="75" spans="1:20" x14ac:dyDescent="0.25">
      <c r="A75" s="5">
        <v>44518</v>
      </c>
      <c r="B75">
        <v>8.4580000000000002E-2</v>
      </c>
      <c r="C75">
        <v>8.5540000000000005E-2</v>
      </c>
      <c r="D75">
        <v>7.4999999999999997E-2</v>
      </c>
      <c r="E75">
        <v>7.6069999999999999E-2</v>
      </c>
      <c r="F75">
        <v>16176936.1</v>
      </c>
      <c r="G75">
        <v>7.6069999999999999E-2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-0.79696394686907002</v>
      </c>
      <c r="Q75">
        <f t="shared" ref="Q75" si="351">F75*P75</f>
        <v>-12892434.84250474</v>
      </c>
      <c r="R75">
        <f t="shared" ref="R75" si="352">R76+Q75</f>
        <v>-3259342949.9811716</v>
      </c>
      <c r="S75">
        <f t="shared" ref="S75" si="353">R75/100000</f>
        <v>-32593.429499811715</v>
      </c>
      <c r="T75">
        <f t="shared" ref="T75" si="354">S75/1000</f>
        <v>-32.593429499811712</v>
      </c>
    </row>
    <row r="76" spans="1:20" x14ac:dyDescent="0.25">
      <c r="A76" s="5">
        <v>44517</v>
      </c>
      <c r="B76">
        <v>8.4500000000000006E-2</v>
      </c>
      <c r="C76">
        <v>8.6779999999999996E-2</v>
      </c>
      <c r="D76">
        <v>8.133E-2</v>
      </c>
      <c r="E76">
        <v>8.4580000000000002E-2</v>
      </c>
      <c r="F76">
        <v>10476790</v>
      </c>
      <c r="G76">
        <v>8.4580000000000002E-2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0.19266055045871741</v>
      </c>
      <c r="Q76">
        <f t="shared" ref="Q76" si="356">F76*P76</f>
        <v>2018464.1284403859</v>
      </c>
      <c r="R76">
        <f t="shared" ref="R76" si="357">R77+Q76</f>
        <v>-3246450515.1386671</v>
      </c>
      <c r="S76">
        <f t="shared" ref="S76" si="358">R76/100000</f>
        <v>-32464.505151386671</v>
      </c>
      <c r="T76">
        <f t="shared" ref="T76" si="359">S76/1000</f>
        <v>-32.464505151386668</v>
      </c>
    </row>
    <row r="77" spans="1:20" x14ac:dyDescent="0.25">
      <c r="A77" s="5">
        <v>44516</v>
      </c>
      <c r="B77">
        <v>9.2660000000000006E-2</v>
      </c>
      <c r="C77">
        <v>9.2660000000000006E-2</v>
      </c>
      <c r="D77">
        <v>8.133E-2</v>
      </c>
      <c r="E77">
        <v>8.4750000000000006E-2</v>
      </c>
      <c r="F77">
        <v>14599810.800000001</v>
      </c>
      <c r="G77">
        <v>8.4750000000000006E-2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-0.39629302736098776</v>
      </c>
      <c r="Q77">
        <f t="shared" ref="Q77" si="361">F77*P77</f>
        <v>-5785803.2208296452</v>
      </c>
      <c r="R77">
        <f t="shared" ref="R77" si="362">R78+Q77</f>
        <v>-3248468979.2671075</v>
      </c>
      <c r="S77">
        <f t="shared" ref="S77" si="363">R77/100000</f>
        <v>-32484.689792671074</v>
      </c>
      <c r="T77">
        <f t="shared" ref="T77" si="364">S77/1000</f>
        <v>-32.484689792671077</v>
      </c>
    </row>
    <row r="78" spans="1:20" x14ac:dyDescent="0.25">
      <c r="A78" s="5">
        <v>44515</v>
      </c>
      <c r="B78">
        <v>9.5850000000000005E-2</v>
      </c>
      <c r="C78">
        <v>9.8000000000000004E-2</v>
      </c>
      <c r="D78">
        <v>9.1800000000000007E-2</v>
      </c>
      <c r="E78">
        <v>9.2509999999999995E-2</v>
      </c>
      <c r="F78">
        <v>15853024.300000001</v>
      </c>
      <c r="G78">
        <v>9.2509999999999995E-2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-0.77096774193548745</v>
      </c>
      <c r="Q78">
        <f t="shared" ref="Q78" si="366">F78*P78</f>
        <v>-12222170.347419413</v>
      </c>
      <c r="R78">
        <f t="shared" ref="R78" si="367">R79+Q78</f>
        <v>-3242683176.046278</v>
      </c>
      <c r="S78">
        <f t="shared" ref="S78" si="368">R78/100000</f>
        <v>-32426.831760462781</v>
      </c>
      <c r="T78">
        <f t="shared" ref="T78" si="369">S78/1000</f>
        <v>-32.426831760462782</v>
      </c>
    </row>
    <row r="79" spans="1:20" x14ac:dyDescent="0.25">
      <c r="A79" s="5">
        <v>44514</v>
      </c>
      <c r="B79">
        <v>9.2780000000000001E-2</v>
      </c>
      <c r="C79">
        <v>9.6640000000000004E-2</v>
      </c>
      <c r="D79">
        <v>9.1679999999999998E-2</v>
      </c>
      <c r="E79">
        <v>9.5850000000000005E-2</v>
      </c>
      <c r="F79">
        <v>26234863</v>
      </c>
      <c r="G79">
        <v>9.5850000000000005E-2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0.68145161290322653</v>
      </c>
      <c r="Q79">
        <f t="shared" ref="Q79" si="371">F79*P79</f>
        <v>17877789.705645181</v>
      </c>
      <c r="R79">
        <f t="shared" ref="R79" si="372">R80+Q79</f>
        <v>-3230461005.6988587</v>
      </c>
      <c r="S79">
        <f t="shared" ref="S79" si="373">R79/100000</f>
        <v>-32304.610056988586</v>
      </c>
      <c r="T79">
        <f t="shared" ref="T79" si="374">S79/1000</f>
        <v>-32.304610056988587</v>
      </c>
    </row>
    <row r="80" spans="1:20" x14ac:dyDescent="0.25">
      <c r="A80" s="5">
        <v>44513</v>
      </c>
      <c r="B80">
        <v>9.2730000000000007E-2</v>
      </c>
      <c r="C80">
        <v>9.3799999999999994E-2</v>
      </c>
      <c r="D80">
        <v>9.0889999999999999E-2</v>
      </c>
      <c r="E80">
        <v>9.257E-2</v>
      </c>
      <c r="F80">
        <v>18941169.5</v>
      </c>
      <c r="G80">
        <v>9.257E-2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0.15463917525773421</v>
      </c>
      <c r="Q80">
        <f t="shared" ref="Q80" si="376">F80*P80</f>
        <v>2929046.8298969497</v>
      </c>
      <c r="R80">
        <f t="shared" ref="R80" si="377">R81+Q80</f>
        <v>-3248338795.4045038</v>
      </c>
      <c r="S80">
        <f t="shared" ref="S80" si="378">R80/100000</f>
        <v>-32483.38795404504</v>
      </c>
      <c r="T80">
        <f t="shared" ref="T80" si="379">S80/1000</f>
        <v>-32.483387954045043</v>
      </c>
    </row>
    <row r="81" spans="1:20" x14ac:dyDescent="0.25">
      <c r="A81" s="5">
        <v>44512</v>
      </c>
      <c r="B81">
        <v>9.5920000000000005E-2</v>
      </c>
      <c r="C81">
        <v>9.7000000000000003E-2</v>
      </c>
      <c r="D81">
        <v>8.9990000000000001E-2</v>
      </c>
      <c r="E81">
        <v>9.2740000000000003E-2</v>
      </c>
      <c r="F81">
        <v>14317111.800000001</v>
      </c>
      <c r="G81">
        <v>9.2740000000000003E-2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-0.21540656205420783</v>
      </c>
      <c r="Q81">
        <f t="shared" ref="Q81" si="381">F81*P81</f>
        <v>-3083999.8313837312</v>
      </c>
      <c r="R81">
        <f t="shared" ref="R81" si="382">R82+Q81</f>
        <v>-3251267842.2344007</v>
      </c>
      <c r="S81">
        <f t="shared" ref="S81" si="383">R81/100000</f>
        <v>-32512.678422344008</v>
      </c>
      <c r="T81">
        <f t="shared" ref="T81" si="384">S81/1000</f>
        <v>-32.51267842234401</v>
      </c>
    </row>
    <row r="82" spans="1:20" x14ac:dyDescent="0.25">
      <c r="A82" s="5">
        <v>44511</v>
      </c>
      <c r="B82">
        <v>8.9609999999999995E-2</v>
      </c>
      <c r="C82">
        <v>0.1</v>
      </c>
      <c r="D82">
        <v>8.677E-2</v>
      </c>
      <c r="E82">
        <v>9.5920000000000005E-2</v>
      </c>
      <c r="F82">
        <v>22494127</v>
      </c>
      <c r="G82">
        <v>9.5920000000000005E-2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0.38321995464852632</v>
      </c>
      <c r="Q82">
        <f t="shared" ref="Q82" si="386">F82*P82</f>
        <v>8620198.3287981916</v>
      </c>
      <c r="R82">
        <f t="shared" ref="R82" si="387">R83+Q82</f>
        <v>-3248183842.403017</v>
      </c>
      <c r="S82">
        <f t="shared" ref="S82" si="388">R82/100000</f>
        <v>-32481.838424030171</v>
      </c>
      <c r="T82">
        <f t="shared" ref="T82" si="389">S82/1000</f>
        <v>-32.481838424030173</v>
      </c>
    </row>
    <row r="83" spans="1:20" x14ac:dyDescent="0.25">
      <c r="A83" s="5">
        <v>44510</v>
      </c>
      <c r="B83">
        <v>9.7299999999999998E-2</v>
      </c>
      <c r="C83">
        <v>9.9500000000000005E-2</v>
      </c>
      <c r="D83">
        <v>8.548E-2</v>
      </c>
      <c r="E83">
        <v>8.9609999999999995E-2</v>
      </c>
      <c r="F83">
        <v>28468550.600000001</v>
      </c>
      <c r="G83">
        <v>8.9609999999999995E-2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-0.41084165477888823</v>
      </c>
      <c r="Q83">
        <f t="shared" ref="Q83" si="391">F83*P83</f>
        <v>-11696066.437660512</v>
      </c>
      <c r="R83">
        <f t="shared" ref="R83" si="392">R84+Q83</f>
        <v>-3256804040.7318153</v>
      </c>
      <c r="S83">
        <f t="shared" ref="S83" si="393">R83/100000</f>
        <v>-32568.040407318153</v>
      </c>
      <c r="T83">
        <f t="shared" ref="T83" si="394">S83/1000</f>
        <v>-32.568040407318151</v>
      </c>
    </row>
    <row r="84" spans="1:20" x14ac:dyDescent="0.25">
      <c r="A84" s="5">
        <v>44509</v>
      </c>
      <c r="B84">
        <v>9.7430000000000003E-2</v>
      </c>
      <c r="C84">
        <v>0.10339</v>
      </c>
      <c r="D84">
        <v>9.6170000000000005E-2</v>
      </c>
      <c r="E84">
        <v>9.715E-2</v>
      </c>
      <c r="F84">
        <v>26043510.699999999</v>
      </c>
      <c r="G84">
        <v>9.715E-2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-0.72853185595567971</v>
      </c>
      <c r="Q84">
        <f t="shared" ref="Q84" si="396">F84*P84</f>
        <v>-18973527.185872603</v>
      </c>
      <c r="R84">
        <f t="shared" ref="R84" si="397">R85+Q84</f>
        <v>-3245107974.2941546</v>
      </c>
      <c r="S84">
        <f t="shared" ref="S84" si="398">R84/100000</f>
        <v>-32451.079742941547</v>
      </c>
      <c r="T84">
        <f t="shared" ref="T84" si="399">S84/1000</f>
        <v>-32.451079742941545</v>
      </c>
    </row>
    <row r="85" spans="1:20" x14ac:dyDescent="0.25">
      <c r="A85" s="5">
        <v>44508</v>
      </c>
      <c r="B85">
        <v>9.3490000000000004E-2</v>
      </c>
      <c r="C85">
        <v>0.11199000000000001</v>
      </c>
      <c r="D85">
        <v>9.2200000000000004E-2</v>
      </c>
      <c r="E85">
        <v>9.7000000000000003E-2</v>
      </c>
      <c r="F85">
        <v>97640291.299999997</v>
      </c>
      <c r="G85">
        <v>9.7000000000000003E-2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-0.51490651844365865</v>
      </c>
      <c r="Q85">
        <f t="shared" ref="Q85" si="401">F85*P85</f>
        <v>-50275622.453107648</v>
      </c>
      <c r="R85">
        <f t="shared" ref="R85" si="402">R86+Q85</f>
        <v>-3226134447.1082821</v>
      </c>
      <c r="S85">
        <f t="shared" ref="S85" si="403">R85/100000</f>
        <v>-32261.344471082823</v>
      </c>
      <c r="T85">
        <f t="shared" ref="T85" si="404">S85/1000</f>
        <v>-32.261344471082822</v>
      </c>
    </row>
    <row r="86" spans="1:20" x14ac:dyDescent="0.25">
      <c r="A86" s="5">
        <v>44507</v>
      </c>
      <c r="B86">
        <v>8.9260000000000006E-2</v>
      </c>
      <c r="C86">
        <v>9.4329999999999997E-2</v>
      </c>
      <c r="D86">
        <v>8.8099999999999998E-2</v>
      </c>
      <c r="E86">
        <v>9.3490000000000004E-2</v>
      </c>
      <c r="F86">
        <v>18009140.100000001</v>
      </c>
      <c r="G86">
        <v>9.3490000000000004E-2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0.7303370786516874</v>
      </c>
      <c r="Q86">
        <f t="shared" ref="Q86" si="406">F86*P86</f>
        <v>13152742.769662958</v>
      </c>
      <c r="R86">
        <f t="shared" ref="R86" si="407">R87+Q86</f>
        <v>-3175858824.6551743</v>
      </c>
      <c r="S86">
        <f t="shared" ref="S86" si="408">R86/100000</f>
        <v>-31758.588246551742</v>
      </c>
      <c r="T86">
        <f t="shared" ref="T86" si="409">S86/1000</f>
        <v>-31.758588246551742</v>
      </c>
    </row>
    <row r="87" spans="1:20" x14ac:dyDescent="0.25">
      <c r="A87" s="5">
        <v>44506</v>
      </c>
      <c r="B87">
        <v>9.1130000000000003E-2</v>
      </c>
      <c r="C87">
        <v>9.2149999999999996E-2</v>
      </c>
      <c r="D87">
        <v>8.7080000000000005E-2</v>
      </c>
      <c r="E87">
        <v>8.9230000000000004E-2</v>
      </c>
      <c r="F87">
        <v>13756073</v>
      </c>
      <c r="G87">
        <v>8.9230000000000004E-2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-0.1518737672583815</v>
      </c>
      <c r="Q87">
        <f t="shared" ref="Q87" si="411">F87*P87</f>
        <v>-2089186.6291913057</v>
      </c>
      <c r="R87">
        <f t="shared" ref="R87" si="412">R88+Q87</f>
        <v>-3189011567.4248371</v>
      </c>
      <c r="S87">
        <f t="shared" ref="S87" si="413">R87/100000</f>
        <v>-31890.115674248373</v>
      </c>
      <c r="T87">
        <f t="shared" ref="T87" si="414">S87/1000</f>
        <v>-31.890115674248374</v>
      </c>
    </row>
    <row r="88" spans="1:20" x14ac:dyDescent="0.25">
      <c r="A88" s="5">
        <v>44505</v>
      </c>
      <c r="B88">
        <v>9.2450000000000004E-2</v>
      </c>
      <c r="C88">
        <v>9.4759999999999997E-2</v>
      </c>
      <c r="D88">
        <v>0.09</v>
      </c>
      <c r="E88">
        <v>9.103E-2</v>
      </c>
      <c r="F88">
        <v>19008362.399999999</v>
      </c>
      <c r="G88">
        <v>9.103E-2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-0.56722689075630128</v>
      </c>
      <c r="Q88">
        <f t="shared" ref="Q88" si="416">F88*P88</f>
        <v>-10782054.302520985</v>
      </c>
      <c r="R88">
        <f t="shared" ref="R88" si="417">R89+Q88</f>
        <v>-3186922380.7956457</v>
      </c>
      <c r="S88">
        <f t="shared" ref="S88" si="418">R88/100000</f>
        <v>-31869.223807956456</v>
      </c>
      <c r="T88">
        <f t="shared" ref="T88" si="419">S88/1000</f>
        <v>-31.869223807956455</v>
      </c>
    </row>
    <row r="89" spans="1:20" x14ac:dyDescent="0.25">
      <c r="A89" s="5">
        <v>44504</v>
      </c>
      <c r="B89">
        <v>9.8500000000000004E-2</v>
      </c>
      <c r="C89">
        <v>9.8890000000000006E-2</v>
      </c>
      <c r="D89">
        <v>9.0139999999999998E-2</v>
      </c>
      <c r="E89">
        <v>9.2450000000000004E-2</v>
      </c>
      <c r="F89">
        <v>34217931.600000001</v>
      </c>
      <c r="G89">
        <v>9.2450000000000004E-2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-0.47199999999999898</v>
      </c>
      <c r="Q89">
        <f t="shared" ref="Q89" si="421">F89*P89</f>
        <v>-16150863.715199966</v>
      </c>
      <c r="R89">
        <f t="shared" ref="R89" si="422">R90+Q89</f>
        <v>-3176140326.493125</v>
      </c>
      <c r="S89">
        <f t="shared" ref="S89" si="423">R89/100000</f>
        <v>-31761.40326493125</v>
      </c>
      <c r="T89">
        <f t="shared" ref="T89" si="424">S89/1000</f>
        <v>-31.76140326493125</v>
      </c>
    </row>
    <row r="90" spans="1:20" x14ac:dyDescent="0.25">
      <c r="A90" s="5">
        <v>44503</v>
      </c>
      <c r="B90">
        <v>9.178E-2</v>
      </c>
      <c r="C90">
        <v>0.106</v>
      </c>
      <c r="D90">
        <v>9.0020000000000003E-2</v>
      </c>
      <c r="E90">
        <v>9.8500000000000004E-2</v>
      </c>
      <c r="F90">
        <v>63233947.200000003</v>
      </c>
      <c r="G90">
        <v>9.8500000000000004E-2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6.1326658322904196E-2</v>
      </c>
      <c r="Q90">
        <f t="shared" ref="Q90" si="426">F90*P90</f>
        <v>3877926.6743429648</v>
      </c>
      <c r="R90">
        <f t="shared" ref="R90" si="427">R91+Q90</f>
        <v>-3159989462.777925</v>
      </c>
      <c r="S90">
        <f t="shared" ref="S90" si="428">R90/100000</f>
        <v>-31599.894627779249</v>
      </c>
      <c r="T90">
        <f t="shared" ref="T90" si="429">S90/1000</f>
        <v>-31.59989462777925</v>
      </c>
    </row>
    <row r="91" spans="1:20" x14ac:dyDescent="0.25">
      <c r="A91" s="5">
        <v>44502</v>
      </c>
      <c r="B91">
        <v>8.8539999999999994E-2</v>
      </c>
      <c r="C91">
        <v>9.4700000000000006E-2</v>
      </c>
      <c r="D91">
        <v>8.8010000000000005E-2</v>
      </c>
      <c r="E91">
        <v>9.1630000000000003E-2</v>
      </c>
      <c r="F91">
        <v>25445793.399999999</v>
      </c>
      <c r="G91">
        <v>9.1630000000000003E-2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8.2212257100148706E-2</v>
      </c>
      <c r="Q91">
        <f t="shared" ref="Q91" si="431">F91*P91</f>
        <v>2091956.109118067</v>
      </c>
      <c r="R91">
        <f t="shared" ref="R91" si="432">R92+Q91</f>
        <v>-3163867389.4522681</v>
      </c>
      <c r="S91">
        <f t="shared" ref="S91" si="433">R91/100000</f>
        <v>-31638.673894522683</v>
      </c>
      <c r="T91">
        <f t="shared" ref="T91" si="434">S91/1000</f>
        <v>-31.638673894522682</v>
      </c>
    </row>
    <row r="92" spans="1:20" x14ac:dyDescent="0.25">
      <c r="A92" s="5">
        <v>44501</v>
      </c>
      <c r="B92">
        <v>8.8580000000000006E-2</v>
      </c>
      <c r="C92">
        <v>9.1499999999999998E-2</v>
      </c>
      <c r="D92">
        <v>8.5379999999999998E-2</v>
      </c>
      <c r="E92">
        <v>8.8590000000000002E-2</v>
      </c>
      <c r="F92">
        <v>16776195.4</v>
      </c>
      <c r="G92">
        <v>8.8590000000000002E-2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4.9019607843138656E-2</v>
      </c>
      <c r="Q92">
        <f t="shared" ref="Q92" si="436">F92*P92</f>
        <v>822362.51960786665</v>
      </c>
      <c r="R92">
        <f t="shared" ref="R92" si="437">R93+Q92</f>
        <v>-3165959345.5613861</v>
      </c>
      <c r="S92">
        <f t="shared" ref="S92" si="438">R92/100000</f>
        <v>-31659.59345561386</v>
      </c>
      <c r="T92">
        <f t="shared" ref="T92" si="439">S92/1000</f>
        <v>-31.659593455613859</v>
      </c>
    </row>
    <row r="93" spans="1:20" x14ac:dyDescent="0.25">
      <c r="A93" s="5">
        <v>44500</v>
      </c>
      <c r="B93">
        <v>8.7529999999999997E-2</v>
      </c>
      <c r="C93">
        <v>9.1840000000000005E-2</v>
      </c>
      <c r="D93">
        <v>8.5610000000000006E-2</v>
      </c>
      <c r="E93">
        <v>8.8440000000000005E-2</v>
      </c>
      <c r="F93">
        <v>30408415.199999999</v>
      </c>
      <c r="G93">
        <v>8.8440000000000005E-2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-9.1492776886035493E-2</v>
      </c>
      <c r="Q93">
        <f t="shared" ref="Q93" si="441">F93*P93</f>
        <v>-2782150.3473515301</v>
      </c>
      <c r="R93">
        <f t="shared" ref="R93" si="442">R94+Q93</f>
        <v>-3166781708.0809941</v>
      </c>
      <c r="S93">
        <f t="shared" ref="S93" si="443">R93/100000</f>
        <v>-31667.817080809942</v>
      </c>
      <c r="T93">
        <f t="shared" ref="T93" si="444">S93/1000</f>
        <v>-31.667817080809943</v>
      </c>
    </row>
    <row r="94" spans="1:20" x14ac:dyDescent="0.25">
      <c r="A94" s="5">
        <v>44499</v>
      </c>
      <c r="B94">
        <v>8.6809999999999998E-2</v>
      </c>
      <c r="C94">
        <v>8.9880000000000002E-2</v>
      </c>
      <c r="D94">
        <v>8.6050000000000001E-2</v>
      </c>
      <c r="E94">
        <v>8.7470000000000006E-2</v>
      </c>
      <c r="F94">
        <v>12562720.699999999</v>
      </c>
      <c r="G94">
        <v>8.7470000000000006E-2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-0.2584856396866817</v>
      </c>
      <c r="Q94">
        <f t="shared" ref="Q94" si="446">F94*P94</f>
        <v>-3247282.8963446175</v>
      </c>
      <c r="R94">
        <f t="shared" ref="R94" si="447">R95+Q94</f>
        <v>-3163999557.7336426</v>
      </c>
      <c r="S94">
        <f t="shared" ref="S94" si="448">R94/100000</f>
        <v>-31639.995577336427</v>
      </c>
      <c r="T94">
        <f t="shared" ref="T94" si="449">S94/1000</f>
        <v>-31.639995577336428</v>
      </c>
    </row>
    <row r="95" spans="1:20" x14ac:dyDescent="0.25">
      <c r="A95" s="5">
        <v>44498</v>
      </c>
      <c r="B95">
        <v>8.4059999999999996E-2</v>
      </c>
      <c r="C95">
        <v>9.0630000000000002E-2</v>
      </c>
      <c r="D95">
        <v>8.3330000000000001E-2</v>
      </c>
      <c r="E95">
        <v>8.6779999999999996E-2</v>
      </c>
      <c r="F95">
        <v>22858718.199999999</v>
      </c>
      <c r="G95">
        <v>8.6779999999999996E-2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-5.4794520547946771E-2</v>
      </c>
      <c r="Q95">
        <f t="shared" ref="Q95" si="451">F95*P95</f>
        <v>-1252532.5041096248</v>
      </c>
      <c r="R95">
        <f t="shared" ref="R95" si="452">R96+Q95</f>
        <v>-3160752274.8372979</v>
      </c>
      <c r="S95">
        <f t="shared" ref="S95" si="453">R95/100000</f>
        <v>-31607.52274837298</v>
      </c>
      <c r="T95">
        <f t="shared" ref="T95" si="454">S95/1000</f>
        <v>-31.607522748372979</v>
      </c>
    </row>
    <row r="96" spans="1:20" x14ac:dyDescent="0.25">
      <c r="A96" s="5">
        <v>44497</v>
      </c>
      <c r="B96">
        <v>8.1409999999999996E-2</v>
      </c>
      <c r="C96">
        <v>8.6120000000000002E-2</v>
      </c>
      <c r="D96">
        <v>8.0350000000000005E-2</v>
      </c>
      <c r="E96">
        <v>8.3900000000000002E-2</v>
      </c>
      <c r="F96">
        <v>12813564.300000001</v>
      </c>
      <c r="G96">
        <v>8.3900000000000002E-2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0.23050259965337927</v>
      </c>
      <c r="Q96">
        <f t="shared" ref="Q96" si="456">F96*P96</f>
        <v>2953559.8819757332</v>
      </c>
      <c r="R96">
        <f t="shared" ref="R96" si="457">R97+Q96</f>
        <v>-3159499742.3331881</v>
      </c>
      <c r="S96">
        <f t="shared" ref="S96" si="458">R96/100000</f>
        <v>-31594.997423331879</v>
      </c>
      <c r="T96">
        <f t="shared" ref="T96" si="459">S96/1000</f>
        <v>-31.594997423331879</v>
      </c>
    </row>
    <row r="97" spans="1:20" x14ac:dyDescent="0.25">
      <c r="A97" s="5">
        <v>44496</v>
      </c>
      <c r="B97">
        <v>9.085E-2</v>
      </c>
      <c r="C97">
        <v>9.2060000000000003E-2</v>
      </c>
      <c r="D97">
        <v>7.9500000000000001E-2</v>
      </c>
      <c r="E97">
        <v>8.1519999999999995E-2</v>
      </c>
      <c r="F97">
        <v>20636949.699999999</v>
      </c>
      <c r="G97">
        <v>8.1519999999999995E-2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-0.67834394904458695</v>
      </c>
      <c r="Q97">
        <f t="shared" ref="Q97" si="461">F97*P97</f>
        <v>-13998949.955732504</v>
      </c>
      <c r="R97">
        <f t="shared" ref="R97" si="462">R98+Q97</f>
        <v>-3162453302.2151637</v>
      </c>
      <c r="S97">
        <f t="shared" ref="S97" si="463">R97/100000</f>
        <v>-31624.533022151638</v>
      </c>
      <c r="T97">
        <f t="shared" ref="T97" si="464">S97/1000</f>
        <v>-31.624533022151638</v>
      </c>
    </row>
    <row r="98" spans="1:20" x14ac:dyDescent="0.25">
      <c r="A98" s="5">
        <v>44495</v>
      </c>
      <c r="B98">
        <v>9.2130000000000004E-2</v>
      </c>
      <c r="C98">
        <v>9.5920000000000005E-2</v>
      </c>
      <c r="D98">
        <v>0.09</v>
      </c>
      <c r="E98">
        <v>9.0859999999999996E-2</v>
      </c>
      <c r="F98">
        <v>28668940</v>
      </c>
      <c r="G98">
        <v>9.0859999999999996E-2</v>
      </c>
      <c r="L98" t="s">
        <v>7</v>
      </c>
      <c r="M98" t="s">
        <v>8</v>
      </c>
      <c r="N98" t="s">
        <v>7</v>
      </c>
      <c r="P98">
        <f t="shared" ref="P98" si="465">IF(C98=D98,0,((E98-D98)-(C98-E98))/(C98-D98))</f>
        <v>-0.70945945945945998</v>
      </c>
      <c r="Q98">
        <f t="shared" ref="Q98" si="466">F98*P98</f>
        <v>-20339450.67567569</v>
      </c>
      <c r="R98">
        <f t="shared" ref="R98" si="467">R99+Q98</f>
        <v>-3148454352.2594314</v>
      </c>
      <c r="S98">
        <f t="shared" ref="S98" si="468">R98/100000</f>
        <v>-31484.543522594315</v>
      </c>
      <c r="T98">
        <f t="shared" ref="T98" si="469">S98/1000</f>
        <v>-31.484543522594315</v>
      </c>
    </row>
    <row r="99" spans="1:20" x14ac:dyDescent="0.25">
      <c r="A99" s="5">
        <v>44494</v>
      </c>
      <c r="B99">
        <v>9.0249999999999997E-2</v>
      </c>
      <c r="C99">
        <v>9.4240000000000004E-2</v>
      </c>
      <c r="D99">
        <v>8.9569999999999997E-2</v>
      </c>
      <c r="E99">
        <v>9.2130000000000004E-2</v>
      </c>
      <c r="F99">
        <v>22433782</v>
      </c>
      <c r="G99">
        <v>9.2130000000000004E-2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9.6359743040686341E-2</v>
      </c>
      <c r="Q99">
        <f t="shared" ref="Q99" si="471">F99*P99</f>
        <v>2161713.4689507745</v>
      </c>
      <c r="R99">
        <f t="shared" ref="R99" si="472">R100+Q99</f>
        <v>-3128114901.5837555</v>
      </c>
      <c r="S99">
        <f t="shared" ref="S99" si="473">R99/100000</f>
        <v>-31281.149015837556</v>
      </c>
      <c r="T99">
        <f t="shared" ref="T99" si="474">S99/1000</f>
        <v>-31.281149015837556</v>
      </c>
    </row>
    <row r="100" spans="1:20" x14ac:dyDescent="0.25">
      <c r="A100" s="5">
        <v>44493</v>
      </c>
      <c r="B100">
        <v>9.3399999999999997E-2</v>
      </c>
      <c r="C100">
        <v>9.4589999999999994E-2</v>
      </c>
      <c r="D100">
        <v>8.9340000000000003E-2</v>
      </c>
      <c r="E100">
        <v>9.0260000000000007E-2</v>
      </c>
      <c r="F100">
        <v>15335967.699999999</v>
      </c>
      <c r="G100">
        <v>9.0260000000000007E-2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-0.64952380952380728</v>
      </c>
      <c r="Q100">
        <f t="shared" ref="Q100" si="476">F100*P100</f>
        <v>-9961076.1632380597</v>
      </c>
      <c r="R100">
        <f t="shared" ref="R100" si="477">R101+Q100</f>
        <v>-3130276615.0527062</v>
      </c>
      <c r="S100">
        <f t="shared" ref="S100" si="478">R100/100000</f>
        <v>-31302.766150527063</v>
      </c>
      <c r="T100">
        <f t="shared" ref="T100" si="479">S100/1000</f>
        <v>-31.302766150527063</v>
      </c>
    </row>
    <row r="101" spans="1:20" x14ac:dyDescent="0.25">
      <c r="A101" s="5">
        <v>44492</v>
      </c>
      <c r="B101">
        <v>9.1219999999999996E-2</v>
      </c>
      <c r="C101">
        <v>9.7000000000000003E-2</v>
      </c>
      <c r="D101">
        <v>0.09</v>
      </c>
      <c r="E101">
        <v>9.3410000000000007E-2</v>
      </c>
      <c r="F101">
        <v>24672810.199999999</v>
      </c>
      <c r="G101">
        <v>9.3410000000000007E-2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-2.5714285714283653E-2</v>
      </c>
      <c r="Q101">
        <f t="shared" ref="Q101" si="481">F101*P101</f>
        <v>-634443.69085709204</v>
      </c>
      <c r="R101">
        <f t="shared" ref="R101" si="482">R102+Q101</f>
        <v>-3120315538.8894682</v>
      </c>
      <c r="S101">
        <f t="shared" ref="S101" si="483">R101/100000</f>
        <v>-31203.155388894684</v>
      </c>
      <c r="T101">
        <f t="shared" ref="T101" si="484">S101/1000</f>
        <v>-31.203155388894682</v>
      </c>
    </row>
    <row r="102" spans="1:20" x14ac:dyDescent="0.25">
      <c r="A102" s="5">
        <v>44491</v>
      </c>
      <c r="B102">
        <v>9.289E-2</v>
      </c>
      <c r="C102">
        <v>9.5460000000000003E-2</v>
      </c>
      <c r="D102">
        <v>8.9980000000000004E-2</v>
      </c>
      <c r="E102">
        <v>9.1200000000000003E-2</v>
      </c>
      <c r="F102">
        <v>25496914.699999999</v>
      </c>
      <c r="G102">
        <v>9.1200000000000003E-2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-0.55474452554744558</v>
      </c>
      <c r="Q102">
        <f t="shared" ref="Q102" si="486">F102*P102</f>
        <v>-14144273.84817519</v>
      </c>
      <c r="R102">
        <f t="shared" ref="R102" si="487">R103+Q102</f>
        <v>-3119681095.1986113</v>
      </c>
      <c r="S102">
        <f t="shared" ref="S102" si="488">R102/100000</f>
        <v>-31196.810951986114</v>
      </c>
      <c r="T102">
        <f t="shared" ref="T102" si="489">S102/1000</f>
        <v>-31.196810951986112</v>
      </c>
    </row>
    <row r="103" spans="1:20" x14ac:dyDescent="0.25">
      <c r="A103" s="5">
        <v>44490</v>
      </c>
      <c r="B103">
        <v>9.2979999999999993E-2</v>
      </c>
      <c r="C103">
        <v>9.4920000000000004E-2</v>
      </c>
      <c r="D103">
        <v>8.9469999999999994E-2</v>
      </c>
      <c r="E103">
        <v>9.2780000000000001E-2</v>
      </c>
      <c r="F103">
        <v>36780730.799999997</v>
      </c>
      <c r="G103">
        <v>9.2780000000000001E-2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0.21467889908256921</v>
      </c>
      <c r="Q103">
        <f t="shared" ref="Q103" si="491">F103*P103</f>
        <v>7896046.7955963444</v>
      </c>
      <c r="R103">
        <f t="shared" ref="R103" si="492">R104+Q103</f>
        <v>-3105536821.3504362</v>
      </c>
      <c r="S103">
        <f t="shared" ref="S103" si="493">R103/100000</f>
        <v>-31055.368213504364</v>
      </c>
      <c r="T103">
        <f t="shared" ref="T103" si="494">S103/1000</f>
        <v>-31.055368213504362</v>
      </c>
    </row>
    <row r="104" spans="1:20" x14ac:dyDescent="0.25">
      <c r="A104" s="5">
        <v>44489</v>
      </c>
      <c r="B104">
        <v>9.0370000000000006E-2</v>
      </c>
      <c r="C104">
        <v>9.5229999999999995E-2</v>
      </c>
      <c r="D104">
        <v>8.8209999999999997E-2</v>
      </c>
      <c r="E104">
        <v>9.2979999999999993E-2</v>
      </c>
      <c r="F104">
        <v>17714632.600000001</v>
      </c>
      <c r="G104">
        <v>9.2979999999999993E-2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0.35897435897435825</v>
      </c>
      <c r="Q104">
        <f t="shared" ref="Q104" si="496">F104*P104</f>
        <v>6359098.8820512695</v>
      </c>
      <c r="R104">
        <f t="shared" ref="R104" si="497">R105+Q104</f>
        <v>-3113432868.1460323</v>
      </c>
      <c r="S104">
        <f t="shared" ref="S104" si="498">R104/100000</f>
        <v>-31134.328681460323</v>
      </c>
      <c r="T104">
        <f t="shared" ref="T104" si="499">S104/1000</f>
        <v>-31.134328681460325</v>
      </c>
    </row>
    <row r="105" spans="1:20" x14ac:dyDescent="0.25">
      <c r="A105" s="5">
        <v>44488</v>
      </c>
      <c r="B105">
        <v>9.0459999999999999E-2</v>
      </c>
      <c r="C105">
        <v>9.2990000000000003E-2</v>
      </c>
      <c r="D105">
        <v>8.7429999999999994E-2</v>
      </c>
      <c r="E105">
        <v>9.0499999999999997E-2</v>
      </c>
      <c r="F105">
        <v>19501376.600000001</v>
      </c>
      <c r="G105">
        <v>9.0499999999999997E-2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0.10431654676258925</v>
      </c>
      <c r="Q105">
        <f t="shared" ref="Q105" si="501">F105*P105</f>
        <v>2034316.2640287639</v>
      </c>
      <c r="R105">
        <f t="shared" ref="R105" si="502">R106+Q105</f>
        <v>-3119791967.0280838</v>
      </c>
      <c r="S105">
        <f t="shared" ref="S105" si="503">R105/100000</f>
        <v>-31197.919670280837</v>
      </c>
      <c r="T105">
        <f t="shared" ref="T105" si="504">S105/1000</f>
        <v>-31.197919670280836</v>
      </c>
    </row>
    <row r="106" spans="1:20" x14ac:dyDescent="0.25">
      <c r="A106" s="5">
        <v>44487</v>
      </c>
      <c r="B106">
        <v>9.1209999999999999E-2</v>
      </c>
      <c r="C106">
        <v>9.2539999999999997E-2</v>
      </c>
      <c r="D106">
        <v>8.7819999999999995E-2</v>
      </c>
      <c r="E106">
        <v>9.0469999999999995E-2</v>
      </c>
      <c r="F106">
        <v>12244981.5</v>
      </c>
      <c r="G106">
        <v>9.0469999999999995E-2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0.12288135593220274</v>
      </c>
      <c r="Q106">
        <f t="shared" ref="Q106" si="506">F106*P106</f>
        <v>1504679.9300847379</v>
      </c>
      <c r="R106">
        <f t="shared" ref="R106" si="507">R107+Q106</f>
        <v>-3121826283.2921124</v>
      </c>
      <c r="S106">
        <f t="shared" ref="S106" si="508">R106/100000</f>
        <v>-31218.262832921122</v>
      </c>
      <c r="T106">
        <f t="shared" ref="T106" si="509">S106/1000</f>
        <v>-31.218262832921123</v>
      </c>
    </row>
    <row r="107" spans="1:20" x14ac:dyDescent="0.25">
      <c r="A107" s="5">
        <v>44486</v>
      </c>
      <c r="B107">
        <v>9.1670000000000001E-2</v>
      </c>
      <c r="C107">
        <v>9.8330000000000001E-2</v>
      </c>
      <c r="D107">
        <v>8.8330000000000006E-2</v>
      </c>
      <c r="E107">
        <v>9.0829999999999994E-2</v>
      </c>
      <c r="F107">
        <v>34107692.600000001</v>
      </c>
      <c r="G107">
        <v>9.0829999999999994E-2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-0.50000000000000211</v>
      </c>
      <c r="Q107">
        <f t="shared" ref="Q107" si="511">F107*P107</f>
        <v>-17053846.300000072</v>
      </c>
      <c r="R107">
        <f t="shared" ref="R107" si="512">R108+Q107</f>
        <v>-3123330963.2221971</v>
      </c>
      <c r="S107">
        <f t="shared" ref="S107" si="513">R107/100000</f>
        <v>-31233.309632221972</v>
      </c>
      <c r="T107">
        <f t="shared" ref="T107" si="514">S107/1000</f>
        <v>-31.233309632221971</v>
      </c>
    </row>
    <row r="108" spans="1:20" x14ac:dyDescent="0.25">
      <c r="A108" s="5">
        <v>44485</v>
      </c>
      <c r="B108">
        <v>9.4089999999999993E-2</v>
      </c>
      <c r="C108">
        <v>9.8000000000000004E-2</v>
      </c>
      <c r="D108">
        <v>8.9380000000000001E-2</v>
      </c>
      <c r="E108">
        <v>9.1649999999999995E-2</v>
      </c>
      <c r="F108">
        <v>31340801.5</v>
      </c>
      <c r="G108">
        <v>9.1649999999999995E-2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-0.47331786542923582</v>
      </c>
      <c r="Q108">
        <f t="shared" ref="Q108" si="516">F108*P108</f>
        <v>-14834161.266821392</v>
      </c>
      <c r="R108">
        <f t="shared" ref="R108" si="517">R109+Q108</f>
        <v>-3106277116.9221969</v>
      </c>
      <c r="S108">
        <f t="shared" ref="S108" si="518">R108/100000</f>
        <v>-31062.771169221967</v>
      </c>
      <c r="T108">
        <f t="shared" ref="T108" si="519">S108/1000</f>
        <v>-31.062771169221968</v>
      </c>
    </row>
    <row r="109" spans="1:20" x14ac:dyDescent="0.25">
      <c r="A109" s="5">
        <v>44484</v>
      </c>
      <c r="B109">
        <v>8.659E-2</v>
      </c>
      <c r="C109">
        <v>9.9690000000000001E-2</v>
      </c>
      <c r="D109">
        <v>8.5050000000000001E-2</v>
      </c>
      <c r="E109">
        <v>9.4020000000000006E-2</v>
      </c>
      <c r="F109">
        <v>62997929.200000003</v>
      </c>
      <c r="G109">
        <v>9.4020000000000006E-2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0.22540983606557455</v>
      </c>
      <c r="Q109">
        <f t="shared" ref="Q109" si="521">F109*P109</f>
        <v>14200352.893442672</v>
      </c>
      <c r="R109">
        <f t="shared" ref="R109" si="522">R110+Q109</f>
        <v>-3091442955.6553755</v>
      </c>
      <c r="S109">
        <f t="shared" ref="S109" si="523">R109/100000</f>
        <v>-30914.429556553754</v>
      </c>
      <c r="T109">
        <f t="shared" ref="T109" si="524">S109/1000</f>
        <v>-30.914429556553753</v>
      </c>
    </row>
    <row r="110" spans="1:20" x14ac:dyDescent="0.25">
      <c r="A110" s="5">
        <v>44483</v>
      </c>
      <c r="B110">
        <v>8.4440000000000001E-2</v>
      </c>
      <c r="C110">
        <v>9.0759999999999993E-2</v>
      </c>
      <c r="D110">
        <v>8.3570000000000005E-2</v>
      </c>
      <c r="E110">
        <v>8.6360000000000006E-2</v>
      </c>
      <c r="F110">
        <v>20005453.5</v>
      </c>
      <c r="G110">
        <v>8.6360000000000006E-2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-0.22392211404728637</v>
      </c>
      <c r="Q110">
        <f t="shared" ref="Q110" si="526">F110*P110</f>
        <v>-4479663.4401946841</v>
      </c>
      <c r="R110">
        <f t="shared" ref="R110" si="527">R111+Q110</f>
        <v>-3105643308.5488181</v>
      </c>
      <c r="S110">
        <f t="shared" ref="S110" si="528">R110/100000</f>
        <v>-31056.433085488181</v>
      </c>
      <c r="T110">
        <f t="shared" ref="T110" si="529">S110/1000</f>
        <v>-31.05643308548818</v>
      </c>
    </row>
    <row r="111" spans="1:20" x14ac:dyDescent="0.25">
      <c r="A111" s="5">
        <v>44482</v>
      </c>
      <c r="B111">
        <v>8.4339999999999998E-2</v>
      </c>
      <c r="C111">
        <v>8.5220000000000004E-2</v>
      </c>
      <c r="D111">
        <v>7.9000000000000001E-2</v>
      </c>
      <c r="E111">
        <v>8.4330000000000002E-2</v>
      </c>
      <c r="F111">
        <v>18118619.199999999</v>
      </c>
      <c r="G111">
        <v>8.4330000000000002E-2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0.71382636655948506</v>
      </c>
      <c r="Q111">
        <f t="shared" ref="Q111" si="531">F111*P111</f>
        <v>12933548.110610923</v>
      </c>
      <c r="R111">
        <f t="shared" ref="R111" si="532">R112+Q111</f>
        <v>-3101163645.1086235</v>
      </c>
      <c r="S111">
        <f t="shared" ref="S111" si="533">R111/100000</f>
        <v>-31011.636451086237</v>
      </c>
      <c r="T111">
        <f t="shared" ref="T111" si="534">S111/1000</f>
        <v>-31.011636451086236</v>
      </c>
    </row>
    <row r="112" spans="1:20" x14ac:dyDescent="0.25">
      <c r="A112" s="5">
        <v>44481</v>
      </c>
      <c r="B112">
        <v>8.4239999999999995E-2</v>
      </c>
      <c r="C112">
        <v>8.8230000000000003E-2</v>
      </c>
      <c r="D112">
        <v>7.9000000000000001E-2</v>
      </c>
      <c r="E112">
        <v>8.4110000000000004E-2</v>
      </c>
      <c r="F112">
        <v>18029918.100000001</v>
      </c>
      <c r="G112">
        <v>8.4110000000000004E-2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0.10725893824485423</v>
      </c>
      <c r="Q112">
        <f t="shared" ref="Q112" si="536">F112*P112</f>
        <v>1933869.8720476797</v>
      </c>
      <c r="R112">
        <f t="shared" ref="R112" si="537">R113+Q112</f>
        <v>-3114097193.2192345</v>
      </c>
      <c r="S112">
        <f t="shared" ref="S112" si="538">R112/100000</f>
        <v>-31140.971932192344</v>
      </c>
      <c r="T112">
        <f t="shared" ref="T112" si="539">S112/1000</f>
        <v>-31.140971932192343</v>
      </c>
    </row>
    <row r="113" spans="1:20" x14ac:dyDescent="0.25">
      <c r="A113" s="5">
        <v>44480</v>
      </c>
      <c r="B113">
        <v>8.48E-2</v>
      </c>
      <c r="C113">
        <v>8.7760000000000005E-2</v>
      </c>
      <c r="D113">
        <v>8.2379999999999995E-2</v>
      </c>
      <c r="E113">
        <v>8.4269999999999998E-2</v>
      </c>
      <c r="F113">
        <v>17467359</v>
      </c>
      <c r="G113">
        <v>8.4269999999999998E-2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-0.29739776951672886</v>
      </c>
      <c r="Q113">
        <f t="shared" ref="Q113" si="541">F113*P113</f>
        <v>-5194753.6059479592</v>
      </c>
      <c r="R113">
        <f t="shared" ref="R113" si="542">R114+Q113</f>
        <v>-3116031063.0912824</v>
      </c>
      <c r="S113">
        <f t="shared" ref="S113" si="543">R113/100000</f>
        <v>-31160.310630912823</v>
      </c>
      <c r="T113">
        <f t="shared" ref="T113" si="544">S113/1000</f>
        <v>-31.160310630912825</v>
      </c>
    </row>
    <row r="114" spans="1:20" x14ac:dyDescent="0.25">
      <c r="A114" s="5">
        <v>44479</v>
      </c>
      <c r="B114">
        <v>9.2069999999999999E-2</v>
      </c>
      <c r="C114">
        <v>9.3039999999999998E-2</v>
      </c>
      <c r="D114">
        <v>8.4129999999999996E-2</v>
      </c>
      <c r="E114">
        <v>8.48E-2</v>
      </c>
      <c r="F114">
        <v>27014138.199999999</v>
      </c>
      <c r="G114">
        <v>8.48E-2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-0.8496071829405154</v>
      </c>
      <c r="Q114">
        <f t="shared" ref="Q114" si="546">F114*P114</f>
        <v>-22951405.855667766</v>
      </c>
      <c r="R114">
        <f t="shared" ref="R114" si="547">R115+Q114</f>
        <v>-3110836309.4853344</v>
      </c>
      <c r="S114">
        <f t="shared" ref="S114" si="548">R114/100000</f>
        <v>-31108.363094853343</v>
      </c>
      <c r="T114">
        <f t="shared" ref="T114" si="549">S114/1000</f>
        <v>-31.108363094853342</v>
      </c>
    </row>
    <row r="115" spans="1:20" x14ac:dyDescent="0.25">
      <c r="A115" s="5">
        <v>44478</v>
      </c>
      <c r="B115">
        <v>8.8520000000000001E-2</v>
      </c>
      <c r="C115">
        <v>9.8619999999999999E-2</v>
      </c>
      <c r="D115">
        <v>8.7730000000000002E-2</v>
      </c>
      <c r="E115">
        <v>9.1950000000000004E-2</v>
      </c>
      <c r="F115">
        <v>79814367.700000003</v>
      </c>
      <c r="G115">
        <v>9.1950000000000004E-2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-0.22497704315886083</v>
      </c>
      <c r="Q115">
        <f t="shared" ref="Q115" si="551">F115*P115</f>
        <v>-17956400.446740087</v>
      </c>
      <c r="R115">
        <f t="shared" ref="R115" si="552">R116+Q115</f>
        <v>-3087884903.6296668</v>
      </c>
      <c r="S115">
        <f t="shared" ref="S115" si="553">R115/100000</f>
        <v>-30878.84903629667</v>
      </c>
      <c r="T115">
        <f t="shared" ref="T115" si="554">S115/1000</f>
        <v>-30.878849036296671</v>
      </c>
    </row>
    <row r="116" spans="1:20" x14ac:dyDescent="0.25">
      <c r="A116" s="5">
        <v>44477</v>
      </c>
      <c r="B116">
        <v>8.6800000000000002E-2</v>
      </c>
      <c r="C116">
        <v>9.0490000000000001E-2</v>
      </c>
      <c r="D116">
        <v>8.5639999999999994E-2</v>
      </c>
      <c r="E116">
        <v>8.8480000000000003E-2</v>
      </c>
      <c r="F116">
        <v>28425779.800000001</v>
      </c>
      <c r="G116">
        <v>8.8480000000000003E-2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0.17113402061855879</v>
      </c>
      <c r="Q116">
        <f t="shared" ref="Q116" si="556">F116*P116</f>
        <v>4864617.9863918116</v>
      </c>
      <c r="R116">
        <f t="shared" ref="R116" si="557">R117+Q116</f>
        <v>-3069928503.1829267</v>
      </c>
      <c r="S116">
        <f t="shared" ref="S116" si="558">R116/100000</f>
        <v>-30699.285031829266</v>
      </c>
      <c r="T116">
        <f t="shared" ref="T116" si="559">S116/1000</f>
        <v>-30.699285031829266</v>
      </c>
    </row>
    <row r="117" spans="1:20" x14ac:dyDescent="0.25">
      <c r="A117" s="5">
        <v>44476</v>
      </c>
      <c r="B117">
        <v>8.2019999999999996E-2</v>
      </c>
      <c r="C117">
        <v>9.0759999999999993E-2</v>
      </c>
      <c r="D117">
        <v>8.1299999999999997E-2</v>
      </c>
      <c r="E117">
        <v>8.6800000000000002E-2</v>
      </c>
      <c r="F117">
        <v>53130806.100000001</v>
      </c>
      <c r="G117">
        <v>8.6800000000000002E-2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0.16279069767442012</v>
      </c>
      <c r="Q117">
        <f t="shared" ref="Q117" si="561">F117*P117</f>
        <v>8649200.9930233359</v>
      </c>
      <c r="R117">
        <f t="shared" ref="R117" si="562">R118+Q117</f>
        <v>-3074793121.1693187</v>
      </c>
      <c r="S117">
        <f t="shared" ref="S117" si="563">R117/100000</f>
        <v>-30747.931211693187</v>
      </c>
      <c r="T117">
        <f t="shared" ref="T117" si="564">S117/1000</f>
        <v>-30.747931211693189</v>
      </c>
    </row>
    <row r="118" spans="1:20" x14ac:dyDescent="0.25">
      <c r="A118" s="5">
        <v>44475</v>
      </c>
      <c r="B118">
        <v>8.2640000000000005E-2</v>
      </c>
      <c r="C118">
        <v>8.3540000000000003E-2</v>
      </c>
      <c r="D118">
        <v>7.6630000000000004E-2</v>
      </c>
      <c r="E118">
        <v>8.1809999999999994E-2</v>
      </c>
      <c r="F118">
        <v>23677773.300000001</v>
      </c>
      <c r="G118">
        <v>8.1809999999999994E-2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0.49927641099855008</v>
      </c>
      <c r="Q118">
        <f t="shared" ref="Q118" si="566">F118*P118</f>
        <v>11821753.673661295</v>
      </c>
      <c r="R118">
        <f t="shared" ref="R118" si="567">R119+Q118</f>
        <v>-3083442322.1623421</v>
      </c>
      <c r="S118">
        <f t="shared" ref="S118" si="568">R118/100000</f>
        <v>-30834.42322162342</v>
      </c>
      <c r="T118">
        <f t="shared" ref="T118" si="569">S118/1000</f>
        <v>-30.834423221623421</v>
      </c>
    </row>
    <row r="119" spans="1:20" x14ac:dyDescent="0.25">
      <c r="A119" s="5">
        <v>44474</v>
      </c>
      <c r="B119">
        <v>8.2680000000000003E-2</v>
      </c>
      <c r="C119">
        <v>8.5300000000000001E-2</v>
      </c>
      <c r="D119">
        <v>7.8649999999999998E-2</v>
      </c>
      <c r="E119">
        <v>8.2640000000000005E-2</v>
      </c>
      <c r="F119">
        <v>21315595.300000001</v>
      </c>
      <c r="G119">
        <v>8.2640000000000005E-2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0.20000000000000168</v>
      </c>
      <c r="Q119">
        <f t="shared" ref="Q119" si="571">F119*P119</f>
        <v>4263119.0600000359</v>
      </c>
      <c r="R119">
        <f t="shared" ref="R119" si="572">R120+Q119</f>
        <v>-3095264075.8360033</v>
      </c>
      <c r="S119">
        <f t="shared" ref="S119" si="573">R119/100000</f>
        <v>-30952.640758360034</v>
      </c>
      <c r="T119">
        <f t="shared" ref="T119" si="574">S119/1000</f>
        <v>-30.952640758360033</v>
      </c>
    </row>
    <row r="120" spans="1:20" x14ac:dyDescent="0.25">
      <c r="A120" s="5">
        <v>44473</v>
      </c>
      <c r="B120">
        <v>8.5120000000000001E-2</v>
      </c>
      <c r="C120">
        <v>8.5419999999999996E-2</v>
      </c>
      <c r="D120">
        <v>7.961E-2</v>
      </c>
      <c r="E120">
        <v>8.201E-2</v>
      </c>
      <c r="F120">
        <v>19007464.800000001</v>
      </c>
      <c r="G120">
        <v>8.201E-2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-0.1738382099827879</v>
      </c>
      <c r="Q120">
        <f t="shared" ref="Q120" si="576">F120*P120</f>
        <v>-3304223.6571428496</v>
      </c>
      <c r="R120">
        <f t="shared" ref="R120" si="577">R121+Q120</f>
        <v>-3099527194.8960032</v>
      </c>
      <c r="S120">
        <f t="shared" ref="S120" si="578">R120/100000</f>
        <v>-30995.271948960031</v>
      </c>
      <c r="T120">
        <f t="shared" ref="T120" si="579">S120/1000</f>
        <v>-30.995271948960031</v>
      </c>
    </row>
    <row r="121" spans="1:20" x14ac:dyDescent="0.25">
      <c r="A121" s="5">
        <v>44472</v>
      </c>
      <c r="B121">
        <v>8.6379999999999998E-2</v>
      </c>
      <c r="C121">
        <v>8.788E-2</v>
      </c>
      <c r="D121">
        <v>8.3500000000000005E-2</v>
      </c>
      <c r="E121">
        <v>8.4820000000000007E-2</v>
      </c>
      <c r="F121">
        <v>22874956.899999999</v>
      </c>
      <c r="G121">
        <v>8.4820000000000007E-2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-0.39726027397260127</v>
      </c>
      <c r="Q121">
        <f t="shared" ref="Q121" si="581">F121*P121</f>
        <v>-9087311.6452054456</v>
      </c>
      <c r="R121">
        <f t="shared" ref="R121" si="582">R122+Q121</f>
        <v>-3096222971.2388606</v>
      </c>
      <c r="S121">
        <f t="shared" ref="S121" si="583">R121/100000</f>
        <v>-30962.229712388606</v>
      </c>
      <c r="T121">
        <f t="shared" ref="T121" si="584">S121/1000</f>
        <v>-30.962229712388606</v>
      </c>
    </row>
    <row r="122" spans="1:20" x14ac:dyDescent="0.25">
      <c r="A122" s="5">
        <v>44471</v>
      </c>
      <c r="B122">
        <v>8.4970000000000004E-2</v>
      </c>
      <c r="C122">
        <v>0.09</v>
      </c>
      <c r="D122">
        <v>8.2419999999999993E-2</v>
      </c>
      <c r="E122">
        <v>8.6410000000000001E-2</v>
      </c>
      <c r="F122">
        <v>33715994.5</v>
      </c>
      <c r="G122">
        <v>8.6410000000000001E-2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5.2770448548814151E-2</v>
      </c>
      <c r="Q122">
        <f t="shared" ref="Q122" si="586">F122*P122</f>
        <v>1779208.1530343508</v>
      </c>
      <c r="R122">
        <f t="shared" ref="R122" si="587">R123+Q122</f>
        <v>-3087135659.5936551</v>
      </c>
      <c r="S122">
        <f t="shared" ref="S122" si="588">R122/100000</f>
        <v>-30871.356595936551</v>
      </c>
      <c r="T122">
        <f t="shared" ref="T122" si="589">S122/1000</f>
        <v>-30.87135659593655</v>
      </c>
    </row>
    <row r="123" spans="1:20" x14ac:dyDescent="0.25">
      <c r="A123" s="5">
        <v>44470</v>
      </c>
      <c r="B123">
        <v>8.0019999999999994E-2</v>
      </c>
      <c r="C123">
        <v>8.6499999999999994E-2</v>
      </c>
      <c r="D123">
        <v>7.7929999999999999E-2</v>
      </c>
      <c r="E123">
        <v>8.4970000000000004E-2</v>
      </c>
      <c r="F123">
        <v>28991165.699999999</v>
      </c>
      <c r="G123">
        <v>8.4970000000000004E-2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0.64294049008168241</v>
      </c>
      <c r="Q123">
        <f t="shared" ref="Q123" si="591">F123*P123</f>
        <v>18639594.283197261</v>
      </c>
      <c r="R123">
        <f t="shared" ref="R123" si="592">R124+Q123</f>
        <v>-3088914867.7466893</v>
      </c>
      <c r="S123">
        <f t="shared" ref="S123" si="593">R123/100000</f>
        <v>-30889.148677466892</v>
      </c>
      <c r="T123">
        <f t="shared" ref="T123" si="594">S123/1000</f>
        <v>-30.889148677466892</v>
      </c>
    </row>
    <row r="124" spans="1:20" x14ac:dyDescent="0.25">
      <c r="A124" s="5">
        <v>44469</v>
      </c>
      <c r="B124">
        <v>7.6270000000000004E-2</v>
      </c>
      <c r="C124">
        <v>8.269E-2</v>
      </c>
      <c r="D124">
        <v>7.5600000000000001E-2</v>
      </c>
      <c r="E124">
        <v>7.9939999999999997E-2</v>
      </c>
      <c r="F124">
        <v>25544273.800000001</v>
      </c>
      <c r="G124">
        <v>7.9939999999999997E-2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0.22425952045133912</v>
      </c>
      <c r="Q124">
        <f t="shared" ref="Q124" si="596">F124*P124</f>
        <v>5728546.5926657058</v>
      </c>
      <c r="R124">
        <f t="shared" ref="R124" si="597">R125+Q124</f>
        <v>-3107554462.0298867</v>
      </c>
      <c r="S124">
        <f t="shared" ref="S124" si="598">R124/100000</f>
        <v>-31075.544620298868</v>
      </c>
      <c r="T124">
        <f t="shared" ref="T124" si="599">S124/1000</f>
        <v>-31.075544620298867</v>
      </c>
    </row>
    <row r="125" spans="1:20" x14ac:dyDescent="0.25">
      <c r="A125" s="5">
        <v>44468</v>
      </c>
      <c r="B125">
        <v>7.4910000000000004E-2</v>
      </c>
      <c r="C125">
        <v>8.0659999999999996E-2</v>
      </c>
      <c r="D125">
        <v>7.3550000000000004E-2</v>
      </c>
      <c r="E125">
        <v>7.6079999999999995E-2</v>
      </c>
      <c r="F125">
        <v>66186323.5</v>
      </c>
      <c r="G125">
        <v>7.6079999999999995E-2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-0.2883263009845306</v>
      </c>
      <c r="Q125">
        <f t="shared" ref="Q125" si="601">F125*P125</f>
        <v>-19083257.830520511</v>
      </c>
      <c r="R125">
        <f t="shared" ref="R125" si="602">R126+Q125</f>
        <v>-3113283008.6225524</v>
      </c>
      <c r="S125">
        <f t="shared" ref="S125" si="603">R125/100000</f>
        <v>-31132.830086225524</v>
      </c>
      <c r="T125">
        <f t="shared" ref="T125" si="604">S125/1000</f>
        <v>-31.132830086225525</v>
      </c>
    </row>
    <row r="126" spans="1:20" x14ac:dyDescent="0.25">
      <c r="A126" s="5">
        <v>44467</v>
      </c>
      <c r="B126">
        <v>7.8570000000000001E-2</v>
      </c>
      <c r="C126">
        <v>8.0180000000000001E-2</v>
      </c>
      <c r="D126">
        <v>7.417E-2</v>
      </c>
      <c r="E126">
        <v>7.4899999999999994E-2</v>
      </c>
      <c r="F126">
        <v>30381795.300000001</v>
      </c>
      <c r="G126">
        <v>7.4899999999999994E-2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-0.75707154742096694</v>
      </c>
      <c r="Q126">
        <f t="shared" ref="Q126" si="606">F126*P126</f>
        <v>-23001192.781198062</v>
      </c>
      <c r="R126">
        <f t="shared" ref="R126" si="607">R127+Q126</f>
        <v>-3094199750.7920318</v>
      </c>
      <c r="S126">
        <f t="shared" ref="S126" si="608">R126/100000</f>
        <v>-30941.997507920318</v>
      </c>
      <c r="T126">
        <f t="shared" ref="T126" si="609">S126/1000</f>
        <v>-30.941997507920316</v>
      </c>
    </row>
    <row r="127" spans="1:20" x14ac:dyDescent="0.25">
      <c r="A127" s="5">
        <v>44466</v>
      </c>
      <c r="B127">
        <v>8.2659999999999997E-2</v>
      </c>
      <c r="C127">
        <v>9.1090000000000004E-2</v>
      </c>
      <c r="D127">
        <v>7.843E-2</v>
      </c>
      <c r="E127">
        <v>7.8630000000000005E-2</v>
      </c>
      <c r="F127">
        <v>49298824</v>
      </c>
      <c r="G127">
        <v>7.8630000000000005E-2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-0.96840442338072585</v>
      </c>
      <c r="Q127">
        <f t="shared" ref="Q127" si="611">F127*P127</f>
        <v>-47741199.229067892</v>
      </c>
      <c r="R127">
        <f t="shared" ref="R127" si="612">R128+Q127</f>
        <v>-3071198558.0108337</v>
      </c>
      <c r="S127">
        <f t="shared" ref="S127" si="613">R127/100000</f>
        <v>-30711.985580108336</v>
      </c>
      <c r="T127">
        <f t="shared" ref="T127" si="614">S127/1000</f>
        <v>-30.711985580108337</v>
      </c>
    </row>
    <row r="128" spans="1:20" x14ac:dyDescent="0.25">
      <c r="A128" s="5">
        <v>44465</v>
      </c>
      <c r="B128">
        <v>8.1210000000000004E-2</v>
      </c>
      <c r="C128">
        <v>8.5080000000000003E-2</v>
      </c>
      <c r="D128">
        <v>7.3249999999999996E-2</v>
      </c>
      <c r="E128">
        <v>8.269E-2</v>
      </c>
      <c r="F128">
        <v>46863816.399999999</v>
      </c>
      <c r="G128">
        <v>8.269E-2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0.59594251901944184</v>
      </c>
      <c r="Q128">
        <f t="shared" ref="Q128" si="616">F128*P128</f>
        <v>27928140.79628063</v>
      </c>
      <c r="R128">
        <f t="shared" ref="R128" si="617">R129+Q128</f>
        <v>-3023457358.7817659</v>
      </c>
      <c r="S128">
        <f t="shared" ref="S128" si="618">R128/100000</f>
        <v>-30234.57358781766</v>
      </c>
      <c r="T128">
        <f t="shared" ref="T128" si="619">S128/1000</f>
        <v>-30.23457358781766</v>
      </c>
    </row>
    <row r="129" spans="1:20" x14ac:dyDescent="0.25">
      <c r="A129" s="5">
        <v>44464</v>
      </c>
      <c r="B129">
        <v>8.2799999999999999E-2</v>
      </c>
      <c r="C129">
        <v>8.4599999999999995E-2</v>
      </c>
      <c r="D129">
        <v>7.8909999999999994E-2</v>
      </c>
      <c r="E129">
        <v>8.1180000000000002E-2</v>
      </c>
      <c r="F129">
        <v>20146532.800000001</v>
      </c>
      <c r="G129">
        <v>8.1180000000000002E-2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-0.20210896309314311</v>
      </c>
      <c r="Q129">
        <f t="shared" ref="Q129" si="621">F129*P129</f>
        <v>-4071794.8541299971</v>
      </c>
      <c r="R129">
        <f t="shared" ref="R129" si="622">R130+Q129</f>
        <v>-3051385499.5780468</v>
      </c>
      <c r="S129">
        <f t="shared" ref="S129" si="623">R129/100000</f>
        <v>-30513.854995780468</v>
      </c>
      <c r="T129">
        <f t="shared" ref="T129" si="624">S129/1000</f>
        <v>-30.513854995780466</v>
      </c>
    </row>
    <row r="130" spans="1:20" x14ac:dyDescent="0.25">
      <c r="A130" s="5">
        <v>44463</v>
      </c>
      <c r="B130">
        <v>8.8020000000000001E-2</v>
      </c>
      <c r="C130">
        <v>8.8249999999999995E-2</v>
      </c>
      <c r="D130">
        <v>7.5600000000000001E-2</v>
      </c>
      <c r="E130">
        <v>8.2809999999999995E-2</v>
      </c>
      <c r="F130">
        <v>28718773.699999999</v>
      </c>
      <c r="G130">
        <v>8.2809999999999995E-2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0.13992094861660037</v>
      </c>
      <c r="Q130">
        <f t="shared" ref="Q130" si="626">F130*P130</f>
        <v>4018358.0592094739</v>
      </c>
      <c r="R130">
        <f t="shared" ref="R130" si="627">R131+Q130</f>
        <v>-3047313704.723917</v>
      </c>
      <c r="S130">
        <f t="shared" ref="S130" si="628">R130/100000</f>
        <v>-30473.137047239172</v>
      </c>
      <c r="T130">
        <f t="shared" ref="T130" si="629">S130/1000</f>
        <v>-30.47313704723917</v>
      </c>
    </row>
    <row r="131" spans="1:20" x14ac:dyDescent="0.25">
      <c r="A131" s="5">
        <v>44462</v>
      </c>
      <c r="B131">
        <v>8.6599999999999996E-2</v>
      </c>
      <c r="C131">
        <v>8.9580000000000007E-2</v>
      </c>
      <c r="D131">
        <v>8.1930000000000003E-2</v>
      </c>
      <c r="E131">
        <v>8.8039999999999993E-2</v>
      </c>
      <c r="F131">
        <v>24845020.600000001</v>
      </c>
      <c r="G131">
        <v>8.8039999999999993E-2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0.59738562091502934</v>
      </c>
      <c r="Q131">
        <f t="shared" ref="Q131" si="631">F131*P131</f>
        <v>14842058.057777695</v>
      </c>
      <c r="R131">
        <f t="shared" ref="R131" si="632">R132+Q131</f>
        <v>-3051332062.7831264</v>
      </c>
      <c r="S131">
        <f t="shared" ref="S131" si="633">R131/100000</f>
        <v>-30513.320627831265</v>
      </c>
      <c r="T131">
        <f t="shared" ref="T131" si="634">S131/1000</f>
        <v>-30.513320627831266</v>
      </c>
    </row>
    <row r="132" spans="1:20" x14ac:dyDescent="0.25">
      <c r="A132" s="5">
        <v>44461</v>
      </c>
      <c r="B132">
        <v>7.5579999999999994E-2</v>
      </c>
      <c r="C132">
        <v>8.7139999999999995E-2</v>
      </c>
      <c r="D132">
        <v>7.4310000000000001E-2</v>
      </c>
      <c r="E132">
        <v>8.6580000000000004E-2</v>
      </c>
      <c r="F132">
        <v>34773129.399999999</v>
      </c>
      <c r="G132">
        <v>8.6580000000000004E-2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0.91270459859703956</v>
      </c>
      <c r="Q132">
        <f t="shared" ref="Q132" si="636">F132*P132</f>
        <v>31737595.110989913</v>
      </c>
      <c r="R132">
        <f t="shared" ref="R132" si="637">R133+Q132</f>
        <v>-3066174120.8409042</v>
      </c>
      <c r="S132">
        <f t="shared" ref="S132" si="638">R132/100000</f>
        <v>-30661.741208409043</v>
      </c>
      <c r="T132">
        <f t="shared" ref="T132" si="639">S132/1000</f>
        <v>-30.661741208409044</v>
      </c>
    </row>
    <row r="133" spans="1:20" x14ac:dyDescent="0.25">
      <c r="A133" s="5">
        <v>44460</v>
      </c>
      <c r="B133">
        <v>8.8830000000000006E-2</v>
      </c>
      <c r="C133">
        <v>8.899E-2</v>
      </c>
      <c r="D133">
        <v>7.2730000000000003E-2</v>
      </c>
      <c r="E133">
        <v>7.5700000000000003E-2</v>
      </c>
      <c r="F133">
        <v>74468870.799999997</v>
      </c>
      <c r="G133">
        <v>7.5700000000000003E-2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-0.63468634686346848</v>
      </c>
      <c r="Q133">
        <f t="shared" ref="Q133" si="641">F133*P133</f>
        <v>-47264375.563099615</v>
      </c>
      <c r="R133">
        <f t="shared" ref="R133" si="642">R134+Q133</f>
        <v>-3097911715.9518943</v>
      </c>
      <c r="S133">
        <f t="shared" ref="S133" si="643">R133/100000</f>
        <v>-30979.117159518944</v>
      </c>
      <c r="T133">
        <f t="shared" ref="T133" si="644">S133/1000</f>
        <v>-30.979117159518946</v>
      </c>
    </row>
    <row r="134" spans="1:20" x14ac:dyDescent="0.25">
      <c r="A134" s="5">
        <v>44459</v>
      </c>
      <c r="B134">
        <v>9.0910000000000005E-2</v>
      </c>
      <c r="C134">
        <v>0.10735</v>
      </c>
      <c r="D134">
        <v>8.4080000000000002E-2</v>
      </c>
      <c r="E134">
        <v>9.0050000000000005E-2</v>
      </c>
      <c r="F134">
        <v>102677568.3</v>
      </c>
      <c r="G134">
        <v>9.0050000000000005E-2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-0.48689299527288327</v>
      </c>
      <c r="Q134">
        <f t="shared" ref="Q134" si="646">F134*P134</f>
        <v>-49992988.776923046</v>
      </c>
      <c r="R134">
        <f t="shared" ref="R134" si="647">R135+Q134</f>
        <v>-3050647340.3887949</v>
      </c>
      <c r="S134">
        <f t="shared" ref="S134" si="648">R134/100000</f>
        <v>-30506.473403887951</v>
      </c>
      <c r="T134">
        <f t="shared" ref="T134" si="649">S134/1000</f>
        <v>-30.506473403887952</v>
      </c>
    </row>
    <row r="135" spans="1:20" x14ac:dyDescent="0.25">
      <c r="A135" s="5">
        <v>44458</v>
      </c>
      <c r="B135">
        <v>9.4769999999999993E-2</v>
      </c>
      <c r="C135">
        <v>9.6110000000000001E-2</v>
      </c>
      <c r="D135">
        <v>9.0200000000000002E-2</v>
      </c>
      <c r="E135">
        <v>9.06E-2</v>
      </c>
      <c r="F135">
        <v>30096384.399999999</v>
      </c>
      <c r="G135">
        <v>9.06E-2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-0.86463620981387557</v>
      </c>
      <c r="Q135">
        <f t="shared" ref="Q135" si="651">F135*P135</f>
        <v>-26022423.736717451</v>
      </c>
      <c r="R135">
        <f t="shared" ref="R135" si="652">R136+Q135</f>
        <v>-3000654351.6118717</v>
      </c>
      <c r="S135">
        <f t="shared" ref="S135" si="653">R135/100000</f>
        <v>-30006.543516118716</v>
      </c>
      <c r="T135">
        <f t="shared" ref="T135" si="654">S135/1000</f>
        <v>-30.006543516118715</v>
      </c>
    </row>
    <row r="136" spans="1:20" x14ac:dyDescent="0.25">
      <c r="A136" s="5">
        <v>44457</v>
      </c>
      <c r="B136">
        <v>9.1759999999999994E-2</v>
      </c>
      <c r="C136">
        <v>9.7729999999999997E-2</v>
      </c>
      <c r="D136">
        <v>0.09</v>
      </c>
      <c r="E136">
        <v>9.4619999999999996E-2</v>
      </c>
      <c r="F136">
        <v>39479440.200000003</v>
      </c>
      <c r="G136">
        <v>9.4619999999999996E-2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0.19534282018111221</v>
      </c>
      <c r="Q136">
        <f t="shared" ref="Q136" si="656">F136*P136</f>
        <v>7712025.1878395732</v>
      </c>
      <c r="R136">
        <f t="shared" ref="R136" si="657">R137+Q136</f>
        <v>-2974631927.8751545</v>
      </c>
      <c r="S136">
        <f t="shared" ref="S136" si="658">R136/100000</f>
        <v>-29746.319278751544</v>
      </c>
      <c r="T136">
        <f t="shared" ref="T136" si="659">S136/1000</f>
        <v>-29.746319278751542</v>
      </c>
    </row>
    <row r="137" spans="1:20" x14ac:dyDescent="0.25">
      <c r="A137" s="5">
        <v>44456</v>
      </c>
      <c r="B137">
        <v>9.4979999999999995E-2</v>
      </c>
      <c r="C137">
        <v>9.529E-2</v>
      </c>
      <c r="D137">
        <v>0.09</v>
      </c>
      <c r="E137">
        <v>9.1619999999999993E-2</v>
      </c>
      <c r="F137">
        <v>32202781</v>
      </c>
      <c r="G137">
        <v>9.1619999999999993E-2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-0.38752362948960473</v>
      </c>
      <c r="Q137">
        <f t="shared" ref="Q137" si="661">F137*P137</f>
        <v>-12479338.572778882</v>
      </c>
      <c r="R137">
        <f t="shared" ref="R137" si="662">R138+Q137</f>
        <v>-2982343953.062994</v>
      </c>
      <c r="S137">
        <f t="shared" ref="S137" si="663">R137/100000</f>
        <v>-29823.439530629941</v>
      </c>
      <c r="T137">
        <f t="shared" ref="T137" si="664">S137/1000</f>
        <v>-29.82343953062994</v>
      </c>
    </row>
    <row r="138" spans="1:20" x14ac:dyDescent="0.25">
      <c r="A138" s="5">
        <v>44455</v>
      </c>
      <c r="B138">
        <v>9.9099999999999994E-2</v>
      </c>
      <c r="C138">
        <v>0.10446999999999999</v>
      </c>
      <c r="D138">
        <v>8.7999999999999995E-2</v>
      </c>
      <c r="E138">
        <v>9.4939999999999997E-2</v>
      </c>
      <c r="F138">
        <v>49080194.600000001</v>
      </c>
      <c r="G138">
        <v>9.4939999999999997E-2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-0.15725561627200943</v>
      </c>
      <c r="Q138">
        <f t="shared" ref="Q138" si="666">F138*P138</f>
        <v>-7718136.2485731496</v>
      </c>
      <c r="R138">
        <f t="shared" ref="R138" si="667">R139+Q138</f>
        <v>-2969864614.4902153</v>
      </c>
      <c r="S138">
        <f t="shared" ref="S138" si="668">R138/100000</f>
        <v>-29698.646144902152</v>
      </c>
      <c r="T138">
        <f t="shared" ref="T138" si="669">S138/1000</f>
        <v>-29.698646144902153</v>
      </c>
    </row>
    <row r="139" spans="1:20" x14ac:dyDescent="0.25">
      <c r="A139" s="5">
        <v>44454</v>
      </c>
      <c r="B139">
        <v>9.8000000000000004E-2</v>
      </c>
      <c r="C139">
        <v>0.10031</v>
      </c>
      <c r="D139">
        <v>9.6560000000000007E-2</v>
      </c>
      <c r="E139">
        <v>9.9089999999999998E-2</v>
      </c>
      <c r="F139">
        <v>27259093.199999999</v>
      </c>
      <c r="G139">
        <v>9.9089999999999998E-2</v>
      </c>
      <c r="L139" t="s">
        <v>7</v>
      </c>
      <c r="M139" t="s">
        <v>8</v>
      </c>
      <c r="N139" t="s">
        <v>8</v>
      </c>
      <c r="P139">
        <f t="shared" ref="P139" si="670">IF(C139=D139,0,((E139-D139)-(C139-E139))/(C139-D139))</f>
        <v>0.34933333333333211</v>
      </c>
      <c r="Q139">
        <f t="shared" ref="Q139" si="671">F139*P139</f>
        <v>9522509.8911999669</v>
      </c>
      <c r="R139">
        <f t="shared" ref="R139" si="672">R140+Q139</f>
        <v>-2962146478.241642</v>
      </c>
      <c r="S139">
        <f t="shared" ref="S139" si="673">R139/100000</f>
        <v>-29621.46478241642</v>
      </c>
      <c r="T139">
        <f t="shared" ref="T139" si="674">S139/1000</f>
        <v>-29.621464782416421</v>
      </c>
    </row>
    <row r="140" spans="1:20" x14ac:dyDescent="0.25">
      <c r="A140" s="5">
        <v>44453</v>
      </c>
      <c r="B140">
        <v>9.7129999999999994E-2</v>
      </c>
      <c r="C140">
        <v>0.10771</v>
      </c>
      <c r="D140">
        <v>9.5890000000000003E-2</v>
      </c>
      <c r="E140">
        <v>9.8000000000000004E-2</v>
      </c>
      <c r="F140">
        <v>92180184.599999994</v>
      </c>
      <c r="G140">
        <v>9.8000000000000004E-2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-0.6429780033840945</v>
      </c>
      <c r="Q140">
        <f t="shared" ref="Q140" si="676">F140*P140</f>
        <v>-59269831.045685254</v>
      </c>
      <c r="R140">
        <f t="shared" ref="R140" si="677">R141+Q140</f>
        <v>-2971668988.1328421</v>
      </c>
      <c r="S140">
        <f t="shared" ref="S140" si="678">R140/100000</f>
        <v>-29716.689881328421</v>
      </c>
      <c r="T140">
        <f t="shared" ref="T140" si="679">S140/1000</f>
        <v>-29.716689881328421</v>
      </c>
    </row>
    <row r="141" spans="1:20" x14ac:dyDescent="0.25">
      <c r="A141" s="5">
        <v>44452</v>
      </c>
      <c r="B141">
        <v>9.6519999999999995E-2</v>
      </c>
      <c r="C141">
        <v>0.11373999999999999</v>
      </c>
      <c r="D141">
        <v>8.4449999999999997E-2</v>
      </c>
      <c r="E141">
        <v>9.7070000000000004E-2</v>
      </c>
      <c r="F141">
        <v>158872362.69999999</v>
      </c>
      <c r="G141">
        <v>9.7070000000000004E-2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-0.1382724479344481</v>
      </c>
      <c r="Q141">
        <f t="shared" ref="Q141" si="681">F141*P141</f>
        <v>-21967670.499658503</v>
      </c>
      <c r="R141">
        <f t="shared" ref="R141" si="682">R142+Q141</f>
        <v>-2912399157.0871568</v>
      </c>
      <c r="S141">
        <f t="shared" ref="S141" si="683">R141/100000</f>
        <v>-29123.991570871567</v>
      </c>
      <c r="T141">
        <f t="shared" ref="T141" si="684">S141/1000</f>
        <v>-29.123991570871567</v>
      </c>
    </row>
    <row r="142" spans="1:20" x14ac:dyDescent="0.25">
      <c r="A142" s="5">
        <v>44451</v>
      </c>
      <c r="B142">
        <v>9.3189999999999995E-2</v>
      </c>
      <c r="C142">
        <v>9.98E-2</v>
      </c>
      <c r="D142">
        <v>8.9609999999999995E-2</v>
      </c>
      <c r="E142">
        <v>9.6750000000000003E-2</v>
      </c>
      <c r="F142">
        <v>58232305.700000003</v>
      </c>
      <c r="G142">
        <v>9.6750000000000003E-2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0.40137389597644835</v>
      </c>
      <c r="Q142">
        <f t="shared" ref="Q142" si="686">F142*P142</f>
        <v>23372927.410500541</v>
      </c>
      <c r="R142">
        <f t="shared" ref="R142" si="687">R143+Q142</f>
        <v>-2890431486.5874982</v>
      </c>
      <c r="S142">
        <f t="shared" ref="S142" si="688">R142/100000</f>
        <v>-28904.314865874981</v>
      </c>
      <c r="T142">
        <f t="shared" ref="T142" si="689">S142/1000</f>
        <v>-28.90431486587498</v>
      </c>
    </row>
    <row r="143" spans="1:20" x14ac:dyDescent="0.25">
      <c r="A143" s="5">
        <v>44450</v>
      </c>
      <c r="B143">
        <v>0.10101</v>
      </c>
      <c r="C143">
        <v>0.10589999999999999</v>
      </c>
      <c r="D143">
        <v>9.2350000000000002E-2</v>
      </c>
      <c r="E143">
        <v>9.3189999999999995E-2</v>
      </c>
      <c r="F143">
        <v>80120590</v>
      </c>
      <c r="G143">
        <v>9.3189999999999995E-2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-0.87601476014760238</v>
      </c>
      <c r="Q143">
        <f t="shared" ref="Q143" si="691">F143*P143</f>
        <v>-70186819.431734383</v>
      </c>
      <c r="R143">
        <f t="shared" ref="R143" si="692">R144+Q143</f>
        <v>-2913804413.9979987</v>
      </c>
      <c r="S143">
        <f t="shared" ref="S143" si="693">R143/100000</f>
        <v>-29138.044139979986</v>
      </c>
      <c r="T143">
        <f t="shared" ref="T143" si="694">S143/1000</f>
        <v>-29.138044139979986</v>
      </c>
    </row>
    <row r="144" spans="1:20" x14ac:dyDescent="0.25">
      <c r="A144" s="5">
        <v>44449</v>
      </c>
      <c r="B144">
        <v>8.8819999999999996E-2</v>
      </c>
      <c r="C144">
        <v>0.11348</v>
      </c>
      <c r="D144">
        <v>8.5000000000000006E-2</v>
      </c>
      <c r="E144">
        <v>0.10085</v>
      </c>
      <c r="F144">
        <v>218935759.40000001</v>
      </c>
      <c r="G144">
        <v>0.10085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0.11306179775280856</v>
      </c>
      <c r="Q144">
        <f t="shared" ref="Q144" si="696">F144*P144</f>
        <v>24753270.550140355</v>
      </c>
      <c r="R144">
        <f t="shared" ref="R144" si="697">R145+Q144</f>
        <v>-2843617594.5662642</v>
      </c>
      <c r="S144">
        <f t="shared" ref="S144" si="698">R144/100000</f>
        <v>-28436.175945662642</v>
      </c>
      <c r="T144">
        <f t="shared" ref="T144" si="699">S144/1000</f>
        <v>-28.436175945662644</v>
      </c>
    </row>
    <row r="145" spans="1:20" x14ac:dyDescent="0.25">
      <c r="A145" s="5">
        <v>44448</v>
      </c>
      <c r="B145">
        <v>8.8450000000000001E-2</v>
      </c>
      <c r="C145">
        <v>9.2499999999999999E-2</v>
      </c>
      <c r="D145">
        <v>8.3400000000000002E-2</v>
      </c>
      <c r="E145">
        <v>8.8830000000000006E-2</v>
      </c>
      <c r="F145">
        <v>38252480.5</v>
      </c>
      <c r="G145">
        <v>8.8830000000000006E-2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0.19340659340659475</v>
      </c>
      <c r="Q145">
        <f t="shared" ref="Q145" si="701">F145*P145</f>
        <v>7398281.9428571938</v>
      </c>
      <c r="R145">
        <f t="shared" ref="R145" si="702">R146+Q145</f>
        <v>-2868370865.1164045</v>
      </c>
      <c r="S145">
        <f t="shared" ref="S145" si="703">R145/100000</f>
        <v>-28683.708651164045</v>
      </c>
      <c r="T145">
        <f t="shared" ref="T145" si="704">S145/1000</f>
        <v>-28.683708651164043</v>
      </c>
    </row>
    <row r="146" spans="1:20" x14ac:dyDescent="0.25">
      <c r="A146" s="5">
        <v>44447</v>
      </c>
      <c r="B146">
        <v>8.7499999999999994E-2</v>
      </c>
      <c r="C146">
        <v>9.1929999999999998E-2</v>
      </c>
      <c r="D146">
        <v>7.6670000000000002E-2</v>
      </c>
      <c r="E146">
        <v>8.8450000000000001E-2</v>
      </c>
      <c r="F146">
        <v>52458989.399999999</v>
      </c>
      <c r="G146">
        <v>8.8450000000000001E-2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0.54390563564875516</v>
      </c>
      <c r="Q146">
        <f t="shared" ref="Q146" si="706">F146*P146</f>
        <v>28532739.975098308</v>
      </c>
      <c r="R146">
        <f t="shared" ref="R146" si="707">R147+Q146</f>
        <v>-2875769147.0592618</v>
      </c>
      <c r="S146">
        <f t="shared" ref="S146" si="708">R146/100000</f>
        <v>-28757.691470592617</v>
      </c>
      <c r="T146">
        <f t="shared" ref="T146" si="709">S146/1000</f>
        <v>-28.757691470592619</v>
      </c>
    </row>
    <row r="147" spans="1:20" x14ac:dyDescent="0.25">
      <c r="A147" s="5">
        <v>44446</v>
      </c>
      <c r="B147">
        <v>0.10843999999999999</v>
      </c>
      <c r="C147">
        <v>0.12291000000000001</v>
      </c>
      <c r="D147">
        <v>7.7539999999999998E-2</v>
      </c>
      <c r="E147">
        <v>8.7410000000000002E-2</v>
      </c>
      <c r="F147">
        <v>173804681.90000001</v>
      </c>
      <c r="G147">
        <v>8.7410000000000002E-2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-0.5649107339651751</v>
      </c>
      <c r="Q147">
        <f t="shared" ref="Q147" si="711">F147*P147</f>
        <v>-98184130.418712795</v>
      </c>
      <c r="R147">
        <f t="shared" ref="R147" si="712">R148+Q147</f>
        <v>-2904301887.0343599</v>
      </c>
      <c r="S147">
        <f t="shared" ref="S147" si="713">R147/100000</f>
        <v>-29043.0188703436</v>
      </c>
      <c r="T147">
        <f t="shared" ref="T147" si="714">S147/1000</f>
        <v>-29.043018870343598</v>
      </c>
    </row>
    <row r="148" spans="1:20" x14ac:dyDescent="0.25">
      <c r="A148" s="5">
        <v>44445</v>
      </c>
      <c r="B148">
        <v>0.1037</v>
      </c>
      <c r="C148">
        <v>0.114</v>
      </c>
      <c r="D148">
        <v>0.10077999999999999</v>
      </c>
      <c r="E148">
        <v>0.108</v>
      </c>
      <c r="F148">
        <v>62064473.399999999</v>
      </c>
      <c r="G148">
        <v>0.108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9.2284417549167774E-2</v>
      </c>
      <c r="Q148">
        <f t="shared" ref="Q148" si="716">F148*P148</f>
        <v>5727583.778214816</v>
      </c>
      <c r="R148">
        <f t="shared" ref="R148" si="717">R149+Q148</f>
        <v>-2806117756.6156473</v>
      </c>
      <c r="S148">
        <f t="shared" ref="S148" si="718">R148/100000</f>
        <v>-28061.177566156472</v>
      </c>
      <c r="T148">
        <f t="shared" ref="T148" si="719">S148/1000</f>
        <v>-28.06117756615647</v>
      </c>
    </row>
    <row r="149" spans="1:20" x14ac:dyDescent="0.25">
      <c r="A149" s="5">
        <v>44444</v>
      </c>
      <c r="B149">
        <v>9.9449999999999997E-2</v>
      </c>
      <c r="C149">
        <v>0.105</v>
      </c>
      <c r="D149">
        <v>9.6490000000000006E-2</v>
      </c>
      <c r="E149">
        <v>0.10395</v>
      </c>
      <c r="F149">
        <v>37376488.200000003</v>
      </c>
      <c r="G149">
        <v>0.10395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0.75323149236192788</v>
      </c>
      <c r="Q149">
        <f t="shared" ref="Q149" si="721">F149*P149</f>
        <v>28153147.986133989</v>
      </c>
      <c r="R149">
        <f t="shared" ref="R149" si="722">R150+Q149</f>
        <v>-2811845340.3938622</v>
      </c>
      <c r="S149">
        <f t="shared" ref="S149" si="723">R149/100000</f>
        <v>-28118.453403938624</v>
      </c>
      <c r="T149">
        <f t="shared" ref="T149" si="724">S149/1000</f>
        <v>-28.118453403938624</v>
      </c>
    </row>
    <row r="150" spans="1:20" x14ac:dyDescent="0.25">
      <c r="A150" s="5">
        <v>44443</v>
      </c>
      <c r="B150">
        <v>9.7769999999999996E-2</v>
      </c>
      <c r="C150">
        <v>0.10277</v>
      </c>
      <c r="D150">
        <v>9.7290000000000001E-2</v>
      </c>
      <c r="E150">
        <v>9.9299999999999999E-2</v>
      </c>
      <c r="F150">
        <v>28203445.300000001</v>
      </c>
      <c r="G150">
        <v>9.9299999999999999E-2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-0.26642335766423419</v>
      </c>
      <c r="Q150">
        <f t="shared" ref="Q150" si="726">F150*P150</f>
        <v>-7514056.5945255654</v>
      </c>
      <c r="R150">
        <f t="shared" ref="R150" si="727">R151+Q150</f>
        <v>-2839998488.3799963</v>
      </c>
      <c r="S150">
        <f t="shared" ref="S150" si="728">R150/100000</f>
        <v>-28399.984883799963</v>
      </c>
      <c r="T150">
        <f t="shared" ref="T150" si="729">S150/1000</f>
        <v>-28.399984883799963</v>
      </c>
    </row>
    <row r="151" spans="1:20" x14ac:dyDescent="0.25">
      <c r="A151" s="5">
        <v>44442</v>
      </c>
      <c r="B151">
        <v>9.5920000000000005E-2</v>
      </c>
      <c r="C151">
        <v>0.1028</v>
      </c>
      <c r="D151">
        <v>9.5049999999999996E-2</v>
      </c>
      <c r="E151">
        <v>9.7860000000000003E-2</v>
      </c>
      <c r="F151">
        <v>34511963.5</v>
      </c>
      <c r="G151">
        <v>9.7860000000000003E-2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-0.27483870967741819</v>
      </c>
      <c r="Q151">
        <f t="shared" ref="Q151" si="731">F151*P151</f>
        <v>-9485223.5167741533</v>
      </c>
      <c r="R151">
        <f t="shared" ref="R151" si="732">R152+Q151</f>
        <v>-2832484431.785471</v>
      </c>
      <c r="S151">
        <f t="shared" ref="S151" si="733">R151/100000</f>
        <v>-28324.84431785471</v>
      </c>
      <c r="T151">
        <f t="shared" ref="T151" si="734">S151/1000</f>
        <v>-28.324844317854708</v>
      </c>
    </row>
    <row r="152" spans="1:20" x14ac:dyDescent="0.25">
      <c r="A152" s="5">
        <v>44441</v>
      </c>
      <c r="B152">
        <v>9.6560000000000007E-2</v>
      </c>
      <c r="C152">
        <v>9.8769999999999997E-2</v>
      </c>
      <c r="D152">
        <v>9.5060000000000006E-2</v>
      </c>
      <c r="E152">
        <v>9.5930000000000001E-2</v>
      </c>
      <c r="F152">
        <v>26548529.199999999</v>
      </c>
      <c r="G152">
        <v>9.5930000000000001E-2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-0.53099730458221139</v>
      </c>
      <c r="Q152">
        <f t="shared" ref="Q152" si="736">F152*P152</f>
        <v>-14097197.445822133</v>
      </c>
      <c r="R152">
        <f t="shared" ref="R152" si="737">R153+Q152</f>
        <v>-2822999208.2686968</v>
      </c>
      <c r="S152">
        <f t="shared" ref="S152" si="738">R152/100000</f>
        <v>-28229.992082686967</v>
      </c>
      <c r="T152">
        <f t="shared" ref="T152" si="739">S152/1000</f>
        <v>-28.229992082686966</v>
      </c>
    </row>
    <row r="153" spans="1:20" x14ac:dyDescent="0.25">
      <c r="A153" s="5">
        <v>44440</v>
      </c>
      <c r="B153">
        <v>9.2100000000000001E-2</v>
      </c>
      <c r="C153">
        <v>9.8000000000000004E-2</v>
      </c>
      <c r="D153">
        <v>9.0200000000000002E-2</v>
      </c>
      <c r="E153">
        <v>9.6570000000000003E-2</v>
      </c>
      <c r="F153">
        <v>34734968</v>
      </c>
      <c r="G153">
        <v>9.6570000000000003E-2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0.63333333333333319</v>
      </c>
      <c r="Q153">
        <f t="shared" ref="Q153" si="741">F153*P153</f>
        <v>21998813.066666663</v>
      </c>
      <c r="R153">
        <f t="shared" ref="R153" si="742">R154+Q153</f>
        <v>-2808902010.8228745</v>
      </c>
      <c r="S153">
        <f t="shared" ref="S153" si="743">R153/100000</f>
        <v>-28089.020108228746</v>
      </c>
      <c r="T153">
        <f t="shared" ref="T153" si="744">S153/1000</f>
        <v>-28.089020108228745</v>
      </c>
    </row>
    <row r="154" spans="1:20" x14ac:dyDescent="0.25">
      <c r="A154" s="5">
        <v>44439</v>
      </c>
      <c r="B154">
        <v>9.3079999999999996E-2</v>
      </c>
      <c r="C154">
        <v>9.6019999999999994E-2</v>
      </c>
      <c r="D154">
        <v>9.1289999999999996E-2</v>
      </c>
      <c r="E154">
        <v>9.2369999999999994E-2</v>
      </c>
      <c r="F154">
        <v>25043158.300000001</v>
      </c>
      <c r="G154">
        <v>9.2369999999999994E-2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-0.5433403805496837</v>
      </c>
      <c r="Q154">
        <f t="shared" ref="Q154" si="746">F154*P154</f>
        <v>-13606959.16088797</v>
      </c>
      <c r="R154">
        <f t="shared" ref="R154" si="747">R155+Q154</f>
        <v>-2830900823.8895411</v>
      </c>
      <c r="S154">
        <f t="shared" ref="S154" si="748">R154/100000</f>
        <v>-28309.008238895411</v>
      </c>
      <c r="T154">
        <f t="shared" ref="T154" si="749">S154/1000</f>
        <v>-28.309008238895412</v>
      </c>
    </row>
    <row r="155" spans="1:20" x14ac:dyDescent="0.25">
      <c r="A155" s="5">
        <v>44438</v>
      </c>
      <c r="B155">
        <v>0.10098</v>
      </c>
      <c r="C155">
        <v>0.10165</v>
      </c>
      <c r="D155">
        <v>9.1219999999999996E-2</v>
      </c>
      <c r="E155">
        <v>9.2999999999999999E-2</v>
      </c>
      <c r="F155">
        <v>44919982.600000001</v>
      </c>
      <c r="G155">
        <v>9.2999999999999999E-2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-0.65867689357622194</v>
      </c>
      <c r="Q155">
        <f t="shared" ref="Q155" si="751">F155*P155</f>
        <v>-29587754.598465942</v>
      </c>
      <c r="R155">
        <f t="shared" ref="R155" si="752">R156+Q155</f>
        <v>-2817293864.728653</v>
      </c>
      <c r="S155">
        <f t="shared" ref="S155" si="753">R155/100000</f>
        <v>-28172.93864728653</v>
      </c>
      <c r="T155">
        <f t="shared" ref="T155" si="754">S155/1000</f>
        <v>-28.172938647286529</v>
      </c>
    </row>
    <row r="156" spans="1:20" x14ac:dyDescent="0.25">
      <c r="A156" s="5">
        <v>44437</v>
      </c>
      <c r="B156">
        <v>9.7650000000000001E-2</v>
      </c>
      <c r="C156">
        <v>0.10488</v>
      </c>
      <c r="D156">
        <v>9.35E-2</v>
      </c>
      <c r="E156">
        <v>0.10099</v>
      </c>
      <c r="F156">
        <v>82125134.799999997</v>
      </c>
      <c r="G156">
        <v>0.10099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0.31634446397187976</v>
      </c>
      <c r="Q156">
        <f t="shared" ref="Q156" si="756">F156*P156</f>
        <v>25979831.746924367</v>
      </c>
      <c r="R156">
        <f t="shared" ref="R156" si="757">R157+Q156</f>
        <v>-2787706110.130187</v>
      </c>
      <c r="S156">
        <f t="shared" ref="S156" si="758">R156/100000</f>
        <v>-27877.061101301872</v>
      </c>
      <c r="T156">
        <f t="shared" ref="T156" si="759">S156/1000</f>
        <v>-27.877061101301873</v>
      </c>
    </row>
    <row r="157" spans="1:20" x14ac:dyDescent="0.25">
      <c r="A157" s="5">
        <v>44436</v>
      </c>
      <c r="B157">
        <v>9.8129999999999995E-2</v>
      </c>
      <c r="C157">
        <v>0.10077</v>
      </c>
      <c r="D157">
        <v>9.2710000000000001E-2</v>
      </c>
      <c r="E157">
        <v>9.7619999999999998E-2</v>
      </c>
      <c r="F157">
        <v>48906764.899999999</v>
      </c>
      <c r="G157">
        <v>9.7619999999999998E-2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0.2183622828784117</v>
      </c>
      <c r="Q157">
        <f t="shared" ref="Q157" si="761">F157*P157</f>
        <v>10679392.831761776</v>
      </c>
      <c r="R157">
        <f t="shared" ref="R157" si="762">R158+Q157</f>
        <v>-2813685941.8771114</v>
      </c>
      <c r="S157">
        <f t="shared" ref="S157" si="763">R157/100000</f>
        <v>-28136.859418771113</v>
      </c>
      <c r="T157">
        <f t="shared" ref="T157" si="764">S157/1000</f>
        <v>-28.136859418771113</v>
      </c>
    </row>
    <row r="158" spans="1:20" x14ac:dyDescent="0.25">
      <c r="A158" s="5">
        <v>44435</v>
      </c>
      <c r="B158">
        <v>9.3700000000000006E-2</v>
      </c>
      <c r="C158">
        <v>0.10366</v>
      </c>
      <c r="D158">
        <v>8.9300000000000004E-2</v>
      </c>
      <c r="E158">
        <v>9.8299999999999998E-2</v>
      </c>
      <c r="F158">
        <v>58161496.5</v>
      </c>
      <c r="G158">
        <v>9.8299999999999998E-2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0.25348189415041722</v>
      </c>
      <c r="Q158">
        <f t="shared" ref="Q158" si="766">F158*P158</f>
        <v>14742886.299442861</v>
      </c>
      <c r="R158">
        <f t="shared" ref="R158" si="767">R159+Q158</f>
        <v>-2824365334.7088733</v>
      </c>
      <c r="S158">
        <f t="shared" ref="S158" si="768">R158/100000</f>
        <v>-28243.653347088733</v>
      </c>
      <c r="T158">
        <f t="shared" ref="T158" si="769">S158/1000</f>
        <v>-28.243653347088735</v>
      </c>
    </row>
    <row r="159" spans="1:20" x14ac:dyDescent="0.25">
      <c r="A159" s="5">
        <v>44434</v>
      </c>
      <c r="B159">
        <v>9.6129999999999993E-2</v>
      </c>
      <c r="C159">
        <v>0.1</v>
      </c>
      <c r="D159">
        <v>8.7809999999999999E-2</v>
      </c>
      <c r="E159">
        <v>9.3710000000000002E-2</v>
      </c>
      <c r="F159">
        <v>62393635.899999999</v>
      </c>
      <c r="G159">
        <v>9.3710000000000002E-2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-3.1993437243642432E-2</v>
      </c>
      <c r="Q159">
        <f t="shared" ref="Q159" si="771">F159*P159</f>
        <v>-1996186.8745693255</v>
      </c>
      <c r="R159">
        <f t="shared" ref="R159" si="772">R160+Q159</f>
        <v>-2839108221.008316</v>
      </c>
      <c r="S159">
        <f t="shared" ref="S159" si="773">R159/100000</f>
        <v>-28391.082210083161</v>
      </c>
      <c r="T159">
        <f t="shared" ref="T159" si="774">S159/1000</f>
        <v>-28.391082210083162</v>
      </c>
    </row>
    <row r="160" spans="1:20" x14ac:dyDescent="0.25">
      <c r="A160" s="5">
        <v>44433</v>
      </c>
      <c r="B160">
        <v>9.0450000000000003E-2</v>
      </c>
      <c r="C160">
        <v>9.6710000000000004E-2</v>
      </c>
      <c r="D160">
        <v>8.7760000000000005E-2</v>
      </c>
      <c r="E160">
        <v>9.6299999999999997E-2</v>
      </c>
      <c r="F160">
        <v>28180359.399999999</v>
      </c>
      <c r="G160">
        <v>9.6299999999999997E-2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0.90837988826815474</v>
      </c>
      <c r="Q160">
        <f t="shared" ref="Q160" si="776">F160*P160</f>
        <v>25598471.723128442</v>
      </c>
      <c r="R160">
        <f t="shared" ref="R160" si="777">R161+Q160</f>
        <v>-2837112034.1337466</v>
      </c>
      <c r="S160">
        <f t="shared" ref="S160" si="778">R160/100000</f>
        <v>-28371.120341337468</v>
      </c>
      <c r="T160">
        <f t="shared" ref="T160" si="779">S160/1000</f>
        <v>-28.371120341337466</v>
      </c>
    </row>
    <row r="161" spans="1:20" x14ac:dyDescent="0.25">
      <c r="A161" s="5">
        <v>44432</v>
      </c>
      <c r="B161">
        <v>0.10013</v>
      </c>
      <c r="C161">
        <v>0.10068000000000001</v>
      </c>
      <c r="D161">
        <v>8.881E-2</v>
      </c>
      <c r="E161">
        <v>9.0300000000000005E-2</v>
      </c>
      <c r="F161">
        <v>37698416.600000001</v>
      </c>
      <c r="G161">
        <v>9.0300000000000005E-2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-0.74894692502106075</v>
      </c>
      <c r="Q161">
        <f t="shared" ref="Q161" si="781">F161*P161</f>
        <v>-28234113.190732911</v>
      </c>
      <c r="R161">
        <f t="shared" ref="R161" si="782">R162+Q161</f>
        <v>-2862710505.8568749</v>
      </c>
      <c r="S161">
        <f t="shared" ref="S161" si="783">R161/100000</f>
        <v>-28627.105058568748</v>
      </c>
      <c r="T161">
        <f t="shared" ref="T161" si="784">S161/1000</f>
        <v>-28.627105058568748</v>
      </c>
    </row>
    <row r="162" spans="1:20" x14ac:dyDescent="0.25">
      <c r="A162" s="5">
        <v>44431</v>
      </c>
      <c r="B162">
        <v>0.10451000000000001</v>
      </c>
      <c r="C162">
        <v>0.10753</v>
      </c>
      <c r="D162">
        <v>9.8110000000000003E-2</v>
      </c>
      <c r="E162">
        <v>0.10001</v>
      </c>
      <c r="F162">
        <v>48516506.5</v>
      </c>
      <c r="G162">
        <v>0.10001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-0.59660297239915083</v>
      </c>
      <c r="Q162">
        <f t="shared" ref="Q162" si="786">F162*P162</f>
        <v>-28945091.988322724</v>
      </c>
      <c r="R162">
        <f t="shared" ref="R162" si="787">R163+Q162</f>
        <v>-2834476392.666142</v>
      </c>
      <c r="S162">
        <f t="shared" ref="S162" si="788">R162/100000</f>
        <v>-28344.763926661421</v>
      </c>
      <c r="T162">
        <f t="shared" ref="T162" si="789">S162/1000</f>
        <v>-28.344763926661422</v>
      </c>
    </row>
    <row r="163" spans="1:20" x14ac:dyDescent="0.25">
      <c r="A163" s="5">
        <v>44430</v>
      </c>
      <c r="B163">
        <v>9.7159999999999996E-2</v>
      </c>
      <c r="C163">
        <v>0.10069</v>
      </c>
      <c r="D163">
        <v>9.4229999999999994E-2</v>
      </c>
      <c r="E163">
        <v>9.7650000000000001E-2</v>
      </c>
      <c r="F163">
        <v>10405668.4</v>
      </c>
      <c r="G163">
        <v>9.7650000000000001E-2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5.8823529411765461E-2</v>
      </c>
      <c r="Q163">
        <f t="shared" ref="Q163" si="791">F163*P163</f>
        <v>612098.14117647847</v>
      </c>
      <c r="R163">
        <f t="shared" ref="R163" si="792">R164+Q163</f>
        <v>-2805531300.6778193</v>
      </c>
      <c r="S163">
        <f t="shared" ref="S163" si="793">R163/100000</f>
        <v>-28055.313006778193</v>
      </c>
      <c r="T163">
        <f t="shared" ref="T163" si="794">S163/1000</f>
        <v>-28.055313006778192</v>
      </c>
    </row>
    <row r="164" spans="1:20" x14ac:dyDescent="0.25">
      <c r="A164" s="5">
        <v>44429</v>
      </c>
      <c r="B164">
        <v>9.4780000000000003E-2</v>
      </c>
      <c r="C164">
        <v>0.10161000000000001</v>
      </c>
      <c r="D164">
        <v>9.1939999999999994E-2</v>
      </c>
      <c r="E164">
        <v>9.7170000000000006E-2</v>
      </c>
      <c r="F164">
        <v>46320571.600000001</v>
      </c>
      <c r="G164">
        <v>9.7170000000000006E-2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8.1695966907964004E-2</v>
      </c>
      <c r="Q164">
        <f t="shared" ref="Q164" si="796">F164*P164</f>
        <v>3784203.8845915776</v>
      </c>
      <c r="R164">
        <f t="shared" ref="R164" si="797">R165+Q164</f>
        <v>-2806143398.818996</v>
      </c>
      <c r="S164">
        <f t="shared" ref="S164" si="798">R164/100000</f>
        <v>-28061.433988189958</v>
      </c>
      <c r="T164">
        <f t="shared" ref="T164" si="799">S164/1000</f>
        <v>-28.061433988189957</v>
      </c>
    </row>
    <row r="165" spans="1:20" x14ac:dyDescent="0.25">
      <c r="A165" s="5">
        <v>44428</v>
      </c>
      <c r="B165">
        <v>9.1350000000000001E-2</v>
      </c>
      <c r="C165">
        <v>9.6000000000000002E-2</v>
      </c>
      <c r="D165">
        <v>8.9039999999999994E-2</v>
      </c>
      <c r="E165">
        <v>9.4700000000000006E-2</v>
      </c>
      <c r="F165">
        <v>43452528.899999999</v>
      </c>
      <c r="G165">
        <v>9.4700000000000006E-2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0.62643678160919714</v>
      </c>
      <c r="Q165">
        <f t="shared" ref="Q165" si="801">F165*P165</f>
        <v>27220262.356896628</v>
      </c>
      <c r="R165">
        <f t="shared" ref="R165" si="802">R166+Q165</f>
        <v>-2809927602.7035875</v>
      </c>
      <c r="S165">
        <f t="shared" ref="S165" si="803">R165/100000</f>
        <v>-28099.276027035874</v>
      </c>
      <c r="T165">
        <f t="shared" ref="T165" si="804">S165/1000</f>
        <v>-28.099276027035874</v>
      </c>
    </row>
    <row r="166" spans="1:20" x14ac:dyDescent="0.25">
      <c r="A166" s="5">
        <v>44427</v>
      </c>
      <c r="B166">
        <v>8.3669999999999994E-2</v>
      </c>
      <c r="C166">
        <v>9.1420000000000001E-2</v>
      </c>
      <c r="D166">
        <v>8.0390000000000003E-2</v>
      </c>
      <c r="E166">
        <v>9.1350000000000001E-2</v>
      </c>
      <c r="F166">
        <v>34938941.5</v>
      </c>
      <c r="G166">
        <v>9.1350000000000001E-2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0.98730734360834083</v>
      </c>
      <c r="Q166">
        <f t="shared" ref="Q166" si="806">F166*P166</f>
        <v>34495473.520852216</v>
      </c>
      <c r="R166">
        <f t="shared" ref="R166" si="807">R167+Q166</f>
        <v>-2837147865.0604839</v>
      </c>
      <c r="S166">
        <f t="shared" ref="S166" si="808">R166/100000</f>
        <v>-28371.47865060484</v>
      </c>
      <c r="T166">
        <f t="shared" ref="T166" si="809">S166/1000</f>
        <v>-28.371478650604839</v>
      </c>
    </row>
    <row r="167" spans="1:20" x14ac:dyDescent="0.25">
      <c r="A167" s="5">
        <v>44426</v>
      </c>
      <c r="B167">
        <v>8.3820000000000006E-2</v>
      </c>
      <c r="C167">
        <v>8.5819999999999994E-2</v>
      </c>
      <c r="D167">
        <v>7.9100000000000004E-2</v>
      </c>
      <c r="E167">
        <v>8.4000000000000005E-2</v>
      </c>
      <c r="F167">
        <v>30771002</v>
      </c>
      <c r="G167">
        <v>8.4000000000000005E-2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0.45833333333333598</v>
      </c>
      <c r="Q167">
        <f t="shared" ref="Q167" si="811">F167*P167</f>
        <v>14103375.916666748</v>
      </c>
      <c r="R167">
        <f t="shared" ref="R167" si="812">R168+Q167</f>
        <v>-2871643338.581336</v>
      </c>
      <c r="S167">
        <f t="shared" ref="S167" si="813">R167/100000</f>
        <v>-28716.433385813361</v>
      </c>
      <c r="T167">
        <f t="shared" ref="T167" si="814">S167/1000</f>
        <v>-28.71643338581336</v>
      </c>
    </row>
    <row r="168" spans="1:20" x14ac:dyDescent="0.25">
      <c r="A168" s="5">
        <v>44425</v>
      </c>
      <c r="B168">
        <v>9.1800000000000007E-2</v>
      </c>
      <c r="C168">
        <v>9.4E-2</v>
      </c>
      <c r="D168">
        <v>8.2849999999999993E-2</v>
      </c>
      <c r="E168">
        <v>8.3799999999999999E-2</v>
      </c>
      <c r="F168">
        <v>35223979.799999997</v>
      </c>
      <c r="G168">
        <v>8.3799999999999999E-2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-0.82959641255605276</v>
      </c>
      <c r="Q168">
        <f t="shared" ref="Q168" si="816">F168*P168</f>
        <v>-29221687.278026868</v>
      </c>
      <c r="R168">
        <f t="shared" ref="R168" si="817">R169+Q168</f>
        <v>-2885746714.498003</v>
      </c>
      <c r="S168">
        <f t="shared" ref="S168" si="818">R168/100000</f>
        <v>-28857.46714498003</v>
      </c>
      <c r="T168">
        <f t="shared" ref="T168" si="819">S168/1000</f>
        <v>-28.857467144980031</v>
      </c>
    </row>
    <row r="169" spans="1:20" x14ac:dyDescent="0.25">
      <c r="A169" s="5">
        <v>44424</v>
      </c>
      <c r="B169">
        <v>9.0450000000000003E-2</v>
      </c>
      <c r="C169">
        <v>9.7000000000000003E-2</v>
      </c>
      <c r="D169">
        <v>8.9529999999999998E-2</v>
      </c>
      <c r="E169">
        <v>9.1759999999999994E-2</v>
      </c>
      <c r="F169">
        <v>66986579.200000003</v>
      </c>
      <c r="G169">
        <v>9.1759999999999994E-2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-0.40294511378848874</v>
      </c>
      <c r="Q169">
        <f t="shared" ref="Q169" si="821">F169*P169</f>
        <v>-26991914.778045613</v>
      </c>
      <c r="R169">
        <f t="shared" ref="R169" si="822">R170+Q169</f>
        <v>-2856525027.2199759</v>
      </c>
      <c r="S169">
        <f t="shared" ref="S169" si="823">R169/100000</f>
        <v>-28565.250272199759</v>
      </c>
      <c r="T169">
        <f t="shared" ref="T169" si="824">S169/1000</f>
        <v>-28.565250272199759</v>
      </c>
    </row>
    <row r="170" spans="1:20" x14ac:dyDescent="0.25">
      <c r="A170" s="5">
        <v>44423</v>
      </c>
      <c r="B170">
        <v>8.9730000000000004E-2</v>
      </c>
      <c r="C170">
        <v>9.1499999999999998E-2</v>
      </c>
      <c r="D170">
        <v>8.48E-2</v>
      </c>
      <c r="E170">
        <v>9.0450000000000003E-2</v>
      </c>
      <c r="F170">
        <v>44015994.5</v>
      </c>
      <c r="G170">
        <v>9.0450000000000003E-2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0.68656716417910579</v>
      </c>
      <c r="Q170">
        <f t="shared" ref="Q170" si="826">F170*P170</f>
        <v>30219936.522388119</v>
      </c>
      <c r="R170">
        <f t="shared" ref="R170" si="827">R171+Q170</f>
        <v>-2829533112.4419303</v>
      </c>
      <c r="S170">
        <f t="shared" ref="S170" si="828">R170/100000</f>
        <v>-28295.331124419303</v>
      </c>
      <c r="T170">
        <f t="shared" ref="T170" si="829">S170/1000</f>
        <v>-28.295331124419302</v>
      </c>
    </row>
    <row r="171" spans="1:20" x14ac:dyDescent="0.25">
      <c r="A171" s="5">
        <v>44422</v>
      </c>
      <c r="B171">
        <v>9.2899999999999996E-2</v>
      </c>
      <c r="C171">
        <v>9.4460000000000002E-2</v>
      </c>
      <c r="D171">
        <v>8.6199999999999999E-2</v>
      </c>
      <c r="E171">
        <v>8.9510000000000006E-2</v>
      </c>
      <c r="F171">
        <v>41767129</v>
      </c>
      <c r="G171">
        <v>8.9510000000000006E-2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-0.19854721549636659</v>
      </c>
      <c r="Q171">
        <f t="shared" ref="Q171" si="831">F171*P171</f>
        <v>-8292747.1622275421</v>
      </c>
      <c r="R171">
        <f t="shared" ref="R171" si="832">R172+Q171</f>
        <v>-2859753048.9643183</v>
      </c>
      <c r="S171">
        <f t="shared" ref="S171" si="833">R171/100000</f>
        <v>-28597.530489643184</v>
      </c>
      <c r="T171">
        <f t="shared" ref="T171" si="834">S171/1000</f>
        <v>-28.597530489643184</v>
      </c>
    </row>
    <row r="172" spans="1:20" x14ac:dyDescent="0.25">
      <c r="A172" s="5">
        <v>44421</v>
      </c>
      <c r="B172">
        <v>8.6220000000000005E-2</v>
      </c>
      <c r="C172">
        <v>9.554E-2</v>
      </c>
      <c r="D172">
        <v>8.6150000000000004E-2</v>
      </c>
      <c r="E172">
        <v>9.2719999999999997E-2</v>
      </c>
      <c r="F172">
        <v>59556773.899999999</v>
      </c>
      <c r="G172">
        <v>9.2719999999999997E-2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0.39936102236421633</v>
      </c>
      <c r="Q172">
        <f t="shared" ref="Q172" si="836">F172*P172</f>
        <v>23784654.113418475</v>
      </c>
      <c r="R172">
        <f t="shared" ref="R172" si="837">R173+Q172</f>
        <v>-2851460301.8020906</v>
      </c>
      <c r="S172">
        <f t="shared" ref="S172" si="838">R172/100000</f>
        <v>-28514.603018020905</v>
      </c>
      <c r="T172">
        <f t="shared" ref="T172" si="839">S172/1000</f>
        <v>-28.514603018020907</v>
      </c>
    </row>
    <row r="173" spans="1:20" x14ac:dyDescent="0.25">
      <c r="A173" s="5">
        <v>44420</v>
      </c>
      <c r="B173">
        <v>8.7859999999999994E-2</v>
      </c>
      <c r="C173">
        <v>9.4130000000000005E-2</v>
      </c>
      <c r="D173">
        <v>8.1379999999999994E-2</v>
      </c>
      <c r="E173">
        <v>8.5999999999999993E-2</v>
      </c>
      <c r="F173">
        <v>75784827.200000003</v>
      </c>
      <c r="G173">
        <v>8.5999999999999993E-2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-0.27529411764705963</v>
      </c>
      <c r="Q173">
        <f t="shared" ref="Q173" si="841">F173*P173</f>
        <v>-20863117.135058887</v>
      </c>
      <c r="R173">
        <f t="shared" ref="R173" si="842">R174+Q173</f>
        <v>-2875244955.9155092</v>
      </c>
      <c r="S173">
        <f t="shared" ref="S173" si="843">R173/100000</f>
        <v>-28752.449559155091</v>
      </c>
      <c r="T173">
        <f t="shared" ref="T173" si="844">S173/1000</f>
        <v>-28.752449559155092</v>
      </c>
    </row>
    <row r="174" spans="1:20" x14ac:dyDescent="0.25">
      <c r="A174" s="5">
        <v>44419</v>
      </c>
      <c r="B174">
        <v>8.344E-2</v>
      </c>
      <c r="C174">
        <v>9.5990000000000006E-2</v>
      </c>
      <c r="D174">
        <v>8.3320000000000005E-2</v>
      </c>
      <c r="E174">
        <v>8.7980000000000003E-2</v>
      </c>
      <c r="F174">
        <v>123086034.90000001</v>
      </c>
      <c r="G174">
        <v>8.7980000000000003E-2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-0.26440410418311017</v>
      </c>
      <c r="Q174">
        <f t="shared" ref="Q174" si="846">F174*P174</f>
        <v>-32544452.795185536</v>
      </c>
      <c r="R174">
        <f t="shared" ref="R174" si="847">R175+Q174</f>
        <v>-2854381838.7804503</v>
      </c>
      <c r="S174">
        <f t="shared" ref="S174" si="848">R174/100000</f>
        <v>-28543.818387804502</v>
      </c>
      <c r="T174">
        <f t="shared" ref="T174" si="849">S174/1000</f>
        <v>-28.543818387804503</v>
      </c>
    </row>
    <row r="175" spans="1:20" x14ac:dyDescent="0.25">
      <c r="A175" s="5">
        <v>44418</v>
      </c>
      <c r="B175">
        <v>8.3159999999999998E-2</v>
      </c>
      <c r="C175">
        <v>8.8999999999999996E-2</v>
      </c>
      <c r="D175">
        <v>7.8609999999999999E-2</v>
      </c>
      <c r="E175">
        <v>8.337E-2</v>
      </c>
      <c r="F175">
        <v>90925237.099999994</v>
      </c>
      <c r="G175">
        <v>8.337E-2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-8.3734359961501068E-2</v>
      </c>
      <c r="Q175">
        <f t="shared" ref="Q175" si="851">F175*P175</f>
        <v>-7613566.5329162311</v>
      </c>
      <c r="R175">
        <f t="shared" ref="R175" si="852">R176+Q175</f>
        <v>-2821837385.9852648</v>
      </c>
      <c r="S175">
        <f t="shared" ref="S175" si="853">R175/100000</f>
        <v>-28218.373859852647</v>
      </c>
      <c r="T175">
        <f t="shared" ref="T175" si="854">S175/1000</f>
        <v>-28.218373859852647</v>
      </c>
    </row>
    <row r="176" spans="1:20" x14ac:dyDescent="0.25">
      <c r="A176" s="5">
        <v>44417</v>
      </c>
      <c r="B176">
        <v>7.3300000000000004E-2</v>
      </c>
      <c r="C176">
        <v>8.7999999999999995E-2</v>
      </c>
      <c r="D176">
        <v>7.177E-2</v>
      </c>
      <c r="E176">
        <v>8.3159999999999998E-2</v>
      </c>
      <c r="F176">
        <v>130909469</v>
      </c>
      <c r="G176">
        <v>8.3159999999999998E-2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0.40357362908194716</v>
      </c>
      <c r="Q176">
        <f t="shared" ref="Q176" si="856">F176*P176</f>
        <v>52831609.485520661</v>
      </c>
      <c r="R176">
        <f t="shared" ref="R176" si="857">R177+Q176</f>
        <v>-2814223819.4523487</v>
      </c>
      <c r="S176">
        <f t="shared" ref="S176" si="858">R176/100000</f>
        <v>-28142.238194523488</v>
      </c>
      <c r="T176">
        <f t="shared" ref="T176" si="859">S176/1000</f>
        <v>-28.14223819452349</v>
      </c>
    </row>
    <row r="177" spans="1:20" x14ac:dyDescent="0.25">
      <c r="A177" s="5">
        <v>44416</v>
      </c>
      <c r="B177">
        <v>7.9579999999999998E-2</v>
      </c>
      <c r="C177">
        <v>8.0799999999999997E-2</v>
      </c>
      <c r="D177">
        <v>7.1370000000000003E-2</v>
      </c>
      <c r="E177">
        <v>7.3469999999999994E-2</v>
      </c>
      <c r="F177">
        <v>52760835.799999997</v>
      </c>
      <c r="G177">
        <v>7.3469999999999994E-2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-0.55461293743372386</v>
      </c>
      <c r="Q177">
        <f t="shared" ref="Q177" si="861">F177*P177</f>
        <v>-29261842.124496378</v>
      </c>
      <c r="R177">
        <f t="shared" ref="R177" si="862">R178+Q177</f>
        <v>-2867055428.9378695</v>
      </c>
      <c r="S177">
        <f t="shared" ref="S177" si="863">R177/100000</f>
        <v>-28670.554289378695</v>
      </c>
      <c r="T177">
        <f t="shared" ref="T177" si="864">S177/1000</f>
        <v>-28.670554289378696</v>
      </c>
    </row>
    <row r="178" spans="1:20" x14ac:dyDescent="0.25">
      <c r="A178" s="5">
        <v>44415</v>
      </c>
      <c r="B178">
        <v>7.8380000000000005E-2</v>
      </c>
      <c r="C178">
        <v>8.7999999999999995E-2</v>
      </c>
      <c r="D178">
        <v>7.5520000000000004E-2</v>
      </c>
      <c r="E178">
        <v>7.9519999999999993E-2</v>
      </c>
      <c r="F178">
        <v>91328947.599999994</v>
      </c>
      <c r="G178">
        <v>7.9519999999999993E-2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-0.3589743589743602</v>
      </c>
      <c r="Q178">
        <f t="shared" ref="Q178" si="866">F178*P178</f>
        <v>-32784750.42051293</v>
      </c>
      <c r="R178">
        <f t="shared" ref="R178" si="867">R179+Q178</f>
        <v>-2837793586.8133731</v>
      </c>
      <c r="S178">
        <f t="shared" ref="S178" si="868">R178/100000</f>
        <v>-28377.935868133733</v>
      </c>
      <c r="T178">
        <f t="shared" ref="T178" si="869">S178/1000</f>
        <v>-28.377935868133733</v>
      </c>
    </row>
    <row r="179" spans="1:20" x14ac:dyDescent="0.25">
      <c r="A179" s="5">
        <v>44414</v>
      </c>
      <c r="B179">
        <v>7.1760000000000004E-2</v>
      </c>
      <c r="C179">
        <v>8.3839999999999998E-2</v>
      </c>
      <c r="D179">
        <v>7.0989999999999998E-2</v>
      </c>
      <c r="E179">
        <v>7.8380000000000005E-2</v>
      </c>
      <c r="F179">
        <v>136021708.30000001</v>
      </c>
      <c r="G179">
        <v>7.8380000000000005E-2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0.15019455252918404</v>
      </c>
      <c r="Q179">
        <f t="shared" ref="Q179" si="871">F179*P179</f>
        <v>20429719.612373699</v>
      </c>
      <c r="R179">
        <f t="shared" ref="R179" si="872">R180+Q179</f>
        <v>-2805008836.3928599</v>
      </c>
      <c r="S179">
        <f t="shared" ref="S179" si="873">R179/100000</f>
        <v>-28050.0883639286</v>
      </c>
      <c r="T179">
        <f t="shared" ref="T179" si="874">S179/1000</f>
        <v>-28.050088363928602</v>
      </c>
    </row>
    <row r="180" spans="1:20" x14ac:dyDescent="0.25">
      <c r="A180" s="5">
        <v>44413</v>
      </c>
      <c r="B180">
        <v>6.4280000000000004E-2</v>
      </c>
      <c r="C180">
        <v>7.85E-2</v>
      </c>
      <c r="D180">
        <v>6.2350000000000003E-2</v>
      </c>
      <c r="E180">
        <v>7.1790000000000007E-2</v>
      </c>
      <c r="F180">
        <v>188549270</v>
      </c>
      <c r="G180">
        <v>7.1790000000000007E-2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0.16904024767801923</v>
      </c>
      <c r="Q180">
        <f t="shared" ref="Q180" si="876">F180*P180</f>
        <v>31872415.300309721</v>
      </c>
      <c r="R180">
        <f t="shared" ref="R180" si="877">R181+Q180</f>
        <v>-2825438556.0052338</v>
      </c>
      <c r="S180">
        <f t="shared" ref="S180" si="878">R180/100000</f>
        <v>-28254.385560052338</v>
      </c>
      <c r="T180">
        <f t="shared" ref="T180" si="879">S180/1000</f>
        <v>-28.254385560052338</v>
      </c>
    </row>
    <row r="181" spans="1:20" x14ac:dyDescent="0.25">
      <c r="A181" s="5">
        <v>44412</v>
      </c>
      <c r="B181">
        <v>6.336E-2</v>
      </c>
      <c r="C181">
        <v>6.4979999999999996E-2</v>
      </c>
      <c r="D181">
        <v>6.0630000000000003E-2</v>
      </c>
      <c r="E181">
        <v>6.4329999999999998E-2</v>
      </c>
      <c r="F181">
        <v>25323150.899999999</v>
      </c>
      <c r="G181">
        <v>6.4329999999999998E-2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0.7011494252873568</v>
      </c>
      <c r="Q181">
        <f t="shared" ref="Q181" si="881">F181*P181</f>
        <v>17755312.70000001</v>
      </c>
      <c r="R181">
        <f t="shared" ref="R181" si="882">R182+Q181</f>
        <v>-2857310971.3055434</v>
      </c>
      <c r="S181">
        <f t="shared" ref="S181" si="883">R181/100000</f>
        <v>-28573.109713055434</v>
      </c>
      <c r="T181">
        <f t="shared" ref="T181" si="884">S181/1000</f>
        <v>-28.573109713055434</v>
      </c>
    </row>
    <row r="182" spans="1:20" x14ac:dyDescent="0.25">
      <c r="A182" s="5">
        <v>44411</v>
      </c>
      <c r="B182">
        <v>6.368E-2</v>
      </c>
      <c r="C182">
        <v>6.5879999999999994E-2</v>
      </c>
      <c r="D182">
        <v>6.2100000000000002E-2</v>
      </c>
      <c r="E182">
        <v>6.3219999999999998E-2</v>
      </c>
      <c r="F182">
        <v>27332641.600000001</v>
      </c>
      <c r="G182">
        <v>6.3219999999999998E-2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-0.40740740740740822</v>
      </c>
      <c r="Q182">
        <f t="shared" ref="Q182" si="886">F182*P182</f>
        <v>-11135520.651851874</v>
      </c>
      <c r="R182">
        <f t="shared" ref="R182" si="887">R183+Q182</f>
        <v>-2875066284.0055432</v>
      </c>
      <c r="S182">
        <f t="shared" ref="S182" si="888">R182/100000</f>
        <v>-28750.662840055433</v>
      </c>
      <c r="T182">
        <f t="shared" ref="T182" si="889">S182/1000</f>
        <v>-28.750662840055433</v>
      </c>
    </row>
    <row r="183" spans="1:20" x14ac:dyDescent="0.25">
      <c r="A183" s="5">
        <v>44410</v>
      </c>
      <c r="B183">
        <v>6.2549999999999994E-2</v>
      </c>
      <c r="C183">
        <v>6.5159999999999996E-2</v>
      </c>
      <c r="D183">
        <v>6.1530000000000001E-2</v>
      </c>
      <c r="E183">
        <v>6.3579999999999998E-2</v>
      </c>
      <c r="F183">
        <v>10813964.9</v>
      </c>
      <c r="G183">
        <v>6.3579999999999998E-2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0.12947658402203827</v>
      </c>
      <c r="Q183">
        <f t="shared" ref="Q183" si="891">F183*P183</f>
        <v>1400155.2349862226</v>
      </c>
      <c r="R183">
        <f t="shared" ref="R183" si="892">R184+Q183</f>
        <v>-2863930763.3536916</v>
      </c>
      <c r="S183">
        <f t="shared" ref="S183" si="893">R183/100000</f>
        <v>-28639.307633536915</v>
      </c>
      <c r="T183">
        <f t="shared" ref="T183" si="894">S183/1000</f>
        <v>-28.639307633536916</v>
      </c>
    </row>
    <row r="184" spans="1:20" x14ac:dyDescent="0.25">
      <c r="A184" s="5">
        <v>44409</v>
      </c>
      <c r="B184">
        <v>6.4189999999999997E-2</v>
      </c>
      <c r="C184">
        <v>6.6699999999999995E-2</v>
      </c>
      <c r="D184">
        <v>6.241E-2</v>
      </c>
      <c r="E184">
        <v>6.2449999999999999E-2</v>
      </c>
      <c r="F184">
        <v>17181509.300000001</v>
      </c>
      <c r="G184">
        <v>6.2449999999999999E-2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-0.98135198135198209</v>
      </c>
      <c r="Q184">
        <f t="shared" ref="Q184" si="896">F184*P184</f>
        <v>-16861108.194172509</v>
      </c>
      <c r="R184">
        <f t="shared" ref="R184" si="897">R185+Q184</f>
        <v>-2865330918.5886779</v>
      </c>
      <c r="S184">
        <f t="shared" ref="S184" si="898">R184/100000</f>
        <v>-28653.309185886777</v>
      </c>
      <c r="T184">
        <f t="shared" ref="T184" si="899">S184/1000</f>
        <v>-28.653309185886776</v>
      </c>
    </row>
    <row r="185" spans="1:20" x14ac:dyDescent="0.25">
      <c r="A185" s="5">
        <v>44408</v>
      </c>
      <c r="B185">
        <v>6.4979999999999996E-2</v>
      </c>
      <c r="C185">
        <v>6.5640000000000004E-2</v>
      </c>
      <c r="D185">
        <v>6.3170000000000004E-2</v>
      </c>
      <c r="E185">
        <v>6.404E-2</v>
      </c>
      <c r="F185">
        <v>13760595.6</v>
      </c>
      <c r="G185">
        <v>6.404E-2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-0.29554655870445684</v>
      </c>
      <c r="Q185">
        <f t="shared" ref="Q185" si="901">F185*P185</f>
        <v>-4066896.6753036906</v>
      </c>
      <c r="R185">
        <f t="shared" ref="R185" si="902">R186+Q185</f>
        <v>-2848469810.3945055</v>
      </c>
      <c r="S185">
        <f t="shared" ref="S185" si="903">R185/100000</f>
        <v>-28484.698103945055</v>
      </c>
      <c r="T185">
        <f t="shared" ref="T185" si="904">S185/1000</f>
        <v>-28.484698103945053</v>
      </c>
    </row>
    <row r="186" spans="1:20" x14ac:dyDescent="0.25">
      <c r="A186" s="5">
        <v>44407</v>
      </c>
      <c r="B186">
        <v>6.2729999999999994E-2</v>
      </c>
      <c r="C186">
        <v>6.6000000000000003E-2</v>
      </c>
      <c r="D186">
        <v>6.1210000000000001E-2</v>
      </c>
      <c r="E186">
        <v>6.4939999999999998E-2</v>
      </c>
      <c r="F186">
        <v>34658376.100000001</v>
      </c>
      <c r="G186">
        <v>6.4939999999999998E-2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0.55741127348642805</v>
      </c>
      <c r="Q186">
        <f t="shared" ref="Q186" si="906">F186*P186</f>
        <v>19318969.558872584</v>
      </c>
      <c r="R186">
        <f t="shared" ref="R186" si="907">R187+Q186</f>
        <v>-2844402913.719202</v>
      </c>
      <c r="S186">
        <f t="shared" ref="S186" si="908">R186/100000</f>
        <v>-28444.029137192021</v>
      </c>
      <c r="T186">
        <f t="shared" ref="T186" si="909">S186/1000</f>
        <v>-28.444029137192022</v>
      </c>
    </row>
    <row r="187" spans="1:20" x14ac:dyDescent="0.25">
      <c r="A187" s="5">
        <v>44406</v>
      </c>
      <c r="B187">
        <v>6.1120000000000001E-2</v>
      </c>
      <c r="C187">
        <v>6.3880000000000006E-2</v>
      </c>
      <c r="D187">
        <v>5.9499999999999997E-2</v>
      </c>
      <c r="E187">
        <v>6.2579999999999997E-2</v>
      </c>
      <c r="F187">
        <v>25215370.199999999</v>
      </c>
      <c r="G187">
        <v>6.2579999999999997E-2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0.40639269406392381</v>
      </c>
      <c r="Q187">
        <f t="shared" ref="Q187" si="911">F187*P187</f>
        <v>10247342.227397181</v>
      </c>
      <c r="R187">
        <f t="shared" ref="R187" si="912">R188+Q187</f>
        <v>-2863721883.2780747</v>
      </c>
      <c r="S187">
        <f t="shared" ref="S187" si="913">R187/100000</f>
        <v>-28637.218832780749</v>
      </c>
      <c r="T187">
        <f t="shared" ref="T187" si="914">S187/1000</f>
        <v>-28.63721883278075</v>
      </c>
    </row>
    <row r="188" spans="1:20" x14ac:dyDescent="0.25">
      <c r="A188" s="5">
        <v>44405</v>
      </c>
      <c r="B188">
        <v>6.0040000000000003E-2</v>
      </c>
      <c r="C188">
        <v>6.3390000000000002E-2</v>
      </c>
      <c r="D188">
        <v>5.8459999999999998E-2</v>
      </c>
      <c r="E188">
        <v>6.0970000000000003E-2</v>
      </c>
      <c r="F188">
        <v>44017306.100000001</v>
      </c>
      <c r="G188">
        <v>6.0970000000000003E-2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1.8255578093307641E-2</v>
      </c>
      <c r="Q188">
        <f t="shared" ref="Q188" si="916">F188*P188</f>
        <v>803561.36896557687</v>
      </c>
      <c r="R188">
        <f t="shared" ref="R188" si="917">R189+Q188</f>
        <v>-2873969225.5054717</v>
      </c>
      <c r="S188">
        <f t="shared" ref="S188" si="918">R188/100000</f>
        <v>-28739.692255054717</v>
      </c>
      <c r="T188">
        <f t="shared" ref="T188" si="919">S188/1000</f>
        <v>-28.739692255054717</v>
      </c>
    </row>
    <row r="189" spans="1:20" x14ac:dyDescent="0.25">
      <c r="A189" s="5">
        <v>44404</v>
      </c>
      <c r="B189">
        <v>5.7529999999999998E-2</v>
      </c>
      <c r="C189">
        <v>6.0979999999999999E-2</v>
      </c>
      <c r="D189">
        <v>5.5210000000000002E-2</v>
      </c>
      <c r="E189">
        <v>6.0100000000000001E-2</v>
      </c>
      <c r="F189">
        <v>41951434</v>
      </c>
      <c r="G189">
        <v>6.0100000000000001E-2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0.69497400346620475</v>
      </c>
      <c r="Q189">
        <f t="shared" ref="Q189" si="921">F189*P189</f>
        <v>29155156.038128261</v>
      </c>
      <c r="R189">
        <f t="shared" ref="R189" si="922">R190+Q189</f>
        <v>-2874772786.8744373</v>
      </c>
      <c r="S189">
        <f t="shared" ref="S189" si="923">R189/100000</f>
        <v>-28747.727868744372</v>
      </c>
      <c r="T189">
        <f t="shared" ref="T189" si="924">S189/1000</f>
        <v>-28.747727868744374</v>
      </c>
    </row>
    <row r="190" spans="1:20" x14ac:dyDescent="0.25">
      <c r="A190" s="5">
        <v>44403</v>
      </c>
      <c r="B190">
        <v>5.8110000000000002E-2</v>
      </c>
      <c r="C190">
        <v>6.4600000000000005E-2</v>
      </c>
      <c r="D190">
        <v>5.7489999999999999E-2</v>
      </c>
      <c r="E190">
        <v>5.7529999999999998E-2</v>
      </c>
      <c r="F190">
        <v>72985349.299999997</v>
      </c>
      <c r="G190">
        <v>5.7529999999999998E-2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-0.98874824191279931</v>
      </c>
      <c r="Q190">
        <f t="shared" ref="Q190" si="926">F190*P190</f>
        <v>-72164135.805766553</v>
      </c>
      <c r="R190">
        <f t="shared" ref="R190" si="927">R191+Q190</f>
        <v>-2903927942.9125657</v>
      </c>
      <c r="S190">
        <f t="shared" ref="S190" si="928">R190/100000</f>
        <v>-29039.279429125658</v>
      </c>
      <c r="T190">
        <f t="shared" ref="T190" si="929">S190/1000</f>
        <v>-29.039279429125656</v>
      </c>
    </row>
    <row r="191" spans="1:20" x14ac:dyDescent="0.25">
      <c r="A191" s="5">
        <v>44402</v>
      </c>
      <c r="B191">
        <v>5.8400000000000001E-2</v>
      </c>
      <c r="C191">
        <v>0.06</v>
      </c>
      <c r="D191">
        <v>5.4879999999999998E-2</v>
      </c>
      <c r="E191">
        <v>5.8119999999999998E-2</v>
      </c>
      <c r="F191">
        <v>28586306.100000001</v>
      </c>
      <c r="G191">
        <v>5.8119999999999998E-2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0.26562500000000006</v>
      </c>
      <c r="Q191">
        <f t="shared" ref="Q191" si="931">F191*P191</f>
        <v>7593237.5578125017</v>
      </c>
      <c r="R191">
        <f t="shared" ref="R191" si="932">R192+Q191</f>
        <v>-2831763807.1067991</v>
      </c>
      <c r="S191">
        <f t="shared" ref="S191" si="933">R191/100000</f>
        <v>-28317.638071067991</v>
      </c>
      <c r="T191">
        <f t="shared" ref="T191:T197" si="934">S191/1000</f>
        <v>-28.317638071067993</v>
      </c>
    </row>
    <row r="192" spans="1:20" x14ac:dyDescent="0.25">
      <c r="A192" s="5">
        <v>44401</v>
      </c>
      <c r="B192">
        <v>5.7549999999999997E-2</v>
      </c>
      <c r="C192">
        <v>6.0199999999999997E-2</v>
      </c>
      <c r="D192">
        <v>5.6279999999999997E-2</v>
      </c>
      <c r="E192">
        <v>5.833E-2</v>
      </c>
      <c r="F192">
        <v>30342258.699999999</v>
      </c>
      <c r="G192">
        <v>5.833E-2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4.5918367346940443E-2</v>
      </c>
      <c r="Q192">
        <f t="shared" ref="Q192" si="936">F192*P192</f>
        <v>1393266.9811224996</v>
      </c>
      <c r="R192">
        <f t="shared" ref="R192" si="937">R193+Q192</f>
        <v>-2839357044.6646118</v>
      </c>
      <c r="S192">
        <f t="shared" ref="S192" si="938">R192/100000</f>
        <v>-28393.570446646117</v>
      </c>
      <c r="T192">
        <f t="shared" si="934"/>
        <v>-28.393570446646116</v>
      </c>
    </row>
    <row r="193" spans="1:20" x14ac:dyDescent="0.25">
      <c r="A193" s="5">
        <v>44400</v>
      </c>
      <c r="B193">
        <v>5.432E-2</v>
      </c>
      <c r="C193">
        <v>5.8959999999999999E-2</v>
      </c>
      <c r="D193">
        <v>5.3409999999999999E-2</v>
      </c>
      <c r="E193">
        <v>5.7529999999999998E-2</v>
      </c>
      <c r="F193">
        <v>42890941.100000001</v>
      </c>
      <c r="G193">
        <v>5.7529999999999998E-2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0.4846846846846844</v>
      </c>
      <c r="Q193">
        <f t="shared" ref="Q193" si="940">F193*P193</f>
        <v>20788582.26288287</v>
      </c>
      <c r="R193">
        <f t="shared" ref="R193" si="941">R194+Q193</f>
        <v>-2840750311.6457343</v>
      </c>
      <c r="S193">
        <f t="shared" ref="S193" si="942">R193/100000</f>
        <v>-28407.503116457345</v>
      </c>
      <c r="T193">
        <f t="shared" si="934"/>
        <v>-28.407503116457345</v>
      </c>
    </row>
    <row r="194" spans="1:20" x14ac:dyDescent="0.25">
      <c r="A194" s="5">
        <v>44399</v>
      </c>
      <c r="B194">
        <v>5.4809999999999998E-2</v>
      </c>
      <c r="C194">
        <v>5.6349999999999997E-2</v>
      </c>
      <c r="D194">
        <v>5.3560000000000003E-2</v>
      </c>
      <c r="E194">
        <v>5.423E-2</v>
      </c>
      <c r="F194">
        <v>17970116.100000001</v>
      </c>
      <c r="G194">
        <v>5.423E-2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-0.51971326164874665</v>
      </c>
      <c r="Q194">
        <f t="shared" ref="Q194" si="944">F194*P194</f>
        <v>-9339307.6505376548</v>
      </c>
      <c r="R194">
        <f t="shared" ref="R194" si="945">R195+Q194</f>
        <v>-2861538893.908617</v>
      </c>
      <c r="S194">
        <f t="shared" ref="S194" si="946">R194/100000</f>
        <v>-28615.38893908617</v>
      </c>
      <c r="T194">
        <f t="shared" si="934"/>
        <v>-28.61538893908617</v>
      </c>
    </row>
    <row r="195" spans="1:20" x14ac:dyDescent="0.25">
      <c r="A195" s="5">
        <v>44398</v>
      </c>
      <c r="B195">
        <v>4.7899999999999998E-2</v>
      </c>
      <c r="C195">
        <v>5.6500000000000002E-2</v>
      </c>
      <c r="D195">
        <v>4.6879999999999998E-2</v>
      </c>
      <c r="E195">
        <v>5.491E-2</v>
      </c>
      <c r="F195">
        <v>41189556.600000001</v>
      </c>
      <c r="G195">
        <v>5.491E-2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0.66943866943866936</v>
      </c>
      <c r="Q195">
        <f t="shared" ref="Q195" si="948">F195*P195</f>
        <v>27573881.965072762</v>
      </c>
      <c r="R195">
        <f t="shared" ref="R195" si="949">R196+Q195</f>
        <v>-2852199586.2580795</v>
      </c>
      <c r="S195">
        <f t="shared" ref="S195" si="950">R195/100000</f>
        <v>-28521.995862580796</v>
      </c>
      <c r="T195">
        <f t="shared" si="934"/>
        <v>-28.521995862580795</v>
      </c>
    </row>
    <row r="196" spans="1:20" x14ac:dyDescent="0.25">
      <c r="A196" s="5">
        <v>44397</v>
      </c>
      <c r="B196">
        <v>5.0709999999999998E-2</v>
      </c>
      <c r="C196">
        <v>5.144E-2</v>
      </c>
      <c r="D196">
        <v>4.5260000000000002E-2</v>
      </c>
      <c r="E196">
        <v>4.8000000000000001E-2</v>
      </c>
      <c r="F196">
        <v>20337602</v>
      </c>
      <c r="G196">
        <v>4.8000000000000001E-2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-0.1132686084142394</v>
      </c>
      <c r="Q196">
        <f t="shared" ref="Q196" si="952">F196*P196</f>
        <v>-2303611.877022652</v>
      </c>
      <c r="R196">
        <f t="shared" ref="R196" si="953">R197+Q196</f>
        <v>-2879773468.2231522</v>
      </c>
      <c r="S196">
        <f t="shared" ref="S196" si="954">R196/100000</f>
        <v>-28797.734682231523</v>
      </c>
      <c r="T196">
        <f t="shared" si="934"/>
        <v>-28.797734682231525</v>
      </c>
    </row>
    <row r="197" spans="1:20" x14ac:dyDescent="0.25">
      <c r="A197" s="5">
        <v>44396</v>
      </c>
      <c r="B197">
        <v>5.6099999999999997E-2</v>
      </c>
      <c r="C197">
        <v>5.6349999999999997E-2</v>
      </c>
      <c r="D197">
        <v>5.0549999999999998E-2</v>
      </c>
      <c r="E197">
        <v>5.0709999999999998E-2</v>
      </c>
      <c r="F197">
        <v>16159591.199999999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-0.94482758620689644</v>
      </c>
      <c r="Q197">
        <f t="shared" ref="Q197" si="956">F197*P197</f>
        <v>-15268027.547586204</v>
      </c>
      <c r="R197">
        <f t="shared" ref="R197" si="957">R198+Q197</f>
        <v>-2877469856.3461294</v>
      </c>
      <c r="S197">
        <f t="shared" ref="S197" si="958">R197/100000</f>
        <v>-28774.698563461294</v>
      </c>
      <c r="T197">
        <f t="shared" si="934"/>
        <v>-28.774698563461293</v>
      </c>
    </row>
    <row r="198" spans="1:20" x14ac:dyDescent="0.25">
      <c r="A198" s="5">
        <v>44395</v>
      </c>
      <c r="B198">
        <v>5.5960000000000003E-2</v>
      </c>
      <c r="C198">
        <v>5.8749999999999997E-2</v>
      </c>
      <c r="D198">
        <v>5.5649999999999998E-2</v>
      </c>
      <c r="E198">
        <v>5.6099999999999997E-2</v>
      </c>
      <c r="F198">
        <v>18120373.699999999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-0.70967741935483919</v>
      </c>
      <c r="Q198">
        <f t="shared" ref="Q198:Q261" si="960">F198*P198</f>
        <v>-12859620.045161299</v>
      </c>
      <c r="R198">
        <f t="shared" ref="R198:R261" si="961">R199+Q198</f>
        <v>-2862201828.798543</v>
      </c>
      <c r="S198">
        <f t="shared" ref="S198:S261" si="962">R198/100000</f>
        <v>-28622.018287985429</v>
      </c>
      <c r="T198">
        <f t="shared" ref="T198:T261" si="963">S198/1000</f>
        <v>-28.62201828798543</v>
      </c>
    </row>
    <row r="199" spans="1:20" x14ac:dyDescent="0.25">
      <c r="A199" s="5">
        <v>44394</v>
      </c>
      <c r="B199">
        <v>5.7349999999999998E-2</v>
      </c>
      <c r="C199">
        <v>5.8229999999999997E-2</v>
      </c>
      <c r="D199">
        <v>5.5079999999999997E-2</v>
      </c>
      <c r="E199">
        <v>5.5910000000000001E-2</v>
      </c>
      <c r="F199">
        <v>19153621.600000001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-0.47301587301587028</v>
      </c>
      <c r="Q199">
        <f t="shared" si="960"/>
        <v>-9059967.0425396301</v>
      </c>
      <c r="R199">
        <f t="shared" si="961"/>
        <v>-2849342208.7533817</v>
      </c>
      <c r="S199">
        <f t="shared" si="962"/>
        <v>-28493.422087533818</v>
      </c>
      <c r="T199">
        <f t="shared" si="963"/>
        <v>-28.493422087533819</v>
      </c>
    </row>
    <row r="200" spans="1:20" x14ac:dyDescent="0.25">
      <c r="A200" s="5">
        <v>44393</v>
      </c>
      <c r="B200">
        <v>6.0970000000000003E-2</v>
      </c>
      <c r="C200">
        <v>6.701E-2</v>
      </c>
      <c r="D200">
        <v>5.7079999999999999E-2</v>
      </c>
      <c r="E200">
        <v>5.74E-2</v>
      </c>
      <c r="F200">
        <v>89697082.5</v>
      </c>
      <c r="G200">
        <v>0</v>
      </c>
      <c r="L200" t="s">
        <v>8</v>
      </c>
      <c r="M200" t="s">
        <v>7</v>
      </c>
      <c r="N200" t="s">
        <v>7</v>
      </c>
      <c r="P200">
        <f t="shared" si="959"/>
        <v>-0.9355488418932526</v>
      </c>
      <c r="Q200">
        <f t="shared" si="960"/>
        <v>-83916001.654078528</v>
      </c>
      <c r="R200">
        <f t="shared" si="961"/>
        <v>-2840282241.7108421</v>
      </c>
      <c r="S200">
        <f t="shared" si="962"/>
        <v>-28402.822417108422</v>
      </c>
      <c r="T200">
        <f t="shared" si="963"/>
        <v>-28.402822417108421</v>
      </c>
    </row>
    <row r="201" spans="1:20" x14ac:dyDescent="0.25">
      <c r="A201" s="5">
        <v>44392</v>
      </c>
      <c r="B201">
        <v>6.1089999999999998E-2</v>
      </c>
      <c r="C201">
        <v>6.2289999999999998E-2</v>
      </c>
      <c r="D201">
        <v>5.7880000000000001E-2</v>
      </c>
      <c r="E201">
        <v>6.096E-2</v>
      </c>
      <c r="F201">
        <v>35181109.100000001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0.39682539682539741</v>
      </c>
      <c r="Q201">
        <f t="shared" si="960"/>
        <v>13960757.579365101</v>
      </c>
      <c r="R201">
        <f t="shared" si="961"/>
        <v>-2756366240.0567636</v>
      </c>
      <c r="S201">
        <f t="shared" si="962"/>
        <v>-27563.662400567635</v>
      </c>
      <c r="T201">
        <f t="shared" si="963"/>
        <v>-27.563662400567633</v>
      </c>
    </row>
    <row r="202" spans="1:20" x14ac:dyDescent="0.25">
      <c r="A202" s="5">
        <v>44391</v>
      </c>
      <c r="B202">
        <v>6.1580000000000003E-2</v>
      </c>
      <c r="C202">
        <v>6.2390000000000001E-2</v>
      </c>
      <c r="D202">
        <v>5.6750000000000002E-2</v>
      </c>
      <c r="E202">
        <v>6.1060000000000003E-2</v>
      </c>
      <c r="F202">
        <v>25449881.399999999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0.52836879432624184</v>
      </c>
      <c r="Q202">
        <f t="shared" si="960"/>
        <v>13446923.151063846</v>
      </c>
      <c r="R202">
        <f t="shared" si="961"/>
        <v>-2770326997.6361289</v>
      </c>
      <c r="S202">
        <f t="shared" si="962"/>
        <v>-27703.269976361287</v>
      </c>
      <c r="T202">
        <f t="shared" si="963"/>
        <v>-27.703269976361288</v>
      </c>
    </row>
    <row r="203" spans="1:20" x14ac:dyDescent="0.25">
      <c r="A203" s="5">
        <v>44390</v>
      </c>
      <c r="B203">
        <v>6.5460000000000004E-2</v>
      </c>
      <c r="C203">
        <v>6.5729999999999997E-2</v>
      </c>
      <c r="D203">
        <v>6.019E-2</v>
      </c>
      <c r="E203">
        <v>6.1449999999999998E-2</v>
      </c>
      <c r="F203">
        <v>41208159.600000001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-0.54512635379061436</v>
      </c>
      <c r="Q203">
        <f t="shared" si="960"/>
        <v>-22463653.789169703</v>
      </c>
      <c r="R203">
        <f t="shared" si="961"/>
        <v>-2783773920.7871928</v>
      </c>
      <c r="S203">
        <f t="shared" si="962"/>
        <v>-27837.739207871928</v>
      </c>
      <c r="T203">
        <f t="shared" si="963"/>
        <v>-27.837739207871927</v>
      </c>
    </row>
    <row r="204" spans="1:20" x14ac:dyDescent="0.25">
      <c r="A204" s="5">
        <v>44389</v>
      </c>
      <c r="B204">
        <v>6.3810000000000006E-2</v>
      </c>
      <c r="C204">
        <v>6.8500000000000005E-2</v>
      </c>
      <c r="D204">
        <v>6.2789999999999999E-2</v>
      </c>
      <c r="E204">
        <v>6.5509999999999999E-2</v>
      </c>
      <c r="F204">
        <v>47332552.100000001</v>
      </c>
      <c r="G204">
        <v>0</v>
      </c>
      <c r="L204" t="s">
        <v>8</v>
      </c>
      <c r="M204" t="s">
        <v>7</v>
      </c>
      <c r="N204" t="s">
        <v>7</v>
      </c>
      <c r="P204">
        <f t="shared" si="959"/>
        <v>-4.728546409807461E-2</v>
      </c>
      <c r="Q204">
        <f t="shared" si="960"/>
        <v>-2238141.6929947962</v>
      </c>
      <c r="R204">
        <f t="shared" si="961"/>
        <v>-2761310266.998023</v>
      </c>
      <c r="S204">
        <f t="shared" si="962"/>
        <v>-27613.102669980231</v>
      </c>
      <c r="T204">
        <f t="shared" si="963"/>
        <v>-27.613102669980233</v>
      </c>
    </row>
    <row r="205" spans="1:20" x14ac:dyDescent="0.25">
      <c r="A205" s="5">
        <v>44388</v>
      </c>
      <c r="B205">
        <v>6.2039999999999998E-2</v>
      </c>
      <c r="C205">
        <v>6.5490000000000007E-2</v>
      </c>
      <c r="D205">
        <v>6.1879999999999998E-2</v>
      </c>
      <c r="E205">
        <v>6.3899999999999998E-2</v>
      </c>
      <c r="F205">
        <v>20936087.5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0.11911357340719995</v>
      </c>
      <c r="Q205">
        <f t="shared" si="960"/>
        <v>2493772.1952908114</v>
      </c>
      <c r="R205">
        <f t="shared" si="961"/>
        <v>-2759072125.3050284</v>
      </c>
      <c r="S205">
        <f t="shared" si="962"/>
        <v>-27590.721253050284</v>
      </c>
      <c r="T205">
        <f t="shared" si="963"/>
        <v>-27.590721253050283</v>
      </c>
    </row>
    <row r="206" spans="1:20" x14ac:dyDescent="0.25">
      <c r="A206" s="5">
        <v>44387</v>
      </c>
      <c r="B206">
        <v>6.3930000000000001E-2</v>
      </c>
      <c r="C206">
        <v>6.5379999999999994E-2</v>
      </c>
      <c r="D206">
        <v>6.1100000000000002E-2</v>
      </c>
      <c r="E206">
        <v>6.2030000000000002E-2</v>
      </c>
      <c r="F206">
        <v>22344788.300000001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-0.56542056074766267</v>
      </c>
      <c r="Q206">
        <f t="shared" si="960"/>
        <v>-12634202.730373813</v>
      </c>
      <c r="R206">
        <f t="shared" si="961"/>
        <v>-2761565897.5003195</v>
      </c>
      <c r="S206">
        <f t="shared" si="962"/>
        <v>-27615.658975003196</v>
      </c>
      <c r="T206">
        <f t="shared" si="963"/>
        <v>-27.615658975003196</v>
      </c>
    </row>
    <row r="207" spans="1:20" x14ac:dyDescent="0.25">
      <c r="A207" s="5">
        <v>44386</v>
      </c>
      <c r="B207">
        <v>6.3759999999999997E-2</v>
      </c>
      <c r="C207">
        <v>6.5769999999999995E-2</v>
      </c>
      <c r="D207">
        <v>6.0299999999999999E-2</v>
      </c>
      <c r="E207">
        <v>6.3930000000000001E-2</v>
      </c>
      <c r="F207">
        <v>27219442.699999999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0.32723948811700332</v>
      </c>
      <c r="Q207">
        <f t="shared" si="960"/>
        <v>8907276.4959781021</v>
      </c>
      <c r="R207">
        <f t="shared" si="961"/>
        <v>-2748931694.7699456</v>
      </c>
      <c r="S207">
        <f t="shared" si="962"/>
        <v>-27489.316947699455</v>
      </c>
      <c r="T207">
        <f t="shared" si="963"/>
        <v>-27.489316947699454</v>
      </c>
    </row>
    <row r="208" spans="1:20" x14ac:dyDescent="0.25">
      <c r="A208" s="5">
        <v>44385</v>
      </c>
      <c r="B208">
        <v>6.6799999999999998E-2</v>
      </c>
      <c r="C208">
        <v>6.7449999999999996E-2</v>
      </c>
      <c r="D208">
        <v>6.2140000000000001E-2</v>
      </c>
      <c r="E208">
        <v>6.3880000000000006E-2</v>
      </c>
      <c r="F208">
        <v>32369430.399999999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-0.3446327683615793</v>
      </c>
      <c r="Q208">
        <f t="shared" si="960"/>
        <v>-11155566.409039462</v>
      </c>
      <c r="R208">
        <f t="shared" si="961"/>
        <v>-2757838971.2659235</v>
      </c>
      <c r="S208">
        <f t="shared" si="962"/>
        <v>-27578.389712659235</v>
      </c>
      <c r="T208">
        <f t="shared" si="963"/>
        <v>-27.578389712659234</v>
      </c>
    </row>
    <row r="209" spans="1:20" x14ac:dyDescent="0.25">
      <c r="A209" s="5">
        <v>44384</v>
      </c>
      <c r="B209">
        <v>6.8970000000000004E-2</v>
      </c>
      <c r="C209">
        <v>7.1050000000000002E-2</v>
      </c>
      <c r="D209">
        <v>6.6379999999999995E-2</v>
      </c>
      <c r="E209">
        <v>6.6780000000000006E-2</v>
      </c>
      <c r="F209">
        <v>68237769.599999994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-0.82869379014988831</v>
      </c>
      <c r="Q209">
        <f t="shared" si="960"/>
        <v>-56548215.921198823</v>
      </c>
      <c r="R209">
        <f t="shared" si="961"/>
        <v>-2746683404.856884</v>
      </c>
      <c r="S209">
        <f t="shared" si="962"/>
        <v>-27466.834048568839</v>
      </c>
      <c r="T209">
        <f t="shared" si="963"/>
        <v>-27.466834048568838</v>
      </c>
    </row>
    <row r="210" spans="1:20" x14ac:dyDescent="0.25">
      <c r="A210" s="5">
        <v>44383</v>
      </c>
      <c r="B210">
        <v>6.3070000000000001E-2</v>
      </c>
      <c r="C210">
        <v>7.0000000000000007E-2</v>
      </c>
      <c r="D210">
        <v>6.2899999999999998E-2</v>
      </c>
      <c r="E210">
        <v>6.8949999999999997E-2</v>
      </c>
      <c r="F210">
        <v>85933076.200000003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0.70422535211267379</v>
      </c>
      <c r="Q210">
        <f t="shared" si="960"/>
        <v>60516250.845070228</v>
      </c>
      <c r="R210">
        <f t="shared" si="961"/>
        <v>-2690135188.9356852</v>
      </c>
      <c r="S210">
        <f t="shared" si="962"/>
        <v>-26901.351889356851</v>
      </c>
      <c r="T210">
        <f t="shared" si="963"/>
        <v>-26.90135188935685</v>
      </c>
    </row>
    <row r="211" spans="1:20" x14ac:dyDescent="0.25">
      <c r="A211" s="5">
        <v>44382</v>
      </c>
      <c r="B211">
        <v>6.6100000000000006E-2</v>
      </c>
      <c r="C211">
        <v>6.6400000000000001E-2</v>
      </c>
      <c r="D211">
        <v>6.1400000000000003E-2</v>
      </c>
      <c r="E211">
        <v>6.3149999999999998E-2</v>
      </c>
      <c r="F211">
        <v>38429891.200000003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-0.30000000000000182</v>
      </c>
      <c r="Q211">
        <f t="shared" si="960"/>
        <v>-11528967.36000007</v>
      </c>
      <c r="R211">
        <f t="shared" si="961"/>
        <v>-2750651439.7807555</v>
      </c>
      <c r="S211">
        <f t="shared" si="962"/>
        <v>-27506.514397807554</v>
      </c>
      <c r="T211">
        <f t="shared" si="963"/>
        <v>-27.506514397807553</v>
      </c>
    </row>
    <row r="212" spans="1:20" x14ac:dyDescent="0.25">
      <c r="A212" s="5">
        <v>44381</v>
      </c>
      <c r="B212">
        <v>6.7089999999999997E-2</v>
      </c>
      <c r="C212">
        <v>6.9849999999999995E-2</v>
      </c>
      <c r="D212">
        <v>6.5809999999999994E-2</v>
      </c>
      <c r="E212">
        <v>6.6089999999999996E-2</v>
      </c>
      <c r="F212">
        <v>57023343.799999997</v>
      </c>
      <c r="G212">
        <v>0</v>
      </c>
      <c r="L212" t="s">
        <v>7</v>
      </c>
      <c r="M212" t="s">
        <v>7</v>
      </c>
      <c r="N212" t="s">
        <v>7</v>
      </c>
      <c r="P212">
        <f t="shared" si="959"/>
        <v>-0.86138613861386026</v>
      </c>
      <c r="Q212">
        <f t="shared" si="960"/>
        <v>-49119117.926732607</v>
      </c>
      <c r="R212">
        <f t="shared" si="961"/>
        <v>-2739122472.4207554</v>
      </c>
      <c r="S212">
        <f t="shared" si="962"/>
        <v>-27391.224724207554</v>
      </c>
      <c r="T212">
        <f t="shared" si="963"/>
        <v>-27.391224724207554</v>
      </c>
    </row>
    <row r="213" spans="1:20" x14ac:dyDescent="0.25">
      <c r="A213" s="5">
        <v>44380</v>
      </c>
      <c r="B213">
        <v>6.8150000000000002E-2</v>
      </c>
      <c r="C213">
        <v>7.0860000000000006E-2</v>
      </c>
      <c r="D213">
        <v>6.6000000000000003E-2</v>
      </c>
      <c r="E213">
        <v>6.7129999999999995E-2</v>
      </c>
      <c r="F213">
        <v>53119508.299999997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-0.53497942386831632</v>
      </c>
      <c r="Q213">
        <f t="shared" si="960"/>
        <v>-28417843.946502246</v>
      </c>
      <c r="R213">
        <f t="shared" si="961"/>
        <v>-2690003354.4940228</v>
      </c>
      <c r="S213">
        <f t="shared" si="962"/>
        <v>-26900.03354494023</v>
      </c>
      <c r="T213">
        <f t="shared" si="963"/>
        <v>-26.900033544940229</v>
      </c>
    </row>
    <row r="214" spans="1:20" x14ac:dyDescent="0.25">
      <c r="A214" s="5">
        <v>44379</v>
      </c>
      <c r="B214">
        <v>6.4009999999999997E-2</v>
      </c>
      <c r="C214">
        <v>7.3999999999999996E-2</v>
      </c>
      <c r="D214">
        <v>5.969E-2</v>
      </c>
      <c r="E214">
        <v>6.8110000000000004E-2</v>
      </c>
      <c r="F214">
        <v>170843133.30000001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0.17679944095038519</v>
      </c>
      <c r="Q214">
        <f t="shared" si="960"/>
        <v>30204970.457652137</v>
      </c>
      <c r="R214">
        <f t="shared" si="961"/>
        <v>-2661585510.5475206</v>
      </c>
      <c r="S214">
        <f t="shared" si="962"/>
        <v>-26615.855105475206</v>
      </c>
      <c r="T214">
        <f t="shared" si="963"/>
        <v>-26.615855105475205</v>
      </c>
    </row>
    <row r="215" spans="1:20" x14ac:dyDescent="0.25">
      <c r="A215" s="5">
        <v>44378</v>
      </c>
      <c r="B215">
        <v>7.0510000000000003E-2</v>
      </c>
      <c r="C215">
        <v>7.0510000000000003E-2</v>
      </c>
      <c r="D215">
        <v>6.2140000000000001E-2</v>
      </c>
      <c r="E215">
        <v>6.4119999999999996E-2</v>
      </c>
      <c r="F215">
        <v>70304835.200000003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-0.52688172043010872</v>
      </c>
      <c r="Q215">
        <f t="shared" si="960"/>
        <v>-37042332.524731271</v>
      </c>
      <c r="R215">
        <f t="shared" si="961"/>
        <v>-2691790481.0051727</v>
      </c>
      <c r="S215">
        <f t="shared" si="962"/>
        <v>-26917.904810051728</v>
      </c>
      <c r="T215">
        <f t="shared" si="963"/>
        <v>-26.917904810051727</v>
      </c>
    </row>
    <row r="216" spans="1:20" x14ac:dyDescent="0.25">
      <c r="A216" s="5">
        <v>44377</v>
      </c>
      <c r="B216">
        <v>7.399E-2</v>
      </c>
      <c r="C216">
        <v>7.6100000000000001E-2</v>
      </c>
      <c r="D216">
        <v>6.5140000000000003E-2</v>
      </c>
      <c r="E216">
        <v>7.0510000000000003E-2</v>
      </c>
      <c r="F216">
        <v>201769723.80000001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-2.0072992700729746E-2</v>
      </c>
      <c r="Q216">
        <f t="shared" si="960"/>
        <v>-4050122.1930656573</v>
      </c>
      <c r="R216">
        <f t="shared" si="961"/>
        <v>-2654748148.4804416</v>
      </c>
      <c r="S216">
        <f t="shared" si="962"/>
        <v>-26547.481484804415</v>
      </c>
      <c r="T216">
        <f t="shared" si="963"/>
        <v>-26.547481484804415</v>
      </c>
    </row>
    <row r="217" spans="1:20" x14ac:dyDescent="0.25">
      <c r="A217" s="5">
        <v>44376</v>
      </c>
      <c r="B217">
        <v>6.4619999999999997E-2</v>
      </c>
      <c r="C217">
        <v>8.6999999999999994E-2</v>
      </c>
      <c r="D217">
        <v>6.4259999999999998E-2</v>
      </c>
      <c r="E217">
        <v>7.4120000000000005E-2</v>
      </c>
      <c r="F217">
        <v>234293013.5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-0.13280562884784439</v>
      </c>
      <c r="Q217">
        <f t="shared" si="960"/>
        <v>-31115430.992523994</v>
      </c>
      <c r="R217">
        <f t="shared" si="961"/>
        <v>-2650698026.2873759</v>
      </c>
      <c r="S217">
        <f t="shared" si="962"/>
        <v>-26506.98026287376</v>
      </c>
      <c r="T217">
        <f t="shared" si="963"/>
        <v>-26.506980262873761</v>
      </c>
    </row>
    <row r="218" spans="1:20" x14ac:dyDescent="0.25">
      <c r="A218" s="5">
        <v>44375</v>
      </c>
      <c r="B218">
        <v>6.1089999999999998E-2</v>
      </c>
      <c r="C218">
        <v>6.762E-2</v>
      </c>
      <c r="D218">
        <v>5.91E-2</v>
      </c>
      <c r="E218">
        <v>6.4689999999999998E-2</v>
      </c>
      <c r="F218">
        <v>67390592.700000003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0.31220657276995256</v>
      </c>
      <c r="Q218">
        <f t="shared" si="960"/>
        <v>21039785.983802784</v>
      </c>
      <c r="R218">
        <f t="shared" si="961"/>
        <v>-2619582595.2948518</v>
      </c>
      <c r="S218">
        <f t="shared" si="962"/>
        <v>-26195.825952948519</v>
      </c>
      <c r="T218">
        <f t="shared" si="963"/>
        <v>-26.195825952948518</v>
      </c>
    </row>
    <row r="219" spans="1:20" x14ac:dyDescent="0.25">
      <c r="A219" s="5">
        <v>44374</v>
      </c>
      <c r="B219">
        <v>5.8999999999999997E-2</v>
      </c>
      <c r="C219">
        <v>6.1289999999999997E-2</v>
      </c>
      <c r="D219">
        <v>5.6160000000000002E-2</v>
      </c>
      <c r="E219">
        <v>6.089E-2</v>
      </c>
      <c r="F219">
        <v>45612494.399999999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0.84405458089668695</v>
      </c>
      <c r="Q219">
        <f t="shared" si="960"/>
        <v>38499434.844444476</v>
      </c>
      <c r="R219">
        <f t="shared" si="961"/>
        <v>-2640622381.2786546</v>
      </c>
      <c r="S219">
        <f t="shared" si="962"/>
        <v>-26406.223812786546</v>
      </c>
      <c r="T219">
        <f t="shared" si="963"/>
        <v>-26.406223812786546</v>
      </c>
    </row>
    <row r="220" spans="1:20" x14ac:dyDescent="0.25">
      <c r="A220" s="5">
        <v>44373</v>
      </c>
      <c r="B220">
        <v>5.8639999999999998E-2</v>
      </c>
      <c r="C220">
        <v>6.0999999999999999E-2</v>
      </c>
      <c r="D220">
        <v>5.4260000000000003E-2</v>
      </c>
      <c r="E220">
        <v>5.8880000000000002E-2</v>
      </c>
      <c r="F220">
        <v>44419312.600000001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0.37091988130563852</v>
      </c>
      <c r="Q220">
        <f t="shared" si="960"/>
        <v>16476006.157270053</v>
      </c>
      <c r="R220">
        <f t="shared" si="961"/>
        <v>-2679121816.1230989</v>
      </c>
      <c r="S220">
        <f t="shared" si="962"/>
        <v>-26791.218161230987</v>
      </c>
      <c r="T220">
        <f t="shared" si="963"/>
        <v>-26.791218161230987</v>
      </c>
    </row>
    <row r="221" spans="1:20" x14ac:dyDescent="0.25">
      <c r="A221" s="5">
        <v>44372</v>
      </c>
      <c r="B221">
        <v>6.6710000000000005E-2</v>
      </c>
      <c r="C221">
        <v>6.9000000000000006E-2</v>
      </c>
      <c r="D221">
        <v>5.8000000000000003E-2</v>
      </c>
      <c r="E221">
        <v>5.8799999999999998E-2</v>
      </c>
      <c r="F221">
        <v>58647601.899999999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-0.8545454545454555</v>
      </c>
      <c r="Q221">
        <f t="shared" si="960"/>
        <v>-50117041.623636417</v>
      </c>
      <c r="R221">
        <f t="shared" si="961"/>
        <v>-2695597822.2803688</v>
      </c>
      <c r="S221">
        <f t="shared" si="962"/>
        <v>-26955.978222803689</v>
      </c>
      <c r="T221">
        <f t="shared" si="963"/>
        <v>-26.95597822280369</v>
      </c>
    </row>
    <row r="222" spans="1:20" x14ac:dyDescent="0.25">
      <c r="A222" s="5">
        <v>44371</v>
      </c>
      <c r="B222">
        <v>6.5970000000000001E-2</v>
      </c>
      <c r="C222">
        <v>6.9760000000000003E-2</v>
      </c>
      <c r="D222">
        <v>6.2689999999999996E-2</v>
      </c>
      <c r="E222">
        <v>6.6710000000000005E-2</v>
      </c>
      <c r="F222">
        <v>54806952.100000001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0.13719943422913883</v>
      </c>
      <c r="Q222">
        <f t="shared" si="960"/>
        <v>7519482.8199435128</v>
      </c>
      <c r="R222">
        <f t="shared" si="961"/>
        <v>-2645480780.6567326</v>
      </c>
      <c r="S222">
        <f t="shared" si="962"/>
        <v>-26454.807806567325</v>
      </c>
      <c r="T222">
        <f t="shared" si="963"/>
        <v>-26.454807806567324</v>
      </c>
    </row>
    <row r="223" spans="1:20" x14ac:dyDescent="0.25">
      <c r="A223" s="5">
        <v>44370</v>
      </c>
      <c r="B223">
        <v>6.0249999999999998E-2</v>
      </c>
      <c r="C223">
        <v>7.0419999999999996E-2</v>
      </c>
      <c r="D223">
        <v>5.7459999999999997E-2</v>
      </c>
      <c r="E223">
        <v>6.6180000000000003E-2</v>
      </c>
      <c r="F223">
        <v>97600238.099999994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0.34567901234567994</v>
      </c>
      <c r="Q223">
        <f t="shared" si="960"/>
        <v>33738353.911111198</v>
      </c>
      <c r="R223">
        <f t="shared" si="961"/>
        <v>-2653000263.476676</v>
      </c>
      <c r="S223">
        <f t="shared" si="962"/>
        <v>-26530.002634766759</v>
      </c>
      <c r="T223">
        <f t="shared" si="963"/>
        <v>-26.53000263476676</v>
      </c>
    </row>
    <row r="224" spans="1:20" x14ac:dyDescent="0.25">
      <c r="A224" s="5">
        <v>44369</v>
      </c>
      <c r="B224">
        <v>6.3490000000000005E-2</v>
      </c>
      <c r="C224">
        <v>7.127E-2</v>
      </c>
      <c r="D224">
        <v>5.042E-2</v>
      </c>
      <c r="E224">
        <v>6.0449999999999997E-2</v>
      </c>
      <c r="F224">
        <v>126353155.3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-3.7889688249400769E-2</v>
      </c>
      <c r="Q224">
        <f t="shared" si="960"/>
        <v>-4787481.6636451203</v>
      </c>
      <c r="R224">
        <f t="shared" si="961"/>
        <v>-2686738617.3877873</v>
      </c>
      <c r="S224">
        <f t="shared" si="962"/>
        <v>-26867.386173877872</v>
      </c>
      <c r="T224">
        <f t="shared" si="963"/>
        <v>-26.867386173877872</v>
      </c>
    </row>
    <row r="225" spans="1:20" x14ac:dyDescent="0.25">
      <c r="A225" s="5">
        <v>44368</v>
      </c>
      <c r="B225">
        <v>8.7559999999999999E-2</v>
      </c>
      <c r="C225">
        <v>8.8400000000000006E-2</v>
      </c>
      <c r="D225">
        <v>6.3039999999999999E-2</v>
      </c>
      <c r="E225">
        <v>6.3299999999999995E-2</v>
      </c>
      <c r="F225">
        <v>166469244.40000001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-0.97949526813880161</v>
      </c>
      <c r="Q225">
        <f t="shared" si="960"/>
        <v>-163055837.18044171</v>
      </c>
      <c r="R225">
        <f t="shared" si="961"/>
        <v>-2681951135.7241421</v>
      </c>
      <c r="S225">
        <f t="shared" si="962"/>
        <v>-26819.511357241419</v>
      </c>
      <c r="T225">
        <f t="shared" si="963"/>
        <v>-26.819511357241421</v>
      </c>
    </row>
    <row r="226" spans="1:20" x14ac:dyDescent="0.25">
      <c r="A226" s="5">
        <v>44367</v>
      </c>
      <c r="B226">
        <v>9.2730000000000007E-2</v>
      </c>
      <c r="C226">
        <v>9.4619999999999996E-2</v>
      </c>
      <c r="D226">
        <v>8.3280000000000007E-2</v>
      </c>
      <c r="E226">
        <v>8.7559999999999999E-2</v>
      </c>
      <c r="F226">
        <v>214748811.90000001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-0.24514991181657914</v>
      </c>
      <c r="Q226">
        <f t="shared" si="960"/>
        <v>-52645652.300000139</v>
      </c>
      <c r="R226">
        <f t="shared" si="961"/>
        <v>-2518895298.5437002</v>
      </c>
      <c r="S226">
        <f t="shared" si="962"/>
        <v>-25188.952985437001</v>
      </c>
      <c r="T226">
        <f t="shared" si="963"/>
        <v>-25.188952985437002</v>
      </c>
    </row>
    <row r="227" spans="1:20" x14ac:dyDescent="0.25">
      <c r="A227" s="5">
        <v>44366</v>
      </c>
      <c r="B227">
        <v>0.10725</v>
      </c>
      <c r="C227">
        <v>0.11</v>
      </c>
      <c r="D227">
        <v>9.257E-2</v>
      </c>
      <c r="E227">
        <v>9.2749999999999999E-2</v>
      </c>
      <c r="F227">
        <v>185928323.59999999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-0.9793459552495698</v>
      </c>
      <c r="Q227">
        <f t="shared" si="960"/>
        <v>-182088151.68399313</v>
      </c>
      <c r="R227">
        <f t="shared" si="961"/>
        <v>-2466249646.2437</v>
      </c>
      <c r="S227">
        <f t="shared" si="962"/>
        <v>-24662.496462437</v>
      </c>
      <c r="T227">
        <f t="shared" si="963"/>
        <v>-24.662496462437002</v>
      </c>
    </row>
    <row r="228" spans="1:20" x14ac:dyDescent="0.25">
      <c r="A228" s="5">
        <v>44365</v>
      </c>
      <c r="B228">
        <v>0.10047</v>
      </c>
      <c r="C228">
        <v>0.13478000000000001</v>
      </c>
      <c r="D228">
        <v>9.4E-2</v>
      </c>
      <c r="E228">
        <v>0.10725</v>
      </c>
      <c r="F228">
        <v>711420396.10000002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-0.35017165277096646</v>
      </c>
      <c r="Q228">
        <f t="shared" si="960"/>
        <v>-249119255.91731262</v>
      </c>
      <c r="R228">
        <f t="shared" si="961"/>
        <v>-2284161494.5597067</v>
      </c>
      <c r="S228">
        <f t="shared" si="962"/>
        <v>-22841.614945597066</v>
      </c>
      <c r="T228">
        <f t="shared" si="963"/>
        <v>-22.841614945597065</v>
      </c>
    </row>
    <row r="229" spans="1:20" x14ac:dyDescent="0.25">
      <c r="A229" s="5">
        <v>44364</v>
      </c>
      <c r="B229">
        <v>0.10566</v>
      </c>
      <c r="C229">
        <v>0.122</v>
      </c>
      <c r="D229">
        <v>9.8019999999999996E-2</v>
      </c>
      <c r="E229">
        <v>0.10052</v>
      </c>
      <c r="F229">
        <v>452849633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-0.79149291075896566</v>
      </c>
      <c r="Q229">
        <f t="shared" si="960"/>
        <v>-358427274.15929937</v>
      </c>
      <c r="R229">
        <f t="shared" si="961"/>
        <v>-2035042238.6423938</v>
      </c>
      <c r="S229">
        <f t="shared" si="962"/>
        <v>-20350.422386423939</v>
      </c>
      <c r="T229">
        <f t="shared" si="963"/>
        <v>-20.35042238642394</v>
      </c>
    </row>
    <row r="230" spans="1:20" x14ac:dyDescent="0.25">
      <c r="A230" s="5">
        <v>44363</v>
      </c>
      <c r="B230">
        <v>9.3160000000000007E-2</v>
      </c>
      <c r="C230">
        <v>0.12640000000000001</v>
      </c>
      <c r="D230">
        <v>8.8669999999999999E-2</v>
      </c>
      <c r="E230">
        <v>0.10556</v>
      </c>
      <c r="F230">
        <v>838585507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-0.10469122714020694</v>
      </c>
      <c r="Q230">
        <f t="shared" si="960"/>
        <v>-87792545.789822593</v>
      </c>
      <c r="R230">
        <f t="shared" si="961"/>
        <v>-1676614964.4830945</v>
      </c>
      <c r="S230">
        <f t="shared" si="962"/>
        <v>-16766.149644830944</v>
      </c>
      <c r="T230">
        <f t="shared" si="963"/>
        <v>-16.766149644830943</v>
      </c>
    </row>
    <row r="231" spans="1:20" x14ac:dyDescent="0.25">
      <c r="A231" s="5">
        <v>44362</v>
      </c>
      <c r="B231">
        <v>6.9510000000000002E-2</v>
      </c>
      <c r="C231">
        <v>0.1075</v>
      </c>
      <c r="D231">
        <v>6.6850000000000007E-2</v>
      </c>
      <c r="E231">
        <v>9.3149999999999997E-2</v>
      </c>
      <c r="F231">
        <v>662520226.29999995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0.29397293972939709</v>
      </c>
      <c r="Q231">
        <f t="shared" si="960"/>
        <v>194763018.55559641</v>
      </c>
      <c r="R231">
        <f t="shared" si="961"/>
        <v>-1588822418.6932719</v>
      </c>
      <c r="S231">
        <f t="shared" si="962"/>
        <v>-15888.224186932719</v>
      </c>
      <c r="T231">
        <f t="shared" si="963"/>
        <v>-15.888224186932719</v>
      </c>
    </row>
    <row r="232" spans="1:20" x14ac:dyDescent="0.25">
      <c r="A232" s="5">
        <v>44361</v>
      </c>
      <c r="B232">
        <v>6.4070000000000002E-2</v>
      </c>
      <c r="C232">
        <v>7.2499999999999995E-2</v>
      </c>
      <c r="D232">
        <v>6.2420000000000003E-2</v>
      </c>
      <c r="E232">
        <v>6.9570000000000007E-2</v>
      </c>
      <c r="F232">
        <v>58077743.100000001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0.41865079365079555</v>
      </c>
      <c r="Q232">
        <f t="shared" si="960"/>
        <v>24314293.242262017</v>
      </c>
      <c r="R232">
        <f t="shared" si="961"/>
        <v>-1783585437.2488682</v>
      </c>
      <c r="S232">
        <f t="shared" si="962"/>
        <v>-17835.854372488684</v>
      </c>
      <c r="T232">
        <f t="shared" si="963"/>
        <v>-17.835854372488683</v>
      </c>
    </row>
    <row r="233" spans="1:20" x14ac:dyDescent="0.25">
      <c r="A233" s="5">
        <v>44360</v>
      </c>
      <c r="B233">
        <v>6.0080000000000001E-2</v>
      </c>
      <c r="C233">
        <v>6.5000000000000002E-2</v>
      </c>
      <c r="D233">
        <v>5.8000000000000003E-2</v>
      </c>
      <c r="E233">
        <v>6.4060000000000006E-2</v>
      </c>
      <c r="F233">
        <v>23456487.5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0.73142857142857243</v>
      </c>
      <c r="Q233">
        <f t="shared" si="960"/>
        <v>17156745.142857168</v>
      </c>
      <c r="R233">
        <f t="shared" si="961"/>
        <v>-1807899730.4911304</v>
      </c>
      <c r="S233">
        <f t="shared" si="962"/>
        <v>-18078.997304911303</v>
      </c>
      <c r="T233">
        <f t="shared" si="963"/>
        <v>-18.078997304911304</v>
      </c>
    </row>
    <row r="234" spans="1:20" x14ac:dyDescent="0.25">
      <c r="A234" s="5">
        <v>44359</v>
      </c>
      <c r="B234">
        <v>6.3750000000000001E-2</v>
      </c>
      <c r="C234">
        <v>6.4259999999999998E-2</v>
      </c>
      <c r="D234">
        <v>5.6860000000000001E-2</v>
      </c>
      <c r="E234">
        <v>5.9859999999999997E-2</v>
      </c>
      <c r="F234">
        <v>35655183.399999999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-0.18918918918919</v>
      </c>
      <c r="Q234">
        <f t="shared" si="960"/>
        <v>-6745575.2378378669</v>
      </c>
      <c r="R234">
        <f t="shared" si="961"/>
        <v>-1825056475.6339874</v>
      </c>
      <c r="S234">
        <f t="shared" si="962"/>
        <v>-18250.564756339874</v>
      </c>
      <c r="T234">
        <f t="shared" si="963"/>
        <v>-18.250564756339873</v>
      </c>
    </row>
    <row r="235" spans="1:20" x14ac:dyDescent="0.25">
      <c r="A235" s="5">
        <v>44358</v>
      </c>
      <c r="B235">
        <v>6.4140000000000003E-2</v>
      </c>
      <c r="C235">
        <v>7.2590000000000002E-2</v>
      </c>
      <c r="D235">
        <v>6.1339999999999999E-2</v>
      </c>
      <c r="E235">
        <v>6.4000000000000001E-2</v>
      </c>
      <c r="F235">
        <v>61673912.299999997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-0.52711111111111075</v>
      </c>
      <c r="Q235">
        <f t="shared" si="960"/>
        <v>-32509004.439022198</v>
      </c>
      <c r="R235">
        <f t="shared" si="961"/>
        <v>-1818310900.3961496</v>
      </c>
      <c r="S235">
        <f t="shared" si="962"/>
        <v>-18183.109003961497</v>
      </c>
      <c r="T235">
        <f t="shared" si="963"/>
        <v>-18.183109003961498</v>
      </c>
    </row>
    <row r="236" spans="1:20" x14ac:dyDescent="0.25">
      <c r="A236" s="5">
        <v>44357</v>
      </c>
      <c r="B236">
        <v>7.1199999999999999E-2</v>
      </c>
      <c r="C236">
        <v>7.1639999999999995E-2</v>
      </c>
      <c r="D236">
        <v>6.182E-2</v>
      </c>
      <c r="E236">
        <v>6.3960000000000003E-2</v>
      </c>
      <c r="F236">
        <v>93861310.200000003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-0.56415478615071202</v>
      </c>
      <c r="Q236">
        <f t="shared" si="960"/>
        <v>-52952307.383706644</v>
      </c>
      <c r="R236">
        <f t="shared" si="961"/>
        <v>-1785801895.9571273</v>
      </c>
      <c r="S236">
        <f t="shared" si="962"/>
        <v>-17858.018959571273</v>
      </c>
      <c r="T236">
        <f t="shared" si="963"/>
        <v>-17.858018959571272</v>
      </c>
    </row>
    <row r="237" spans="1:20" x14ac:dyDescent="0.25">
      <c r="A237" s="5">
        <v>44356</v>
      </c>
      <c r="B237">
        <v>6.1890000000000001E-2</v>
      </c>
      <c r="C237">
        <v>7.9719999999999999E-2</v>
      </c>
      <c r="D237">
        <v>5.7639999999999997E-2</v>
      </c>
      <c r="E237">
        <v>7.1179999999999993E-2</v>
      </c>
      <c r="F237">
        <v>244633446.40000001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0.22644927536231838</v>
      </c>
      <c r="Q237">
        <f t="shared" si="960"/>
        <v>55397066.666666552</v>
      </c>
      <c r="R237">
        <f t="shared" si="961"/>
        <v>-1732849588.5734208</v>
      </c>
      <c r="S237">
        <f t="shared" si="962"/>
        <v>-17328.495885734206</v>
      </c>
      <c r="T237">
        <f t="shared" si="963"/>
        <v>-17.328495885734206</v>
      </c>
    </row>
    <row r="238" spans="1:20" x14ac:dyDescent="0.25">
      <c r="A238" s="5">
        <v>44355</v>
      </c>
      <c r="B238">
        <v>5.944E-2</v>
      </c>
      <c r="C238">
        <v>7.5499999999999998E-2</v>
      </c>
      <c r="D238">
        <v>5.2690000000000001E-2</v>
      </c>
      <c r="E238">
        <v>6.1890000000000001E-2</v>
      </c>
      <c r="F238">
        <v>279300584.80000001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-0.19333625602805776</v>
      </c>
      <c r="Q238">
        <f t="shared" si="960"/>
        <v>-53998929.37167906</v>
      </c>
      <c r="R238">
        <f t="shared" si="961"/>
        <v>-1788246655.2400873</v>
      </c>
      <c r="S238">
        <f t="shared" si="962"/>
        <v>-17882.466552400874</v>
      </c>
      <c r="T238">
        <f t="shared" si="963"/>
        <v>-17.882466552400874</v>
      </c>
    </row>
    <row r="239" spans="1:20" x14ac:dyDescent="0.25">
      <c r="A239" s="5">
        <v>44354</v>
      </c>
      <c r="B239">
        <v>7.4510000000000007E-2</v>
      </c>
      <c r="C239">
        <v>7.8409999999999994E-2</v>
      </c>
      <c r="D239">
        <v>5.815E-2</v>
      </c>
      <c r="E239">
        <v>5.9560000000000002E-2</v>
      </c>
      <c r="F239">
        <v>188125409.90000001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-0.86080947680157927</v>
      </c>
      <c r="Q239">
        <f t="shared" si="960"/>
        <v>-161940135.66910166</v>
      </c>
      <c r="R239">
        <f t="shared" si="961"/>
        <v>-1734247725.8684082</v>
      </c>
      <c r="S239">
        <f t="shared" si="962"/>
        <v>-17342.477258684081</v>
      </c>
      <c r="T239">
        <f t="shared" si="963"/>
        <v>-17.342477258684081</v>
      </c>
    </row>
    <row r="240" spans="1:20" x14ac:dyDescent="0.25">
      <c r="A240" s="5">
        <v>44353</v>
      </c>
      <c r="B240">
        <v>5.5149999999999998E-2</v>
      </c>
      <c r="C240">
        <v>0.123</v>
      </c>
      <c r="D240">
        <v>5.5149999999999998E-2</v>
      </c>
      <c r="E240">
        <v>7.4649999999999994E-2</v>
      </c>
      <c r="F240">
        <v>367785217.60000002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-0.42520265291083287</v>
      </c>
      <c r="Q240">
        <f t="shared" si="960"/>
        <v>-156383250.22490796</v>
      </c>
      <c r="R240">
        <f t="shared" si="961"/>
        <v>-1572307590.1993065</v>
      </c>
      <c r="S240">
        <f t="shared" si="962"/>
        <v>-15723.075901993065</v>
      </c>
      <c r="T240">
        <f t="shared" si="963"/>
        <v>-15.723075901993065</v>
      </c>
    </row>
    <row r="241" spans="1:20" x14ac:dyDescent="0.25">
      <c r="A241" s="5">
        <v>44352</v>
      </c>
      <c r="B241">
        <v>5.6210000000000003E-2</v>
      </c>
      <c r="C241">
        <v>6.1269999999999998E-2</v>
      </c>
      <c r="D241">
        <v>5.2839999999999998E-2</v>
      </c>
      <c r="E241">
        <v>5.5E-2</v>
      </c>
      <c r="F241">
        <v>13955279.5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-0.48754448398576461</v>
      </c>
      <c r="Q241">
        <f t="shared" si="960"/>
        <v>-6803819.5427046195</v>
      </c>
      <c r="R241">
        <f t="shared" si="961"/>
        <v>-1415924339.9743986</v>
      </c>
      <c r="S241">
        <f t="shared" si="962"/>
        <v>-14159.243399743986</v>
      </c>
      <c r="T241">
        <f t="shared" si="963"/>
        <v>-14.159243399743985</v>
      </c>
    </row>
    <row r="242" spans="1:20" x14ac:dyDescent="0.25">
      <c r="A242" s="5">
        <v>44351</v>
      </c>
      <c r="B242">
        <v>6.3769999999999993E-2</v>
      </c>
      <c r="C242">
        <v>6.3829999999999998E-2</v>
      </c>
      <c r="D242">
        <v>5.4309999999999997E-2</v>
      </c>
      <c r="E242">
        <v>5.6210000000000003E-2</v>
      </c>
      <c r="F242">
        <v>17148699.600000001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-0.60084033613445254</v>
      </c>
      <c r="Q242">
        <f t="shared" si="960"/>
        <v>-10303630.431932753</v>
      </c>
      <c r="R242">
        <f t="shared" si="961"/>
        <v>-1409120520.431694</v>
      </c>
      <c r="S242">
        <f t="shared" si="962"/>
        <v>-14091.205204316941</v>
      </c>
      <c r="T242">
        <f t="shared" si="963"/>
        <v>-14.091205204316941</v>
      </c>
    </row>
    <row r="243" spans="1:20" x14ac:dyDescent="0.25">
      <c r="A243" s="5">
        <v>44350</v>
      </c>
      <c r="B243">
        <v>6.2449999999999999E-2</v>
      </c>
      <c r="C243">
        <v>6.5369999999999998E-2</v>
      </c>
      <c r="D243">
        <v>6.1010000000000002E-2</v>
      </c>
      <c r="E243">
        <v>6.3570000000000002E-2</v>
      </c>
      <c r="F243">
        <v>19887180</v>
      </c>
      <c r="G243">
        <v>0</v>
      </c>
      <c r="L243" t="s">
        <v>7</v>
      </c>
      <c r="M243" t="s">
        <v>8</v>
      </c>
      <c r="N243" t="s">
        <v>7</v>
      </c>
      <c r="P243">
        <f t="shared" si="959"/>
        <v>0.1743119266055056</v>
      </c>
      <c r="Q243">
        <f t="shared" si="960"/>
        <v>3466572.6605504788</v>
      </c>
      <c r="R243">
        <f t="shared" si="961"/>
        <v>-1398816889.9997613</v>
      </c>
      <c r="S243">
        <f t="shared" si="962"/>
        <v>-13988.168899997614</v>
      </c>
      <c r="T243">
        <f t="shared" si="963"/>
        <v>-13.988168899997614</v>
      </c>
    </row>
    <row r="244" spans="1:20" x14ac:dyDescent="0.25">
      <c r="A244" s="5">
        <v>44349</v>
      </c>
      <c r="B244">
        <v>6.1150000000000003E-2</v>
      </c>
      <c r="C244">
        <v>6.5960000000000005E-2</v>
      </c>
      <c r="D244">
        <v>5.8599999999999999E-2</v>
      </c>
      <c r="E244">
        <v>6.2449999999999999E-2</v>
      </c>
      <c r="F244">
        <v>31092220.699999999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4.6195652173912069E-2</v>
      </c>
      <c r="Q244">
        <f t="shared" si="960"/>
        <v>1436325.4127717088</v>
      </c>
      <c r="R244">
        <f t="shared" si="961"/>
        <v>-1402283462.6603119</v>
      </c>
      <c r="S244">
        <f t="shared" si="962"/>
        <v>-14022.834626603119</v>
      </c>
      <c r="T244">
        <f t="shared" si="963"/>
        <v>-14.022834626603119</v>
      </c>
    </row>
    <row r="245" spans="1:20" x14ac:dyDescent="0.25">
      <c r="A245" s="5">
        <v>44348</v>
      </c>
      <c r="B245">
        <v>5.8459999999999998E-2</v>
      </c>
      <c r="C245">
        <v>6.1379999999999997E-2</v>
      </c>
      <c r="D245">
        <v>5.6120000000000003E-2</v>
      </c>
      <c r="E245">
        <v>6.1150000000000003E-2</v>
      </c>
      <c r="F245">
        <v>22652349.199999999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0.91254752851711241</v>
      </c>
      <c r="Q245">
        <f t="shared" si="960"/>
        <v>20671345.277566589</v>
      </c>
      <c r="R245">
        <f t="shared" si="961"/>
        <v>-1403719788.0730836</v>
      </c>
      <c r="S245">
        <f t="shared" si="962"/>
        <v>-14037.197880730837</v>
      </c>
      <c r="T245">
        <f t="shared" si="963"/>
        <v>-14.037197880730837</v>
      </c>
    </row>
    <row r="246" spans="1:20" x14ac:dyDescent="0.25">
      <c r="A246" s="5">
        <v>44347</v>
      </c>
      <c r="B246">
        <v>5.3990000000000003E-2</v>
      </c>
      <c r="C246">
        <v>5.8599999999999999E-2</v>
      </c>
      <c r="D246">
        <v>5.0979999999999998E-2</v>
      </c>
      <c r="E246">
        <v>5.8549999999999998E-2</v>
      </c>
      <c r="F246">
        <v>20446210.899999999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0.98687664041994716</v>
      </c>
      <c r="Q246">
        <f t="shared" si="960"/>
        <v>20177887.922309704</v>
      </c>
      <c r="R246">
        <f t="shared" si="961"/>
        <v>-1424391133.3506503</v>
      </c>
      <c r="S246">
        <f t="shared" si="962"/>
        <v>-14243.911333506503</v>
      </c>
      <c r="T246">
        <f t="shared" si="963"/>
        <v>-14.243911333506503</v>
      </c>
    </row>
    <row r="247" spans="1:20" x14ac:dyDescent="0.25">
      <c r="A247" s="5">
        <v>44346</v>
      </c>
      <c r="B247">
        <v>5.1679999999999997E-2</v>
      </c>
      <c r="C247">
        <v>5.6279999999999997E-2</v>
      </c>
      <c r="D247">
        <v>4.879E-2</v>
      </c>
      <c r="E247">
        <v>5.3990000000000003E-2</v>
      </c>
      <c r="F247">
        <v>13995712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0.38851802403204422</v>
      </c>
      <c r="Q247">
        <f t="shared" si="960"/>
        <v>5437586.3711615698</v>
      </c>
      <c r="R247">
        <f t="shared" si="961"/>
        <v>-1444569021.2729599</v>
      </c>
      <c r="S247">
        <f t="shared" si="962"/>
        <v>-14445.6902127296</v>
      </c>
      <c r="T247">
        <f t="shared" si="963"/>
        <v>-14.4456902127296</v>
      </c>
    </row>
    <row r="248" spans="1:20" x14ac:dyDescent="0.25">
      <c r="A248" s="5">
        <v>44345</v>
      </c>
      <c r="B248">
        <v>5.7299999999999997E-2</v>
      </c>
      <c r="C248">
        <v>5.9479999999999998E-2</v>
      </c>
      <c r="D248">
        <v>4.904E-2</v>
      </c>
      <c r="E248">
        <v>5.1679999999999997E-2</v>
      </c>
      <c r="F248">
        <v>18568041.399999999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-0.49425287356321895</v>
      </c>
      <c r="Q248">
        <f t="shared" si="960"/>
        <v>-9177307.8183908146</v>
      </c>
      <c r="R248">
        <f t="shared" si="961"/>
        <v>-1450006607.6441214</v>
      </c>
      <c r="S248">
        <f t="shared" si="962"/>
        <v>-14500.066076441213</v>
      </c>
      <c r="T248">
        <f t="shared" si="963"/>
        <v>-14.500066076441213</v>
      </c>
    </row>
    <row r="249" spans="1:20" x14ac:dyDescent="0.25">
      <c r="A249" s="5">
        <v>44344</v>
      </c>
      <c r="B249">
        <v>6.7570000000000005E-2</v>
      </c>
      <c r="C249">
        <v>6.8610000000000004E-2</v>
      </c>
      <c r="D249">
        <v>5.3719999999999997E-2</v>
      </c>
      <c r="E249">
        <v>5.6980000000000003E-2</v>
      </c>
      <c r="F249">
        <v>38613894.200000003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-0.56212222968435133</v>
      </c>
      <c r="Q249">
        <f t="shared" si="960"/>
        <v>-21705728.304499645</v>
      </c>
      <c r="R249">
        <f t="shared" si="961"/>
        <v>-1440829299.8257306</v>
      </c>
      <c r="S249">
        <f t="shared" si="962"/>
        <v>-14408.292998257306</v>
      </c>
      <c r="T249">
        <f t="shared" si="963"/>
        <v>-14.408292998257306</v>
      </c>
    </row>
    <row r="250" spans="1:20" x14ac:dyDescent="0.25">
      <c r="A250" s="5">
        <v>44343</v>
      </c>
      <c r="B250">
        <v>6.744E-2</v>
      </c>
      <c r="C250">
        <v>7.1199999999999999E-2</v>
      </c>
      <c r="D250">
        <v>5.9029999999999999E-2</v>
      </c>
      <c r="E250">
        <v>6.8040000000000003E-2</v>
      </c>
      <c r="F250">
        <v>49943289.299999997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0.48069022185702609</v>
      </c>
      <c r="Q250">
        <f t="shared" si="960"/>
        <v>24007250.813886635</v>
      </c>
      <c r="R250">
        <f t="shared" si="961"/>
        <v>-1419123571.5212309</v>
      </c>
      <c r="S250">
        <f t="shared" si="962"/>
        <v>-14191.23571521231</v>
      </c>
      <c r="T250">
        <f t="shared" si="963"/>
        <v>-14.19123571521231</v>
      </c>
    </row>
    <row r="251" spans="1:20" x14ac:dyDescent="0.25">
      <c r="A251" s="5">
        <v>44342</v>
      </c>
      <c r="B251">
        <v>6.4000000000000001E-2</v>
      </c>
      <c r="C251">
        <v>6.9000000000000006E-2</v>
      </c>
      <c r="D251">
        <v>6.0830000000000002E-2</v>
      </c>
      <c r="E251">
        <v>6.7809999999999995E-2</v>
      </c>
      <c r="F251">
        <v>48645661.299999997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0.70869033047735375</v>
      </c>
      <c r="Q251">
        <f t="shared" si="960"/>
        <v>34474709.782986417</v>
      </c>
      <c r="R251">
        <f t="shared" si="961"/>
        <v>-1443130822.3351176</v>
      </c>
      <c r="S251">
        <f t="shared" si="962"/>
        <v>-14431.308223351176</v>
      </c>
      <c r="T251">
        <f t="shared" si="963"/>
        <v>-14.431308223351175</v>
      </c>
    </row>
    <row r="252" spans="1:20" x14ac:dyDescent="0.25">
      <c r="A252" s="5">
        <v>44341</v>
      </c>
      <c r="B252">
        <v>5.552E-2</v>
      </c>
      <c r="C252">
        <v>6.4479999999999996E-2</v>
      </c>
      <c r="D252">
        <v>5.0009999999999999E-2</v>
      </c>
      <c r="E252">
        <v>6.4000000000000001E-2</v>
      </c>
      <c r="F252">
        <v>70613165.400000006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0.93365583966827992</v>
      </c>
      <c r="Q252">
        <f t="shared" si="960"/>
        <v>65928394.233172134</v>
      </c>
      <c r="R252">
        <f t="shared" si="961"/>
        <v>-1477605532.118104</v>
      </c>
      <c r="S252">
        <f t="shared" si="962"/>
        <v>-14776.05532118104</v>
      </c>
      <c r="T252">
        <f t="shared" si="963"/>
        <v>-14.77605532118104</v>
      </c>
    </row>
    <row r="253" spans="1:20" x14ac:dyDescent="0.25">
      <c r="A253" s="5">
        <v>44340</v>
      </c>
      <c r="B253">
        <v>4.6510000000000003E-2</v>
      </c>
      <c r="C253">
        <v>5.6349999999999997E-2</v>
      </c>
      <c r="D253">
        <v>4.5629999999999997E-2</v>
      </c>
      <c r="E253">
        <v>5.552E-2</v>
      </c>
      <c r="F253">
        <v>27622680.399999999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0.84514925373134375</v>
      </c>
      <c r="Q253">
        <f t="shared" si="960"/>
        <v>23345287.726119414</v>
      </c>
      <c r="R253">
        <f t="shared" si="961"/>
        <v>-1543533926.3512762</v>
      </c>
      <c r="S253">
        <f t="shared" si="962"/>
        <v>-15435.339263512762</v>
      </c>
      <c r="T253">
        <f t="shared" si="963"/>
        <v>-15.435339263512763</v>
      </c>
    </row>
    <row r="254" spans="1:20" x14ac:dyDescent="0.25">
      <c r="A254" s="5">
        <v>44339</v>
      </c>
      <c r="B254">
        <v>5.7099999999999998E-2</v>
      </c>
      <c r="C254">
        <v>6.1769999999999999E-2</v>
      </c>
      <c r="D254">
        <v>3.6999999999999998E-2</v>
      </c>
      <c r="E254">
        <v>4.614E-2</v>
      </c>
      <c r="F254">
        <v>45646441.600000001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-0.2620104965684294</v>
      </c>
      <c r="Q254">
        <f t="shared" si="960"/>
        <v>-11959846.830197813</v>
      </c>
      <c r="R254">
        <f t="shared" si="961"/>
        <v>-1566879214.0773957</v>
      </c>
      <c r="S254">
        <f t="shared" si="962"/>
        <v>-15668.792140773956</v>
      </c>
      <c r="T254">
        <f t="shared" si="963"/>
        <v>-15.668792140773956</v>
      </c>
    </row>
    <row r="255" spans="1:20" x14ac:dyDescent="0.25">
      <c r="A255" s="5">
        <v>44338</v>
      </c>
      <c r="B255">
        <v>6.2759999999999996E-2</v>
      </c>
      <c r="C255">
        <v>6.4079999999999998E-2</v>
      </c>
      <c r="D255">
        <v>5.3650000000000003E-2</v>
      </c>
      <c r="E255">
        <v>5.7020000000000001E-2</v>
      </c>
      <c r="F255">
        <v>23631428.699999999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-0.35378715244487063</v>
      </c>
      <c r="Q255">
        <f t="shared" si="960"/>
        <v>-8360495.8679769905</v>
      </c>
      <c r="R255">
        <f t="shared" si="961"/>
        <v>-1554919367.2471979</v>
      </c>
      <c r="S255">
        <f t="shared" si="962"/>
        <v>-15549.193672471978</v>
      </c>
      <c r="T255">
        <f t="shared" si="963"/>
        <v>-15.549193672471977</v>
      </c>
    </row>
    <row r="256" spans="1:20" x14ac:dyDescent="0.25">
      <c r="A256" s="5">
        <v>44337</v>
      </c>
      <c r="B256">
        <v>7.6780000000000001E-2</v>
      </c>
      <c r="C256">
        <v>8.1869999999999998E-2</v>
      </c>
      <c r="D256">
        <v>5.4100000000000002E-2</v>
      </c>
      <c r="E256">
        <v>6.2600000000000003E-2</v>
      </c>
      <c r="F256">
        <v>57473926.799999997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-0.38782859200576147</v>
      </c>
      <c r="Q256">
        <f t="shared" si="960"/>
        <v>-22290032.107886199</v>
      </c>
      <c r="R256">
        <f t="shared" si="961"/>
        <v>-1546558871.379221</v>
      </c>
      <c r="S256">
        <f t="shared" si="962"/>
        <v>-15465.588713792209</v>
      </c>
      <c r="T256">
        <f t="shared" si="963"/>
        <v>-15.46558871379221</v>
      </c>
    </row>
    <row r="257" spans="1:20" x14ac:dyDescent="0.25">
      <c r="A257" s="5">
        <v>44336</v>
      </c>
      <c r="B257">
        <v>6.8739999999999996E-2</v>
      </c>
      <c r="C257">
        <v>8.3699999999999997E-2</v>
      </c>
      <c r="D257">
        <v>6.1030000000000001E-2</v>
      </c>
      <c r="E257">
        <v>7.7130000000000004E-2</v>
      </c>
      <c r="F257">
        <v>47937165.799999997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0.42037935597706277</v>
      </c>
      <c r="Q257">
        <f t="shared" si="960"/>
        <v>20151794.886369679</v>
      </c>
      <c r="R257">
        <f t="shared" si="961"/>
        <v>-1524268839.2713346</v>
      </c>
      <c r="S257">
        <f t="shared" si="962"/>
        <v>-15242.688392713346</v>
      </c>
      <c r="T257">
        <f t="shared" si="963"/>
        <v>-15.242688392713346</v>
      </c>
    </row>
    <row r="258" spans="1:20" x14ac:dyDescent="0.25">
      <c r="A258" s="5">
        <v>44335</v>
      </c>
      <c r="B258">
        <v>0.11391</v>
      </c>
      <c r="C258">
        <v>0.11700000000000001</v>
      </c>
      <c r="D258">
        <v>5.987E-2</v>
      </c>
      <c r="E258">
        <v>6.8739999999999996E-2</v>
      </c>
      <c r="F258">
        <v>120032496.2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-0.68948013302993194</v>
      </c>
      <c r="Q258">
        <f t="shared" si="960"/>
        <v>-82760021.447890803</v>
      </c>
      <c r="R258">
        <f t="shared" si="961"/>
        <v>-1544420634.1577044</v>
      </c>
      <c r="S258">
        <f t="shared" si="962"/>
        <v>-15444.206341577044</v>
      </c>
      <c r="T258">
        <f t="shared" si="963"/>
        <v>-15.444206341577045</v>
      </c>
    </row>
    <row r="259" spans="1:20" x14ac:dyDescent="0.25">
      <c r="A259" s="5">
        <v>44334</v>
      </c>
      <c r="B259">
        <v>9.9589999999999998E-2</v>
      </c>
      <c r="C259">
        <v>0.11799999999999999</v>
      </c>
      <c r="D259">
        <v>9.9040000000000003E-2</v>
      </c>
      <c r="E259">
        <v>0.11342000000000001</v>
      </c>
      <c r="F259">
        <v>63682289.5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0.51687763713080281</v>
      </c>
      <c r="Q259">
        <f t="shared" si="960"/>
        <v>32915951.323839735</v>
      </c>
      <c r="R259">
        <f t="shared" si="961"/>
        <v>-1461660612.7098136</v>
      </c>
      <c r="S259">
        <f t="shared" si="962"/>
        <v>-14616.606127098135</v>
      </c>
      <c r="T259">
        <f t="shared" si="963"/>
        <v>-14.616606127098136</v>
      </c>
    </row>
    <row r="260" spans="1:20" x14ac:dyDescent="0.25">
      <c r="A260" s="5">
        <v>44333</v>
      </c>
      <c r="B260">
        <v>0.10851</v>
      </c>
      <c r="C260">
        <v>0.10851</v>
      </c>
      <c r="D260">
        <v>9.4149999999999998E-2</v>
      </c>
      <c r="E260">
        <v>9.9830000000000002E-2</v>
      </c>
      <c r="F260">
        <v>35897492.299999997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-0.2089136490250689</v>
      </c>
      <c r="Q260">
        <f t="shared" si="960"/>
        <v>-7499476.1072423123</v>
      </c>
      <c r="R260">
        <f t="shared" si="961"/>
        <v>-1494576564.0336533</v>
      </c>
      <c r="S260">
        <f t="shared" si="962"/>
        <v>-14945.765640336533</v>
      </c>
      <c r="T260">
        <f t="shared" si="963"/>
        <v>-14.945765640336532</v>
      </c>
    </row>
    <row r="261" spans="1:20" x14ac:dyDescent="0.25">
      <c r="A261" s="5">
        <v>44332</v>
      </c>
      <c r="B261">
        <v>0.11027000000000001</v>
      </c>
      <c r="C261">
        <v>0.12016</v>
      </c>
      <c r="D261">
        <v>0.10199</v>
      </c>
      <c r="E261">
        <v>0.10851</v>
      </c>
      <c r="F261">
        <v>22349578.800000001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-0.28233351678591129</v>
      </c>
      <c r="Q261">
        <f t="shared" si="960"/>
        <v>-6310035.1812878475</v>
      </c>
      <c r="R261">
        <f t="shared" si="961"/>
        <v>-1487077087.9264109</v>
      </c>
      <c r="S261">
        <f t="shared" si="962"/>
        <v>-14870.77087926411</v>
      </c>
      <c r="T261">
        <f t="shared" si="963"/>
        <v>-14.870770879264109</v>
      </c>
    </row>
    <row r="262" spans="1:20" x14ac:dyDescent="0.25">
      <c r="A262" s="5">
        <v>44331</v>
      </c>
      <c r="B262">
        <v>0.1191</v>
      </c>
      <c r="C262">
        <v>0.12094000000000001</v>
      </c>
      <c r="D262">
        <v>0.10647</v>
      </c>
      <c r="E262">
        <v>0.11027000000000001</v>
      </c>
      <c r="F262">
        <v>21160620.300000001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-0.47477539737387575</v>
      </c>
      <c r="Q262">
        <f t="shared" ref="Q262:Q325" si="965">F262*P262</f>
        <v>-10046541.911610203</v>
      </c>
      <c r="R262">
        <f t="shared" ref="R262:R325" si="966">R263+Q262</f>
        <v>-1480767052.7451231</v>
      </c>
      <c r="S262">
        <f t="shared" ref="S262:S325" si="967">R262/100000</f>
        <v>-14807.670527451231</v>
      </c>
      <c r="T262">
        <f t="shared" ref="T262:T325" si="968">S262/1000</f>
        <v>-14.807670527451231</v>
      </c>
    </row>
    <row r="263" spans="1:20" x14ac:dyDescent="0.25">
      <c r="A263" s="5">
        <v>44330</v>
      </c>
      <c r="B263">
        <v>0.11366999999999999</v>
      </c>
      <c r="C263">
        <v>0.12867999999999999</v>
      </c>
      <c r="D263">
        <v>0.11226</v>
      </c>
      <c r="E263">
        <v>0.11956</v>
      </c>
      <c r="F263">
        <v>28694142.199999999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-0.11084043848964613</v>
      </c>
      <c r="Q263">
        <f t="shared" si="965"/>
        <v>-3180471.3035322591</v>
      </c>
      <c r="R263">
        <f t="shared" si="966"/>
        <v>-1470720510.833513</v>
      </c>
      <c r="S263">
        <f t="shared" si="967"/>
        <v>-14707.205108335131</v>
      </c>
      <c r="T263">
        <f t="shared" si="968"/>
        <v>-14.707205108335131</v>
      </c>
    </row>
    <row r="264" spans="1:20" x14ac:dyDescent="0.25">
      <c r="A264" s="5">
        <v>44329</v>
      </c>
      <c r="B264">
        <v>0.11581</v>
      </c>
      <c r="C264">
        <v>0.12651999999999999</v>
      </c>
      <c r="D264">
        <v>0.10499</v>
      </c>
      <c r="E264">
        <v>0.11366999999999999</v>
      </c>
      <c r="F264">
        <v>39555254.100000001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-0.19368323269856053</v>
      </c>
      <c r="Q264">
        <f t="shared" si="965"/>
        <v>-7661189.4843009906</v>
      </c>
      <c r="R264">
        <f t="shared" si="966"/>
        <v>-1467540039.5299807</v>
      </c>
      <c r="S264">
        <f t="shared" si="967"/>
        <v>-14675.400395299806</v>
      </c>
      <c r="T264">
        <f t="shared" si="968"/>
        <v>-14.675400395299807</v>
      </c>
    </row>
    <row r="265" spans="1:20" x14ac:dyDescent="0.25">
      <c r="A265" s="5">
        <v>44328</v>
      </c>
      <c r="B265">
        <v>0.14305000000000001</v>
      </c>
      <c r="C265">
        <v>0.14449999999999999</v>
      </c>
      <c r="D265">
        <v>0.11541999999999999</v>
      </c>
      <c r="E265">
        <v>0.1158</v>
      </c>
      <c r="F265">
        <v>41259770.100000001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-0.97386519944979333</v>
      </c>
      <c r="Q265">
        <f t="shared" si="965"/>
        <v>-40181454.237689123</v>
      </c>
      <c r="R265">
        <f t="shared" si="966"/>
        <v>-1459878850.0456796</v>
      </c>
      <c r="S265">
        <f t="shared" si="967"/>
        <v>-14598.788500456796</v>
      </c>
      <c r="T265">
        <f t="shared" si="968"/>
        <v>-14.598788500456797</v>
      </c>
    </row>
    <row r="266" spans="1:20" x14ac:dyDescent="0.25">
      <c r="A266" s="5">
        <v>44327</v>
      </c>
      <c r="B266">
        <v>0.13622000000000001</v>
      </c>
      <c r="C266">
        <v>0.15989999999999999</v>
      </c>
      <c r="D266">
        <v>0.13455</v>
      </c>
      <c r="E266">
        <v>0.14344000000000001</v>
      </c>
      <c r="F266">
        <v>114909294.5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-0.29861932938855901</v>
      </c>
      <c r="Q266">
        <f t="shared" si="965"/>
        <v>-34314136.464102432</v>
      </c>
      <c r="R266">
        <f t="shared" si="966"/>
        <v>-1419697395.8079906</v>
      </c>
      <c r="S266">
        <f t="shared" si="967"/>
        <v>-14196.973958079905</v>
      </c>
      <c r="T266">
        <f t="shared" si="968"/>
        <v>-14.196973958079905</v>
      </c>
    </row>
    <row r="267" spans="1:20" x14ac:dyDescent="0.25">
      <c r="A267" s="5">
        <v>44326</v>
      </c>
      <c r="B267">
        <v>0.13755000000000001</v>
      </c>
      <c r="C267">
        <v>0.157</v>
      </c>
      <c r="D267">
        <v>0.12416000000000001</v>
      </c>
      <c r="E267">
        <v>0.13655</v>
      </c>
      <c r="F267">
        <v>92267576.400000006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-0.24543239951278925</v>
      </c>
      <c r="Q267">
        <f t="shared" si="965"/>
        <v>-22645452.673081607</v>
      </c>
      <c r="R267">
        <f t="shared" si="966"/>
        <v>-1385383259.343888</v>
      </c>
      <c r="S267">
        <f t="shared" si="967"/>
        <v>-13853.832593438881</v>
      </c>
      <c r="T267">
        <f t="shared" si="968"/>
        <v>-13.853832593438881</v>
      </c>
    </row>
    <row r="268" spans="1:20" x14ac:dyDescent="0.25">
      <c r="A268" s="5">
        <v>44325</v>
      </c>
      <c r="B268">
        <v>0.14198</v>
      </c>
      <c r="C268">
        <v>0.14399999999999999</v>
      </c>
      <c r="D268">
        <v>0.13500000000000001</v>
      </c>
      <c r="E268">
        <v>0.13750000000000001</v>
      </c>
      <c r="F268">
        <v>21850950.600000001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-0.44444444444444275</v>
      </c>
      <c r="Q268">
        <f t="shared" si="965"/>
        <v>-9711533.5999999642</v>
      </c>
      <c r="R268">
        <f t="shared" si="966"/>
        <v>-1362737806.6708064</v>
      </c>
      <c r="S268">
        <f t="shared" si="967"/>
        <v>-13627.378066708065</v>
      </c>
      <c r="T268">
        <f t="shared" si="968"/>
        <v>-13.627378066708065</v>
      </c>
    </row>
    <row r="269" spans="1:20" x14ac:dyDescent="0.25">
      <c r="A269" s="5">
        <v>44324</v>
      </c>
      <c r="B269">
        <v>0.13997000000000001</v>
      </c>
      <c r="C269">
        <v>0.14452999999999999</v>
      </c>
      <c r="D269">
        <v>0.13774</v>
      </c>
      <c r="E269">
        <v>0.14180000000000001</v>
      </c>
      <c r="F269">
        <v>21591819.899999999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0.19587628865979786</v>
      </c>
      <c r="Q269">
        <f t="shared" si="965"/>
        <v>4229325.5474227676</v>
      </c>
      <c r="R269">
        <f t="shared" si="966"/>
        <v>-1353026273.0708065</v>
      </c>
      <c r="S269">
        <f t="shared" si="967"/>
        <v>-13530.262730708066</v>
      </c>
      <c r="T269">
        <f t="shared" si="968"/>
        <v>-13.530262730708065</v>
      </c>
    </row>
    <row r="270" spans="1:20" x14ac:dyDescent="0.25">
      <c r="A270" s="5">
        <v>44323</v>
      </c>
      <c r="B270">
        <v>0.14457999999999999</v>
      </c>
      <c r="C270">
        <v>0.14651</v>
      </c>
      <c r="D270">
        <v>0.13716999999999999</v>
      </c>
      <c r="E270">
        <v>0.14000000000000001</v>
      </c>
      <c r="F270">
        <v>33382834.5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-0.39400428265524146</v>
      </c>
      <c r="Q270">
        <f t="shared" si="965"/>
        <v>-13152979.760171145</v>
      </c>
      <c r="R270">
        <f t="shared" si="966"/>
        <v>-1357255598.6182294</v>
      </c>
      <c r="S270">
        <f t="shared" si="967"/>
        <v>-13572.555986182293</v>
      </c>
      <c r="T270">
        <f t="shared" si="968"/>
        <v>-13.572555986182293</v>
      </c>
    </row>
    <row r="271" spans="1:20" x14ac:dyDescent="0.25">
      <c r="A271" s="5">
        <v>44322</v>
      </c>
      <c r="B271">
        <v>0.15365999999999999</v>
      </c>
      <c r="C271">
        <v>0.15403</v>
      </c>
      <c r="D271">
        <v>0.14008000000000001</v>
      </c>
      <c r="E271">
        <v>0.14457999999999999</v>
      </c>
      <c r="F271">
        <v>32202047.399999999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-0.35483870967742231</v>
      </c>
      <c r="Q271">
        <f t="shared" si="965"/>
        <v>-11426532.948387191</v>
      </c>
      <c r="R271">
        <f t="shared" si="966"/>
        <v>-1344102618.8580582</v>
      </c>
      <c r="S271">
        <f t="shared" si="967"/>
        <v>-13441.026188580583</v>
      </c>
      <c r="T271">
        <f t="shared" si="968"/>
        <v>-13.441026188580583</v>
      </c>
    </row>
    <row r="272" spans="1:20" x14ac:dyDescent="0.25">
      <c r="A272" s="5">
        <v>44321</v>
      </c>
      <c r="B272">
        <v>0.14224999999999999</v>
      </c>
      <c r="C272">
        <v>0.16200000000000001</v>
      </c>
      <c r="D272">
        <v>0.14036999999999999</v>
      </c>
      <c r="E272">
        <v>0.15337999999999999</v>
      </c>
      <c r="F272">
        <v>32907364.699999999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0.20295885344428918</v>
      </c>
      <c r="Q272">
        <f t="shared" si="965"/>
        <v>6678841.0093850754</v>
      </c>
      <c r="R272">
        <f t="shared" si="966"/>
        <v>-1332676085.9096711</v>
      </c>
      <c r="S272">
        <f t="shared" si="967"/>
        <v>-13326.76085909671</v>
      </c>
      <c r="T272">
        <f t="shared" si="968"/>
        <v>-13.32676085909671</v>
      </c>
    </row>
    <row r="273" spans="1:20" x14ac:dyDescent="0.25">
      <c r="A273" s="5">
        <v>44320</v>
      </c>
      <c r="B273">
        <v>0.16705999999999999</v>
      </c>
      <c r="C273">
        <v>0.16711000000000001</v>
      </c>
      <c r="D273">
        <v>0.1386</v>
      </c>
      <c r="E273">
        <v>0.14162</v>
      </c>
      <c r="F273">
        <v>39845623.399999999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-0.78814451069800107</v>
      </c>
      <c r="Q273">
        <f t="shared" si="965"/>
        <v>-31404109.358049821</v>
      </c>
      <c r="R273">
        <f t="shared" si="966"/>
        <v>-1339354926.9190562</v>
      </c>
      <c r="S273">
        <f t="shared" si="967"/>
        <v>-13393.549269190562</v>
      </c>
      <c r="T273">
        <f t="shared" si="968"/>
        <v>-13.393549269190562</v>
      </c>
    </row>
    <row r="274" spans="1:20" x14ac:dyDescent="0.25">
      <c r="A274" s="5">
        <v>44319</v>
      </c>
      <c r="B274">
        <v>0.14981</v>
      </c>
      <c r="C274">
        <v>0.17443</v>
      </c>
      <c r="D274">
        <v>0.14932000000000001</v>
      </c>
      <c r="E274">
        <v>0.16678999999999999</v>
      </c>
      <c r="F274">
        <v>72649301.900000006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0.39147749900437995</v>
      </c>
      <c r="Q274">
        <f t="shared" si="965"/>
        <v>28440567.012226149</v>
      </c>
      <c r="R274">
        <f t="shared" si="966"/>
        <v>-1307950817.5610063</v>
      </c>
      <c r="S274">
        <f t="shared" si="967"/>
        <v>-13079.508175610063</v>
      </c>
      <c r="T274">
        <f t="shared" si="968"/>
        <v>-13.079508175610062</v>
      </c>
    </row>
    <row r="275" spans="1:20" x14ac:dyDescent="0.25">
      <c r="A275" s="5">
        <v>44318</v>
      </c>
      <c r="B275">
        <v>0.15437999999999999</v>
      </c>
      <c r="C275">
        <v>0.155</v>
      </c>
      <c r="D275">
        <v>0.14288999999999999</v>
      </c>
      <c r="E275">
        <v>0.14996000000000001</v>
      </c>
      <c r="F275">
        <v>29595902.600000001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0.16763005780347071</v>
      </c>
      <c r="Q275">
        <f t="shared" si="965"/>
        <v>4961162.8635838889</v>
      </c>
      <c r="R275">
        <f t="shared" si="966"/>
        <v>-1336391384.5732324</v>
      </c>
      <c r="S275">
        <f t="shared" si="967"/>
        <v>-13363.913845732324</v>
      </c>
      <c r="T275">
        <f t="shared" si="968"/>
        <v>-13.363913845732323</v>
      </c>
    </row>
    <row r="276" spans="1:20" x14ac:dyDescent="0.25">
      <c r="A276" s="5">
        <v>44317</v>
      </c>
      <c r="B276">
        <v>0.15081</v>
      </c>
      <c r="C276">
        <v>0.15931999999999999</v>
      </c>
      <c r="D276">
        <v>0.14651</v>
      </c>
      <c r="E276">
        <v>0.15439</v>
      </c>
      <c r="F276">
        <v>38037092.700000003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0.23028883684621476</v>
      </c>
      <c r="Q276">
        <f t="shared" si="965"/>
        <v>8759517.8348946478</v>
      </c>
      <c r="R276">
        <f t="shared" si="966"/>
        <v>-1341352547.4368162</v>
      </c>
      <c r="S276">
        <f t="shared" si="967"/>
        <v>-13413.525474368162</v>
      </c>
      <c r="T276">
        <f t="shared" si="968"/>
        <v>-13.413525474368162</v>
      </c>
    </row>
    <row r="277" spans="1:20" x14ac:dyDescent="0.25">
      <c r="A277" s="5">
        <v>44316</v>
      </c>
      <c r="B277">
        <v>0.14404</v>
      </c>
      <c r="C277">
        <v>0.15944</v>
      </c>
      <c r="D277">
        <v>0.14076</v>
      </c>
      <c r="E277">
        <v>0.15081</v>
      </c>
      <c r="F277">
        <v>53877317.899999999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7.6017130620985252E-2</v>
      </c>
      <c r="Q277">
        <f t="shared" si="965"/>
        <v>4095599.1123126466</v>
      </c>
      <c r="R277">
        <f t="shared" si="966"/>
        <v>-1350112065.2717109</v>
      </c>
      <c r="S277">
        <f t="shared" si="967"/>
        <v>-13501.120652717109</v>
      </c>
      <c r="T277">
        <f t="shared" si="968"/>
        <v>-13.501120652717109</v>
      </c>
    </row>
    <row r="278" spans="1:20" x14ac:dyDescent="0.25">
      <c r="A278" s="5">
        <v>44315</v>
      </c>
      <c r="B278">
        <v>0.14082</v>
      </c>
      <c r="C278">
        <v>0.14499000000000001</v>
      </c>
      <c r="D278">
        <v>0.13258</v>
      </c>
      <c r="E278">
        <v>0.14384</v>
      </c>
      <c r="F278">
        <v>40114102.299999997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0.81466559226430113</v>
      </c>
      <c r="Q278">
        <f t="shared" si="965"/>
        <v>32679578.908380263</v>
      </c>
      <c r="R278">
        <f t="shared" si="966"/>
        <v>-1354207664.3840234</v>
      </c>
      <c r="S278">
        <f t="shared" si="967"/>
        <v>-13542.076643840233</v>
      </c>
      <c r="T278">
        <f t="shared" si="968"/>
        <v>-13.542076643840234</v>
      </c>
    </row>
    <row r="279" spans="1:20" x14ac:dyDescent="0.25">
      <c r="A279" s="5">
        <v>44314</v>
      </c>
      <c r="B279">
        <v>0.14924999999999999</v>
      </c>
      <c r="C279">
        <v>0.15457000000000001</v>
      </c>
      <c r="D279">
        <v>0.12856000000000001</v>
      </c>
      <c r="E279">
        <v>0.14082</v>
      </c>
      <c r="F279">
        <v>59723228.799999997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-5.7285659361784654E-2</v>
      </c>
      <c r="Q279">
        <f t="shared" si="965"/>
        <v>-3421284.5410227268</v>
      </c>
      <c r="R279">
        <f t="shared" si="966"/>
        <v>-1386887243.2924037</v>
      </c>
      <c r="S279">
        <f t="shared" si="967"/>
        <v>-13868.872432924038</v>
      </c>
      <c r="T279">
        <f t="shared" si="968"/>
        <v>-13.868872432924038</v>
      </c>
    </row>
    <row r="280" spans="1:20" x14ac:dyDescent="0.25">
      <c r="A280" s="5">
        <v>44313</v>
      </c>
      <c r="B280">
        <v>0.1313</v>
      </c>
      <c r="C280">
        <v>0.157</v>
      </c>
      <c r="D280">
        <v>0.12867999999999999</v>
      </c>
      <c r="E280">
        <v>0.14921000000000001</v>
      </c>
      <c r="F280">
        <v>71885269.900000006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0.44985875706214773</v>
      </c>
      <c r="Q280">
        <f t="shared" si="965"/>
        <v>32338218.168291025</v>
      </c>
      <c r="R280">
        <f t="shared" si="966"/>
        <v>-1383465958.7513809</v>
      </c>
      <c r="S280">
        <f t="shared" si="967"/>
        <v>-13834.65958751381</v>
      </c>
      <c r="T280">
        <f t="shared" si="968"/>
        <v>-13.83465958751381</v>
      </c>
    </row>
    <row r="281" spans="1:20" x14ac:dyDescent="0.25">
      <c r="A281" s="5">
        <v>44312</v>
      </c>
      <c r="B281">
        <v>0.11398999999999999</v>
      </c>
      <c r="C281">
        <v>0.13200000000000001</v>
      </c>
      <c r="D281">
        <v>0.11359</v>
      </c>
      <c r="E281">
        <v>0.13111</v>
      </c>
      <c r="F281">
        <v>47101356.899999999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0.9033134166214013</v>
      </c>
      <c r="Q281">
        <f t="shared" si="965"/>
        <v>42547287.628843017</v>
      </c>
      <c r="R281">
        <f t="shared" si="966"/>
        <v>-1415804176.919672</v>
      </c>
      <c r="S281">
        <f t="shared" si="967"/>
        <v>-14158.04176919672</v>
      </c>
      <c r="T281">
        <f t="shared" si="968"/>
        <v>-14.15804176919672</v>
      </c>
    </row>
    <row r="282" spans="1:20" x14ac:dyDescent="0.25">
      <c r="A282" s="5">
        <v>44311</v>
      </c>
      <c r="B282">
        <v>0.10179000000000001</v>
      </c>
      <c r="C282">
        <v>0.12348000000000001</v>
      </c>
      <c r="D282">
        <v>0.10129000000000001</v>
      </c>
      <c r="E282">
        <v>0.11379</v>
      </c>
      <c r="F282">
        <v>62513254.700000003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0.1266336187471831</v>
      </c>
      <c r="Q282">
        <f t="shared" si="965"/>
        <v>7916279.6623253524</v>
      </c>
      <c r="R282">
        <f t="shared" si="966"/>
        <v>-1458351464.5485151</v>
      </c>
      <c r="S282">
        <f t="shared" si="967"/>
        <v>-14583.514645485151</v>
      </c>
      <c r="T282">
        <f t="shared" si="968"/>
        <v>-14.583514645485151</v>
      </c>
    </row>
    <row r="283" spans="1:20" x14ac:dyDescent="0.25">
      <c r="A283" s="5">
        <v>44310</v>
      </c>
      <c r="B283">
        <v>0.11106000000000001</v>
      </c>
      <c r="C283">
        <v>0.11694</v>
      </c>
      <c r="D283">
        <v>9.8119999999999999E-2</v>
      </c>
      <c r="E283">
        <v>0.10131</v>
      </c>
      <c r="F283">
        <v>44256697.5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-0.6609989373007441</v>
      </c>
      <c r="Q283">
        <f t="shared" si="965"/>
        <v>-29253630.015940499</v>
      </c>
      <c r="R283">
        <f t="shared" si="966"/>
        <v>-1466267744.2108405</v>
      </c>
      <c r="S283">
        <f t="shared" si="967"/>
        <v>-14662.677442108405</v>
      </c>
      <c r="T283">
        <f t="shared" si="968"/>
        <v>-14.662677442108405</v>
      </c>
    </row>
    <row r="284" spans="1:20" x14ac:dyDescent="0.25">
      <c r="A284" s="5">
        <v>44309</v>
      </c>
      <c r="B284">
        <v>0.11441999999999999</v>
      </c>
      <c r="C284">
        <v>0.11874</v>
      </c>
      <c r="D284">
        <v>9.4799999999999995E-2</v>
      </c>
      <c r="E284">
        <v>0.11117</v>
      </c>
      <c r="F284">
        <v>55622413.200000003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0.36758563074352613</v>
      </c>
      <c r="Q284">
        <f t="shared" si="965"/>
        <v>20445999.839599036</v>
      </c>
      <c r="R284">
        <f t="shared" si="966"/>
        <v>-1437014114.1949</v>
      </c>
      <c r="S284">
        <f t="shared" si="967"/>
        <v>-14370.141141949</v>
      </c>
      <c r="T284">
        <f t="shared" si="968"/>
        <v>-14.370141141949</v>
      </c>
    </row>
    <row r="285" spans="1:20" x14ac:dyDescent="0.25">
      <c r="A285" s="5">
        <v>44308</v>
      </c>
      <c r="B285">
        <v>0.13070000000000001</v>
      </c>
      <c r="C285">
        <v>0.13807</v>
      </c>
      <c r="D285">
        <v>0.11441999999999999</v>
      </c>
      <c r="E285">
        <v>0.11484999999999999</v>
      </c>
      <c r="F285">
        <v>41526475.600000001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-0.96363636363636362</v>
      </c>
      <c r="Q285">
        <f t="shared" si="965"/>
        <v>-40016421.941818185</v>
      </c>
      <c r="R285">
        <f t="shared" si="966"/>
        <v>-1457460114.0344992</v>
      </c>
      <c r="S285">
        <f t="shared" si="967"/>
        <v>-14574.601140344992</v>
      </c>
      <c r="T285">
        <f t="shared" si="968"/>
        <v>-14.574601140344992</v>
      </c>
    </row>
    <row r="286" spans="1:20" x14ac:dyDescent="0.25">
      <c r="A286" s="5">
        <v>44307</v>
      </c>
      <c r="B286">
        <v>0.14659</v>
      </c>
      <c r="C286">
        <v>0.15112</v>
      </c>
      <c r="D286">
        <v>0.12887999999999999</v>
      </c>
      <c r="E286">
        <v>0.13070000000000001</v>
      </c>
      <c r="F286">
        <v>33720637.700000003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-0.83633093525179714</v>
      </c>
      <c r="Q286">
        <f t="shared" si="965"/>
        <v>-28201612.464928012</v>
      </c>
      <c r="R286">
        <f t="shared" si="966"/>
        <v>-1417443692.0926809</v>
      </c>
      <c r="S286">
        <f t="shared" si="967"/>
        <v>-14174.43692092681</v>
      </c>
      <c r="T286">
        <f t="shared" si="968"/>
        <v>-14.17443692092681</v>
      </c>
    </row>
    <row r="287" spans="1:20" x14ac:dyDescent="0.25">
      <c r="A287" s="5">
        <v>44306</v>
      </c>
      <c r="B287">
        <v>0.14007</v>
      </c>
      <c r="C287">
        <v>0.14868000000000001</v>
      </c>
      <c r="D287">
        <v>0.12559999999999999</v>
      </c>
      <c r="E287">
        <v>0.14688999999999999</v>
      </c>
      <c r="F287">
        <v>42050513.299999997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0.84488734835355173</v>
      </c>
      <c r="Q287">
        <f t="shared" si="965"/>
        <v>35527946.678942755</v>
      </c>
      <c r="R287">
        <f t="shared" si="966"/>
        <v>-1389242079.627753</v>
      </c>
      <c r="S287">
        <f t="shared" si="967"/>
        <v>-13892.420796277531</v>
      </c>
      <c r="T287">
        <f t="shared" si="968"/>
        <v>-13.892420796277531</v>
      </c>
    </row>
    <row r="288" spans="1:20" x14ac:dyDescent="0.25">
      <c r="A288" s="5">
        <v>44305</v>
      </c>
      <c r="B288">
        <v>0.16300000000000001</v>
      </c>
      <c r="C288">
        <v>0.17307</v>
      </c>
      <c r="D288">
        <v>0.13900999999999999</v>
      </c>
      <c r="E288">
        <v>0.13966999999999999</v>
      </c>
      <c r="F288">
        <v>47694160</v>
      </c>
      <c r="G288">
        <v>0</v>
      </c>
      <c r="L288" t="s">
        <v>7</v>
      </c>
      <c r="M288" t="s">
        <v>8</v>
      </c>
      <c r="N288" t="s">
        <v>7</v>
      </c>
      <c r="P288">
        <f t="shared" si="964"/>
        <v>-0.96124486200822112</v>
      </c>
      <c r="Q288">
        <f t="shared" si="965"/>
        <v>-45845766.247798018</v>
      </c>
      <c r="R288">
        <f t="shared" si="966"/>
        <v>-1424770026.3066957</v>
      </c>
      <c r="S288">
        <f t="shared" si="967"/>
        <v>-14247.700263066958</v>
      </c>
      <c r="T288">
        <f t="shared" si="968"/>
        <v>-14.247700263066958</v>
      </c>
    </row>
    <row r="289" spans="1:20" x14ac:dyDescent="0.25">
      <c r="A289" s="5">
        <v>44304</v>
      </c>
      <c r="B289">
        <v>0.19828999999999999</v>
      </c>
      <c r="C289">
        <v>0.19953000000000001</v>
      </c>
      <c r="D289">
        <v>0.14180000000000001</v>
      </c>
      <c r="E289">
        <v>0.16300000000000001</v>
      </c>
      <c r="F289">
        <v>75971311.400000006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-0.26554650961371917</v>
      </c>
      <c r="Q289">
        <f t="shared" si="965"/>
        <v>-20173916.573046956</v>
      </c>
      <c r="R289">
        <f t="shared" si="966"/>
        <v>-1378924260.0588977</v>
      </c>
      <c r="S289">
        <f t="shared" si="967"/>
        <v>-13789.242600588977</v>
      </c>
      <c r="T289">
        <f t="shared" si="968"/>
        <v>-13.789242600588977</v>
      </c>
    </row>
    <row r="290" spans="1:20" x14ac:dyDescent="0.25">
      <c r="A290" s="5">
        <v>44303</v>
      </c>
      <c r="B290">
        <v>0.19556999999999999</v>
      </c>
      <c r="C290">
        <v>0.21190000000000001</v>
      </c>
      <c r="D290">
        <v>0.19400000000000001</v>
      </c>
      <c r="E290">
        <v>0.1978</v>
      </c>
      <c r="F290">
        <v>49593737.5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-0.57541899441340805</v>
      </c>
      <c r="Q290">
        <f t="shared" si="965"/>
        <v>-28537178.561452527</v>
      </c>
      <c r="R290">
        <f t="shared" si="966"/>
        <v>-1358750343.4858508</v>
      </c>
      <c r="S290">
        <f t="shared" si="967"/>
        <v>-13587.503434858509</v>
      </c>
      <c r="T290">
        <f t="shared" si="968"/>
        <v>-13.587503434858508</v>
      </c>
    </row>
    <row r="291" spans="1:20" x14ac:dyDescent="0.25">
      <c r="A291" s="5">
        <v>44302</v>
      </c>
      <c r="B291">
        <v>0.21460000000000001</v>
      </c>
      <c r="C291">
        <v>0.21528</v>
      </c>
      <c r="D291">
        <v>0.19055</v>
      </c>
      <c r="E291">
        <v>0.19592999999999999</v>
      </c>
      <c r="F291">
        <v>45616976.700000003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-0.56490093004448072</v>
      </c>
      <c r="Q291">
        <f t="shared" si="965"/>
        <v>-25769072.563647408</v>
      </c>
      <c r="R291">
        <f t="shared" si="966"/>
        <v>-1330213164.9243982</v>
      </c>
      <c r="S291">
        <f t="shared" si="967"/>
        <v>-13302.131649243982</v>
      </c>
      <c r="T291">
        <f t="shared" si="968"/>
        <v>-13.302131649243982</v>
      </c>
    </row>
    <row r="292" spans="1:20" x14ac:dyDescent="0.25">
      <c r="A292" s="5">
        <v>44301</v>
      </c>
      <c r="B292">
        <v>0.21454999999999999</v>
      </c>
      <c r="C292">
        <v>0.22599</v>
      </c>
      <c r="D292">
        <v>0.20937</v>
      </c>
      <c r="E292">
        <v>0.21432999999999999</v>
      </c>
      <c r="F292">
        <v>40770132.399999999</v>
      </c>
      <c r="G292">
        <v>0</v>
      </c>
      <c r="L292" t="s">
        <v>7</v>
      </c>
      <c r="M292" t="s">
        <v>7</v>
      </c>
      <c r="N292" t="s">
        <v>7</v>
      </c>
      <c r="P292">
        <f t="shared" si="964"/>
        <v>-0.40312876052948332</v>
      </c>
      <c r="Q292">
        <f t="shared" si="965"/>
        <v>-16435612.941034928</v>
      </c>
      <c r="R292">
        <f t="shared" si="966"/>
        <v>-1304444092.3607507</v>
      </c>
      <c r="S292">
        <f t="shared" si="967"/>
        <v>-13044.440923607506</v>
      </c>
      <c r="T292">
        <f t="shared" si="968"/>
        <v>-13.044440923607507</v>
      </c>
    </row>
    <row r="293" spans="1:20" x14ac:dyDescent="0.25">
      <c r="A293" s="5">
        <v>44300</v>
      </c>
      <c r="B293">
        <v>0.214</v>
      </c>
      <c r="C293">
        <v>0.22700000000000001</v>
      </c>
      <c r="D293">
        <v>0.20258999999999999</v>
      </c>
      <c r="E293">
        <v>0.21454999999999999</v>
      </c>
      <c r="F293">
        <v>63105459.899999999</v>
      </c>
      <c r="G293">
        <v>0</v>
      </c>
      <c r="L293" t="s">
        <v>8</v>
      </c>
      <c r="M293" t="s">
        <v>7</v>
      </c>
      <c r="N293" t="s">
        <v>7</v>
      </c>
      <c r="P293">
        <f t="shared" si="964"/>
        <v>-2.0073740270381724E-2</v>
      </c>
      <c r="Q293">
        <f t="shared" si="965"/>
        <v>-1266762.6116755889</v>
      </c>
      <c r="R293">
        <f t="shared" si="966"/>
        <v>-1288008479.4197156</v>
      </c>
      <c r="S293">
        <f t="shared" si="967"/>
        <v>-12880.084794197157</v>
      </c>
      <c r="T293">
        <f t="shared" si="968"/>
        <v>-12.880084794197156</v>
      </c>
    </row>
    <row r="294" spans="1:20" x14ac:dyDescent="0.25">
      <c r="A294" s="5">
        <v>44299</v>
      </c>
      <c r="B294">
        <v>0.2145</v>
      </c>
      <c r="C294">
        <v>0.21809999999999999</v>
      </c>
      <c r="D294">
        <v>0.19767999999999999</v>
      </c>
      <c r="E294">
        <v>0.21401000000000001</v>
      </c>
      <c r="F294">
        <v>58936322.299999997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0.5994123408423131</v>
      </c>
      <c r="Q294">
        <f t="shared" si="965"/>
        <v>35327158.910480015</v>
      </c>
      <c r="R294">
        <f t="shared" si="966"/>
        <v>-1286741716.8080401</v>
      </c>
      <c r="S294">
        <f t="shared" si="967"/>
        <v>-12867.417168080401</v>
      </c>
      <c r="T294">
        <f t="shared" si="968"/>
        <v>-12.867417168080401</v>
      </c>
    </row>
    <row r="295" spans="1:20" x14ac:dyDescent="0.25">
      <c r="A295" s="5">
        <v>44298</v>
      </c>
      <c r="B295">
        <v>0.20665</v>
      </c>
      <c r="C295">
        <v>0.22664000000000001</v>
      </c>
      <c r="D295">
        <v>0.19600000000000001</v>
      </c>
      <c r="E295">
        <v>0.21481</v>
      </c>
      <c r="F295">
        <v>77433787.200000003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0.2278067885117489</v>
      </c>
      <c r="Q295">
        <f t="shared" si="965"/>
        <v>17639942.384334169</v>
      </c>
      <c r="R295">
        <f t="shared" si="966"/>
        <v>-1322068875.7185202</v>
      </c>
      <c r="S295">
        <f t="shared" si="967"/>
        <v>-13220.688757185202</v>
      </c>
      <c r="T295">
        <f t="shared" si="968"/>
        <v>-13.220688757185203</v>
      </c>
    </row>
    <row r="296" spans="1:20" x14ac:dyDescent="0.25">
      <c r="A296" s="5">
        <v>44297</v>
      </c>
      <c r="B296">
        <v>0.2077</v>
      </c>
      <c r="C296">
        <v>0.22464000000000001</v>
      </c>
      <c r="D296">
        <v>0.19564999999999999</v>
      </c>
      <c r="E296">
        <v>0.20691000000000001</v>
      </c>
      <c r="F296">
        <v>48789956.899999999</v>
      </c>
      <c r="G296">
        <v>0</v>
      </c>
      <c r="L296" t="s">
        <v>8</v>
      </c>
      <c r="M296" t="s">
        <v>7</v>
      </c>
      <c r="N296" t="s">
        <v>7</v>
      </c>
      <c r="P296">
        <f t="shared" si="964"/>
        <v>-0.22318040703690833</v>
      </c>
      <c r="Q296">
        <f t="shared" si="965"/>
        <v>-10888962.440255214</v>
      </c>
      <c r="R296">
        <f t="shared" si="966"/>
        <v>-1339708818.1028543</v>
      </c>
      <c r="S296">
        <f t="shared" si="967"/>
        <v>-13397.088181028543</v>
      </c>
      <c r="T296">
        <f t="shared" si="968"/>
        <v>-13.397088181028543</v>
      </c>
    </row>
    <row r="297" spans="1:20" x14ac:dyDescent="0.25">
      <c r="A297" s="5">
        <v>44296</v>
      </c>
      <c r="B297">
        <v>0.22012999999999999</v>
      </c>
      <c r="C297">
        <v>0.2218</v>
      </c>
      <c r="D297">
        <v>0.19500000000000001</v>
      </c>
      <c r="E297">
        <v>0.2082</v>
      </c>
      <c r="F297">
        <v>63385310.100000001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-1.4925373134328792E-2</v>
      </c>
      <c r="Q297">
        <f t="shared" si="965"/>
        <v>-946049.40447763947</v>
      </c>
      <c r="R297">
        <f t="shared" si="966"/>
        <v>-1328819855.6625991</v>
      </c>
      <c r="S297">
        <f t="shared" si="967"/>
        <v>-13288.19855662599</v>
      </c>
      <c r="T297">
        <f t="shared" si="968"/>
        <v>-13.288198556625989</v>
      </c>
    </row>
    <row r="298" spans="1:20" x14ac:dyDescent="0.25">
      <c r="A298" s="5">
        <v>44295</v>
      </c>
      <c r="B298">
        <v>0.23196</v>
      </c>
      <c r="C298">
        <v>0.23394000000000001</v>
      </c>
      <c r="D298">
        <v>0.21709999999999999</v>
      </c>
      <c r="E298">
        <v>0.22006000000000001</v>
      </c>
      <c r="F298">
        <v>35957835.600000001</v>
      </c>
      <c r="G298">
        <v>0</v>
      </c>
      <c r="L298" t="s">
        <v>7</v>
      </c>
      <c r="M298" t="s">
        <v>8</v>
      </c>
      <c r="N298" t="s">
        <v>7</v>
      </c>
      <c r="P298">
        <f t="shared" si="964"/>
        <v>-0.64845605700712416</v>
      </c>
      <c r="Q298">
        <f t="shared" si="965"/>
        <v>-23317076.291686401</v>
      </c>
      <c r="R298">
        <f t="shared" si="966"/>
        <v>-1327873806.2581215</v>
      </c>
      <c r="S298">
        <f t="shared" si="967"/>
        <v>-13278.738062581215</v>
      </c>
      <c r="T298">
        <f t="shared" si="968"/>
        <v>-13.278738062581215</v>
      </c>
    </row>
    <row r="299" spans="1:20" x14ac:dyDescent="0.25">
      <c r="A299" s="5">
        <v>44294</v>
      </c>
      <c r="B299">
        <v>0.20577000000000001</v>
      </c>
      <c r="C299">
        <v>0.24806</v>
      </c>
      <c r="D299">
        <v>0.20121</v>
      </c>
      <c r="E299">
        <v>0.23164999999999999</v>
      </c>
      <c r="F299">
        <v>65035367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0.29946638207043724</v>
      </c>
      <c r="Q299">
        <f t="shared" si="965"/>
        <v>19475906.062113106</v>
      </c>
      <c r="R299">
        <f t="shared" si="966"/>
        <v>-1304556729.9664352</v>
      </c>
      <c r="S299">
        <f t="shared" si="967"/>
        <v>-13045.567299664352</v>
      </c>
      <c r="T299">
        <f t="shared" si="968"/>
        <v>-13.045567299664352</v>
      </c>
    </row>
    <row r="300" spans="1:20" x14ac:dyDescent="0.25">
      <c r="A300" s="5">
        <v>44293</v>
      </c>
      <c r="B300">
        <v>0.2248</v>
      </c>
      <c r="C300">
        <v>0.26090999999999998</v>
      </c>
      <c r="D300">
        <v>0.19020999999999999</v>
      </c>
      <c r="E300">
        <v>0.20523</v>
      </c>
      <c r="F300">
        <v>115110172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-0.57510608203677482</v>
      </c>
      <c r="Q300">
        <f t="shared" si="965"/>
        <v>-66200560.021499261</v>
      </c>
      <c r="R300">
        <f t="shared" si="966"/>
        <v>-1324032636.0285482</v>
      </c>
      <c r="S300">
        <f t="shared" si="967"/>
        <v>-13240.326360285482</v>
      </c>
      <c r="T300">
        <f t="shared" si="968"/>
        <v>-13.240326360285483</v>
      </c>
    </row>
    <row r="301" spans="1:20" x14ac:dyDescent="0.25">
      <c r="A301" s="5">
        <v>44292</v>
      </c>
      <c r="B301">
        <v>0.23188</v>
      </c>
      <c r="C301">
        <v>0.23669999999999999</v>
      </c>
      <c r="D301">
        <v>0.21110000000000001</v>
      </c>
      <c r="E301">
        <v>0.22484999999999999</v>
      </c>
      <c r="F301">
        <v>85424780.900000006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7.4218749999999459E-2</v>
      </c>
      <c r="Q301">
        <f t="shared" si="965"/>
        <v>6340120.457421829</v>
      </c>
      <c r="R301">
        <f t="shared" si="966"/>
        <v>-1257832076.0070491</v>
      </c>
      <c r="S301">
        <f t="shared" si="967"/>
        <v>-12578.32076007049</v>
      </c>
      <c r="T301">
        <f t="shared" si="968"/>
        <v>-12.57832076007049</v>
      </c>
    </row>
    <row r="302" spans="1:20" x14ac:dyDescent="0.25">
      <c r="A302" s="5">
        <v>44291</v>
      </c>
      <c r="B302">
        <v>0.21917</v>
      </c>
      <c r="C302">
        <v>0.29631999999999997</v>
      </c>
      <c r="D302">
        <v>0.21915000000000001</v>
      </c>
      <c r="E302">
        <v>0.23141</v>
      </c>
      <c r="F302">
        <v>299062883.39999998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-0.68225994557470526</v>
      </c>
      <c r="Q302">
        <f t="shared" si="965"/>
        <v>-204038626.55189842</v>
      </c>
      <c r="R302">
        <f t="shared" si="966"/>
        <v>-1264172196.4644709</v>
      </c>
      <c r="S302">
        <f t="shared" si="967"/>
        <v>-12641.721964644708</v>
      </c>
      <c r="T302">
        <f t="shared" si="968"/>
        <v>-12.641721964644708</v>
      </c>
    </row>
    <row r="303" spans="1:20" x14ac:dyDescent="0.25">
      <c r="A303" s="5">
        <v>44290</v>
      </c>
      <c r="B303">
        <v>0.16589000000000001</v>
      </c>
      <c r="C303">
        <v>0.25811000000000001</v>
      </c>
      <c r="D303">
        <v>0.16397999999999999</v>
      </c>
      <c r="E303">
        <v>0.22009000000000001</v>
      </c>
      <c r="F303">
        <v>280372602.01999998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0.19218102624030617</v>
      </c>
      <c r="Q303">
        <f t="shared" si="965"/>
        <v>53882294.385868534</v>
      </c>
      <c r="R303">
        <f t="shared" si="966"/>
        <v>-1060133569.9125724</v>
      </c>
      <c r="S303">
        <f t="shared" si="967"/>
        <v>-10601.335699125724</v>
      </c>
      <c r="T303">
        <f t="shared" si="968"/>
        <v>-10.601335699125725</v>
      </c>
    </row>
    <row r="304" spans="1:20" x14ac:dyDescent="0.25">
      <c r="A304" s="5">
        <v>44289</v>
      </c>
      <c r="B304">
        <v>0.17283000000000001</v>
      </c>
      <c r="C304">
        <v>0.19</v>
      </c>
      <c r="D304">
        <v>0.16444</v>
      </c>
      <c r="E304">
        <v>0.16591</v>
      </c>
      <c r="F304">
        <v>57545840.100000001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-0.88497652582159636</v>
      </c>
      <c r="Q304">
        <f t="shared" si="965"/>
        <v>-50926717.647183105</v>
      </c>
      <c r="R304">
        <f t="shared" si="966"/>
        <v>-1114015864.2984409</v>
      </c>
      <c r="S304">
        <f t="shared" si="967"/>
        <v>-11140.15864298441</v>
      </c>
      <c r="T304">
        <f t="shared" si="968"/>
        <v>-11.14015864298441</v>
      </c>
    </row>
    <row r="305" spans="1:20" x14ac:dyDescent="0.25">
      <c r="A305" s="5">
        <v>44288</v>
      </c>
      <c r="B305">
        <v>0.18035000000000001</v>
      </c>
      <c r="C305">
        <v>0.18670999999999999</v>
      </c>
      <c r="D305">
        <v>0.17105999999999999</v>
      </c>
      <c r="E305">
        <v>0.17305000000000001</v>
      </c>
      <c r="F305">
        <v>50710802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-0.74568690095846391</v>
      </c>
      <c r="Q305">
        <f t="shared" si="965"/>
        <v>-37814380.788498275</v>
      </c>
      <c r="R305">
        <f t="shared" si="966"/>
        <v>-1063089146.6512578</v>
      </c>
      <c r="S305">
        <f t="shared" si="967"/>
        <v>-10630.891466512578</v>
      </c>
      <c r="T305">
        <f t="shared" si="968"/>
        <v>-10.630891466512578</v>
      </c>
    </row>
    <row r="306" spans="1:20" x14ac:dyDescent="0.25">
      <c r="A306" s="5">
        <v>44287</v>
      </c>
      <c r="B306">
        <v>0.20019000000000001</v>
      </c>
      <c r="C306">
        <v>0.20923</v>
      </c>
      <c r="D306">
        <v>0.1792</v>
      </c>
      <c r="E306">
        <v>0.18038999999999999</v>
      </c>
      <c r="F306">
        <v>73320391.599999994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-0.92074592074592099</v>
      </c>
      <c r="Q306">
        <f t="shared" si="965"/>
        <v>-67509451.473193482</v>
      </c>
      <c r="R306">
        <f t="shared" si="966"/>
        <v>-1025274765.8627595</v>
      </c>
      <c r="S306">
        <f t="shared" si="967"/>
        <v>-10252.747658627595</v>
      </c>
      <c r="T306">
        <f t="shared" si="968"/>
        <v>-10.252747658627595</v>
      </c>
    </row>
    <row r="307" spans="1:20" x14ac:dyDescent="0.25">
      <c r="A307" s="5">
        <v>44286</v>
      </c>
      <c r="B307">
        <v>0.17519000000000001</v>
      </c>
      <c r="C307">
        <v>0.21559</v>
      </c>
      <c r="D307">
        <v>0.16350000000000001</v>
      </c>
      <c r="E307">
        <v>0.20019000000000001</v>
      </c>
      <c r="F307">
        <v>142141886.34999999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0.40871568439239786</v>
      </c>
      <c r="Q307">
        <f t="shared" si="965"/>
        <v>58095618.36036668</v>
      </c>
      <c r="R307">
        <f t="shared" si="966"/>
        <v>-957765314.38956594</v>
      </c>
      <c r="S307">
        <f t="shared" si="967"/>
        <v>-9577.653143895659</v>
      </c>
      <c r="T307">
        <f t="shared" si="968"/>
        <v>-9.5776531438956596</v>
      </c>
    </row>
    <row r="308" spans="1:20" x14ac:dyDescent="0.25">
      <c r="A308" s="5">
        <v>44285</v>
      </c>
      <c r="B308">
        <v>0.16081000000000001</v>
      </c>
      <c r="C308">
        <v>0.18970000000000001</v>
      </c>
      <c r="D308">
        <v>0.15251000000000001</v>
      </c>
      <c r="E308">
        <v>0.17519000000000001</v>
      </c>
      <c r="F308">
        <v>97800540.200000003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0.21968271040602341</v>
      </c>
      <c r="Q308">
        <f t="shared" si="965"/>
        <v>21485087.750309251</v>
      </c>
      <c r="R308">
        <f t="shared" si="966"/>
        <v>-1015860932.7499326</v>
      </c>
      <c r="S308">
        <f t="shared" si="967"/>
        <v>-10158.609327499327</v>
      </c>
      <c r="T308">
        <f t="shared" si="968"/>
        <v>-10.158609327499327</v>
      </c>
    </row>
    <row r="309" spans="1:20" x14ac:dyDescent="0.25">
      <c r="A309" s="5">
        <v>44284</v>
      </c>
      <c r="B309">
        <v>0.14385000000000001</v>
      </c>
      <c r="C309">
        <v>0.16200000000000001</v>
      </c>
      <c r="D309">
        <v>0.14058000000000001</v>
      </c>
      <c r="E309">
        <v>0.16067000000000001</v>
      </c>
      <c r="F309">
        <v>47179781.200000003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0.87581699346405251</v>
      </c>
      <c r="Q309">
        <f t="shared" si="965"/>
        <v>41320854.122875832</v>
      </c>
      <c r="R309">
        <f t="shared" si="966"/>
        <v>-1037346020.5002419</v>
      </c>
      <c r="S309">
        <f t="shared" si="967"/>
        <v>-10373.460205002419</v>
      </c>
      <c r="T309">
        <f t="shared" si="968"/>
        <v>-10.373460205002418</v>
      </c>
    </row>
    <row r="310" spans="1:20" x14ac:dyDescent="0.25">
      <c r="A310" s="5">
        <v>44283</v>
      </c>
      <c r="B310">
        <v>0.14232</v>
      </c>
      <c r="C310">
        <v>0.14857000000000001</v>
      </c>
      <c r="D310">
        <v>0.13882</v>
      </c>
      <c r="E310">
        <v>0.14385999999999999</v>
      </c>
      <c r="F310">
        <v>49059668.799999997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3.384615384615066E-2</v>
      </c>
      <c r="Q310">
        <f t="shared" si="965"/>
        <v>1660481.0978459974</v>
      </c>
      <c r="R310">
        <f t="shared" si="966"/>
        <v>-1078666874.6231177</v>
      </c>
      <c r="S310">
        <f t="shared" si="967"/>
        <v>-10786.668746231177</v>
      </c>
      <c r="T310">
        <f t="shared" si="968"/>
        <v>-10.786668746231177</v>
      </c>
    </row>
    <row r="311" spans="1:20" x14ac:dyDescent="0.25">
      <c r="A311" s="5">
        <v>44282</v>
      </c>
      <c r="B311">
        <v>0.14826</v>
      </c>
      <c r="C311">
        <v>0.157</v>
      </c>
      <c r="D311">
        <v>0.14087</v>
      </c>
      <c r="E311">
        <v>0.1424</v>
      </c>
      <c r="F311">
        <v>50492099.899999999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-0.81029138251704858</v>
      </c>
      <c r="Q311">
        <f t="shared" si="965"/>
        <v>-40913313.434159927</v>
      </c>
      <c r="R311">
        <f t="shared" si="966"/>
        <v>-1080327355.7209637</v>
      </c>
      <c r="S311">
        <f t="shared" si="967"/>
        <v>-10803.273557209637</v>
      </c>
      <c r="T311">
        <f t="shared" si="968"/>
        <v>-10.803273557209637</v>
      </c>
    </row>
    <row r="312" spans="1:20" x14ac:dyDescent="0.25">
      <c r="A312" s="5">
        <v>44281</v>
      </c>
      <c r="B312">
        <v>0.13075999999999999</v>
      </c>
      <c r="C312">
        <v>0.15196999999999999</v>
      </c>
      <c r="D312">
        <v>0.13070999999999999</v>
      </c>
      <c r="E312">
        <v>0.14760000000000001</v>
      </c>
      <c r="F312">
        <v>40014640.100000001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0.58889934148636081</v>
      </c>
      <c r="Q312">
        <f t="shared" si="965"/>
        <v>23564595.204703726</v>
      </c>
      <c r="R312">
        <f t="shared" si="966"/>
        <v>-1039414042.2868038</v>
      </c>
      <c r="S312">
        <f t="shared" si="967"/>
        <v>-10394.140422868039</v>
      </c>
      <c r="T312">
        <f t="shared" si="968"/>
        <v>-10.394140422868038</v>
      </c>
    </row>
    <row r="313" spans="1:20" x14ac:dyDescent="0.25">
      <c r="A313" s="5">
        <v>44280</v>
      </c>
      <c r="B313">
        <v>0.13378000000000001</v>
      </c>
      <c r="C313">
        <v>0.14777000000000001</v>
      </c>
      <c r="D313">
        <v>0.12537999999999999</v>
      </c>
      <c r="E313">
        <v>0.13108</v>
      </c>
      <c r="F313">
        <v>60317686.5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-0.49084412684233986</v>
      </c>
      <c r="Q313">
        <f t="shared" si="965"/>
        <v>-29606582.163242489</v>
      </c>
      <c r="R313">
        <f t="shared" si="966"/>
        <v>-1062978637.4915075</v>
      </c>
      <c r="S313">
        <f t="shared" si="967"/>
        <v>-10629.786374915075</v>
      </c>
      <c r="T313">
        <f t="shared" si="968"/>
        <v>-10.629786374915074</v>
      </c>
    </row>
    <row r="314" spans="1:20" x14ac:dyDescent="0.25">
      <c r="A314" s="5">
        <v>44279</v>
      </c>
      <c r="B314">
        <v>0.13941999999999999</v>
      </c>
      <c r="C314">
        <v>0.16686000000000001</v>
      </c>
      <c r="D314">
        <v>0.128</v>
      </c>
      <c r="E314">
        <v>0.13350000000000001</v>
      </c>
      <c r="F314">
        <v>114546471.90000001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-0.71693257848687575</v>
      </c>
      <c r="Q314">
        <f t="shared" si="965"/>
        <v>-82122097.455841467</v>
      </c>
      <c r="R314">
        <f t="shared" si="966"/>
        <v>-1033372055.3282651</v>
      </c>
      <c r="S314">
        <f t="shared" si="967"/>
        <v>-10333.72055328265</v>
      </c>
      <c r="T314">
        <f t="shared" si="968"/>
        <v>-10.333720553282649</v>
      </c>
    </row>
    <row r="315" spans="1:20" x14ac:dyDescent="0.25">
      <c r="A315" s="5">
        <v>44278</v>
      </c>
      <c r="B315">
        <v>0.13195999999999999</v>
      </c>
      <c r="C315">
        <v>0.15508</v>
      </c>
      <c r="D315">
        <v>0.12103</v>
      </c>
      <c r="E315">
        <v>0.13941000000000001</v>
      </c>
      <c r="F315">
        <v>82840974.799999997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7.9588839941263381E-2</v>
      </c>
      <c r="Q315">
        <f t="shared" si="965"/>
        <v>6593217.0839354331</v>
      </c>
      <c r="R315">
        <f t="shared" si="966"/>
        <v>-951249957.87242365</v>
      </c>
      <c r="S315">
        <f t="shared" si="967"/>
        <v>-9512.4995787242369</v>
      </c>
      <c r="T315">
        <f t="shared" si="968"/>
        <v>-9.5124995787242366</v>
      </c>
    </row>
    <row r="316" spans="1:20" x14ac:dyDescent="0.25">
      <c r="A316" s="5">
        <v>44277</v>
      </c>
      <c r="B316">
        <v>0.14093</v>
      </c>
      <c r="C316">
        <v>0.154</v>
      </c>
      <c r="D316">
        <v>0.13100999999999999</v>
      </c>
      <c r="E316">
        <v>0.13200999999999999</v>
      </c>
      <c r="F316">
        <v>50420472.200000003</v>
      </c>
      <c r="G316">
        <v>0</v>
      </c>
      <c r="L316" t="s">
        <v>8</v>
      </c>
      <c r="M316" t="s">
        <v>7</v>
      </c>
      <c r="N316" t="s">
        <v>7</v>
      </c>
      <c r="P316">
        <f t="shared" si="964"/>
        <v>-0.91300565463244887</v>
      </c>
      <c r="Q316">
        <f t="shared" si="965"/>
        <v>-46034176.227838196</v>
      </c>
      <c r="R316">
        <f t="shared" si="966"/>
        <v>-957843174.95635903</v>
      </c>
      <c r="S316">
        <f t="shared" si="967"/>
        <v>-9578.4317495635896</v>
      </c>
      <c r="T316">
        <f t="shared" si="968"/>
        <v>-9.57843174956359</v>
      </c>
    </row>
    <row r="317" spans="1:20" x14ac:dyDescent="0.25">
      <c r="A317" s="5">
        <v>44276</v>
      </c>
      <c r="B317">
        <v>0.14915999999999999</v>
      </c>
      <c r="C317">
        <v>0.15306</v>
      </c>
      <c r="D317">
        <v>0.13145999999999999</v>
      </c>
      <c r="E317">
        <v>0.14093</v>
      </c>
      <c r="F317">
        <v>74706840.799999997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-0.12314814814814791</v>
      </c>
      <c r="Q317">
        <f t="shared" si="965"/>
        <v>-9200009.0985185001</v>
      </c>
      <c r="R317">
        <f t="shared" si="966"/>
        <v>-911808998.72852087</v>
      </c>
      <c r="S317">
        <f t="shared" si="967"/>
        <v>-9118.0899872852078</v>
      </c>
      <c r="T317">
        <f t="shared" si="968"/>
        <v>-9.1180899872852077</v>
      </c>
    </row>
    <row r="318" spans="1:20" x14ac:dyDescent="0.25">
      <c r="A318" s="5">
        <v>44275</v>
      </c>
      <c r="B318">
        <v>0.14657999999999999</v>
      </c>
      <c r="C318">
        <v>0.16933000000000001</v>
      </c>
      <c r="D318">
        <v>0.14577999999999999</v>
      </c>
      <c r="E318">
        <v>0.14978</v>
      </c>
      <c r="F318">
        <v>74268760.900000006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-0.66029723991507427</v>
      </c>
      <c r="Q318">
        <f t="shared" si="965"/>
        <v>-49039457.83418259</v>
      </c>
      <c r="R318">
        <f t="shared" si="966"/>
        <v>-902608989.63000238</v>
      </c>
      <c r="S318">
        <f t="shared" si="967"/>
        <v>-9026.0898963000236</v>
      </c>
      <c r="T318">
        <f t="shared" si="968"/>
        <v>-9.0260898963000233</v>
      </c>
    </row>
    <row r="319" spans="1:20" x14ac:dyDescent="0.25">
      <c r="A319" s="5">
        <v>44274</v>
      </c>
      <c r="B319">
        <v>0.14984</v>
      </c>
      <c r="C319">
        <v>0.16106999999999999</v>
      </c>
      <c r="D319">
        <v>0.14332</v>
      </c>
      <c r="E319">
        <v>0.14632999999999999</v>
      </c>
      <c r="F319">
        <v>56551074.600000001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-0.66084507042253671</v>
      </c>
      <c r="Q319">
        <f t="shared" si="965"/>
        <v>-37371498.876507126</v>
      </c>
      <c r="R319">
        <f t="shared" si="966"/>
        <v>-853569531.79581976</v>
      </c>
      <c r="S319">
        <f t="shared" si="967"/>
        <v>-8535.6953179581978</v>
      </c>
      <c r="T319">
        <f t="shared" si="968"/>
        <v>-8.5356953179581971</v>
      </c>
    </row>
    <row r="320" spans="1:20" x14ac:dyDescent="0.25">
      <c r="A320" s="5">
        <v>44273</v>
      </c>
      <c r="B320">
        <v>0.16239000000000001</v>
      </c>
      <c r="C320">
        <v>0.16267999999999999</v>
      </c>
      <c r="D320">
        <v>0.14541000000000001</v>
      </c>
      <c r="E320">
        <v>0.14988000000000001</v>
      </c>
      <c r="F320">
        <v>77091156.5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-0.48233931673422037</v>
      </c>
      <c r="Q320">
        <f t="shared" si="965"/>
        <v>-37184095.752460852</v>
      </c>
      <c r="R320">
        <f t="shared" si="966"/>
        <v>-816198032.9193126</v>
      </c>
      <c r="S320">
        <f t="shared" si="967"/>
        <v>-8161.9803291931257</v>
      </c>
      <c r="T320">
        <f t="shared" si="968"/>
        <v>-8.1619803291931259</v>
      </c>
    </row>
    <row r="321" spans="1:20" x14ac:dyDescent="0.25">
      <c r="A321" s="5">
        <v>44272</v>
      </c>
      <c r="B321">
        <v>0.17505000000000001</v>
      </c>
      <c r="C321">
        <v>0.17566999999999999</v>
      </c>
      <c r="D321">
        <v>0.15179000000000001</v>
      </c>
      <c r="E321">
        <v>0.16197</v>
      </c>
      <c r="F321">
        <v>89991509.200000003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-0.1474036850921272</v>
      </c>
      <c r="Q321">
        <f t="shared" si="965"/>
        <v>-13265080.083082069</v>
      </c>
      <c r="R321">
        <f t="shared" si="966"/>
        <v>-779013937.16685176</v>
      </c>
      <c r="S321">
        <f t="shared" si="967"/>
        <v>-7790.1393716685179</v>
      </c>
      <c r="T321">
        <f t="shared" si="968"/>
        <v>-7.7901393716685181</v>
      </c>
    </row>
    <row r="322" spans="1:20" x14ac:dyDescent="0.25">
      <c r="A322" s="5">
        <v>44271</v>
      </c>
      <c r="B322">
        <v>0.18376000000000001</v>
      </c>
      <c r="C322">
        <v>0.19305</v>
      </c>
      <c r="D322">
        <v>0.16775000000000001</v>
      </c>
      <c r="E322">
        <v>0.17488000000000001</v>
      </c>
      <c r="F322">
        <v>76824873.400000006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-0.43636363636363634</v>
      </c>
      <c r="Q322">
        <f t="shared" si="965"/>
        <v>-33523581.120000001</v>
      </c>
      <c r="R322">
        <f t="shared" si="966"/>
        <v>-765748857.08376968</v>
      </c>
      <c r="S322">
        <f t="shared" si="967"/>
        <v>-7657.4885708376969</v>
      </c>
      <c r="T322">
        <f t="shared" si="968"/>
        <v>-7.657488570837697</v>
      </c>
    </row>
    <row r="323" spans="1:20" x14ac:dyDescent="0.25">
      <c r="A323" s="5">
        <v>44270</v>
      </c>
      <c r="B323">
        <v>0.16936999999999999</v>
      </c>
      <c r="C323">
        <v>0.19644</v>
      </c>
      <c r="D323">
        <v>0.15873999999999999</v>
      </c>
      <c r="E323">
        <v>0.18325</v>
      </c>
      <c r="F323">
        <v>142825155.94999999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0.30026525198938975</v>
      </c>
      <c r="Q323">
        <f t="shared" si="965"/>
        <v>42885431.441750638</v>
      </c>
      <c r="R323">
        <f t="shared" si="966"/>
        <v>-732225275.96376967</v>
      </c>
      <c r="S323">
        <f t="shared" si="967"/>
        <v>-7322.2527596376967</v>
      </c>
      <c r="T323">
        <f t="shared" si="968"/>
        <v>-7.3222527596376965</v>
      </c>
    </row>
    <row r="324" spans="1:20" x14ac:dyDescent="0.25">
      <c r="A324" s="5">
        <v>44269</v>
      </c>
      <c r="B324">
        <v>0.15901999999999999</v>
      </c>
      <c r="C324">
        <v>0.185</v>
      </c>
      <c r="D324">
        <v>0.14777000000000001</v>
      </c>
      <c r="E324">
        <v>0.16938</v>
      </c>
      <c r="F324">
        <v>112417328.40000001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0.16089175396185865</v>
      </c>
      <c r="Q324">
        <f t="shared" si="965"/>
        <v>18087021.141982265</v>
      </c>
      <c r="R324">
        <f t="shared" si="966"/>
        <v>-775110707.40552032</v>
      </c>
      <c r="S324">
        <f t="shared" si="967"/>
        <v>-7751.1070740552032</v>
      </c>
      <c r="T324">
        <f t="shared" si="968"/>
        <v>-7.7511070740552031</v>
      </c>
    </row>
    <row r="325" spans="1:20" x14ac:dyDescent="0.25">
      <c r="A325" s="5">
        <v>44268</v>
      </c>
      <c r="B325">
        <v>0.13672000000000001</v>
      </c>
      <c r="C325">
        <v>0.18</v>
      </c>
      <c r="D325">
        <v>0.12781000000000001</v>
      </c>
      <c r="E325">
        <v>0.15903</v>
      </c>
      <c r="F325">
        <v>160091618.21000001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0.19639777735198335</v>
      </c>
      <c r="Q325">
        <f t="shared" si="965"/>
        <v>31441637.989126306</v>
      </c>
      <c r="R325">
        <f t="shared" si="966"/>
        <v>-793197728.54750264</v>
      </c>
      <c r="S325">
        <f t="shared" si="967"/>
        <v>-7931.9772854750263</v>
      </c>
      <c r="T325">
        <f t="shared" si="968"/>
        <v>-7.9319772854750266</v>
      </c>
    </row>
    <row r="326" spans="1:20" x14ac:dyDescent="0.25">
      <c r="A326" s="5">
        <v>44267</v>
      </c>
      <c r="B326">
        <v>0.14321999999999999</v>
      </c>
      <c r="C326">
        <v>0.14641000000000001</v>
      </c>
      <c r="D326">
        <v>0.12001000000000001</v>
      </c>
      <c r="E326">
        <v>0.13674</v>
      </c>
      <c r="F326">
        <v>120076095.8</v>
      </c>
      <c r="G326">
        <v>0</v>
      </c>
      <c r="L326" t="s">
        <v>8</v>
      </c>
      <c r="M326" t="s">
        <v>7</v>
      </c>
      <c r="N326" t="s">
        <v>8</v>
      </c>
      <c r="P326">
        <f t="shared" ref="P326:P389" si="969">IF(C326=D326,0,((E326-D326)-(C326-E326))/(C326-D326))</f>
        <v>0.26742424242424173</v>
      </c>
      <c r="Q326">
        <f t="shared" ref="Q326:Q389" si="970">F326*P326</f>
        <v>32111258.952575672</v>
      </c>
      <c r="R326">
        <f t="shared" ref="R326:R389" si="971">R327+Q326</f>
        <v>-824639366.53662896</v>
      </c>
      <c r="S326">
        <f t="shared" ref="S326:S389" si="972">R326/100000</f>
        <v>-8246.3936653662895</v>
      </c>
      <c r="T326">
        <f t="shared" ref="T326:T389" si="973">S326/1000</f>
        <v>-8.2463936653662895</v>
      </c>
    </row>
    <row r="327" spans="1:20" x14ac:dyDescent="0.25">
      <c r="A327" s="5">
        <v>44266</v>
      </c>
      <c r="B327">
        <v>0.11291</v>
      </c>
      <c r="C327">
        <v>0.14879999999999999</v>
      </c>
      <c r="D327">
        <v>0.10768</v>
      </c>
      <c r="E327">
        <v>0.14357</v>
      </c>
      <c r="F327">
        <v>159624402.69999999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0.7456225680933859</v>
      </c>
      <c r="Q327">
        <f t="shared" si="970"/>
        <v>119019557.07154679</v>
      </c>
      <c r="R327">
        <f t="shared" si="971"/>
        <v>-856750625.48920465</v>
      </c>
      <c r="S327">
        <f t="shared" si="972"/>
        <v>-8567.5062548920469</v>
      </c>
      <c r="T327">
        <f t="shared" si="973"/>
        <v>-8.5675062548920469</v>
      </c>
    </row>
    <row r="328" spans="1:20" x14ac:dyDescent="0.25">
      <c r="A328" s="5">
        <v>44265</v>
      </c>
      <c r="B328">
        <v>0.11799</v>
      </c>
      <c r="C328">
        <v>0.13632</v>
      </c>
      <c r="D328">
        <v>0.11101</v>
      </c>
      <c r="E328">
        <v>0.11291</v>
      </c>
      <c r="F328">
        <v>141657684.5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-0.84986171473725813</v>
      </c>
      <c r="Q328">
        <f t="shared" si="970"/>
        <v>-120389442.65487951</v>
      </c>
      <c r="R328">
        <f t="shared" si="971"/>
        <v>-975770182.56075144</v>
      </c>
      <c r="S328">
        <f t="shared" si="972"/>
        <v>-9757.7018256075153</v>
      </c>
      <c r="T328">
        <f t="shared" si="973"/>
        <v>-9.7577018256075156</v>
      </c>
    </row>
    <row r="329" spans="1:20" x14ac:dyDescent="0.25">
      <c r="A329" s="5">
        <v>44264</v>
      </c>
      <c r="B329">
        <v>9.9239999999999995E-2</v>
      </c>
      <c r="C329">
        <v>0.13661999999999999</v>
      </c>
      <c r="D329">
        <v>9.3450000000000005E-2</v>
      </c>
      <c r="E329">
        <v>0.11799</v>
      </c>
      <c r="F329">
        <v>333041258.27999997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0.1369006254343294</v>
      </c>
      <c r="Q329">
        <f t="shared" si="970"/>
        <v>45593556.553968035</v>
      </c>
      <c r="R329">
        <f t="shared" si="971"/>
        <v>-855380739.90587187</v>
      </c>
      <c r="S329">
        <f t="shared" si="972"/>
        <v>-8553.8073990587181</v>
      </c>
      <c r="T329">
        <f t="shared" si="973"/>
        <v>-8.5538073990587176</v>
      </c>
    </row>
    <row r="330" spans="1:20" x14ac:dyDescent="0.25">
      <c r="A330" s="5">
        <v>44263</v>
      </c>
      <c r="B330">
        <v>8.3769999999999997E-2</v>
      </c>
      <c r="C330">
        <v>0.10938000000000001</v>
      </c>
      <c r="D330">
        <v>7.9699999999999993E-2</v>
      </c>
      <c r="E330">
        <v>9.9250000000000005E-2</v>
      </c>
      <c r="F330">
        <v>184587707.80000001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0.3173854447439356</v>
      </c>
      <c r="Q330">
        <f t="shared" si="970"/>
        <v>58585451.734366633</v>
      </c>
      <c r="R330">
        <f t="shared" si="971"/>
        <v>-900974296.45983994</v>
      </c>
      <c r="S330">
        <f t="shared" si="972"/>
        <v>-9009.7429645983993</v>
      </c>
      <c r="T330">
        <f t="shared" si="973"/>
        <v>-9.0097429645983986</v>
      </c>
    </row>
    <row r="331" spans="1:20" x14ac:dyDescent="0.25">
      <c r="A331" s="5">
        <v>44262</v>
      </c>
      <c r="B331">
        <v>8.9410000000000003E-2</v>
      </c>
      <c r="C331">
        <v>8.9810000000000001E-2</v>
      </c>
      <c r="D331">
        <v>8.0939999999999998E-2</v>
      </c>
      <c r="E331">
        <v>8.3729999999999999E-2</v>
      </c>
      <c r="F331">
        <v>69220988.700000003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-0.37091319052987598</v>
      </c>
      <c r="Q331">
        <f t="shared" si="970"/>
        <v>-25674977.770349495</v>
      </c>
      <c r="R331">
        <f t="shared" si="971"/>
        <v>-959559748.1942066</v>
      </c>
      <c r="S331">
        <f t="shared" si="972"/>
        <v>-9595.5974819420662</v>
      </c>
      <c r="T331">
        <f t="shared" si="973"/>
        <v>-9.5955974819420664</v>
      </c>
    </row>
    <row r="332" spans="1:20" x14ac:dyDescent="0.25">
      <c r="A332" s="5">
        <v>44261</v>
      </c>
      <c r="B332">
        <v>9.3619999999999995E-2</v>
      </c>
      <c r="C332">
        <v>9.8599999999999993E-2</v>
      </c>
      <c r="D332">
        <v>8.1949999999999995E-2</v>
      </c>
      <c r="E332">
        <v>8.9410000000000003E-2</v>
      </c>
      <c r="F332">
        <v>241151334.30000001</v>
      </c>
      <c r="G332">
        <v>0</v>
      </c>
      <c r="L332" t="s">
        <v>7</v>
      </c>
      <c r="M332" t="s">
        <v>7</v>
      </c>
      <c r="N332" t="s">
        <v>7</v>
      </c>
      <c r="P332">
        <f t="shared" si="969"/>
        <v>-0.10390390390390281</v>
      </c>
      <c r="Q332">
        <f t="shared" si="970"/>
        <v>-25056565.065405142</v>
      </c>
      <c r="R332">
        <f t="shared" si="971"/>
        <v>-933884770.42385709</v>
      </c>
      <c r="S332">
        <f t="shared" si="972"/>
        <v>-9338.8477042385712</v>
      </c>
      <c r="T332">
        <f t="shared" si="973"/>
        <v>-9.3388477042385709</v>
      </c>
    </row>
    <row r="333" spans="1:20" x14ac:dyDescent="0.25">
      <c r="A333" s="5">
        <v>44260</v>
      </c>
      <c r="B333">
        <v>7.4679999999999996E-2</v>
      </c>
      <c r="C333">
        <v>0.11547</v>
      </c>
      <c r="D333">
        <v>6.9389999999999993E-2</v>
      </c>
      <c r="E333">
        <v>9.3549999999999994E-2</v>
      </c>
      <c r="F333">
        <v>826668821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4.8611111111110925E-2</v>
      </c>
      <c r="Q333">
        <f t="shared" si="970"/>
        <v>40185289.909722067</v>
      </c>
      <c r="R333">
        <f t="shared" si="971"/>
        <v>-908828205.35845196</v>
      </c>
      <c r="S333">
        <f t="shared" si="972"/>
        <v>-9088.2820535845203</v>
      </c>
      <c r="T333">
        <f t="shared" si="973"/>
        <v>-9.0882820535845195</v>
      </c>
    </row>
    <row r="334" spans="1:20" x14ac:dyDescent="0.25">
      <c r="A334" s="5">
        <v>44259</v>
      </c>
      <c r="B334">
        <v>6.0019999999999997E-2</v>
      </c>
      <c r="C334">
        <v>8.8069999999999996E-2</v>
      </c>
      <c r="D334">
        <v>5.7880000000000001E-2</v>
      </c>
      <c r="E334">
        <v>7.4679999999999996E-2</v>
      </c>
      <c r="F334">
        <v>193139492.09999999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0.11295130838025827</v>
      </c>
      <c r="Q334">
        <f t="shared" si="970"/>
        <v>21815358.332593556</v>
      </c>
      <c r="R334">
        <f t="shared" si="971"/>
        <v>-949013495.26817405</v>
      </c>
      <c r="S334">
        <f t="shared" si="972"/>
        <v>-9490.1349526817412</v>
      </c>
      <c r="T334">
        <f t="shared" si="973"/>
        <v>-9.4901349526817409</v>
      </c>
    </row>
    <row r="335" spans="1:20" x14ac:dyDescent="0.25">
      <c r="A335" s="5">
        <v>44258</v>
      </c>
      <c r="B335">
        <v>5.7860000000000002E-2</v>
      </c>
      <c r="C335">
        <v>6.3100000000000003E-2</v>
      </c>
      <c r="D335">
        <v>5.6340000000000001E-2</v>
      </c>
      <c r="E335">
        <v>6.0139999999999999E-2</v>
      </c>
      <c r="F335">
        <v>46431013.600000001</v>
      </c>
      <c r="G335">
        <v>0</v>
      </c>
      <c r="L335" t="s">
        <v>8</v>
      </c>
      <c r="M335" t="s">
        <v>7</v>
      </c>
      <c r="N335" t="s">
        <v>8</v>
      </c>
      <c r="P335">
        <f t="shared" si="969"/>
        <v>0.1242603550295848</v>
      </c>
      <c r="Q335">
        <f t="shared" si="970"/>
        <v>5769534.2343194801</v>
      </c>
      <c r="R335">
        <f t="shared" si="971"/>
        <v>-970828853.60076761</v>
      </c>
      <c r="S335">
        <f t="shared" si="972"/>
        <v>-9708.2885360076762</v>
      </c>
      <c r="T335">
        <f t="shared" si="973"/>
        <v>-9.7082885360076769</v>
      </c>
    </row>
    <row r="336" spans="1:20" x14ac:dyDescent="0.25">
      <c r="A336" s="5">
        <v>44257</v>
      </c>
      <c r="B336">
        <v>5.8139999999999997E-2</v>
      </c>
      <c r="C336">
        <v>6.5000000000000002E-2</v>
      </c>
      <c r="D336">
        <v>5.4780000000000002E-2</v>
      </c>
      <c r="E336">
        <v>5.7509999999999999E-2</v>
      </c>
      <c r="F336">
        <v>89517882.099999994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-0.46575342465753494</v>
      </c>
      <c r="Q336">
        <f t="shared" si="970"/>
        <v>-41693260.156164445</v>
      </c>
      <c r="R336">
        <f t="shared" si="971"/>
        <v>-976598387.83508706</v>
      </c>
      <c r="S336">
        <f t="shared" si="972"/>
        <v>-9765.9838783508712</v>
      </c>
      <c r="T336">
        <f t="shared" si="973"/>
        <v>-9.7659838783508714</v>
      </c>
    </row>
    <row r="337" spans="1:20" x14ac:dyDescent="0.25">
      <c r="A337" s="5">
        <v>44256</v>
      </c>
      <c r="B337">
        <v>4.9660000000000003E-2</v>
      </c>
      <c r="C337">
        <v>6.5879999999999994E-2</v>
      </c>
      <c r="D337">
        <v>4.9209999999999997E-2</v>
      </c>
      <c r="E337">
        <v>5.8180000000000003E-2</v>
      </c>
      <c r="F337">
        <v>68325438.200000003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7.6184763047391385E-2</v>
      </c>
      <c r="Q337">
        <f t="shared" si="970"/>
        <v>5205357.3193761837</v>
      </c>
      <c r="R337">
        <f t="shared" si="971"/>
        <v>-934905127.67892265</v>
      </c>
      <c r="S337">
        <f t="shared" si="972"/>
        <v>-9349.0512767892269</v>
      </c>
      <c r="T337">
        <f t="shared" si="973"/>
        <v>-9.3490512767892273</v>
      </c>
    </row>
    <row r="338" spans="1:20" x14ac:dyDescent="0.25">
      <c r="A338" s="5">
        <v>44255</v>
      </c>
      <c r="B338">
        <v>5.3809999999999997E-2</v>
      </c>
      <c r="C338">
        <v>5.4239999999999997E-2</v>
      </c>
      <c r="D338">
        <v>4.5030000000000001E-2</v>
      </c>
      <c r="E338">
        <v>4.9529999999999998E-2</v>
      </c>
      <c r="F338">
        <v>25809415.5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-2.2801302931596303E-2</v>
      </c>
      <c r="Q338">
        <f t="shared" si="970"/>
        <v>-588488.30130293709</v>
      </c>
      <c r="R338">
        <f t="shared" si="971"/>
        <v>-940110484.99829888</v>
      </c>
      <c r="S338">
        <f t="shared" si="972"/>
        <v>-9401.1048499829885</v>
      </c>
      <c r="T338">
        <f t="shared" si="973"/>
        <v>-9.401104849982989</v>
      </c>
    </row>
    <row r="339" spans="1:20" x14ac:dyDescent="0.25">
      <c r="A339" s="5">
        <v>44254</v>
      </c>
      <c r="B339">
        <v>5.0659999999999997E-2</v>
      </c>
      <c r="C339">
        <v>5.8349999999999999E-2</v>
      </c>
      <c r="D339">
        <v>5.0380000000000001E-2</v>
      </c>
      <c r="E339">
        <v>5.3839999999999999E-2</v>
      </c>
      <c r="F339">
        <v>37272642.399999999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-0.13174404015056496</v>
      </c>
      <c r="Q339">
        <f t="shared" si="970"/>
        <v>-4910448.4968632497</v>
      </c>
      <c r="R339">
        <f t="shared" si="971"/>
        <v>-939521996.69699597</v>
      </c>
      <c r="S339">
        <f t="shared" si="972"/>
        <v>-9395.2199669699603</v>
      </c>
      <c r="T339">
        <f t="shared" si="973"/>
        <v>-9.395219966969961</v>
      </c>
    </row>
    <row r="340" spans="1:20" x14ac:dyDescent="0.25">
      <c r="A340" s="5">
        <v>44253</v>
      </c>
      <c r="B340">
        <v>5.3060000000000003E-2</v>
      </c>
      <c r="C340">
        <v>5.6669999999999998E-2</v>
      </c>
      <c r="D340">
        <v>4.7E-2</v>
      </c>
      <c r="E340">
        <v>5.0590000000000003E-2</v>
      </c>
      <c r="F340">
        <v>22947248.800000001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-0.25749741468459075</v>
      </c>
      <c r="Q340">
        <f t="shared" si="970"/>
        <v>-5908857.2401240775</v>
      </c>
      <c r="R340">
        <f t="shared" si="971"/>
        <v>-934611548.20013273</v>
      </c>
      <c r="S340">
        <f t="shared" si="972"/>
        <v>-9346.1154820013271</v>
      </c>
      <c r="T340">
        <f t="shared" si="973"/>
        <v>-9.346115482001327</v>
      </c>
    </row>
    <row r="341" spans="1:20" x14ac:dyDescent="0.25">
      <c r="A341" s="5">
        <v>44252</v>
      </c>
      <c r="B341">
        <v>6.1780000000000002E-2</v>
      </c>
      <c r="C341">
        <v>6.1780000000000002E-2</v>
      </c>
      <c r="D341">
        <v>5.2970000000000003E-2</v>
      </c>
      <c r="E341">
        <v>5.2999999999999999E-2</v>
      </c>
      <c r="F341">
        <v>37129158.600000001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-0.99318955732122693</v>
      </c>
      <c r="Q341">
        <f t="shared" si="970"/>
        <v>-36876292.593643628</v>
      </c>
      <c r="R341">
        <f t="shared" si="971"/>
        <v>-928702690.96000862</v>
      </c>
      <c r="S341">
        <f t="shared" si="972"/>
        <v>-9287.0269096000866</v>
      </c>
      <c r="T341">
        <f t="shared" si="973"/>
        <v>-9.2870269096000868</v>
      </c>
    </row>
    <row r="342" spans="1:20" x14ac:dyDescent="0.25">
      <c r="A342" s="5">
        <v>44251</v>
      </c>
      <c r="B342">
        <v>0.05</v>
      </c>
      <c r="C342">
        <v>6.6449999999999995E-2</v>
      </c>
      <c r="D342">
        <v>4.7160000000000001E-2</v>
      </c>
      <c r="E342">
        <v>6.1780000000000002E-2</v>
      </c>
      <c r="F342">
        <v>62461311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0.51581130119232821</v>
      </c>
      <c r="Q342">
        <f t="shared" si="970"/>
        <v>32218250.101088684</v>
      </c>
      <c r="R342">
        <f t="shared" si="971"/>
        <v>-891826398.36636496</v>
      </c>
      <c r="S342">
        <f t="shared" si="972"/>
        <v>-8918.2639836636499</v>
      </c>
      <c r="T342">
        <f t="shared" si="973"/>
        <v>-8.9182639836636497</v>
      </c>
    </row>
    <row r="343" spans="1:20" x14ac:dyDescent="0.25">
      <c r="A343" s="5">
        <v>44250</v>
      </c>
      <c r="B343">
        <v>6.447E-2</v>
      </c>
      <c r="C343">
        <v>6.4509999999999998E-2</v>
      </c>
      <c r="D343">
        <v>4.3069999999999997E-2</v>
      </c>
      <c r="E343">
        <v>0.05</v>
      </c>
      <c r="F343">
        <v>52519688.600000001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-0.35354477611940249</v>
      </c>
      <c r="Q343">
        <f t="shared" si="970"/>
        <v>-18568061.547947735</v>
      </c>
      <c r="R343">
        <f t="shared" si="971"/>
        <v>-924044648.4674536</v>
      </c>
      <c r="S343">
        <f t="shared" si="972"/>
        <v>-9240.4464846745359</v>
      </c>
      <c r="T343">
        <f t="shared" si="973"/>
        <v>-9.2404464846745356</v>
      </c>
    </row>
    <row r="344" spans="1:20" x14ac:dyDescent="0.25">
      <c r="A344" s="5">
        <v>44249</v>
      </c>
      <c r="B344">
        <v>7.3260000000000006E-2</v>
      </c>
      <c r="C344">
        <v>7.3999999999999996E-2</v>
      </c>
      <c r="D344">
        <v>5.3060000000000003E-2</v>
      </c>
      <c r="E344">
        <v>6.447E-2</v>
      </c>
      <c r="F344">
        <v>40390073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8.9780324737344805E-2</v>
      </c>
      <c r="Q344">
        <f t="shared" si="970"/>
        <v>3626233.8701050626</v>
      </c>
      <c r="R344">
        <f t="shared" si="971"/>
        <v>-905476586.91950583</v>
      </c>
      <c r="S344">
        <f t="shared" si="972"/>
        <v>-9054.7658691950583</v>
      </c>
      <c r="T344">
        <f t="shared" si="973"/>
        <v>-9.0547658691950588</v>
      </c>
    </row>
    <row r="345" spans="1:20" x14ac:dyDescent="0.25">
      <c r="A345" s="5">
        <v>44248</v>
      </c>
      <c r="B345">
        <v>6.9400000000000003E-2</v>
      </c>
      <c r="C345">
        <v>7.7030000000000001E-2</v>
      </c>
      <c r="D345">
        <v>6.8000000000000005E-2</v>
      </c>
      <c r="E345">
        <v>7.3260000000000006E-2</v>
      </c>
      <c r="F345">
        <v>30240532.699999999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0.165005537098561</v>
      </c>
      <c r="Q345">
        <f t="shared" si="970"/>
        <v>4989855.3403100967</v>
      </c>
      <c r="R345">
        <f t="shared" si="971"/>
        <v>-909102820.78961086</v>
      </c>
      <c r="S345">
        <f t="shared" si="972"/>
        <v>-9091.0282078961081</v>
      </c>
      <c r="T345">
        <f t="shared" si="973"/>
        <v>-9.0910282078961089</v>
      </c>
    </row>
    <row r="346" spans="1:20" x14ac:dyDescent="0.25">
      <c r="A346" s="5">
        <v>44247</v>
      </c>
      <c r="B346">
        <v>7.5439999999999993E-2</v>
      </c>
      <c r="C346">
        <v>8.1339999999999996E-2</v>
      </c>
      <c r="D346">
        <v>6.6799999999999998E-2</v>
      </c>
      <c r="E346">
        <v>6.9389999999999993E-2</v>
      </c>
      <c r="F346">
        <v>55635143.200000003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-0.64374140302613536</v>
      </c>
      <c r="Q346">
        <f t="shared" si="970"/>
        <v>-35814645.141127959</v>
      </c>
      <c r="R346">
        <f t="shared" si="971"/>
        <v>-914092676.12992096</v>
      </c>
      <c r="S346">
        <f t="shared" si="972"/>
        <v>-9140.9267612992098</v>
      </c>
      <c r="T346">
        <f t="shared" si="973"/>
        <v>-9.1409267612992107</v>
      </c>
    </row>
    <row r="347" spans="1:20" x14ac:dyDescent="0.25">
      <c r="A347" s="5">
        <v>44246</v>
      </c>
      <c r="B347">
        <v>7.7479999999999993E-2</v>
      </c>
      <c r="C347">
        <v>7.8950000000000006E-2</v>
      </c>
      <c r="D347">
        <v>7.2520000000000001E-2</v>
      </c>
      <c r="E347">
        <v>7.5410000000000005E-2</v>
      </c>
      <c r="F347">
        <v>39213465.600000001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-0.10108864696734017</v>
      </c>
      <c r="Q347">
        <f t="shared" si="970"/>
        <v>-3964036.1804043381</v>
      </c>
      <c r="R347">
        <f t="shared" si="971"/>
        <v>-878278030.98879302</v>
      </c>
      <c r="S347">
        <f t="shared" si="972"/>
        <v>-8782.7803098879303</v>
      </c>
      <c r="T347">
        <f t="shared" si="973"/>
        <v>-8.7827803098879311</v>
      </c>
    </row>
    <row r="348" spans="1:20" x14ac:dyDescent="0.25">
      <c r="A348" s="5">
        <v>44245</v>
      </c>
      <c r="B348">
        <v>7.2950000000000001E-2</v>
      </c>
      <c r="C348">
        <v>7.9969999999999999E-2</v>
      </c>
      <c r="D348">
        <v>7.2459999999999997E-2</v>
      </c>
      <c r="E348">
        <v>7.7149999999999996E-2</v>
      </c>
      <c r="F348">
        <v>38983085.899999999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0.24900133155792223</v>
      </c>
      <c r="Q348">
        <f t="shared" si="970"/>
        <v>9706840.2973368634</v>
      </c>
      <c r="R348">
        <f t="shared" si="971"/>
        <v>-874313994.80838871</v>
      </c>
      <c r="S348">
        <f t="shared" si="972"/>
        <v>-8743.1399480838863</v>
      </c>
      <c r="T348">
        <f t="shared" si="973"/>
        <v>-8.7431399480838863</v>
      </c>
    </row>
    <row r="349" spans="1:20" x14ac:dyDescent="0.25">
      <c r="A349" s="5">
        <v>44244</v>
      </c>
      <c r="B349">
        <v>7.3289999999999994E-2</v>
      </c>
      <c r="C349">
        <v>0.08</v>
      </c>
      <c r="D349">
        <v>6.4000000000000001E-2</v>
      </c>
      <c r="E349">
        <v>7.2550000000000003E-2</v>
      </c>
      <c r="F349">
        <v>51569309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6.8750000000000228E-2</v>
      </c>
      <c r="Q349">
        <f t="shared" si="970"/>
        <v>3545389.9937500115</v>
      </c>
      <c r="R349">
        <f t="shared" si="971"/>
        <v>-884020835.10572553</v>
      </c>
      <c r="S349">
        <f t="shared" si="972"/>
        <v>-8840.2083510572556</v>
      </c>
      <c r="T349">
        <f t="shared" si="973"/>
        <v>-8.8402083510572549</v>
      </c>
    </row>
    <row r="350" spans="1:20" x14ac:dyDescent="0.25">
      <c r="A350" s="5">
        <v>44243</v>
      </c>
      <c r="B350">
        <v>7.2150000000000006E-2</v>
      </c>
      <c r="C350">
        <v>8.3799999999999999E-2</v>
      </c>
      <c r="D350">
        <v>6.9000000000000006E-2</v>
      </c>
      <c r="E350">
        <v>7.3279999999999998E-2</v>
      </c>
      <c r="F350">
        <v>47133688.299999997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-0.42162162162162242</v>
      </c>
      <c r="Q350">
        <f t="shared" si="970"/>
        <v>-19872582.094054092</v>
      </c>
      <c r="R350">
        <f t="shared" si="971"/>
        <v>-887566225.0994755</v>
      </c>
      <c r="S350">
        <f t="shared" si="972"/>
        <v>-8875.6622509947556</v>
      </c>
      <c r="T350">
        <f t="shared" si="973"/>
        <v>-8.8756622509947558</v>
      </c>
    </row>
    <row r="351" spans="1:20" x14ac:dyDescent="0.25">
      <c r="A351" s="5">
        <v>44242</v>
      </c>
      <c r="B351">
        <v>7.8890000000000002E-2</v>
      </c>
      <c r="C351">
        <v>8.3000000000000004E-2</v>
      </c>
      <c r="D351">
        <v>6.25E-2</v>
      </c>
      <c r="E351">
        <v>7.2139999999999996E-2</v>
      </c>
      <c r="F351">
        <v>72307634.400000006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-5.9512195121951827E-2</v>
      </c>
      <c r="Q351">
        <f t="shared" si="970"/>
        <v>-4303186.0472195568</v>
      </c>
      <c r="R351">
        <f t="shared" si="971"/>
        <v>-867693643.0054214</v>
      </c>
      <c r="S351">
        <f t="shared" si="972"/>
        <v>-8676.9364300542147</v>
      </c>
      <c r="T351">
        <f t="shared" si="973"/>
        <v>-8.676936430054214</v>
      </c>
    </row>
    <row r="352" spans="1:20" x14ac:dyDescent="0.25">
      <c r="A352" s="5">
        <v>44241</v>
      </c>
      <c r="B352">
        <v>9.0969999999999995E-2</v>
      </c>
      <c r="C352">
        <v>9.4E-2</v>
      </c>
      <c r="D352">
        <v>7.6999999999999999E-2</v>
      </c>
      <c r="E352">
        <v>7.886E-2</v>
      </c>
      <c r="F352">
        <v>53838342.100000001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-0.78117647058823525</v>
      </c>
      <c r="Q352">
        <f t="shared" si="970"/>
        <v>-42057246.063999996</v>
      </c>
      <c r="R352">
        <f t="shared" si="971"/>
        <v>-863390456.95820189</v>
      </c>
      <c r="S352">
        <f t="shared" si="972"/>
        <v>-8633.9045695820187</v>
      </c>
      <c r="T352">
        <f t="shared" si="973"/>
        <v>-8.6339045695820182</v>
      </c>
    </row>
    <row r="353" spans="1:20" x14ac:dyDescent="0.25">
      <c r="A353" s="5">
        <v>44240</v>
      </c>
      <c r="B353">
        <v>8.43E-2</v>
      </c>
      <c r="C353">
        <v>0.1045</v>
      </c>
      <c r="D353">
        <v>8.0119999999999997E-2</v>
      </c>
      <c r="E353">
        <v>9.0959999999999999E-2</v>
      </c>
      <c r="F353">
        <v>100964514.44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-0.11074651353568475</v>
      </c>
      <c r="Q353">
        <f t="shared" si="970"/>
        <v>-11181467.965053298</v>
      </c>
      <c r="R353">
        <f t="shared" si="971"/>
        <v>-821333210.89420187</v>
      </c>
      <c r="S353">
        <f t="shared" si="972"/>
        <v>-8213.3321089420187</v>
      </c>
      <c r="T353">
        <f t="shared" si="973"/>
        <v>-8.2133321089420193</v>
      </c>
    </row>
    <row r="354" spans="1:20" x14ac:dyDescent="0.25">
      <c r="A354" s="5">
        <v>44239</v>
      </c>
      <c r="B354">
        <v>7.5579999999999994E-2</v>
      </c>
      <c r="C354">
        <v>9.1800000000000007E-2</v>
      </c>
      <c r="D354">
        <v>7.1999999999999995E-2</v>
      </c>
      <c r="E354">
        <v>8.4250000000000005E-2</v>
      </c>
      <c r="F354">
        <v>125326652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0.23737373737373771</v>
      </c>
      <c r="Q354">
        <f t="shared" si="970"/>
        <v>29749255.777777821</v>
      </c>
      <c r="R354">
        <f t="shared" si="971"/>
        <v>-810151742.92914855</v>
      </c>
      <c r="S354">
        <f t="shared" si="972"/>
        <v>-8101.5174292914853</v>
      </c>
      <c r="T354">
        <f t="shared" si="973"/>
        <v>-8.1015174292914853</v>
      </c>
    </row>
    <row r="355" spans="1:20" x14ac:dyDescent="0.25">
      <c r="A355" s="5">
        <v>44238</v>
      </c>
      <c r="B355">
        <v>7.8179999999999999E-2</v>
      </c>
      <c r="C355">
        <v>8.5269999999999999E-2</v>
      </c>
      <c r="D355">
        <v>7.1569999999999995E-2</v>
      </c>
      <c r="E355">
        <v>7.5509999999999994E-2</v>
      </c>
      <c r="F355">
        <v>117664922.09999999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-0.42481751824817549</v>
      </c>
      <c r="Q355">
        <f t="shared" si="970"/>
        <v>-49986120.191386893</v>
      </c>
      <c r="R355">
        <f t="shared" si="971"/>
        <v>-839900998.70692635</v>
      </c>
      <c r="S355">
        <f t="shared" si="972"/>
        <v>-8399.0099870692629</v>
      </c>
      <c r="T355">
        <f t="shared" si="973"/>
        <v>-8.3990099870692632</v>
      </c>
    </row>
    <row r="356" spans="1:20" x14ac:dyDescent="0.25">
      <c r="A356" s="5">
        <v>44237</v>
      </c>
      <c r="B356">
        <v>6.6960000000000006E-2</v>
      </c>
      <c r="C356">
        <v>7.9899999999999999E-2</v>
      </c>
      <c r="D356">
        <v>5.6300000000000003E-2</v>
      </c>
      <c r="E356">
        <v>7.8509999999999996E-2</v>
      </c>
      <c r="F356">
        <v>156808691.09999999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0.88220338983050828</v>
      </c>
      <c r="Q356">
        <f t="shared" si="970"/>
        <v>138337158.84330505</v>
      </c>
      <c r="R356">
        <f t="shared" si="971"/>
        <v>-789914878.51553941</v>
      </c>
      <c r="S356">
        <f t="shared" si="972"/>
        <v>-7899.1487851553939</v>
      </c>
      <c r="T356">
        <f t="shared" si="973"/>
        <v>-7.8991487851553934</v>
      </c>
    </row>
    <row r="357" spans="1:20" x14ac:dyDescent="0.25">
      <c r="A357" s="5">
        <v>44236</v>
      </c>
      <c r="B357">
        <v>5.491E-2</v>
      </c>
      <c r="C357">
        <v>6.9889999999999994E-2</v>
      </c>
      <c r="D357">
        <v>5.2929999999999998E-2</v>
      </c>
      <c r="E357">
        <v>6.6879999999999995E-2</v>
      </c>
      <c r="F357">
        <v>128546540.59999999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0.64504716981132082</v>
      </c>
      <c r="Q357">
        <f t="shared" si="970"/>
        <v>82918582.203066036</v>
      </c>
      <c r="R357">
        <f t="shared" si="971"/>
        <v>-928252037.35884452</v>
      </c>
      <c r="S357">
        <f t="shared" si="972"/>
        <v>-9282.5203735884461</v>
      </c>
      <c r="T357">
        <f t="shared" si="973"/>
        <v>-9.2825203735884454</v>
      </c>
    </row>
    <row r="358" spans="1:20" x14ac:dyDescent="0.25">
      <c r="A358" s="5">
        <v>44235</v>
      </c>
      <c r="B358">
        <v>4.9910000000000003E-2</v>
      </c>
      <c r="C358">
        <v>5.7669999999999999E-2</v>
      </c>
      <c r="D358">
        <v>4.8899999999999999E-2</v>
      </c>
      <c r="E358">
        <v>5.4899999999999997E-2</v>
      </c>
      <c r="F358">
        <v>68124809.5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0.36830102622576932</v>
      </c>
      <c r="Q358">
        <f t="shared" si="970"/>
        <v>25090437.250285041</v>
      </c>
      <c r="R358">
        <f t="shared" si="971"/>
        <v>-1011170619.5619105</v>
      </c>
      <c r="S358">
        <f t="shared" si="972"/>
        <v>-10111.706195619105</v>
      </c>
      <c r="T358">
        <f t="shared" si="973"/>
        <v>-10.111706195619105</v>
      </c>
    </row>
    <row r="359" spans="1:20" x14ac:dyDescent="0.25">
      <c r="A359" s="5">
        <v>44234</v>
      </c>
      <c r="B359">
        <v>5.2400000000000002E-2</v>
      </c>
      <c r="C359">
        <v>5.5E-2</v>
      </c>
      <c r="D359">
        <v>4.598E-2</v>
      </c>
      <c r="E359">
        <v>4.9939999999999998E-2</v>
      </c>
      <c r="F359">
        <v>39343243.700000003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-0.12195121951219554</v>
      </c>
      <c r="Q359">
        <f t="shared" si="970"/>
        <v>-4797956.5487805046</v>
      </c>
      <c r="R359">
        <f t="shared" si="971"/>
        <v>-1036261056.8121955</v>
      </c>
      <c r="S359">
        <f t="shared" si="972"/>
        <v>-10362.610568121956</v>
      </c>
      <c r="T359">
        <f t="shared" si="973"/>
        <v>-10.362610568121957</v>
      </c>
    </row>
    <row r="360" spans="1:20" x14ac:dyDescent="0.25">
      <c r="A360" s="5">
        <v>44233</v>
      </c>
      <c r="B360">
        <v>5.654E-2</v>
      </c>
      <c r="C360">
        <v>5.74E-2</v>
      </c>
      <c r="D360">
        <v>4.8120000000000003E-2</v>
      </c>
      <c r="E360">
        <v>5.2670000000000002E-2</v>
      </c>
      <c r="F360">
        <v>63279907.899999999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-1.9396551724137897E-2</v>
      </c>
      <c r="Q360">
        <f t="shared" si="970"/>
        <v>-1227412.0066810322</v>
      </c>
      <c r="R360">
        <f t="shared" si="971"/>
        <v>-1031463100.263415</v>
      </c>
      <c r="S360">
        <f t="shared" si="972"/>
        <v>-10314.631002634149</v>
      </c>
      <c r="T360">
        <f t="shared" si="973"/>
        <v>-10.314631002634149</v>
      </c>
    </row>
    <row r="361" spans="1:20" x14ac:dyDescent="0.25">
      <c r="A361" s="5">
        <v>44232</v>
      </c>
      <c r="B361">
        <v>4.8090000000000001E-2</v>
      </c>
      <c r="C361">
        <v>6.1890000000000001E-2</v>
      </c>
      <c r="D361">
        <v>4.7719999999999999E-2</v>
      </c>
      <c r="E361">
        <v>5.6230000000000002E-2</v>
      </c>
      <c r="F361">
        <v>159923215.09999999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0.20112914608327487</v>
      </c>
      <c r="Q361">
        <f t="shared" si="970"/>
        <v>32165219.691954888</v>
      </c>
      <c r="R361">
        <f t="shared" si="971"/>
        <v>-1030235688.2567339</v>
      </c>
      <c r="S361">
        <f t="shared" si="972"/>
        <v>-10302.356882567339</v>
      </c>
      <c r="T361">
        <f t="shared" si="973"/>
        <v>-10.30235688256734</v>
      </c>
    </row>
    <row r="362" spans="1:20" x14ac:dyDescent="0.25">
      <c r="A362" s="5">
        <v>44231</v>
      </c>
      <c r="B362">
        <v>4.7129999999999998E-2</v>
      </c>
      <c r="C362">
        <v>5.8340000000000003E-2</v>
      </c>
      <c r="D362">
        <v>4.555E-2</v>
      </c>
      <c r="E362">
        <v>4.8149999999999998E-2</v>
      </c>
      <c r="F362">
        <v>174407762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-0.59343236903831154</v>
      </c>
      <c r="Q362">
        <f t="shared" si="970"/>
        <v>-103499211.38233</v>
      </c>
      <c r="R362">
        <f t="shared" si="971"/>
        <v>-1062400907.9486887</v>
      </c>
      <c r="S362">
        <f t="shared" si="972"/>
        <v>-10624.009079486887</v>
      </c>
      <c r="T362">
        <f t="shared" si="973"/>
        <v>-10.624009079486887</v>
      </c>
    </row>
    <row r="363" spans="1:20" x14ac:dyDescent="0.25">
      <c r="A363" s="5">
        <v>44230</v>
      </c>
      <c r="B363">
        <v>4.0169999999999997E-2</v>
      </c>
      <c r="C363">
        <v>4.82E-2</v>
      </c>
      <c r="D363">
        <v>3.8699999999999998E-2</v>
      </c>
      <c r="E363">
        <v>4.7129999999999998E-2</v>
      </c>
      <c r="F363">
        <v>73439694.200000003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0.77473684210526284</v>
      </c>
      <c r="Q363">
        <f t="shared" si="970"/>
        <v>56896436.769684188</v>
      </c>
      <c r="R363">
        <f t="shared" si="971"/>
        <v>-958901696.56635869</v>
      </c>
      <c r="S363">
        <f t="shared" si="972"/>
        <v>-9589.0169656635862</v>
      </c>
      <c r="T363">
        <f t="shared" si="973"/>
        <v>-9.5890169656635855</v>
      </c>
    </row>
    <row r="364" spans="1:20" x14ac:dyDescent="0.25">
      <c r="A364" s="5">
        <v>44229</v>
      </c>
      <c r="B364">
        <v>3.773E-2</v>
      </c>
      <c r="C364">
        <v>4.4060000000000002E-2</v>
      </c>
      <c r="D364">
        <v>3.6999999999999998E-2</v>
      </c>
      <c r="E364">
        <v>4.011E-2</v>
      </c>
      <c r="F364">
        <v>85670261.599999994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-0.11898016997167139</v>
      </c>
      <c r="Q364">
        <f t="shared" si="970"/>
        <v>-10193062.286685552</v>
      </c>
      <c r="R364">
        <f t="shared" si="971"/>
        <v>-1015798133.3360429</v>
      </c>
      <c r="S364">
        <f t="shared" si="972"/>
        <v>-10157.981333360429</v>
      </c>
      <c r="T364">
        <f t="shared" si="973"/>
        <v>-10.157981333360429</v>
      </c>
    </row>
    <row r="365" spans="1:20" x14ac:dyDescent="0.25">
      <c r="A365" s="5">
        <v>44228</v>
      </c>
      <c r="B365">
        <v>3.9390000000000001E-2</v>
      </c>
      <c r="C365">
        <v>0.04</v>
      </c>
      <c r="D365">
        <v>3.6999999999999998E-2</v>
      </c>
      <c r="E365">
        <v>3.773E-2</v>
      </c>
      <c r="F365">
        <v>23797976.899999999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-0.51333333333333275</v>
      </c>
      <c r="Q365">
        <f t="shared" si="970"/>
        <v>-12216294.808666652</v>
      </c>
      <c r="R365">
        <f t="shared" si="971"/>
        <v>-1005605071.0493573</v>
      </c>
      <c r="S365">
        <f t="shared" si="972"/>
        <v>-10056.050710493573</v>
      </c>
      <c r="T365">
        <f t="shared" si="973"/>
        <v>-10.056050710493572</v>
      </c>
    </row>
    <row r="366" spans="1:20" x14ac:dyDescent="0.25">
      <c r="A366" s="5">
        <v>44227</v>
      </c>
      <c r="B366">
        <v>3.789E-2</v>
      </c>
      <c r="C366">
        <v>4.1000000000000002E-2</v>
      </c>
      <c r="D366">
        <v>3.6229999999999998E-2</v>
      </c>
      <c r="E366">
        <v>3.9600000000000003E-2</v>
      </c>
      <c r="F366">
        <v>33311789.800000001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0.41299790356394234</v>
      </c>
      <c r="Q366">
        <f t="shared" si="970"/>
        <v>13757699.351362718</v>
      </c>
      <c r="R366">
        <f t="shared" si="971"/>
        <v>-993388776.24069059</v>
      </c>
      <c r="S366">
        <f t="shared" si="972"/>
        <v>-9933.8877624069064</v>
      </c>
      <c r="T366">
        <f t="shared" si="973"/>
        <v>-9.933887762406906</v>
      </c>
    </row>
    <row r="367" spans="1:20" x14ac:dyDescent="0.25">
      <c r="A367" s="5">
        <v>44226</v>
      </c>
      <c r="B367">
        <v>4.0189999999999997E-2</v>
      </c>
      <c r="C367">
        <v>4.2999999999999997E-2</v>
      </c>
      <c r="D367">
        <v>3.5770000000000003E-2</v>
      </c>
      <c r="E367">
        <v>3.7879999999999997E-2</v>
      </c>
      <c r="F367">
        <v>49242686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-0.41632088520055444</v>
      </c>
      <c r="Q367">
        <f t="shared" si="970"/>
        <v>-20500758.62517295</v>
      </c>
      <c r="R367">
        <f t="shared" si="971"/>
        <v>-1007146475.5920533</v>
      </c>
      <c r="S367">
        <f t="shared" si="972"/>
        <v>-10071.464755920533</v>
      </c>
      <c r="T367">
        <f t="shared" si="973"/>
        <v>-10.071464755920534</v>
      </c>
    </row>
    <row r="368" spans="1:20" x14ac:dyDescent="0.25">
      <c r="A368" s="5">
        <v>44225</v>
      </c>
      <c r="B368">
        <v>3.798E-2</v>
      </c>
      <c r="C368">
        <v>4.1000000000000002E-2</v>
      </c>
      <c r="D368">
        <v>3.5220000000000001E-2</v>
      </c>
      <c r="E368">
        <v>4.0189999999999997E-2</v>
      </c>
      <c r="F368">
        <v>64441478.799999997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0.71972318339100172</v>
      </c>
      <c r="Q368">
        <f t="shared" si="970"/>
        <v>46380026.26435975</v>
      </c>
      <c r="R368">
        <f t="shared" si="971"/>
        <v>-986645716.96688032</v>
      </c>
      <c r="S368">
        <f t="shared" si="972"/>
        <v>-9866.4571696688035</v>
      </c>
      <c r="T368">
        <f t="shared" si="973"/>
        <v>-9.8664571696688039</v>
      </c>
    </row>
    <row r="369" spans="1:20" x14ac:dyDescent="0.25">
      <c r="A369" s="5">
        <v>44224</v>
      </c>
      <c r="B369">
        <v>3.8629999999999998E-2</v>
      </c>
      <c r="C369">
        <v>4.2599999999999999E-2</v>
      </c>
      <c r="D369">
        <v>3.7600000000000001E-2</v>
      </c>
      <c r="E369">
        <v>3.798E-2</v>
      </c>
      <c r="F369">
        <v>42247818.100000001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-0.84800000000000053</v>
      </c>
      <c r="Q369">
        <f t="shared" si="970"/>
        <v>-35826149.748800024</v>
      </c>
      <c r="R369">
        <f t="shared" si="971"/>
        <v>-1033025743.23124</v>
      </c>
      <c r="S369">
        <f t="shared" si="972"/>
        <v>-10330.257432312401</v>
      </c>
      <c r="T369">
        <f t="shared" si="973"/>
        <v>-10.330257432312401</v>
      </c>
    </row>
    <row r="370" spans="1:20" x14ac:dyDescent="0.25">
      <c r="A370" s="5">
        <v>44223</v>
      </c>
      <c r="B370">
        <v>4.2680000000000003E-2</v>
      </c>
      <c r="C370">
        <v>4.4999999999999998E-2</v>
      </c>
      <c r="D370">
        <v>3.7199999999999997E-2</v>
      </c>
      <c r="E370">
        <v>3.8629999999999998E-2</v>
      </c>
      <c r="F370">
        <v>68214180.700000003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-0.63333333333333319</v>
      </c>
      <c r="Q370">
        <f t="shared" si="970"/>
        <v>-43202314.443333328</v>
      </c>
      <c r="R370">
        <f t="shared" si="971"/>
        <v>-997199593.48243999</v>
      </c>
      <c r="S370">
        <f t="shared" si="972"/>
        <v>-9971.9959348243992</v>
      </c>
      <c r="T370">
        <f t="shared" si="973"/>
        <v>-9.9719959348243989</v>
      </c>
    </row>
    <row r="371" spans="1:20" x14ac:dyDescent="0.25">
      <c r="A371" s="5">
        <v>44222</v>
      </c>
      <c r="B371">
        <v>3.8289999999999998E-2</v>
      </c>
      <c r="C371">
        <v>4.3920000000000001E-2</v>
      </c>
      <c r="D371">
        <v>3.4689999999999999E-2</v>
      </c>
      <c r="E371">
        <v>4.2680000000000003E-2</v>
      </c>
      <c r="F371">
        <v>72727674</v>
      </c>
      <c r="G371">
        <v>0</v>
      </c>
      <c r="L371" t="s">
        <v>8</v>
      </c>
      <c r="M371" t="s">
        <v>7</v>
      </c>
      <c r="N371" t="s">
        <v>8</v>
      </c>
      <c r="P371">
        <f t="shared" si="969"/>
        <v>0.73131094257854867</v>
      </c>
      <c r="Q371">
        <f t="shared" si="970"/>
        <v>53186543.824485406</v>
      </c>
      <c r="R371">
        <f t="shared" si="971"/>
        <v>-953997279.03910673</v>
      </c>
      <c r="S371">
        <f t="shared" si="972"/>
        <v>-9539.972790391068</v>
      </c>
      <c r="T371">
        <f t="shared" si="973"/>
        <v>-9.5399727903910687</v>
      </c>
    </row>
    <row r="372" spans="1:20" x14ac:dyDescent="0.25">
      <c r="A372" s="5">
        <v>44221</v>
      </c>
      <c r="B372">
        <v>3.424E-2</v>
      </c>
      <c r="C372">
        <v>4.2560000000000001E-2</v>
      </c>
      <c r="D372">
        <v>3.424E-2</v>
      </c>
      <c r="E372">
        <v>3.8289999999999998E-2</v>
      </c>
      <c r="F372">
        <v>78339736.700000003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-2.6442307692308278E-2</v>
      </c>
      <c r="Q372">
        <f t="shared" si="970"/>
        <v>-2071483.4223558153</v>
      </c>
      <c r="R372">
        <f t="shared" si="971"/>
        <v>-1007183822.8635921</v>
      </c>
      <c r="S372">
        <f t="shared" si="972"/>
        <v>-10071.838228635921</v>
      </c>
      <c r="T372">
        <f t="shared" si="973"/>
        <v>-10.07183822863592</v>
      </c>
    </row>
    <row r="373" spans="1:20" x14ac:dyDescent="0.25">
      <c r="A373" s="5">
        <v>44220</v>
      </c>
      <c r="B373">
        <v>3.653E-2</v>
      </c>
      <c r="C373">
        <v>3.6769999999999997E-2</v>
      </c>
      <c r="D373">
        <v>3.2500000000000001E-2</v>
      </c>
      <c r="E373">
        <v>3.4470000000000001E-2</v>
      </c>
      <c r="F373">
        <v>49806784.799999997</v>
      </c>
      <c r="G373">
        <v>0</v>
      </c>
      <c r="L373" t="s">
        <v>7</v>
      </c>
      <c r="M373" t="s">
        <v>7</v>
      </c>
      <c r="N373" t="s">
        <v>8</v>
      </c>
      <c r="P373">
        <f t="shared" si="969"/>
        <v>-7.7283372365338943E-2</v>
      </c>
      <c r="Q373">
        <f t="shared" si="970"/>
        <v>-3849236.2960187034</v>
      </c>
      <c r="R373">
        <f t="shared" si="971"/>
        <v>-1005112339.4412364</v>
      </c>
      <c r="S373">
        <f t="shared" si="972"/>
        <v>-10051.123394412363</v>
      </c>
      <c r="T373">
        <f t="shared" si="973"/>
        <v>-10.051123394412363</v>
      </c>
    </row>
    <row r="374" spans="1:20" x14ac:dyDescent="0.25">
      <c r="A374" s="5">
        <v>44219</v>
      </c>
      <c r="B374">
        <v>3.3919999999999999E-2</v>
      </c>
      <c r="C374">
        <v>3.78E-2</v>
      </c>
      <c r="D374">
        <v>3.3329999999999999E-2</v>
      </c>
      <c r="E374">
        <v>3.671E-2</v>
      </c>
      <c r="F374">
        <v>41763583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0.51230425055928397</v>
      </c>
      <c r="Q374">
        <f t="shared" si="970"/>
        <v>21395661.089485452</v>
      </c>
      <c r="R374">
        <f t="shared" si="971"/>
        <v>-1001263103.1452177</v>
      </c>
      <c r="S374">
        <f t="shared" si="972"/>
        <v>-10012.631031452176</v>
      </c>
      <c r="T374">
        <f t="shared" si="973"/>
        <v>-10.012631031452177</v>
      </c>
    </row>
    <row r="375" spans="1:20" x14ac:dyDescent="0.25">
      <c r="A375" s="5">
        <v>44218</v>
      </c>
      <c r="B375">
        <v>3.6999999999999998E-2</v>
      </c>
      <c r="C375">
        <v>3.9E-2</v>
      </c>
      <c r="D375">
        <v>3.2000000000000001E-2</v>
      </c>
      <c r="E375">
        <v>3.3890000000000003E-2</v>
      </c>
      <c r="F375">
        <v>111093195.90000001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-0.45999999999999913</v>
      </c>
      <c r="Q375">
        <f t="shared" si="970"/>
        <v>-51102870.113999903</v>
      </c>
      <c r="R375">
        <f t="shared" si="971"/>
        <v>-1022658764.2347031</v>
      </c>
      <c r="S375">
        <f t="shared" si="972"/>
        <v>-10226.587642347031</v>
      </c>
      <c r="T375">
        <f t="shared" si="973"/>
        <v>-10.226587642347031</v>
      </c>
    </row>
    <row r="376" spans="1:20" x14ac:dyDescent="0.25">
      <c r="A376" s="5">
        <v>44217</v>
      </c>
      <c r="B376">
        <v>3.0689999999999999E-2</v>
      </c>
      <c r="C376">
        <v>3.968E-2</v>
      </c>
      <c r="D376">
        <v>0.03</v>
      </c>
      <c r="E376">
        <v>3.7010000000000001E-2</v>
      </c>
      <c r="F376">
        <v>112688687.7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0.44834710743801687</v>
      </c>
      <c r="Q376">
        <f t="shared" si="970"/>
        <v>50523647.171281032</v>
      </c>
      <c r="R376">
        <f t="shared" si="971"/>
        <v>-971555894.12070322</v>
      </c>
      <c r="S376">
        <f t="shared" si="972"/>
        <v>-9715.5589412070331</v>
      </c>
      <c r="T376">
        <f t="shared" si="973"/>
        <v>-9.7155589412070338</v>
      </c>
    </row>
    <row r="377" spans="1:20" x14ac:dyDescent="0.25">
      <c r="A377" s="5">
        <v>44216</v>
      </c>
      <c r="B377">
        <v>3.1419999999999997E-2</v>
      </c>
      <c r="C377">
        <v>3.2320000000000002E-2</v>
      </c>
      <c r="D377">
        <v>2.852E-2</v>
      </c>
      <c r="E377">
        <v>3.0700000000000002E-2</v>
      </c>
      <c r="F377">
        <v>28852227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0.14736842105263193</v>
      </c>
      <c r="Q377">
        <f t="shared" si="970"/>
        <v>4251907.1368421149</v>
      </c>
      <c r="R377">
        <f t="shared" si="971"/>
        <v>-1022079541.2919842</v>
      </c>
      <c r="S377">
        <f t="shared" si="972"/>
        <v>-10220.795412919842</v>
      </c>
      <c r="T377">
        <f t="shared" si="973"/>
        <v>-10.220795412919843</v>
      </c>
    </row>
    <row r="378" spans="1:20" x14ac:dyDescent="0.25">
      <c r="A378" s="5">
        <v>44215</v>
      </c>
      <c r="B378">
        <v>3.3090000000000001E-2</v>
      </c>
      <c r="C378">
        <v>3.567E-2</v>
      </c>
      <c r="D378">
        <v>3.141E-2</v>
      </c>
      <c r="E378">
        <v>3.143E-2</v>
      </c>
      <c r="F378">
        <v>53498298.799999997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-0.99061032863849807</v>
      </c>
      <c r="Q378">
        <f t="shared" si="970"/>
        <v>-52995967.355868563</v>
      </c>
      <c r="R378">
        <f t="shared" si="971"/>
        <v>-1026331448.4288263</v>
      </c>
      <c r="S378">
        <f t="shared" si="972"/>
        <v>-10263.314484288263</v>
      </c>
      <c r="T378">
        <f t="shared" si="973"/>
        <v>-10.263314484288262</v>
      </c>
    </row>
    <row r="379" spans="1:20" x14ac:dyDescent="0.25">
      <c r="A379" s="5">
        <v>44214</v>
      </c>
      <c r="B379">
        <v>3.049E-2</v>
      </c>
      <c r="C379">
        <v>3.4500000000000003E-2</v>
      </c>
      <c r="D379">
        <v>2.9899999999999999E-2</v>
      </c>
      <c r="E379">
        <v>3.3000000000000002E-2</v>
      </c>
      <c r="F379">
        <v>54268353.700000003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0.34782608695652162</v>
      </c>
      <c r="Q379">
        <f t="shared" si="970"/>
        <v>18875949.113043472</v>
      </c>
      <c r="R379">
        <f t="shared" si="971"/>
        <v>-973335481.07295775</v>
      </c>
      <c r="S379">
        <f t="shared" si="972"/>
        <v>-9733.3548107295774</v>
      </c>
      <c r="T379">
        <f t="shared" si="973"/>
        <v>-9.733354810729578</v>
      </c>
    </row>
    <row r="380" spans="1:20" x14ac:dyDescent="0.25">
      <c r="A380" s="5">
        <v>44213</v>
      </c>
      <c r="B380">
        <v>3.0620000000000001E-2</v>
      </c>
      <c r="C380">
        <v>3.116E-2</v>
      </c>
      <c r="D380">
        <v>2.8000000000000001E-2</v>
      </c>
      <c r="E380">
        <v>3.049E-2</v>
      </c>
      <c r="F380">
        <v>26033152.199999999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0.57594936708860722</v>
      </c>
      <c r="Q380">
        <f t="shared" si="970"/>
        <v>14993777.532911383</v>
      </c>
      <c r="R380">
        <f t="shared" si="971"/>
        <v>-992211430.18600118</v>
      </c>
      <c r="S380">
        <f t="shared" si="972"/>
        <v>-9922.1143018600123</v>
      </c>
      <c r="T380">
        <f t="shared" si="973"/>
        <v>-9.9221143018600131</v>
      </c>
    </row>
    <row r="381" spans="1:20" x14ac:dyDescent="0.25">
      <c r="A381" s="5">
        <v>44212</v>
      </c>
      <c r="B381">
        <v>2.7539999999999999E-2</v>
      </c>
      <c r="C381">
        <v>3.2230000000000002E-2</v>
      </c>
      <c r="D381">
        <v>2.741E-2</v>
      </c>
      <c r="E381">
        <v>3.0609999999999998E-2</v>
      </c>
      <c r="F381">
        <v>49299785.700000003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0.32780082987551745</v>
      </c>
      <c r="Q381">
        <f t="shared" si="970"/>
        <v>16160510.66514517</v>
      </c>
      <c r="R381">
        <f t="shared" si="971"/>
        <v>-1007205207.7189126</v>
      </c>
      <c r="S381">
        <f t="shared" si="972"/>
        <v>-10072.052077189126</v>
      </c>
      <c r="T381">
        <f t="shared" si="973"/>
        <v>-10.072052077189126</v>
      </c>
    </row>
    <row r="382" spans="1:20" x14ac:dyDescent="0.25">
      <c r="A382" s="5">
        <v>44211</v>
      </c>
      <c r="B382">
        <v>2.6120000000000001E-2</v>
      </c>
      <c r="C382">
        <v>2.8570000000000002E-2</v>
      </c>
      <c r="D382">
        <v>2.5499999999999998E-2</v>
      </c>
      <c r="E382">
        <v>2.7529999999999999E-2</v>
      </c>
      <c r="F382">
        <v>28467508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0.32247557003257221</v>
      </c>
      <c r="Q382">
        <f t="shared" si="970"/>
        <v>9180075.8697068095</v>
      </c>
      <c r="R382">
        <f t="shared" si="971"/>
        <v>-1023365718.3840578</v>
      </c>
      <c r="S382">
        <f t="shared" si="972"/>
        <v>-10233.657183840578</v>
      </c>
      <c r="T382">
        <f t="shared" si="973"/>
        <v>-10.233657183840577</v>
      </c>
    </row>
    <row r="383" spans="1:20" x14ac:dyDescent="0.25">
      <c r="A383" s="5">
        <v>44210</v>
      </c>
      <c r="B383">
        <v>2.7220000000000001E-2</v>
      </c>
      <c r="C383">
        <v>2.7789999999999999E-2</v>
      </c>
      <c r="D383">
        <v>2.579E-2</v>
      </c>
      <c r="E383">
        <v>2.6120000000000001E-2</v>
      </c>
      <c r="F383">
        <v>20491581.899999999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-0.66999999999999926</v>
      </c>
      <c r="Q383">
        <f t="shared" si="970"/>
        <v>-13729359.872999985</v>
      </c>
      <c r="R383">
        <f t="shared" si="971"/>
        <v>-1032545794.2537645</v>
      </c>
      <c r="S383">
        <f t="shared" si="972"/>
        <v>-10325.457942537645</v>
      </c>
      <c r="T383">
        <f t="shared" si="973"/>
        <v>-10.325457942537644</v>
      </c>
    </row>
    <row r="384" spans="1:20" x14ac:dyDescent="0.25">
      <c r="A384" s="5">
        <v>44209</v>
      </c>
      <c r="B384">
        <v>2.5499999999999998E-2</v>
      </c>
      <c r="C384">
        <v>2.7730000000000001E-2</v>
      </c>
      <c r="D384">
        <v>2.4240000000000001E-2</v>
      </c>
      <c r="E384">
        <v>2.7210000000000002E-2</v>
      </c>
      <c r="F384">
        <v>19900624.699999999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0.70200573065902605</v>
      </c>
      <c r="Q384">
        <f t="shared" si="970"/>
        <v>13970352.583094561</v>
      </c>
      <c r="R384">
        <f t="shared" si="971"/>
        <v>-1018816434.3807645</v>
      </c>
      <c r="S384">
        <f t="shared" si="972"/>
        <v>-10188.164343807644</v>
      </c>
      <c r="T384">
        <f t="shared" si="973"/>
        <v>-10.188164343807644</v>
      </c>
    </row>
    <row r="385" spans="1:20" x14ac:dyDescent="0.25">
      <c r="A385" s="5">
        <v>44208</v>
      </c>
      <c r="B385">
        <v>2.6069999999999999E-2</v>
      </c>
      <c r="C385">
        <v>2.75E-2</v>
      </c>
      <c r="D385">
        <v>2.3640000000000001E-2</v>
      </c>
      <c r="E385">
        <v>2.5499999999999998E-2</v>
      </c>
      <c r="F385">
        <v>16593494.5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-3.6269430051814704E-2</v>
      </c>
      <c r="Q385">
        <f t="shared" si="970"/>
        <v>-601836.58808292204</v>
      </c>
      <c r="R385">
        <f t="shared" si="971"/>
        <v>-1032786786.9638591</v>
      </c>
      <c r="S385">
        <f t="shared" si="972"/>
        <v>-10327.86786963859</v>
      </c>
      <c r="T385">
        <f t="shared" si="973"/>
        <v>-10.32786786963859</v>
      </c>
    </row>
    <row r="386" spans="1:20" x14ac:dyDescent="0.25">
      <c r="A386" s="5">
        <v>44207</v>
      </c>
      <c r="B386">
        <v>2.886E-2</v>
      </c>
      <c r="C386">
        <v>2.886E-2</v>
      </c>
      <c r="D386">
        <v>2.3199999999999998E-2</v>
      </c>
      <c r="E386">
        <v>2.6159999999999999E-2</v>
      </c>
      <c r="F386">
        <v>28581944.699999999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4.5936395759717266E-2</v>
      </c>
      <c r="Q386">
        <f t="shared" si="970"/>
        <v>1312951.5233215534</v>
      </c>
      <c r="R386">
        <f t="shared" si="971"/>
        <v>-1032184950.3757762</v>
      </c>
      <c r="S386">
        <f t="shared" si="972"/>
        <v>-10321.849503757761</v>
      </c>
      <c r="T386">
        <f t="shared" si="973"/>
        <v>-10.321849503757761</v>
      </c>
    </row>
    <row r="387" spans="1:20" x14ac:dyDescent="0.25">
      <c r="A387" s="5">
        <v>44206</v>
      </c>
      <c r="B387">
        <v>3.1029999999999999E-2</v>
      </c>
      <c r="C387">
        <v>3.2980000000000002E-2</v>
      </c>
      <c r="D387">
        <v>2.6870000000000002E-2</v>
      </c>
      <c r="E387">
        <v>2.887E-2</v>
      </c>
      <c r="F387">
        <v>47877221.899999999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-0.34533551554828212</v>
      </c>
      <c r="Q387">
        <f t="shared" si="970"/>
        <v>-16533705.107856004</v>
      </c>
      <c r="R387">
        <f t="shared" si="971"/>
        <v>-1033497901.8990977</v>
      </c>
      <c r="S387">
        <f t="shared" si="972"/>
        <v>-10334.979018990976</v>
      </c>
      <c r="T387">
        <f t="shared" si="973"/>
        <v>-10.334979018990976</v>
      </c>
    </row>
    <row r="388" spans="1:20" x14ac:dyDescent="0.25">
      <c r="A388" s="5">
        <v>44205</v>
      </c>
      <c r="B388">
        <v>3.175E-2</v>
      </c>
      <c r="C388">
        <v>3.4090000000000002E-2</v>
      </c>
      <c r="D388">
        <v>3.0859999999999999E-2</v>
      </c>
      <c r="E388">
        <v>3.1019999999999999E-2</v>
      </c>
      <c r="F388">
        <v>59144975.299999997</v>
      </c>
      <c r="G388">
        <v>0</v>
      </c>
      <c r="L388" t="s">
        <v>7</v>
      </c>
      <c r="M388" t="s">
        <v>8</v>
      </c>
      <c r="N388" t="s">
        <v>8</v>
      </c>
      <c r="P388">
        <f t="shared" si="969"/>
        <v>-0.9009287925696593</v>
      </c>
      <c r="Q388">
        <f t="shared" si="970"/>
        <v>-53285411.183591321</v>
      </c>
      <c r="R388">
        <f t="shared" si="971"/>
        <v>-1016964196.7912416</v>
      </c>
      <c r="S388">
        <f t="shared" si="972"/>
        <v>-10169.641967912416</v>
      </c>
      <c r="T388">
        <f t="shared" si="973"/>
        <v>-10.169641967912415</v>
      </c>
    </row>
    <row r="389" spans="1:20" x14ac:dyDescent="0.25">
      <c r="A389" s="5">
        <v>44204</v>
      </c>
      <c r="B389">
        <v>2.7660000000000001E-2</v>
      </c>
      <c r="C389">
        <v>3.5200000000000002E-2</v>
      </c>
      <c r="D389">
        <v>2.571E-2</v>
      </c>
      <c r="E389">
        <v>3.175E-2</v>
      </c>
      <c r="F389">
        <v>53621151.399999999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0.27291886195995763</v>
      </c>
      <c r="Q389">
        <f t="shared" si="970"/>
        <v>14634223.617070587</v>
      </c>
      <c r="R389">
        <f t="shared" si="971"/>
        <v>-963678785.60765028</v>
      </c>
      <c r="S389">
        <f t="shared" si="972"/>
        <v>-9636.7878560765021</v>
      </c>
      <c r="T389">
        <f t="shared" si="973"/>
        <v>-9.6367878560765021</v>
      </c>
    </row>
    <row r="390" spans="1:20" x14ac:dyDescent="0.25">
      <c r="A390" s="5">
        <v>44203</v>
      </c>
      <c r="B390">
        <v>2.7879999999999999E-2</v>
      </c>
      <c r="C390">
        <v>3.0849999999999999E-2</v>
      </c>
      <c r="D390">
        <v>2.64E-2</v>
      </c>
      <c r="E390">
        <v>2.7570000000000001E-2</v>
      </c>
      <c r="F390">
        <v>58570899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-0.47415730337078599</v>
      </c>
      <c r="Q390">
        <f t="shared" ref="Q390:Q453" si="975">F390*P390</f>
        <v>-27771819.525842667</v>
      </c>
      <c r="R390">
        <f t="shared" ref="R390:R453" si="976">R391+Q390</f>
        <v>-978313009.22472084</v>
      </c>
      <c r="S390">
        <f t="shared" ref="S390:S453" si="977">R390/100000</f>
        <v>-9783.1300922472092</v>
      </c>
      <c r="T390">
        <f t="shared" ref="T390:T453" si="978">S390/1000</f>
        <v>-9.7831300922472089</v>
      </c>
    </row>
    <row r="391" spans="1:20" x14ac:dyDescent="0.25">
      <c r="A391" s="5">
        <v>44202</v>
      </c>
      <c r="B391">
        <v>2.4389999999999998E-2</v>
      </c>
      <c r="C391">
        <v>2.9000000000000001E-2</v>
      </c>
      <c r="D391">
        <v>2.4E-2</v>
      </c>
      <c r="E391">
        <v>2.7869999999999999E-2</v>
      </c>
      <c r="F391">
        <v>56102410.200000003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0.54799999999999904</v>
      </c>
      <c r="Q391">
        <f t="shared" si="975"/>
        <v>30744120.789599948</v>
      </c>
      <c r="R391">
        <f t="shared" si="976"/>
        <v>-950541189.69887817</v>
      </c>
      <c r="S391">
        <f t="shared" si="977"/>
        <v>-9505.4118969887822</v>
      </c>
      <c r="T391">
        <f t="shared" si="978"/>
        <v>-9.5054118969887824</v>
      </c>
    </row>
    <row r="392" spans="1:20" x14ac:dyDescent="0.25">
      <c r="A392" s="5">
        <v>44201</v>
      </c>
      <c r="B392">
        <v>2.4850000000000001E-2</v>
      </c>
      <c r="C392">
        <v>2.7E-2</v>
      </c>
      <c r="D392">
        <v>2.4E-2</v>
      </c>
      <c r="E392">
        <v>2.435E-2</v>
      </c>
      <c r="F392">
        <v>32684848.100000001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-0.76666666666666683</v>
      </c>
      <c r="Q392">
        <f t="shared" si="975"/>
        <v>-25058383.54333334</v>
      </c>
      <c r="R392">
        <f t="shared" si="976"/>
        <v>-981285310.48847806</v>
      </c>
      <c r="S392">
        <f t="shared" si="977"/>
        <v>-9812.8531048847799</v>
      </c>
      <c r="T392">
        <f t="shared" si="978"/>
        <v>-9.8128531048847805</v>
      </c>
    </row>
    <row r="393" spans="1:20" x14ac:dyDescent="0.25">
      <c r="A393" s="5">
        <v>44200</v>
      </c>
      <c r="B393">
        <v>2.6429999999999999E-2</v>
      </c>
      <c r="C393">
        <v>2.7E-2</v>
      </c>
      <c r="D393">
        <v>2.3230000000000001E-2</v>
      </c>
      <c r="E393">
        <v>2.4830000000000001E-2</v>
      </c>
      <c r="F393">
        <v>29289021</v>
      </c>
      <c r="G393">
        <v>0</v>
      </c>
      <c r="L393" t="s">
        <v>7</v>
      </c>
      <c r="M393" t="s">
        <v>8</v>
      </c>
      <c r="N393" t="s">
        <v>7</v>
      </c>
      <c r="P393">
        <f t="shared" si="974"/>
        <v>-0.15119363395225405</v>
      </c>
      <c r="Q393">
        <f t="shared" si="975"/>
        <v>-4428313.5198938819</v>
      </c>
      <c r="R393">
        <f t="shared" si="976"/>
        <v>-956226926.94514477</v>
      </c>
      <c r="S393">
        <f t="shared" si="977"/>
        <v>-9562.2692694514481</v>
      </c>
      <c r="T393">
        <f t="shared" si="978"/>
        <v>-9.5622692694514484</v>
      </c>
    </row>
    <row r="394" spans="1:20" x14ac:dyDescent="0.25">
      <c r="A394" s="5">
        <v>44199</v>
      </c>
      <c r="B394">
        <v>2.3560000000000001E-2</v>
      </c>
      <c r="C394">
        <v>2.6919999999999999E-2</v>
      </c>
      <c r="D394">
        <v>2.35E-2</v>
      </c>
      <c r="E394">
        <v>2.6419999999999999E-2</v>
      </c>
      <c r="F394">
        <v>25565596.100000001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0.70760233918128623</v>
      </c>
      <c r="Q394">
        <f t="shared" si="975"/>
        <v>18090275.602923971</v>
      </c>
      <c r="R394">
        <f t="shared" si="976"/>
        <v>-951798613.42525089</v>
      </c>
      <c r="S394">
        <f t="shared" si="977"/>
        <v>-9517.9861342525091</v>
      </c>
      <c r="T394">
        <f t="shared" si="978"/>
        <v>-9.5179861342525083</v>
      </c>
    </row>
    <row r="395" spans="1:20" x14ac:dyDescent="0.25">
      <c r="A395" s="5">
        <v>44198</v>
      </c>
      <c r="B395">
        <v>2.4129999999999999E-2</v>
      </c>
      <c r="C395">
        <v>2.53E-2</v>
      </c>
      <c r="D395">
        <v>2.1999999999999999E-2</v>
      </c>
      <c r="E395">
        <v>2.3560000000000001E-2</v>
      </c>
      <c r="F395">
        <v>25617437.5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-5.4545454545453363E-2</v>
      </c>
      <c r="Q395">
        <f t="shared" si="975"/>
        <v>-1397314.7727272424</v>
      </c>
      <c r="R395">
        <f t="shared" si="976"/>
        <v>-969888889.02817488</v>
      </c>
      <c r="S395">
        <f t="shared" si="977"/>
        <v>-9698.8888902817489</v>
      </c>
      <c r="T395">
        <f t="shared" si="978"/>
        <v>-9.6988888902817489</v>
      </c>
    </row>
    <row r="396" spans="1:20" x14ac:dyDescent="0.25">
      <c r="A396" s="5">
        <v>44197</v>
      </c>
      <c r="B396">
        <v>2.333E-2</v>
      </c>
      <c r="C396">
        <v>2.5000000000000001E-2</v>
      </c>
      <c r="D396">
        <v>2.316E-2</v>
      </c>
      <c r="E396">
        <v>2.426E-2</v>
      </c>
      <c r="F396">
        <v>12095621.9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0.1956521739130429</v>
      </c>
      <c r="Q396">
        <f t="shared" si="975"/>
        <v>2366534.7195652104</v>
      </c>
      <c r="R396">
        <f t="shared" si="976"/>
        <v>-968491574.25544763</v>
      </c>
      <c r="S396">
        <f t="shared" si="977"/>
        <v>-9684.9157425544763</v>
      </c>
      <c r="T396">
        <f t="shared" si="978"/>
        <v>-9.6849157425544767</v>
      </c>
    </row>
    <row r="397" spans="1:20" x14ac:dyDescent="0.25">
      <c r="A397" s="5">
        <v>44196</v>
      </c>
      <c r="B397">
        <v>2.341E-2</v>
      </c>
      <c r="C397">
        <v>2.4500000000000001E-2</v>
      </c>
      <c r="D397">
        <v>2.3E-2</v>
      </c>
      <c r="E397">
        <v>2.333E-2</v>
      </c>
      <c r="F397">
        <v>9598703.9000000004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-0.55999999999999983</v>
      </c>
      <c r="Q397">
        <f t="shared" si="975"/>
        <v>-5375274.1839999985</v>
      </c>
      <c r="R397">
        <f t="shared" si="976"/>
        <v>-970858108.97501278</v>
      </c>
      <c r="S397">
        <f t="shared" si="977"/>
        <v>-9708.5810897501269</v>
      </c>
      <c r="T397">
        <f t="shared" si="978"/>
        <v>-9.7085810897501261</v>
      </c>
    </row>
    <row r="398" spans="1:20" x14ac:dyDescent="0.25">
      <c r="A398" s="5">
        <v>44195</v>
      </c>
      <c r="B398">
        <v>2.589E-2</v>
      </c>
      <c r="C398">
        <v>2.6780000000000002E-2</v>
      </c>
      <c r="D398">
        <v>2.3E-2</v>
      </c>
      <c r="E398">
        <v>2.3259999999999999E-2</v>
      </c>
      <c r="F398">
        <v>33717351.100000001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-0.86243386243386266</v>
      </c>
      <c r="Q398">
        <f t="shared" si="975"/>
        <v>-29078985.340211648</v>
      </c>
      <c r="R398">
        <f t="shared" si="976"/>
        <v>-965482834.79101276</v>
      </c>
      <c r="S398">
        <f t="shared" si="977"/>
        <v>-9654.8283479101283</v>
      </c>
      <c r="T398">
        <f t="shared" si="978"/>
        <v>-9.6548283479101276</v>
      </c>
    </row>
    <row r="399" spans="1:20" x14ac:dyDescent="0.25">
      <c r="A399" s="5">
        <v>44194</v>
      </c>
      <c r="B399">
        <v>2.6970000000000001E-2</v>
      </c>
      <c r="C399">
        <v>2.767E-2</v>
      </c>
      <c r="D399">
        <v>2.3599999999999999E-2</v>
      </c>
      <c r="E399">
        <v>2.5870000000000001E-2</v>
      </c>
      <c r="F399">
        <v>39295355.600000001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0.11547911547911587</v>
      </c>
      <c r="Q399">
        <f t="shared" si="975"/>
        <v>4537792.9071253221</v>
      </c>
      <c r="R399">
        <f t="shared" si="976"/>
        <v>-936403849.45080113</v>
      </c>
      <c r="S399">
        <f t="shared" si="977"/>
        <v>-9364.0384945080114</v>
      </c>
      <c r="T399">
        <f t="shared" si="978"/>
        <v>-9.3640384945080122</v>
      </c>
    </row>
    <row r="400" spans="1:20" x14ac:dyDescent="0.25">
      <c r="A400" s="5">
        <v>44193</v>
      </c>
      <c r="B400">
        <v>2.4500000000000001E-2</v>
      </c>
      <c r="C400">
        <v>2.8000000000000001E-2</v>
      </c>
      <c r="D400">
        <v>2.4039999999999999E-2</v>
      </c>
      <c r="E400">
        <v>2.6970000000000001E-2</v>
      </c>
      <c r="F400">
        <v>30148344.800000001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0.47979797979798017</v>
      </c>
      <c r="Q400">
        <f t="shared" si="975"/>
        <v>14465114.929292941</v>
      </c>
      <c r="R400">
        <f t="shared" si="976"/>
        <v>-940941642.35792649</v>
      </c>
      <c r="S400">
        <f t="shared" si="977"/>
        <v>-9409.416423579265</v>
      </c>
      <c r="T400">
        <f t="shared" si="978"/>
        <v>-9.4094164235792643</v>
      </c>
    </row>
    <row r="401" spans="1:20" x14ac:dyDescent="0.25">
      <c r="A401" s="5">
        <v>44192</v>
      </c>
      <c r="B401">
        <v>2.5190000000000001E-2</v>
      </c>
      <c r="C401">
        <v>2.6329999999999999E-2</v>
      </c>
      <c r="D401">
        <v>2.307E-2</v>
      </c>
      <c r="E401">
        <v>2.4490000000000001E-2</v>
      </c>
      <c r="F401">
        <v>28127388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-0.12883435582821989</v>
      </c>
      <c r="Q401">
        <f t="shared" si="975"/>
        <v>-3623773.9141104021</v>
      </c>
      <c r="R401">
        <f t="shared" si="976"/>
        <v>-955406757.28721941</v>
      </c>
      <c r="S401">
        <f t="shared" si="977"/>
        <v>-9554.0675728721944</v>
      </c>
      <c r="T401">
        <f t="shared" si="978"/>
        <v>-9.554067572872194</v>
      </c>
    </row>
    <row r="402" spans="1:20" x14ac:dyDescent="0.25">
      <c r="A402" s="5">
        <v>44191</v>
      </c>
      <c r="B402">
        <v>2.2939999999999999E-2</v>
      </c>
      <c r="C402">
        <v>2.6329999999999999E-2</v>
      </c>
      <c r="D402">
        <v>2.2499999999999999E-2</v>
      </c>
      <c r="E402">
        <v>2.5190000000000001E-2</v>
      </c>
      <c r="F402">
        <v>28294919.199999999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0.40469973890339495</v>
      </c>
      <c r="Q402">
        <f t="shared" si="975"/>
        <v>11450946.412532656</v>
      </c>
      <c r="R402">
        <f t="shared" si="976"/>
        <v>-951782983.37310898</v>
      </c>
      <c r="S402">
        <f t="shared" si="977"/>
        <v>-9517.8298337310898</v>
      </c>
      <c r="T402">
        <f t="shared" si="978"/>
        <v>-9.5178298337310903</v>
      </c>
    </row>
    <row r="403" spans="1:20" x14ac:dyDescent="0.25">
      <c r="A403" s="5">
        <v>44190</v>
      </c>
      <c r="B403">
        <v>2.4459999999999999E-2</v>
      </c>
      <c r="C403">
        <v>2.4719999999999999E-2</v>
      </c>
      <c r="D403">
        <v>2.2110000000000001E-2</v>
      </c>
      <c r="E403">
        <v>2.3040000000000001E-2</v>
      </c>
      <c r="F403">
        <v>22705901.699999999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-0.28735632183907961</v>
      </c>
      <c r="Q403">
        <f t="shared" si="975"/>
        <v>-6524684.396551705</v>
      </c>
      <c r="R403">
        <f t="shared" si="976"/>
        <v>-963233929.78564167</v>
      </c>
      <c r="S403">
        <f t="shared" si="977"/>
        <v>-9632.339297856417</v>
      </c>
      <c r="T403">
        <f t="shared" si="978"/>
        <v>-9.6323392978564168</v>
      </c>
    </row>
    <row r="404" spans="1:20" x14ac:dyDescent="0.25">
      <c r="A404" s="5">
        <v>44189</v>
      </c>
      <c r="B404">
        <v>2.2939999999999999E-2</v>
      </c>
      <c r="C404">
        <v>2.445E-2</v>
      </c>
      <c r="D404">
        <v>2.102E-2</v>
      </c>
      <c r="E404">
        <v>2.445E-2</v>
      </c>
      <c r="F404">
        <v>19304056.800000001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1</v>
      </c>
      <c r="Q404">
        <f t="shared" si="975"/>
        <v>19304056.800000001</v>
      </c>
      <c r="R404">
        <f t="shared" si="976"/>
        <v>-956709245.38908994</v>
      </c>
      <c r="S404">
        <f t="shared" si="977"/>
        <v>-9567.0924538909003</v>
      </c>
      <c r="T404">
        <f t="shared" si="978"/>
        <v>-9.5670924538909006</v>
      </c>
    </row>
    <row r="405" spans="1:20" x14ac:dyDescent="0.25">
      <c r="A405" s="5">
        <v>44188</v>
      </c>
      <c r="B405">
        <v>2.7570000000000001E-2</v>
      </c>
      <c r="C405">
        <v>2.7640000000000001E-2</v>
      </c>
      <c r="D405">
        <v>2.1000000000000001E-2</v>
      </c>
      <c r="E405">
        <v>2.2970000000000001E-2</v>
      </c>
      <c r="F405">
        <v>37564818.700000003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-0.40662650602409656</v>
      </c>
      <c r="Q405">
        <f t="shared" si="975"/>
        <v>-15274850.977409646</v>
      </c>
      <c r="R405">
        <f t="shared" si="976"/>
        <v>-976013302.18908989</v>
      </c>
      <c r="S405">
        <f t="shared" si="977"/>
        <v>-9760.1330218908988</v>
      </c>
      <c r="T405">
        <f t="shared" si="978"/>
        <v>-9.7601330218908995</v>
      </c>
    </row>
    <row r="406" spans="1:20" x14ac:dyDescent="0.25">
      <c r="A406" s="5">
        <v>44187</v>
      </c>
      <c r="B406">
        <v>2.538E-2</v>
      </c>
      <c r="C406">
        <v>2.87E-2</v>
      </c>
      <c r="D406">
        <v>2.46E-2</v>
      </c>
      <c r="E406">
        <v>2.7560000000000001E-2</v>
      </c>
      <c r="F406">
        <v>41410031.299999997</v>
      </c>
      <c r="G406">
        <v>0</v>
      </c>
      <c r="L406" t="s">
        <v>8</v>
      </c>
      <c r="M406" t="s">
        <v>8</v>
      </c>
      <c r="N406" t="s">
        <v>7</v>
      </c>
      <c r="P406">
        <f t="shared" si="974"/>
        <v>0.4439024390243908</v>
      </c>
      <c r="Q406">
        <f t="shared" si="975"/>
        <v>18382013.894146364</v>
      </c>
      <c r="R406">
        <f t="shared" si="976"/>
        <v>-960738451.21168029</v>
      </c>
      <c r="S406">
        <f t="shared" si="977"/>
        <v>-9607.3845121168033</v>
      </c>
      <c r="T406">
        <f t="shared" si="978"/>
        <v>-9.6073845121168038</v>
      </c>
    </row>
    <row r="407" spans="1:20" x14ac:dyDescent="0.25">
      <c r="A407" s="5">
        <v>44186</v>
      </c>
      <c r="B407">
        <v>2.7009999999999999E-2</v>
      </c>
      <c r="C407">
        <v>2.8740000000000002E-2</v>
      </c>
      <c r="D407">
        <v>2.4129999999999999E-2</v>
      </c>
      <c r="E407">
        <v>2.538E-2</v>
      </c>
      <c r="F407">
        <v>31644259.899999999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-0.45770065075921895</v>
      </c>
      <c r="Q407">
        <f t="shared" si="975"/>
        <v>-14483598.349023856</v>
      </c>
      <c r="R407">
        <f t="shared" si="976"/>
        <v>-979120465.10582662</v>
      </c>
      <c r="S407">
        <f t="shared" si="977"/>
        <v>-9791.2046510582659</v>
      </c>
      <c r="T407">
        <f t="shared" si="978"/>
        <v>-9.7912046510582655</v>
      </c>
    </row>
    <row r="408" spans="1:20" x14ac:dyDescent="0.25">
      <c r="A408" s="5">
        <v>44185</v>
      </c>
      <c r="B408">
        <v>2.8170000000000001E-2</v>
      </c>
      <c r="C408">
        <v>2.8400000000000002E-2</v>
      </c>
      <c r="D408">
        <v>2.5999999999999999E-2</v>
      </c>
      <c r="E408">
        <v>2.7029999999999998E-2</v>
      </c>
      <c r="F408">
        <v>34164168.700000003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-0.14166666666666797</v>
      </c>
      <c r="Q408">
        <f t="shared" si="975"/>
        <v>-4839923.8991667116</v>
      </c>
      <c r="R408">
        <f t="shared" si="976"/>
        <v>-964636866.7568028</v>
      </c>
      <c r="S408">
        <f t="shared" si="977"/>
        <v>-9646.3686675680274</v>
      </c>
      <c r="T408">
        <f t="shared" si="978"/>
        <v>-9.6463686675680282</v>
      </c>
    </row>
    <row r="409" spans="1:20" x14ac:dyDescent="0.25">
      <c r="A409" s="5">
        <v>44184</v>
      </c>
      <c r="B409">
        <v>3.057E-2</v>
      </c>
      <c r="C409">
        <v>3.2340000000000001E-2</v>
      </c>
      <c r="D409">
        <v>2.7189999999999999E-2</v>
      </c>
      <c r="E409">
        <v>2.826E-2</v>
      </c>
      <c r="F409">
        <v>56508222.600000001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-0.58446601941747534</v>
      </c>
      <c r="Q409">
        <f t="shared" si="975"/>
        <v>-33027135.927378621</v>
      </c>
      <c r="R409">
        <f t="shared" si="976"/>
        <v>-959796942.85763609</v>
      </c>
      <c r="S409">
        <f t="shared" si="977"/>
        <v>-9597.9694285763617</v>
      </c>
      <c r="T409">
        <f t="shared" si="978"/>
        <v>-9.597969428576361</v>
      </c>
    </row>
    <row r="410" spans="1:20" x14ac:dyDescent="0.25">
      <c r="A410" s="5">
        <v>44183</v>
      </c>
      <c r="B410">
        <v>2.886E-2</v>
      </c>
      <c r="C410">
        <v>3.15E-2</v>
      </c>
      <c r="D410">
        <v>2.6589999999999999E-2</v>
      </c>
      <c r="E410">
        <v>3.0700000000000002E-2</v>
      </c>
      <c r="F410">
        <v>88031542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0.67413441955193543</v>
      </c>
      <c r="Q410">
        <f t="shared" si="975"/>
        <v>59345092.468431823</v>
      </c>
      <c r="R410">
        <f t="shared" si="976"/>
        <v>-926769806.93025744</v>
      </c>
      <c r="S410">
        <f t="shared" si="977"/>
        <v>-9267.6980693025744</v>
      </c>
      <c r="T410">
        <f t="shared" si="978"/>
        <v>-9.2676980693025737</v>
      </c>
    </row>
    <row r="411" spans="1:20" x14ac:dyDescent="0.25">
      <c r="A411" s="5">
        <v>44182</v>
      </c>
      <c r="B411">
        <v>3.347E-2</v>
      </c>
      <c r="C411">
        <v>3.4680000000000002E-2</v>
      </c>
      <c r="D411">
        <v>2.8129999999999999E-2</v>
      </c>
      <c r="E411">
        <v>2.886E-2</v>
      </c>
      <c r="F411">
        <v>150652774.30000001</v>
      </c>
      <c r="G411">
        <v>0</v>
      </c>
      <c r="L411" t="s">
        <v>7</v>
      </c>
      <c r="M411" t="s">
        <v>7</v>
      </c>
      <c r="N411" t="s">
        <v>8</v>
      </c>
      <c r="P411">
        <f t="shared" si="974"/>
        <v>-0.77709923664122105</v>
      </c>
      <c r="Q411">
        <f t="shared" si="975"/>
        <v>-117072155.90641217</v>
      </c>
      <c r="R411">
        <f t="shared" si="976"/>
        <v>-986114899.39868927</v>
      </c>
      <c r="S411">
        <f t="shared" si="977"/>
        <v>-9861.1489939868934</v>
      </c>
      <c r="T411">
        <f t="shared" si="978"/>
        <v>-9.8611489939868928</v>
      </c>
    </row>
    <row r="412" spans="1:20" x14ac:dyDescent="0.25">
      <c r="A412" s="5">
        <v>44181</v>
      </c>
      <c r="B412">
        <v>2.6780000000000002E-2</v>
      </c>
      <c r="C412">
        <v>3.7719999999999997E-2</v>
      </c>
      <c r="D412">
        <v>2.5899999999999999E-2</v>
      </c>
      <c r="E412">
        <v>3.347E-2</v>
      </c>
      <c r="F412">
        <v>320734794.10000002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0.28087986463621017</v>
      </c>
      <c r="Q412">
        <f t="shared" si="975"/>
        <v>90087945.550930753</v>
      </c>
      <c r="R412">
        <f t="shared" si="976"/>
        <v>-869042743.49227715</v>
      </c>
      <c r="S412">
        <f t="shared" si="977"/>
        <v>-8690.4274349227708</v>
      </c>
      <c r="T412">
        <f t="shared" si="978"/>
        <v>-8.6904274349227713</v>
      </c>
    </row>
    <row r="413" spans="1:20" x14ac:dyDescent="0.25">
      <c r="A413" s="5">
        <v>44180</v>
      </c>
      <c r="B413">
        <v>2.3120000000000002E-2</v>
      </c>
      <c r="C413">
        <v>2.7E-2</v>
      </c>
      <c r="D413">
        <v>2.23E-2</v>
      </c>
      <c r="E413">
        <v>2.6749999999999999E-2</v>
      </c>
      <c r="F413">
        <v>49873192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0.89361702127659559</v>
      </c>
      <c r="Q413">
        <f t="shared" si="975"/>
        <v>44567533.276595734</v>
      </c>
      <c r="R413">
        <f t="shared" si="976"/>
        <v>-959130689.04320788</v>
      </c>
      <c r="S413">
        <f t="shared" si="977"/>
        <v>-9591.3068904320789</v>
      </c>
      <c r="T413">
        <f t="shared" si="978"/>
        <v>-9.5913068904320795</v>
      </c>
    </row>
    <row r="414" spans="1:20" x14ac:dyDescent="0.25">
      <c r="A414" s="5">
        <v>44179</v>
      </c>
      <c r="B414">
        <v>2.2200000000000001E-2</v>
      </c>
      <c r="C414">
        <v>2.3970000000000002E-2</v>
      </c>
      <c r="D414">
        <v>2.198E-2</v>
      </c>
      <c r="E414">
        <v>2.3029999999999998E-2</v>
      </c>
      <c r="F414">
        <v>26293718.800000001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5.5276381909545425E-2</v>
      </c>
      <c r="Q414">
        <f t="shared" si="975"/>
        <v>1453421.6422109944</v>
      </c>
      <c r="R414">
        <f t="shared" si="976"/>
        <v>-1003698222.3198036</v>
      </c>
      <c r="S414">
        <f t="shared" si="977"/>
        <v>-10036.982223198036</v>
      </c>
      <c r="T414">
        <f t="shared" si="978"/>
        <v>-10.036982223198036</v>
      </c>
    </row>
    <row r="415" spans="1:20" x14ac:dyDescent="0.25">
      <c r="A415" s="5">
        <v>44178</v>
      </c>
      <c r="B415">
        <v>2.1919999999999999E-2</v>
      </c>
      <c r="C415">
        <v>2.3E-2</v>
      </c>
      <c r="D415">
        <v>2.1430000000000001E-2</v>
      </c>
      <c r="E415">
        <v>2.2200000000000001E-2</v>
      </c>
      <c r="F415">
        <v>16852459.5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-1.9108280254776309E-2</v>
      </c>
      <c r="Q415">
        <f t="shared" si="975"/>
        <v>-322021.51910826744</v>
      </c>
      <c r="R415">
        <f t="shared" si="976"/>
        <v>-1005151643.9620146</v>
      </c>
      <c r="S415">
        <f t="shared" si="977"/>
        <v>-10051.516439620145</v>
      </c>
      <c r="T415">
        <f t="shared" si="978"/>
        <v>-10.051516439620146</v>
      </c>
    </row>
    <row r="416" spans="1:20" x14ac:dyDescent="0.25">
      <c r="A416" s="5">
        <v>44177</v>
      </c>
      <c r="B416">
        <v>2.0619999999999999E-2</v>
      </c>
      <c r="C416">
        <v>2.4E-2</v>
      </c>
      <c r="D416">
        <v>2.0580000000000001E-2</v>
      </c>
      <c r="E416">
        <v>2.1919999999999999E-2</v>
      </c>
      <c r="F416">
        <v>29493478.399999999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-0.21637426900584933</v>
      </c>
      <c r="Q416">
        <f t="shared" si="975"/>
        <v>-6381629.8292398062</v>
      </c>
      <c r="R416">
        <f t="shared" si="976"/>
        <v>-1004829622.4429063</v>
      </c>
      <c r="S416">
        <f t="shared" si="977"/>
        <v>-10048.296224429063</v>
      </c>
      <c r="T416">
        <f t="shared" si="978"/>
        <v>-10.048296224429063</v>
      </c>
    </row>
    <row r="417" spans="1:20" x14ac:dyDescent="0.25">
      <c r="A417" s="5">
        <v>44176</v>
      </c>
      <c r="B417">
        <v>2.1819999999999999E-2</v>
      </c>
      <c r="C417">
        <v>2.1829999999999999E-2</v>
      </c>
      <c r="D417">
        <v>1.932E-2</v>
      </c>
      <c r="E417">
        <v>2.0580000000000001E-2</v>
      </c>
      <c r="F417">
        <v>29284989.199999999</v>
      </c>
      <c r="G417">
        <v>0</v>
      </c>
      <c r="L417" t="s">
        <v>7</v>
      </c>
      <c r="M417" t="s">
        <v>8</v>
      </c>
      <c r="N417" t="s">
        <v>7</v>
      </c>
      <c r="P417">
        <f t="shared" si="974"/>
        <v>3.9840637450211432E-3</v>
      </c>
      <c r="Q417">
        <f t="shared" si="975"/>
        <v>116673.26374505572</v>
      </c>
      <c r="R417">
        <f t="shared" si="976"/>
        <v>-998447992.61366642</v>
      </c>
      <c r="S417">
        <f t="shared" si="977"/>
        <v>-9984.4799261366643</v>
      </c>
      <c r="T417">
        <f t="shared" si="978"/>
        <v>-9.9844799261366646</v>
      </c>
    </row>
    <row r="418" spans="1:20" x14ac:dyDescent="0.25">
      <c r="A418" s="5">
        <v>44175</v>
      </c>
      <c r="B418">
        <v>2.035E-2</v>
      </c>
      <c r="C418">
        <v>2.3349999999999999E-2</v>
      </c>
      <c r="D418">
        <v>1.984E-2</v>
      </c>
      <c r="E418">
        <v>2.1729999999999999E-2</v>
      </c>
      <c r="F418">
        <v>62011743.899999999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7.6923076923076775E-2</v>
      </c>
      <c r="Q418">
        <f t="shared" si="975"/>
        <v>4770134.1461538365</v>
      </c>
      <c r="R418">
        <f t="shared" si="976"/>
        <v>-998564665.87741148</v>
      </c>
      <c r="S418">
        <f t="shared" si="977"/>
        <v>-9985.6466587741143</v>
      </c>
      <c r="T418">
        <f t="shared" si="978"/>
        <v>-9.9856466587741135</v>
      </c>
    </row>
    <row r="419" spans="1:20" x14ac:dyDescent="0.25">
      <c r="A419" s="5">
        <v>44174</v>
      </c>
      <c r="B419">
        <v>1.9099999999999999E-2</v>
      </c>
      <c r="C419">
        <v>2.0670000000000001E-2</v>
      </c>
      <c r="D419">
        <v>1.847E-2</v>
      </c>
      <c r="E419">
        <v>2.044E-2</v>
      </c>
      <c r="F419">
        <v>14167127.9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0.79090909090909001</v>
      </c>
      <c r="Q419">
        <f t="shared" si="975"/>
        <v>11204910.248181805</v>
      </c>
      <c r="R419">
        <f t="shared" si="976"/>
        <v>-1003334800.0235653</v>
      </c>
      <c r="S419">
        <f t="shared" si="977"/>
        <v>-10033.348000235654</v>
      </c>
      <c r="T419">
        <f t="shared" si="978"/>
        <v>-10.033348000235653</v>
      </c>
    </row>
    <row r="420" spans="1:20" x14ac:dyDescent="0.25">
      <c r="A420" s="5">
        <v>44173</v>
      </c>
      <c r="B420">
        <v>2.0389999999999998E-2</v>
      </c>
      <c r="C420">
        <v>2.0719999999999999E-2</v>
      </c>
      <c r="D420">
        <v>1.8970000000000001E-2</v>
      </c>
      <c r="E420">
        <v>1.9060000000000001E-2</v>
      </c>
      <c r="F420">
        <v>10716549.699999999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-0.89714285714285724</v>
      </c>
      <c r="Q420">
        <f t="shared" si="975"/>
        <v>-9614276.0165714286</v>
      </c>
      <c r="R420">
        <f t="shared" si="976"/>
        <v>-1014539710.2717471</v>
      </c>
      <c r="S420">
        <f t="shared" si="977"/>
        <v>-10145.39710271747</v>
      </c>
      <c r="T420">
        <f t="shared" si="978"/>
        <v>-10.145397102717471</v>
      </c>
    </row>
    <row r="421" spans="1:20" x14ac:dyDescent="0.25">
      <c r="A421" s="5">
        <v>44172</v>
      </c>
      <c r="B421">
        <v>2.0420000000000001E-2</v>
      </c>
      <c r="C421">
        <v>2.1190000000000001E-2</v>
      </c>
      <c r="D421">
        <v>2.0119999999999999E-2</v>
      </c>
      <c r="E421">
        <v>2.0389999999999998E-2</v>
      </c>
      <c r="F421">
        <v>9366049.5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-0.49532710280374015</v>
      </c>
      <c r="Q421">
        <f t="shared" si="975"/>
        <v>-4639258.163551419</v>
      </c>
      <c r="R421">
        <f t="shared" si="976"/>
        <v>-1004925434.2551757</v>
      </c>
      <c r="S421">
        <f t="shared" si="977"/>
        <v>-10049.254342551758</v>
      </c>
      <c r="T421">
        <f t="shared" si="978"/>
        <v>-10.049254342551757</v>
      </c>
    </row>
    <row r="422" spans="1:20" x14ac:dyDescent="0.25">
      <c r="A422" s="5">
        <v>44171</v>
      </c>
      <c r="B422">
        <v>2.1090000000000001E-2</v>
      </c>
      <c r="C422">
        <v>2.1649999999999999E-2</v>
      </c>
      <c r="D422">
        <v>1.9310000000000001E-2</v>
      </c>
      <c r="E422">
        <v>2.0420000000000001E-2</v>
      </c>
      <c r="F422">
        <v>11047174.6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-5.1282051282050711E-2</v>
      </c>
      <c r="Q422">
        <f t="shared" si="975"/>
        <v>-566521.77435896802</v>
      </c>
      <c r="R422">
        <f t="shared" si="976"/>
        <v>-1000286176.0916243</v>
      </c>
      <c r="S422">
        <f t="shared" si="977"/>
        <v>-10002.861760916243</v>
      </c>
      <c r="T422">
        <f t="shared" si="978"/>
        <v>-10.002861760916243</v>
      </c>
    </row>
    <row r="423" spans="1:20" x14ac:dyDescent="0.25">
      <c r="A423" s="5">
        <v>44170</v>
      </c>
      <c r="B423">
        <v>2.0129999999999999E-2</v>
      </c>
      <c r="C423">
        <v>2.111E-2</v>
      </c>
      <c r="D423">
        <v>1.9019999999999999E-2</v>
      </c>
      <c r="E423">
        <v>2.094E-2</v>
      </c>
      <c r="F423">
        <v>14801880.6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0.83732057416267958</v>
      </c>
      <c r="Q423">
        <f t="shared" si="975"/>
        <v>12393919.162679428</v>
      </c>
      <c r="R423">
        <f t="shared" si="976"/>
        <v>-999719654.31726527</v>
      </c>
      <c r="S423">
        <f t="shared" si="977"/>
        <v>-9997.196543172653</v>
      </c>
      <c r="T423">
        <f t="shared" si="978"/>
        <v>-9.9971965431726524</v>
      </c>
    </row>
    <row r="424" spans="1:20" x14ac:dyDescent="0.25">
      <c r="A424" s="5">
        <v>44169</v>
      </c>
      <c r="B424">
        <v>2.1870000000000001E-2</v>
      </c>
      <c r="C424">
        <v>2.215E-2</v>
      </c>
      <c r="D424">
        <v>1.9769999999999999E-2</v>
      </c>
      <c r="E424">
        <v>0.02</v>
      </c>
      <c r="F424">
        <v>13303721.1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-0.80672268907562938</v>
      </c>
      <c r="Q424">
        <f t="shared" si="975"/>
        <v>-10732413.66050419</v>
      </c>
      <c r="R424">
        <f t="shared" si="976"/>
        <v>-1012113573.4799447</v>
      </c>
      <c r="S424">
        <f t="shared" si="977"/>
        <v>-10121.135734799447</v>
      </c>
      <c r="T424">
        <f t="shared" si="978"/>
        <v>-10.121135734799447</v>
      </c>
    </row>
    <row r="425" spans="1:20" x14ac:dyDescent="0.25">
      <c r="A425" s="5">
        <v>44168</v>
      </c>
      <c r="B425">
        <v>2.1950000000000001E-2</v>
      </c>
      <c r="C425">
        <v>2.2939999999999999E-2</v>
      </c>
      <c r="D425">
        <v>2.1360000000000001E-2</v>
      </c>
      <c r="E425">
        <v>2.1760000000000002E-2</v>
      </c>
      <c r="F425">
        <v>15408640.1</v>
      </c>
      <c r="G425">
        <v>0</v>
      </c>
      <c r="L425" t="s">
        <v>7</v>
      </c>
      <c r="M425" t="s">
        <v>8</v>
      </c>
      <c r="N425" t="s">
        <v>7</v>
      </c>
      <c r="P425">
        <f t="shared" si="974"/>
        <v>-0.49367088607594745</v>
      </c>
      <c r="Q425">
        <f t="shared" si="975"/>
        <v>-7606797.0113923755</v>
      </c>
      <c r="R425">
        <f t="shared" si="976"/>
        <v>-1001381159.8194405</v>
      </c>
      <c r="S425">
        <f t="shared" si="977"/>
        <v>-10013.811598194405</v>
      </c>
      <c r="T425">
        <f t="shared" si="978"/>
        <v>-10.013811598194405</v>
      </c>
    </row>
    <row r="426" spans="1:20" x14ac:dyDescent="0.25">
      <c r="A426" s="5">
        <v>44167</v>
      </c>
      <c r="B426">
        <v>2.0160000000000001E-2</v>
      </c>
      <c r="C426">
        <v>2.3009999999999999E-2</v>
      </c>
      <c r="D426">
        <v>1.9900000000000001E-2</v>
      </c>
      <c r="E426">
        <v>2.196E-2</v>
      </c>
      <c r="F426">
        <v>21036845.5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0.32475884244373027</v>
      </c>
      <c r="Q426">
        <f t="shared" si="975"/>
        <v>6831901.5932475962</v>
      </c>
      <c r="R426">
        <f t="shared" si="976"/>
        <v>-993774362.80804813</v>
      </c>
      <c r="S426">
        <f t="shared" si="977"/>
        <v>-9937.7436280804814</v>
      </c>
      <c r="T426">
        <f t="shared" si="978"/>
        <v>-9.9377436280804812</v>
      </c>
    </row>
    <row r="427" spans="1:20" x14ac:dyDescent="0.25">
      <c r="A427" s="5">
        <v>44166</v>
      </c>
      <c r="B427">
        <v>2.1190000000000001E-2</v>
      </c>
      <c r="C427">
        <v>2.2540000000000001E-2</v>
      </c>
      <c r="D427">
        <v>1.95E-2</v>
      </c>
      <c r="E427">
        <v>2.0150000000000001E-2</v>
      </c>
      <c r="F427">
        <v>34413496.600000001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-0.57236842105263086</v>
      </c>
      <c r="Q427">
        <f t="shared" si="975"/>
        <v>-19697198.711842082</v>
      </c>
      <c r="R427">
        <f t="shared" si="976"/>
        <v>-1000606264.4012958</v>
      </c>
      <c r="S427">
        <f t="shared" si="977"/>
        <v>-10006.062644012958</v>
      </c>
      <c r="T427">
        <f t="shared" si="978"/>
        <v>-10.006062644012959</v>
      </c>
    </row>
    <row r="428" spans="1:20" x14ac:dyDescent="0.25">
      <c r="A428" s="5">
        <v>44165</v>
      </c>
      <c r="B428">
        <v>2.0549999999999999E-2</v>
      </c>
      <c r="C428">
        <v>2.18E-2</v>
      </c>
      <c r="D428">
        <v>2.0199999999999999E-2</v>
      </c>
      <c r="E428">
        <v>2.1260000000000001E-2</v>
      </c>
      <c r="F428">
        <v>16354596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0.32500000000000179</v>
      </c>
      <c r="Q428">
        <f t="shared" si="975"/>
        <v>5315243.7000000291</v>
      </c>
      <c r="R428">
        <f t="shared" si="976"/>
        <v>-980909065.68945372</v>
      </c>
      <c r="S428">
        <f t="shared" si="977"/>
        <v>-9809.0906568945375</v>
      </c>
      <c r="T428">
        <f t="shared" si="978"/>
        <v>-9.8090906568945382</v>
      </c>
    </row>
    <row r="429" spans="1:20" x14ac:dyDescent="0.25">
      <c r="A429" s="5">
        <v>44164</v>
      </c>
      <c r="B429">
        <v>2.036E-2</v>
      </c>
      <c r="C429">
        <v>2.0830000000000001E-2</v>
      </c>
      <c r="D429">
        <v>1.9800000000000002E-2</v>
      </c>
      <c r="E429">
        <v>2.0549999999999999E-2</v>
      </c>
      <c r="F429">
        <v>12372502.5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0.45631067961164551</v>
      </c>
      <c r="Q429">
        <f t="shared" si="975"/>
        <v>5645705.0242717834</v>
      </c>
      <c r="R429">
        <f t="shared" si="976"/>
        <v>-986224309.38945377</v>
      </c>
      <c r="S429">
        <f t="shared" si="977"/>
        <v>-9862.2430938945381</v>
      </c>
      <c r="T429">
        <f t="shared" si="978"/>
        <v>-9.8622430938945378</v>
      </c>
    </row>
    <row r="430" spans="1:20" x14ac:dyDescent="0.25">
      <c r="A430" s="5">
        <v>44163</v>
      </c>
      <c r="B430">
        <v>1.9910000000000001E-2</v>
      </c>
      <c r="C430">
        <v>2.1319999999999999E-2</v>
      </c>
      <c r="D430">
        <v>1.9279999999999999E-2</v>
      </c>
      <c r="E430">
        <v>2.0379999999999999E-2</v>
      </c>
      <c r="F430">
        <v>15866056.699999999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7.8431372549019801E-2</v>
      </c>
      <c r="Q430">
        <f t="shared" si="975"/>
        <v>1244396.6039215717</v>
      </c>
      <c r="R430">
        <f t="shared" si="976"/>
        <v>-991870014.4137255</v>
      </c>
      <c r="S430">
        <f t="shared" si="977"/>
        <v>-9918.7001441372558</v>
      </c>
      <c r="T430">
        <f t="shared" si="978"/>
        <v>-9.9187001441372562</v>
      </c>
    </row>
    <row r="431" spans="1:20" x14ac:dyDescent="0.25">
      <c r="A431" s="5">
        <v>44162</v>
      </c>
      <c r="B431">
        <v>2.0209999999999999E-2</v>
      </c>
      <c r="C431">
        <v>2.121E-2</v>
      </c>
      <c r="D431">
        <v>1.8849999999999999E-2</v>
      </c>
      <c r="E431">
        <v>1.9910000000000001E-2</v>
      </c>
      <c r="F431">
        <v>13404623.199999999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-0.10169491525423605</v>
      </c>
      <c r="Q431">
        <f t="shared" si="975"/>
        <v>-1363182.0203389663</v>
      </c>
      <c r="R431">
        <f t="shared" si="976"/>
        <v>-993114411.01764703</v>
      </c>
      <c r="S431">
        <f t="shared" si="977"/>
        <v>-9931.1441101764703</v>
      </c>
      <c r="T431">
        <f t="shared" si="978"/>
        <v>-9.9311441101764704</v>
      </c>
    </row>
    <row r="432" spans="1:20" x14ac:dyDescent="0.25">
      <c r="A432" s="5">
        <v>44161</v>
      </c>
      <c r="B432">
        <v>2.4140000000000002E-2</v>
      </c>
      <c r="C432">
        <v>2.58E-2</v>
      </c>
      <c r="D432">
        <v>1.7579999999999998E-2</v>
      </c>
      <c r="E432">
        <v>2.0199999999999999E-2</v>
      </c>
      <c r="F432">
        <v>52337188.200000003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-0.36253041362530408</v>
      </c>
      <c r="Q432">
        <f t="shared" si="975"/>
        <v>-18973822.486131385</v>
      </c>
      <c r="R432">
        <f t="shared" si="976"/>
        <v>-991751228.99730802</v>
      </c>
      <c r="S432">
        <f t="shared" si="977"/>
        <v>-9917.5122899730795</v>
      </c>
      <c r="T432">
        <f t="shared" si="978"/>
        <v>-9.9175122899730788</v>
      </c>
    </row>
    <row r="433" spans="1:20" x14ac:dyDescent="0.25">
      <c r="A433" s="5">
        <v>44160</v>
      </c>
      <c r="B433">
        <v>2.5520000000000001E-2</v>
      </c>
      <c r="C433">
        <v>2.7789999999999999E-2</v>
      </c>
      <c r="D433">
        <v>2.283E-2</v>
      </c>
      <c r="E433">
        <v>2.418E-2</v>
      </c>
      <c r="F433">
        <v>56672385.700000003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-0.45564516129032229</v>
      </c>
      <c r="Q433">
        <f t="shared" si="975"/>
        <v>-25822498.322983857</v>
      </c>
      <c r="R433">
        <f t="shared" si="976"/>
        <v>-972777406.51117659</v>
      </c>
      <c r="S433">
        <f t="shared" si="977"/>
        <v>-9727.7740651117656</v>
      </c>
      <c r="T433">
        <f t="shared" si="978"/>
        <v>-9.727774065111765</v>
      </c>
    </row>
    <row r="434" spans="1:20" x14ac:dyDescent="0.25">
      <c r="A434" s="5">
        <v>44159</v>
      </c>
      <c r="B434">
        <v>2.2429999999999999E-2</v>
      </c>
      <c r="C434">
        <v>2.5899999999999999E-2</v>
      </c>
      <c r="D434">
        <v>2.213E-2</v>
      </c>
      <c r="E434">
        <v>2.5360000000000001E-2</v>
      </c>
      <c r="F434">
        <v>66176970.700000003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0.71352785145888653</v>
      </c>
      <c r="Q434">
        <f t="shared" si="975"/>
        <v>47219111.719628692</v>
      </c>
      <c r="R434">
        <f t="shared" si="976"/>
        <v>-946954908.18819273</v>
      </c>
      <c r="S434">
        <f t="shared" si="977"/>
        <v>-9469.5490818819271</v>
      </c>
      <c r="T434">
        <f t="shared" si="978"/>
        <v>-9.4695490818819277</v>
      </c>
    </row>
    <row r="435" spans="1:20" x14ac:dyDescent="0.25">
      <c r="A435" s="5">
        <v>44158</v>
      </c>
      <c r="B435">
        <v>2.1010000000000001E-2</v>
      </c>
      <c r="C435">
        <v>2.2849999999999999E-2</v>
      </c>
      <c r="D435">
        <v>2.0299999999999999E-2</v>
      </c>
      <c r="E435">
        <v>2.2460000000000001E-2</v>
      </c>
      <c r="F435">
        <v>36503962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0.69411764705882517</v>
      </c>
      <c r="Q435">
        <f t="shared" si="975"/>
        <v>25338044.211764764</v>
      </c>
      <c r="R435">
        <f t="shared" si="976"/>
        <v>-994174019.90782142</v>
      </c>
      <c r="S435">
        <f t="shared" si="977"/>
        <v>-9941.7401990782146</v>
      </c>
      <c r="T435">
        <f t="shared" si="978"/>
        <v>-9.9417401990782146</v>
      </c>
    </row>
    <row r="436" spans="1:20" x14ac:dyDescent="0.25">
      <c r="A436" s="5">
        <v>44157</v>
      </c>
      <c r="B436">
        <v>2.2960000000000001E-2</v>
      </c>
      <c r="C436">
        <v>2.3130000000000001E-2</v>
      </c>
      <c r="D436">
        <v>2.0160000000000001E-2</v>
      </c>
      <c r="E436">
        <v>2.1000000000000001E-2</v>
      </c>
      <c r="F436">
        <v>25386323.199999999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-0.43434343434343409</v>
      </c>
      <c r="Q436">
        <f t="shared" si="975"/>
        <v>-11026382.804040397</v>
      </c>
      <c r="R436">
        <f t="shared" si="976"/>
        <v>-1019512064.1195862</v>
      </c>
      <c r="S436">
        <f t="shared" si="977"/>
        <v>-10195.120641195863</v>
      </c>
      <c r="T436">
        <f t="shared" si="978"/>
        <v>-10.195120641195864</v>
      </c>
    </row>
    <row r="437" spans="1:20" x14ac:dyDescent="0.25">
      <c r="A437" s="5">
        <v>44156</v>
      </c>
      <c r="B437">
        <v>2.1069999999999998E-2</v>
      </c>
      <c r="C437">
        <v>2.3400000000000001E-2</v>
      </c>
      <c r="D437">
        <v>2.0930000000000001E-2</v>
      </c>
      <c r="E437">
        <v>2.2929999999999999E-2</v>
      </c>
      <c r="F437">
        <v>25717266.399999999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0.61943319838056543</v>
      </c>
      <c r="Q437">
        <f t="shared" si="975"/>
        <v>15930128.57975705</v>
      </c>
      <c r="R437">
        <f t="shared" si="976"/>
        <v>-1008485681.3155458</v>
      </c>
      <c r="S437">
        <f t="shared" si="977"/>
        <v>-10084.856813155458</v>
      </c>
      <c r="T437">
        <f t="shared" si="978"/>
        <v>-10.084856813155458</v>
      </c>
    </row>
    <row r="438" spans="1:20" x14ac:dyDescent="0.25">
      <c r="A438" s="5">
        <v>44155</v>
      </c>
      <c r="B438">
        <v>1.9439999999999999E-2</v>
      </c>
      <c r="C438">
        <v>2.2700000000000001E-2</v>
      </c>
      <c r="D438">
        <v>1.9380000000000001E-2</v>
      </c>
      <c r="E438">
        <v>2.1080000000000002E-2</v>
      </c>
      <c r="F438">
        <v>45604250.600000001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2.4096385542168738E-2</v>
      </c>
      <c r="Q438">
        <f t="shared" si="975"/>
        <v>1098897.6048192801</v>
      </c>
      <c r="R438">
        <f t="shared" si="976"/>
        <v>-1024415809.8953029</v>
      </c>
      <c r="S438">
        <f t="shared" si="977"/>
        <v>-10244.158098953028</v>
      </c>
      <c r="T438">
        <f t="shared" si="978"/>
        <v>-10.244158098953028</v>
      </c>
    </row>
    <row r="439" spans="1:20" x14ac:dyDescent="0.25">
      <c r="A439" s="5">
        <v>44154</v>
      </c>
      <c r="B439">
        <v>1.8689999999999998E-2</v>
      </c>
      <c r="C439">
        <v>2.0299999999999999E-2</v>
      </c>
      <c r="D439">
        <v>1.823E-2</v>
      </c>
      <c r="E439">
        <v>1.9390000000000001E-2</v>
      </c>
      <c r="F439">
        <v>18416641.199999999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0.12077294685990522</v>
      </c>
      <c r="Q439">
        <f t="shared" si="975"/>
        <v>2224232.0289855408</v>
      </c>
      <c r="R439">
        <f t="shared" si="976"/>
        <v>-1025514707.5001222</v>
      </c>
      <c r="S439">
        <f t="shared" si="977"/>
        <v>-10255.147075001221</v>
      </c>
      <c r="T439">
        <f t="shared" si="978"/>
        <v>-10.255147075001222</v>
      </c>
    </row>
    <row r="440" spans="1:20" x14ac:dyDescent="0.25">
      <c r="A440" s="5">
        <v>44153</v>
      </c>
      <c r="B440">
        <v>2.0279999999999999E-2</v>
      </c>
      <c r="C440">
        <v>2.035E-2</v>
      </c>
      <c r="D440">
        <v>1.8069999999999999E-2</v>
      </c>
      <c r="E440">
        <v>1.865E-2</v>
      </c>
      <c r="F440">
        <v>22855811.699999999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-0.49122807017543818</v>
      </c>
      <c r="Q440">
        <f t="shared" si="975"/>
        <v>-11227416.2736842</v>
      </c>
      <c r="R440">
        <f t="shared" si="976"/>
        <v>-1027738939.5291077</v>
      </c>
      <c r="S440">
        <f t="shared" si="977"/>
        <v>-10277.389395291077</v>
      </c>
      <c r="T440">
        <f t="shared" si="978"/>
        <v>-10.277389395291078</v>
      </c>
    </row>
    <row r="441" spans="1:20" x14ac:dyDescent="0.25">
      <c r="A441" s="5">
        <v>44152</v>
      </c>
      <c r="B441">
        <v>1.992E-2</v>
      </c>
      <c r="C441">
        <v>2.0990000000000002E-2</v>
      </c>
      <c r="D441">
        <v>1.958E-2</v>
      </c>
      <c r="E441">
        <v>2.0250000000000001E-2</v>
      </c>
      <c r="F441">
        <v>20623953.100000001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-4.964539007092237E-2</v>
      </c>
      <c r="Q441">
        <f t="shared" si="975"/>
        <v>-1023884.1964539087</v>
      </c>
      <c r="R441">
        <f t="shared" si="976"/>
        <v>-1016511523.2554235</v>
      </c>
      <c r="S441">
        <f t="shared" si="977"/>
        <v>-10165.115232554235</v>
      </c>
      <c r="T441">
        <f t="shared" si="978"/>
        <v>-10.165115232554236</v>
      </c>
    </row>
    <row r="442" spans="1:20" x14ac:dyDescent="0.25">
      <c r="A442" s="5">
        <v>44151</v>
      </c>
      <c r="B442">
        <v>1.9640000000000001E-2</v>
      </c>
      <c r="C442">
        <v>2.0459999999999999E-2</v>
      </c>
      <c r="D442">
        <v>1.934E-2</v>
      </c>
      <c r="E442">
        <v>1.9949999999999999E-2</v>
      </c>
      <c r="F442">
        <v>19523077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8.9285714285713788E-2</v>
      </c>
      <c r="Q442">
        <f t="shared" si="975"/>
        <v>1743131.8749999902</v>
      </c>
      <c r="R442">
        <f t="shared" si="976"/>
        <v>-1015487639.0589696</v>
      </c>
      <c r="S442">
        <f t="shared" si="977"/>
        <v>-10154.876390589696</v>
      </c>
      <c r="T442">
        <f t="shared" si="978"/>
        <v>-10.154876390589695</v>
      </c>
    </row>
    <row r="443" spans="1:20" x14ac:dyDescent="0.25">
      <c r="A443" s="5">
        <v>44150</v>
      </c>
      <c r="B443">
        <v>2.0809999999999999E-2</v>
      </c>
      <c r="C443">
        <v>2.1600000000000001E-2</v>
      </c>
      <c r="D443">
        <v>1.9290000000000002E-2</v>
      </c>
      <c r="E443">
        <v>1.9689999999999999E-2</v>
      </c>
      <c r="F443">
        <v>29952344.600000001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-0.65367965367965575</v>
      </c>
      <c r="Q443">
        <f t="shared" si="975"/>
        <v>-19579238.245021708</v>
      </c>
      <c r="R443">
        <f t="shared" si="976"/>
        <v>-1017230770.9339696</v>
      </c>
      <c r="S443">
        <f t="shared" si="977"/>
        <v>-10172.307709339697</v>
      </c>
      <c r="T443">
        <f t="shared" si="978"/>
        <v>-10.172307709339696</v>
      </c>
    </row>
    <row r="444" spans="1:20" x14ac:dyDescent="0.25">
      <c r="A444" s="5">
        <v>44149</v>
      </c>
      <c r="B444">
        <v>2.018E-2</v>
      </c>
      <c r="C444">
        <v>2.1000000000000001E-2</v>
      </c>
      <c r="D444">
        <v>1.8960000000000001E-2</v>
      </c>
      <c r="E444">
        <v>2.0920000000000001E-2</v>
      </c>
      <c r="F444">
        <v>9982682.5</v>
      </c>
      <c r="G444">
        <v>0</v>
      </c>
      <c r="L444" t="s">
        <v>8</v>
      </c>
      <c r="M444" t="s">
        <v>7</v>
      </c>
      <c r="N444" t="s">
        <v>8</v>
      </c>
      <c r="P444">
        <f t="shared" si="974"/>
        <v>0.92156862745098023</v>
      </c>
      <c r="Q444">
        <f t="shared" si="975"/>
        <v>9199727.0098039191</v>
      </c>
      <c r="R444">
        <f t="shared" si="976"/>
        <v>-997651532.68894792</v>
      </c>
      <c r="S444">
        <f t="shared" si="977"/>
        <v>-9976.5153268894792</v>
      </c>
      <c r="T444">
        <f t="shared" si="978"/>
        <v>-9.97651532688948</v>
      </c>
    </row>
    <row r="445" spans="1:20" x14ac:dyDescent="0.25">
      <c r="A445" s="5">
        <v>44148</v>
      </c>
      <c r="B445">
        <v>1.847E-2</v>
      </c>
      <c r="C445">
        <v>2.0310000000000002E-2</v>
      </c>
      <c r="D445">
        <v>1.8440000000000002E-2</v>
      </c>
      <c r="E445">
        <v>2.002E-2</v>
      </c>
      <c r="F445">
        <v>10553244.300000001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0.68983957219251124</v>
      </c>
      <c r="Q445">
        <f t="shared" si="975"/>
        <v>7280045.5331550585</v>
      </c>
      <c r="R445">
        <f t="shared" si="976"/>
        <v>-1006851259.6987518</v>
      </c>
      <c r="S445">
        <f t="shared" si="977"/>
        <v>-10068.512596987519</v>
      </c>
      <c r="T445">
        <f t="shared" si="978"/>
        <v>-10.068512596987519</v>
      </c>
    </row>
    <row r="446" spans="1:20" x14ac:dyDescent="0.25">
      <c r="A446" s="5">
        <v>44147</v>
      </c>
      <c r="B446">
        <v>2.0129999999999999E-2</v>
      </c>
      <c r="C446">
        <v>2.0670000000000001E-2</v>
      </c>
      <c r="D446">
        <v>1.8350000000000002E-2</v>
      </c>
      <c r="E446">
        <v>1.8450000000000001E-2</v>
      </c>
      <c r="F446">
        <v>18384849.899999999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-0.91379310344827636</v>
      </c>
      <c r="Q446">
        <f t="shared" si="975"/>
        <v>-16799949.04655173</v>
      </c>
      <c r="R446">
        <f t="shared" si="976"/>
        <v>-1014131305.2319069</v>
      </c>
      <c r="S446">
        <f t="shared" si="977"/>
        <v>-10141.313052319068</v>
      </c>
      <c r="T446">
        <f t="shared" si="978"/>
        <v>-10.141313052319068</v>
      </c>
    </row>
    <row r="447" spans="1:20" x14ac:dyDescent="0.25">
      <c r="A447" s="5">
        <v>44146</v>
      </c>
      <c r="B447">
        <v>2.1000000000000001E-2</v>
      </c>
      <c r="C447">
        <v>2.2939999999999999E-2</v>
      </c>
      <c r="D447">
        <v>0.02</v>
      </c>
      <c r="E447">
        <v>2.0129999999999999E-2</v>
      </c>
      <c r="F447">
        <v>22220654.100000001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-0.91156462585034137</v>
      </c>
      <c r="Q447">
        <f t="shared" si="975"/>
        <v>-20255562.240816355</v>
      </c>
      <c r="R447">
        <f t="shared" si="976"/>
        <v>-997331356.18535519</v>
      </c>
      <c r="S447">
        <f t="shared" si="977"/>
        <v>-9973.3135618535525</v>
      </c>
      <c r="T447">
        <f t="shared" si="978"/>
        <v>-9.9733135618535531</v>
      </c>
    </row>
    <row r="448" spans="1:20" x14ac:dyDescent="0.25">
      <c r="A448" s="5">
        <v>44145</v>
      </c>
      <c r="B448">
        <v>2.1420000000000002E-2</v>
      </c>
      <c r="C448">
        <v>2.3480000000000001E-2</v>
      </c>
      <c r="D448">
        <v>1.9900000000000001E-2</v>
      </c>
      <c r="E448">
        <v>2.1000000000000001E-2</v>
      </c>
      <c r="F448">
        <v>62942091.899999999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-0.38547486033519535</v>
      </c>
      <c r="Q448">
        <f t="shared" si="975"/>
        <v>-24262594.08435753</v>
      </c>
      <c r="R448">
        <f t="shared" si="976"/>
        <v>-977075793.94453883</v>
      </c>
      <c r="S448">
        <f t="shared" si="977"/>
        <v>-9770.7579394453878</v>
      </c>
      <c r="T448">
        <f t="shared" si="978"/>
        <v>-9.770757939445387</v>
      </c>
    </row>
    <row r="449" spans="1:20" x14ac:dyDescent="0.25">
      <c r="A449" s="5">
        <v>44144</v>
      </c>
      <c r="B449">
        <v>1.772E-2</v>
      </c>
      <c r="C449">
        <v>2.2040000000000001E-2</v>
      </c>
      <c r="D449">
        <v>1.7559999999999999E-2</v>
      </c>
      <c r="E449">
        <v>2.1590000000000002E-2</v>
      </c>
      <c r="F449">
        <v>39992764.100000001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0.79910714285714335</v>
      </c>
      <c r="Q449">
        <f t="shared" si="975"/>
        <v>31958503.454910737</v>
      </c>
      <c r="R449">
        <f t="shared" si="976"/>
        <v>-952813199.86018133</v>
      </c>
      <c r="S449">
        <f t="shared" si="977"/>
        <v>-9528.1319986018134</v>
      </c>
      <c r="T449">
        <f t="shared" si="978"/>
        <v>-9.5281319986018129</v>
      </c>
    </row>
    <row r="450" spans="1:20" x14ac:dyDescent="0.25">
      <c r="A450" s="5">
        <v>44143</v>
      </c>
      <c r="B450">
        <v>1.7170000000000001E-2</v>
      </c>
      <c r="C450">
        <v>1.8499999999999999E-2</v>
      </c>
      <c r="D450">
        <v>1.67E-2</v>
      </c>
      <c r="E450">
        <v>1.7809999999999999E-2</v>
      </c>
      <c r="F450">
        <v>9781234.3000000007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0.23333333333333353</v>
      </c>
      <c r="Q450">
        <f t="shared" si="975"/>
        <v>2282288.0033333353</v>
      </c>
      <c r="R450">
        <f t="shared" si="976"/>
        <v>-984771703.31509209</v>
      </c>
      <c r="S450">
        <f t="shared" si="977"/>
        <v>-9847.7170331509205</v>
      </c>
      <c r="T450">
        <f t="shared" si="978"/>
        <v>-9.8477170331509214</v>
      </c>
    </row>
    <row r="451" spans="1:20" x14ac:dyDescent="0.25">
      <c r="A451" s="5">
        <v>44142</v>
      </c>
      <c r="B451">
        <v>1.7950000000000001E-2</v>
      </c>
      <c r="C451">
        <v>2.0250000000000001E-2</v>
      </c>
      <c r="D451">
        <v>1.6219999999999998E-2</v>
      </c>
      <c r="E451">
        <v>1.719E-2</v>
      </c>
      <c r="F451">
        <v>26209682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-0.51861042183622752</v>
      </c>
      <c r="Q451">
        <f t="shared" si="975"/>
        <v>-13592614.238213379</v>
      </c>
      <c r="R451">
        <f t="shared" si="976"/>
        <v>-987053991.31842542</v>
      </c>
      <c r="S451">
        <f t="shared" si="977"/>
        <v>-9870.5399131842551</v>
      </c>
      <c r="T451">
        <f t="shared" si="978"/>
        <v>-9.8705399131842544</v>
      </c>
    </row>
    <row r="452" spans="1:20" x14ac:dyDescent="0.25">
      <c r="A452" s="5">
        <v>44141</v>
      </c>
      <c r="B452">
        <v>1.618E-2</v>
      </c>
      <c r="C452">
        <v>1.8200000000000001E-2</v>
      </c>
      <c r="D452">
        <v>1.593E-2</v>
      </c>
      <c r="E452">
        <v>1.797E-2</v>
      </c>
      <c r="F452">
        <v>18832912.199999999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0.7973568281938318</v>
      </c>
      <c r="Q452">
        <f t="shared" si="975"/>
        <v>15016551.137444919</v>
      </c>
      <c r="R452">
        <f t="shared" si="976"/>
        <v>-973461377.080212</v>
      </c>
      <c r="S452">
        <f t="shared" si="977"/>
        <v>-9734.6137708021197</v>
      </c>
      <c r="T452">
        <f t="shared" si="978"/>
        <v>-9.7346137708021203</v>
      </c>
    </row>
    <row r="453" spans="1:20" x14ac:dyDescent="0.25">
      <c r="A453" s="5">
        <v>44140</v>
      </c>
      <c r="B453">
        <v>1.5879999999999998E-2</v>
      </c>
      <c r="C453">
        <v>1.6590000000000001E-2</v>
      </c>
      <c r="D453">
        <v>1.485E-2</v>
      </c>
      <c r="E453">
        <v>1.6049999999999998E-2</v>
      </c>
      <c r="F453">
        <v>16515944.5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0.37931034482758369</v>
      </c>
      <c r="Q453">
        <f t="shared" si="975"/>
        <v>6264668.6034482345</v>
      </c>
      <c r="R453">
        <f t="shared" si="976"/>
        <v>-988477928.21765697</v>
      </c>
      <c r="S453">
        <f t="shared" si="977"/>
        <v>-9884.7792821765688</v>
      </c>
      <c r="T453">
        <f t="shared" si="978"/>
        <v>-9.8847792821765683</v>
      </c>
    </row>
    <row r="454" spans="1:20" x14ac:dyDescent="0.25">
      <c r="A454" s="5">
        <v>44139</v>
      </c>
      <c r="B454">
        <v>1.6060000000000001E-2</v>
      </c>
      <c r="C454">
        <v>1.643E-2</v>
      </c>
      <c r="D454">
        <v>1.486E-2</v>
      </c>
      <c r="E454">
        <v>1.5820000000000001E-2</v>
      </c>
      <c r="F454">
        <v>10665212.4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0.22292993630573332</v>
      </c>
      <c r="Q454">
        <f t="shared" ref="Q454:Q517" si="980">F454*P454</f>
        <v>2377595.1210191175</v>
      </c>
      <c r="R454">
        <f t="shared" ref="R454:R517" si="981">R455+Q454</f>
        <v>-994742596.82110524</v>
      </c>
      <c r="S454">
        <f t="shared" ref="S454:S517" si="982">R454/100000</f>
        <v>-9947.4259682110533</v>
      </c>
      <c r="T454">
        <f t="shared" ref="T454:T517" si="983">S454/1000</f>
        <v>-9.9474259682110535</v>
      </c>
    </row>
    <row r="455" spans="1:20" x14ac:dyDescent="0.25">
      <c r="A455" s="5">
        <v>44138</v>
      </c>
      <c r="B455">
        <v>1.6570000000000001E-2</v>
      </c>
      <c r="C455">
        <v>1.6650000000000002E-2</v>
      </c>
      <c r="D455">
        <v>1.567E-2</v>
      </c>
      <c r="E455">
        <v>1.617E-2</v>
      </c>
      <c r="F455">
        <v>5839620.7999999998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2.0408163265305257E-2</v>
      </c>
      <c r="Q455">
        <f t="shared" si="980"/>
        <v>119175.93469387249</v>
      </c>
      <c r="R455">
        <f t="shared" si="981"/>
        <v>-997120191.94212437</v>
      </c>
      <c r="S455">
        <f t="shared" si="982"/>
        <v>-9971.2019194212444</v>
      </c>
      <c r="T455">
        <f t="shared" si="983"/>
        <v>-9.9712019194212438</v>
      </c>
    </row>
    <row r="456" spans="1:20" x14ac:dyDescent="0.25">
      <c r="A456" s="5">
        <v>44137</v>
      </c>
      <c r="B456">
        <v>1.7860000000000001E-2</v>
      </c>
      <c r="C456">
        <v>1.8499999999999999E-2</v>
      </c>
      <c r="D456">
        <v>1.6299999999999999E-2</v>
      </c>
      <c r="E456">
        <v>1.6570000000000001E-2</v>
      </c>
      <c r="F456">
        <v>10836678.800000001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-0.75454545454545197</v>
      </c>
      <c r="Q456">
        <f t="shared" si="980"/>
        <v>-8176766.7309090635</v>
      </c>
      <c r="R456">
        <f t="shared" si="981"/>
        <v>-997239367.87681818</v>
      </c>
      <c r="S456">
        <f t="shared" si="982"/>
        <v>-9972.3936787681814</v>
      </c>
      <c r="T456">
        <f t="shared" si="983"/>
        <v>-9.9723936787681815</v>
      </c>
    </row>
    <row r="457" spans="1:20" x14ac:dyDescent="0.25">
      <c r="A457" s="5">
        <v>44136</v>
      </c>
      <c r="B457">
        <v>1.7069999999999998E-2</v>
      </c>
      <c r="C457">
        <v>1.8950000000000002E-2</v>
      </c>
      <c r="D457">
        <v>1.685E-2</v>
      </c>
      <c r="E457">
        <v>1.7860000000000001E-2</v>
      </c>
      <c r="F457">
        <v>9742115.1999999993</v>
      </c>
      <c r="G457">
        <v>0</v>
      </c>
      <c r="L457" t="s">
        <v>8</v>
      </c>
      <c r="M457" t="s">
        <v>8</v>
      </c>
      <c r="N457" t="s">
        <v>7</v>
      </c>
      <c r="P457">
        <f t="shared" si="979"/>
        <v>-3.8095238095238175E-2</v>
      </c>
      <c r="Q457">
        <f t="shared" si="980"/>
        <v>-371128.19809523883</v>
      </c>
      <c r="R457">
        <f t="shared" si="981"/>
        <v>-989062601.14590907</v>
      </c>
      <c r="S457">
        <f t="shared" si="982"/>
        <v>-9890.6260114590914</v>
      </c>
      <c r="T457">
        <f t="shared" si="983"/>
        <v>-9.8906260114590907</v>
      </c>
    </row>
    <row r="458" spans="1:20" x14ac:dyDescent="0.25">
      <c r="A458" s="5">
        <v>44135</v>
      </c>
      <c r="B458">
        <v>1.7299999999999999E-2</v>
      </c>
      <c r="C458">
        <v>1.7680000000000001E-2</v>
      </c>
      <c r="D458">
        <v>1.6899999999999998E-2</v>
      </c>
      <c r="E458">
        <v>1.6959999999999999E-2</v>
      </c>
      <c r="F458">
        <v>5634580.7000000002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-0.84615384615384415</v>
      </c>
      <c r="Q458">
        <f t="shared" si="980"/>
        <v>-4767722.1307692192</v>
      </c>
      <c r="R458">
        <f t="shared" si="981"/>
        <v>-988691472.94781387</v>
      </c>
      <c r="S458">
        <f t="shared" si="982"/>
        <v>-9886.9147294781378</v>
      </c>
      <c r="T458">
        <f t="shared" si="983"/>
        <v>-9.8869147294781374</v>
      </c>
    </row>
    <row r="459" spans="1:20" x14ac:dyDescent="0.25">
      <c r="A459" s="5">
        <v>44134</v>
      </c>
      <c r="B459">
        <v>1.704E-2</v>
      </c>
      <c r="C459">
        <v>1.7600000000000001E-2</v>
      </c>
      <c r="D459">
        <v>1.576E-2</v>
      </c>
      <c r="E459">
        <v>1.7299999999999999E-2</v>
      </c>
      <c r="F459">
        <v>9997653.3000000007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0.67391304347825931</v>
      </c>
      <c r="Q459">
        <f t="shared" si="980"/>
        <v>6737548.9630434634</v>
      </c>
      <c r="R459">
        <f t="shared" si="981"/>
        <v>-983923750.81704462</v>
      </c>
      <c r="S459">
        <f t="shared" si="982"/>
        <v>-9839.2375081704467</v>
      </c>
      <c r="T459">
        <f t="shared" si="983"/>
        <v>-9.8392375081704468</v>
      </c>
    </row>
    <row r="460" spans="1:20" x14ac:dyDescent="0.25">
      <c r="A460" s="5">
        <v>44133</v>
      </c>
      <c r="B460">
        <v>1.8329999999999999E-2</v>
      </c>
      <c r="C460">
        <v>1.8679999999999999E-2</v>
      </c>
      <c r="D460">
        <v>1.6910000000000001E-2</v>
      </c>
      <c r="E460">
        <v>1.7100000000000001E-2</v>
      </c>
      <c r="F460">
        <v>7547536.7000000002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-0.78531073446327737</v>
      </c>
      <c r="Q460">
        <f t="shared" si="980"/>
        <v>-5927161.5892655412</v>
      </c>
      <c r="R460">
        <f t="shared" si="981"/>
        <v>-990661299.78008807</v>
      </c>
      <c r="S460">
        <f t="shared" si="982"/>
        <v>-9906.6129978008812</v>
      </c>
      <c r="T460">
        <f t="shared" si="983"/>
        <v>-9.906612997800881</v>
      </c>
    </row>
    <row r="461" spans="1:20" x14ac:dyDescent="0.25">
      <c r="A461" s="5">
        <v>44132</v>
      </c>
      <c r="B461">
        <v>1.95E-2</v>
      </c>
      <c r="C461">
        <v>1.9740000000000001E-2</v>
      </c>
      <c r="D461">
        <v>1.806E-2</v>
      </c>
      <c r="E461">
        <v>1.8329999999999999E-2</v>
      </c>
      <c r="F461">
        <v>6738724.5999999996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-0.67857142857142949</v>
      </c>
      <c r="Q461">
        <f t="shared" si="980"/>
        <v>-4572705.9785714345</v>
      </c>
      <c r="R461">
        <f t="shared" si="981"/>
        <v>-984734138.19082248</v>
      </c>
      <c r="S461">
        <f t="shared" si="982"/>
        <v>-9847.3413819082252</v>
      </c>
      <c r="T461">
        <f t="shared" si="983"/>
        <v>-9.8473413819082261</v>
      </c>
    </row>
    <row r="462" spans="1:20" x14ac:dyDescent="0.25">
      <c r="A462" s="5">
        <v>44131</v>
      </c>
      <c r="B462">
        <v>1.958E-2</v>
      </c>
      <c r="C462">
        <v>1.9900000000000001E-2</v>
      </c>
      <c r="D462">
        <v>1.9130000000000001E-2</v>
      </c>
      <c r="E462">
        <v>1.951E-2</v>
      </c>
      <c r="F462">
        <v>7523148.7000000002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-1.2987012987016966E-2</v>
      </c>
      <c r="Q462">
        <f t="shared" si="980"/>
        <v>-97703.229870159805</v>
      </c>
      <c r="R462">
        <f t="shared" si="981"/>
        <v>-980161432.21225107</v>
      </c>
      <c r="S462">
        <f t="shared" si="982"/>
        <v>-9801.6143221225102</v>
      </c>
      <c r="T462">
        <f t="shared" si="983"/>
        <v>-9.8016143221225107</v>
      </c>
    </row>
    <row r="463" spans="1:20" x14ac:dyDescent="0.25">
      <c r="A463" s="5">
        <v>44130</v>
      </c>
      <c r="B463">
        <v>2.0449999999999999E-2</v>
      </c>
      <c r="C463">
        <v>2.0889999999999999E-2</v>
      </c>
      <c r="D463">
        <v>1.9029999999999998E-2</v>
      </c>
      <c r="E463">
        <v>1.959E-2</v>
      </c>
      <c r="F463">
        <v>11953962.6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-0.39784946236558999</v>
      </c>
      <c r="Q463">
        <f t="shared" si="980"/>
        <v>-4755877.5935483705</v>
      </c>
      <c r="R463">
        <f t="shared" si="981"/>
        <v>-980063728.98238087</v>
      </c>
      <c r="S463">
        <f t="shared" si="982"/>
        <v>-9800.6372898238078</v>
      </c>
      <c r="T463">
        <f t="shared" si="983"/>
        <v>-9.8006372898238077</v>
      </c>
    </row>
    <row r="464" spans="1:20" x14ac:dyDescent="0.25">
      <c r="A464" s="5">
        <v>44129</v>
      </c>
      <c r="B464">
        <v>2.213E-2</v>
      </c>
      <c r="C464">
        <v>2.222E-2</v>
      </c>
      <c r="D464">
        <v>2.026E-2</v>
      </c>
      <c r="E464">
        <v>2.0480000000000002E-2</v>
      </c>
      <c r="F464">
        <v>8630610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-0.77551020408163118</v>
      </c>
      <c r="Q464">
        <f t="shared" si="980"/>
        <v>-6693126.1224489668</v>
      </c>
      <c r="R464">
        <f t="shared" si="981"/>
        <v>-975307851.38883245</v>
      </c>
      <c r="S464">
        <f t="shared" si="982"/>
        <v>-9753.0785138883239</v>
      </c>
      <c r="T464">
        <f t="shared" si="983"/>
        <v>-9.7530785138883243</v>
      </c>
    </row>
    <row r="465" spans="1:20" x14ac:dyDescent="0.25">
      <c r="A465" s="5">
        <v>44128</v>
      </c>
      <c r="B465">
        <v>2.146E-2</v>
      </c>
      <c r="C465">
        <v>2.2540000000000001E-2</v>
      </c>
      <c r="D465">
        <v>2.103E-2</v>
      </c>
      <c r="E465">
        <v>2.213E-2</v>
      </c>
      <c r="F465">
        <v>7025656.2000000002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0.45695364238410546</v>
      </c>
      <c r="Q465">
        <f t="shared" si="980"/>
        <v>3210399.1907284735</v>
      </c>
      <c r="R465">
        <f t="shared" si="981"/>
        <v>-968614725.26638353</v>
      </c>
      <c r="S465">
        <f t="shared" si="982"/>
        <v>-9686.1472526638354</v>
      </c>
      <c r="T465">
        <f t="shared" si="983"/>
        <v>-9.6861472526638348</v>
      </c>
    </row>
    <row r="466" spans="1:20" x14ac:dyDescent="0.25">
      <c r="A466" s="5">
        <v>44127</v>
      </c>
      <c r="B466">
        <v>2.1499999999999998E-2</v>
      </c>
      <c r="C466">
        <v>2.24E-2</v>
      </c>
      <c r="D466">
        <v>2.07E-2</v>
      </c>
      <c r="E466">
        <v>2.1430000000000001E-2</v>
      </c>
      <c r="F466">
        <v>10304607.9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-0.14117647058823363</v>
      </c>
      <c r="Q466">
        <f t="shared" si="980"/>
        <v>-1454768.1741176299</v>
      </c>
      <c r="R466">
        <f t="shared" si="981"/>
        <v>-971825124.45711195</v>
      </c>
      <c r="S466">
        <f t="shared" si="982"/>
        <v>-9718.25124457112</v>
      </c>
      <c r="T466">
        <f t="shared" si="983"/>
        <v>-9.7182512445711193</v>
      </c>
    </row>
    <row r="467" spans="1:20" x14ac:dyDescent="0.25">
      <c r="A467" s="5">
        <v>44126</v>
      </c>
      <c r="B467">
        <v>2.1059999999999999E-2</v>
      </c>
      <c r="C467">
        <v>2.256E-2</v>
      </c>
      <c r="D467">
        <v>2.0879999999999999E-2</v>
      </c>
      <c r="E467">
        <v>2.1520000000000001E-2</v>
      </c>
      <c r="F467">
        <v>11273301.699999999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-0.23809523809523653</v>
      </c>
      <c r="Q467">
        <f t="shared" si="980"/>
        <v>-2684119.4523809347</v>
      </c>
      <c r="R467">
        <f t="shared" si="981"/>
        <v>-970370356.28299427</v>
      </c>
      <c r="S467">
        <f t="shared" si="982"/>
        <v>-9703.7035628299418</v>
      </c>
      <c r="T467">
        <f t="shared" si="983"/>
        <v>-9.7037035628299417</v>
      </c>
    </row>
    <row r="468" spans="1:20" x14ac:dyDescent="0.25">
      <c r="A468" s="5">
        <v>44125</v>
      </c>
      <c r="B468">
        <v>2.0729999999999998E-2</v>
      </c>
      <c r="C468">
        <v>2.171E-2</v>
      </c>
      <c r="D468">
        <v>2.0209999999999999E-2</v>
      </c>
      <c r="E468">
        <v>2.103E-2</v>
      </c>
      <c r="F468">
        <v>10613374.1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9.3333333333334073E-2</v>
      </c>
      <c r="Q468">
        <f t="shared" si="980"/>
        <v>990581.58266667451</v>
      </c>
      <c r="R468">
        <f t="shared" si="981"/>
        <v>-967686236.83061337</v>
      </c>
      <c r="S468">
        <f t="shared" si="982"/>
        <v>-9676.8623683061342</v>
      </c>
      <c r="T468">
        <f t="shared" si="983"/>
        <v>-9.6768623683061339</v>
      </c>
    </row>
    <row r="469" spans="1:20" x14ac:dyDescent="0.25">
      <c r="A469" s="5">
        <v>44124</v>
      </c>
      <c r="B469">
        <v>2.163E-2</v>
      </c>
      <c r="C469">
        <v>2.1770000000000001E-2</v>
      </c>
      <c r="D469">
        <v>1.976E-2</v>
      </c>
      <c r="E469">
        <v>2.0729999999999998E-2</v>
      </c>
      <c r="F469">
        <v>13596587.699999999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-3.4825870646768176E-2</v>
      </c>
      <c r="Q469">
        <f t="shared" si="980"/>
        <v>-473513.00447763922</v>
      </c>
      <c r="R469">
        <f t="shared" si="981"/>
        <v>-968676818.41328001</v>
      </c>
      <c r="S469">
        <f t="shared" si="982"/>
        <v>-9686.7681841327994</v>
      </c>
      <c r="T469">
        <f t="shared" si="983"/>
        <v>-9.6867681841327986</v>
      </c>
    </row>
    <row r="470" spans="1:20" x14ac:dyDescent="0.25">
      <c r="A470" s="5">
        <v>44123</v>
      </c>
      <c r="B470">
        <v>2.2890000000000001E-2</v>
      </c>
      <c r="C470">
        <v>2.384E-2</v>
      </c>
      <c r="D470">
        <v>2.146E-2</v>
      </c>
      <c r="E470">
        <v>2.1850000000000001E-2</v>
      </c>
      <c r="F470">
        <v>8879260.8000000007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-0.67226890756302404</v>
      </c>
      <c r="Q470">
        <f t="shared" si="980"/>
        <v>-5969250.9579831837</v>
      </c>
      <c r="R470">
        <f t="shared" si="981"/>
        <v>-968203305.40880239</v>
      </c>
      <c r="S470">
        <f t="shared" si="982"/>
        <v>-9682.0330540880241</v>
      </c>
      <c r="T470">
        <f t="shared" si="983"/>
        <v>-9.6820330540880235</v>
      </c>
    </row>
    <row r="471" spans="1:20" x14ac:dyDescent="0.25">
      <c r="A471" s="5">
        <v>44122</v>
      </c>
      <c r="B471">
        <v>2.2079999999999999E-2</v>
      </c>
      <c r="C471">
        <v>2.4309999999999998E-2</v>
      </c>
      <c r="D471">
        <v>2.1659999999999999E-2</v>
      </c>
      <c r="E471">
        <v>2.3029999999999998E-2</v>
      </c>
      <c r="F471">
        <v>11813302.800000001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3.3962264150943326E-2</v>
      </c>
      <c r="Q471">
        <f t="shared" si="980"/>
        <v>401206.51018867845</v>
      </c>
      <c r="R471">
        <f t="shared" si="981"/>
        <v>-962234054.45081925</v>
      </c>
      <c r="S471">
        <f t="shared" si="982"/>
        <v>-9622.3405445081917</v>
      </c>
      <c r="T471">
        <f t="shared" si="983"/>
        <v>-9.6223405445081909</v>
      </c>
    </row>
    <row r="472" spans="1:20" x14ac:dyDescent="0.25">
      <c r="A472" s="5">
        <v>44121</v>
      </c>
      <c r="B472">
        <v>2.095E-2</v>
      </c>
      <c r="C472">
        <v>2.307E-2</v>
      </c>
      <c r="D472">
        <v>2.087E-2</v>
      </c>
      <c r="E472">
        <v>2.2009999999999998E-2</v>
      </c>
      <c r="F472">
        <v>16837644</v>
      </c>
      <c r="G472">
        <v>0</v>
      </c>
      <c r="L472" t="s">
        <v>8</v>
      </c>
      <c r="M472" t="s">
        <v>7</v>
      </c>
      <c r="N472" t="s">
        <v>8</v>
      </c>
      <c r="P472">
        <f t="shared" si="979"/>
        <v>3.636363636363487E-2</v>
      </c>
      <c r="Q472">
        <f t="shared" si="980"/>
        <v>612277.96363633848</v>
      </c>
      <c r="R472">
        <f t="shared" si="981"/>
        <v>-962635260.96100795</v>
      </c>
      <c r="S472">
        <f t="shared" si="982"/>
        <v>-9626.3526096100795</v>
      </c>
      <c r="T472">
        <f t="shared" si="983"/>
        <v>-9.6263526096100787</v>
      </c>
    </row>
    <row r="473" spans="1:20" x14ac:dyDescent="0.25">
      <c r="A473" s="5">
        <v>44120</v>
      </c>
      <c r="B473">
        <v>2.2450000000000001E-2</v>
      </c>
      <c r="C473">
        <v>2.3E-2</v>
      </c>
      <c r="D473">
        <v>2.0879999999999999E-2</v>
      </c>
      <c r="E473">
        <v>2.1080000000000002E-2</v>
      </c>
      <c r="F473">
        <v>8912842.4000000004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-0.81132075471697906</v>
      </c>
      <c r="Q473">
        <f t="shared" si="980"/>
        <v>-7231174.0226414911</v>
      </c>
      <c r="R473">
        <f t="shared" si="981"/>
        <v>-963247538.92464423</v>
      </c>
      <c r="S473">
        <f t="shared" si="982"/>
        <v>-9632.4753892464414</v>
      </c>
      <c r="T473">
        <f t="shared" si="983"/>
        <v>-9.6324753892464408</v>
      </c>
    </row>
    <row r="474" spans="1:20" x14ac:dyDescent="0.25">
      <c r="A474" s="5">
        <v>44119</v>
      </c>
      <c r="B474">
        <v>2.3400000000000001E-2</v>
      </c>
      <c r="C474">
        <v>2.3460000000000002E-2</v>
      </c>
      <c r="D474">
        <v>2.1319999999999999E-2</v>
      </c>
      <c r="E474">
        <v>2.2450000000000001E-2</v>
      </c>
      <c r="F474">
        <v>16706792.5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5.6074766355141067E-2</v>
      </c>
      <c r="Q474">
        <f t="shared" si="980"/>
        <v>936829.48598132317</v>
      </c>
      <c r="R474">
        <f t="shared" si="981"/>
        <v>-956016364.90200269</v>
      </c>
      <c r="S474">
        <f t="shared" si="982"/>
        <v>-9560.1636490200272</v>
      </c>
      <c r="T474">
        <f t="shared" si="983"/>
        <v>-9.5601636490200264</v>
      </c>
    </row>
    <row r="475" spans="1:20" x14ac:dyDescent="0.25">
      <c r="A475" s="5">
        <v>44118</v>
      </c>
      <c r="B475">
        <v>2.4219999999999998E-2</v>
      </c>
      <c r="C475">
        <v>2.5340000000000001E-2</v>
      </c>
      <c r="D475">
        <v>2.3009999999999999E-2</v>
      </c>
      <c r="E475">
        <v>2.3390000000000001E-2</v>
      </c>
      <c r="F475">
        <v>11352269.300000001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-0.67381974248926912</v>
      </c>
      <c r="Q475">
        <f t="shared" si="980"/>
        <v>-7649383.176394836</v>
      </c>
      <c r="R475">
        <f t="shared" si="981"/>
        <v>-956953194.38798404</v>
      </c>
      <c r="S475">
        <f t="shared" si="982"/>
        <v>-9569.5319438798397</v>
      </c>
      <c r="T475">
        <f t="shared" si="983"/>
        <v>-9.5695319438798396</v>
      </c>
    </row>
    <row r="476" spans="1:20" x14ac:dyDescent="0.25">
      <c r="A476" s="5">
        <v>44117</v>
      </c>
      <c r="B476">
        <v>2.444E-2</v>
      </c>
      <c r="C476">
        <v>2.5729999999999999E-2</v>
      </c>
      <c r="D476">
        <v>2.359E-2</v>
      </c>
      <c r="E476">
        <v>2.4240000000000001E-2</v>
      </c>
      <c r="F476">
        <v>12133205.300000001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-0.39252336448597996</v>
      </c>
      <c r="Q476">
        <f t="shared" si="980"/>
        <v>-4762566.5663551241</v>
      </c>
      <c r="R476">
        <f t="shared" si="981"/>
        <v>-949303811.21158922</v>
      </c>
      <c r="S476">
        <f t="shared" si="982"/>
        <v>-9493.0381121158916</v>
      </c>
      <c r="T476">
        <f t="shared" si="983"/>
        <v>-9.493038112115892</v>
      </c>
    </row>
    <row r="477" spans="1:20" x14ac:dyDescent="0.25">
      <c r="A477" s="5">
        <v>44116</v>
      </c>
      <c r="B477">
        <v>2.596E-2</v>
      </c>
      <c r="C477">
        <v>2.6339999999999999E-2</v>
      </c>
      <c r="D477">
        <v>2.385E-2</v>
      </c>
      <c r="E477">
        <v>2.4570000000000002E-2</v>
      </c>
      <c r="F477">
        <v>21178713.300000001</v>
      </c>
      <c r="G477">
        <v>0</v>
      </c>
      <c r="L477" t="s">
        <v>7</v>
      </c>
      <c r="M477" t="s">
        <v>8</v>
      </c>
      <c r="N477" t="s">
        <v>8</v>
      </c>
      <c r="P477">
        <f t="shared" si="979"/>
        <v>-0.42168674698795011</v>
      </c>
      <c r="Q477">
        <f t="shared" si="980"/>
        <v>-8930782.7168674339</v>
      </c>
      <c r="R477">
        <f t="shared" si="981"/>
        <v>-944541244.64523411</v>
      </c>
      <c r="S477">
        <f t="shared" si="982"/>
        <v>-9445.4124464523411</v>
      </c>
      <c r="T477">
        <f t="shared" si="983"/>
        <v>-9.445412446452341</v>
      </c>
    </row>
    <row r="478" spans="1:20" x14ac:dyDescent="0.25">
      <c r="A478" s="5">
        <v>44115</v>
      </c>
      <c r="B478">
        <v>2.5010000000000001E-2</v>
      </c>
      <c r="C478">
        <v>2.7E-2</v>
      </c>
      <c r="D478">
        <v>2.3800000000000002E-2</v>
      </c>
      <c r="E478">
        <v>2.579E-2</v>
      </c>
      <c r="F478">
        <v>25762060.199999999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0.24374999999999997</v>
      </c>
      <c r="Q478">
        <f t="shared" si="980"/>
        <v>6279502.1737499991</v>
      </c>
      <c r="R478">
        <f t="shared" si="981"/>
        <v>-935610461.92836666</v>
      </c>
      <c r="S478">
        <f t="shared" si="982"/>
        <v>-9356.1046192836675</v>
      </c>
      <c r="T478">
        <f t="shared" si="983"/>
        <v>-9.3561046192836681</v>
      </c>
    </row>
    <row r="479" spans="1:20" x14ac:dyDescent="0.25">
      <c r="A479" s="5">
        <v>44114</v>
      </c>
      <c r="B479">
        <v>2.2710000000000001E-2</v>
      </c>
      <c r="C479">
        <v>2.649E-2</v>
      </c>
      <c r="D479">
        <v>2.266E-2</v>
      </c>
      <c r="E479">
        <v>2.4989999999999998E-2</v>
      </c>
      <c r="F479">
        <v>35113964.899999999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0.21671018276762333</v>
      </c>
      <c r="Q479">
        <f t="shared" si="980"/>
        <v>7609553.75117491</v>
      </c>
      <c r="R479">
        <f t="shared" si="981"/>
        <v>-941889964.1021167</v>
      </c>
      <c r="S479">
        <f t="shared" si="982"/>
        <v>-9418.8996410211676</v>
      </c>
      <c r="T479">
        <f t="shared" si="983"/>
        <v>-9.4188996410211683</v>
      </c>
    </row>
    <row r="480" spans="1:20" x14ac:dyDescent="0.25">
      <c r="A480" s="5">
        <v>44113</v>
      </c>
      <c r="B480">
        <v>2.0709999999999999E-2</v>
      </c>
      <c r="C480">
        <v>2.5999999999999999E-2</v>
      </c>
      <c r="D480">
        <v>2.0310000000000002E-2</v>
      </c>
      <c r="E480">
        <v>2.2800000000000001E-2</v>
      </c>
      <c r="F480">
        <v>32662967.699999999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-0.12478031634446383</v>
      </c>
      <c r="Q480">
        <f t="shared" si="980"/>
        <v>-4075695.4423550041</v>
      </c>
      <c r="R480">
        <f t="shared" si="981"/>
        <v>-949499517.85329163</v>
      </c>
      <c r="S480">
        <f t="shared" si="982"/>
        <v>-9494.9951785329158</v>
      </c>
      <c r="T480">
        <f t="shared" si="983"/>
        <v>-9.4949951785329159</v>
      </c>
    </row>
    <row r="481" spans="1:20" x14ac:dyDescent="0.25">
      <c r="A481" s="5">
        <v>44112</v>
      </c>
      <c r="B481">
        <v>2.0469999999999999E-2</v>
      </c>
      <c r="C481">
        <v>2.1000000000000001E-2</v>
      </c>
      <c r="D481">
        <v>1.933E-2</v>
      </c>
      <c r="E481">
        <v>2.078E-2</v>
      </c>
      <c r="F481">
        <v>8416674.5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0.73652694610778291</v>
      </c>
      <c r="Q481">
        <f t="shared" si="980"/>
        <v>6199107.565868251</v>
      </c>
      <c r="R481">
        <f t="shared" si="981"/>
        <v>-945423822.41093659</v>
      </c>
      <c r="S481">
        <f t="shared" si="982"/>
        <v>-9454.2382241093655</v>
      </c>
      <c r="T481">
        <f t="shared" si="983"/>
        <v>-9.4542382241093659</v>
      </c>
    </row>
    <row r="482" spans="1:20" x14ac:dyDescent="0.25">
      <c r="A482" s="5">
        <v>44111</v>
      </c>
      <c r="B482">
        <v>2.0449999999999999E-2</v>
      </c>
      <c r="C482">
        <v>2.0709999999999999E-2</v>
      </c>
      <c r="D482">
        <v>1.966E-2</v>
      </c>
      <c r="E482">
        <v>2.0459999999999999E-2</v>
      </c>
      <c r="F482">
        <v>10353151.300000001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0.52380952380952284</v>
      </c>
      <c r="Q482">
        <f t="shared" si="980"/>
        <v>5423079.2523809429</v>
      </c>
      <c r="R482">
        <f t="shared" si="981"/>
        <v>-951622929.97680485</v>
      </c>
      <c r="S482">
        <f t="shared" si="982"/>
        <v>-9516.2292997680488</v>
      </c>
      <c r="T482">
        <f t="shared" si="983"/>
        <v>-9.5162292997680495</v>
      </c>
    </row>
    <row r="483" spans="1:20" x14ac:dyDescent="0.25">
      <c r="A483" s="5">
        <v>44110</v>
      </c>
      <c r="B483">
        <v>2.2460000000000001E-2</v>
      </c>
      <c r="C483">
        <v>2.4199999999999999E-2</v>
      </c>
      <c r="D483">
        <v>2.034E-2</v>
      </c>
      <c r="E483">
        <v>2.0449999999999999E-2</v>
      </c>
      <c r="F483">
        <v>18827854.899999999</v>
      </c>
      <c r="G483">
        <v>0</v>
      </c>
      <c r="L483" t="s">
        <v>8</v>
      </c>
      <c r="M483" t="s">
        <v>7</v>
      </c>
      <c r="N483" t="s">
        <v>8</v>
      </c>
      <c r="P483">
        <f t="shared" si="979"/>
        <v>-0.94300518134715072</v>
      </c>
      <c r="Q483">
        <f t="shared" si="980"/>
        <v>-17754764.724352337</v>
      </c>
      <c r="R483">
        <f t="shared" si="981"/>
        <v>-957046009.22918582</v>
      </c>
      <c r="S483">
        <f t="shared" si="982"/>
        <v>-9570.460092291858</v>
      </c>
      <c r="T483">
        <f t="shared" si="983"/>
        <v>-9.5704600922918583</v>
      </c>
    </row>
    <row r="484" spans="1:20" x14ac:dyDescent="0.25">
      <c r="A484" s="5">
        <v>44109</v>
      </c>
      <c r="B484">
        <v>2.2270000000000002E-2</v>
      </c>
      <c r="C484">
        <v>2.2880000000000001E-2</v>
      </c>
      <c r="D484">
        <v>2.172E-2</v>
      </c>
      <c r="E484">
        <v>2.2440000000000002E-2</v>
      </c>
      <c r="F484">
        <v>4833340.5</v>
      </c>
      <c r="G484">
        <v>0</v>
      </c>
      <c r="L484" t="s">
        <v>8</v>
      </c>
      <c r="M484" t="s">
        <v>7</v>
      </c>
      <c r="N484" t="s">
        <v>8</v>
      </c>
      <c r="P484">
        <f t="shared" si="979"/>
        <v>0.24137931034482946</v>
      </c>
      <c r="Q484">
        <f t="shared" si="980"/>
        <v>1166668.3965517331</v>
      </c>
      <c r="R484">
        <f t="shared" si="981"/>
        <v>-939291244.50483346</v>
      </c>
      <c r="S484">
        <f t="shared" si="982"/>
        <v>-9392.9124450483341</v>
      </c>
      <c r="T484">
        <f t="shared" si="983"/>
        <v>-9.392912445048335</v>
      </c>
    </row>
    <row r="485" spans="1:20" x14ac:dyDescent="0.25">
      <c r="A485" s="5">
        <v>44108</v>
      </c>
      <c r="B485">
        <v>2.1600000000000001E-2</v>
      </c>
      <c r="C485">
        <v>2.2700000000000001E-2</v>
      </c>
      <c r="D485">
        <v>2.1069999999999998E-2</v>
      </c>
      <c r="E485">
        <v>2.2349999999999998E-2</v>
      </c>
      <c r="F485">
        <v>6952635.2000000002</v>
      </c>
      <c r="G485">
        <v>0</v>
      </c>
      <c r="L485" t="s">
        <v>7</v>
      </c>
      <c r="M485" t="s">
        <v>7</v>
      </c>
      <c r="N485" t="s">
        <v>8</v>
      </c>
      <c r="P485">
        <f t="shared" si="979"/>
        <v>0.57055214723926084</v>
      </c>
      <c r="Q485">
        <f t="shared" si="980"/>
        <v>3966840.942331268</v>
      </c>
      <c r="R485">
        <f t="shared" si="981"/>
        <v>-940457912.90138519</v>
      </c>
      <c r="S485">
        <f t="shared" si="982"/>
        <v>-9404.5791290138513</v>
      </c>
      <c r="T485">
        <f t="shared" si="983"/>
        <v>-9.4045791290138521</v>
      </c>
    </row>
    <row r="486" spans="1:20" x14ac:dyDescent="0.25">
      <c r="A486" s="5">
        <v>44107</v>
      </c>
      <c r="B486">
        <v>2.213E-2</v>
      </c>
      <c r="C486">
        <v>2.308E-2</v>
      </c>
      <c r="D486">
        <v>2.1530000000000001E-2</v>
      </c>
      <c r="E486">
        <v>2.1579999999999998E-2</v>
      </c>
      <c r="F486">
        <v>6878288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-0.93548387096774455</v>
      </c>
      <c r="Q486">
        <f t="shared" si="980"/>
        <v>-6434527.4838709859</v>
      </c>
      <c r="R486">
        <f t="shared" si="981"/>
        <v>-944424753.8437165</v>
      </c>
      <c r="S486">
        <f t="shared" si="982"/>
        <v>-9444.2475384371646</v>
      </c>
      <c r="T486">
        <f t="shared" si="983"/>
        <v>-9.444247538437164</v>
      </c>
    </row>
    <row r="487" spans="1:20" x14ac:dyDescent="0.25">
      <c r="A487" s="5">
        <v>44106</v>
      </c>
      <c r="B487">
        <v>2.4170000000000001E-2</v>
      </c>
      <c r="C487">
        <v>2.435E-2</v>
      </c>
      <c r="D487">
        <v>2.0920000000000001E-2</v>
      </c>
      <c r="E487">
        <v>2.2159999999999999E-2</v>
      </c>
      <c r="F487">
        <v>21205521.300000001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-0.27696793002915543</v>
      </c>
      <c r="Q487">
        <f t="shared" si="980"/>
        <v>-5873249.3396501653</v>
      </c>
      <c r="R487">
        <f t="shared" si="981"/>
        <v>-937990226.35984552</v>
      </c>
      <c r="S487">
        <f t="shared" si="982"/>
        <v>-9379.9022635984547</v>
      </c>
      <c r="T487">
        <f t="shared" si="983"/>
        <v>-9.3799022635984546</v>
      </c>
    </row>
    <row r="488" spans="1:20" x14ac:dyDescent="0.25">
      <c r="A488" s="5">
        <v>44105</v>
      </c>
      <c r="B488">
        <v>2.545E-2</v>
      </c>
      <c r="C488">
        <v>2.7490000000000001E-2</v>
      </c>
      <c r="D488">
        <v>2.3879999999999998E-2</v>
      </c>
      <c r="E488">
        <v>2.426E-2</v>
      </c>
      <c r="F488">
        <v>22111859.600000001</v>
      </c>
      <c r="G488">
        <v>0</v>
      </c>
      <c r="L488" t="s">
        <v>7</v>
      </c>
      <c r="M488" t="s">
        <v>8</v>
      </c>
      <c r="N488" t="s">
        <v>8</v>
      </c>
      <c r="P488">
        <f t="shared" si="979"/>
        <v>-0.78947368421052544</v>
      </c>
      <c r="Q488">
        <f t="shared" si="980"/>
        <v>-17456731.263157878</v>
      </c>
      <c r="R488">
        <f t="shared" si="981"/>
        <v>-932116977.02019536</v>
      </c>
      <c r="S488">
        <f t="shared" si="982"/>
        <v>-9321.1697702019537</v>
      </c>
      <c r="T488">
        <f t="shared" si="983"/>
        <v>-9.3211697702019531</v>
      </c>
    </row>
    <row r="489" spans="1:20" x14ac:dyDescent="0.25">
      <c r="A489" s="5">
        <v>44104</v>
      </c>
      <c r="B489">
        <v>2.3810000000000001E-2</v>
      </c>
      <c r="C489">
        <v>2.7230000000000001E-2</v>
      </c>
      <c r="D489">
        <v>2.2800000000000001E-2</v>
      </c>
      <c r="E489">
        <v>2.545E-2</v>
      </c>
      <c r="F489">
        <v>36814391.399999999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0.19638826185101563</v>
      </c>
      <c r="Q489">
        <f t="shared" si="980"/>
        <v>7229914.3381489776</v>
      </c>
      <c r="R489">
        <f t="shared" si="981"/>
        <v>-914660245.75703752</v>
      </c>
      <c r="S489">
        <f t="shared" si="982"/>
        <v>-9146.6024575703759</v>
      </c>
      <c r="T489">
        <f t="shared" si="983"/>
        <v>-9.1466024575703759</v>
      </c>
    </row>
    <row r="490" spans="1:20" x14ac:dyDescent="0.25">
      <c r="A490" s="5">
        <v>44103</v>
      </c>
      <c r="B490">
        <v>2.4369999999999999E-2</v>
      </c>
      <c r="C490">
        <v>2.5510000000000001E-2</v>
      </c>
      <c r="D490">
        <v>2.2929999999999999E-2</v>
      </c>
      <c r="E490">
        <v>2.3779999999999999E-2</v>
      </c>
      <c r="F490">
        <v>15694366.300000001</v>
      </c>
      <c r="G490">
        <v>0</v>
      </c>
      <c r="L490" t="s">
        <v>7</v>
      </c>
      <c r="M490" t="s">
        <v>8</v>
      </c>
      <c r="N490" t="s">
        <v>8</v>
      </c>
      <c r="P490">
        <f t="shared" si="979"/>
        <v>-0.34108527131783001</v>
      </c>
      <c r="Q490">
        <f t="shared" si="980"/>
        <v>-5353117.1875969078</v>
      </c>
      <c r="R490">
        <f t="shared" si="981"/>
        <v>-921890160.09518647</v>
      </c>
      <c r="S490">
        <f t="shared" si="982"/>
        <v>-9218.9016009518655</v>
      </c>
      <c r="T490">
        <f t="shared" si="983"/>
        <v>-9.2189016009518649</v>
      </c>
    </row>
    <row r="491" spans="1:20" x14ac:dyDescent="0.25">
      <c r="A491" s="5">
        <v>44102</v>
      </c>
      <c r="B491">
        <v>2.3689999999999999E-2</v>
      </c>
      <c r="C491">
        <v>2.615E-2</v>
      </c>
      <c r="D491">
        <v>2.3400000000000001E-2</v>
      </c>
      <c r="E491">
        <v>2.444E-2</v>
      </c>
      <c r="F491">
        <v>26012643.5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-0.2436363636363639</v>
      </c>
      <c r="Q491">
        <f t="shared" si="980"/>
        <v>-6337625.8709090976</v>
      </c>
      <c r="R491">
        <f t="shared" si="981"/>
        <v>-916537042.90758955</v>
      </c>
      <c r="S491">
        <f t="shared" si="982"/>
        <v>-9165.370429075896</v>
      </c>
      <c r="T491">
        <f t="shared" si="983"/>
        <v>-9.1653704290758959</v>
      </c>
    </row>
    <row r="492" spans="1:20" x14ac:dyDescent="0.25">
      <c r="A492" s="5">
        <v>44101</v>
      </c>
      <c r="B492">
        <v>2.3290000000000002E-2</v>
      </c>
      <c r="C492">
        <v>2.4219999999999998E-2</v>
      </c>
      <c r="D492">
        <v>2.1919999999999999E-2</v>
      </c>
      <c r="E492">
        <v>2.3599999999999999E-2</v>
      </c>
      <c r="F492">
        <v>9322900</v>
      </c>
      <c r="G492">
        <v>0</v>
      </c>
      <c r="L492" t="s">
        <v>7</v>
      </c>
      <c r="M492" t="s">
        <v>8</v>
      </c>
      <c r="N492" t="s">
        <v>8</v>
      </c>
      <c r="P492">
        <f t="shared" si="979"/>
        <v>0.46086956521739214</v>
      </c>
      <c r="Q492">
        <f t="shared" si="980"/>
        <v>4296640.8695652252</v>
      </c>
      <c r="R492">
        <f t="shared" si="981"/>
        <v>-910199417.03668046</v>
      </c>
      <c r="S492">
        <f t="shared" si="982"/>
        <v>-9101.9941703668046</v>
      </c>
      <c r="T492">
        <f t="shared" si="983"/>
        <v>-9.1019941703668046</v>
      </c>
    </row>
    <row r="493" spans="1:20" x14ac:dyDescent="0.25">
      <c r="A493" s="5">
        <v>44100</v>
      </c>
      <c r="B493">
        <v>2.3539999999999998E-2</v>
      </c>
      <c r="C493">
        <v>2.4559999999999998E-2</v>
      </c>
      <c r="D493">
        <v>2.2349999999999998E-2</v>
      </c>
      <c r="E493">
        <v>2.3189999999999999E-2</v>
      </c>
      <c r="F493">
        <v>13850386.300000001</v>
      </c>
      <c r="G493">
        <v>0</v>
      </c>
      <c r="L493" t="s">
        <v>7</v>
      </c>
      <c r="M493" t="s">
        <v>8</v>
      </c>
      <c r="N493" t="s">
        <v>8</v>
      </c>
      <c r="P493">
        <f t="shared" si="979"/>
        <v>-0.2398190045248865</v>
      </c>
      <c r="Q493">
        <f t="shared" si="980"/>
        <v>-3321585.8547511259</v>
      </c>
      <c r="R493">
        <f t="shared" si="981"/>
        <v>-914496057.90624571</v>
      </c>
      <c r="S493">
        <f t="shared" si="982"/>
        <v>-9144.9605790624573</v>
      </c>
      <c r="T493">
        <f t="shared" si="983"/>
        <v>-9.1449605790624577</v>
      </c>
    </row>
    <row r="494" spans="1:20" x14ac:dyDescent="0.25">
      <c r="A494" s="5">
        <v>44099</v>
      </c>
      <c r="B494">
        <v>2.1930000000000002E-2</v>
      </c>
      <c r="C494">
        <v>2.4500000000000001E-2</v>
      </c>
      <c r="D494">
        <v>2.1579999999999998E-2</v>
      </c>
      <c r="E494">
        <v>2.35E-2</v>
      </c>
      <c r="F494">
        <v>28628757.100000001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0.31506849315068491</v>
      </c>
      <c r="Q494">
        <f t="shared" si="980"/>
        <v>9020019.3602739722</v>
      </c>
      <c r="R494">
        <f t="shared" si="981"/>
        <v>-911174472.0514946</v>
      </c>
      <c r="S494">
        <f t="shared" si="982"/>
        <v>-9111.7447205149456</v>
      </c>
      <c r="T494">
        <f t="shared" si="983"/>
        <v>-9.1117447205149453</v>
      </c>
    </row>
    <row r="495" spans="1:20" x14ac:dyDescent="0.25">
      <c r="A495" s="5">
        <v>44098</v>
      </c>
      <c r="B495">
        <v>1.9310000000000001E-2</v>
      </c>
      <c r="C495">
        <v>2.2950000000000002E-2</v>
      </c>
      <c r="D495">
        <v>1.9140000000000001E-2</v>
      </c>
      <c r="E495">
        <v>2.1930000000000002E-2</v>
      </c>
      <c r="F495">
        <v>23305585.899999999</v>
      </c>
      <c r="G495">
        <v>0</v>
      </c>
      <c r="L495" t="s">
        <v>8</v>
      </c>
      <c r="M495" t="s">
        <v>8</v>
      </c>
      <c r="N495" t="s">
        <v>8</v>
      </c>
      <c r="P495">
        <f t="shared" si="979"/>
        <v>0.46456692913385833</v>
      </c>
      <c r="Q495">
        <f t="shared" si="980"/>
        <v>10827004.473228347</v>
      </c>
      <c r="R495">
        <f t="shared" si="981"/>
        <v>-920194491.41176856</v>
      </c>
      <c r="S495">
        <f t="shared" si="982"/>
        <v>-9201.9449141176847</v>
      </c>
      <c r="T495">
        <f t="shared" si="983"/>
        <v>-9.2019449141176839</v>
      </c>
    </row>
    <row r="496" spans="1:20" x14ac:dyDescent="0.25">
      <c r="A496" s="5">
        <v>44097</v>
      </c>
      <c r="B496">
        <v>2.179E-2</v>
      </c>
      <c r="C496">
        <v>2.206E-2</v>
      </c>
      <c r="D496">
        <v>1.907E-2</v>
      </c>
      <c r="E496">
        <v>1.9300000000000001E-2</v>
      </c>
      <c r="F496">
        <v>8418488.5999999996</v>
      </c>
      <c r="G496">
        <v>0</v>
      </c>
      <c r="L496" t="s">
        <v>7</v>
      </c>
      <c r="M496" t="s">
        <v>7</v>
      </c>
      <c r="N496" t="s">
        <v>8</v>
      </c>
      <c r="P496">
        <f t="shared" si="979"/>
        <v>-0.84615384615384548</v>
      </c>
      <c r="Q496">
        <f t="shared" si="980"/>
        <v>-7123336.5076923016</v>
      </c>
      <c r="R496">
        <f t="shared" si="981"/>
        <v>-931021495.88499689</v>
      </c>
      <c r="S496">
        <f t="shared" si="982"/>
        <v>-9310.2149588499688</v>
      </c>
      <c r="T496">
        <f t="shared" si="983"/>
        <v>-9.3102149588499685</v>
      </c>
    </row>
    <row r="497" spans="1:20" x14ac:dyDescent="0.25">
      <c r="A497" s="5">
        <v>44096</v>
      </c>
      <c r="B497">
        <v>2.044E-2</v>
      </c>
      <c r="C497">
        <v>2.2939999999999999E-2</v>
      </c>
      <c r="D497">
        <v>1.976E-2</v>
      </c>
      <c r="E497">
        <v>2.18E-2</v>
      </c>
      <c r="F497">
        <v>23540043.300000001</v>
      </c>
      <c r="G497">
        <v>0</v>
      </c>
      <c r="L497" t="s">
        <v>8</v>
      </c>
      <c r="M497" t="s">
        <v>8</v>
      </c>
      <c r="N497" t="s">
        <v>8</v>
      </c>
      <c r="P497">
        <f t="shared" si="979"/>
        <v>0.28301886792452891</v>
      </c>
      <c r="Q497">
        <f t="shared" si="980"/>
        <v>6662276.4056603918</v>
      </c>
      <c r="R497">
        <f t="shared" si="981"/>
        <v>-923898159.37730455</v>
      </c>
      <c r="S497">
        <f t="shared" si="982"/>
        <v>-9238.9815937730455</v>
      </c>
      <c r="T497">
        <f t="shared" si="983"/>
        <v>-9.2389815937730457</v>
      </c>
    </row>
    <row r="498" spans="1:20" x14ac:dyDescent="0.25">
      <c r="A498" s="5">
        <v>44095</v>
      </c>
      <c r="B498">
        <v>2.4109999999999999E-2</v>
      </c>
      <c r="C498">
        <v>2.9139999999999999E-2</v>
      </c>
      <c r="D498">
        <v>1.515E-2</v>
      </c>
      <c r="E498">
        <v>2.0449999999999999E-2</v>
      </c>
      <c r="F498">
        <v>38300484.299999997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-0.24231593995711229</v>
      </c>
      <c r="Q498">
        <f t="shared" si="980"/>
        <v>-9280817.8539671209</v>
      </c>
      <c r="R498">
        <f t="shared" si="981"/>
        <v>-930560435.78296494</v>
      </c>
      <c r="S498">
        <f t="shared" si="982"/>
        <v>-9305.6043578296503</v>
      </c>
      <c r="T498">
        <f t="shared" si="983"/>
        <v>-9.305604357829651</v>
      </c>
    </row>
    <row r="499" spans="1:20" x14ac:dyDescent="0.25">
      <c r="A499" s="5">
        <v>44094</v>
      </c>
      <c r="B499">
        <v>2.6259999999999999E-2</v>
      </c>
      <c r="C499">
        <v>2.6919999999999999E-2</v>
      </c>
      <c r="D499">
        <v>2.35E-2</v>
      </c>
      <c r="E499">
        <v>2.4129999999999999E-2</v>
      </c>
      <c r="F499">
        <v>18006557.699999999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-0.63157894736842179</v>
      </c>
      <c r="Q499">
        <f t="shared" si="980"/>
        <v>-11372562.757894749</v>
      </c>
      <c r="R499">
        <f t="shared" si="981"/>
        <v>-921279617.92899787</v>
      </c>
      <c r="S499">
        <f t="shared" si="982"/>
        <v>-9212.7961792899787</v>
      </c>
      <c r="T499">
        <f t="shared" si="983"/>
        <v>-9.2127961792899793</v>
      </c>
    </row>
    <row r="500" spans="1:20" x14ac:dyDescent="0.25">
      <c r="A500" s="5">
        <v>44093</v>
      </c>
      <c r="B500">
        <v>2.5149999999999999E-2</v>
      </c>
      <c r="C500">
        <v>2.6519999999999998E-2</v>
      </c>
      <c r="D500">
        <v>2.4799999999999999E-2</v>
      </c>
      <c r="E500">
        <v>2.6069999999999999E-2</v>
      </c>
      <c r="F500">
        <v>6631094.0999999996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0.47674418604651259</v>
      </c>
      <c r="Q500">
        <f t="shared" si="980"/>
        <v>3161335.5593023319</v>
      </c>
      <c r="R500">
        <f t="shared" si="981"/>
        <v>-909907055.17110312</v>
      </c>
      <c r="S500">
        <f t="shared" si="982"/>
        <v>-9099.0705517110309</v>
      </c>
      <c r="T500">
        <f t="shared" si="983"/>
        <v>-9.0990705517110317</v>
      </c>
    </row>
    <row r="501" spans="1:20" x14ac:dyDescent="0.25">
      <c r="A501" s="5">
        <v>44092</v>
      </c>
      <c r="B501">
        <v>2.572E-2</v>
      </c>
      <c r="C501">
        <v>2.7560000000000001E-2</v>
      </c>
      <c r="D501">
        <v>2.4590000000000001E-2</v>
      </c>
      <c r="E501">
        <v>2.5149999999999999E-2</v>
      </c>
      <c r="F501">
        <v>12048566.199999999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-0.62289562289562428</v>
      </c>
      <c r="Q501">
        <f t="shared" si="980"/>
        <v>-7504999.1481481642</v>
      </c>
      <c r="R501">
        <f t="shared" si="981"/>
        <v>-913068390.73040545</v>
      </c>
      <c r="S501">
        <f t="shared" si="982"/>
        <v>-9130.6839073040537</v>
      </c>
      <c r="T501">
        <f t="shared" si="983"/>
        <v>-9.1306839073040535</v>
      </c>
    </row>
    <row r="502" spans="1:20" x14ac:dyDescent="0.25">
      <c r="A502" s="5">
        <v>44091</v>
      </c>
      <c r="B502">
        <v>2.5190000000000001E-2</v>
      </c>
      <c r="C502">
        <v>2.777E-2</v>
      </c>
      <c r="D502">
        <v>2.4250000000000001E-2</v>
      </c>
      <c r="E502">
        <v>2.572E-2</v>
      </c>
      <c r="F502">
        <v>24096683.699999999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-0.16477272727272751</v>
      </c>
      <c r="Q502">
        <f t="shared" si="980"/>
        <v>-3970476.2914772783</v>
      </c>
      <c r="R502">
        <f t="shared" si="981"/>
        <v>-905563391.58225727</v>
      </c>
      <c r="S502">
        <f t="shared" si="982"/>
        <v>-9055.6339158225728</v>
      </c>
      <c r="T502">
        <f t="shared" si="983"/>
        <v>-9.0556339158225736</v>
      </c>
    </row>
    <row r="503" spans="1:20" x14ac:dyDescent="0.25">
      <c r="A503" s="5">
        <v>44090</v>
      </c>
      <c r="B503">
        <v>2.6849999999999999E-2</v>
      </c>
      <c r="C503">
        <v>2.759E-2</v>
      </c>
      <c r="D503">
        <v>2.4760000000000001E-2</v>
      </c>
      <c r="E503">
        <v>2.52E-2</v>
      </c>
      <c r="F503">
        <v>20404013.399999999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-0.68904593639576006</v>
      </c>
      <c r="Q503">
        <f t="shared" si="980"/>
        <v>-14059302.519434635</v>
      </c>
      <c r="R503">
        <f t="shared" si="981"/>
        <v>-901592915.29077995</v>
      </c>
      <c r="S503">
        <f t="shared" si="982"/>
        <v>-9015.9291529078</v>
      </c>
      <c r="T503">
        <f t="shared" si="983"/>
        <v>-9.0159291529078001</v>
      </c>
    </row>
    <row r="504" spans="1:20" x14ac:dyDescent="0.25">
      <c r="A504" s="5">
        <v>44089</v>
      </c>
      <c r="B504">
        <v>3.0470000000000001E-2</v>
      </c>
      <c r="C504">
        <v>3.0960000000000001E-2</v>
      </c>
      <c r="D504">
        <v>2.683E-2</v>
      </c>
      <c r="E504">
        <v>2.6839999999999999E-2</v>
      </c>
      <c r="F504">
        <v>25469225.600000001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-0.99515738498789363</v>
      </c>
      <c r="Q504">
        <f t="shared" si="980"/>
        <v>-25345887.945762716</v>
      </c>
      <c r="R504">
        <f t="shared" si="981"/>
        <v>-887533612.77134526</v>
      </c>
      <c r="S504">
        <f t="shared" si="982"/>
        <v>-8875.3361277134518</v>
      </c>
      <c r="T504">
        <f t="shared" si="983"/>
        <v>-8.8753361277134513</v>
      </c>
    </row>
    <row r="505" spans="1:20" x14ac:dyDescent="0.25">
      <c r="A505" s="5">
        <v>44088</v>
      </c>
      <c r="B505">
        <v>3.1609999999999999E-2</v>
      </c>
      <c r="C505">
        <v>3.2509999999999997E-2</v>
      </c>
      <c r="D505">
        <v>3.0169999999999999E-2</v>
      </c>
      <c r="E505">
        <v>3.0499999999999999E-2</v>
      </c>
      <c r="F505">
        <v>13350584.4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-0.7179487179487174</v>
      </c>
      <c r="Q505">
        <f t="shared" si="980"/>
        <v>-9585034.9538461473</v>
      </c>
      <c r="R505">
        <f t="shared" si="981"/>
        <v>-862187724.8255825</v>
      </c>
      <c r="S505">
        <f t="shared" si="982"/>
        <v>-8621.8772482558252</v>
      </c>
      <c r="T505">
        <f t="shared" si="983"/>
        <v>-8.6218772482558244</v>
      </c>
    </row>
    <row r="506" spans="1:20" x14ac:dyDescent="0.25">
      <c r="A506" s="5">
        <v>44087</v>
      </c>
      <c r="B506">
        <v>3.5560000000000001E-2</v>
      </c>
      <c r="C506">
        <v>3.6220000000000002E-2</v>
      </c>
      <c r="D506">
        <v>2.9940000000000001E-2</v>
      </c>
      <c r="E506">
        <v>3.159E-2</v>
      </c>
      <c r="F506">
        <v>25069782.100000001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-0.47452229299363108</v>
      </c>
      <c r="Q506">
        <f t="shared" si="980"/>
        <v>-11896170.486942688</v>
      </c>
      <c r="R506">
        <f t="shared" si="981"/>
        <v>-852602689.87173641</v>
      </c>
      <c r="S506">
        <f t="shared" si="982"/>
        <v>-8526.026898717364</v>
      </c>
      <c r="T506">
        <f t="shared" si="983"/>
        <v>-8.5260268987173635</v>
      </c>
    </row>
    <row r="507" spans="1:20" x14ac:dyDescent="0.25">
      <c r="A507" s="5">
        <v>44086</v>
      </c>
      <c r="B507">
        <v>3.2340000000000001E-2</v>
      </c>
      <c r="C507">
        <v>3.7220000000000003E-2</v>
      </c>
      <c r="D507">
        <v>3.1809999999999998E-2</v>
      </c>
      <c r="E507">
        <v>3.5680000000000003E-2</v>
      </c>
      <c r="F507">
        <v>23639672.800000001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0.43068391866913186</v>
      </c>
      <c r="Q507">
        <f t="shared" si="980"/>
        <v>10181226.917560089</v>
      </c>
      <c r="R507">
        <f t="shared" si="981"/>
        <v>-840706519.38479376</v>
      </c>
      <c r="S507">
        <f t="shared" si="982"/>
        <v>-8407.0651938479368</v>
      </c>
      <c r="T507">
        <f t="shared" si="983"/>
        <v>-8.4070651938479362</v>
      </c>
    </row>
    <row r="508" spans="1:20" x14ac:dyDescent="0.25">
      <c r="A508" s="5">
        <v>44085</v>
      </c>
      <c r="B508">
        <v>3.3550000000000003E-2</v>
      </c>
      <c r="C508">
        <v>3.3980000000000003E-2</v>
      </c>
      <c r="D508">
        <v>3.0589999999999999E-2</v>
      </c>
      <c r="E508">
        <v>3.2320000000000002E-2</v>
      </c>
      <c r="F508">
        <v>18734932.600000001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2.0648967551622575E-2</v>
      </c>
      <c r="Q508">
        <f t="shared" si="980"/>
        <v>386857.01533923601</v>
      </c>
      <c r="R508">
        <f t="shared" si="981"/>
        <v>-850887746.30235386</v>
      </c>
      <c r="S508">
        <f t="shared" si="982"/>
        <v>-8508.8774630235384</v>
      </c>
      <c r="T508">
        <f t="shared" si="983"/>
        <v>-8.5088774630235378</v>
      </c>
    </row>
    <row r="509" spans="1:20" x14ac:dyDescent="0.25">
      <c r="A509" s="5">
        <v>44084</v>
      </c>
      <c r="B509">
        <v>3.0839999999999999E-2</v>
      </c>
      <c r="C509">
        <v>3.5900000000000001E-2</v>
      </c>
      <c r="D509">
        <v>3.0839999999999999E-2</v>
      </c>
      <c r="E509">
        <v>3.3550000000000003E-2</v>
      </c>
      <c r="F509">
        <v>28158611.199999999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7.1146245059289723E-2</v>
      </c>
      <c r="Q509">
        <f t="shared" si="980"/>
        <v>2003379.4529644602</v>
      </c>
      <c r="R509">
        <f t="shared" si="981"/>
        <v>-851274603.31769311</v>
      </c>
      <c r="S509">
        <f t="shared" si="982"/>
        <v>-8512.7460331769307</v>
      </c>
      <c r="T509">
        <f t="shared" si="983"/>
        <v>-8.5127460331769313</v>
      </c>
    </row>
    <row r="510" spans="1:20" x14ac:dyDescent="0.25">
      <c r="A510" s="5">
        <v>44083</v>
      </c>
      <c r="B510">
        <v>2.9729999999999999E-2</v>
      </c>
      <c r="C510">
        <v>3.286E-2</v>
      </c>
      <c r="D510">
        <v>2.8660000000000001E-2</v>
      </c>
      <c r="E510">
        <v>3.0779999999999998E-2</v>
      </c>
      <c r="F510">
        <v>27328958.300000001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9.5238095238083121E-3</v>
      </c>
      <c r="Q510">
        <f t="shared" si="980"/>
        <v>260275.79333330021</v>
      </c>
      <c r="R510">
        <f t="shared" si="981"/>
        <v>-853277982.77065754</v>
      </c>
      <c r="S510">
        <f t="shared" si="982"/>
        <v>-8532.7798277065758</v>
      </c>
      <c r="T510">
        <f t="shared" si="983"/>
        <v>-8.5327798277065749</v>
      </c>
    </row>
    <row r="511" spans="1:20" x14ac:dyDescent="0.25">
      <c r="A511" s="5">
        <v>44082</v>
      </c>
      <c r="B511">
        <v>3.0679999999999999E-2</v>
      </c>
      <c r="C511">
        <v>3.3410000000000002E-2</v>
      </c>
      <c r="D511">
        <v>2.835E-2</v>
      </c>
      <c r="E511">
        <v>2.9819999999999999E-2</v>
      </c>
      <c r="F511">
        <v>22878805.199999999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-0.41897233201581086</v>
      </c>
      <c r="Q511">
        <f t="shared" si="980"/>
        <v>-9585586.3683794588</v>
      </c>
      <c r="R511">
        <f t="shared" si="981"/>
        <v>-853538258.56399083</v>
      </c>
      <c r="S511">
        <f t="shared" si="982"/>
        <v>-8535.3825856399089</v>
      </c>
      <c r="T511">
        <f t="shared" si="983"/>
        <v>-8.5353825856399084</v>
      </c>
    </row>
    <row r="512" spans="1:20" x14ac:dyDescent="0.25">
      <c r="A512" s="5">
        <v>44081</v>
      </c>
      <c r="B512">
        <v>3.1530000000000002E-2</v>
      </c>
      <c r="C512">
        <v>3.1910000000000001E-2</v>
      </c>
      <c r="D512">
        <v>2.6839999999999999E-2</v>
      </c>
      <c r="E512">
        <v>3.0679999999999999E-2</v>
      </c>
      <c r="F512">
        <v>26920511.399999999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0.51479289940828343</v>
      </c>
      <c r="Q512">
        <f t="shared" si="980"/>
        <v>13858488.117159747</v>
      </c>
      <c r="R512">
        <f t="shared" si="981"/>
        <v>-843952672.19561136</v>
      </c>
      <c r="S512">
        <f t="shared" si="982"/>
        <v>-8439.5267219561138</v>
      </c>
      <c r="T512">
        <f t="shared" si="983"/>
        <v>-8.4395267219561134</v>
      </c>
    </row>
    <row r="513" spans="1:20" x14ac:dyDescent="0.25">
      <c r="A513" s="5">
        <v>44080</v>
      </c>
      <c r="B513">
        <v>2.9489999999999999E-2</v>
      </c>
      <c r="C513">
        <v>3.1940000000000003E-2</v>
      </c>
      <c r="D513">
        <v>2.5999999999999999E-2</v>
      </c>
      <c r="E513">
        <v>3.1460000000000002E-2</v>
      </c>
      <c r="F513">
        <v>26666322.5</v>
      </c>
      <c r="G513">
        <v>0</v>
      </c>
      <c r="L513" t="s">
        <v>7</v>
      </c>
      <c r="M513" t="s">
        <v>8</v>
      </c>
      <c r="N513" t="s">
        <v>7</v>
      </c>
      <c r="P513">
        <f t="shared" si="979"/>
        <v>0.83838383838383812</v>
      </c>
      <c r="Q513">
        <f t="shared" si="980"/>
        <v>22356613.813131306</v>
      </c>
      <c r="R513">
        <f t="shared" si="981"/>
        <v>-857811160.31277108</v>
      </c>
      <c r="S513">
        <f t="shared" si="982"/>
        <v>-8578.1116031277106</v>
      </c>
      <c r="T513">
        <f t="shared" si="983"/>
        <v>-8.5781116031277111</v>
      </c>
    </row>
    <row r="514" spans="1:20" x14ac:dyDescent="0.25">
      <c r="A514" s="5">
        <v>44079</v>
      </c>
      <c r="B514">
        <v>3.6839999999999998E-2</v>
      </c>
      <c r="C514">
        <v>3.807E-2</v>
      </c>
      <c r="D514">
        <v>2.639E-2</v>
      </c>
      <c r="E514">
        <v>2.9510000000000002E-2</v>
      </c>
      <c r="F514">
        <v>26124848.199999999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-0.465753424657534</v>
      </c>
      <c r="Q514">
        <f t="shared" si="980"/>
        <v>-12167737.517808212</v>
      </c>
      <c r="R514">
        <f t="shared" si="981"/>
        <v>-880167774.12590241</v>
      </c>
      <c r="S514">
        <f t="shared" si="982"/>
        <v>-8801.6777412590236</v>
      </c>
      <c r="T514">
        <f t="shared" si="983"/>
        <v>-8.8016777412590237</v>
      </c>
    </row>
    <row r="515" spans="1:20" x14ac:dyDescent="0.25">
      <c r="A515" s="5">
        <v>44078</v>
      </c>
      <c r="B515">
        <v>3.3430000000000001E-2</v>
      </c>
      <c r="C515">
        <v>3.977E-2</v>
      </c>
      <c r="D515">
        <v>3.2759999999999997E-2</v>
      </c>
      <c r="E515">
        <v>3.6920000000000001E-2</v>
      </c>
      <c r="F515">
        <v>30136405.800000001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0.18687589158345294</v>
      </c>
      <c r="Q515">
        <f t="shared" si="980"/>
        <v>5631767.7029957427</v>
      </c>
      <c r="R515">
        <f t="shared" si="981"/>
        <v>-868000036.60809422</v>
      </c>
      <c r="S515">
        <f t="shared" si="982"/>
        <v>-8680.0003660809416</v>
      </c>
      <c r="T515">
        <f t="shared" si="983"/>
        <v>-8.6800003660809413</v>
      </c>
    </row>
    <row r="516" spans="1:20" x14ac:dyDescent="0.25">
      <c r="A516" s="5">
        <v>44077</v>
      </c>
      <c r="B516">
        <v>4.4600000000000001E-2</v>
      </c>
      <c r="C516">
        <v>4.65E-2</v>
      </c>
      <c r="D516">
        <v>3.218E-2</v>
      </c>
      <c r="E516">
        <v>3.3320000000000002E-2</v>
      </c>
      <c r="F516">
        <v>48219769.899999999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-0.84078212290502763</v>
      </c>
      <c r="Q516">
        <f t="shared" si="980"/>
        <v>-40542320.502513953</v>
      </c>
      <c r="R516">
        <f t="shared" si="981"/>
        <v>-873631804.31108999</v>
      </c>
      <c r="S516">
        <f t="shared" si="982"/>
        <v>-8736.3180431108995</v>
      </c>
      <c r="T516">
        <f t="shared" si="983"/>
        <v>-8.7363180431108987</v>
      </c>
    </row>
    <row r="517" spans="1:20" x14ac:dyDescent="0.25">
      <c r="A517" s="5">
        <v>44076</v>
      </c>
      <c r="B517">
        <v>4.929E-2</v>
      </c>
      <c r="C517">
        <v>5.0209999999999998E-2</v>
      </c>
      <c r="D517">
        <v>4.1570000000000003E-2</v>
      </c>
      <c r="E517">
        <v>4.4609999999999997E-2</v>
      </c>
      <c r="F517">
        <v>41361563.799999997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-0.29629629629629722</v>
      </c>
      <c r="Q517">
        <f t="shared" si="980"/>
        <v>-12255278.162963001</v>
      </c>
      <c r="R517">
        <f t="shared" si="981"/>
        <v>-833089483.80857599</v>
      </c>
      <c r="S517">
        <f t="shared" si="982"/>
        <v>-8330.8948380857601</v>
      </c>
      <c r="T517">
        <f t="shared" si="983"/>
        <v>-8.3308948380857597</v>
      </c>
    </row>
    <row r="518" spans="1:20" x14ac:dyDescent="0.25">
      <c r="A518" s="5">
        <v>44075</v>
      </c>
      <c r="B518">
        <v>5.3710000000000001E-2</v>
      </c>
      <c r="C518">
        <v>5.3719999999999997E-2</v>
      </c>
      <c r="D518">
        <v>4.8719999999999999E-2</v>
      </c>
      <c r="E518">
        <v>4.9299999999999997E-2</v>
      </c>
      <c r="F518">
        <v>33150967.5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-0.76800000000000102</v>
      </c>
      <c r="Q518">
        <f t="shared" ref="Q518:Q581" si="985">F518*P518</f>
        <v>-25459943.040000033</v>
      </c>
      <c r="R518">
        <f t="shared" ref="R518:R581" si="986">R519+Q518</f>
        <v>-820834205.64561296</v>
      </c>
      <c r="S518">
        <f t="shared" ref="S518:S581" si="987">R518/100000</f>
        <v>-8208.3420564561293</v>
      </c>
      <c r="T518">
        <f t="shared" ref="T518:T581" si="988">S518/1000</f>
        <v>-8.2083420564561287</v>
      </c>
    </row>
    <row r="519" spans="1:20" x14ac:dyDescent="0.25">
      <c r="A519" s="5">
        <v>44074</v>
      </c>
      <c r="B519">
        <v>5.5550000000000002E-2</v>
      </c>
      <c r="C519">
        <v>5.919E-2</v>
      </c>
      <c r="D519">
        <v>5.2389999999999999E-2</v>
      </c>
      <c r="E519">
        <v>5.3620000000000001E-2</v>
      </c>
      <c r="F519">
        <v>26550694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-0.63823529411764657</v>
      </c>
      <c r="Q519">
        <f t="shared" si="985"/>
        <v>-16945589.994117633</v>
      </c>
      <c r="R519">
        <f t="shared" si="986"/>
        <v>-795374262.60561287</v>
      </c>
      <c r="S519">
        <f t="shared" si="987"/>
        <v>-7953.7426260561288</v>
      </c>
      <c r="T519">
        <f t="shared" si="988"/>
        <v>-7.9537426260561288</v>
      </c>
    </row>
    <row r="520" spans="1:20" x14ac:dyDescent="0.25">
      <c r="A520" s="5">
        <v>44073</v>
      </c>
      <c r="B520">
        <v>5.0529999999999999E-2</v>
      </c>
      <c r="C520">
        <v>5.7430000000000002E-2</v>
      </c>
      <c r="D520">
        <v>5.0299999999999997E-2</v>
      </c>
      <c r="E520">
        <v>5.5550000000000002E-2</v>
      </c>
      <c r="F520">
        <v>32486216.399999999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0.4726507713884997</v>
      </c>
      <c r="Q520">
        <f t="shared" si="985"/>
        <v>15354635.240953729</v>
      </c>
      <c r="R520">
        <f t="shared" si="986"/>
        <v>-778428672.61149526</v>
      </c>
      <c r="S520">
        <f t="shared" si="987"/>
        <v>-7784.2867261149522</v>
      </c>
      <c r="T520">
        <f t="shared" si="988"/>
        <v>-7.784286726114952</v>
      </c>
    </row>
    <row r="521" spans="1:20" x14ac:dyDescent="0.25">
      <c r="A521" s="5">
        <v>44072</v>
      </c>
      <c r="B521">
        <v>5.3600000000000002E-2</v>
      </c>
      <c r="C521">
        <v>5.364E-2</v>
      </c>
      <c r="D521">
        <v>4.981E-2</v>
      </c>
      <c r="E521">
        <v>5.0630000000000001E-2</v>
      </c>
      <c r="F521">
        <v>22688437</v>
      </c>
      <c r="G521">
        <v>0</v>
      </c>
      <c r="L521" t="s">
        <v>7</v>
      </c>
      <c r="M521" t="s">
        <v>7</v>
      </c>
      <c r="N521" t="s">
        <v>7</v>
      </c>
      <c r="P521">
        <f t="shared" si="984"/>
        <v>-0.57180156657963377</v>
      </c>
      <c r="Q521">
        <f t="shared" si="985"/>
        <v>-12973283.819843326</v>
      </c>
      <c r="R521">
        <f t="shared" si="986"/>
        <v>-793783307.85244894</v>
      </c>
      <c r="S521">
        <f t="shared" si="987"/>
        <v>-7937.8330785244898</v>
      </c>
      <c r="T521">
        <f t="shared" si="988"/>
        <v>-7.9378330785244895</v>
      </c>
    </row>
    <row r="522" spans="1:20" x14ac:dyDescent="0.25">
      <c r="A522" s="5">
        <v>44071</v>
      </c>
      <c r="B522">
        <v>5.0279999999999998E-2</v>
      </c>
      <c r="C522">
        <v>5.586E-2</v>
      </c>
      <c r="D522">
        <v>4.9500000000000002E-2</v>
      </c>
      <c r="E522">
        <v>5.3600000000000002E-2</v>
      </c>
      <c r="F522">
        <v>21756417.399999999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0.28930817610062926</v>
      </c>
      <c r="Q522">
        <f t="shared" si="985"/>
        <v>6294309.4364779936</v>
      </c>
      <c r="R522">
        <f t="shared" si="986"/>
        <v>-780810024.03260565</v>
      </c>
      <c r="S522">
        <f t="shared" si="987"/>
        <v>-7808.1002403260563</v>
      </c>
      <c r="T522">
        <f t="shared" si="988"/>
        <v>-7.8081002403260564</v>
      </c>
    </row>
    <row r="523" spans="1:20" x14ac:dyDescent="0.25">
      <c r="A523" s="5">
        <v>44070</v>
      </c>
      <c r="B523">
        <v>5.4989999999999997E-2</v>
      </c>
      <c r="C523">
        <v>5.5899999999999998E-2</v>
      </c>
      <c r="D523">
        <v>4.7809999999999998E-2</v>
      </c>
      <c r="E523">
        <v>5.0279999999999998E-2</v>
      </c>
      <c r="F523">
        <v>23483924.399999999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-0.38936959208899879</v>
      </c>
      <c r="Q523">
        <f t="shared" si="985"/>
        <v>-9143926.0642768852</v>
      </c>
      <c r="R523">
        <f t="shared" si="986"/>
        <v>-787104333.46908367</v>
      </c>
      <c r="S523">
        <f t="shared" si="987"/>
        <v>-7871.0433346908367</v>
      </c>
      <c r="T523">
        <f t="shared" si="988"/>
        <v>-7.8710433346908371</v>
      </c>
    </row>
    <row r="524" spans="1:20" x14ac:dyDescent="0.25">
      <c r="A524" s="5">
        <v>44069</v>
      </c>
      <c r="B524">
        <v>5.6689999999999997E-2</v>
      </c>
      <c r="C524">
        <v>5.765E-2</v>
      </c>
      <c r="D524">
        <v>5.2600000000000001E-2</v>
      </c>
      <c r="E524">
        <v>5.4989999999999997E-2</v>
      </c>
      <c r="F524">
        <v>47674158.899999999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-5.3465346534654734E-2</v>
      </c>
      <c r="Q524">
        <f t="shared" si="985"/>
        <v>-2548915.426336694</v>
      </c>
      <c r="R524">
        <f t="shared" si="986"/>
        <v>-777960407.40480673</v>
      </c>
      <c r="S524">
        <f t="shared" si="987"/>
        <v>-7779.6040740480676</v>
      </c>
      <c r="T524">
        <f t="shared" si="988"/>
        <v>-7.7796040740480672</v>
      </c>
    </row>
    <row r="525" spans="1:20" x14ac:dyDescent="0.25">
      <c r="A525" s="5">
        <v>44068</v>
      </c>
      <c r="B525">
        <v>6.3039999999999999E-2</v>
      </c>
      <c r="C525">
        <v>6.3409999999999994E-2</v>
      </c>
      <c r="D525">
        <v>5.2659999999999998E-2</v>
      </c>
      <c r="E525">
        <v>5.6460000000000003E-2</v>
      </c>
      <c r="F525">
        <v>25208488.300000001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-0.29302325581395233</v>
      </c>
      <c r="Q525">
        <f t="shared" si="985"/>
        <v>-7386673.3158139242</v>
      </c>
      <c r="R525">
        <f t="shared" si="986"/>
        <v>-775411491.97847009</v>
      </c>
      <c r="S525">
        <f t="shared" si="987"/>
        <v>-7754.1149197847008</v>
      </c>
      <c r="T525">
        <f t="shared" si="988"/>
        <v>-7.7541149197847004</v>
      </c>
    </row>
    <row r="526" spans="1:20" x14ac:dyDescent="0.25">
      <c r="A526" s="5">
        <v>44067</v>
      </c>
      <c r="B526">
        <v>6.1159999999999999E-2</v>
      </c>
      <c r="C526">
        <v>7.0620000000000002E-2</v>
      </c>
      <c r="D526">
        <v>5.901E-2</v>
      </c>
      <c r="E526">
        <v>6.3030000000000003E-2</v>
      </c>
      <c r="F526">
        <v>34311348.299999997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-0.30749354005167923</v>
      </c>
      <c r="Q526">
        <f t="shared" si="985"/>
        <v>-10550517.952713165</v>
      </c>
      <c r="R526">
        <f t="shared" si="986"/>
        <v>-768024818.66265619</v>
      </c>
      <c r="S526">
        <f t="shared" si="987"/>
        <v>-7680.2481866265616</v>
      </c>
      <c r="T526">
        <f t="shared" si="988"/>
        <v>-7.6802481866265619</v>
      </c>
    </row>
    <row r="527" spans="1:20" x14ac:dyDescent="0.25">
      <c r="A527" s="5">
        <v>44066</v>
      </c>
      <c r="B527">
        <v>6.565E-2</v>
      </c>
      <c r="C527">
        <v>6.6129999999999994E-2</v>
      </c>
      <c r="D527">
        <v>6.0720000000000003E-2</v>
      </c>
      <c r="E527">
        <v>6.1240000000000003E-2</v>
      </c>
      <c r="F527">
        <v>13138030.699999999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-0.80776340110905709</v>
      </c>
      <c r="Q527">
        <f t="shared" si="985"/>
        <v>-10612420.362107206</v>
      </c>
      <c r="R527">
        <f t="shared" si="986"/>
        <v>-757474300.70994306</v>
      </c>
      <c r="S527">
        <f t="shared" si="987"/>
        <v>-7574.7430070994305</v>
      </c>
      <c r="T527">
        <f t="shared" si="988"/>
        <v>-7.5747430070994302</v>
      </c>
    </row>
    <row r="528" spans="1:20" x14ac:dyDescent="0.25">
      <c r="A528" s="5">
        <v>44065</v>
      </c>
      <c r="B528">
        <v>6.3320000000000001E-2</v>
      </c>
      <c r="C528">
        <v>6.9000000000000006E-2</v>
      </c>
      <c r="D528">
        <v>5.8880000000000002E-2</v>
      </c>
      <c r="E528">
        <v>6.5699999999999995E-2</v>
      </c>
      <c r="F528">
        <v>18861029.100000001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0.34782608695651979</v>
      </c>
      <c r="Q528">
        <f t="shared" si="985"/>
        <v>6560357.9478260502</v>
      </c>
      <c r="R528">
        <f t="shared" si="986"/>
        <v>-746861880.3478359</v>
      </c>
      <c r="S528">
        <f t="shared" si="987"/>
        <v>-7468.618803478359</v>
      </c>
      <c r="T528">
        <f t="shared" si="988"/>
        <v>-7.4686188034783587</v>
      </c>
    </row>
    <row r="529" spans="1:20" x14ac:dyDescent="0.25">
      <c r="A529" s="5">
        <v>44064</v>
      </c>
      <c r="B529">
        <v>7.6829999999999996E-2</v>
      </c>
      <c r="C529">
        <v>7.9500000000000001E-2</v>
      </c>
      <c r="D529">
        <v>6.1499999999999999E-2</v>
      </c>
      <c r="E529">
        <v>6.3320000000000001E-2</v>
      </c>
      <c r="F529">
        <v>52800630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-0.79777777777777759</v>
      </c>
      <c r="Q529">
        <f t="shared" si="985"/>
        <v>-42123169.266666658</v>
      </c>
      <c r="R529">
        <f t="shared" si="986"/>
        <v>-753422238.29566193</v>
      </c>
      <c r="S529">
        <f t="shared" si="987"/>
        <v>-7534.2223829566192</v>
      </c>
      <c r="T529">
        <f t="shared" si="988"/>
        <v>-7.5342223829566191</v>
      </c>
    </row>
    <row r="530" spans="1:20" x14ac:dyDescent="0.25">
      <c r="A530" s="5">
        <v>44063</v>
      </c>
      <c r="B530">
        <v>7.1480000000000002E-2</v>
      </c>
      <c r="C530">
        <v>7.9519999999999993E-2</v>
      </c>
      <c r="D530">
        <v>7.1179999999999993E-2</v>
      </c>
      <c r="E530">
        <v>7.6929999999999998E-2</v>
      </c>
      <c r="F530">
        <v>28451292.699999999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0.37889688249400599</v>
      </c>
      <c r="Q530">
        <f t="shared" si="985"/>
        <v>10780106.10695447</v>
      </c>
      <c r="R530">
        <f t="shared" si="986"/>
        <v>-711299069.02899528</v>
      </c>
      <c r="S530">
        <f t="shared" si="987"/>
        <v>-7112.9906902899529</v>
      </c>
      <c r="T530">
        <f t="shared" si="988"/>
        <v>-7.1129906902899531</v>
      </c>
    </row>
    <row r="531" spans="1:20" x14ac:dyDescent="0.25">
      <c r="A531" s="5">
        <v>44062</v>
      </c>
      <c r="B531">
        <v>8.3919999999999995E-2</v>
      </c>
      <c r="C531">
        <v>8.5370000000000001E-2</v>
      </c>
      <c r="D531">
        <v>7.0599999999999996E-2</v>
      </c>
      <c r="E531">
        <v>7.1559999999999999E-2</v>
      </c>
      <c r="F531">
        <v>31377337.699999999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-0.87000677048070385</v>
      </c>
      <c r="Q531">
        <f t="shared" si="985"/>
        <v>-27298496.238659434</v>
      </c>
      <c r="R531">
        <f t="shared" si="986"/>
        <v>-722079175.13594973</v>
      </c>
      <c r="S531">
        <f t="shared" si="987"/>
        <v>-7220.7917513594975</v>
      </c>
      <c r="T531">
        <f t="shared" si="988"/>
        <v>-7.2207917513594975</v>
      </c>
    </row>
    <row r="532" spans="1:20" x14ac:dyDescent="0.25">
      <c r="A532" s="5">
        <v>44061</v>
      </c>
      <c r="B532">
        <v>8.029E-2</v>
      </c>
      <c r="C532">
        <v>9.2789999999999997E-2</v>
      </c>
      <c r="D532">
        <v>7.9640000000000002E-2</v>
      </c>
      <c r="E532">
        <v>8.3940000000000001E-2</v>
      </c>
      <c r="F532">
        <v>49674335.600000001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-0.34600760456273766</v>
      </c>
      <c r="Q532">
        <f t="shared" si="985"/>
        <v>-17187697.869201522</v>
      </c>
      <c r="R532">
        <f t="shared" si="986"/>
        <v>-694780678.89729035</v>
      </c>
      <c r="S532">
        <f t="shared" si="987"/>
        <v>-6947.8067889729036</v>
      </c>
      <c r="T532">
        <f t="shared" si="988"/>
        <v>-6.9478067889729038</v>
      </c>
    </row>
    <row r="533" spans="1:20" x14ac:dyDescent="0.25">
      <c r="A533" s="5">
        <v>44060</v>
      </c>
      <c r="B533">
        <v>7.9649999999999999E-2</v>
      </c>
      <c r="C533">
        <v>0.09</v>
      </c>
      <c r="D533">
        <v>7.7549999999999994E-2</v>
      </c>
      <c r="E533">
        <v>8.0399999999999999E-2</v>
      </c>
      <c r="F533">
        <v>70862586.400000006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-0.54216867469879448</v>
      </c>
      <c r="Q533">
        <f t="shared" si="985"/>
        <v>-38419474.554216824</v>
      </c>
      <c r="R533">
        <f t="shared" si="986"/>
        <v>-677592981.02808881</v>
      </c>
      <c r="S533">
        <f t="shared" si="987"/>
        <v>-6775.929810280888</v>
      </c>
      <c r="T533">
        <f t="shared" si="988"/>
        <v>-6.7759298102808883</v>
      </c>
    </row>
    <row r="534" spans="1:20" x14ac:dyDescent="0.25">
      <c r="A534" s="5">
        <v>44059</v>
      </c>
      <c r="B534">
        <v>7.5850000000000001E-2</v>
      </c>
      <c r="C534">
        <v>8.0949999999999994E-2</v>
      </c>
      <c r="D534">
        <v>7.3510000000000006E-2</v>
      </c>
      <c r="E534">
        <v>7.936E-2</v>
      </c>
      <c r="F534">
        <v>18712984.399999999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0.57258064516129126</v>
      </c>
      <c r="Q534">
        <f t="shared" si="985"/>
        <v>10714692.680645177</v>
      </c>
      <c r="R534">
        <f t="shared" si="986"/>
        <v>-639173506.47387195</v>
      </c>
      <c r="S534">
        <f t="shared" si="987"/>
        <v>-6391.7350647387193</v>
      </c>
      <c r="T534">
        <f t="shared" si="988"/>
        <v>-6.391735064738719</v>
      </c>
    </row>
    <row r="535" spans="1:20" x14ac:dyDescent="0.25">
      <c r="A535" s="5">
        <v>44058</v>
      </c>
      <c r="B535">
        <v>7.9890000000000003E-2</v>
      </c>
      <c r="C535">
        <v>7.9949999999999993E-2</v>
      </c>
      <c r="D535">
        <v>7.3859999999999995E-2</v>
      </c>
      <c r="E535">
        <v>7.5939999999999994E-2</v>
      </c>
      <c r="F535">
        <v>21439693.600000001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-0.31691297208538616</v>
      </c>
      <c r="Q535">
        <f t="shared" si="985"/>
        <v>-6794517.019376033</v>
      </c>
      <c r="R535">
        <f t="shared" si="986"/>
        <v>-649888199.15451717</v>
      </c>
      <c r="S535">
        <f t="shared" si="987"/>
        <v>-6498.8819915451713</v>
      </c>
      <c r="T535">
        <f t="shared" si="988"/>
        <v>-6.4988819915451712</v>
      </c>
    </row>
    <row r="536" spans="1:20" x14ac:dyDescent="0.25">
      <c r="A536" s="5">
        <v>44057</v>
      </c>
      <c r="B536">
        <v>7.3789999999999994E-2</v>
      </c>
      <c r="C536">
        <v>8.0769999999999995E-2</v>
      </c>
      <c r="D536">
        <v>7.1110000000000007E-2</v>
      </c>
      <c r="E536">
        <v>7.9890000000000003E-2</v>
      </c>
      <c r="F536">
        <v>28371463.100000001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0.81780538302277583</v>
      </c>
      <c r="Q536">
        <f t="shared" si="985"/>
        <v>23202335.247412052</v>
      </c>
      <c r="R536">
        <f t="shared" si="986"/>
        <v>-643093682.13514113</v>
      </c>
      <c r="S536">
        <f t="shared" si="987"/>
        <v>-6430.9368213514117</v>
      </c>
      <c r="T536">
        <f t="shared" si="988"/>
        <v>-6.4309368213514118</v>
      </c>
    </row>
    <row r="537" spans="1:20" x14ac:dyDescent="0.25">
      <c r="A537" s="5">
        <v>44056</v>
      </c>
      <c r="B537">
        <v>7.9140000000000002E-2</v>
      </c>
      <c r="C537">
        <v>8.1199999999999994E-2</v>
      </c>
      <c r="D537">
        <v>7.1999999999999995E-2</v>
      </c>
      <c r="E537">
        <v>7.3999999999999996E-2</v>
      </c>
      <c r="F537">
        <v>37092245.600000001</v>
      </c>
      <c r="G537">
        <v>0</v>
      </c>
      <c r="L537" t="s">
        <v>7</v>
      </c>
      <c r="M537" t="s">
        <v>8</v>
      </c>
      <c r="N537" t="s">
        <v>8</v>
      </c>
      <c r="P537">
        <f t="shared" si="984"/>
        <v>-0.56521739130434745</v>
      </c>
      <c r="Q537">
        <f t="shared" si="985"/>
        <v>-20965182.295652162</v>
      </c>
      <c r="R537">
        <f t="shared" si="986"/>
        <v>-666296017.38255322</v>
      </c>
      <c r="S537">
        <f t="shared" si="987"/>
        <v>-6662.9601738255324</v>
      </c>
      <c r="T537">
        <f t="shared" si="988"/>
        <v>-6.6629601738255326</v>
      </c>
    </row>
    <row r="538" spans="1:20" x14ac:dyDescent="0.25">
      <c r="A538" s="5">
        <v>44055</v>
      </c>
      <c r="B538">
        <v>7.1959999999999996E-2</v>
      </c>
      <c r="C538">
        <v>8.115E-2</v>
      </c>
      <c r="D538">
        <v>6.7070000000000005E-2</v>
      </c>
      <c r="E538">
        <v>7.911E-2</v>
      </c>
      <c r="F538">
        <v>41215029.5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0.7102272727272726</v>
      </c>
      <c r="Q538">
        <f t="shared" si="985"/>
        <v>29272037.997159086</v>
      </c>
      <c r="R538">
        <f t="shared" si="986"/>
        <v>-645330835.08690107</v>
      </c>
      <c r="S538">
        <f t="shared" si="987"/>
        <v>-6453.3083508690106</v>
      </c>
      <c r="T538">
        <f t="shared" si="988"/>
        <v>-6.453308350869011</v>
      </c>
    </row>
    <row r="539" spans="1:20" x14ac:dyDescent="0.25">
      <c r="A539" s="5">
        <v>44054</v>
      </c>
      <c r="B539">
        <v>7.6359999999999997E-2</v>
      </c>
      <c r="C539">
        <v>7.6380000000000003E-2</v>
      </c>
      <c r="D539">
        <v>6.5540000000000001E-2</v>
      </c>
      <c r="E539">
        <v>7.1499999999999994E-2</v>
      </c>
      <c r="F539">
        <v>36913773.899999999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9.9630996309961584E-2</v>
      </c>
      <c r="Q539">
        <f t="shared" si="985"/>
        <v>3677756.0712176561</v>
      </c>
      <c r="R539">
        <f t="shared" si="986"/>
        <v>-674602873.08406019</v>
      </c>
      <c r="S539">
        <f t="shared" si="987"/>
        <v>-6746.0287308406023</v>
      </c>
      <c r="T539">
        <f t="shared" si="988"/>
        <v>-6.7460287308406022</v>
      </c>
    </row>
    <row r="540" spans="1:20" x14ac:dyDescent="0.25">
      <c r="A540" s="5">
        <v>44053</v>
      </c>
      <c r="B540">
        <v>7.5889999999999999E-2</v>
      </c>
      <c r="C540">
        <v>7.9469999999999999E-2</v>
      </c>
      <c r="D540">
        <v>6.8830000000000002E-2</v>
      </c>
      <c r="E540">
        <v>7.6200000000000004E-2</v>
      </c>
      <c r="F540">
        <v>54162354.200000003</v>
      </c>
      <c r="G540">
        <v>0</v>
      </c>
      <c r="L540" t="s">
        <v>7</v>
      </c>
      <c r="M540" t="s">
        <v>7</v>
      </c>
      <c r="N540" t="s">
        <v>8</v>
      </c>
      <c r="P540">
        <f t="shared" si="984"/>
        <v>0.38533834586466237</v>
      </c>
      <c r="Q540">
        <f t="shared" si="985"/>
        <v>20870831.975563951</v>
      </c>
      <c r="R540">
        <f t="shared" si="986"/>
        <v>-678280629.15527785</v>
      </c>
      <c r="S540">
        <f t="shared" si="987"/>
        <v>-6782.8062915527789</v>
      </c>
      <c r="T540">
        <f t="shared" si="988"/>
        <v>-6.7828062915527791</v>
      </c>
    </row>
    <row r="541" spans="1:20" x14ac:dyDescent="0.25">
      <c r="A541" s="5">
        <v>44052</v>
      </c>
      <c r="B541">
        <v>8.022E-2</v>
      </c>
      <c r="C541">
        <v>8.1799999999999998E-2</v>
      </c>
      <c r="D541">
        <v>7.4569999999999997E-2</v>
      </c>
      <c r="E541">
        <v>7.5810000000000002E-2</v>
      </c>
      <c r="F541">
        <v>44760741.100000001</v>
      </c>
      <c r="G541">
        <v>0</v>
      </c>
      <c r="L541" t="s">
        <v>7</v>
      </c>
      <c r="M541" t="s">
        <v>7</v>
      </c>
      <c r="N541" t="s">
        <v>8</v>
      </c>
      <c r="P541">
        <f t="shared" si="984"/>
        <v>-0.65698478561548967</v>
      </c>
      <c r="Q541">
        <f t="shared" si="985"/>
        <v>-29407125.89557394</v>
      </c>
      <c r="R541">
        <f t="shared" si="986"/>
        <v>-699151461.13084185</v>
      </c>
      <c r="S541">
        <f t="shared" si="987"/>
        <v>-6991.5146113084184</v>
      </c>
      <c r="T541">
        <f t="shared" si="988"/>
        <v>-6.9915146113084186</v>
      </c>
    </row>
    <row r="542" spans="1:20" x14ac:dyDescent="0.25">
      <c r="A542" s="5">
        <v>44051</v>
      </c>
      <c r="B542">
        <v>8.2750000000000004E-2</v>
      </c>
      <c r="C542">
        <v>8.7389999999999995E-2</v>
      </c>
      <c r="D542">
        <v>7.8259999999999996E-2</v>
      </c>
      <c r="E542">
        <v>7.9960000000000003E-2</v>
      </c>
      <c r="F542">
        <v>38243119.399999999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-0.62760131434830069</v>
      </c>
      <c r="Q542">
        <f t="shared" si="985"/>
        <v>-24001432.000218995</v>
      </c>
      <c r="R542">
        <f t="shared" si="986"/>
        <v>-669744335.23526788</v>
      </c>
      <c r="S542">
        <f t="shared" si="987"/>
        <v>-6697.4433523526786</v>
      </c>
      <c r="T542">
        <f t="shared" si="988"/>
        <v>-6.6974433523526784</v>
      </c>
    </row>
    <row r="543" spans="1:20" x14ac:dyDescent="0.25">
      <c r="A543" s="5">
        <v>44050</v>
      </c>
      <c r="B543">
        <v>7.9530000000000003E-2</v>
      </c>
      <c r="C543">
        <v>8.5720000000000005E-2</v>
      </c>
      <c r="D543">
        <v>7.5520000000000004E-2</v>
      </c>
      <c r="E543">
        <v>8.2750000000000004E-2</v>
      </c>
      <c r="F543">
        <v>41922633.600000001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0.41764705882352937</v>
      </c>
      <c r="Q543">
        <f t="shared" si="985"/>
        <v>17508864.62117647</v>
      </c>
      <c r="R543">
        <f t="shared" si="986"/>
        <v>-645742903.23504889</v>
      </c>
      <c r="S543">
        <f t="shared" si="987"/>
        <v>-6457.4290323504893</v>
      </c>
      <c r="T543">
        <f t="shared" si="988"/>
        <v>-6.4574290323504888</v>
      </c>
    </row>
    <row r="544" spans="1:20" x14ac:dyDescent="0.25">
      <c r="A544" s="5">
        <v>44049</v>
      </c>
      <c r="B544">
        <v>7.2889999999999996E-2</v>
      </c>
      <c r="C544">
        <v>8.09E-2</v>
      </c>
      <c r="D544">
        <v>7.2020000000000001E-2</v>
      </c>
      <c r="E544">
        <v>7.9530000000000003E-2</v>
      </c>
      <c r="F544">
        <v>51248872.600000001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0.69144144144144226</v>
      </c>
      <c r="Q544">
        <f t="shared" si="985"/>
        <v>35435594.342792839</v>
      </c>
      <c r="R544">
        <f t="shared" si="986"/>
        <v>-663251767.85622537</v>
      </c>
      <c r="S544">
        <f t="shared" si="987"/>
        <v>-6632.5176785622534</v>
      </c>
      <c r="T544">
        <f t="shared" si="988"/>
        <v>-6.6325176785622535</v>
      </c>
    </row>
    <row r="545" spans="1:20" x14ac:dyDescent="0.25">
      <c r="A545" s="5">
        <v>44048</v>
      </c>
      <c r="B545">
        <v>6.6400000000000001E-2</v>
      </c>
      <c r="C545">
        <v>7.8450000000000006E-2</v>
      </c>
      <c r="D545">
        <v>6.429E-2</v>
      </c>
      <c r="E545">
        <v>7.2900000000000006E-2</v>
      </c>
      <c r="F545">
        <v>76835539.599999994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0.21610169491525466</v>
      </c>
      <c r="Q545">
        <f t="shared" si="985"/>
        <v>16604290.337288167</v>
      </c>
      <c r="R545">
        <f t="shared" si="986"/>
        <v>-698687362.19901824</v>
      </c>
      <c r="S545">
        <f t="shared" si="987"/>
        <v>-6986.8736219901821</v>
      </c>
      <c r="T545">
        <f t="shared" si="988"/>
        <v>-6.9868736219901821</v>
      </c>
    </row>
    <row r="546" spans="1:20" x14ac:dyDescent="0.25">
      <c r="A546" s="5">
        <v>44047</v>
      </c>
      <c r="B546">
        <v>6.157E-2</v>
      </c>
      <c r="C546">
        <v>6.9470000000000004E-2</v>
      </c>
      <c r="D546">
        <v>5.9839999999999997E-2</v>
      </c>
      <c r="E546">
        <v>6.6710000000000005E-2</v>
      </c>
      <c r="F546">
        <v>34622326.600000001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0.42679127725856769</v>
      </c>
      <c r="Q546">
        <f t="shared" si="985"/>
        <v>14776506.991277283</v>
      </c>
      <c r="R546">
        <f t="shared" si="986"/>
        <v>-715291652.53630638</v>
      </c>
      <c r="S546">
        <f t="shared" si="987"/>
        <v>-7152.9165253630636</v>
      </c>
      <c r="T546">
        <f t="shared" si="988"/>
        <v>-7.1529165253630635</v>
      </c>
    </row>
    <row r="547" spans="1:20" x14ac:dyDescent="0.25">
      <c r="A547" s="5">
        <v>44046</v>
      </c>
      <c r="B547">
        <v>6.2230000000000001E-2</v>
      </c>
      <c r="C547">
        <v>6.368E-2</v>
      </c>
      <c r="D547">
        <v>5.8540000000000002E-2</v>
      </c>
      <c r="E547">
        <v>6.1620000000000001E-2</v>
      </c>
      <c r="F547">
        <v>22924171.5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0.19844357976653704</v>
      </c>
      <c r="Q547">
        <f t="shared" si="985"/>
        <v>4549154.6556420252</v>
      </c>
      <c r="R547">
        <f t="shared" si="986"/>
        <v>-730068159.52758372</v>
      </c>
      <c r="S547">
        <f t="shared" si="987"/>
        <v>-7300.681595275837</v>
      </c>
      <c r="T547">
        <f t="shared" si="988"/>
        <v>-7.3006815952758366</v>
      </c>
    </row>
    <row r="548" spans="1:20" x14ac:dyDescent="0.25">
      <c r="A548" s="5">
        <v>44045</v>
      </c>
      <c r="B548">
        <v>6.0429999999999998E-2</v>
      </c>
      <c r="C548">
        <v>6.4000000000000001E-2</v>
      </c>
      <c r="D548">
        <v>5.5449999999999999E-2</v>
      </c>
      <c r="E548">
        <v>6.1940000000000002E-2</v>
      </c>
      <c r="F548">
        <v>42209469.200000003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0.51812865497076055</v>
      </c>
      <c r="Q548">
        <f t="shared" si="985"/>
        <v>21869935.503625747</v>
      </c>
      <c r="R548">
        <f t="shared" si="986"/>
        <v>-734617314.18322575</v>
      </c>
      <c r="S548">
        <f t="shared" si="987"/>
        <v>-7346.1731418322579</v>
      </c>
      <c r="T548">
        <f t="shared" si="988"/>
        <v>-7.3461731418322582</v>
      </c>
    </row>
    <row r="549" spans="1:20" x14ac:dyDescent="0.25">
      <c r="A549" s="5">
        <v>44044</v>
      </c>
      <c r="B549">
        <v>6.7180000000000004E-2</v>
      </c>
      <c r="C549">
        <v>6.9809999999999997E-2</v>
      </c>
      <c r="D549">
        <v>0.06</v>
      </c>
      <c r="E549">
        <v>6.046E-2</v>
      </c>
      <c r="F549">
        <v>34591157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-0.90621814475025442</v>
      </c>
      <c r="Q549">
        <f t="shared" si="985"/>
        <v>-31347134.121304777</v>
      </c>
      <c r="R549">
        <f t="shared" si="986"/>
        <v>-756487249.6868515</v>
      </c>
      <c r="S549">
        <f t="shared" si="987"/>
        <v>-7564.8724968685146</v>
      </c>
      <c r="T549">
        <f t="shared" si="988"/>
        <v>-7.5648724968685146</v>
      </c>
    </row>
    <row r="550" spans="1:20" x14ac:dyDescent="0.25">
      <c r="A550" s="5">
        <v>44043</v>
      </c>
      <c r="B550">
        <v>6.8610000000000004E-2</v>
      </c>
      <c r="C550">
        <v>7.3469999999999994E-2</v>
      </c>
      <c r="D550">
        <v>6.4219999999999999E-2</v>
      </c>
      <c r="E550">
        <v>6.6930000000000003E-2</v>
      </c>
      <c r="F550">
        <v>43420834.100000001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-0.41405405405405282</v>
      </c>
      <c r="Q550">
        <f t="shared" si="985"/>
        <v>-17978572.389513459</v>
      </c>
      <c r="R550">
        <f t="shared" si="986"/>
        <v>-725140115.56554675</v>
      </c>
      <c r="S550">
        <f t="shared" si="987"/>
        <v>-7251.4011556554678</v>
      </c>
      <c r="T550">
        <f t="shared" si="988"/>
        <v>-7.2514011556554676</v>
      </c>
    </row>
    <row r="551" spans="1:20" x14ac:dyDescent="0.25">
      <c r="A551" s="5">
        <v>44042</v>
      </c>
      <c r="B551">
        <v>5.8729999999999997E-2</v>
      </c>
      <c r="C551">
        <v>7.2919999999999999E-2</v>
      </c>
      <c r="D551">
        <v>5.7509999999999999E-2</v>
      </c>
      <c r="E551">
        <v>6.8820000000000006E-2</v>
      </c>
      <c r="F551">
        <v>67845137.099999994</v>
      </c>
      <c r="G551">
        <v>0</v>
      </c>
      <c r="L551" t="s">
        <v>7</v>
      </c>
      <c r="M551" t="s">
        <v>7</v>
      </c>
      <c r="N551" t="s">
        <v>8</v>
      </c>
      <c r="P551">
        <f t="shared" si="984"/>
        <v>0.4678780012978595</v>
      </c>
      <c r="Q551">
        <f t="shared" si="985"/>
        <v>31743247.144127253</v>
      </c>
      <c r="R551">
        <f t="shared" si="986"/>
        <v>-707161543.17603326</v>
      </c>
      <c r="S551">
        <f t="shared" si="987"/>
        <v>-7071.6154317603323</v>
      </c>
      <c r="T551">
        <f t="shared" si="988"/>
        <v>-7.0716154317603319</v>
      </c>
    </row>
    <row r="552" spans="1:20" x14ac:dyDescent="0.25">
      <c r="A552" s="5">
        <v>44041</v>
      </c>
      <c r="B552">
        <v>6.1710000000000001E-2</v>
      </c>
      <c r="C552">
        <v>7.3999999999999996E-2</v>
      </c>
      <c r="D552">
        <v>5.7200000000000001E-2</v>
      </c>
      <c r="E552">
        <v>5.8349999999999999E-2</v>
      </c>
      <c r="F552">
        <v>65242202.399999999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-0.86309523809523825</v>
      </c>
      <c r="Q552">
        <f t="shared" si="985"/>
        <v>-56310234.214285724</v>
      </c>
      <c r="R552">
        <f t="shared" si="986"/>
        <v>-738904790.32016051</v>
      </c>
      <c r="S552">
        <f t="shared" si="987"/>
        <v>-7389.0479032016046</v>
      </c>
      <c r="T552">
        <f t="shared" si="988"/>
        <v>-7.3890479032016048</v>
      </c>
    </row>
    <row r="553" spans="1:20" x14ac:dyDescent="0.25">
      <c r="A553" s="5">
        <v>44040</v>
      </c>
      <c r="B553">
        <v>5.0290000000000001E-2</v>
      </c>
      <c r="C553">
        <v>6.4000000000000001E-2</v>
      </c>
      <c r="D553">
        <v>4.7550000000000002E-2</v>
      </c>
      <c r="E553">
        <v>6.1499999999999999E-2</v>
      </c>
      <c r="F553">
        <v>80587528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0.69604863221884472</v>
      </c>
      <c r="Q553">
        <f t="shared" si="985"/>
        <v>56092838.638297848</v>
      </c>
      <c r="R553">
        <f t="shared" si="986"/>
        <v>-682594556.10587478</v>
      </c>
      <c r="S553">
        <f t="shared" si="987"/>
        <v>-6825.9455610587474</v>
      </c>
      <c r="T553">
        <f t="shared" si="988"/>
        <v>-6.8259455610587478</v>
      </c>
    </row>
    <row r="554" spans="1:20" x14ac:dyDescent="0.25">
      <c r="A554" s="5">
        <v>44039</v>
      </c>
      <c r="B554">
        <v>6.4490000000000006E-2</v>
      </c>
      <c r="C554">
        <v>6.4490000000000006E-2</v>
      </c>
      <c r="D554">
        <v>4.3229999999999998E-2</v>
      </c>
      <c r="E554">
        <v>5.0099999999999999E-2</v>
      </c>
      <c r="F554">
        <v>131128360.90000001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-0.35371589840075274</v>
      </c>
      <c r="Q554">
        <f t="shared" si="985"/>
        <v>-46382185.981561638</v>
      </c>
      <c r="R554">
        <f t="shared" si="986"/>
        <v>-738687394.74417257</v>
      </c>
      <c r="S554">
        <f t="shared" si="987"/>
        <v>-7386.8739474417262</v>
      </c>
      <c r="T554">
        <f t="shared" si="988"/>
        <v>-7.3868739474417264</v>
      </c>
    </row>
    <row r="555" spans="1:20" x14ac:dyDescent="0.25">
      <c r="A555" s="5">
        <v>44038</v>
      </c>
      <c r="B555">
        <v>4.9439999999999998E-2</v>
      </c>
      <c r="C555">
        <v>7.0000000000000007E-2</v>
      </c>
      <c r="D555">
        <v>4.845E-2</v>
      </c>
      <c r="E555">
        <v>6.4490000000000006E-2</v>
      </c>
      <c r="F555">
        <v>156562938.53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0.48863109048723902</v>
      </c>
      <c r="Q555">
        <f t="shared" si="985"/>
        <v>76501519.383800477</v>
      </c>
      <c r="R555">
        <f t="shared" si="986"/>
        <v>-692305208.76261091</v>
      </c>
      <c r="S555">
        <f t="shared" si="987"/>
        <v>-6923.0520876261089</v>
      </c>
      <c r="T555">
        <f t="shared" si="988"/>
        <v>-6.9230520876261092</v>
      </c>
    </row>
    <row r="556" spans="1:20" x14ac:dyDescent="0.25">
      <c r="A556" s="5">
        <v>44037</v>
      </c>
      <c r="B556">
        <v>4.2709999999999998E-2</v>
      </c>
      <c r="C556">
        <v>6.5299999999999997E-2</v>
      </c>
      <c r="D556">
        <v>4.1910000000000003E-2</v>
      </c>
      <c r="E556">
        <v>4.9520000000000002E-2</v>
      </c>
      <c r="F556">
        <v>174799312.19999999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-0.34929457032920047</v>
      </c>
      <c r="Q556">
        <f t="shared" si="985"/>
        <v>-61056450.648738764</v>
      </c>
      <c r="R556">
        <f t="shared" si="986"/>
        <v>-768806728.14641142</v>
      </c>
      <c r="S556">
        <f t="shared" si="987"/>
        <v>-7688.0672814641139</v>
      </c>
      <c r="T556">
        <f t="shared" si="988"/>
        <v>-7.6880672814641136</v>
      </c>
    </row>
    <row r="557" spans="1:20" x14ac:dyDescent="0.25">
      <c r="A557" s="5">
        <v>44036</v>
      </c>
      <c r="B557">
        <v>3.56E-2</v>
      </c>
      <c r="C557">
        <v>4.5850000000000002E-2</v>
      </c>
      <c r="D557">
        <v>3.5380000000000002E-2</v>
      </c>
      <c r="E557">
        <v>4.267E-2</v>
      </c>
      <c r="F557">
        <v>68239985.599999994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0.39255014326647519</v>
      </c>
      <c r="Q557">
        <f t="shared" si="985"/>
        <v>26787616.123782203</v>
      </c>
      <c r="R557">
        <f t="shared" si="986"/>
        <v>-707750277.49767268</v>
      </c>
      <c r="S557">
        <f t="shared" si="987"/>
        <v>-7077.5027749767269</v>
      </c>
      <c r="T557">
        <f t="shared" si="988"/>
        <v>-7.0775027749767272</v>
      </c>
    </row>
    <row r="558" spans="1:20" x14ac:dyDescent="0.25">
      <c r="A558" s="5">
        <v>44035</v>
      </c>
      <c r="B558">
        <v>3.1570000000000001E-2</v>
      </c>
      <c r="C558">
        <v>3.7999999999999999E-2</v>
      </c>
      <c r="D558">
        <v>3.0849999999999999E-2</v>
      </c>
      <c r="E558">
        <v>3.5589999999999997E-2</v>
      </c>
      <c r="F558">
        <v>66300591.899999999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0.32587412587412523</v>
      </c>
      <c r="Q558">
        <f t="shared" si="985"/>
        <v>21605647.430349607</v>
      </c>
      <c r="R558">
        <f t="shared" si="986"/>
        <v>-734537893.62145483</v>
      </c>
      <c r="S558">
        <f t="shared" si="987"/>
        <v>-7345.378936214548</v>
      </c>
      <c r="T558">
        <f t="shared" si="988"/>
        <v>-7.3453789362145478</v>
      </c>
    </row>
    <row r="559" spans="1:20" x14ac:dyDescent="0.25">
      <c r="A559" s="5">
        <v>44034</v>
      </c>
      <c r="B559">
        <v>2.835E-2</v>
      </c>
      <c r="C559">
        <v>3.4630000000000001E-2</v>
      </c>
      <c r="D559">
        <v>2.792E-2</v>
      </c>
      <c r="E559">
        <v>3.1570000000000001E-2</v>
      </c>
      <c r="F559">
        <v>48395454.600000001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8.7928464977645338E-2</v>
      </c>
      <c r="Q559">
        <f t="shared" si="985"/>
        <v>4255338.0348733254</v>
      </c>
      <c r="R559">
        <f t="shared" si="986"/>
        <v>-756143541.05180442</v>
      </c>
      <c r="S559">
        <f t="shared" si="987"/>
        <v>-7561.4354105180446</v>
      </c>
      <c r="T559">
        <f t="shared" si="988"/>
        <v>-7.5614354105180448</v>
      </c>
    </row>
    <row r="560" spans="1:20" x14ac:dyDescent="0.25">
      <c r="A560" s="5">
        <v>44033</v>
      </c>
      <c r="B560">
        <v>2.9909999999999999E-2</v>
      </c>
      <c r="C560">
        <v>3.0960000000000001E-2</v>
      </c>
      <c r="D560">
        <v>2.7310000000000001E-2</v>
      </c>
      <c r="E560">
        <v>2.835E-2</v>
      </c>
      <c r="F560">
        <v>33834127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-0.43013698630137032</v>
      </c>
      <c r="Q560">
        <f t="shared" si="985"/>
        <v>-14553309.421917824</v>
      </c>
      <c r="R560">
        <f t="shared" si="986"/>
        <v>-760398879.08667779</v>
      </c>
      <c r="S560">
        <f t="shared" si="987"/>
        <v>-7603.9887908667779</v>
      </c>
      <c r="T560">
        <f t="shared" si="988"/>
        <v>-7.6039887908667776</v>
      </c>
    </row>
    <row r="561" spans="1:104" x14ac:dyDescent="0.25">
      <c r="A561" s="5">
        <v>44032</v>
      </c>
      <c r="B561">
        <v>2.622E-2</v>
      </c>
      <c r="C561">
        <v>3.1980000000000001E-2</v>
      </c>
      <c r="D561">
        <v>2.622E-2</v>
      </c>
      <c r="E561">
        <v>2.9860000000000001E-2</v>
      </c>
      <c r="F561">
        <v>60525042.399999999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0.2638888888888889</v>
      </c>
      <c r="Q561">
        <f t="shared" si="985"/>
        <v>15971886.188888889</v>
      </c>
      <c r="R561">
        <f t="shared" si="986"/>
        <v>-745845569.66475999</v>
      </c>
      <c r="S561">
        <f t="shared" si="987"/>
        <v>-7458.4556966476002</v>
      </c>
      <c r="T561">
        <f t="shared" si="988"/>
        <v>-7.4584556966475999</v>
      </c>
      <c r="CZ561" t="s">
        <v>7</v>
      </c>
    </row>
    <row r="562" spans="1:104" x14ac:dyDescent="0.25">
      <c r="A562" s="5">
        <v>44031</v>
      </c>
      <c r="B562">
        <v>2.5649999999999999E-2</v>
      </c>
      <c r="C562">
        <v>2.8989999999999998E-2</v>
      </c>
      <c r="D562">
        <v>2.5579999999999999E-2</v>
      </c>
      <c r="E562">
        <v>2.6360000000000001E-2</v>
      </c>
      <c r="F562">
        <v>95374899.099999994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-0.54252199413489566</v>
      </c>
      <c r="Q562">
        <f t="shared" si="985"/>
        <v>-51742980.450146459</v>
      </c>
      <c r="R562">
        <f t="shared" si="986"/>
        <v>-761817455.8536489</v>
      </c>
      <c r="S562">
        <f t="shared" si="987"/>
        <v>-7618.1745585364888</v>
      </c>
      <c r="T562">
        <f t="shared" si="988"/>
        <v>-7.6181745585364888</v>
      </c>
      <c r="CZ562" t="s">
        <v>7</v>
      </c>
    </row>
    <row r="563" spans="1:104" x14ac:dyDescent="0.25">
      <c r="A563" s="5">
        <v>44030</v>
      </c>
      <c r="B563">
        <v>2.2030000000000001E-2</v>
      </c>
      <c r="C563">
        <v>2.6519999999999998E-2</v>
      </c>
      <c r="D563">
        <v>2.1499999999999998E-2</v>
      </c>
      <c r="E563">
        <v>2.5649999999999999E-2</v>
      </c>
      <c r="F563">
        <v>36437564.200000003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0.65338645418326724</v>
      </c>
      <c r="Q563">
        <f t="shared" si="985"/>
        <v>23807810.871713161</v>
      </c>
      <c r="R563">
        <f t="shared" si="986"/>
        <v>-710074475.40350246</v>
      </c>
      <c r="S563">
        <f t="shared" si="987"/>
        <v>-7100.7447540350249</v>
      </c>
      <c r="T563">
        <f t="shared" si="988"/>
        <v>-7.1007447540350253</v>
      </c>
      <c r="CZ563" t="s">
        <v>7</v>
      </c>
    </row>
    <row r="564" spans="1:104" x14ac:dyDescent="0.25">
      <c r="A564" s="5">
        <v>44029</v>
      </c>
      <c r="B564">
        <v>2.214E-2</v>
      </c>
      <c r="C564">
        <v>2.3400000000000001E-2</v>
      </c>
      <c r="D564">
        <v>2.1489999999999999E-2</v>
      </c>
      <c r="E564">
        <v>2.2069999999999999E-2</v>
      </c>
      <c r="F564">
        <v>18442005.699999999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-0.3926701570680628</v>
      </c>
      <c r="Q564">
        <f t="shared" si="985"/>
        <v>-7241625.2748691095</v>
      </c>
      <c r="R564">
        <f t="shared" si="986"/>
        <v>-733882286.27521563</v>
      </c>
      <c r="S564">
        <f t="shared" si="987"/>
        <v>-7338.8228627521567</v>
      </c>
      <c r="T564">
        <f t="shared" si="988"/>
        <v>-7.3388228627521563</v>
      </c>
    </row>
    <row r="565" spans="1:104" x14ac:dyDescent="0.25">
      <c r="A565" s="5">
        <v>44028</v>
      </c>
      <c r="B565">
        <v>2.2880000000000001E-2</v>
      </c>
      <c r="C565">
        <v>2.47E-2</v>
      </c>
      <c r="D565">
        <v>2.034E-2</v>
      </c>
      <c r="E565">
        <v>2.214E-2</v>
      </c>
      <c r="F565">
        <v>47126055.700000003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-0.17431192660550468</v>
      </c>
      <c r="Q565">
        <f t="shared" si="985"/>
        <v>-8214633.5623853263</v>
      </c>
      <c r="R565">
        <f t="shared" si="986"/>
        <v>-726640661.00034654</v>
      </c>
      <c r="S565">
        <f t="shared" si="987"/>
        <v>-7266.4066100034652</v>
      </c>
      <c r="T565">
        <f t="shared" si="988"/>
        <v>-7.2664066100034654</v>
      </c>
    </row>
    <row r="566" spans="1:104" x14ac:dyDescent="0.25">
      <c r="A566" s="5">
        <v>44027</v>
      </c>
      <c r="B566">
        <v>2.1510000000000001E-2</v>
      </c>
      <c r="C566">
        <v>2.3460000000000002E-2</v>
      </c>
      <c r="D566">
        <v>2.128E-2</v>
      </c>
      <c r="E566">
        <v>2.2859999999999998E-2</v>
      </c>
      <c r="F566">
        <v>20452278.300000001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0.44954128440366703</v>
      </c>
      <c r="Q566">
        <f t="shared" si="985"/>
        <v>9194143.4559632484</v>
      </c>
      <c r="R566">
        <f t="shared" si="986"/>
        <v>-718426027.43796122</v>
      </c>
      <c r="S566">
        <f t="shared" si="987"/>
        <v>-7184.2602743796124</v>
      </c>
      <c r="T566">
        <f t="shared" si="988"/>
        <v>-7.1842602743796125</v>
      </c>
    </row>
    <row r="567" spans="1:104" x14ac:dyDescent="0.25">
      <c r="A567" s="5">
        <v>44026</v>
      </c>
      <c r="B567">
        <v>2.0899999999999998E-2</v>
      </c>
      <c r="C567">
        <v>2.3109999999999999E-2</v>
      </c>
      <c r="D567">
        <v>2.0660000000000001E-2</v>
      </c>
      <c r="E567">
        <v>2.1510000000000001E-2</v>
      </c>
      <c r="F567">
        <v>28004996.800000001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-0.30612244897959101</v>
      </c>
      <c r="Q567">
        <f t="shared" si="985"/>
        <v>-8572958.2040816098</v>
      </c>
      <c r="R567">
        <f t="shared" si="986"/>
        <v>-727620170.89392447</v>
      </c>
      <c r="S567">
        <f t="shared" si="987"/>
        <v>-7276.2017089392448</v>
      </c>
      <c r="T567">
        <f t="shared" si="988"/>
        <v>-7.2762017089392446</v>
      </c>
    </row>
    <row r="568" spans="1:104" x14ac:dyDescent="0.25">
      <c r="A568" s="5">
        <v>44025</v>
      </c>
      <c r="B568">
        <v>2.094E-2</v>
      </c>
      <c r="C568">
        <v>2.214E-2</v>
      </c>
      <c r="D568">
        <v>2.06E-2</v>
      </c>
      <c r="E568">
        <v>2.1000000000000001E-2</v>
      </c>
      <c r="F568">
        <v>14851627.300000001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-0.48051948051947907</v>
      </c>
      <c r="Q568">
        <f t="shared" si="985"/>
        <v>-7136496.2350649135</v>
      </c>
      <c r="R568">
        <f t="shared" si="986"/>
        <v>-719047212.68984282</v>
      </c>
      <c r="S568">
        <f t="shared" si="987"/>
        <v>-7190.4721268984285</v>
      </c>
      <c r="T568">
        <f t="shared" si="988"/>
        <v>-7.1904721268984284</v>
      </c>
    </row>
    <row r="569" spans="1:104" x14ac:dyDescent="0.25">
      <c r="A569" s="5">
        <v>44024</v>
      </c>
      <c r="B569">
        <v>2.1780000000000001E-2</v>
      </c>
      <c r="C569">
        <v>2.1829999999999999E-2</v>
      </c>
      <c r="D569">
        <v>2.0199999999999999E-2</v>
      </c>
      <c r="E569">
        <v>2.0840000000000001E-2</v>
      </c>
      <c r="F569">
        <v>13767681.199999999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-0.2147239263803658</v>
      </c>
      <c r="Q569">
        <f t="shared" si="985"/>
        <v>-2956250.5644171461</v>
      </c>
      <c r="R569">
        <f t="shared" si="986"/>
        <v>-711910716.45477796</v>
      </c>
      <c r="S569">
        <f t="shared" si="987"/>
        <v>-7119.1071645477796</v>
      </c>
      <c r="T569">
        <f t="shared" si="988"/>
        <v>-7.1191071645477795</v>
      </c>
    </row>
    <row r="570" spans="1:104" x14ac:dyDescent="0.25">
      <c r="A570" s="5">
        <v>44023</v>
      </c>
      <c r="B570">
        <v>2.0830000000000001E-2</v>
      </c>
      <c r="C570">
        <v>2.2159999999999999E-2</v>
      </c>
      <c r="D570">
        <v>2.0469999999999999E-2</v>
      </c>
      <c r="E570">
        <v>2.1780000000000001E-2</v>
      </c>
      <c r="F570">
        <v>17028288.699999999</v>
      </c>
      <c r="G570">
        <v>0</v>
      </c>
      <c r="L570" t="s">
        <v>7</v>
      </c>
      <c r="M570" t="s">
        <v>8</v>
      </c>
      <c r="N570" t="s">
        <v>8</v>
      </c>
      <c r="P570">
        <f t="shared" si="984"/>
        <v>0.55029585798816771</v>
      </c>
      <c r="Q570">
        <f t="shared" si="985"/>
        <v>9370596.7402367201</v>
      </c>
      <c r="R570">
        <f t="shared" si="986"/>
        <v>-708954465.89036083</v>
      </c>
      <c r="S570">
        <f t="shared" si="987"/>
        <v>-7089.5446589036083</v>
      </c>
      <c r="T570">
        <f t="shared" si="988"/>
        <v>-7.0895446589036082</v>
      </c>
    </row>
    <row r="571" spans="1:104" x14ac:dyDescent="0.25">
      <c r="A571" s="5">
        <v>44022</v>
      </c>
      <c r="B571">
        <v>2.0199999999999999E-2</v>
      </c>
      <c r="C571">
        <v>2.223E-2</v>
      </c>
      <c r="D571">
        <v>1.9650000000000001E-2</v>
      </c>
      <c r="E571">
        <v>2.0830000000000001E-2</v>
      </c>
      <c r="F571">
        <v>21060789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-8.5271317829456614E-2</v>
      </c>
      <c r="Q571">
        <f t="shared" si="985"/>
        <v>-1795881.2325581238</v>
      </c>
      <c r="R571">
        <f t="shared" si="986"/>
        <v>-718325062.63059759</v>
      </c>
      <c r="S571">
        <f t="shared" si="987"/>
        <v>-7183.2506263059759</v>
      </c>
      <c r="T571">
        <f t="shared" si="988"/>
        <v>-7.1832506263059761</v>
      </c>
    </row>
    <row r="572" spans="1:104" x14ac:dyDescent="0.25">
      <c r="A572" s="5">
        <v>44021</v>
      </c>
      <c r="B572">
        <v>2.0199999999999999E-2</v>
      </c>
      <c r="C572">
        <v>2.1489999999999999E-2</v>
      </c>
      <c r="D572">
        <v>1.95E-2</v>
      </c>
      <c r="E572">
        <v>2.019E-2</v>
      </c>
      <c r="F572">
        <v>28023504.300000001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-0.30653266331658285</v>
      </c>
      <c r="Q572">
        <f t="shared" si="985"/>
        <v>-8590119.4085427113</v>
      </c>
      <c r="R572">
        <f t="shared" si="986"/>
        <v>-716529181.39803946</v>
      </c>
      <c r="S572">
        <f t="shared" si="987"/>
        <v>-7165.2918139803942</v>
      </c>
      <c r="T572">
        <f t="shared" si="988"/>
        <v>-7.1652918139803941</v>
      </c>
    </row>
    <row r="573" spans="1:104" x14ac:dyDescent="0.25">
      <c r="A573" s="5">
        <v>44020</v>
      </c>
      <c r="B573">
        <v>1.9109999999999999E-2</v>
      </c>
      <c r="C573">
        <v>2.0299999999999999E-2</v>
      </c>
      <c r="D573">
        <v>1.9019999999999999E-2</v>
      </c>
      <c r="E573">
        <v>2.0199999999999999E-2</v>
      </c>
      <c r="F573">
        <v>13169856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0.84375000000000089</v>
      </c>
      <c r="Q573">
        <f t="shared" si="985"/>
        <v>11112066.000000011</v>
      </c>
      <c r="R573">
        <f t="shared" si="986"/>
        <v>-707939061.98949671</v>
      </c>
      <c r="S573">
        <f t="shared" si="987"/>
        <v>-7079.3906198949671</v>
      </c>
      <c r="T573">
        <f t="shared" si="988"/>
        <v>-7.0793906198949674</v>
      </c>
    </row>
    <row r="574" spans="1:104" x14ac:dyDescent="0.25">
      <c r="A574" s="5">
        <v>44019</v>
      </c>
      <c r="B574">
        <v>1.925E-2</v>
      </c>
      <c r="C574">
        <v>1.958E-2</v>
      </c>
      <c r="D574">
        <v>1.8700000000000001E-2</v>
      </c>
      <c r="E574">
        <v>1.9109999999999999E-2</v>
      </c>
      <c r="F574">
        <v>15022140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-6.8181818181823381E-2</v>
      </c>
      <c r="Q574">
        <f t="shared" si="985"/>
        <v>-1024236.8181818962</v>
      </c>
      <c r="R574">
        <f t="shared" si="986"/>
        <v>-719051127.98949671</v>
      </c>
      <c r="S574">
        <f t="shared" si="987"/>
        <v>-7190.5112798949667</v>
      </c>
      <c r="T574">
        <f t="shared" si="988"/>
        <v>-7.1905112798949666</v>
      </c>
    </row>
    <row r="575" spans="1:104" x14ac:dyDescent="0.25">
      <c r="A575" s="5">
        <v>44018</v>
      </c>
      <c r="B575">
        <v>1.813E-2</v>
      </c>
      <c r="C575">
        <v>1.9900000000000001E-2</v>
      </c>
      <c r="D575">
        <v>1.7940000000000001E-2</v>
      </c>
      <c r="E575">
        <v>1.917E-2</v>
      </c>
      <c r="F575">
        <v>14019236.5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0.25510204081632498</v>
      </c>
      <c r="Q575">
        <f t="shared" si="985"/>
        <v>3576335.8418367128</v>
      </c>
      <c r="R575">
        <f t="shared" si="986"/>
        <v>-718026891.17131484</v>
      </c>
      <c r="S575">
        <f t="shared" si="987"/>
        <v>-7180.2689117131486</v>
      </c>
      <c r="T575">
        <f t="shared" si="988"/>
        <v>-7.1802689117131484</v>
      </c>
    </row>
    <row r="576" spans="1:104" x14ac:dyDescent="0.25">
      <c r="A576" s="5">
        <v>44017</v>
      </c>
      <c r="B576">
        <v>1.839E-2</v>
      </c>
      <c r="C576">
        <v>1.8509999999999999E-2</v>
      </c>
      <c r="D576">
        <v>1.7399999999999999E-2</v>
      </c>
      <c r="E576">
        <v>1.8089999999999998E-2</v>
      </c>
      <c r="F576">
        <v>7559113.2000000002</v>
      </c>
      <c r="G576">
        <v>0</v>
      </c>
      <c r="L576" t="s">
        <v>7</v>
      </c>
      <c r="M576" t="s">
        <v>8</v>
      </c>
      <c r="N576" t="s">
        <v>7</v>
      </c>
      <c r="P576">
        <f t="shared" si="984"/>
        <v>0.24324324324324273</v>
      </c>
      <c r="Q576">
        <f t="shared" si="985"/>
        <v>1838703.2108108071</v>
      </c>
      <c r="R576">
        <f t="shared" si="986"/>
        <v>-721603227.01315153</v>
      </c>
      <c r="S576">
        <f t="shared" si="987"/>
        <v>-7216.0322701315154</v>
      </c>
      <c r="T576">
        <f t="shared" si="988"/>
        <v>-7.2160322701315156</v>
      </c>
    </row>
    <row r="577" spans="1:20" x14ac:dyDescent="0.25">
      <c r="A577" s="5">
        <v>44016</v>
      </c>
      <c r="B577">
        <v>1.8509999999999999E-2</v>
      </c>
      <c r="C577">
        <v>1.8849999999999999E-2</v>
      </c>
      <c r="D577">
        <v>1.7579999999999998E-2</v>
      </c>
      <c r="E577">
        <v>1.839E-2</v>
      </c>
      <c r="F577">
        <v>8617523.1999999993</v>
      </c>
      <c r="G577">
        <v>0</v>
      </c>
      <c r="L577" t="s">
        <v>7</v>
      </c>
      <c r="M577" t="s">
        <v>8</v>
      </c>
      <c r="N577" t="s">
        <v>7</v>
      </c>
      <c r="P577">
        <f t="shared" si="984"/>
        <v>0.2755905511811047</v>
      </c>
      <c r="Q577">
        <f t="shared" si="985"/>
        <v>2374907.9685039571</v>
      </c>
      <c r="R577">
        <f t="shared" si="986"/>
        <v>-723441930.22396231</v>
      </c>
      <c r="S577">
        <f t="shared" si="987"/>
        <v>-7234.419302239623</v>
      </c>
      <c r="T577">
        <f t="shared" si="988"/>
        <v>-7.2344193022396226</v>
      </c>
    </row>
    <row r="578" spans="1:20" x14ac:dyDescent="0.25">
      <c r="A578" s="5">
        <v>44015</v>
      </c>
      <c r="B578">
        <v>1.787E-2</v>
      </c>
      <c r="C578">
        <v>1.95E-2</v>
      </c>
      <c r="D578">
        <v>1.755E-2</v>
      </c>
      <c r="E578">
        <v>1.8460000000000001E-2</v>
      </c>
      <c r="F578">
        <v>18940760.100000001</v>
      </c>
      <c r="G578">
        <v>0</v>
      </c>
      <c r="L578" t="s">
        <v>8</v>
      </c>
      <c r="M578" t="s">
        <v>8</v>
      </c>
      <c r="N578" t="s">
        <v>7</v>
      </c>
      <c r="P578">
        <f t="shared" si="984"/>
        <v>-6.6666666666665722E-2</v>
      </c>
      <c r="Q578">
        <f t="shared" si="985"/>
        <v>-1262717.3399999822</v>
      </c>
      <c r="R578">
        <f t="shared" si="986"/>
        <v>-725816838.19246626</v>
      </c>
      <c r="S578">
        <f t="shared" si="987"/>
        <v>-7258.1683819246628</v>
      </c>
      <c r="T578">
        <f t="shared" si="988"/>
        <v>-7.258168381924663</v>
      </c>
    </row>
    <row r="579" spans="1:20" x14ac:dyDescent="0.25">
      <c r="A579" s="5">
        <v>44014</v>
      </c>
      <c r="B579">
        <v>1.8530000000000001E-2</v>
      </c>
      <c r="C579">
        <v>1.8689999999999998E-2</v>
      </c>
      <c r="D579">
        <v>1.7000000000000001E-2</v>
      </c>
      <c r="E579">
        <v>1.788E-2</v>
      </c>
      <c r="F579">
        <v>19828593.899999999</v>
      </c>
      <c r="G579">
        <v>0</v>
      </c>
      <c r="L579" t="s">
        <v>7</v>
      </c>
      <c r="M579" t="s">
        <v>8</v>
      </c>
      <c r="N579" t="s">
        <v>7</v>
      </c>
      <c r="P579">
        <f t="shared" si="984"/>
        <v>4.1420118343195707E-2</v>
      </c>
      <c r="Q579">
        <f t="shared" si="985"/>
        <v>821302.70591716841</v>
      </c>
      <c r="R579">
        <f t="shared" si="986"/>
        <v>-724554120.85246623</v>
      </c>
      <c r="S579">
        <f t="shared" si="987"/>
        <v>-7245.5412085246626</v>
      </c>
      <c r="T579">
        <f t="shared" si="988"/>
        <v>-7.2455412085246627</v>
      </c>
    </row>
    <row r="580" spans="1:20" x14ac:dyDescent="0.25">
      <c r="A580" s="5">
        <v>44013</v>
      </c>
      <c r="B580">
        <v>1.8290000000000001E-2</v>
      </c>
      <c r="C580">
        <v>1.8769999999999998E-2</v>
      </c>
      <c r="D580">
        <v>1.7670000000000002E-2</v>
      </c>
      <c r="E580">
        <v>1.8489999999999999E-2</v>
      </c>
      <c r="F580">
        <v>9526952.9000000004</v>
      </c>
      <c r="G580">
        <v>0</v>
      </c>
      <c r="L580" t="s">
        <v>7</v>
      </c>
      <c r="M580" t="s">
        <v>8</v>
      </c>
      <c r="N580" t="s">
        <v>7</v>
      </c>
      <c r="P580">
        <f t="shared" si="984"/>
        <v>0.49090909090909124</v>
      </c>
      <c r="Q580">
        <f t="shared" si="985"/>
        <v>4676867.7872727308</v>
      </c>
      <c r="R580">
        <f t="shared" si="986"/>
        <v>-725375423.55838335</v>
      </c>
      <c r="S580">
        <f t="shared" si="987"/>
        <v>-7253.7542355838332</v>
      </c>
      <c r="T580">
        <f t="shared" si="988"/>
        <v>-7.2537542355838331</v>
      </c>
    </row>
    <row r="581" spans="1:20" x14ac:dyDescent="0.25">
      <c r="A581" s="5">
        <v>44012</v>
      </c>
      <c r="B581">
        <v>1.881E-2</v>
      </c>
      <c r="C581">
        <v>1.9429999999999999E-2</v>
      </c>
      <c r="D581">
        <v>1.823E-2</v>
      </c>
      <c r="E581">
        <v>1.83E-2</v>
      </c>
      <c r="F581">
        <v>5837561.9000000004</v>
      </c>
      <c r="G581">
        <v>0</v>
      </c>
      <c r="L581" t="s">
        <v>8</v>
      </c>
      <c r="M581" t="s">
        <v>8</v>
      </c>
      <c r="N581" t="s">
        <v>7</v>
      </c>
      <c r="P581">
        <f t="shared" si="984"/>
        <v>-0.8833333333333323</v>
      </c>
      <c r="Q581">
        <f t="shared" si="985"/>
        <v>-5156513.0116666611</v>
      </c>
      <c r="R581">
        <f t="shared" si="986"/>
        <v>-730052291.34565604</v>
      </c>
      <c r="S581">
        <f t="shared" si="987"/>
        <v>-7300.5229134565607</v>
      </c>
      <c r="T581">
        <f t="shared" si="988"/>
        <v>-7.300522913456561</v>
      </c>
    </row>
    <row r="582" spans="1:20" x14ac:dyDescent="0.25">
      <c r="A582" s="5">
        <v>44011</v>
      </c>
      <c r="B582">
        <v>1.8409999999999999E-2</v>
      </c>
      <c r="C582">
        <v>1.933E-2</v>
      </c>
      <c r="D582">
        <v>1.804E-2</v>
      </c>
      <c r="E582">
        <v>1.8710000000000001E-2</v>
      </c>
      <c r="F582">
        <v>8811357.4000000004</v>
      </c>
      <c r="G582">
        <v>0</v>
      </c>
      <c r="L582" t="s">
        <v>8</v>
      </c>
      <c r="M582" t="s">
        <v>8</v>
      </c>
      <c r="N582" t="s">
        <v>7</v>
      </c>
      <c r="P582">
        <f t="shared" ref="P582:P645" si="989">IF(C582=D582,0,((E582-D582)-(C582-E582))/(C582-D582))</f>
        <v>3.8759689922481744E-2</v>
      </c>
      <c r="Q582">
        <f t="shared" ref="Q582:Q645" si="990">F582*P582</f>
        <v>341525.48062016495</v>
      </c>
      <c r="R582">
        <f t="shared" ref="R582:R645" si="991">R583+Q582</f>
        <v>-724895778.33398938</v>
      </c>
      <c r="S582">
        <f t="shared" ref="S582:S645" si="992">R582/100000</f>
        <v>-7248.9577833398935</v>
      </c>
      <c r="T582">
        <f t="shared" ref="T582:T645" si="993">S582/1000</f>
        <v>-7.2489577833398933</v>
      </c>
    </row>
    <row r="583" spans="1:20" x14ac:dyDescent="0.25">
      <c r="A583" s="5">
        <v>44010</v>
      </c>
      <c r="B583">
        <v>1.7639999999999999E-2</v>
      </c>
      <c r="C583">
        <v>1.9E-2</v>
      </c>
      <c r="D583">
        <v>1.703E-2</v>
      </c>
      <c r="E583">
        <v>1.8350000000000002E-2</v>
      </c>
      <c r="F583">
        <v>16604901.4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0.34010152284264167</v>
      </c>
      <c r="Q583">
        <f t="shared" si="990"/>
        <v>5647352.2527919123</v>
      </c>
      <c r="R583">
        <f t="shared" si="991"/>
        <v>-725237303.81460953</v>
      </c>
      <c r="S583">
        <f t="shared" si="992"/>
        <v>-7252.3730381460955</v>
      </c>
      <c r="T583">
        <f t="shared" si="993"/>
        <v>-7.2523730381460956</v>
      </c>
    </row>
    <row r="584" spans="1:20" x14ac:dyDescent="0.25">
      <c r="A584" s="5">
        <v>44009</v>
      </c>
      <c r="B584">
        <v>1.9890000000000001E-2</v>
      </c>
      <c r="C584">
        <v>2.0289999999999999E-2</v>
      </c>
      <c r="D584">
        <v>1.651E-2</v>
      </c>
      <c r="E584">
        <v>1.7680000000000001E-2</v>
      </c>
      <c r="F584">
        <v>20149896.199999999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-0.38095238095238027</v>
      </c>
      <c r="Q584">
        <f t="shared" si="990"/>
        <v>-7676150.9333333196</v>
      </c>
      <c r="R584">
        <f t="shared" si="991"/>
        <v>-730884656.06740141</v>
      </c>
      <c r="S584">
        <f t="shared" si="992"/>
        <v>-7308.8465606740137</v>
      </c>
      <c r="T584">
        <f t="shared" si="993"/>
        <v>-7.3088465606740138</v>
      </c>
    </row>
    <row r="585" spans="1:20" x14ac:dyDescent="0.25">
      <c r="A585" s="5">
        <v>44008</v>
      </c>
      <c r="B585">
        <v>2.0070000000000001E-2</v>
      </c>
      <c r="C585">
        <v>2.044E-2</v>
      </c>
      <c r="D585">
        <v>1.9009999999999999E-2</v>
      </c>
      <c r="E585">
        <v>1.993E-2</v>
      </c>
      <c r="F585">
        <v>16323056.699999999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0.286713286713287</v>
      </c>
      <c r="Q585">
        <f t="shared" si="990"/>
        <v>4680037.2356643397</v>
      </c>
      <c r="R585">
        <f t="shared" si="991"/>
        <v>-723208505.13406813</v>
      </c>
      <c r="S585">
        <f t="shared" si="992"/>
        <v>-7232.0850513406813</v>
      </c>
      <c r="T585">
        <f t="shared" si="993"/>
        <v>-7.2320850513406816</v>
      </c>
    </row>
    <row r="586" spans="1:20" x14ac:dyDescent="0.25">
      <c r="A586" s="5">
        <v>44007</v>
      </c>
      <c r="B586">
        <v>2.1080000000000002E-2</v>
      </c>
      <c r="C586">
        <v>2.1219999999999999E-2</v>
      </c>
      <c r="D586">
        <v>1.9519999999999999E-2</v>
      </c>
      <c r="E586">
        <v>2.0199999999999999E-2</v>
      </c>
      <c r="F586">
        <v>21983298.100000001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-0.2</v>
      </c>
      <c r="Q586">
        <f t="shared" si="990"/>
        <v>-4396659.62</v>
      </c>
      <c r="R586">
        <f t="shared" si="991"/>
        <v>-727888542.3697325</v>
      </c>
      <c r="S586">
        <f t="shared" si="992"/>
        <v>-7278.8854236973248</v>
      </c>
      <c r="T586">
        <f t="shared" si="993"/>
        <v>-7.2788854236973251</v>
      </c>
    </row>
    <row r="587" spans="1:20" x14ac:dyDescent="0.25">
      <c r="A587" s="5">
        <v>44006</v>
      </c>
      <c r="B587">
        <v>2.3089999999999999E-2</v>
      </c>
      <c r="C587">
        <v>2.3099999999999999E-2</v>
      </c>
      <c r="D587">
        <v>2.018E-2</v>
      </c>
      <c r="E587">
        <v>2.121E-2</v>
      </c>
      <c r="F587">
        <v>26079593.300000001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-0.29452054794520549</v>
      </c>
      <c r="Q587">
        <f t="shared" si="990"/>
        <v>-7680976.1089041103</v>
      </c>
      <c r="R587">
        <f t="shared" si="991"/>
        <v>-723491882.74973249</v>
      </c>
      <c r="S587">
        <f t="shared" si="992"/>
        <v>-7234.9188274973249</v>
      </c>
      <c r="T587">
        <f t="shared" si="993"/>
        <v>-7.2349188274973253</v>
      </c>
    </row>
    <row r="588" spans="1:20" x14ac:dyDescent="0.25">
      <c r="A588" s="5">
        <v>44005</v>
      </c>
      <c r="B588">
        <v>2.2280000000000001E-2</v>
      </c>
      <c r="C588">
        <v>2.351E-2</v>
      </c>
      <c r="D588">
        <v>2.222E-2</v>
      </c>
      <c r="E588">
        <v>2.308E-2</v>
      </c>
      <c r="F588">
        <v>18829823.899999999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0.33333333333333331</v>
      </c>
      <c r="Q588">
        <f t="shared" si="990"/>
        <v>6276607.9666666659</v>
      </c>
      <c r="R588">
        <f t="shared" si="991"/>
        <v>-715810906.64082837</v>
      </c>
      <c r="S588">
        <f t="shared" si="992"/>
        <v>-7158.109066408284</v>
      </c>
      <c r="T588">
        <f t="shared" si="993"/>
        <v>-7.1581090664082838</v>
      </c>
    </row>
    <row r="589" spans="1:20" x14ac:dyDescent="0.25">
      <c r="A589" s="5">
        <v>44004</v>
      </c>
      <c r="B589">
        <v>2.316E-2</v>
      </c>
      <c r="C589">
        <v>2.4989999999999998E-2</v>
      </c>
      <c r="D589">
        <v>2.1749999999999999E-2</v>
      </c>
      <c r="E589">
        <v>2.23E-2</v>
      </c>
      <c r="F589">
        <v>39535917.799999997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-0.66049382716049265</v>
      </c>
      <c r="Q589">
        <f t="shared" si="990"/>
        <v>-26113229.658024643</v>
      </c>
      <c r="R589">
        <f t="shared" si="991"/>
        <v>-722087514.60749507</v>
      </c>
      <c r="S589">
        <f t="shared" si="992"/>
        <v>-7220.8751460749509</v>
      </c>
      <c r="T589">
        <f t="shared" si="993"/>
        <v>-7.2208751460749507</v>
      </c>
    </row>
    <row r="590" spans="1:20" x14ac:dyDescent="0.25">
      <c r="A590" s="5">
        <v>44003</v>
      </c>
      <c r="B590">
        <v>2.291E-2</v>
      </c>
      <c r="C590">
        <v>2.5420000000000002E-2</v>
      </c>
      <c r="D590">
        <v>2.2290000000000001E-2</v>
      </c>
      <c r="E590">
        <v>2.315E-2</v>
      </c>
      <c r="F590">
        <v>54028006.799999997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-0.45047923322683742</v>
      </c>
      <c r="Q590">
        <f t="shared" si="990"/>
        <v>-24338495.076038357</v>
      </c>
      <c r="R590">
        <f t="shared" si="991"/>
        <v>-695974284.9494704</v>
      </c>
      <c r="S590">
        <f t="shared" si="992"/>
        <v>-6959.7428494947044</v>
      </c>
      <c r="T590">
        <f t="shared" si="993"/>
        <v>-6.9597428494947042</v>
      </c>
    </row>
    <row r="591" spans="1:20" x14ac:dyDescent="0.25">
      <c r="A591" s="5">
        <v>44002</v>
      </c>
      <c r="B591">
        <v>2.104E-2</v>
      </c>
      <c r="C591">
        <v>2.4060000000000002E-2</v>
      </c>
      <c r="D591">
        <v>2.0959999999999999E-2</v>
      </c>
      <c r="E591">
        <v>2.3029999999999998E-2</v>
      </c>
      <c r="F591">
        <v>52978185.100000001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0.33548387096774035</v>
      </c>
      <c r="Q591">
        <f t="shared" si="990"/>
        <v>17773326.614193466</v>
      </c>
      <c r="R591">
        <f t="shared" si="991"/>
        <v>-671635789.87343204</v>
      </c>
      <c r="S591">
        <f t="shared" si="992"/>
        <v>-6716.3578987343208</v>
      </c>
      <c r="T591">
        <f t="shared" si="993"/>
        <v>-6.7163578987343211</v>
      </c>
    </row>
    <row r="592" spans="1:20" x14ac:dyDescent="0.25">
      <c r="A592" s="5">
        <v>44001</v>
      </c>
      <c r="B592">
        <v>2.102E-2</v>
      </c>
      <c r="C592">
        <v>2.188E-2</v>
      </c>
      <c r="D592">
        <v>1.9939999999999999E-2</v>
      </c>
      <c r="E592">
        <v>2.103E-2</v>
      </c>
      <c r="F592">
        <v>24083605.399999999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0.12371134020618585</v>
      </c>
      <c r="Q592">
        <f t="shared" si="990"/>
        <v>2979415.1010309346</v>
      </c>
      <c r="R592">
        <f t="shared" si="991"/>
        <v>-689409116.48762548</v>
      </c>
      <c r="S592">
        <f t="shared" si="992"/>
        <v>-6894.0911648762549</v>
      </c>
      <c r="T592">
        <f t="shared" si="993"/>
        <v>-6.8940911648762553</v>
      </c>
    </row>
    <row r="593" spans="1:20" x14ac:dyDescent="0.25">
      <c r="A593" s="5">
        <v>44000</v>
      </c>
      <c r="B593">
        <v>2.137E-2</v>
      </c>
      <c r="C593">
        <v>2.1649999999999999E-2</v>
      </c>
      <c r="D593">
        <v>2.0250000000000001E-2</v>
      </c>
      <c r="E593">
        <v>2.1090000000000001E-2</v>
      </c>
      <c r="F593">
        <v>17639799.399999999</v>
      </c>
      <c r="G593">
        <v>0</v>
      </c>
      <c r="L593" t="s">
        <v>7</v>
      </c>
      <c r="M593" t="s">
        <v>8</v>
      </c>
      <c r="N593" t="s">
        <v>8</v>
      </c>
      <c r="P593">
        <f t="shared" si="989"/>
        <v>0.20000000000000198</v>
      </c>
      <c r="Q593">
        <f t="shared" si="990"/>
        <v>3527959.8800000348</v>
      </c>
      <c r="R593">
        <f t="shared" si="991"/>
        <v>-692388531.58865643</v>
      </c>
      <c r="S593">
        <f t="shared" si="992"/>
        <v>-6923.8853158865641</v>
      </c>
      <c r="T593">
        <f t="shared" si="993"/>
        <v>-6.9238853158865643</v>
      </c>
    </row>
    <row r="594" spans="1:20" x14ac:dyDescent="0.25">
      <c r="A594" s="5">
        <v>43999</v>
      </c>
      <c r="B594">
        <v>2.0559999999999998E-2</v>
      </c>
      <c r="C594">
        <v>2.198E-2</v>
      </c>
      <c r="D594">
        <v>1.9199999999999998E-2</v>
      </c>
      <c r="E594">
        <v>2.137E-2</v>
      </c>
      <c r="F594">
        <v>30590380.600000001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0.56115107913669127</v>
      </c>
      <c r="Q594">
        <f t="shared" si="990"/>
        <v>17165825.084892105</v>
      </c>
      <c r="R594">
        <f t="shared" si="991"/>
        <v>-695916491.46865642</v>
      </c>
      <c r="S594">
        <f t="shared" si="992"/>
        <v>-6959.1649146865639</v>
      </c>
      <c r="T594">
        <f t="shared" si="993"/>
        <v>-6.9591649146865642</v>
      </c>
    </row>
    <row r="595" spans="1:20" x14ac:dyDescent="0.25">
      <c r="A595" s="5">
        <v>43998</v>
      </c>
      <c r="B595">
        <v>1.984E-2</v>
      </c>
      <c r="C595">
        <v>2.1000000000000001E-2</v>
      </c>
      <c r="D595">
        <v>1.9300000000000001E-2</v>
      </c>
      <c r="E595">
        <v>2.0549999999999999E-2</v>
      </c>
      <c r="F595">
        <v>24871985.300000001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0.47058823529411475</v>
      </c>
      <c r="Q595">
        <f t="shared" si="990"/>
        <v>11704463.670588164</v>
      </c>
      <c r="R595">
        <f t="shared" si="991"/>
        <v>-713082316.55354857</v>
      </c>
      <c r="S595">
        <f t="shared" si="992"/>
        <v>-7130.8231655354857</v>
      </c>
      <c r="T595">
        <f t="shared" si="993"/>
        <v>-7.1308231655354861</v>
      </c>
    </row>
    <row r="596" spans="1:20" x14ac:dyDescent="0.25">
      <c r="A596" s="5">
        <v>43997</v>
      </c>
      <c r="B596">
        <v>2.07E-2</v>
      </c>
      <c r="C596">
        <v>2.128E-2</v>
      </c>
      <c r="D596">
        <v>1.7680000000000001E-2</v>
      </c>
      <c r="E596">
        <v>1.984E-2</v>
      </c>
      <c r="F596">
        <v>42189380.600000001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0.19999999999999962</v>
      </c>
      <c r="Q596">
        <f t="shared" si="990"/>
        <v>8437876.1199999843</v>
      </c>
      <c r="R596">
        <f t="shared" si="991"/>
        <v>-724786780.22413671</v>
      </c>
      <c r="S596">
        <f t="shared" si="992"/>
        <v>-7247.8678022413669</v>
      </c>
      <c r="T596">
        <f t="shared" si="993"/>
        <v>-7.247867802241367</v>
      </c>
    </row>
    <row r="597" spans="1:20" x14ac:dyDescent="0.25">
      <c r="A597" s="5">
        <v>43996</v>
      </c>
      <c r="B597">
        <v>2.0539999999999999E-2</v>
      </c>
      <c r="C597">
        <v>2.2749999999999999E-2</v>
      </c>
      <c r="D597">
        <v>2.001E-2</v>
      </c>
      <c r="E597">
        <v>2.0660000000000001E-2</v>
      </c>
      <c r="F597">
        <v>52525626.600000001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-0.52554744525547337</v>
      </c>
      <c r="Q597">
        <f t="shared" si="990"/>
        <v>-27604708.870072935</v>
      </c>
      <c r="R597">
        <f t="shared" si="991"/>
        <v>-733224656.34413671</v>
      </c>
      <c r="S597">
        <f t="shared" si="992"/>
        <v>-7332.2465634413675</v>
      </c>
      <c r="T597">
        <f t="shared" si="993"/>
        <v>-7.3322465634413678</v>
      </c>
    </row>
    <row r="598" spans="1:20" x14ac:dyDescent="0.25">
      <c r="A598" s="5">
        <v>43995</v>
      </c>
      <c r="B598">
        <v>1.959E-2</v>
      </c>
      <c r="C598">
        <v>2.0840000000000001E-2</v>
      </c>
      <c r="D598">
        <v>1.9470000000000001E-2</v>
      </c>
      <c r="E598">
        <v>2.0500000000000001E-2</v>
      </c>
      <c r="F598">
        <v>10531417.9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0.50364963503649618</v>
      </c>
      <c r="Q598">
        <f t="shared" si="990"/>
        <v>5304144.7817518236</v>
      </c>
      <c r="R598">
        <f t="shared" si="991"/>
        <v>-705619947.47406375</v>
      </c>
      <c r="S598">
        <f t="shared" si="992"/>
        <v>-7056.1994747406379</v>
      </c>
      <c r="T598">
        <f t="shared" si="993"/>
        <v>-7.0561994747406382</v>
      </c>
    </row>
    <row r="599" spans="1:20" x14ac:dyDescent="0.25">
      <c r="A599" s="5">
        <v>43994</v>
      </c>
      <c r="B599">
        <v>1.821E-2</v>
      </c>
      <c r="C599">
        <v>1.976E-2</v>
      </c>
      <c r="D599">
        <v>1.7899999999999999E-2</v>
      </c>
      <c r="E599">
        <v>1.95E-2</v>
      </c>
      <c r="F599">
        <v>13660549.300000001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0.72043010752688197</v>
      </c>
      <c r="Q599">
        <f t="shared" si="990"/>
        <v>9841471.0010752734</v>
      </c>
      <c r="R599">
        <f t="shared" si="991"/>
        <v>-710924092.25581563</v>
      </c>
      <c r="S599">
        <f t="shared" si="992"/>
        <v>-7109.2409225581559</v>
      </c>
      <c r="T599">
        <f t="shared" si="993"/>
        <v>-7.1092409225581559</v>
      </c>
    </row>
    <row r="600" spans="1:20" x14ac:dyDescent="0.25">
      <c r="A600" s="5">
        <v>43993</v>
      </c>
      <c r="B600">
        <v>2.1069999999999998E-2</v>
      </c>
      <c r="C600">
        <v>2.129E-2</v>
      </c>
      <c r="D600">
        <v>1.721E-2</v>
      </c>
      <c r="E600">
        <v>1.8270000000000002E-2</v>
      </c>
      <c r="F600">
        <v>37869210.200000003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-0.48039215686274422</v>
      </c>
      <c r="Q600">
        <f t="shared" si="990"/>
        <v>-18192071.566666637</v>
      </c>
      <c r="R600">
        <f t="shared" si="991"/>
        <v>-720765563.25689089</v>
      </c>
      <c r="S600">
        <f t="shared" si="992"/>
        <v>-7207.6556325689089</v>
      </c>
      <c r="T600">
        <f t="shared" si="993"/>
        <v>-7.2076556325689092</v>
      </c>
    </row>
    <row r="601" spans="1:20" x14ac:dyDescent="0.25">
      <c r="A601" s="5">
        <v>43992</v>
      </c>
      <c r="B601">
        <v>2.001E-2</v>
      </c>
      <c r="C601">
        <v>2.12E-2</v>
      </c>
      <c r="D601">
        <v>1.9650000000000001E-2</v>
      </c>
      <c r="E601">
        <v>2.1090000000000001E-2</v>
      </c>
      <c r="F601">
        <v>17467760.199999999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0.85806451612903345</v>
      </c>
      <c r="Q601">
        <f t="shared" si="990"/>
        <v>14988465.203870988</v>
      </c>
      <c r="R601">
        <f t="shared" si="991"/>
        <v>-702573491.69022429</v>
      </c>
      <c r="S601">
        <f t="shared" si="992"/>
        <v>-7025.7349169022427</v>
      </c>
      <c r="T601">
        <f t="shared" si="993"/>
        <v>-7.0257349169022429</v>
      </c>
    </row>
    <row r="602" spans="1:20" x14ac:dyDescent="0.25">
      <c r="A602" s="5">
        <v>43991</v>
      </c>
      <c r="B602">
        <v>1.968E-2</v>
      </c>
      <c r="C602">
        <v>2.043E-2</v>
      </c>
      <c r="D602">
        <v>1.8859999999999998E-2</v>
      </c>
      <c r="E602">
        <v>0.02</v>
      </c>
      <c r="F602">
        <v>16199151.800000001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0.45222929936305822</v>
      </c>
      <c r="Q602">
        <f t="shared" si="990"/>
        <v>7325731.0687898239</v>
      </c>
      <c r="R602">
        <f t="shared" si="991"/>
        <v>-717561956.8940953</v>
      </c>
      <c r="S602">
        <f t="shared" si="992"/>
        <v>-7175.6195689409533</v>
      </c>
      <c r="T602">
        <f t="shared" si="993"/>
        <v>-7.1756195689409532</v>
      </c>
    </row>
    <row r="603" spans="1:20" x14ac:dyDescent="0.25">
      <c r="A603" s="5">
        <v>43990</v>
      </c>
      <c r="B603">
        <v>1.975E-2</v>
      </c>
      <c r="C603">
        <v>2.07E-2</v>
      </c>
      <c r="D603">
        <v>1.967E-2</v>
      </c>
      <c r="E603">
        <v>1.9699999999999999E-2</v>
      </c>
      <c r="F603">
        <v>17576837.100000001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-0.94174757281553634</v>
      </c>
      <c r="Q603">
        <f t="shared" si="990"/>
        <v>-16552943.676699072</v>
      </c>
      <c r="R603">
        <f t="shared" si="991"/>
        <v>-724887687.96288514</v>
      </c>
      <c r="S603">
        <f t="shared" si="992"/>
        <v>-7248.8768796288514</v>
      </c>
      <c r="T603">
        <f t="shared" si="993"/>
        <v>-7.2488768796288516</v>
      </c>
    </row>
    <row r="604" spans="1:20" x14ac:dyDescent="0.25">
      <c r="A604" s="5">
        <v>43989</v>
      </c>
      <c r="B604">
        <v>2.002E-2</v>
      </c>
      <c r="C604">
        <v>2.1430000000000001E-2</v>
      </c>
      <c r="D604">
        <v>1.873E-2</v>
      </c>
      <c r="E604">
        <v>1.975E-2</v>
      </c>
      <c r="F604">
        <v>39072621.600000001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-0.24444444444444469</v>
      </c>
      <c r="Q604">
        <f t="shared" si="990"/>
        <v>-9551085.2800000105</v>
      </c>
      <c r="R604">
        <f t="shared" si="991"/>
        <v>-708334744.2861861</v>
      </c>
      <c r="S604">
        <f t="shared" si="992"/>
        <v>-7083.3474428618611</v>
      </c>
      <c r="T604">
        <f t="shared" si="993"/>
        <v>-7.0833474428618608</v>
      </c>
    </row>
    <row r="605" spans="1:20" x14ac:dyDescent="0.25">
      <c r="A605" s="5">
        <v>43988</v>
      </c>
      <c r="B605">
        <v>1.865E-2</v>
      </c>
      <c r="C605">
        <v>2.01E-2</v>
      </c>
      <c r="D605">
        <v>1.8440000000000002E-2</v>
      </c>
      <c r="E605">
        <v>0.02</v>
      </c>
      <c r="F605">
        <v>16778668.100000001</v>
      </c>
      <c r="G605">
        <v>0</v>
      </c>
      <c r="L605" t="s">
        <v>8</v>
      </c>
      <c r="M605" t="s">
        <v>7</v>
      </c>
      <c r="N605" t="s">
        <v>8</v>
      </c>
      <c r="P605">
        <f t="shared" si="989"/>
        <v>0.87951807228915724</v>
      </c>
      <c r="Q605">
        <f t="shared" si="990"/>
        <v>14757141.822891578</v>
      </c>
      <c r="R605">
        <f t="shared" si="991"/>
        <v>-698783659.00618613</v>
      </c>
      <c r="S605">
        <f t="shared" si="992"/>
        <v>-6987.836590061861</v>
      </c>
      <c r="T605">
        <f t="shared" si="993"/>
        <v>-6.9878365900618613</v>
      </c>
    </row>
    <row r="606" spans="1:20" x14ac:dyDescent="0.25">
      <c r="A606" s="5">
        <v>43987</v>
      </c>
      <c r="B606">
        <v>1.874E-2</v>
      </c>
      <c r="C606">
        <v>1.9359999999999999E-2</v>
      </c>
      <c r="D606">
        <v>1.839E-2</v>
      </c>
      <c r="E606">
        <v>1.865E-2</v>
      </c>
      <c r="F606">
        <v>13249072.5</v>
      </c>
      <c r="G606">
        <v>0</v>
      </c>
      <c r="L606" t="s">
        <v>8</v>
      </c>
      <c r="M606" t="s">
        <v>7</v>
      </c>
      <c r="N606" t="s">
        <v>8</v>
      </c>
      <c r="P606">
        <f t="shared" si="989"/>
        <v>-0.4639175257731955</v>
      </c>
      <c r="Q606">
        <f t="shared" si="990"/>
        <v>-6146476.9329896858</v>
      </c>
      <c r="R606">
        <f t="shared" si="991"/>
        <v>-713540800.82907772</v>
      </c>
      <c r="S606">
        <f t="shared" si="992"/>
        <v>-7135.4080082907776</v>
      </c>
      <c r="T606">
        <f t="shared" si="993"/>
        <v>-7.1354080082907778</v>
      </c>
    </row>
    <row r="607" spans="1:20" x14ac:dyDescent="0.25">
      <c r="A607" s="5">
        <v>43986</v>
      </c>
      <c r="B607">
        <v>1.8919999999999999E-2</v>
      </c>
      <c r="C607">
        <v>1.9089999999999999E-2</v>
      </c>
      <c r="D607">
        <v>1.77E-2</v>
      </c>
      <c r="E607">
        <v>1.881E-2</v>
      </c>
      <c r="F607">
        <v>19166087.100000001</v>
      </c>
      <c r="G607">
        <v>0</v>
      </c>
      <c r="L607" t="s">
        <v>8</v>
      </c>
      <c r="M607" t="s">
        <v>7</v>
      </c>
      <c r="N607" t="s">
        <v>8</v>
      </c>
      <c r="P607">
        <f t="shared" si="989"/>
        <v>0.59712230215827444</v>
      </c>
      <c r="Q607">
        <f t="shared" si="990"/>
        <v>11444498.052518006</v>
      </c>
      <c r="R607">
        <f t="shared" si="991"/>
        <v>-707394323.896088</v>
      </c>
      <c r="S607">
        <f t="shared" si="992"/>
        <v>-7073.9432389608801</v>
      </c>
      <c r="T607">
        <f t="shared" si="993"/>
        <v>-7.0739432389608803</v>
      </c>
    </row>
    <row r="608" spans="1:20" x14ac:dyDescent="0.25">
      <c r="A608" s="5">
        <v>43985</v>
      </c>
      <c r="B608">
        <v>1.7819999999999999E-2</v>
      </c>
      <c r="C608">
        <v>1.9460000000000002E-2</v>
      </c>
      <c r="D608">
        <v>1.728E-2</v>
      </c>
      <c r="E608">
        <v>1.8890000000000001E-2</v>
      </c>
      <c r="F608">
        <v>21425150.600000001</v>
      </c>
      <c r="G608">
        <v>0</v>
      </c>
      <c r="L608" t="s">
        <v>7</v>
      </c>
      <c r="M608" t="s">
        <v>7</v>
      </c>
      <c r="N608" t="s">
        <v>8</v>
      </c>
      <c r="P608">
        <f t="shared" si="989"/>
        <v>0.4770642201834856</v>
      </c>
      <c r="Q608">
        <f t="shared" si="990"/>
        <v>10221172.76330274</v>
      </c>
      <c r="R608">
        <f t="shared" si="991"/>
        <v>-718838821.94860601</v>
      </c>
      <c r="S608">
        <f t="shared" si="992"/>
        <v>-7188.3882194860598</v>
      </c>
      <c r="T608">
        <f t="shared" si="993"/>
        <v>-7.1883882194860602</v>
      </c>
    </row>
    <row r="609" spans="1:20" x14ac:dyDescent="0.25">
      <c r="A609" s="5">
        <v>43984</v>
      </c>
      <c r="B609">
        <v>1.7919999999999998E-2</v>
      </c>
      <c r="C609">
        <v>2.0979999999999999E-2</v>
      </c>
      <c r="D609">
        <v>1.6740000000000001E-2</v>
      </c>
      <c r="E609">
        <v>1.7819999999999999E-2</v>
      </c>
      <c r="F609">
        <v>23999550.800000001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-0.49056603773584984</v>
      </c>
      <c r="Q609">
        <f t="shared" si="990"/>
        <v>-11773364.543396246</v>
      </c>
      <c r="R609">
        <f t="shared" si="991"/>
        <v>-729059994.7119087</v>
      </c>
      <c r="S609">
        <f t="shared" si="992"/>
        <v>-7290.5999471190871</v>
      </c>
      <c r="T609">
        <f t="shared" si="993"/>
        <v>-7.2905999471190874</v>
      </c>
    </row>
    <row r="610" spans="1:20" x14ac:dyDescent="0.25">
      <c r="A610" s="5">
        <v>43983</v>
      </c>
      <c r="B610">
        <v>1.6899999999999998E-2</v>
      </c>
      <c r="C610">
        <v>1.9029999999999998E-2</v>
      </c>
      <c r="D610">
        <v>1.6820000000000002E-2</v>
      </c>
      <c r="E610">
        <v>1.7919999999999998E-2</v>
      </c>
      <c r="F610">
        <v>18164653</v>
      </c>
      <c r="G610">
        <v>0</v>
      </c>
      <c r="L610" t="s">
        <v>8</v>
      </c>
      <c r="M610" t="s">
        <v>8</v>
      </c>
      <c r="N610" t="s">
        <v>7</v>
      </c>
      <c r="P610">
        <f t="shared" si="989"/>
        <v>-4.5248868778294468E-3</v>
      </c>
      <c r="Q610">
        <f t="shared" si="990"/>
        <v>-82193.000000025291</v>
      </c>
      <c r="R610">
        <f t="shared" si="991"/>
        <v>-717286630.16851246</v>
      </c>
      <c r="S610">
        <f t="shared" si="992"/>
        <v>-7172.8663016851242</v>
      </c>
      <c r="T610">
        <f t="shared" si="993"/>
        <v>-7.172866301685124</v>
      </c>
    </row>
    <row r="611" spans="1:20" x14ac:dyDescent="0.25">
      <c r="A611" s="5">
        <v>43982</v>
      </c>
      <c r="B611">
        <v>1.8780000000000002E-2</v>
      </c>
      <c r="C611">
        <v>1.9089999999999999E-2</v>
      </c>
      <c r="D611">
        <v>1.5010000000000001E-2</v>
      </c>
      <c r="E611">
        <v>1.6889999999999999E-2</v>
      </c>
      <c r="F611">
        <v>26242691.699999999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-7.8431372549020273E-2</v>
      </c>
      <c r="Q611">
        <f t="shared" si="990"/>
        <v>-2058250.3294117821</v>
      </c>
      <c r="R611">
        <f t="shared" si="991"/>
        <v>-717204437.16851246</v>
      </c>
      <c r="S611">
        <f t="shared" si="992"/>
        <v>-7172.044371685125</v>
      </c>
      <c r="T611">
        <f t="shared" si="993"/>
        <v>-7.172044371685125</v>
      </c>
    </row>
    <row r="612" spans="1:20" x14ac:dyDescent="0.25">
      <c r="A612" s="5">
        <v>43981</v>
      </c>
      <c r="B612">
        <v>2.0119999999999999E-2</v>
      </c>
      <c r="C612">
        <v>2.0230000000000001E-2</v>
      </c>
      <c r="D612">
        <v>1.77E-2</v>
      </c>
      <c r="E612">
        <v>1.881E-2</v>
      </c>
      <c r="F612">
        <v>23397326.300000001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-0.12252964426877515</v>
      </c>
      <c r="Q612">
        <f t="shared" si="990"/>
        <v>-2866866.0683794571</v>
      </c>
      <c r="R612">
        <f t="shared" si="991"/>
        <v>-715146186.83910072</v>
      </c>
      <c r="S612">
        <f t="shared" si="992"/>
        <v>-7151.4618683910076</v>
      </c>
      <c r="T612">
        <f t="shared" si="993"/>
        <v>-7.1514618683910074</v>
      </c>
    </row>
    <row r="613" spans="1:20" x14ac:dyDescent="0.25">
      <c r="A613" s="5">
        <v>43980</v>
      </c>
      <c r="B613">
        <v>1.899E-2</v>
      </c>
      <c r="C613">
        <v>2.0119999999999999E-2</v>
      </c>
      <c r="D613">
        <v>1.8780000000000002E-2</v>
      </c>
      <c r="E613">
        <v>1.9970000000000002E-2</v>
      </c>
      <c r="F613">
        <v>21822703.699999999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0.77611940298507809</v>
      </c>
      <c r="Q613">
        <f t="shared" si="990"/>
        <v>16937023.767164253</v>
      </c>
      <c r="R613">
        <f t="shared" si="991"/>
        <v>-712279320.77072132</v>
      </c>
      <c r="S613">
        <f t="shared" si="992"/>
        <v>-7122.7932077072128</v>
      </c>
      <c r="T613">
        <f t="shared" si="993"/>
        <v>-7.1227932077072129</v>
      </c>
    </row>
    <row r="614" spans="1:20" x14ac:dyDescent="0.25">
      <c r="A614" s="5">
        <v>43979</v>
      </c>
      <c r="B614">
        <v>1.7170000000000001E-2</v>
      </c>
      <c r="C614">
        <v>2.0969999999999999E-2</v>
      </c>
      <c r="D614">
        <v>1.6830000000000001E-2</v>
      </c>
      <c r="E614">
        <v>1.9E-2</v>
      </c>
      <c r="F614">
        <v>38982855.600000001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4.8309178743961088E-2</v>
      </c>
      <c r="Q614">
        <f t="shared" si="990"/>
        <v>1883229.7391304246</v>
      </c>
      <c r="R614">
        <f t="shared" si="991"/>
        <v>-729216344.53788555</v>
      </c>
      <c r="S614">
        <f t="shared" si="992"/>
        <v>-7292.1634453788556</v>
      </c>
      <c r="T614">
        <f t="shared" si="993"/>
        <v>-7.292163445378856</v>
      </c>
    </row>
    <row r="615" spans="1:20" x14ac:dyDescent="0.25">
      <c r="A615" s="5">
        <v>43978</v>
      </c>
      <c r="B615">
        <v>1.7579999999999998E-2</v>
      </c>
      <c r="C615">
        <v>1.9519999999999999E-2</v>
      </c>
      <c r="D615">
        <v>1.6979999999999999E-2</v>
      </c>
      <c r="E615">
        <v>1.7319999999999999E-2</v>
      </c>
      <c r="F615">
        <v>43390165.600000001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-0.73228346456692917</v>
      </c>
      <c r="Q615">
        <f t="shared" si="990"/>
        <v>-31773900.793700788</v>
      </c>
      <c r="R615">
        <f t="shared" si="991"/>
        <v>-731099574.27701592</v>
      </c>
      <c r="S615">
        <f t="shared" si="992"/>
        <v>-7310.9957427701593</v>
      </c>
      <c r="T615">
        <f t="shared" si="993"/>
        <v>-7.3109957427701593</v>
      </c>
    </row>
    <row r="616" spans="1:20" x14ac:dyDescent="0.25">
      <c r="A616" s="5">
        <v>43977</v>
      </c>
      <c r="B616">
        <v>1.882E-2</v>
      </c>
      <c r="C616">
        <v>2.3949999999999999E-2</v>
      </c>
      <c r="D616">
        <v>1.7420000000000001E-2</v>
      </c>
      <c r="E616">
        <v>1.7569999999999999E-2</v>
      </c>
      <c r="F616">
        <v>176712880.5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-0.95405819295559036</v>
      </c>
      <c r="Q616">
        <f t="shared" si="990"/>
        <v>-168594371.44180718</v>
      </c>
      <c r="R616">
        <f t="shared" si="991"/>
        <v>-699325673.48331511</v>
      </c>
      <c r="S616">
        <f t="shared" si="992"/>
        <v>-6993.2567348331513</v>
      </c>
      <c r="T616">
        <f t="shared" si="993"/>
        <v>-6.9932567348331514</v>
      </c>
    </row>
    <row r="617" spans="1:20" x14ac:dyDescent="0.25">
      <c r="A617" s="5">
        <v>43976</v>
      </c>
      <c r="B617">
        <v>1.5509999999999999E-2</v>
      </c>
      <c r="C617">
        <v>1.9980000000000001E-2</v>
      </c>
      <c r="D617">
        <v>1.516E-2</v>
      </c>
      <c r="E617">
        <v>1.8759999999999999E-2</v>
      </c>
      <c r="F617">
        <v>100656308.09999999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0.4937759336099577</v>
      </c>
      <c r="Q617">
        <f t="shared" si="990"/>
        <v>49701662.505809046</v>
      </c>
      <c r="R617">
        <f t="shared" si="991"/>
        <v>-530731302.04150796</v>
      </c>
      <c r="S617">
        <f t="shared" si="992"/>
        <v>-5307.3130204150793</v>
      </c>
      <c r="T617">
        <f t="shared" si="993"/>
        <v>-5.3073130204150791</v>
      </c>
    </row>
    <row r="618" spans="1:20" x14ac:dyDescent="0.25">
      <c r="A618" s="5">
        <v>43975</v>
      </c>
      <c r="B618">
        <v>1.5129999999999999E-2</v>
      </c>
      <c r="C618">
        <v>1.7180000000000001E-2</v>
      </c>
      <c r="D618">
        <v>1.4829999999999999E-2</v>
      </c>
      <c r="E618">
        <v>1.559E-2</v>
      </c>
      <c r="F618">
        <v>57321090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-0.3531914893617023</v>
      </c>
      <c r="Q618">
        <f t="shared" si="990"/>
        <v>-20245321.148936179</v>
      </c>
      <c r="R618">
        <f t="shared" si="991"/>
        <v>-580432964.54731703</v>
      </c>
      <c r="S618">
        <f t="shared" si="992"/>
        <v>-5804.3296454731699</v>
      </c>
      <c r="T618">
        <f t="shared" si="993"/>
        <v>-5.8043296454731701</v>
      </c>
    </row>
    <row r="619" spans="1:20" x14ac:dyDescent="0.25">
      <c r="A619" s="5">
        <v>43974</v>
      </c>
      <c r="B619">
        <v>1.542E-2</v>
      </c>
      <c r="C619">
        <v>1.5640000000000001E-2</v>
      </c>
      <c r="D619">
        <v>1.473E-2</v>
      </c>
      <c r="E619">
        <v>1.507E-2</v>
      </c>
      <c r="F619">
        <v>11272237.6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-0.25274725274725357</v>
      </c>
      <c r="Q619">
        <f t="shared" si="990"/>
        <v>-2849027.085714295</v>
      </c>
      <c r="R619">
        <f t="shared" si="991"/>
        <v>-560187643.39838088</v>
      </c>
      <c r="S619">
        <f t="shared" si="992"/>
        <v>-5601.876433983809</v>
      </c>
      <c r="T619">
        <f t="shared" si="993"/>
        <v>-5.6018764339838087</v>
      </c>
    </row>
    <row r="620" spans="1:20" x14ac:dyDescent="0.25">
      <c r="A620" s="5">
        <v>43973</v>
      </c>
      <c r="B620">
        <v>1.406E-2</v>
      </c>
      <c r="C620">
        <v>1.553E-2</v>
      </c>
      <c r="D620">
        <v>1.366E-2</v>
      </c>
      <c r="E620">
        <v>1.5339999999999999E-2</v>
      </c>
      <c r="F620">
        <v>15449222.800000001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0.79679144385026635</v>
      </c>
      <c r="Q620">
        <f t="shared" si="990"/>
        <v>12309808.541176455</v>
      </c>
      <c r="R620">
        <f t="shared" si="991"/>
        <v>-557338616.31266654</v>
      </c>
      <c r="S620">
        <f t="shared" si="992"/>
        <v>-5573.3861631266655</v>
      </c>
      <c r="T620">
        <f t="shared" si="993"/>
        <v>-5.5733861631266652</v>
      </c>
    </row>
    <row r="621" spans="1:20" x14ac:dyDescent="0.25">
      <c r="A621" s="5">
        <v>43972</v>
      </c>
      <c r="B621">
        <v>1.472E-2</v>
      </c>
      <c r="C621">
        <v>1.506E-2</v>
      </c>
      <c r="D621">
        <v>1.325E-2</v>
      </c>
      <c r="E621">
        <v>1.405E-2</v>
      </c>
      <c r="F621">
        <v>16536085.199999999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-0.11602209944751382</v>
      </c>
      <c r="Q621">
        <f t="shared" si="990"/>
        <v>-1918551.3215469613</v>
      </c>
      <c r="R621">
        <f t="shared" si="991"/>
        <v>-569648424.85384297</v>
      </c>
      <c r="S621">
        <f t="shared" si="992"/>
        <v>-5696.4842485384297</v>
      </c>
      <c r="T621">
        <f t="shared" si="993"/>
        <v>-5.6964842485384297</v>
      </c>
    </row>
    <row r="622" spans="1:20" x14ac:dyDescent="0.25">
      <c r="A622" s="5">
        <v>43971</v>
      </c>
      <c r="B622">
        <v>1.506E-2</v>
      </c>
      <c r="C622">
        <v>1.566E-2</v>
      </c>
      <c r="D622">
        <v>1.4E-2</v>
      </c>
      <c r="E622">
        <v>1.468E-2</v>
      </c>
      <c r="F622">
        <v>19249048.399999999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-0.180722891566265</v>
      </c>
      <c r="Q622">
        <f t="shared" si="990"/>
        <v>-3478743.6867469866</v>
      </c>
      <c r="R622">
        <f t="shared" si="991"/>
        <v>-567729873.53229606</v>
      </c>
      <c r="S622">
        <f t="shared" si="992"/>
        <v>-5677.298735322961</v>
      </c>
      <c r="T622">
        <f t="shared" si="993"/>
        <v>-5.6772987353229611</v>
      </c>
    </row>
    <row r="623" spans="1:20" x14ac:dyDescent="0.25">
      <c r="A623" s="5">
        <v>43970</v>
      </c>
      <c r="B623">
        <v>1.512E-2</v>
      </c>
      <c r="C623">
        <v>1.516E-2</v>
      </c>
      <c r="D623">
        <v>1.457E-2</v>
      </c>
      <c r="E623">
        <v>1.506E-2</v>
      </c>
      <c r="F623">
        <v>15300622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0.66101694915254461</v>
      </c>
      <c r="Q623">
        <f t="shared" si="990"/>
        <v>10113970.474576306</v>
      </c>
      <c r="R623">
        <f t="shared" si="991"/>
        <v>-564251129.84554911</v>
      </c>
      <c r="S623">
        <f t="shared" si="992"/>
        <v>-5642.5112984554908</v>
      </c>
      <c r="T623">
        <f t="shared" si="993"/>
        <v>-5.6425112984554904</v>
      </c>
    </row>
    <row r="624" spans="1:20" x14ac:dyDescent="0.25">
      <c r="A624" s="5">
        <v>43969</v>
      </c>
      <c r="B624">
        <v>1.549E-2</v>
      </c>
      <c r="C624">
        <v>1.6330000000000001E-2</v>
      </c>
      <c r="D624">
        <v>1.4999999999999999E-2</v>
      </c>
      <c r="E624">
        <v>1.5089999999999999E-2</v>
      </c>
      <c r="F624">
        <v>29424300.199999999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-0.8646616541353388</v>
      </c>
      <c r="Q624">
        <f t="shared" si="990"/>
        <v>-25442064.082706779</v>
      </c>
      <c r="R624">
        <f t="shared" si="991"/>
        <v>-574365100.32012546</v>
      </c>
      <c r="S624">
        <f t="shared" si="992"/>
        <v>-5743.6510032012548</v>
      </c>
      <c r="T624">
        <f t="shared" si="993"/>
        <v>-5.7436510032012551</v>
      </c>
    </row>
    <row r="625" spans="1:20" x14ac:dyDescent="0.25">
      <c r="A625" s="5">
        <v>43968</v>
      </c>
      <c r="B625">
        <v>1.4789999999999999E-2</v>
      </c>
      <c r="C625">
        <v>1.566E-2</v>
      </c>
      <c r="D625">
        <v>1.443E-2</v>
      </c>
      <c r="E625">
        <v>1.536E-2</v>
      </c>
      <c r="F625">
        <v>26595336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0.51219512195121975</v>
      </c>
      <c r="Q625">
        <f t="shared" si="990"/>
        <v>13622001.365853665</v>
      </c>
      <c r="R625">
        <f t="shared" si="991"/>
        <v>-548923036.23741865</v>
      </c>
      <c r="S625">
        <f t="shared" si="992"/>
        <v>-5489.2303623741864</v>
      </c>
      <c r="T625">
        <f t="shared" si="993"/>
        <v>-5.4892303623741867</v>
      </c>
    </row>
    <row r="626" spans="1:20" x14ac:dyDescent="0.25">
      <c r="A626" s="5">
        <v>43967</v>
      </c>
      <c r="B626">
        <v>1.324E-2</v>
      </c>
      <c r="C626">
        <v>1.481E-2</v>
      </c>
      <c r="D626">
        <v>1.312E-2</v>
      </c>
      <c r="E626">
        <v>1.4789999999999999E-2</v>
      </c>
      <c r="F626">
        <v>20922868.300000001</v>
      </c>
      <c r="G626">
        <v>0</v>
      </c>
      <c r="L626" t="s">
        <v>8</v>
      </c>
      <c r="M626" t="s">
        <v>8</v>
      </c>
      <c r="N626" t="s">
        <v>7</v>
      </c>
      <c r="P626">
        <f t="shared" si="989"/>
        <v>0.97633136094674444</v>
      </c>
      <c r="Q626">
        <f t="shared" si="990"/>
        <v>20427652.482248496</v>
      </c>
      <c r="R626">
        <f t="shared" si="991"/>
        <v>-562545037.60327232</v>
      </c>
      <c r="S626">
        <f t="shared" si="992"/>
        <v>-5625.4503760327234</v>
      </c>
      <c r="T626">
        <f t="shared" si="993"/>
        <v>-5.625450376032723</v>
      </c>
    </row>
    <row r="627" spans="1:20" x14ac:dyDescent="0.25">
      <c r="A627" s="5">
        <v>43966</v>
      </c>
      <c r="B627">
        <v>1.3440000000000001E-2</v>
      </c>
      <c r="C627">
        <v>1.46E-2</v>
      </c>
      <c r="D627">
        <v>1.312E-2</v>
      </c>
      <c r="E627">
        <v>1.312E-2</v>
      </c>
      <c r="F627">
        <v>22489227.800000001</v>
      </c>
      <c r="G627">
        <v>0</v>
      </c>
      <c r="L627" t="s">
        <v>8</v>
      </c>
      <c r="M627" t="s">
        <v>8</v>
      </c>
      <c r="N627" t="s">
        <v>7</v>
      </c>
      <c r="P627">
        <f t="shared" si="989"/>
        <v>-1</v>
      </c>
      <c r="Q627">
        <f t="shared" si="990"/>
        <v>-22489227.800000001</v>
      </c>
      <c r="R627">
        <f t="shared" si="991"/>
        <v>-582972690.08552086</v>
      </c>
      <c r="S627">
        <f t="shared" si="992"/>
        <v>-5829.7269008552084</v>
      </c>
      <c r="T627">
        <f t="shared" si="993"/>
        <v>-5.8297269008552082</v>
      </c>
    </row>
    <row r="628" spans="1:20" x14ac:dyDescent="0.25">
      <c r="A628" s="5">
        <v>43965</v>
      </c>
      <c r="B628">
        <v>1.329E-2</v>
      </c>
      <c r="C628">
        <v>1.358E-2</v>
      </c>
      <c r="D628">
        <v>1.304E-2</v>
      </c>
      <c r="E628">
        <v>1.3390000000000001E-2</v>
      </c>
      <c r="F628">
        <v>10668550.800000001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0.2962962962963</v>
      </c>
      <c r="Q628">
        <f t="shared" si="990"/>
        <v>3161052.0888889288</v>
      </c>
      <c r="R628">
        <f t="shared" si="991"/>
        <v>-560483462.28552091</v>
      </c>
      <c r="S628">
        <f t="shared" si="992"/>
        <v>-5604.8346228552091</v>
      </c>
      <c r="T628">
        <f t="shared" si="993"/>
        <v>-5.6048346228552095</v>
      </c>
    </row>
    <row r="629" spans="1:20" x14ac:dyDescent="0.25">
      <c r="A629" s="5">
        <v>43964</v>
      </c>
      <c r="B629">
        <v>1.2869999999999999E-2</v>
      </c>
      <c r="C629">
        <v>1.349E-2</v>
      </c>
      <c r="D629">
        <v>1.285E-2</v>
      </c>
      <c r="E629">
        <v>1.329E-2</v>
      </c>
      <c r="F629">
        <v>11701079.5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0.37499999999999828</v>
      </c>
      <c r="Q629">
        <f t="shared" si="990"/>
        <v>4387904.8124999795</v>
      </c>
      <c r="R629">
        <f t="shared" si="991"/>
        <v>-563644514.37440979</v>
      </c>
      <c r="S629">
        <f t="shared" si="992"/>
        <v>-5636.4451437440975</v>
      </c>
      <c r="T629">
        <f t="shared" si="993"/>
        <v>-5.6364451437440977</v>
      </c>
    </row>
    <row r="630" spans="1:20" x14ac:dyDescent="0.25">
      <c r="A630" s="5">
        <v>43963</v>
      </c>
      <c r="B630">
        <v>1.256E-2</v>
      </c>
      <c r="C630">
        <v>1.354E-2</v>
      </c>
      <c r="D630">
        <v>1.243E-2</v>
      </c>
      <c r="E630">
        <v>1.281E-2</v>
      </c>
      <c r="F630">
        <v>11801041.1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-0.31531531531531498</v>
      </c>
      <c r="Q630">
        <f t="shared" si="990"/>
        <v>-3721048.9954954917</v>
      </c>
      <c r="R630">
        <f t="shared" si="991"/>
        <v>-568032419.18690979</v>
      </c>
      <c r="S630">
        <f t="shared" si="992"/>
        <v>-5680.3241918690983</v>
      </c>
      <c r="T630">
        <f t="shared" si="993"/>
        <v>-5.6803241918690981</v>
      </c>
    </row>
    <row r="631" spans="1:20" x14ac:dyDescent="0.25">
      <c r="A631" s="5">
        <v>43962</v>
      </c>
      <c r="B631">
        <v>1.2460000000000001E-2</v>
      </c>
      <c r="C631">
        <v>1.2699999999999999E-2</v>
      </c>
      <c r="D631">
        <v>1.1469999999999999E-2</v>
      </c>
      <c r="E631">
        <v>1.256E-2</v>
      </c>
      <c r="F631">
        <v>13063442.199999999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0.77235772357723664</v>
      </c>
      <c r="Q631">
        <f t="shared" si="990"/>
        <v>10089650.479674807</v>
      </c>
      <c r="R631">
        <f t="shared" si="991"/>
        <v>-564311370.19141436</v>
      </c>
      <c r="S631">
        <f t="shared" si="992"/>
        <v>-5643.1137019141433</v>
      </c>
      <c r="T631">
        <f t="shared" si="993"/>
        <v>-5.6431137019141433</v>
      </c>
    </row>
    <row r="632" spans="1:20" x14ac:dyDescent="0.25">
      <c r="A632" s="5">
        <v>43961</v>
      </c>
      <c r="B632">
        <v>1.393E-2</v>
      </c>
      <c r="C632">
        <v>1.3979999999999999E-2</v>
      </c>
      <c r="D632">
        <v>1.1310000000000001E-2</v>
      </c>
      <c r="E632">
        <v>1.2449999999999999E-2</v>
      </c>
      <c r="F632">
        <v>26977244.300000001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-0.14606741573033769</v>
      </c>
      <c r="Q632">
        <f t="shared" si="990"/>
        <v>-3940496.3584269825</v>
      </c>
      <c r="R632">
        <f t="shared" si="991"/>
        <v>-574401020.67108917</v>
      </c>
      <c r="S632">
        <f t="shared" si="992"/>
        <v>-5744.0102067108919</v>
      </c>
      <c r="T632">
        <f t="shared" si="993"/>
        <v>-5.7440102067108922</v>
      </c>
    </row>
    <row r="633" spans="1:20" x14ac:dyDescent="0.25">
      <c r="A633" s="5">
        <v>43960</v>
      </c>
      <c r="B633">
        <v>1.358E-2</v>
      </c>
      <c r="C633">
        <v>1.457E-2</v>
      </c>
      <c r="D633">
        <v>1.3440000000000001E-2</v>
      </c>
      <c r="E633">
        <v>1.404E-2</v>
      </c>
      <c r="F633">
        <v>18235718.300000001</v>
      </c>
      <c r="G633">
        <v>0</v>
      </c>
      <c r="L633" t="s">
        <v>8</v>
      </c>
      <c r="M633" t="s">
        <v>7</v>
      </c>
      <c r="N633" t="s">
        <v>8</v>
      </c>
      <c r="P633">
        <f t="shared" si="989"/>
        <v>6.1946902654867853E-2</v>
      </c>
      <c r="Q633">
        <f t="shared" si="990"/>
        <v>1129646.2663716923</v>
      </c>
      <c r="R633">
        <f t="shared" si="991"/>
        <v>-570460524.31266224</v>
      </c>
      <c r="S633">
        <f t="shared" si="992"/>
        <v>-5704.6052431266226</v>
      </c>
      <c r="T633">
        <f t="shared" si="993"/>
        <v>-5.7046052431266228</v>
      </c>
    </row>
    <row r="634" spans="1:20" x14ac:dyDescent="0.25">
      <c r="A634" s="5">
        <v>43959</v>
      </c>
      <c r="B634">
        <v>1.3299999999999999E-2</v>
      </c>
      <c r="C634">
        <v>1.4200000000000001E-2</v>
      </c>
      <c r="D634">
        <v>1.2999999999999999E-2</v>
      </c>
      <c r="E634">
        <v>1.3650000000000001E-2</v>
      </c>
      <c r="F634">
        <v>17619887.800000001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8.3333333333334175E-2</v>
      </c>
      <c r="Q634">
        <f t="shared" si="990"/>
        <v>1468323.9833333483</v>
      </c>
      <c r="R634">
        <f t="shared" si="991"/>
        <v>-571590170.57903397</v>
      </c>
      <c r="S634">
        <f t="shared" si="992"/>
        <v>-5715.9017057903393</v>
      </c>
      <c r="T634">
        <f t="shared" si="993"/>
        <v>-5.7159017057903396</v>
      </c>
    </row>
    <row r="635" spans="1:20" x14ac:dyDescent="0.25">
      <c r="A635" s="5">
        <v>43958</v>
      </c>
      <c r="B635">
        <v>1.353E-2</v>
      </c>
      <c r="C635">
        <v>1.3780000000000001E-2</v>
      </c>
      <c r="D635">
        <v>1.2880000000000001E-2</v>
      </c>
      <c r="E635">
        <v>1.321E-2</v>
      </c>
      <c r="F635">
        <v>12423743.6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-0.26666666666666938</v>
      </c>
      <c r="Q635">
        <f t="shared" si="990"/>
        <v>-3312998.293333367</v>
      </c>
      <c r="R635">
        <f t="shared" si="991"/>
        <v>-573058494.56236732</v>
      </c>
      <c r="S635">
        <f t="shared" si="992"/>
        <v>-5730.5849456236729</v>
      </c>
      <c r="T635">
        <f t="shared" si="993"/>
        <v>-5.730584945623673</v>
      </c>
    </row>
    <row r="636" spans="1:20" x14ac:dyDescent="0.25">
      <c r="A636" s="5">
        <v>43957</v>
      </c>
      <c r="B636">
        <v>1.4E-2</v>
      </c>
      <c r="C636">
        <v>1.435E-2</v>
      </c>
      <c r="D636">
        <v>1.35E-2</v>
      </c>
      <c r="E636">
        <v>1.357E-2</v>
      </c>
      <c r="F636">
        <v>15483332.5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-0.83529411764705741</v>
      </c>
      <c r="Q636">
        <f t="shared" si="990"/>
        <v>-12933136.558823507</v>
      </c>
      <c r="R636">
        <f t="shared" si="991"/>
        <v>-569745496.26903391</v>
      </c>
      <c r="S636">
        <f t="shared" si="992"/>
        <v>-5697.454962690339</v>
      </c>
      <c r="T636">
        <f t="shared" si="993"/>
        <v>-5.6974549626903386</v>
      </c>
    </row>
    <row r="637" spans="1:20" x14ac:dyDescent="0.25">
      <c r="A637" s="5">
        <v>43956</v>
      </c>
      <c r="B637">
        <v>1.3939999999999999E-2</v>
      </c>
      <c r="C637">
        <v>1.4319999999999999E-2</v>
      </c>
      <c r="D637">
        <v>1.3350000000000001E-2</v>
      </c>
      <c r="E637">
        <v>1.4E-2</v>
      </c>
      <c r="F637">
        <v>11658472.4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0.34020618556701121</v>
      </c>
      <c r="Q637">
        <f t="shared" si="990"/>
        <v>3966284.4247422786</v>
      </c>
      <c r="R637">
        <f t="shared" si="991"/>
        <v>-556812359.71021044</v>
      </c>
      <c r="S637">
        <f t="shared" si="992"/>
        <v>-5568.1235971021042</v>
      </c>
      <c r="T637">
        <f t="shared" si="993"/>
        <v>-5.5681235971021046</v>
      </c>
    </row>
    <row r="638" spans="1:20" x14ac:dyDescent="0.25">
      <c r="A638" s="5">
        <v>43955</v>
      </c>
      <c r="B638">
        <v>1.439E-2</v>
      </c>
      <c r="C638">
        <v>1.4420000000000001E-2</v>
      </c>
      <c r="D638">
        <v>1.345E-2</v>
      </c>
      <c r="E638">
        <v>1.393E-2</v>
      </c>
      <c r="F638">
        <v>16462018.300000001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-1.0309278350516829E-2</v>
      </c>
      <c r="Q638">
        <f t="shared" si="990"/>
        <v>-169711.52886600187</v>
      </c>
      <c r="R638">
        <f t="shared" si="991"/>
        <v>-560778644.13495266</v>
      </c>
      <c r="S638">
        <f t="shared" si="992"/>
        <v>-5607.7864413495263</v>
      </c>
      <c r="T638">
        <f t="shared" si="993"/>
        <v>-5.6077864413495266</v>
      </c>
    </row>
    <row r="639" spans="1:20" x14ac:dyDescent="0.25">
      <c r="A639" s="5">
        <v>43954</v>
      </c>
      <c r="B639">
        <v>1.4749999999999999E-2</v>
      </c>
      <c r="C639">
        <v>1.495E-2</v>
      </c>
      <c r="D639">
        <v>1.4109999999999999E-2</v>
      </c>
      <c r="E639">
        <v>1.44E-2</v>
      </c>
      <c r="F639">
        <v>13055093.9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-0.30952380952380915</v>
      </c>
      <c r="Q639">
        <f t="shared" si="990"/>
        <v>-4040862.397619043</v>
      </c>
      <c r="R639">
        <f t="shared" si="991"/>
        <v>-560608932.60608661</v>
      </c>
      <c r="S639">
        <f t="shared" si="992"/>
        <v>-5606.0893260608664</v>
      </c>
      <c r="T639">
        <f t="shared" si="993"/>
        <v>-5.6060893260608662</v>
      </c>
    </row>
    <row r="640" spans="1:20" x14ac:dyDescent="0.25">
      <c r="A640" s="5">
        <v>43953</v>
      </c>
      <c r="B640">
        <v>1.4619999999999999E-2</v>
      </c>
      <c r="C640">
        <v>1.49E-2</v>
      </c>
      <c r="D640">
        <v>1.452E-2</v>
      </c>
      <c r="E640">
        <v>1.473E-2</v>
      </c>
      <c r="F640">
        <v>12522156.800000001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0.10526315789473709</v>
      </c>
      <c r="Q640">
        <f t="shared" si="990"/>
        <v>1318121.7684210557</v>
      </c>
      <c r="R640">
        <f t="shared" si="991"/>
        <v>-556568070.2084676</v>
      </c>
      <c r="S640">
        <f t="shared" si="992"/>
        <v>-5565.6807020846763</v>
      </c>
      <c r="T640">
        <f t="shared" si="993"/>
        <v>-5.5656807020846761</v>
      </c>
    </row>
    <row r="641" spans="1:20" x14ac:dyDescent="0.25">
      <c r="A641" s="5">
        <v>43952</v>
      </c>
      <c r="B641">
        <v>1.405E-2</v>
      </c>
      <c r="C641">
        <v>1.499E-2</v>
      </c>
      <c r="D641">
        <v>1.405E-2</v>
      </c>
      <c r="E641">
        <v>1.4619999999999999E-2</v>
      </c>
      <c r="F641">
        <v>17865120.199999999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0.21276595744680726</v>
      </c>
      <c r="Q641">
        <f t="shared" si="990"/>
        <v>3801089.4042552966</v>
      </c>
      <c r="R641">
        <f t="shared" si="991"/>
        <v>-557886191.97688866</v>
      </c>
      <c r="S641">
        <f t="shared" si="992"/>
        <v>-5578.8619197688868</v>
      </c>
      <c r="T641">
        <f t="shared" si="993"/>
        <v>-5.5788619197688867</v>
      </c>
    </row>
    <row r="642" spans="1:20" x14ac:dyDescent="0.25">
      <c r="A642" s="5">
        <v>43951</v>
      </c>
      <c r="B642">
        <v>1.502E-2</v>
      </c>
      <c r="C642">
        <v>1.536E-2</v>
      </c>
      <c r="D642">
        <v>1.3809999999999999E-2</v>
      </c>
      <c r="E642">
        <v>1.405E-2</v>
      </c>
      <c r="F642">
        <v>36299576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-0.69032258064516072</v>
      </c>
      <c r="Q642">
        <f t="shared" si="990"/>
        <v>-25058416.980645142</v>
      </c>
      <c r="R642">
        <f t="shared" si="991"/>
        <v>-561687281.38114393</v>
      </c>
      <c r="S642">
        <f t="shared" si="992"/>
        <v>-5616.8728138114393</v>
      </c>
      <c r="T642">
        <f t="shared" si="993"/>
        <v>-5.6168728138114394</v>
      </c>
    </row>
    <row r="643" spans="1:20" x14ac:dyDescent="0.25">
      <c r="A643" s="5">
        <v>43950</v>
      </c>
      <c r="B643">
        <v>1.4670000000000001E-2</v>
      </c>
      <c r="C643">
        <v>1.559E-2</v>
      </c>
      <c r="D643">
        <v>1.4670000000000001E-2</v>
      </c>
      <c r="E643">
        <v>1.499E-2</v>
      </c>
      <c r="F643">
        <v>35873624.5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-0.30434782608695765</v>
      </c>
      <c r="Q643">
        <f t="shared" si="990"/>
        <v>-10918059.630434822</v>
      </c>
      <c r="R643">
        <f t="shared" si="991"/>
        <v>-536628864.40049875</v>
      </c>
      <c r="S643">
        <f t="shared" si="992"/>
        <v>-5366.2886440049879</v>
      </c>
      <c r="T643">
        <f t="shared" si="993"/>
        <v>-5.366288644004988</v>
      </c>
    </row>
    <row r="644" spans="1:20" x14ac:dyDescent="0.25">
      <c r="A644" s="5">
        <v>43949</v>
      </c>
      <c r="B644">
        <v>1.44E-2</v>
      </c>
      <c r="C644">
        <v>1.4999999999999999E-2</v>
      </c>
      <c r="D644">
        <v>1.41E-2</v>
      </c>
      <c r="E644">
        <v>1.474E-2</v>
      </c>
      <c r="F644">
        <v>13196890.9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0.4222222222222225</v>
      </c>
      <c r="Q644">
        <f t="shared" si="990"/>
        <v>5572020.6022222256</v>
      </c>
      <c r="R644">
        <f t="shared" si="991"/>
        <v>-525710804.77006394</v>
      </c>
      <c r="S644">
        <f t="shared" si="992"/>
        <v>-5257.108047700639</v>
      </c>
      <c r="T644">
        <f t="shared" si="993"/>
        <v>-5.2571080477006387</v>
      </c>
    </row>
    <row r="645" spans="1:20" x14ac:dyDescent="0.25">
      <c r="A645" s="5">
        <v>43948</v>
      </c>
      <c r="B645">
        <v>1.438E-2</v>
      </c>
      <c r="C645">
        <v>1.4800000000000001E-2</v>
      </c>
      <c r="D645">
        <v>1.4069999999999999E-2</v>
      </c>
      <c r="E645">
        <v>1.44E-2</v>
      </c>
      <c r="F645">
        <v>15741609.5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-9.5890410958904757E-2</v>
      </c>
      <c r="Q645">
        <f t="shared" si="990"/>
        <v>-1509469.4041095993</v>
      </c>
      <c r="R645">
        <f t="shared" si="991"/>
        <v>-531282825.37228614</v>
      </c>
      <c r="S645">
        <f t="shared" si="992"/>
        <v>-5312.8282537228615</v>
      </c>
      <c r="T645">
        <f t="shared" si="993"/>
        <v>-5.3128282537228619</v>
      </c>
    </row>
    <row r="646" spans="1:20" x14ac:dyDescent="0.25">
      <c r="A646" s="5">
        <v>43947</v>
      </c>
      <c r="B646">
        <v>1.457E-2</v>
      </c>
      <c r="C646">
        <v>1.541E-2</v>
      </c>
      <c r="D646">
        <v>1.427E-2</v>
      </c>
      <c r="E646">
        <v>1.438E-2</v>
      </c>
      <c r="F646">
        <v>38015918.600000001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-0.80701754385964797</v>
      </c>
      <c r="Q646">
        <f t="shared" ref="Q646:Q709" si="995">F646*P646</f>
        <v>-30679513.256140307</v>
      </c>
      <c r="R646">
        <f t="shared" ref="R646:R709" si="996">R647+Q646</f>
        <v>-529773355.96817654</v>
      </c>
      <c r="S646">
        <f t="shared" ref="S646:S709" si="997">R646/100000</f>
        <v>-5297.7335596817657</v>
      </c>
      <c r="T646">
        <f t="shared" ref="T646:T709" si="998">S646/1000</f>
        <v>-5.2977335596817658</v>
      </c>
    </row>
    <row r="647" spans="1:20" x14ac:dyDescent="0.25">
      <c r="A647" s="5">
        <v>43946</v>
      </c>
      <c r="B647">
        <v>1.3599999999999999E-2</v>
      </c>
      <c r="C647">
        <v>1.49E-2</v>
      </c>
      <c r="D647">
        <v>1.328E-2</v>
      </c>
      <c r="E647">
        <v>1.465E-2</v>
      </c>
      <c r="F647">
        <v>39322000.100000001</v>
      </c>
      <c r="G647">
        <v>0</v>
      </c>
      <c r="L647" t="s">
        <v>8</v>
      </c>
      <c r="M647" t="s">
        <v>8</v>
      </c>
      <c r="N647" t="s">
        <v>7</v>
      </c>
      <c r="P647">
        <f t="shared" si="994"/>
        <v>0.69135802469135776</v>
      </c>
      <c r="Q647">
        <f t="shared" si="995"/>
        <v>27185580.316049375</v>
      </c>
      <c r="R647">
        <f t="shared" si="996"/>
        <v>-499093842.71203625</v>
      </c>
      <c r="S647">
        <f t="shared" si="997"/>
        <v>-4990.9384271203626</v>
      </c>
      <c r="T647">
        <f t="shared" si="998"/>
        <v>-4.990938427120363</v>
      </c>
    </row>
    <row r="648" spans="1:20" x14ac:dyDescent="0.25">
      <c r="A648" s="5">
        <v>43945</v>
      </c>
      <c r="B648">
        <v>1.3100000000000001E-2</v>
      </c>
      <c r="C648">
        <v>1.4030000000000001E-2</v>
      </c>
      <c r="D648">
        <v>1.3089999999999999E-2</v>
      </c>
      <c r="E648">
        <v>1.3599999999999999E-2</v>
      </c>
      <c r="F648">
        <v>24712412.800000001</v>
      </c>
      <c r="G648">
        <v>0</v>
      </c>
      <c r="L648" t="s">
        <v>8</v>
      </c>
      <c r="M648" t="s">
        <v>8</v>
      </c>
      <c r="N648" t="s">
        <v>7</v>
      </c>
      <c r="P648">
        <f t="shared" si="994"/>
        <v>8.510638297872164E-2</v>
      </c>
      <c r="Q648">
        <f t="shared" si="995"/>
        <v>2103184.0680850628</v>
      </c>
      <c r="R648">
        <f t="shared" si="996"/>
        <v>-526279423.02808565</v>
      </c>
      <c r="S648">
        <f t="shared" si="997"/>
        <v>-5262.7942302808569</v>
      </c>
      <c r="T648">
        <f t="shared" si="998"/>
        <v>-5.262794230280857</v>
      </c>
    </row>
    <row r="649" spans="1:20" x14ac:dyDescent="0.25">
      <c r="A649" s="5">
        <v>43944</v>
      </c>
      <c r="B649">
        <v>1.295E-2</v>
      </c>
      <c r="C649">
        <v>1.3610000000000001E-2</v>
      </c>
      <c r="D649">
        <v>1.251E-2</v>
      </c>
      <c r="E649">
        <v>1.3089999999999999E-2</v>
      </c>
      <c r="F649">
        <v>16614086.4</v>
      </c>
      <c r="G649">
        <v>0</v>
      </c>
      <c r="L649" t="s">
        <v>8</v>
      </c>
      <c r="M649" t="s">
        <v>8</v>
      </c>
      <c r="N649" t="s">
        <v>7</v>
      </c>
      <c r="P649">
        <f t="shared" si="994"/>
        <v>5.4545454545452308E-2</v>
      </c>
      <c r="Q649">
        <f t="shared" si="995"/>
        <v>906222.8945454174</v>
      </c>
      <c r="R649">
        <f t="shared" si="996"/>
        <v>-528382607.09617072</v>
      </c>
      <c r="S649">
        <f t="shared" si="997"/>
        <v>-5283.826070961707</v>
      </c>
      <c r="T649">
        <f t="shared" si="998"/>
        <v>-5.2838260709617071</v>
      </c>
    </row>
    <row r="650" spans="1:20" x14ac:dyDescent="0.25">
      <c r="A650" s="5">
        <v>43943</v>
      </c>
      <c r="B650">
        <v>1.23E-2</v>
      </c>
      <c r="C650">
        <v>1.325E-2</v>
      </c>
      <c r="D650">
        <v>1.2160000000000001E-2</v>
      </c>
      <c r="E650">
        <v>1.302E-2</v>
      </c>
      <c r="F650">
        <v>16729247.300000001</v>
      </c>
      <c r="G650">
        <v>0</v>
      </c>
      <c r="L650" t="s">
        <v>8</v>
      </c>
      <c r="M650" t="s">
        <v>8</v>
      </c>
      <c r="N650" t="s">
        <v>7</v>
      </c>
      <c r="P650">
        <f t="shared" si="994"/>
        <v>0.57798165137614765</v>
      </c>
      <c r="Q650">
        <f t="shared" si="995"/>
        <v>9669197.980733959</v>
      </c>
      <c r="R650">
        <f t="shared" si="996"/>
        <v>-529288829.99071616</v>
      </c>
      <c r="S650">
        <f t="shared" si="997"/>
        <v>-5292.888299907162</v>
      </c>
      <c r="T650">
        <f t="shared" si="998"/>
        <v>-5.2928882999071618</v>
      </c>
    </row>
    <row r="651" spans="1:20" x14ac:dyDescent="0.25">
      <c r="A651" s="5">
        <v>43942</v>
      </c>
      <c r="B651">
        <v>1.23E-2</v>
      </c>
      <c r="C651">
        <v>1.2659999999999999E-2</v>
      </c>
      <c r="D651">
        <v>1.2030000000000001E-2</v>
      </c>
      <c r="E651">
        <v>1.23E-2</v>
      </c>
      <c r="F651">
        <v>8903199.3000000007</v>
      </c>
      <c r="G651">
        <v>0</v>
      </c>
      <c r="L651" t="s">
        <v>7</v>
      </c>
      <c r="M651" t="s">
        <v>8</v>
      </c>
      <c r="N651" t="s">
        <v>7</v>
      </c>
      <c r="P651">
        <f t="shared" si="994"/>
        <v>-0.14285714285714285</v>
      </c>
      <c r="Q651">
        <f t="shared" si="995"/>
        <v>-1271885.6142857142</v>
      </c>
      <c r="R651">
        <f t="shared" si="996"/>
        <v>-538958027.97145009</v>
      </c>
      <c r="S651">
        <f t="shared" si="997"/>
        <v>-5389.5802797145006</v>
      </c>
      <c r="T651">
        <f t="shared" si="998"/>
        <v>-5.3895802797145009</v>
      </c>
    </row>
    <row r="652" spans="1:20" x14ac:dyDescent="0.25">
      <c r="A652" s="5">
        <v>43941</v>
      </c>
      <c r="B652">
        <v>1.3390000000000001E-2</v>
      </c>
      <c r="C652">
        <v>1.417E-2</v>
      </c>
      <c r="D652">
        <v>1.2019999999999999E-2</v>
      </c>
      <c r="E652">
        <v>1.23E-2</v>
      </c>
      <c r="F652">
        <v>40399305.600000001</v>
      </c>
      <c r="G652">
        <v>0</v>
      </c>
      <c r="L652" t="s">
        <v>8</v>
      </c>
      <c r="M652" t="s">
        <v>8</v>
      </c>
      <c r="N652" t="s">
        <v>7</v>
      </c>
      <c r="P652">
        <f t="shared" si="994"/>
        <v>-0.73953488372092968</v>
      </c>
      <c r="Q652">
        <f t="shared" si="995"/>
        <v>-29876695.769302305</v>
      </c>
      <c r="R652">
        <f t="shared" si="996"/>
        <v>-537686142.35716438</v>
      </c>
      <c r="S652">
        <f t="shared" si="997"/>
        <v>-5376.8614235716441</v>
      </c>
      <c r="T652">
        <f t="shared" si="998"/>
        <v>-5.3768614235716443</v>
      </c>
    </row>
    <row r="653" spans="1:20" x14ac:dyDescent="0.25">
      <c r="A653" s="5">
        <v>43940</v>
      </c>
      <c r="B653">
        <v>1.2869999999999999E-2</v>
      </c>
      <c r="C653">
        <v>1.383E-2</v>
      </c>
      <c r="D653">
        <v>1.2760000000000001E-2</v>
      </c>
      <c r="E653">
        <v>1.345E-2</v>
      </c>
      <c r="F653">
        <v>45951962</v>
      </c>
      <c r="G653">
        <v>0</v>
      </c>
      <c r="L653" t="s">
        <v>8</v>
      </c>
      <c r="M653" t="s">
        <v>8</v>
      </c>
      <c r="N653" t="s">
        <v>7</v>
      </c>
      <c r="P653">
        <f t="shared" si="994"/>
        <v>0.28971962616822389</v>
      </c>
      <c r="Q653">
        <f t="shared" si="995"/>
        <v>13313185.252336429</v>
      </c>
      <c r="R653">
        <f t="shared" si="996"/>
        <v>-507809446.58786207</v>
      </c>
      <c r="S653">
        <f t="shared" si="997"/>
        <v>-5078.0944658786211</v>
      </c>
      <c r="T653">
        <f t="shared" si="998"/>
        <v>-5.0780944658786211</v>
      </c>
    </row>
    <row r="654" spans="1:20" x14ac:dyDescent="0.25">
      <c r="A654" s="5">
        <v>43939</v>
      </c>
      <c r="B654">
        <v>1.26E-2</v>
      </c>
      <c r="C654">
        <v>1.3010000000000001E-2</v>
      </c>
      <c r="D654">
        <v>1.251E-2</v>
      </c>
      <c r="E654">
        <v>1.2829999999999999E-2</v>
      </c>
      <c r="F654">
        <v>13921824.9</v>
      </c>
      <c r="G654">
        <v>0</v>
      </c>
      <c r="L654" t="s">
        <v>8</v>
      </c>
      <c r="M654" t="s">
        <v>8</v>
      </c>
      <c r="N654" t="s">
        <v>7</v>
      </c>
      <c r="P654">
        <f t="shared" si="994"/>
        <v>0.27999999999999531</v>
      </c>
      <c r="Q654">
        <f t="shared" si="995"/>
        <v>3898110.9719999349</v>
      </c>
      <c r="R654">
        <f t="shared" si="996"/>
        <v>-521122631.84019852</v>
      </c>
      <c r="S654">
        <f t="shared" si="997"/>
        <v>-5211.2263184019848</v>
      </c>
      <c r="T654">
        <f t="shared" si="998"/>
        <v>-5.2112263184019847</v>
      </c>
    </row>
    <row r="655" spans="1:20" x14ac:dyDescent="0.25">
      <c r="A655" s="5">
        <v>43938</v>
      </c>
      <c r="B655">
        <v>1.259E-2</v>
      </c>
      <c r="C655">
        <v>1.2869999999999999E-2</v>
      </c>
      <c r="D655">
        <v>1.2330000000000001E-2</v>
      </c>
      <c r="E655">
        <v>1.259E-2</v>
      </c>
      <c r="F655">
        <v>12158257.699999999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-3.7037037037035613E-2</v>
      </c>
      <c r="Q655">
        <f t="shared" si="995"/>
        <v>-450305.84074072342</v>
      </c>
      <c r="R655">
        <f t="shared" si="996"/>
        <v>-525020742.81219846</v>
      </c>
      <c r="S655">
        <f t="shared" si="997"/>
        <v>-5250.2074281219848</v>
      </c>
      <c r="T655">
        <f t="shared" si="998"/>
        <v>-5.2502074281219846</v>
      </c>
    </row>
    <row r="656" spans="1:20" x14ac:dyDescent="0.25">
      <c r="A656" s="5">
        <v>43937</v>
      </c>
      <c r="B656">
        <v>1.1820000000000001E-2</v>
      </c>
      <c r="C656">
        <v>1.277E-2</v>
      </c>
      <c r="D656">
        <v>1.0789999999999999E-2</v>
      </c>
      <c r="E656">
        <v>1.257E-2</v>
      </c>
      <c r="F656">
        <v>22506879.300000001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0.79797979797979757</v>
      </c>
      <c r="Q656">
        <f t="shared" si="995"/>
        <v>17960034.996969689</v>
      </c>
      <c r="R656">
        <f t="shared" si="996"/>
        <v>-524570436.97145772</v>
      </c>
      <c r="S656">
        <f t="shared" si="997"/>
        <v>-5245.7043697145773</v>
      </c>
      <c r="T656">
        <f t="shared" si="998"/>
        <v>-5.2457043697145771</v>
      </c>
    </row>
    <row r="657" spans="1:20" x14ac:dyDescent="0.25">
      <c r="A657" s="5">
        <v>43936</v>
      </c>
      <c r="B657">
        <v>1.265E-2</v>
      </c>
      <c r="C657">
        <v>1.299E-2</v>
      </c>
      <c r="D657">
        <v>1.18E-2</v>
      </c>
      <c r="E657">
        <v>1.1820000000000001E-2</v>
      </c>
      <c r="F657">
        <v>19602692.399999999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-0.96638655462184719</v>
      </c>
      <c r="Q657">
        <f t="shared" si="995"/>
        <v>-18943778.369747866</v>
      </c>
      <c r="R657">
        <f t="shared" si="996"/>
        <v>-542530471.96842742</v>
      </c>
      <c r="S657">
        <f t="shared" si="997"/>
        <v>-5425.3047196842745</v>
      </c>
      <c r="T657">
        <f t="shared" si="998"/>
        <v>-5.4253047196842745</v>
      </c>
    </row>
    <row r="658" spans="1:20" x14ac:dyDescent="0.25">
      <c r="A658" s="5">
        <v>43935</v>
      </c>
      <c r="B658">
        <v>1.2239999999999999E-2</v>
      </c>
      <c r="C658">
        <v>1.294E-2</v>
      </c>
      <c r="D658">
        <v>1.206E-2</v>
      </c>
      <c r="E658">
        <v>1.265E-2</v>
      </c>
      <c r="F658">
        <v>14008755.300000001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0.34090909090909061</v>
      </c>
      <c r="Q658">
        <f t="shared" si="995"/>
        <v>4775712.0340909055</v>
      </c>
      <c r="R658">
        <f t="shared" si="996"/>
        <v>-523586693.59867954</v>
      </c>
      <c r="S658">
        <f t="shared" si="997"/>
        <v>-5235.8669359867954</v>
      </c>
      <c r="T658">
        <f t="shared" si="998"/>
        <v>-5.2358669359867953</v>
      </c>
    </row>
    <row r="659" spans="1:20" x14ac:dyDescent="0.25">
      <c r="A659" s="5">
        <v>43934</v>
      </c>
      <c r="B659">
        <v>1.2670000000000001E-2</v>
      </c>
      <c r="C659">
        <v>1.2829999999999999E-2</v>
      </c>
      <c r="D659">
        <v>1.1939999999999999E-2</v>
      </c>
      <c r="E659">
        <v>1.2239999999999999E-2</v>
      </c>
      <c r="F659">
        <v>10031433.300000001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-0.32584269662921378</v>
      </c>
      <c r="Q659">
        <f t="shared" si="995"/>
        <v>-3268669.2775280932</v>
      </c>
      <c r="R659">
        <f t="shared" si="996"/>
        <v>-528362405.63277042</v>
      </c>
      <c r="S659">
        <f t="shared" si="997"/>
        <v>-5283.6240563277042</v>
      </c>
      <c r="T659">
        <f t="shared" si="998"/>
        <v>-5.2836240563277039</v>
      </c>
    </row>
    <row r="660" spans="1:20" x14ac:dyDescent="0.25">
      <c r="A660" s="5">
        <v>43933</v>
      </c>
      <c r="B660">
        <v>1.252E-2</v>
      </c>
      <c r="C660">
        <v>1.3299999999999999E-2</v>
      </c>
      <c r="D660">
        <v>1.234E-2</v>
      </c>
      <c r="E660">
        <v>1.278E-2</v>
      </c>
      <c r="F660">
        <v>14144917.9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-8.3333333333333634E-2</v>
      </c>
      <c r="Q660">
        <f t="shared" si="995"/>
        <v>-1178743.1583333376</v>
      </c>
      <c r="R660">
        <f t="shared" si="996"/>
        <v>-525093736.35524231</v>
      </c>
      <c r="S660">
        <f t="shared" si="997"/>
        <v>-5250.9373635524234</v>
      </c>
      <c r="T660">
        <f t="shared" si="998"/>
        <v>-5.2509373635524232</v>
      </c>
    </row>
    <row r="661" spans="1:20" x14ac:dyDescent="0.25">
      <c r="A661" s="5">
        <v>43932</v>
      </c>
      <c r="B661">
        <v>1.252E-2</v>
      </c>
      <c r="C661">
        <v>1.2919999999999999E-2</v>
      </c>
      <c r="D661">
        <v>1.205E-2</v>
      </c>
      <c r="E661">
        <v>1.2540000000000001E-2</v>
      </c>
      <c r="F661">
        <v>11772631.1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0.12643678160919833</v>
      </c>
      <c r="Q661">
        <f t="shared" si="995"/>
        <v>1488493.5873563562</v>
      </c>
      <c r="R661">
        <f t="shared" si="996"/>
        <v>-523914993.19690895</v>
      </c>
      <c r="S661">
        <f t="shared" si="997"/>
        <v>-5239.1499319690893</v>
      </c>
      <c r="T661">
        <f t="shared" si="998"/>
        <v>-5.2391499319690888</v>
      </c>
    </row>
    <row r="662" spans="1:20" x14ac:dyDescent="0.25">
      <c r="A662" s="5">
        <v>43931</v>
      </c>
      <c r="B662">
        <v>1.4319999999999999E-2</v>
      </c>
      <c r="C662">
        <v>1.434E-2</v>
      </c>
      <c r="D662">
        <v>1.2160000000000001E-2</v>
      </c>
      <c r="E662">
        <v>1.2529999999999999E-2</v>
      </c>
      <c r="F662">
        <v>32822449.199999999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-0.66055045871559737</v>
      </c>
      <c r="Q662">
        <f t="shared" si="995"/>
        <v>-21680883.875229392</v>
      </c>
      <c r="R662">
        <f t="shared" si="996"/>
        <v>-525403486.78426528</v>
      </c>
      <c r="S662">
        <f t="shared" si="997"/>
        <v>-5254.0348678426526</v>
      </c>
      <c r="T662">
        <f t="shared" si="998"/>
        <v>-5.2540348678426527</v>
      </c>
    </row>
    <row r="663" spans="1:20" x14ac:dyDescent="0.25">
      <c r="A663" s="5">
        <v>43930</v>
      </c>
      <c r="B663">
        <v>1.491E-2</v>
      </c>
      <c r="C663">
        <v>1.529E-2</v>
      </c>
      <c r="D663">
        <v>1.379E-2</v>
      </c>
      <c r="E663">
        <v>1.439E-2</v>
      </c>
      <c r="F663">
        <v>25962379.300000001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-0.2</v>
      </c>
      <c r="Q663">
        <f t="shared" si="995"/>
        <v>-5192475.8600000003</v>
      </c>
      <c r="R663">
        <f t="shared" si="996"/>
        <v>-503722602.90903586</v>
      </c>
      <c r="S663">
        <f t="shared" si="997"/>
        <v>-5037.2260290903587</v>
      </c>
      <c r="T663">
        <f t="shared" si="998"/>
        <v>-5.037226029090359</v>
      </c>
    </row>
    <row r="664" spans="1:20" x14ac:dyDescent="0.25">
      <c r="A664" s="5">
        <v>43929</v>
      </c>
      <c r="B664">
        <v>1.4290000000000001E-2</v>
      </c>
      <c r="C664">
        <v>1.576E-2</v>
      </c>
      <c r="D664">
        <v>1.372E-2</v>
      </c>
      <c r="E664">
        <v>1.4880000000000001E-2</v>
      </c>
      <c r="F664">
        <v>64784071.600000001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0.13725490196078552</v>
      </c>
      <c r="Q664">
        <f t="shared" si="995"/>
        <v>8891931.3960785102</v>
      </c>
      <c r="R664">
        <f t="shared" si="996"/>
        <v>-498530127.04903585</v>
      </c>
      <c r="S664">
        <f t="shared" si="997"/>
        <v>-4985.3012704903585</v>
      </c>
      <c r="T664">
        <f t="shared" si="998"/>
        <v>-4.9853012704903588</v>
      </c>
    </row>
    <row r="665" spans="1:20" x14ac:dyDescent="0.25">
      <c r="A665" s="5">
        <v>43928</v>
      </c>
      <c r="B665">
        <v>1.3140000000000001E-2</v>
      </c>
      <c r="C665">
        <v>1.438E-2</v>
      </c>
      <c r="D665">
        <v>1.29E-2</v>
      </c>
      <c r="E665">
        <v>1.436E-2</v>
      </c>
      <c r="F665">
        <v>43371813.399999999</v>
      </c>
      <c r="G665">
        <v>0</v>
      </c>
      <c r="L665" t="s">
        <v>8</v>
      </c>
      <c r="M665" t="s">
        <v>8</v>
      </c>
      <c r="N665" t="s">
        <v>7</v>
      </c>
      <c r="P665">
        <f t="shared" si="994"/>
        <v>0.97297297297297169</v>
      </c>
      <c r="Q665">
        <f t="shared" si="995"/>
        <v>42199602.227026969</v>
      </c>
      <c r="R665">
        <f t="shared" si="996"/>
        <v>-507422058.44511437</v>
      </c>
      <c r="S665">
        <f t="shared" si="997"/>
        <v>-5074.2205844511436</v>
      </c>
      <c r="T665">
        <f t="shared" si="998"/>
        <v>-5.0742205844511439</v>
      </c>
    </row>
    <row r="666" spans="1:20" x14ac:dyDescent="0.25">
      <c r="A666" s="5">
        <v>43927</v>
      </c>
      <c r="B666">
        <v>1.2279999999999999E-2</v>
      </c>
      <c r="C666">
        <v>1.3299999999999999E-2</v>
      </c>
      <c r="D666">
        <v>1.2200000000000001E-2</v>
      </c>
      <c r="E666">
        <v>1.3050000000000001E-2</v>
      </c>
      <c r="F666">
        <v>31066778.399999999</v>
      </c>
      <c r="G666">
        <v>0</v>
      </c>
      <c r="L666" t="s">
        <v>8</v>
      </c>
      <c r="M666" t="s">
        <v>8</v>
      </c>
      <c r="N666" t="s">
        <v>7</v>
      </c>
      <c r="P666">
        <f t="shared" si="994"/>
        <v>0.54545454545454763</v>
      </c>
      <c r="Q666">
        <f t="shared" si="995"/>
        <v>16945515.490909159</v>
      </c>
      <c r="R666">
        <f t="shared" si="996"/>
        <v>-549621660.67214131</v>
      </c>
      <c r="S666">
        <f t="shared" si="997"/>
        <v>-5496.216606721413</v>
      </c>
      <c r="T666">
        <f t="shared" si="998"/>
        <v>-5.4962166067214131</v>
      </c>
    </row>
    <row r="667" spans="1:20" x14ac:dyDescent="0.25">
      <c r="A667" s="5">
        <v>43926</v>
      </c>
      <c r="B667">
        <v>1.242E-2</v>
      </c>
      <c r="C667">
        <v>1.2800000000000001E-2</v>
      </c>
      <c r="D667">
        <v>1.204E-2</v>
      </c>
      <c r="E667">
        <v>1.2200000000000001E-2</v>
      </c>
      <c r="F667">
        <v>11388725.199999999</v>
      </c>
      <c r="G667">
        <v>0</v>
      </c>
      <c r="L667" t="s">
        <v>7</v>
      </c>
      <c r="M667" t="s">
        <v>8</v>
      </c>
      <c r="N667" t="s">
        <v>7</v>
      </c>
      <c r="P667">
        <f t="shared" si="994"/>
        <v>-0.57894736842105166</v>
      </c>
      <c r="Q667">
        <f t="shared" si="995"/>
        <v>-6593472.4842105145</v>
      </c>
      <c r="R667">
        <f t="shared" si="996"/>
        <v>-566567176.16305041</v>
      </c>
      <c r="S667">
        <f t="shared" si="997"/>
        <v>-5665.6717616305041</v>
      </c>
      <c r="T667">
        <f t="shared" si="998"/>
        <v>-5.6656717616305041</v>
      </c>
    </row>
    <row r="668" spans="1:20" x14ac:dyDescent="0.25">
      <c r="A668" s="5">
        <v>43925</v>
      </c>
      <c r="B668">
        <v>1.273E-2</v>
      </c>
      <c r="C668">
        <v>1.3140000000000001E-2</v>
      </c>
      <c r="D668">
        <v>1.225E-2</v>
      </c>
      <c r="E668">
        <v>1.242E-2</v>
      </c>
      <c r="F668">
        <v>14368428.6</v>
      </c>
      <c r="G668">
        <v>0</v>
      </c>
      <c r="L668" t="s">
        <v>7</v>
      </c>
      <c r="M668" t="s">
        <v>8</v>
      </c>
      <c r="N668" t="s">
        <v>7</v>
      </c>
      <c r="P668">
        <f t="shared" si="994"/>
        <v>-0.61797752808988771</v>
      </c>
      <c r="Q668">
        <f t="shared" si="995"/>
        <v>-8879365.9887640458</v>
      </c>
      <c r="R668">
        <f t="shared" si="996"/>
        <v>-559973703.67883992</v>
      </c>
      <c r="S668">
        <f t="shared" si="997"/>
        <v>-5599.7370367883996</v>
      </c>
      <c r="T668">
        <f t="shared" si="998"/>
        <v>-5.5997370367883992</v>
      </c>
    </row>
    <row r="669" spans="1:20" x14ac:dyDescent="0.25">
      <c r="A669" s="5">
        <v>43924</v>
      </c>
      <c r="B669">
        <v>1.2670000000000001E-2</v>
      </c>
      <c r="C669">
        <v>1.329E-2</v>
      </c>
      <c r="D669">
        <v>1.251E-2</v>
      </c>
      <c r="E669">
        <v>1.274E-2</v>
      </c>
      <c r="F669">
        <v>22831350.199999999</v>
      </c>
      <c r="G669">
        <v>0</v>
      </c>
      <c r="L669" t="s">
        <v>7</v>
      </c>
      <c r="M669" t="s">
        <v>8</v>
      </c>
      <c r="N669" t="s">
        <v>7</v>
      </c>
      <c r="P669">
        <f t="shared" si="994"/>
        <v>-0.41025641025641163</v>
      </c>
      <c r="Q669">
        <f t="shared" si="995"/>
        <v>-9366707.7743590046</v>
      </c>
      <c r="R669">
        <f t="shared" si="996"/>
        <v>-551094337.69007587</v>
      </c>
      <c r="S669">
        <f t="shared" si="997"/>
        <v>-5510.9433769007592</v>
      </c>
      <c r="T669">
        <f t="shared" si="998"/>
        <v>-5.5109433769007588</v>
      </c>
    </row>
    <row r="670" spans="1:20" x14ac:dyDescent="0.25">
      <c r="A670" s="5">
        <v>43923</v>
      </c>
      <c r="B670">
        <v>1.286E-2</v>
      </c>
      <c r="C670">
        <v>1.413E-2</v>
      </c>
      <c r="D670">
        <v>1.248E-2</v>
      </c>
      <c r="E670">
        <v>1.259E-2</v>
      </c>
      <c r="F670">
        <v>46271731.200000003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-0.86666666666666581</v>
      </c>
      <c r="Q670">
        <f t="shared" si="995"/>
        <v>-40102167.039999962</v>
      </c>
      <c r="R670">
        <f t="shared" si="996"/>
        <v>-541727629.91571689</v>
      </c>
      <c r="S670">
        <f t="shared" si="997"/>
        <v>-5417.276299157169</v>
      </c>
      <c r="T670">
        <f t="shared" si="998"/>
        <v>-5.4172762991571686</v>
      </c>
    </row>
    <row r="671" spans="1:20" x14ac:dyDescent="0.25">
      <c r="A671" s="5">
        <v>43922</v>
      </c>
      <c r="B671">
        <v>1.3180000000000001E-2</v>
      </c>
      <c r="C671">
        <v>1.3180000000000001E-2</v>
      </c>
      <c r="D671">
        <v>1.1900000000000001E-2</v>
      </c>
      <c r="E671">
        <v>1.2789999999999999E-2</v>
      </c>
      <c r="F671">
        <v>24139637.300000001</v>
      </c>
      <c r="G671">
        <v>0</v>
      </c>
      <c r="L671" t="s">
        <v>7</v>
      </c>
      <c r="M671" t="s">
        <v>8</v>
      </c>
      <c r="N671" t="s">
        <v>7</v>
      </c>
      <c r="P671">
        <f t="shared" si="994"/>
        <v>0.39062499999999767</v>
      </c>
      <c r="Q671">
        <f t="shared" si="995"/>
        <v>9429545.8203124441</v>
      </c>
      <c r="R671">
        <f t="shared" si="996"/>
        <v>-501625462.87571687</v>
      </c>
      <c r="S671">
        <f t="shared" si="997"/>
        <v>-5016.2546287571686</v>
      </c>
      <c r="T671">
        <f t="shared" si="998"/>
        <v>-5.016254628757169</v>
      </c>
    </row>
    <row r="672" spans="1:20" x14ac:dyDescent="0.25">
      <c r="A672" s="5">
        <v>43921</v>
      </c>
      <c r="B672">
        <v>1.3050000000000001E-2</v>
      </c>
      <c r="C672">
        <v>1.427E-2</v>
      </c>
      <c r="D672">
        <v>1.2869999999999999E-2</v>
      </c>
      <c r="E672">
        <v>1.3100000000000001E-2</v>
      </c>
      <c r="F672">
        <v>33969355.799999997</v>
      </c>
      <c r="G672">
        <v>0</v>
      </c>
      <c r="L672" t="s">
        <v>8</v>
      </c>
      <c r="M672" t="s">
        <v>8</v>
      </c>
      <c r="N672" t="s">
        <v>7</v>
      </c>
      <c r="P672">
        <f t="shared" si="994"/>
        <v>-0.67142857142857004</v>
      </c>
      <c r="Q672">
        <f t="shared" si="995"/>
        <v>-22807996.037142809</v>
      </c>
      <c r="R672">
        <f t="shared" si="996"/>
        <v>-511055008.69602931</v>
      </c>
      <c r="S672">
        <f t="shared" si="997"/>
        <v>-5110.5500869602929</v>
      </c>
      <c r="T672">
        <f t="shared" si="998"/>
        <v>-5.1105500869602931</v>
      </c>
    </row>
    <row r="673" spans="1:20" x14ac:dyDescent="0.25">
      <c r="A673" s="5">
        <v>43920</v>
      </c>
      <c r="B673">
        <v>1.082E-2</v>
      </c>
      <c r="C673">
        <v>1.393E-2</v>
      </c>
      <c r="D673">
        <v>1.082E-2</v>
      </c>
      <c r="E673">
        <v>1.2999999999999999E-2</v>
      </c>
      <c r="F673">
        <v>49459086</v>
      </c>
      <c r="G673">
        <v>0</v>
      </c>
      <c r="L673" t="s">
        <v>8</v>
      </c>
      <c r="M673" t="s">
        <v>8</v>
      </c>
      <c r="N673" t="s">
        <v>7</v>
      </c>
      <c r="P673">
        <f t="shared" si="994"/>
        <v>0.40192926045016059</v>
      </c>
      <c r="Q673">
        <f t="shared" si="995"/>
        <v>19879053.858520892</v>
      </c>
      <c r="R673">
        <f t="shared" si="996"/>
        <v>-488247012.65888649</v>
      </c>
      <c r="S673">
        <f t="shared" si="997"/>
        <v>-4882.4701265888652</v>
      </c>
      <c r="T673">
        <f t="shared" si="998"/>
        <v>-4.8824701265888653</v>
      </c>
    </row>
    <row r="674" spans="1:20" x14ac:dyDescent="0.25">
      <c r="A674" s="5">
        <v>43919</v>
      </c>
      <c r="B674">
        <v>1.12E-2</v>
      </c>
      <c r="C674">
        <v>1.227E-2</v>
      </c>
      <c r="D674">
        <v>1.0789999999999999E-2</v>
      </c>
      <c r="E674">
        <v>1.082E-2</v>
      </c>
      <c r="F674">
        <v>28060309.300000001</v>
      </c>
      <c r="G674">
        <v>0</v>
      </c>
      <c r="L674" t="s">
        <v>8</v>
      </c>
      <c r="M674" t="s">
        <v>7</v>
      </c>
      <c r="N674" t="s">
        <v>7</v>
      </c>
      <c r="P674">
        <f t="shared" si="994"/>
        <v>-0.95945945945945876</v>
      </c>
      <c r="Q674">
        <f t="shared" si="995"/>
        <v>-26922729.193243224</v>
      </c>
      <c r="R674">
        <f t="shared" si="996"/>
        <v>-508126066.51740736</v>
      </c>
      <c r="S674">
        <f t="shared" si="997"/>
        <v>-5081.2606651740734</v>
      </c>
      <c r="T674">
        <f t="shared" si="998"/>
        <v>-5.0812606651740735</v>
      </c>
    </row>
    <row r="675" spans="1:20" x14ac:dyDescent="0.25">
      <c r="A675" s="5">
        <v>43918</v>
      </c>
      <c r="B675">
        <v>1.119E-2</v>
      </c>
      <c r="C675">
        <v>1.1520000000000001E-2</v>
      </c>
      <c r="D675">
        <v>1.031E-2</v>
      </c>
      <c r="E675">
        <v>1.116E-2</v>
      </c>
      <c r="F675">
        <v>17239932.699999999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0.40495867768594934</v>
      </c>
      <c r="Q675">
        <f t="shared" si="995"/>
        <v>6981460.3495867578</v>
      </c>
      <c r="R675">
        <f t="shared" si="996"/>
        <v>-481203337.32416415</v>
      </c>
      <c r="S675">
        <f t="shared" si="997"/>
        <v>-4812.0333732416411</v>
      </c>
      <c r="T675">
        <f t="shared" si="998"/>
        <v>-4.8120333732416407</v>
      </c>
    </row>
    <row r="676" spans="1:20" x14ac:dyDescent="0.25">
      <c r="A676" s="5">
        <v>43917</v>
      </c>
      <c r="B676">
        <v>1.188E-2</v>
      </c>
      <c r="C676">
        <v>1.29E-2</v>
      </c>
      <c r="D676">
        <v>1.0959999999999999E-2</v>
      </c>
      <c r="E676">
        <v>1.128E-2</v>
      </c>
      <c r="F676">
        <v>23915208.100000001</v>
      </c>
      <c r="G676">
        <v>0</v>
      </c>
      <c r="L676" t="s">
        <v>8</v>
      </c>
      <c r="M676" t="s">
        <v>7</v>
      </c>
      <c r="N676" t="s">
        <v>7</v>
      </c>
      <c r="P676">
        <f t="shared" si="994"/>
        <v>-0.67010309278350444</v>
      </c>
      <c r="Q676">
        <f t="shared" si="995"/>
        <v>-16025654.912371118</v>
      </c>
      <c r="R676">
        <f t="shared" si="996"/>
        <v>-488184797.67375094</v>
      </c>
      <c r="S676">
        <f t="shared" si="997"/>
        <v>-4881.8479767375093</v>
      </c>
      <c r="T676">
        <f t="shared" si="998"/>
        <v>-4.8818479767375091</v>
      </c>
    </row>
    <row r="677" spans="1:20" x14ac:dyDescent="0.25">
      <c r="A677" s="5">
        <v>43916</v>
      </c>
      <c r="B677">
        <v>1.1730000000000001E-2</v>
      </c>
      <c r="C677">
        <v>1.282E-2</v>
      </c>
      <c r="D677">
        <v>1.15E-2</v>
      </c>
      <c r="E677">
        <v>1.18E-2</v>
      </c>
      <c r="F677">
        <v>13107037.9</v>
      </c>
      <c r="G677">
        <v>0</v>
      </c>
      <c r="L677" t="s">
        <v>8</v>
      </c>
      <c r="M677" t="s">
        <v>7</v>
      </c>
      <c r="N677" t="s">
        <v>7</v>
      </c>
      <c r="P677">
        <f t="shared" si="994"/>
        <v>-0.54545454545454553</v>
      </c>
      <c r="Q677">
        <f t="shared" si="995"/>
        <v>-7149293.4000000013</v>
      </c>
      <c r="R677">
        <f t="shared" si="996"/>
        <v>-472159142.76137984</v>
      </c>
      <c r="S677">
        <f t="shared" si="997"/>
        <v>-4721.5914276137983</v>
      </c>
      <c r="T677">
        <f t="shared" si="998"/>
        <v>-4.7215914276137987</v>
      </c>
    </row>
    <row r="678" spans="1:20" x14ac:dyDescent="0.25">
      <c r="A678" s="5">
        <v>43915</v>
      </c>
      <c r="B678">
        <v>1.213E-2</v>
      </c>
      <c r="C678">
        <v>1.3010000000000001E-2</v>
      </c>
      <c r="D678">
        <v>1.155E-2</v>
      </c>
      <c r="E678">
        <v>1.1679999999999999E-2</v>
      </c>
      <c r="F678">
        <v>22094448.100000001</v>
      </c>
      <c r="G678">
        <v>0</v>
      </c>
      <c r="L678" t="s">
        <v>7</v>
      </c>
      <c r="M678" t="s">
        <v>7</v>
      </c>
      <c r="N678" t="s">
        <v>7</v>
      </c>
      <c r="P678">
        <f t="shared" si="994"/>
        <v>-0.82191780821917837</v>
      </c>
      <c r="Q678">
        <f t="shared" si="995"/>
        <v>-18159820.356164392</v>
      </c>
      <c r="R678">
        <f t="shared" si="996"/>
        <v>-465009849.36137986</v>
      </c>
      <c r="S678">
        <f t="shared" si="997"/>
        <v>-4650.0984936137984</v>
      </c>
      <c r="T678">
        <f t="shared" si="998"/>
        <v>-4.6500984936137986</v>
      </c>
    </row>
    <row r="679" spans="1:20" x14ac:dyDescent="0.25">
      <c r="A679" s="5">
        <v>43914</v>
      </c>
      <c r="B679">
        <v>1.1780000000000001E-2</v>
      </c>
      <c r="C679">
        <v>1.38E-2</v>
      </c>
      <c r="D679">
        <v>1.1480000000000001E-2</v>
      </c>
      <c r="E679">
        <v>1.2160000000000001E-2</v>
      </c>
      <c r="F679">
        <v>38187923.399999999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-0.41379310344827558</v>
      </c>
      <c r="Q679">
        <f t="shared" si="995"/>
        <v>-15801899.337931024</v>
      </c>
      <c r="R679">
        <f t="shared" si="996"/>
        <v>-446850029.00521547</v>
      </c>
      <c r="S679">
        <f t="shared" si="997"/>
        <v>-4468.5002900521549</v>
      </c>
      <c r="T679">
        <f t="shared" si="998"/>
        <v>-4.4685002900521553</v>
      </c>
    </row>
    <row r="680" spans="1:20" x14ac:dyDescent="0.25">
      <c r="A680" s="5">
        <v>43913</v>
      </c>
      <c r="B680">
        <v>1.0970000000000001E-2</v>
      </c>
      <c r="C680">
        <v>1.209E-2</v>
      </c>
      <c r="D680">
        <v>1.077E-2</v>
      </c>
      <c r="E680">
        <v>1.1780000000000001E-2</v>
      </c>
      <c r="F680">
        <v>22563883</v>
      </c>
      <c r="G680">
        <v>0</v>
      </c>
      <c r="L680" t="s">
        <v>8</v>
      </c>
      <c r="M680" t="s">
        <v>7</v>
      </c>
      <c r="N680" t="s">
        <v>7</v>
      </c>
      <c r="P680">
        <f t="shared" si="994"/>
        <v>0.53030303030303105</v>
      </c>
      <c r="Q680">
        <f t="shared" si="995"/>
        <v>11965695.530303048</v>
      </c>
      <c r="R680">
        <f t="shared" si="996"/>
        <v>-431048129.66728443</v>
      </c>
      <c r="S680">
        <f t="shared" si="997"/>
        <v>-4310.4812966728441</v>
      </c>
      <c r="T680">
        <f t="shared" si="998"/>
        <v>-4.3104812966728439</v>
      </c>
    </row>
    <row r="681" spans="1:20" x14ac:dyDescent="0.25">
      <c r="A681" s="5">
        <v>43912</v>
      </c>
      <c r="B681">
        <v>1.277E-2</v>
      </c>
      <c r="C681">
        <v>1.3220000000000001E-2</v>
      </c>
      <c r="D681">
        <v>1.093E-2</v>
      </c>
      <c r="E681">
        <v>1.1050000000000001E-2</v>
      </c>
      <c r="F681">
        <v>24357671.399999999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-0.8951965065502181</v>
      </c>
      <c r="Q681">
        <f t="shared" si="995"/>
        <v>-21804902.344978157</v>
      </c>
      <c r="R681">
        <f t="shared" si="996"/>
        <v>-443013825.19758749</v>
      </c>
      <c r="S681">
        <f t="shared" si="997"/>
        <v>-4430.1382519758745</v>
      </c>
      <c r="T681">
        <f t="shared" si="998"/>
        <v>-4.4301382519758743</v>
      </c>
    </row>
    <row r="682" spans="1:20" x14ac:dyDescent="0.25">
      <c r="A682" s="5">
        <v>43911</v>
      </c>
      <c r="B682">
        <v>1.2930000000000001E-2</v>
      </c>
      <c r="C682">
        <v>1.3990000000000001E-2</v>
      </c>
      <c r="D682">
        <v>1.223E-2</v>
      </c>
      <c r="E682">
        <v>1.2800000000000001E-2</v>
      </c>
      <c r="F682">
        <v>27991943.300000001</v>
      </c>
      <c r="G682">
        <v>0</v>
      </c>
      <c r="L682" t="s">
        <v>7</v>
      </c>
      <c r="M682" t="s">
        <v>7</v>
      </c>
      <c r="N682" t="s">
        <v>7</v>
      </c>
      <c r="P682">
        <f t="shared" si="994"/>
        <v>-0.35227272727272652</v>
      </c>
      <c r="Q682">
        <f t="shared" si="995"/>
        <v>-9860798.2079545241</v>
      </c>
      <c r="R682">
        <f t="shared" si="996"/>
        <v>-421208922.85260934</v>
      </c>
      <c r="S682">
        <f t="shared" si="997"/>
        <v>-4212.0892285260934</v>
      </c>
      <c r="T682">
        <f t="shared" si="998"/>
        <v>-4.2120892285260938</v>
      </c>
    </row>
    <row r="683" spans="1:20" x14ac:dyDescent="0.25">
      <c r="A683" s="5">
        <v>43910</v>
      </c>
      <c r="B683">
        <v>1.7080000000000001E-2</v>
      </c>
      <c r="C683">
        <v>1.7819999999999999E-2</v>
      </c>
      <c r="D683">
        <v>1.1520000000000001E-2</v>
      </c>
      <c r="E683">
        <v>1.29E-2</v>
      </c>
      <c r="F683">
        <v>82065265.5</v>
      </c>
      <c r="G683">
        <v>0</v>
      </c>
      <c r="L683" t="s">
        <v>8</v>
      </c>
      <c r="M683" t="s">
        <v>8</v>
      </c>
      <c r="N683" t="s">
        <v>7</v>
      </c>
      <c r="P683">
        <f t="shared" si="994"/>
        <v>-0.56190476190476202</v>
      </c>
      <c r="Q683">
        <f t="shared" si="995"/>
        <v>-46112863.471428581</v>
      </c>
      <c r="R683">
        <f t="shared" si="996"/>
        <v>-411348124.64465481</v>
      </c>
      <c r="S683">
        <f t="shared" si="997"/>
        <v>-4113.4812464465485</v>
      </c>
      <c r="T683">
        <f t="shared" si="998"/>
        <v>-4.1134812464465487</v>
      </c>
    </row>
    <row r="684" spans="1:20" x14ac:dyDescent="0.25">
      <c r="A684" s="5">
        <v>43909</v>
      </c>
      <c r="B684">
        <v>1.3469999999999999E-2</v>
      </c>
      <c r="C684">
        <v>1.7000000000000001E-2</v>
      </c>
      <c r="D684">
        <v>1.3390000000000001E-2</v>
      </c>
      <c r="E684">
        <v>1.7000000000000001E-2</v>
      </c>
      <c r="F684">
        <v>16909240.899999999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1</v>
      </c>
      <c r="Q684">
        <f t="shared" si="995"/>
        <v>16909240.899999999</v>
      </c>
      <c r="R684">
        <f t="shared" si="996"/>
        <v>-365235261.17322624</v>
      </c>
      <c r="S684">
        <f t="shared" si="997"/>
        <v>-3652.3526117322622</v>
      </c>
      <c r="T684">
        <f t="shared" si="998"/>
        <v>-3.6523526117322622</v>
      </c>
    </row>
    <row r="685" spans="1:20" x14ac:dyDescent="0.25">
      <c r="A685" s="5">
        <v>43908</v>
      </c>
      <c r="B685">
        <v>1.367E-2</v>
      </c>
      <c r="C685">
        <v>1.469E-2</v>
      </c>
      <c r="D685">
        <v>1.204E-2</v>
      </c>
      <c r="E685">
        <v>1.332E-2</v>
      </c>
      <c r="F685">
        <v>8029224.7000000002</v>
      </c>
      <c r="G685">
        <v>0</v>
      </c>
      <c r="L685" t="s">
        <v>7</v>
      </c>
      <c r="M685" t="s">
        <v>7</v>
      </c>
      <c r="N685" t="s">
        <v>7</v>
      </c>
      <c r="P685">
        <f t="shared" si="994"/>
        <v>-3.3962264150943326E-2</v>
      </c>
      <c r="Q685">
        <f t="shared" si="995"/>
        <v>-272690.6501886787</v>
      </c>
      <c r="R685">
        <f t="shared" si="996"/>
        <v>-382144502.07322621</v>
      </c>
      <c r="S685">
        <f t="shared" si="997"/>
        <v>-3821.445020732262</v>
      </c>
      <c r="T685">
        <f t="shared" si="998"/>
        <v>-3.8214450207322619</v>
      </c>
    </row>
    <row r="686" spans="1:20" x14ac:dyDescent="0.25">
      <c r="A686" s="5">
        <v>43907</v>
      </c>
      <c r="B686">
        <v>1.1990000000000001E-2</v>
      </c>
      <c r="C686">
        <v>1.4760000000000001E-2</v>
      </c>
      <c r="D686">
        <v>1.1809999999999999E-2</v>
      </c>
      <c r="E686">
        <v>1.345E-2</v>
      </c>
      <c r="F686">
        <v>11496484.6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0.11186440677966111</v>
      </c>
      <c r="Q686">
        <f t="shared" si="995"/>
        <v>1286047.4298305095</v>
      </c>
      <c r="R686">
        <f t="shared" si="996"/>
        <v>-381871811.42303753</v>
      </c>
      <c r="S686">
        <f t="shared" si="997"/>
        <v>-3818.7181142303752</v>
      </c>
      <c r="T686">
        <f t="shared" si="998"/>
        <v>-3.8187181142303754</v>
      </c>
    </row>
    <row r="687" spans="1:20" x14ac:dyDescent="0.25">
      <c r="A687" s="5">
        <v>43906</v>
      </c>
      <c r="B687">
        <v>1.457E-2</v>
      </c>
      <c r="C687">
        <v>1.46E-2</v>
      </c>
      <c r="D687">
        <v>1.0800000000000001E-2</v>
      </c>
      <c r="E687">
        <v>1.1900000000000001E-2</v>
      </c>
      <c r="F687">
        <v>14693405.5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-0.42105263157894718</v>
      </c>
      <c r="Q687">
        <f t="shared" si="995"/>
        <v>-6186697.0526315765</v>
      </c>
      <c r="R687">
        <f t="shared" si="996"/>
        <v>-383157858.85286802</v>
      </c>
      <c r="S687">
        <f t="shared" si="997"/>
        <v>-3831.57858852868</v>
      </c>
      <c r="T687">
        <f t="shared" si="998"/>
        <v>-3.8315785885286799</v>
      </c>
    </row>
    <row r="688" spans="1:20" x14ac:dyDescent="0.25">
      <c r="A688" s="5">
        <v>43905</v>
      </c>
      <c r="B688">
        <v>1.491E-2</v>
      </c>
      <c r="C688">
        <v>1.6250000000000001E-2</v>
      </c>
      <c r="D688">
        <v>1.418E-2</v>
      </c>
      <c r="E688">
        <v>1.4749999999999999E-2</v>
      </c>
      <c r="F688">
        <v>15164655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-0.44927536231884141</v>
      </c>
      <c r="Q688">
        <f t="shared" si="995"/>
        <v>-6813105.8695652299</v>
      </c>
      <c r="R688">
        <f t="shared" si="996"/>
        <v>-376971161.80023646</v>
      </c>
      <c r="S688">
        <f t="shared" si="997"/>
        <v>-3769.7116180023645</v>
      </c>
      <c r="T688">
        <f t="shared" si="998"/>
        <v>-3.7697116180023644</v>
      </c>
    </row>
    <row r="689" spans="1:20" x14ac:dyDescent="0.25">
      <c r="A689" s="5">
        <v>43904</v>
      </c>
      <c r="B689">
        <v>1.6740000000000001E-2</v>
      </c>
      <c r="C689">
        <v>1.797E-2</v>
      </c>
      <c r="D689">
        <v>1.453E-2</v>
      </c>
      <c r="E689">
        <v>1.4749999999999999E-2</v>
      </c>
      <c r="F689">
        <v>13175868.5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-0.87209302325581417</v>
      </c>
      <c r="Q689">
        <f t="shared" si="995"/>
        <v>-11490582.994186049</v>
      </c>
      <c r="R689">
        <f t="shared" si="996"/>
        <v>-370158055.93067122</v>
      </c>
      <c r="S689">
        <f t="shared" si="997"/>
        <v>-3701.5805593067121</v>
      </c>
      <c r="T689">
        <f t="shared" si="998"/>
        <v>-3.7015805593067119</v>
      </c>
    </row>
    <row r="690" spans="1:20" x14ac:dyDescent="0.25">
      <c r="A690" s="5">
        <v>43903</v>
      </c>
      <c r="B690">
        <v>1.728E-2</v>
      </c>
      <c r="C690">
        <v>1.9709999999999998E-2</v>
      </c>
      <c r="D690">
        <v>1.018E-2</v>
      </c>
      <c r="E690">
        <v>1.6740000000000001E-2</v>
      </c>
      <c r="F690">
        <v>34385370.5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0.3767051416579229</v>
      </c>
      <c r="Q690">
        <f t="shared" si="995"/>
        <v>12953145.865162663</v>
      </c>
      <c r="R690">
        <f t="shared" si="996"/>
        <v>-358667472.93648517</v>
      </c>
      <c r="S690">
        <f t="shared" si="997"/>
        <v>-3586.6747293648518</v>
      </c>
      <c r="T690">
        <f t="shared" si="998"/>
        <v>-3.586674729364852</v>
      </c>
    </row>
    <row r="691" spans="1:20" x14ac:dyDescent="0.25">
      <c r="A691" s="5">
        <v>43902</v>
      </c>
      <c r="B691">
        <v>3.3989999999999999E-2</v>
      </c>
      <c r="C691">
        <v>3.4000000000000002E-2</v>
      </c>
      <c r="D691">
        <v>1.315E-2</v>
      </c>
      <c r="E691">
        <v>1.4370000000000001E-2</v>
      </c>
      <c r="F691">
        <v>44024724.5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-0.88297362110311761</v>
      </c>
      <c r="Q691">
        <f t="shared" si="995"/>
        <v>-38872670.409832142</v>
      </c>
      <c r="R691">
        <f t="shared" si="996"/>
        <v>-371620618.80164784</v>
      </c>
      <c r="S691">
        <f t="shared" si="997"/>
        <v>-3716.2061880164783</v>
      </c>
      <c r="T691">
        <f t="shared" si="998"/>
        <v>-3.7162061880164785</v>
      </c>
    </row>
    <row r="692" spans="1:20" x14ac:dyDescent="0.25">
      <c r="A692" s="5">
        <v>43901</v>
      </c>
      <c r="B692">
        <v>3.5839999999999997E-2</v>
      </c>
      <c r="C692">
        <v>4.1369999999999997E-2</v>
      </c>
      <c r="D692">
        <v>3.0890000000000001E-2</v>
      </c>
      <c r="E692">
        <v>3.3709999999999997E-2</v>
      </c>
      <c r="F692">
        <v>52323698</v>
      </c>
      <c r="G692">
        <v>0</v>
      </c>
      <c r="L692" t="s">
        <v>8</v>
      </c>
      <c r="M692" t="s">
        <v>7</v>
      </c>
      <c r="N692" t="s">
        <v>8</v>
      </c>
      <c r="P692">
        <f t="shared" si="994"/>
        <v>-0.46183206106870284</v>
      </c>
      <c r="Q692">
        <f t="shared" si="995"/>
        <v>-24164761.290076364</v>
      </c>
      <c r="R692">
        <f t="shared" si="996"/>
        <v>-332747948.39181572</v>
      </c>
      <c r="S692">
        <f t="shared" si="997"/>
        <v>-3327.4794839181573</v>
      </c>
      <c r="T692">
        <f t="shared" si="998"/>
        <v>-3.3274794839181574</v>
      </c>
    </row>
    <row r="693" spans="1:20" x14ac:dyDescent="0.25">
      <c r="A693" s="5">
        <v>43900</v>
      </c>
      <c r="B693">
        <v>3.024E-2</v>
      </c>
      <c r="C693">
        <v>3.9980000000000002E-2</v>
      </c>
      <c r="D693">
        <v>2.93E-2</v>
      </c>
      <c r="E693">
        <v>3.5720000000000002E-2</v>
      </c>
      <c r="F693">
        <v>34538612.600000001</v>
      </c>
      <c r="G693">
        <v>0</v>
      </c>
      <c r="L693" t="s">
        <v>8</v>
      </c>
      <c r="M693" t="s">
        <v>8</v>
      </c>
      <c r="N693" t="s">
        <v>8</v>
      </c>
      <c r="P693">
        <f t="shared" si="994"/>
        <v>0.20224719101123612</v>
      </c>
      <c r="Q693">
        <f t="shared" si="995"/>
        <v>6985337.3797752867</v>
      </c>
      <c r="R693">
        <f t="shared" si="996"/>
        <v>-308583187.10173935</v>
      </c>
      <c r="S693">
        <f t="shared" si="997"/>
        <v>-3085.8318710173935</v>
      </c>
      <c r="T693">
        <f t="shared" si="998"/>
        <v>-3.0858318710173935</v>
      </c>
    </row>
    <row r="694" spans="1:20" x14ac:dyDescent="0.25">
      <c r="A694" s="5">
        <v>43899</v>
      </c>
      <c r="B694">
        <v>3.041E-2</v>
      </c>
      <c r="C694">
        <v>3.347E-2</v>
      </c>
      <c r="D694">
        <v>2.7949999999999999E-2</v>
      </c>
      <c r="E694">
        <v>3.0099999999999998E-2</v>
      </c>
      <c r="F694">
        <v>9810205.5999999996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-0.22101449275362359</v>
      </c>
      <c r="Q694">
        <f t="shared" si="995"/>
        <v>-2168197.6144927572</v>
      </c>
      <c r="R694">
        <f t="shared" si="996"/>
        <v>-315568524.48151463</v>
      </c>
      <c r="S694">
        <f t="shared" si="997"/>
        <v>-3155.6852448151462</v>
      </c>
      <c r="T694">
        <f t="shared" si="998"/>
        <v>-3.1556852448151465</v>
      </c>
    </row>
    <row r="695" spans="1:20" x14ac:dyDescent="0.25">
      <c r="A695" s="5">
        <v>43898</v>
      </c>
      <c r="B695">
        <v>3.7780000000000001E-2</v>
      </c>
      <c r="C695">
        <v>3.7969999999999997E-2</v>
      </c>
      <c r="D695">
        <v>2.9929999999999998E-2</v>
      </c>
      <c r="E695">
        <v>3.0329999999999999E-2</v>
      </c>
      <c r="F695">
        <v>12992233</v>
      </c>
      <c r="G695">
        <v>0</v>
      </c>
      <c r="L695" t="s">
        <v>7</v>
      </c>
      <c r="M695" t="s">
        <v>7</v>
      </c>
      <c r="N695" t="s">
        <v>8</v>
      </c>
      <c r="P695">
        <f t="shared" si="994"/>
        <v>-0.90049751243781062</v>
      </c>
      <c r="Q695">
        <f t="shared" si="995"/>
        <v>-11699473.497512434</v>
      </c>
      <c r="R695">
        <f t="shared" si="996"/>
        <v>-313400326.86702186</v>
      </c>
      <c r="S695">
        <f t="shared" si="997"/>
        <v>-3134.0032686702184</v>
      </c>
      <c r="T695">
        <f t="shared" si="998"/>
        <v>-3.1340032686702184</v>
      </c>
    </row>
    <row r="696" spans="1:20" x14ac:dyDescent="0.25">
      <c r="A696" s="5">
        <v>43897</v>
      </c>
      <c r="B696">
        <v>3.6900000000000002E-2</v>
      </c>
      <c r="C696">
        <v>4.1489999999999999E-2</v>
      </c>
      <c r="D696">
        <v>3.551E-2</v>
      </c>
      <c r="E696">
        <v>3.7900000000000003E-2</v>
      </c>
      <c r="F696">
        <v>14057383.4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-0.20066889632106905</v>
      </c>
      <c r="Q696">
        <f t="shared" si="995"/>
        <v>-2820879.6120401169</v>
      </c>
      <c r="R696">
        <f t="shared" si="996"/>
        <v>-301700853.3695094</v>
      </c>
      <c r="S696">
        <f t="shared" si="997"/>
        <v>-3017.0085336950938</v>
      </c>
      <c r="T696">
        <f t="shared" si="998"/>
        <v>-3.0170085336950936</v>
      </c>
    </row>
    <row r="697" spans="1:20" x14ac:dyDescent="0.25">
      <c r="A697" s="5">
        <v>43896</v>
      </c>
      <c r="B697">
        <v>3.5990000000000001E-2</v>
      </c>
      <c r="C697">
        <v>3.9550000000000002E-2</v>
      </c>
      <c r="D697">
        <v>3.526E-2</v>
      </c>
      <c r="E697">
        <v>3.6850000000000001E-2</v>
      </c>
      <c r="F697">
        <v>8146743.7000000002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-0.25874125874125858</v>
      </c>
      <c r="Q697">
        <f t="shared" si="995"/>
        <v>-2107898.7195804184</v>
      </c>
      <c r="R697">
        <f t="shared" si="996"/>
        <v>-298879973.7574693</v>
      </c>
      <c r="S697">
        <f t="shared" si="997"/>
        <v>-2988.7997375746932</v>
      </c>
      <c r="T697">
        <f t="shared" si="998"/>
        <v>-2.9887997375746931</v>
      </c>
    </row>
    <row r="698" spans="1:20" x14ac:dyDescent="0.25">
      <c r="A698" s="5">
        <v>43895</v>
      </c>
      <c r="B698">
        <v>3.4790000000000001E-2</v>
      </c>
      <c r="C698">
        <v>3.7670000000000002E-2</v>
      </c>
      <c r="D698">
        <v>3.1609999999999999E-2</v>
      </c>
      <c r="E698">
        <v>3.5999999999999997E-2</v>
      </c>
      <c r="F698">
        <v>7906232.5</v>
      </c>
      <c r="G698">
        <v>0</v>
      </c>
      <c r="L698" t="s">
        <v>7</v>
      </c>
      <c r="M698" t="s">
        <v>8</v>
      </c>
      <c r="N698" t="s">
        <v>8</v>
      </c>
      <c r="P698">
        <f t="shared" si="994"/>
        <v>0.4488448844884475</v>
      </c>
      <c r="Q698">
        <f t="shared" si="995"/>
        <v>3548672.0132013094</v>
      </c>
      <c r="R698">
        <f t="shared" si="996"/>
        <v>-296772075.03788888</v>
      </c>
      <c r="S698">
        <f t="shared" si="997"/>
        <v>-2967.7207503788886</v>
      </c>
      <c r="T698">
        <f t="shared" si="998"/>
        <v>-2.9677207503788887</v>
      </c>
    </row>
    <row r="699" spans="1:20" x14ac:dyDescent="0.25">
      <c r="A699" s="5">
        <v>43894</v>
      </c>
      <c r="B699">
        <v>3.15E-2</v>
      </c>
      <c r="C699">
        <v>3.7879999999999997E-2</v>
      </c>
      <c r="D699">
        <v>3.1019999999999999E-2</v>
      </c>
      <c r="E699">
        <v>3.4790000000000001E-2</v>
      </c>
      <c r="F699">
        <v>8267249.2000000002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9.9125364431487922E-2</v>
      </c>
      <c r="Q699">
        <f t="shared" si="995"/>
        <v>819494.08979592705</v>
      </c>
      <c r="R699">
        <f t="shared" si="996"/>
        <v>-300320747.05109018</v>
      </c>
      <c r="S699">
        <f t="shared" si="997"/>
        <v>-3003.2074705109017</v>
      </c>
      <c r="T699">
        <f t="shared" si="998"/>
        <v>-3.0032074705109015</v>
      </c>
    </row>
    <row r="700" spans="1:20" x14ac:dyDescent="0.25">
      <c r="A700" s="5">
        <v>43893</v>
      </c>
      <c r="B700">
        <v>3.0190000000000002E-2</v>
      </c>
      <c r="C700">
        <v>3.2629999999999999E-2</v>
      </c>
      <c r="D700">
        <v>2.954E-2</v>
      </c>
      <c r="E700">
        <v>3.1189999999999999E-2</v>
      </c>
      <c r="F700">
        <v>9472300.8000000007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6.7961165048543187E-2</v>
      </c>
      <c r="Q700">
        <f t="shared" si="995"/>
        <v>643748.59805824771</v>
      </c>
      <c r="R700">
        <f t="shared" si="996"/>
        <v>-301140241.14088613</v>
      </c>
      <c r="S700">
        <f t="shared" si="997"/>
        <v>-3011.4024114088611</v>
      </c>
      <c r="T700">
        <f t="shared" si="998"/>
        <v>-3.0114024114088611</v>
      </c>
    </row>
    <row r="701" spans="1:20" x14ac:dyDescent="0.25">
      <c r="A701" s="5">
        <v>43892</v>
      </c>
      <c r="B701">
        <v>2.6270000000000002E-2</v>
      </c>
      <c r="C701">
        <v>3.1600000000000003E-2</v>
      </c>
      <c r="D701">
        <v>2.6169999999999999E-2</v>
      </c>
      <c r="E701">
        <v>2.997E-2</v>
      </c>
      <c r="F701">
        <v>5808248.2999999998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0.39963167587476917</v>
      </c>
      <c r="Q701">
        <f t="shared" si="995"/>
        <v>2321160.0020257789</v>
      </c>
      <c r="R701">
        <f t="shared" si="996"/>
        <v>-301783989.73894435</v>
      </c>
      <c r="S701">
        <f t="shared" si="997"/>
        <v>-3017.8398973894436</v>
      </c>
      <c r="T701">
        <f t="shared" si="998"/>
        <v>-3.0178398973894436</v>
      </c>
    </row>
    <row r="702" spans="1:20" x14ac:dyDescent="0.25">
      <c r="A702" s="5">
        <v>43891</v>
      </c>
      <c r="B702">
        <v>2.7089999999999999E-2</v>
      </c>
      <c r="C702">
        <v>2.861E-2</v>
      </c>
      <c r="D702">
        <v>2.5860000000000001E-2</v>
      </c>
      <c r="E702">
        <v>2.6349999999999998E-2</v>
      </c>
      <c r="F702">
        <v>5780459.2000000002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-0.64363636363636545</v>
      </c>
      <c r="Q702">
        <f t="shared" si="995"/>
        <v>-3720513.7396363742</v>
      </c>
      <c r="R702">
        <f t="shared" si="996"/>
        <v>-304105149.74097013</v>
      </c>
      <c r="S702">
        <f t="shared" si="997"/>
        <v>-3041.0514974097014</v>
      </c>
      <c r="T702">
        <f t="shared" si="998"/>
        <v>-3.0410514974097014</v>
      </c>
    </row>
    <row r="703" spans="1:20" x14ac:dyDescent="0.25">
      <c r="A703" s="5">
        <v>43890</v>
      </c>
      <c r="B703">
        <v>2.6880000000000001E-2</v>
      </c>
      <c r="C703">
        <v>2.8500000000000001E-2</v>
      </c>
      <c r="D703">
        <v>2.6689999999999998E-2</v>
      </c>
      <c r="E703">
        <v>2.7089999999999999E-2</v>
      </c>
      <c r="F703">
        <v>4610243.5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-0.55801104972375637</v>
      </c>
      <c r="Q703">
        <f t="shared" si="995"/>
        <v>-2572566.8149171248</v>
      </c>
      <c r="R703">
        <f t="shared" si="996"/>
        <v>-300384636.00133377</v>
      </c>
      <c r="S703">
        <f t="shared" si="997"/>
        <v>-3003.8463600133377</v>
      </c>
      <c r="T703">
        <f t="shared" si="998"/>
        <v>-3.0038463600133376</v>
      </c>
    </row>
    <row r="704" spans="1:20" x14ac:dyDescent="0.25">
      <c r="A704" s="5">
        <v>43889</v>
      </c>
      <c r="B704">
        <v>2.734E-2</v>
      </c>
      <c r="C704">
        <v>2.8230000000000002E-2</v>
      </c>
      <c r="D704">
        <v>2.4660000000000001E-2</v>
      </c>
      <c r="E704">
        <v>2.69E-2</v>
      </c>
      <c r="F704">
        <v>9755285.9000000004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0.25490196078431304</v>
      </c>
      <c r="Q704">
        <f t="shared" si="995"/>
        <v>2486641.5039215619</v>
      </c>
      <c r="R704">
        <f t="shared" si="996"/>
        <v>-297812069.18641663</v>
      </c>
      <c r="S704">
        <f t="shared" si="997"/>
        <v>-2978.1206918641665</v>
      </c>
      <c r="T704">
        <f t="shared" si="998"/>
        <v>-2.9781206918641665</v>
      </c>
    </row>
    <row r="705" spans="1:20" x14ac:dyDescent="0.25">
      <c r="A705" s="5">
        <v>43888</v>
      </c>
      <c r="B705">
        <v>2.7449999999999999E-2</v>
      </c>
      <c r="C705">
        <v>3.1850000000000003E-2</v>
      </c>
      <c r="D705">
        <v>2.5659999999999999E-2</v>
      </c>
      <c r="E705">
        <v>2.7470000000000001E-2</v>
      </c>
      <c r="F705">
        <v>13379701.4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-0.41518578352180896</v>
      </c>
      <c r="Q705">
        <f t="shared" si="995"/>
        <v>-5555061.809046844</v>
      </c>
      <c r="R705">
        <f t="shared" si="996"/>
        <v>-300298710.69033819</v>
      </c>
      <c r="S705">
        <f t="shared" si="997"/>
        <v>-3002.987106903382</v>
      </c>
      <c r="T705">
        <f t="shared" si="998"/>
        <v>-3.0029871069033822</v>
      </c>
    </row>
    <row r="706" spans="1:20" x14ac:dyDescent="0.25">
      <c r="A706" s="5">
        <v>43887</v>
      </c>
      <c r="B706">
        <v>3.0380000000000001E-2</v>
      </c>
      <c r="C706">
        <v>3.2239999999999998E-2</v>
      </c>
      <c r="D706">
        <v>2.4580000000000001E-2</v>
      </c>
      <c r="E706">
        <v>2.7459999999999998E-2</v>
      </c>
      <c r="F706">
        <v>20314776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-0.24804177545691947</v>
      </c>
      <c r="Q706">
        <f t="shared" si="995"/>
        <v>-5038913.107049617</v>
      </c>
      <c r="R706">
        <f t="shared" si="996"/>
        <v>-294743648.88129133</v>
      </c>
      <c r="S706">
        <f t="shared" si="997"/>
        <v>-2947.4364888129135</v>
      </c>
      <c r="T706">
        <f t="shared" si="998"/>
        <v>-2.9474364888129134</v>
      </c>
    </row>
    <row r="707" spans="1:20" x14ac:dyDescent="0.25">
      <c r="A707" s="5">
        <v>43886</v>
      </c>
      <c r="B707">
        <v>3.6920000000000001E-2</v>
      </c>
      <c r="C707">
        <v>3.7289999999999997E-2</v>
      </c>
      <c r="D707">
        <v>3.0269999999999998E-2</v>
      </c>
      <c r="E707">
        <v>3.0329999999999999E-2</v>
      </c>
      <c r="F707">
        <v>13430803.800000001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-0.98290598290598263</v>
      </c>
      <c r="Q707">
        <f t="shared" si="995"/>
        <v>-13201217.410256408</v>
      </c>
      <c r="R707">
        <f t="shared" si="996"/>
        <v>-289704735.77424169</v>
      </c>
      <c r="S707">
        <f t="shared" si="997"/>
        <v>-2897.0473577424168</v>
      </c>
      <c r="T707">
        <f t="shared" si="998"/>
        <v>-2.8970473577424167</v>
      </c>
    </row>
    <row r="708" spans="1:20" x14ac:dyDescent="0.25">
      <c r="A708" s="5">
        <v>43885</v>
      </c>
      <c r="B708">
        <v>4.0750000000000001E-2</v>
      </c>
      <c r="C708">
        <v>4.1029999999999997E-2</v>
      </c>
      <c r="D708">
        <v>3.5450000000000002E-2</v>
      </c>
      <c r="E708">
        <v>3.6909999999999998E-2</v>
      </c>
      <c r="F708">
        <v>7270663.4000000004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-0.47670250896057442</v>
      </c>
      <c r="Q708">
        <f t="shared" si="995"/>
        <v>-3465943.4845878207</v>
      </c>
      <c r="R708">
        <f t="shared" si="996"/>
        <v>-276503518.3639853</v>
      </c>
      <c r="S708">
        <f t="shared" si="997"/>
        <v>-2765.0351836398531</v>
      </c>
      <c r="T708">
        <f t="shared" si="998"/>
        <v>-2.7650351836398532</v>
      </c>
    </row>
    <row r="709" spans="1:20" x14ac:dyDescent="0.25">
      <c r="A709" s="5">
        <v>43884</v>
      </c>
      <c r="B709">
        <v>4.2000000000000003E-2</v>
      </c>
      <c r="C709">
        <v>4.2479999999999997E-2</v>
      </c>
      <c r="D709">
        <v>3.9620000000000002E-2</v>
      </c>
      <c r="E709">
        <v>4.1090000000000002E-2</v>
      </c>
      <c r="F709">
        <v>10857031.4</v>
      </c>
      <c r="G709">
        <v>0</v>
      </c>
      <c r="L709" t="s">
        <v>7</v>
      </c>
      <c r="M709" t="s">
        <v>8</v>
      </c>
      <c r="N709" t="s">
        <v>7</v>
      </c>
      <c r="P709">
        <f t="shared" si="994"/>
        <v>2.7972027972029311E-2</v>
      </c>
      <c r="Q709">
        <f t="shared" si="995"/>
        <v>303693.18601400056</v>
      </c>
      <c r="R709">
        <f t="shared" si="996"/>
        <v>-273037574.87939745</v>
      </c>
      <c r="S709">
        <f t="shared" si="997"/>
        <v>-2730.3757487939747</v>
      </c>
      <c r="T709">
        <f t="shared" si="998"/>
        <v>-2.7303757487939748</v>
      </c>
    </row>
    <row r="710" spans="1:20" x14ac:dyDescent="0.25">
      <c r="A710" s="5">
        <v>43883</v>
      </c>
      <c r="B710">
        <v>3.9E-2</v>
      </c>
      <c r="C710">
        <v>4.2209999999999998E-2</v>
      </c>
      <c r="D710">
        <v>3.8120000000000001E-2</v>
      </c>
      <c r="E710">
        <v>4.2000000000000003E-2</v>
      </c>
      <c r="F710">
        <v>12935238.1</v>
      </c>
      <c r="G710">
        <v>0</v>
      </c>
      <c r="L710" t="s">
        <v>8</v>
      </c>
      <c r="M710" t="s">
        <v>8</v>
      </c>
      <c r="N710" t="s">
        <v>7</v>
      </c>
      <c r="P710">
        <f t="shared" ref="P710:P766" si="999">IF(C710=D710,0,((E710-D710)-(C710-E710))/(C710-D710))</f>
        <v>0.89731051344743518</v>
      </c>
      <c r="Q710">
        <f t="shared" ref="Q710:Q766" si="1000">F710*P710</f>
        <v>11606925.141075825</v>
      </c>
      <c r="R710">
        <f t="shared" ref="R710:R766" si="1001">R711+Q710</f>
        <v>-273341268.06541145</v>
      </c>
      <c r="S710">
        <f t="shared" ref="S710:S766" si="1002">R710/100000</f>
        <v>-2733.4126806541144</v>
      </c>
      <c r="T710">
        <f t="shared" ref="T710:T766" si="1003">S710/1000</f>
        <v>-2.7334126806541144</v>
      </c>
    </row>
    <row r="711" spans="1:20" x14ac:dyDescent="0.25">
      <c r="A711" s="5">
        <v>43882</v>
      </c>
      <c r="B711">
        <v>3.6299999999999999E-2</v>
      </c>
      <c r="C711">
        <v>4.036E-2</v>
      </c>
      <c r="D711">
        <v>3.6110000000000003E-2</v>
      </c>
      <c r="E711">
        <v>3.9E-2</v>
      </c>
      <c r="F711">
        <v>8536111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0.35999999999999949</v>
      </c>
      <c r="Q711">
        <f t="shared" si="1000"/>
        <v>3072999.9599999958</v>
      </c>
      <c r="R711">
        <f t="shared" si="1001"/>
        <v>-284948193.2064873</v>
      </c>
      <c r="S711">
        <f t="shared" si="1002"/>
        <v>-2849.481932064873</v>
      </c>
      <c r="T711">
        <f t="shared" si="1003"/>
        <v>-2.8494819320648732</v>
      </c>
    </row>
    <row r="712" spans="1:20" x14ac:dyDescent="0.25">
      <c r="A712" s="5">
        <v>43881</v>
      </c>
      <c r="B712">
        <v>3.7400000000000003E-2</v>
      </c>
      <c r="C712">
        <v>3.7400000000000003E-2</v>
      </c>
      <c r="D712">
        <v>3.4630000000000001E-2</v>
      </c>
      <c r="E712">
        <v>3.6499999999999998E-2</v>
      </c>
      <c r="F712">
        <v>6610363.5</v>
      </c>
      <c r="G712">
        <v>0</v>
      </c>
      <c r="L712" t="s">
        <v>8</v>
      </c>
      <c r="M712" t="s">
        <v>7</v>
      </c>
      <c r="N712" t="s">
        <v>7</v>
      </c>
      <c r="P712">
        <f t="shared" si="999"/>
        <v>0.35018050541515927</v>
      </c>
      <c r="Q712">
        <f t="shared" si="1000"/>
        <v>2314820.431407921</v>
      </c>
      <c r="R712">
        <f t="shared" si="1001"/>
        <v>-288021193.16648728</v>
      </c>
      <c r="S712">
        <f t="shared" si="1002"/>
        <v>-2880.2119316648727</v>
      </c>
      <c r="T712">
        <f t="shared" si="1003"/>
        <v>-2.8802119316648729</v>
      </c>
    </row>
    <row r="713" spans="1:20" x14ac:dyDescent="0.25">
      <c r="A713" s="5">
        <v>43880</v>
      </c>
      <c r="B713">
        <v>4.2290000000000001E-2</v>
      </c>
      <c r="C713">
        <v>4.2799999999999998E-2</v>
      </c>
      <c r="D713">
        <v>3.4669999999999999E-2</v>
      </c>
      <c r="E713">
        <v>3.7400000000000003E-2</v>
      </c>
      <c r="F713">
        <v>10212632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-0.32841328413284038</v>
      </c>
      <c r="Q713">
        <f t="shared" si="1000"/>
        <v>-3353964.014760138</v>
      </c>
      <c r="R713">
        <f t="shared" si="1001"/>
        <v>-290336013.59789521</v>
      </c>
      <c r="S713">
        <f t="shared" si="1002"/>
        <v>-2903.3601359789523</v>
      </c>
      <c r="T713">
        <f t="shared" si="1003"/>
        <v>-2.9033601359789523</v>
      </c>
    </row>
    <row r="714" spans="1:20" x14ac:dyDescent="0.25">
      <c r="A714" s="5">
        <v>43879</v>
      </c>
      <c r="B714">
        <v>3.9789999999999999E-2</v>
      </c>
      <c r="C714">
        <v>4.2700000000000002E-2</v>
      </c>
      <c r="D714">
        <v>3.9300000000000002E-2</v>
      </c>
      <c r="E714">
        <v>4.24E-2</v>
      </c>
      <c r="F714">
        <v>7931093.7000000002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0.82352941176470495</v>
      </c>
      <c r="Q714">
        <f t="shared" si="1000"/>
        <v>6531488.9294117577</v>
      </c>
      <c r="R714">
        <f t="shared" si="1001"/>
        <v>-286982049.58313507</v>
      </c>
      <c r="S714">
        <f t="shared" si="1002"/>
        <v>-2869.8204958313509</v>
      </c>
      <c r="T714">
        <f t="shared" si="1003"/>
        <v>-2.8698204958313509</v>
      </c>
    </row>
    <row r="715" spans="1:20" x14ac:dyDescent="0.25">
      <c r="A715" s="5">
        <v>43878</v>
      </c>
      <c r="B715">
        <v>4.1799999999999997E-2</v>
      </c>
      <c r="C715">
        <v>4.2009999999999999E-2</v>
      </c>
      <c r="D715">
        <v>3.5999999999999997E-2</v>
      </c>
      <c r="E715">
        <v>3.9789999999999999E-2</v>
      </c>
      <c r="F715">
        <v>11065591.5</v>
      </c>
      <c r="G715">
        <v>0</v>
      </c>
      <c r="L715" t="s">
        <v>8</v>
      </c>
      <c r="M715" t="s">
        <v>8</v>
      </c>
      <c r="N715" t="s">
        <v>7</v>
      </c>
      <c r="P715">
        <f t="shared" si="999"/>
        <v>0.2612312811980036</v>
      </c>
      <c r="Q715">
        <f t="shared" si="1000"/>
        <v>2890678.6447587386</v>
      </c>
      <c r="R715">
        <f t="shared" si="1001"/>
        <v>-293513538.51254684</v>
      </c>
      <c r="S715">
        <f t="shared" si="1002"/>
        <v>-2935.1353851254685</v>
      </c>
      <c r="T715">
        <f t="shared" si="1003"/>
        <v>-2.9351353851254687</v>
      </c>
    </row>
    <row r="716" spans="1:20" x14ac:dyDescent="0.25">
      <c r="A716" s="5">
        <v>43877</v>
      </c>
      <c r="B716">
        <v>4.58E-2</v>
      </c>
      <c r="C716">
        <v>4.8550000000000003E-2</v>
      </c>
      <c r="D716">
        <v>3.5000000000000003E-2</v>
      </c>
      <c r="E716">
        <v>4.1770000000000002E-2</v>
      </c>
      <c r="F716">
        <v>16107041.199999999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-7.3800738007402677E-4</v>
      </c>
      <c r="Q716">
        <f t="shared" si="1000"/>
        <v>-11887.115276756407</v>
      </c>
      <c r="R716">
        <f t="shared" si="1001"/>
        <v>-296404217.1573056</v>
      </c>
      <c r="S716">
        <f t="shared" si="1002"/>
        <v>-2964.0421715730558</v>
      </c>
      <c r="T716">
        <f t="shared" si="1003"/>
        <v>-2.9640421715730558</v>
      </c>
    </row>
    <row r="717" spans="1:20" x14ac:dyDescent="0.25">
      <c r="A717" s="5">
        <v>43876</v>
      </c>
      <c r="B717">
        <v>4.6089999999999999E-2</v>
      </c>
      <c r="C717">
        <v>0.05</v>
      </c>
      <c r="D717">
        <v>4.2299999999999997E-2</v>
      </c>
      <c r="E717">
        <v>4.58E-2</v>
      </c>
      <c r="F717">
        <v>16072827.4</v>
      </c>
      <c r="G717">
        <v>0</v>
      </c>
      <c r="L717" t="s">
        <v>8</v>
      </c>
      <c r="M717" t="s">
        <v>7</v>
      </c>
      <c r="N717" t="s">
        <v>8</v>
      </c>
      <c r="P717">
        <f t="shared" si="999"/>
        <v>-9.0909090909090745E-2</v>
      </c>
      <c r="Q717">
        <f t="shared" si="1000"/>
        <v>-1461166.1272727246</v>
      </c>
      <c r="R717">
        <f t="shared" si="1001"/>
        <v>-296392330.04202884</v>
      </c>
      <c r="S717">
        <f t="shared" si="1002"/>
        <v>-2963.9233004202883</v>
      </c>
      <c r="T717">
        <f t="shared" si="1003"/>
        <v>-2.9639233004202885</v>
      </c>
    </row>
    <row r="718" spans="1:20" x14ac:dyDescent="0.25">
      <c r="A718" s="5">
        <v>43875</v>
      </c>
      <c r="B718">
        <v>4.7300000000000002E-2</v>
      </c>
      <c r="C718">
        <v>4.82E-2</v>
      </c>
      <c r="D718">
        <v>4.2900000000000001E-2</v>
      </c>
      <c r="E718">
        <v>4.6030000000000001E-2</v>
      </c>
      <c r="F718">
        <v>13711243.4</v>
      </c>
      <c r="G718">
        <v>0</v>
      </c>
      <c r="L718" t="s">
        <v>7</v>
      </c>
      <c r="M718" t="s">
        <v>7</v>
      </c>
      <c r="N718" t="s">
        <v>8</v>
      </c>
      <c r="P718">
        <f t="shared" si="999"/>
        <v>0.18113207547169863</v>
      </c>
      <c r="Q718">
        <f t="shared" si="1000"/>
        <v>2483545.97433963</v>
      </c>
      <c r="R718">
        <f t="shared" si="1001"/>
        <v>-294931163.91475612</v>
      </c>
      <c r="S718">
        <f t="shared" si="1002"/>
        <v>-2949.311639147561</v>
      </c>
      <c r="T718">
        <f t="shared" si="1003"/>
        <v>-2.9493116391475609</v>
      </c>
    </row>
    <row r="719" spans="1:20" x14ac:dyDescent="0.25">
      <c r="A719" s="5">
        <v>43874</v>
      </c>
      <c r="B719">
        <v>5.1589999999999997E-2</v>
      </c>
      <c r="C719">
        <v>5.2600000000000001E-2</v>
      </c>
      <c r="D719">
        <v>4.5440000000000001E-2</v>
      </c>
      <c r="E719">
        <v>4.7289999999999999E-2</v>
      </c>
      <c r="F719">
        <v>19690641.600000001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-0.48324022346368783</v>
      </c>
      <c r="Q719">
        <f t="shared" si="1000"/>
        <v>-9515310.0469273888</v>
      </c>
      <c r="R719">
        <f t="shared" si="1001"/>
        <v>-297414709.88909572</v>
      </c>
      <c r="S719">
        <f t="shared" si="1002"/>
        <v>-2974.1470988909573</v>
      </c>
      <c r="T719">
        <f t="shared" si="1003"/>
        <v>-2.9741470988909571</v>
      </c>
    </row>
    <row r="720" spans="1:20" x14ac:dyDescent="0.25">
      <c r="A720" s="5">
        <v>43873</v>
      </c>
      <c r="B720">
        <v>5.1639999999999998E-2</v>
      </c>
      <c r="C720">
        <v>5.3999999999999999E-2</v>
      </c>
      <c r="D720">
        <v>4.2000000000000003E-2</v>
      </c>
      <c r="E720">
        <v>5.16E-2</v>
      </c>
      <c r="F720">
        <v>23339774.5</v>
      </c>
      <c r="G720">
        <v>0</v>
      </c>
      <c r="L720" t="s">
        <v>7</v>
      </c>
      <c r="M720" t="s">
        <v>7</v>
      </c>
      <c r="N720" t="s">
        <v>8</v>
      </c>
      <c r="P720">
        <f t="shared" si="999"/>
        <v>0.6</v>
      </c>
      <c r="Q720">
        <f t="shared" si="1000"/>
        <v>14003864.699999999</v>
      </c>
      <c r="R720">
        <f t="shared" si="1001"/>
        <v>-287899399.84216833</v>
      </c>
      <c r="S720">
        <f t="shared" si="1002"/>
        <v>-2878.9939984216835</v>
      </c>
      <c r="T720">
        <f t="shared" si="1003"/>
        <v>-2.8789939984216835</v>
      </c>
    </row>
    <row r="721" spans="1:20" x14ac:dyDescent="0.25">
      <c r="A721" s="5">
        <v>43872</v>
      </c>
      <c r="B721">
        <v>5.2420000000000001E-2</v>
      </c>
      <c r="C721">
        <v>5.7149999999999999E-2</v>
      </c>
      <c r="D721">
        <v>5.0020000000000002E-2</v>
      </c>
      <c r="E721">
        <v>5.1769999999999997E-2</v>
      </c>
      <c r="F721">
        <v>28960203.600000001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-0.50911640953716819</v>
      </c>
      <c r="Q721">
        <f t="shared" si="1000"/>
        <v>-14744114.876297373</v>
      </c>
      <c r="R721">
        <f t="shared" si="1001"/>
        <v>-301903264.54216832</v>
      </c>
      <c r="S721">
        <f t="shared" si="1002"/>
        <v>-3019.0326454216834</v>
      </c>
      <c r="T721">
        <f t="shared" si="1003"/>
        <v>-3.0190326454216834</v>
      </c>
    </row>
    <row r="722" spans="1:20" x14ac:dyDescent="0.25">
      <c r="A722" s="5">
        <v>43871</v>
      </c>
      <c r="B722">
        <v>4.6780000000000002E-2</v>
      </c>
      <c r="C722">
        <v>5.4800000000000001E-2</v>
      </c>
      <c r="D722">
        <v>4.2610000000000002E-2</v>
      </c>
      <c r="E722">
        <v>5.2819999999999999E-2</v>
      </c>
      <c r="F722">
        <v>29929971.010000002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0.67514356029532363</v>
      </c>
      <c r="Q722">
        <f t="shared" si="1000"/>
        <v>20207027.187227223</v>
      </c>
      <c r="R722">
        <f t="shared" si="1001"/>
        <v>-287159149.66587096</v>
      </c>
      <c r="S722">
        <f t="shared" si="1002"/>
        <v>-2871.5914966587097</v>
      </c>
      <c r="T722">
        <f t="shared" si="1003"/>
        <v>-2.8715914966587097</v>
      </c>
    </row>
    <row r="723" spans="1:20" x14ac:dyDescent="0.25">
      <c r="A723" s="5">
        <v>43870</v>
      </c>
      <c r="B723">
        <v>4.1570000000000003E-2</v>
      </c>
      <c r="C723">
        <v>4.9459999999999997E-2</v>
      </c>
      <c r="D723">
        <v>3.9989999999999998E-2</v>
      </c>
      <c r="E723">
        <v>4.6539999999999998E-2</v>
      </c>
      <c r="F723">
        <v>25060829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0.38331573389651546</v>
      </c>
      <c r="Q723">
        <f t="shared" si="1000"/>
        <v>9606210.0601900779</v>
      </c>
      <c r="R723">
        <f t="shared" si="1001"/>
        <v>-307366176.85309821</v>
      </c>
      <c r="S723">
        <f t="shared" si="1002"/>
        <v>-3073.661768530982</v>
      </c>
      <c r="T723">
        <f t="shared" si="1003"/>
        <v>-3.0736617685309819</v>
      </c>
    </row>
    <row r="724" spans="1:20" x14ac:dyDescent="0.25">
      <c r="A724" s="5">
        <v>43869</v>
      </c>
      <c r="B724">
        <v>4.6210000000000001E-2</v>
      </c>
      <c r="C724">
        <v>4.6629999999999998E-2</v>
      </c>
      <c r="D724">
        <v>0.04</v>
      </c>
      <c r="E724">
        <v>4.165E-2</v>
      </c>
      <c r="F724">
        <v>37943472.299999997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-0.50226244343891424</v>
      </c>
      <c r="Q724">
        <f t="shared" si="1000"/>
        <v>-19057581.109954759</v>
      </c>
      <c r="R724">
        <f t="shared" si="1001"/>
        <v>-316972386.9132883</v>
      </c>
      <c r="S724">
        <f t="shared" si="1002"/>
        <v>-3169.723869132883</v>
      </c>
      <c r="T724">
        <f t="shared" si="1003"/>
        <v>-3.1697238691328828</v>
      </c>
    </row>
    <row r="725" spans="1:20" x14ac:dyDescent="0.25">
      <c r="A725" s="5">
        <v>43868</v>
      </c>
      <c r="B725">
        <v>3.628E-2</v>
      </c>
      <c r="C725">
        <v>5.0950000000000002E-2</v>
      </c>
      <c r="D725">
        <v>3.5099999999999999E-2</v>
      </c>
      <c r="E725">
        <v>4.6289999999999998E-2</v>
      </c>
      <c r="F725">
        <v>60708777.700000003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0.4119873817034696</v>
      </c>
      <c r="Q725">
        <f t="shared" si="1000"/>
        <v>25011250.371040985</v>
      </c>
      <c r="R725">
        <f t="shared" si="1001"/>
        <v>-297914805.80333352</v>
      </c>
      <c r="S725">
        <f t="shared" si="1002"/>
        <v>-2979.148058033335</v>
      </c>
      <c r="T725">
        <f t="shared" si="1003"/>
        <v>-2.9791480580333349</v>
      </c>
    </row>
    <row r="726" spans="1:20" x14ac:dyDescent="0.25">
      <c r="A726" s="5">
        <v>43867</v>
      </c>
      <c r="B726">
        <v>3.3309999999999999E-2</v>
      </c>
      <c r="C726">
        <v>3.6769999999999997E-2</v>
      </c>
      <c r="D726">
        <v>3.2500000000000001E-2</v>
      </c>
      <c r="E726">
        <v>3.6319999999999998E-2</v>
      </c>
      <c r="F726">
        <v>20913007.300000001</v>
      </c>
      <c r="G726">
        <v>0</v>
      </c>
      <c r="L726" t="s">
        <v>8</v>
      </c>
      <c r="M726" t="s">
        <v>7</v>
      </c>
      <c r="N726" t="s">
        <v>8</v>
      </c>
      <c r="P726">
        <f t="shared" si="999"/>
        <v>0.78922716627634693</v>
      </c>
      <c r="Q726">
        <f t="shared" si="1000"/>
        <v>16505113.489695558</v>
      </c>
      <c r="R726">
        <f t="shared" si="1001"/>
        <v>-322926056.17437452</v>
      </c>
      <c r="S726">
        <f t="shared" si="1002"/>
        <v>-3229.2605617437453</v>
      </c>
      <c r="T726">
        <f t="shared" si="1003"/>
        <v>-3.2292605617437453</v>
      </c>
    </row>
    <row r="727" spans="1:20" x14ac:dyDescent="0.25">
      <c r="A727" s="5">
        <v>43866</v>
      </c>
      <c r="B727">
        <v>3.2399999999999998E-2</v>
      </c>
      <c r="C727">
        <v>3.4099999999999998E-2</v>
      </c>
      <c r="D727">
        <v>3.2390000000000002E-2</v>
      </c>
      <c r="E727">
        <v>3.3349999999999998E-2</v>
      </c>
      <c r="F727">
        <v>10406249</v>
      </c>
      <c r="G727">
        <v>0</v>
      </c>
      <c r="L727" t="s">
        <v>8</v>
      </c>
      <c r="M727" t="s">
        <v>7</v>
      </c>
      <c r="N727" t="s">
        <v>8</v>
      </c>
      <c r="P727">
        <f t="shared" si="999"/>
        <v>0.12280701754385695</v>
      </c>
      <c r="Q727">
        <f t="shared" si="1000"/>
        <v>1277960.4035087437</v>
      </c>
      <c r="R727">
        <f t="shared" si="1001"/>
        <v>-339431169.66407007</v>
      </c>
      <c r="S727">
        <f t="shared" si="1002"/>
        <v>-3394.3116966407006</v>
      </c>
      <c r="T727">
        <f t="shared" si="1003"/>
        <v>-3.3943116966407008</v>
      </c>
    </row>
    <row r="728" spans="1:20" x14ac:dyDescent="0.25">
      <c r="A728" s="5">
        <v>43865</v>
      </c>
      <c r="B728">
        <v>3.3660000000000002E-2</v>
      </c>
      <c r="C728">
        <v>3.4189999999999998E-2</v>
      </c>
      <c r="D728">
        <v>3.1690000000000003E-2</v>
      </c>
      <c r="E728">
        <v>3.2410000000000001E-2</v>
      </c>
      <c r="F728">
        <v>9044425.6999999993</v>
      </c>
      <c r="G728">
        <v>0</v>
      </c>
      <c r="L728" t="s">
        <v>7</v>
      </c>
      <c r="M728" t="s">
        <v>7</v>
      </c>
      <c r="N728" t="s">
        <v>8</v>
      </c>
      <c r="P728">
        <f t="shared" si="999"/>
        <v>-0.42400000000000015</v>
      </c>
      <c r="Q728">
        <f t="shared" si="1000"/>
        <v>-3834836.4968000012</v>
      </c>
      <c r="R728">
        <f t="shared" si="1001"/>
        <v>-340709130.06757879</v>
      </c>
      <c r="S728">
        <f t="shared" si="1002"/>
        <v>-3407.0913006757878</v>
      </c>
      <c r="T728">
        <f t="shared" si="1003"/>
        <v>-3.4070913006757877</v>
      </c>
    </row>
    <row r="729" spans="1:20" x14ac:dyDescent="0.25">
      <c r="A729" s="5">
        <v>43864</v>
      </c>
      <c r="B729">
        <v>3.5249999999999997E-2</v>
      </c>
      <c r="C729">
        <v>3.5749999999999997E-2</v>
      </c>
      <c r="D729">
        <v>3.2039999999999999E-2</v>
      </c>
      <c r="E729">
        <v>3.3459999999999997E-2</v>
      </c>
      <c r="F729">
        <v>15458251</v>
      </c>
      <c r="G729">
        <v>0</v>
      </c>
      <c r="L729" t="s">
        <v>7</v>
      </c>
      <c r="M729" t="s">
        <v>7</v>
      </c>
      <c r="N729" t="s">
        <v>8</v>
      </c>
      <c r="P729">
        <f t="shared" si="999"/>
        <v>-0.23450134770889575</v>
      </c>
      <c r="Q729">
        <f t="shared" si="1000"/>
        <v>-3624980.6927223853</v>
      </c>
      <c r="R729">
        <f t="shared" si="1001"/>
        <v>-336874293.57077879</v>
      </c>
      <c r="S729">
        <f t="shared" si="1002"/>
        <v>-3368.7429357077881</v>
      </c>
      <c r="T729">
        <f t="shared" si="1003"/>
        <v>-3.3687429357077883</v>
      </c>
    </row>
    <row r="730" spans="1:20" x14ac:dyDescent="0.25">
      <c r="A730" s="5">
        <v>43863</v>
      </c>
      <c r="B730">
        <v>3.5799999999999998E-2</v>
      </c>
      <c r="C730">
        <v>3.6389999999999999E-2</v>
      </c>
      <c r="D730">
        <v>3.4500000000000003E-2</v>
      </c>
      <c r="E730">
        <v>3.526E-2</v>
      </c>
      <c r="F730">
        <v>9904605.5999999996</v>
      </c>
      <c r="G730">
        <v>0</v>
      </c>
      <c r="L730" t="s">
        <v>7</v>
      </c>
      <c r="M730" t="s">
        <v>7</v>
      </c>
      <c r="N730" t="s">
        <v>8</v>
      </c>
      <c r="P730">
        <f t="shared" si="999"/>
        <v>-0.19576719576719739</v>
      </c>
      <c r="Q730">
        <f t="shared" si="1000"/>
        <v>-1938996.8634920795</v>
      </c>
      <c r="R730">
        <f t="shared" si="1001"/>
        <v>-333249312.87805641</v>
      </c>
      <c r="S730">
        <f t="shared" si="1002"/>
        <v>-3332.4931287805639</v>
      </c>
      <c r="T730">
        <f t="shared" si="1003"/>
        <v>-3.3324931287805639</v>
      </c>
    </row>
    <row r="731" spans="1:20" x14ac:dyDescent="0.25">
      <c r="A731" s="5">
        <v>43862</v>
      </c>
      <c r="B731">
        <v>3.7949999999999998E-2</v>
      </c>
      <c r="C731">
        <v>3.8120000000000001E-2</v>
      </c>
      <c r="D731">
        <v>3.4660000000000003E-2</v>
      </c>
      <c r="E731">
        <v>3.585E-2</v>
      </c>
      <c r="F731">
        <v>21919393.5</v>
      </c>
      <c r="G731">
        <v>0</v>
      </c>
      <c r="L731" t="s">
        <v>7</v>
      </c>
      <c r="M731" t="s">
        <v>8</v>
      </c>
      <c r="N731" t="s">
        <v>8</v>
      </c>
      <c r="P731">
        <f t="shared" si="999"/>
        <v>-0.31213872832370093</v>
      </c>
      <c r="Q731">
        <f t="shared" si="1000"/>
        <v>-6841891.6127167959</v>
      </c>
      <c r="R731">
        <f t="shared" si="1001"/>
        <v>-331310316.01456434</v>
      </c>
      <c r="S731">
        <f t="shared" si="1002"/>
        <v>-3313.1031601456434</v>
      </c>
      <c r="T731">
        <f t="shared" si="1003"/>
        <v>-3.3131031601456433</v>
      </c>
    </row>
    <row r="732" spans="1:20" x14ac:dyDescent="0.25">
      <c r="A732" s="5">
        <v>43861</v>
      </c>
      <c r="B732">
        <v>4.0149999999999998E-2</v>
      </c>
      <c r="C732">
        <v>4.19E-2</v>
      </c>
      <c r="D732">
        <v>3.6600000000000001E-2</v>
      </c>
      <c r="E732">
        <v>3.7900000000000003E-2</v>
      </c>
      <c r="F732">
        <v>14965616.9</v>
      </c>
      <c r="G732">
        <v>0</v>
      </c>
      <c r="L732" t="s">
        <v>7</v>
      </c>
      <c r="M732" t="s">
        <v>8</v>
      </c>
      <c r="N732" t="s">
        <v>8</v>
      </c>
      <c r="P732">
        <f t="shared" si="999"/>
        <v>-0.50943396226414994</v>
      </c>
      <c r="Q732">
        <f t="shared" si="1000"/>
        <v>-7623993.5150943249</v>
      </c>
      <c r="R732">
        <f t="shared" si="1001"/>
        <v>-324468424.40184754</v>
      </c>
      <c r="S732">
        <f t="shared" si="1002"/>
        <v>-3244.6842440184755</v>
      </c>
      <c r="T732">
        <f t="shared" si="1003"/>
        <v>-3.2446842440184755</v>
      </c>
    </row>
    <row r="733" spans="1:20" x14ac:dyDescent="0.25">
      <c r="A733" s="5">
        <v>43860</v>
      </c>
      <c r="B733">
        <v>3.61E-2</v>
      </c>
      <c r="C733">
        <v>4.1730000000000003E-2</v>
      </c>
      <c r="D733">
        <v>3.4689999999999999E-2</v>
      </c>
      <c r="E733">
        <v>4.0079999999999998E-2</v>
      </c>
      <c r="F733">
        <v>14310199.699999999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0.53124999999999867</v>
      </c>
      <c r="Q733">
        <f t="shared" si="1000"/>
        <v>7602293.5906249806</v>
      </c>
      <c r="R733">
        <f t="shared" si="1001"/>
        <v>-316844430.8867532</v>
      </c>
      <c r="S733">
        <f t="shared" si="1002"/>
        <v>-3168.4443088675321</v>
      </c>
      <c r="T733">
        <f t="shared" si="1003"/>
        <v>-3.168444308867532</v>
      </c>
    </row>
    <row r="734" spans="1:20" x14ac:dyDescent="0.25">
      <c r="A734" s="5">
        <v>43859</v>
      </c>
      <c r="B734">
        <v>3.6389999999999999E-2</v>
      </c>
      <c r="C734">
        <v>3.8870000000000002E-2</v>
      </c>
      <c r="D734">
        <v>3.4430000000000002E-2</v>
      </c>
      <c r="E734">
        <v>3.61E-2</v>
      </c>
      <c r="F734">
        <v>17035284.399999999</v>
      </c>
      <c r="G734">
        <v>0</v>
      </c>
      <c r="L734" t="s">
        <v>7</v>
      </c>
      <c r="M734" t="s">
        <v>8</v>
      </c>
      <c r="N734" t="s">
        <v>8</v>
      </c>
      <c r="P734">
        <f t="shared" si="999"/>
        <v>-0.24774774774774863</v>
      </c>
      <c r="Q734">
        <f t="shared" si="1000"/>
        <v>-4220453.3423423572</v>
      </c>
      <c r="R734">
        <f t="shared" si="1001"/>
        <v>-324446724.47737819</v>
      </c>
      <c r="S734">
        <f t="shared" si="1002"/>
        <v>-3244.4672447737821</v>
      </c>
      <c r="T734">
        <f t="shared" si="1003"/>
        <v>-3.2444672447737819</v>
      </c>
    </row>
    <row r="735" spans="1:20" x14ac:dyDescent="0.25">
      <c r="A735" s="5">
        <v>43858</v>
      </c>
      <c r="B735">
        <v>3.1859999999999999E-2</v>
      </c>
      <c r="C735">
        <v>3.9E-2</v>
      </c>
      <c r="D735">
        <v>3.1519999999999999E-2</v>
      </c>
      <c r="E735">
        <v>3.6389999999999999E-2</v>
      </c>
      <c r="F735">
        <v>27035082.600000001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0.30213903743315479</v>
      </c>
      <c r="Q735">
        <f t="shared" si="1000"/>
        <v>8168353.8336898321</v>
      </c>
      <c r="R735">
        <f t="shared" si="1001"/>
        <v>-320226271.13503581</v>
      </c>
      <c r="S735">
        <f t="shared" si="1002"/>
        <v>-3202.2627113503581</v>
      </c>
      <c r="T735">
        <f t="shared" si="1003"/>
        <v>-3.2022627113503583</v>
      </c>
    </row>
    <row r="736" spans="1:20" x14ac:dyDescent="0.25">
      <c r="A736" s="5">
        <v>43857</v>
      </c>
      <c r="B736">
        <v>3.3250000000000002E-2</v>
      </c>
      <c r="C736">
        <v>3.4970000000000001E-2</v>
      </c>
      <c r="D736">
        <v>3.0300000000000001E-2</v>
      </c>
      <c r="E736">
        <v>3.1870000000000002E-2</v>
      </c>
      <c r="F736">
        <v>14802167.4</v>
      </c>
      <c r="G736">
        <v>0</v>
      </c>
      <c r="L736" t="s">
        <v>7</v>
      </c>
      <c r="M736" t="s">
        <v>7</v>
      </c>
      <c r="N736" t="s">
        <v>8</v>
      </c>
      <c r="P736">
        <f t="shared" si="999"/>
        <v>-0.32762312633832902</v>
      </c>
      <c r="Q736">
        <f t="shared" si="1000"/>
        <v>-4849532.3601712957</v>
      </c>
      <c r="R736">
        <f t="shared" si="1001"/>
        <v>-328394624.96872562</v>
      </c>
      <c r="S736">
        <f t="shared" si="1002"/>
        <v>-3283.9462496872561</v>
      </c>
      <c r="T736">
        <f t="shared" si="1003"/>
        <v>-3.283946249687256</v>
      </c>
    </row>
    <row r="737" spans="1:20" x14ac:dyDescent="0.25">
      <c r="A737" s="5">
        <v>43856</v>
      </c>
      <c r="B737">
        <v>3.4500000000000003E-2</v>
      </c>
      <c r="C737">
        <v>3.4500000000000003E-2</v>
      </c>
      <c r="D737">
        <v>3.1530000000000002E-2</v>
      </c>
      <c r="E737">
        <v>3.3250000000000002E-2</v>
      </c>
      <c r="F737">
        <v>17497814</v>
      </c>
      <c r="G737">
        <v>0</v>
      </c>
      <c r="L737" t="s">
        <v>7</v>
      </c>
      <c r="M737" t="s">
        <v>7</v>
      </c>
      <c r="N737" t="s">
        <v>8</v>
      </c>
      <c r="P737">
        <f t="shared" si="999"/>
        <v>0.15824915824915761</v>
      </c>
      <c r="Q737">
        <f t="shared" si="1000"/>
        <v>2769014.3367003254</v>
      </c>
      <c r="R737">
        <f t="shared" si="1001"/>
        <v>-323545092.6085543</v>
      </c>
      <c r="S737">
        <f t="shared" si="1002"/>
        <v>-3235.450926085543</v>
      </c>
      <c r="T737">
        <f t="shared" si="1003"/>
        <v>-3.2354509260855431</v>
      </c>
    </row>
    <row r="738" spans="1:20" x14ac:dyDescent="0.25">
      <c r="A738" s="5">
        <v>43855</v>
      </c>
      <c r="B738">
        <v>2.8500000000000001E-2</v>
      </c>
      <c r="C738">
        <v>4.0869999999999997E-2</v>
      </c>
      <c r="D738">
        <v>2.8479999999999998E-2</v>
      </c>
      <c r="E738">
        <v>3.4599999999999999E-2</v>
      </c>
      <c r="F738">
        <v>48313661.380000003</v>
      </c>
      <c r="G738">
        <v>0</v>
      </c>
      <c r="L738" t="s">
        <v>8</v>
      </c>
      <c r="M738" t="s">
        <v>8</v>
      </c>
      <c r="N738" t="s">
        <v>8</v>
      </c>
      <c r="P738">
        <f t="shared" si="999"/>
        <v>-1.2106537530266132E-2</v>
      </c>
      <c r="Q738">
        <f t="shared" si="1000"/>
        <v>-584911.15472153947</v>
      </c>
      <c r="R738">
        <f t="shared" si="1001"/>
        <v>-326314106.94525462</v>
      </c>
      <c r="S738">
        <f t="shared" si="1002"/>
        <v>-3263.1410694525462</v>
      </c>
      <c r="T738">
        <f t="shared" si="1003"/>
        <v>-3.263141069452546</v>
      </c>
    </row>
    <row r="739" spans="1:20" x14ac:dyDescent="0.25">
      <c r="A739" s="5">
        <v>43854</v>
      </c>
      <c r="B739">
        <v>2.5010000000000001E-2</v>
      </c>
      <c r="C739">
        <v>3.0200000000000001E-2</v>
      </c>
      <c r="D739">
        <v>2.385E-2</v>
      </c>
      <c r="E739">
        <v>2.8500000000000001E-2</v>
      </c>
      <c r="F739">
        <v>9504568.9000000004</v>
      </c>
      <c r="G739">
        <v>0</v>
      </c>
      <c r="L739" t="s">
        <v>8</v>
      </c>
      <c r="M739" t="s">
        <v>8</v>
      </c>
      <c r="N739" t="s">
        <v>8</v>
      </c>
      <c r="P739">
        <f t="shared" si="999"/>
        <v>0.46456692913385833</v>
      </c>
      <c r="Q739">
        <f t="shared" si="1000"/>
        <v>4415508.3866141737</v>
      </c>
      <c r="R739">
        <f t="shared" si="1001"/>
        <v>-325729195.79053307</v>
      </c>
      <c r="S739">
        <f t="shared" si="1002"/>
        <v>-3257.2919579053305</v>
      </c>
      <c r="T739">
        <f t="shared" si="1003"/>
        <v>-3.2572919579053305</v>
      </c>
    </row>
    <row r="740" spans="1:20" x14ac:dyDescent="0.25">
      <c r="A740" s="5">
        <v>43853</v>
      </c>
      <c r="B740">
        <v>2.5399999999999999E-2</v>
      </c>
      <c r="C740">
        <v>2.7439999999999999E-2</v>
      </c>
      <c r="D740">
        <v>2.3810000000000001E-2</v>
      </c>
      <c r="E740">
        <v>2.5100000000000001E-2</v>
      </c>
      <c r="F740">
        <v>15001906.300000001</v>
      </c>
      <c r="G740">
        <v>0</v>
      </c>
      <c r="L740" t="s">
        <v>8</v>
      </c>
      <c r="M740" t="s">
        <v>8</v>
      </c>
      <c r="N740" t="s">
        <v>8</v>
      </c>
      <c r="P740">
        <f t="shared" si="999"/>
        <v>-0.28925619834710731</v>
      </c>
      <c r="Q740">
        <f t="shared" si="1000"/>
        <v>-4339394.384297519</v>
      </c>
      <c r="R740">
        <f t="shared" si="1001"/>
        <v>-330144704.17714721</v>
      </c>
      <c r="S740">
        <f t="shared" si="1002"/>
        <v>-3301.447041771472</v>
      </c>
      <c r="T740">
        <f t="shared" si="1003"/>
        <v>-3.3014470417714721</v>
      </c>
    </row>
    <row r="741" spans="1:20" x14ac:dyDescent="0.25">
      <c r="A741" s="5">
        <v>43852</v>
      </c>
      <c r="B741">
        <v>2.1850000000000001E-2</v>
      </c>
      <c r="C741">
        <v>2.58E-2</v>
      </c>
      <c r="D741">
        <v>2.163E-2</v>
      </c>
      <c r="E741">
        <v>2.5399999999999999E-2</v>
      </c>
      <c r="F741">
        <v>16216673.699999999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0.80815347721822495</v>
      </c>
      <c r="Q741">
        <f t="shared" si="1000"/>
        <v>13105561.239568338</v>
      </c>
      <c r="R741">
        <f t="shared" si="1001"/>
        <v>-325805309.79284972</v>
      </c>
      <c r="S741">
        <f t="shared" si="1002"/>
        <v>-3258.0530979284972</v>
      </c>
      <c r="T741">
        <f t="shared" si="1003"/>
        <v>-3.2580530979284972</v>
      </c>
    </row>
    <row r="742" spans="1:20" x14ac:dyDescent="0.25">
      <c r="A742" s="5">
        <v>43851</v>
      </c>
      <c r="B742">
        <v>2.06E-2</v>
      </c>
      <c r="C742">
        <v>2.3E-2</v>
      </c>
      <c r="D742">
        <v>2.0310000000000002E-2</v>
      </c>
      <c r="E742">
        <v>2.196E-2</v>
      </c>
      <c r="F742">
        <v>10849535</v>
      </c>
      <c r="G742">
        <v>0</v>
      </c>
      <c r="L742" t="s">
        <v>8</v>
      </c>
      <c r="M742" t="s">
        <v>7</v>
      </c>
      <c r="N742" t="s">
        <v>8</v>
      </c>
      <c r="P742">
        <f t="shared" si="999"/>
        <v>0.22676579925650553</v>
      </c>
      <c r="Q742">
        <f t="shared" si="1000"/>
        <v>2460303.4758364307</v>
      </c>
      <c r="R742">
        <f t="shared" si="1001"/>
        <v>-338910871.03241807</v>
      </c>
      <c r="S742">
        <f t="shared" si="1002"/>
        <v>-3389.1087103241807</v>
      </c>
      <c r="T742">
        <f t="shared" si="1003"/>
        <v>-3.3891087103241806</v>
      </c>
    </row>
    <row r="743" spans="1:20" x14ac:dyDescent="0.25">
      <c r="A743" s="5">
        <v>43850</v>
      </c>
      <c r="B743">
        <v>2.06E-2</v>
      </c>
      <c r="C743">
        <v>2.1049999999999999E-2</v>
      </c>
      <c r="D743">
        <v>2.0119999999999999E-2</v>
      </c>
      <c r="E743">
        <v>2.0719999999999999E-2</v>
      </c>
      <c r="F743">
        <v>2820599.3</v>
      </c>
      <c r="G743">
        <v>0</v>
      </c>
      <c r="L743" t="s">
        <v>7</v>
      </c>
      <c r="M743" t="s">
        <v>7</v>
      </c>
      <c r="N743" t="s">
        <v>8</v>
      </c>
      <c r="P743">
        <f t="shared" si="999"/>
        <v>0.29032258064516059</v>
      </c>
      <c r="Q743">
        <f t="shared" si="1000"/>
        <v>818883.66774193349</v>
      </c>
      <c r="R743">
        <f t="shared" si="1001"/>
        <v>-341371174.50825453</v>
      </c>
      <c r="S743">
        <f t="shared" si="1002"/>
        <v>-3413.7117450825453</v>
      </c>
      <c r="T743">
        <f t="shared" si="1003"/>
        <v>-3.4137117450825452</v>
      </c>
    </row>
    <row r="744" spans="1:20" x14ac:dyDescent="0.25">
      <c r="A744" s="5">
        <v>43849</v>
      </c>
      <c r="B744">
        <v>2.1299999999999999E-2</v>
      </c>
      <c r="C744">
        <v>2.1700000000000001E-2</v>
      </c>
      <c r="D744">
        <v>2.0299999999999999E-2</v>
      </c>
      <c r="E744">
        <v>2.06E-2</v>
      </c>
      <c r="F744">
        <v>3576508.9</v>
      </c>
      <c r="G744">
        <v>0</v>
      </c>
      <c r="L744" t="s">
        <v>7</v>
      </c>
      <c r="M744" t="s">
        <v>7</v>
      </c>
      <c r="N744" t="s">
        <v>8</v>
      </c>
      <c r="P744">
        <f t="shared" si="999"/>
        <v>-0.57142857142856962</v>
      </c>
      <c r="Q744">
        <f t="shared" si="1000"/>
        <v>-2043719.3714285649</v>
      </c>
      <c r="R744">
        <f t="shared" si="1001"/>
        <v>-342190058.17599648</v>
      </c>
      <c r="S744">
        <f t="shared" si="1002"/>
        <v>-3421.900581759965</v>
      </c>
      <c r="T744">
        <f t="shared" si="1003"/>
        <v>-3.421900581759965</v>
      </c>
    </row>
    <row r="745" spans="1:20" x14ac:dyDescent="0.25">
      <c r="A745" s="5">
        <v>43848</v>
      </c>
      <c r="B745">
        <v>2.2009999999999998E-2</v>
      </c>
      <c r="C745">
        <v>2.23E-2</v>
      </c>
      <c r="D745">
        <v>2.1149999999999999E-2</v>
      </c>
      <c r="E745">
        <v>2.1299999999999999E-2</v>
      </c>
      <c r="F745">
        <v>2421075.9</v>
      </c>
      <c r="G745">
        <v>0</v>
      </c>
      <c r="L745" t="s">
        <v>7</v>
      </c>
      <c r="M745" t="s">
        <v>7</v>
      </c>
      <c r="N745" t="s">
        <v>8</v>
      </c>
      <c r="P745">
        <f t="shared" si="999"/>
        <v>-0.73913043478260765</v>
      </c>
      <c r="Q745">
        <f t="shared" si="1000"/>
        <v>-1789490.8826086931</v>
      </c>
      <c r="R745">
        <f t="shared" si="1001"/>
        <v>-340146338.80456793</v>
      </c>
      <c r="S745">
        <f t="shared" si="1002"/>
        <v>-3401.4633880456795</v>
      </c>
      <c r="T745">
        <f t="shared" si="1003"/>
        <v>-3.4014633880456797</v>
      </c>
    </row>
    <row r="746" spans="1:20" x14ac:dyDescent="0.25">
      <c r="A746" s="5">
        <v>43847</v>
      </c>
      <c r="B746">
        <v>2.1569999999999999E-2</v>
      </c>
      <c r="C746">
        <v>2.2280000000000001E-2</v>
      </c>
      <c r="D746">
        <v>2.1510000000000001E-2</v>
      </c>
      <c r="E746">
        <v>2.2040000000000001E-2</v>
      </c>
      <c r="F746">
        <v>3481060.1</v>
      </c>
      <c r="G746">
        <v>0</v>
      </c>
      <c r="L746" t="s">
        <v>7</v>
      </c>
      <c r="M746" t="s">
        <v>8</v>
      </c>
      <c r="N746" t="s">
        <v>8</v>
      </c>
      <c r="P746">
        <f t="shared" si="999"/>
        <v>0.37662337662337486</v>
      </c>
      <c r="Q746">
        <f t="shared" si="1000"/>
        <v>1311048.6090909031</v>
      </c>
      <c r="R746">
        <f t="shared" si="1001"/>
        <v>-338356847.92195922</v>
      </c>
      <c r="S746">
        <f t="shared" si="1002"/>
        <v>-3383.5684792195921</v>
      </c>
      <c r="T746">
        <f t="shared" si="1003"/>
        <v>-3.3835684792195919</v>
      </c>
    </row>
    <row r="747" spans="1:20" x14ac:dyDescent="0.25">
      <c r="A747" s="5">
        <v>43846</v>
      </c>
      <c r="B747">
        <v>2.1999999999999999E-2</v>
      </c>
      <c r="C747">
        <v>2.3699999999999999E-2</v>
      </c>
      <c r="D747">
        <v>2.12E-2</v>
      </c>
      <c r="E747">
        <v>2.18E-2</v>
      </c>
      <c r="F747">
        <v>4337727.8</v>
      </c>
      <c r="G747">
        <v>0</v>
      </c>
      <c r="L747" t="s">
        <v>8</v>
      </c>
      <c r="M747" t="s">
        <v>8</v>
      </c>
      <c r="N747" t="s">
        <v>8</v>
      </c>
      <c r="P747">
        <f t="shared" si="999"/>
        <v>-0.51999999999999991</v>
      </c>
      <c r="Q747">
        <f t="shared" si="1000"/>
        <v>-2255618.4559999993</v>
      </c>
      <c r="R747">
        <f t="shared" si="1001"/>
        <v>-339667896.53105015</v>
      </c>
      <c r="S747">
        <f t="shared" si="1002"/>
        <v>-3396.6789653105016</v>
      </c>
      <c r="T747">
        <f t="shared" si="1003"/>
        <v>-3.3966789653105014</v>
      </c>
    </row>
    <row r="748" spans="1:20" x14ac:dyDescent="0.25">
      <c r="A748" s="5">
        <v>43845</v>
      </c>
      <c r="B748">
        <v>2.155E-2</v>
      </c>
      <c r="C748">
        <v>2.2259999999999999E-2</v>
      </c>
      <c r="D748">
        <v>2.1270000000000001E-2</v>
      </c>
      <c r="E748">
        <v>2.1999999999999999E-2</v>
      </c>
      <c r="F748">
        <v>4811052</v>
      </c>
      <c r="G748">
        <v>0</v>
      </c>
      <c r="L748" t="s">
        <v>7</v>
      </c>
      <c r="M748" t="s">
        <v>8</v>
      </c>
      <c r="N748" t="s">
        <v>8</v>
      </c>
      <c r="P748">
        <f t="shared" si="999"/>
        <v>0.47474747474747397</v>
      </c>
      <c r="Q748">
        <f t="shared" si="1000"/>
        <v>2284034.7878787844</v>
      </c>
      <c r="R748">
        <f t="shared" si="1001"/>
        <v>-337412278.07505018</v>
      </c>
      <c r="S748">
        <f t="shared" si="1002"/>
        <v>-3374.1227807505015</v>
      </c>
      <c r="T748">
        <f t="shared" si="1003"/>
        <v>-3.3741227807505014</v>
      </c>
    </row>
    <row r="749" spans="1:20" x14ac:dyDescent="0.25">
      <c r="A749" s="5">
        <v>43844</v>
      </c>
      <c r="B749">
        <v>2.239E-2</v>
      </c>
      <c r="C749">
        <v>2.273E-2</v>
      </c>
      <c r="D749">
        <v>2.1270000000000001E-2</v>
      </c>
      <c r="E749">
        <v>2.155E-2</v>
      </c>
      <c r="F749">
        <v>5854586.5999999996</v>
      </c>
      <c r="G749">
        <v>0</v>
      </c>
      <c r="L749" t="s">
        <v>7</v>
      </c>
      <c r="M749" t="s">
        <v>8</v>
      </c>
      <c r="N749" t="s">
        <v>8</v>
      </c>
      <c r="P749">
        <f t="shared" si="999"/>
        <v>-0.6164383561643848</v>
      </c>
      <c r="Q749">
        <f t="shared" si="1000"/>
        <v>-3608991.7397260345</v>
      </c>
      <c r="R749">
        <f t="shared" si="1001"/>
        <v>-339696312.86292899</v>
      </c>
      <c r="S749">
        <f t="shared" si="1002"/>
        <v>-3396.9631286292897</v>
      </c>
      <c r="T749">
        <f t="shared" si="1003"/>
        <v>-3.3969631286292898</v>
      </c>
    </row>
    <row r="750" spans="1:20" x14ac:dyDescent="0.25">
      <c r="A750" s="5">
        <v>43843</v>
      </c>
      <c r="B750">
        <v>2.2040000000000001E-2</v>
      </c>
      <c r="C750">
        <v>2.282E-2</v>
      </c>
      <c r="D750">
        <v>2.1520000000000001E-2</v>
      </c>
      <c r="E750">
        <v>2.239E-2</v>
      </c>
      <c r="F750">
        <v>2206799.1</v>
      </c>
      <c r="G750">
        <v>0</v>
      </c>
      <c r="L750" t="s">
        <v>8</v>
      </c>
      <c r="M750" t="s">
        <v>8</v>
      </c>
      <c r="N750" t="s">
        <v>8</v>
      </c>
      <c r="P750">
        <f t="shared" si="999"/>
        <v>0.33846153846153826</v>
      </c>
      <c r="Q750">
        <f t="shared" si="1000"/>
        <v>746916.61846153799</v>
      </c>
      <c r="R750">
        <f t="shared" si="1001"/>
        <v>-336087321.12320298</v>
      </c>
      <c r="S750">
        <f t="shared" si="1002"/>
        <v>-3360.8732112320299</v>
      </c>
      <c r="T750">
        <f t="shared" si="1003"/>
        <v>-3.3608732112320299</v>
      </c>
    </row>
    <row r="751" spans="1:20" x14ac:dyDescent="0.25">
      <c r="A751" s="5">
        <v>43842</v>
      </c>
      <c r="B751">
        <v>2.18E-2</v>
      </c>
      <c r="C751">
        <v>2.3E-2</v>
      </c>
      <c r="D751">
        <v>2.1530000000000001E-2</v>
      </c>
      <c r="E751">
        <v>2.1999999999999999E-2</v>
      </c>
      <c r="F751">
        <v>5115681.9000000004</v>
      </c>
      <c r="G751">
        <v>0</v>
      </c>
      <c r="L751" t="s">
        <v>8</v>
      </c>
      <c r="M751" t="s">
        <v>8</v>
      </c>
      <c r="N751" t="s">
        <v>8</v>
      </c>
      <c r="P751">
        <f t="shared" si="999"/>
        <v>-0.3605442176870769</v>
      </c>
      <c r="Q751">
        <f t="shared" si="1000"/>
        <v>-1844429.5285714392</v>
      </c>
      <c r="R751">
        <f t="shared" si="1001"/>
        <v>-336834237.74166453</v>
      </c>
      <c r="S751">
        <f t="shared" si="1002"/>
        <v>-3368.3423774166454</v>
      </c>
      <c r="T751">
        <f t="shared" si="1003"/>
        <v>-3.3683423774166452</v>
      </c>
    </row>
    <row r="752" spans="1:20" x14ac:dyDescent="0.25">
      <c r="A752" s="5">
        <v>43841</v>
      </c>
      <c r="B752">
        <v>2.1749999999999999E-2</v>
      </c>
      <c r="C752">
        <v>2.265E-2</v>
      </c>
      <c r="D752">
        <v>2.1669999999999998E-2</v>
      </c>
      <c r="E752">
        <v>2.2159999999999999E-2</v>
      </c>
      <c r="F752">
        <v>1290165.7</v>
      </c>
      <c r="G752">
        <v>0</v>
      </c>
      <c r="L752" t="s">
        <v>7</v>
      </c>
      <c r="M752" t="s">
        <v>8</v>
      </c>
      <c r="N752" t="s">
        <v>8</v>
      </c>
      <c r="P752">
        <f t="shared" si="999"/>
        <v>0</v>
      </c>
      <c r="Q752">
        <f t="shared" si="1000"/>
        <v>0</v>
      </c>
      <c r="R752">
        <f t="shared" si="1001"/>
        <v>-334989808.2130931</v>
      </c>
      <c r="S752">
        <f t="shared" si="1002"/>
        <v>-3349.898082130931</v>
      </c>
      <c r="T752">
        <f t="shared" si="1003"/>
        <v>-3.349898082130931</v>
      </c>
    </row>
    <row r="753" spans="1:20" x14ac:dyDescent="0.25">
      <c r="A753" s="5">
        <v>43840</v>
      </c>
      <c r="B753">
        <v>2.1590000000000002E-2</v>
      </c>
      <c r="C753">
        <v>2.2440000000000002E-2</v>
      </c>
      <c r="D753">
        <v>2.128E-2</v>
      </c>
      <c r="E753">
        <v>2.1999999999999999E-2</v>
      </c>
      <c r="F753">
        <v>1447298.5</v>
      </c>
      <c r="G753">
        <v>0</v>
      </c>
      <c r="L753" t="s">
        <v>7</v>
      </c>
      <c r="M753" t="s">
        <v>8</v>
      </c>
      <c r="N753" t="s">
        <v>8</v>
      </c>
      <c r="P753">
        <f t="shared" si="999"/>
        <v>0.24137931034482346</v>
      </c>
      <c r="Q753">
        <f t="shared" si="1000"/>
        <v>349347.91379309748</v>
      </c>
      <c r="R753">
        <f t="shared" si="1001"/>
        <v>-334989808.2130931</v>
      </c>
      <c r="S753">
        <f t="shared" si="1002"/>
        <v>-3349.898082130931</v>
      </c>
      <c r="T753">
        <f t="shared" si="1003"/>
        <v>-3.349898082130931</v>
      </c>
    </row>
    <row r="754" spans="1:20" x14ac:dyDescent="0.25">
      <c r="A754" s="5">
        <v>43839</v>
      </c>
      <c r="B754">
        <v>2.2009999999999998E-2</v>
      </c>
      <c r="C754">
        <v>2.23E-2</v>
      </c>
      <c r="D754">
        <v>2.1219999999999999E-2</v>
      </c>
      <c r="E754">
        <v>2.154E-2</v>
      </c>
      <c r="F754">
        <v>3178479</v>
      </c>
      <c r="G754">
        <v>0</v>
      </c>
      <c r="L754" t="s">
        <v>7</v>
      </c>
      <c r="M754" t="s">
        <v>8</v>
      </c>
      <c r="N754" t="s">
        <v>8</v>
      </c>
      <c r="P754">
        <f t="shared" si="999"/>
        <v>-0.40740740740740644</v>
      </c>
      <c r="Q754">
        <f t="shared" si="1000"/>
        <v>-1294935.8888888857</v>
      </c>
      <c r="R754">
        <f t="shared" si="1001"/>
        <v>-335339156.12688619</v>
      </c>
      <c r="S754">
        <f t="shared" si="1002"/>
        <v>-3353.391561268862</v>
      </c>
      <c r="T754">
        <f t="shared" si="1003"/>
        <v>-3.3533915612688618</v>
      </c>
    </row>
    <row r="755" spans="1:20" x14ac:dyDescent="0.25">
      <c r="A755" s="5">
        <v>43838</v>
      </c>
      <c r="B755">
        <v>2.2579999999999999E-2</v>
      </c>
      <c r="C755">
        <v>2.35E-2</v>
      </c>
      <c r="D755">
        <v>2.1350000000000001E-2</v>
      </c>
      <c r="E755">
        <v>2.1999999999999999E-2</v>
      </c>
      <c r="F755">
        <v>4135527</v>
      </c>
      <c r="G755">
        <v>0</v>
      </c>
      <c r="L755" t="s">
        <v>7</v>
      </c>
      <c r="M755" t="s">
        <v>8</v>
      </c>
      <c r="N755" t="s">
        <v>8</v>
      </c>
      <c r="P755">
        <f t="shared" si="999"/>
        <v>-0.39534883720930414</v>
      </c>
      <c r="Q755">
        <f t="shared" si="1000"/>
        <v>-1634975.790697682</v>
      </c>
      <c r="R755">
        <f t="shared" si="1001"/>
        <v>-334044220.23799729</v>
      </c>
      <c r="S755">
        <f t="shared" si="1002"/>
        <v>-3340.442202379973</v>
      </c>
      <c r="T755">
        <f t="shared" si="1003"/>
        <v>-3.3404422023799731</v>
      </c>
    </row>
    <row r="756" spans="1:20" x14ac:dyDescent="0.25">
      <c r="A756" s="5">
        <v>43837</v>
      </c>
      <c r="B756">
        <v>2.3439999999999999E-2</v>
      </c>
      <c r="C756">
        <v>2.469E-2</v>
      </c>
      <c r="D756">
        <v>2.214E-2</v>
      </c>
      <c r="E756">
        <v>2.2610000000000002E-2</v>
      </c>
      <c r="F756">
        <v>6933447.7999999998</v>
      </c>
      <c r="G756">
        <v>0</v>
      </c>
      <c r="L756" t="s">
        <v>8</v>
      </c>
      <c r="M756" t="s">
        <v>8</v>
      </c>
      <c r="N756" t="s">
        <v>8</v>
      </c>
      <c r="P756">
        <f t="shared" si="999"/>
        <v>-0.6313725490196066</v>
      </c>
      <c r="Q756">
        <f t="shared" si="1000"/>
        <v>-4377588.6109803831</v>
      </c>
      <c r="R756">
        <f t="shared" si="1001"/>
        <v>-332409244.4472996</v>
      </c>
      <c r="S756">
        <f t="shared" si="1002"/>
        <v>-3324.0924444729958</v>
      </c>
      <c r="T756">
        <f t="shared" si="1003"/>
        <v>-3.324092444472996</v>
      </c>
    </row>
    <row r="757" spans="1:20" x14ac:dyDescent="0.25">
      <c r="A757" s="5">
        <v>43836</v>
      </c>
      <c r="B757">
        <v>2.2630000000000001E-2</v>
      </c>
      <c r="C757">
        <v>2.3720000000000001E-2</v>
      </c>
      <c r="D757">
        <v>2.24E-2</v>
      </c>
      <c r="E757">
        <v>2.3609999999999999E-2</v>
      </c>
      <c r="F757">
        <v>2135752.4</v>
      </c>
      <c r="G757">
        <v>0</v>
      </c>
      <c r="L757" t="s">
        <v>8</v>
      </c>
      <c r="M757" t="s">
        <v>8</v>
      </c>
      <c r="N757" t="s">
        <v>8</v>
      </c>
      <c r="P757">
        <f t="shared" si="999"/>
        <v>0.83333333333332982</v>
      </c>
      <c r="Q757">
        <f t="shared" si="1000"/>
        <v>1779793.6666666591</v>
      </c>
      <c r="R757">
        <f t="shared" si="1001"/>
        <v>-328031655.83631921</v>
      </c>
      <c r="S757">
        <f t="shared" si="1002"/>
        <v>-3280.3165583631921</v>
      </c>
      <c r="T757">
        <f t="shared" si="1003"/>
        <v>-3.2803165583631921</v>
      </c>
    </row>
    <row r="758" spans="1:20" x14ac:dyDescent="0.25">
      <c r="A758" s="5">
        <v>43835</v>
      </c>
      <c r="B758">
        <v>2.2440000000000002E-2</v>
      </c>
      <c r="C758">
        <v>2.3699999999999999E-2</v>
      </c>
      <c r="D758">
        <v>2.2009999999999998E-2</v>
      </c>
      <c r="E758">
        <v>2.2620000000000001E-2</v>
      </c>
      <c r="F758">
        <v>1433982.8</v>
      </c>
      <c r="G758">
        <v>0</v>
      </c>
      <c r="L758" t="s">
        <v>8</v>
      </c>
      <c r="M758" t="s">
        <v>8</v>
      </c>
      <c r="N758" t="s">
        <v>8</v>
      </c>
      <c r="P758">
        <f t="shared" si="999"/>
        <v>-0.27810650887573646</v>
      </c>
      <c r="Q758">
        <f t="shared" si="1000"/>
        <v>-398799.95029585343</v>
      </c>
      <c r="R758">
        <f t="shared" si="1001"/>
        <v>-329811449.50298589</v>
      </c>
      <c r="S758">
        <f t="shared" si="1002"/>
        <v>-3298.114495029859</v>
      </c>
      <c r="T758">
        <f t="shared" si="1003"/>
        <v>-3.2981144950298589</v>
      </c>
    </row>
    <row r="759" spans="1:20" x14ac:dyDescent="0.25">
      <c r="A759" s="5">
        <v>43834</v>
      </c>
      <c r="B759">
        <v>2.2100000000000002E-2</v>
      </c>
      <c r="C759">
        <v>2.283E-2</v>
      </c>
      <c r="D759">
        <v>2.1839999999999998E-2</v>
      </c>
      <c r="E759">
        <v>2.2380000000000001E-2</v>
      </c>
      <c r="F759">
        <v>3885323.9</v>
      </c>
      <c r="G759">
        <v>0</v>
      </c>
      <c r="L759" t="s">
        <v>8</v>
      </c>
      <c r="M759" t="s">
        <v>7</v>
      </c>
      <c r="N759" t="s">
        <v>8</v>
      </c>
      <c r="P759">
        <f t="shared" si="999"/>
        <v>9.090909090909409E-2</v>
      </c>
      <c r="Q759">
        <f t="shared" si="1000"/>
        <v>353211.26363637601</v>
      </c>
      <c r="R759">
        <f t="shared" si="1001"/>
        <v>-329412649.55269003</v>
      </c>
      <c r="S759">
        <f t="shared" si="1002"/>
        <v>-3294.1264955269003</v>
      </c>
      <c r="T759">
        <f t="shared" si="1003"/>
        <v>-3.2941264955269003</v>
      </c>
    </row>
    <row r="760" spans="1:20" x14ac:dyDescent="0.25">
      <c r="A760" s="5">
        <v>43833</v>
      </c>
      <c r="B760">
        <v>2.0490000000000001E-2</v>
      </c>
      <c r="C760">
        <v>2.3099999999999999E-2</v>
      </c>
      <c r="D760">
        <v>2.009E-2</v>
      </c>
      <c r="E760">
        <v>2.214E-2</v>
      </c>
      <c r="F760">
        <v>4298251</v>
      </c>
      <c r="G760">
        <v>0</v>
      </c>
      <c r="L760" t="s">
        <v>8</v>
      </c>
      <c r="M760" t="s">
        <v>7</v>
      </c>
      <c r="N760" t="s">
        <v>8</v>
      </c>
      <c r="P760">
        <f t="shared" si="999"/>
        <v>0.36212624584717645</v>
      </c>
      <c r="Q760">
        <f t="shared" si="1000"/>
        <v>1556509.4983388721</v>
      </c>
      <c r="R760">
        <f t="shared" si="1001"/>
        <v>-329765860.81632638</v>
      </c>
      <c r="S760">
        <f t="shared" si="1002"/>
        <v>-3297.6586081632636</v>
      </c>
      <c r="T760">
        <f t="shared" si="1003"/>
        <v>-3.2976586081632635</v>
      </c>
    </row>
    <row r="761" spans="1:20" x14ac:dyDescent="0.25">
      <c r="A761" s="5">
        <v>43832</v>
      </c>
      <c r="B761">
        <v>2.0629999999999999E-2</v>
      </c>
      <c r="C761">
        <v>2.1530000000000001E-2</v>
      </c>
      <c r="D761">
        <v>1.9859999999999999E-2</v>
      </c>
      <c r="E761">
        <v>2.0449999999999999E-2</v>
      </c>
      <c r="F761">
        <v>2952600.2</v>
      </c>
      <c r="G761">
        <v>0</v>
      </c>
      <c r="L761" t="s">
        <v>7</v>
      </c>
      <c r="M761" t="s">
        <v>7</v>
      </c>
      <c r="N761" t="s">
        <v>8</v>
      </c>
      <c r="P761">
        <f t="shared" si="999"/>
        <v>-0.29341317365269487</v>
      </c>
      <c r="Q761">
        <f t="shared" si="1000"/>
        <v>-866331.79520958161</v>
      </c>
      <c r="R761">
        <f t="shared" si="1001"/>
        <v>-331322370.31466526</v>
      </c>
      <c r="S761">
        <f t="shared" si="1002"/>
        <v>-3313.2237031466525</v>
      </c>
      <c r="T761">
        <f t="shared" si="1003"/>
        <v>-3.3132237031466527</v>
      </c>
    </row>
    <row r="762" spans="1:20" x14ac:dyDescent="0.25">
      <c r="A762" s="5">
        <v>43831</v>
      </c>
      <c r="B762">
        <v>2.077E-2</v>
      </c>
      <c r="C762">
        <v>2.1700000000000001E-2</v>
      </c>
      <c r="D762">
        <v>2.0389999999999998E-2</v>
      </c>
      <c r="E762">
        <v>2.0639999999999999E-2</v>
      </c>
      <c r="F762">
        <v>1913402.5</v>
      </c>
      <c r="G762">
        <v>0</v>
      </c>
      <c r="L762" t="s">
        <v>8</v>
      </c>
      <c r="M762" t="s">
        <v>7</v>
      </c>
      <c r="N762" t="s">
        <v>8</v>
      </c>
      <c r="P762">
        <f t="shared" si="999"/>
        <v>-0.61832061068702315</v>
      </c>
      <c r="Q762">
        <f t="shared" si="1000"/>
        <v>-1183096.2022900768</v>
      </c>
      <c r="R762">
        <f t="shared" si="1001"/>
        <v>-330456038.51945567</v>
      </c>
      <c r="S762">
        <f t="shared" si="1002"/>
        <v>-3304.5603851945566</v>
      </c>
      <c r="T762">
        <f t="shared" si="1003"/>
        <v>-3.3045603851945566</v>
      </c>
    </row>
    <row r="763" spans="1:20" x14ac:dyDescent="0.25">
      <c r="A763" s="5">
        <v>43830</v>
      </c>
      <c r="B763">
        <v>2.1239999999999998E-2</v>
      </c>
      <c r="C763">
        <v>2.1409999999999998E-2</v>
      </c>
      <c r="D763">
        <v>1.9980000000000001E-2</v>
      </c>
      <c r="E763">
        <v>2.0990000000000002E-2</v>
      </c>
      <c r="F763">
        <v>3104701.5</v>
      </c>
      <c r="G763">
        <v>0</v>
      </c>
      <c r="L763" t="s">
        <v>7</v>
      </c>
      <c r="M763" t="s">
        <v>7</v>
      </c>
      <c r="N763" t="s">
        <v>8</v>
      </c>
      <c r="P763">
        <f t="shared" si="999"/>
        <v>0.41258741258741599</v>
      </c>
      <c r="Q763">
        <f t="shared" si="1000"/>
        <v>1280960.7587412694</v>
      </c>
      <c r="R763">
        <f t="shared" si="1001"/>
        <v>-329272942.31716561</v>
      </c>
      <c r="S763">
        <f t="shared" si="1002"/>
        <v>-3292.729423171656</v>
      </c>
      <c r="T763">
        <f t="shared" si="1003"/>
        <v>-3.292729423171656</v>
      </c>
    </row>
    <row r="764" spans="1:20" x14ac:dyDescent="0.25">
      <c r="A764" s="5">
        <v>43829</v>
      </c>
      <c r="B764">
        <v>2.1829999999999999E-2</v>
      </c>
      <c r="C764">
        <v>2.1909999999999999E-2</v>
      </c>
      <c r="D764">
        <v>2.0400000000000001E-2</v>
      </c>
      <c r="E764">
        <v>2.1250000000000002E-2</v>
      </c>
      <c r="F764">
        <v>3710538.1</v>
      </c>
      <c r="G764">
        <v>0</v>
      </c>
      <c r="L764" t="s">
        <v>7</v>
      </c>
      <c r="M764" t="s">
        <v>7</v>
      </c>
      <c r="N764" t="s">
        <v>8</v>
      </c>
      <c r="P764">
        <f t="shared" si="999"/>
        <v>0.1258278145695384</v>
      </c>
      <c r="Q764">
        <f t="shared" si="1000"/>
        <v>466888.90000000736</v>
      </c>
      <c r="R764">
        <f t="shared" si="1001"/>
        <v>-330553903.07590687</v>
      </c>
      <c r="S764">
        <f t="shared" si="1002"/>
        <v>-3305.5390307590687</v>
      </c>
      <c r="T764">
        <f t="shared" si="1003"/>
        <v>-3.3055390307590686</v>
      </c>
    </row>
    <row r="765" spans="1:20" x14ac:dyDescent="0.25">
      <c r="A765" s="5">
        <v>43828</v>
      </c>
      <c r="B765">
        <v>2.222E-2</v>
      </c>
      <c r="C765">
        <v>2.3300000000000001E-2</v>
      </c>
      <c r="D765">
        <v>2.1600000000000001E-2</v>
      </c>
      <c r="E765">
        <v>2.1909999999999999E-2</v>
      </c>
      <c r="F765">
        <v>4303663</v>
      </c>
      <c r="G765">
        <v>0</v>
      </c>
      <c r="L765" t="s">
        <v>8</v>
      </c>
      <c r="M765" t="s">
        <v>7</v>
      </c>
      <c r="N765" t="s">
        <v>8</v>
      </c>
      <c r="P765">
        <f t="shared" si="999"/>
        <v>-0.63529411764706145</v>
      </c>
      <c r="Q765">
        <f t="shared" si="1000"/>
        <v>-2734091.7882353053</v>
      </c>
      <c r="R765">
        <f t="shared" si="1001"/>
        <v>-331020791.97590691</v>
      </c>
      <c r="S765">
        <f t="shared" si="1002"/>
        <v>-3310.2079197590692</v>
      </c>
      <c r="T765">
        <f t="shared" si="1003"/>
        <v>-3.310207919759069</v>
      </c>
    </row>
    <row r="766" spans="1:20" x14ac:dyDescent="0.25">
      <c r="A766" s="5">
        <v>43827</v>
      </c>
      <c r="B766">
        <v>2.1319999999999999E-2</v>
      </c>
      <c r="C766">
        <v>2.2599999999999999E-2</v>
      </c>
      <c r="D766">
        <v>2.112E-2</v>
      </c>
      <c r="E766">
        <v>2.249E-2</v>
      </c>
      <c r="F766">
        <v>1424418.4</v>
      </c>
      <c r="G766">
        <v>0</v>
      </c>
      <c r="L766" t="s">
        <v>8</v>
      </c>
      <c r="M766" t="s">
        <v>7</v>
      </c>
      <c r="N766" t="s">
        <v>8</v>
      </c>
      <c r="P766">
        <f t="shared" si="999"/>
        <v>0.85135135135135254</v>
      </c>
      <c r="Q766">
        <f t="shared" si="1000"/>
        <v>1212680.5297297314</v>
      </c>
      <c r="R766">
        <f t="shared" si="1001"/>
        <v>-328286700.1876716</v>
      </c>
      <c r="S766">
        <f t="shared" si="1002"/>
        <v>-3282.8670018767161</v>
      </c>
      <c r="T766">
        <f t="shared" si="1003"/>
        <v>-3.2828670018767161</v>
      </c>
    </row>
    <row r="767" spans="1:20" x14ac:dyDescent="0.25">
      <c r="A767" s="5">
        <v>43826</v>
      </c>
      <c r="B767">
        <v>2.0789999999999999E-2</v>
      </c>
      <c r="C767">
        <v>2.1870000000000001E-2</v>
      </c>
      <c r="D767">
        <v>2.06E-2</v>
      </c>
      <c r="E767">
        <v>2.1309999999999999E-2</v>
      </c>
      <c r="F767">
        <v>2530058.9</v>
      </c>
      <c r="G767">
        <v>0</v>
      </c>
      <c r="L767" t="s">
        <v>7</v>
      </c>
      <c r="M767" t="s">
        <v>7</v>
      </c>
      <c r="N767" t="s">
        <v>8</v>
      </c>
      <c r="P767">
        <f t="shared" ref="P767:P830" si="1004">IF(C767=D767,0,((E767-D767)-(C767-E767))/(C767-D767))</f>
        <v>0.11811023622047033</v>
      </c>
      <c r="Q767">
        <f t="shared" ref="Q767:Q830" si="1005">F767*P767</f>
        <v>298825.85433070333</v>
      </c>
      <c r="R767">
        <f t="shared" ref="R767:R830" si="1006">R768+Q767</f>
        <v>-329499380.71740133</v>
      </c>
      <c r="S767">
        <f t="shared" ref="S767:S830" si="1007">R767/100000</f>
        <v>-3294.9938071740135</v>
      </c>
      <c r="T767">
        <f t="shared" ref="T767:T830" si="1008">S767/1000</f>
        <v>-3.2949938071740132</v>
      </c>
    </row>
    <row r="768" spans="1:20" x14ac:dyDescent="0.25">
      <c r="A768" s="5">
        <v>43825</v>
      </c>
      <c r="B768">
        <v>2.1219999999999999E-2</v>
      </c>
      <c r="C768">
        <v>2.2280000000000001E-2</v>
      </c>
      <c r="D768">
        <v>2.0729999999999998E-2</v>
      </c>
      <c r="E768">
        <v>2.0899999999999998E-2</v>
      </c>
      <c r="F768">
        <v>4998275.3</v>
      </c>
      <c r="G768">
        <v>0</v>
      </c>
      <c r="L768" t="s">
        <v>7</v>
      </c>
      <c r="M768" t="s">
        <v>7</v>
      </c>
      <c r="N768" t="s">
        <v>8</v>
      </c>
      <c r="P768">
        <f t="shared" si="1004"/>
        <v>-0.78064516129032291</v>
      </c>
      <c r="Q768">
        <f t="shared" si="1005"/>
        <v>-3901879.4277419369</v>
      </c>
      <c r="R768">
        <f t="shared" si="1006"/>
        <v>-329798206.57173204</v>
      </c>
      <c r="S768">
        <f t="shared" si="1007"/>
        <v>-3297.9820657173204</v>
      </c>
      <c r="T768">
        <f t="shared" si="1008"/>
        <v>-3.2979820657173202</v>
      </c>
    </row>
    <row r="769" spans="1:20" x14ac:dyDescent="0.25">
      <c r="A769" s="5">
        <v>43824</v>
      </c>
      <c r="B769">
        <v>2.3099999999999999E-2</v>
      </c>
      <c r="C769">
        <v>2.4299999999999999E-2</v>
      </c>
      <c r="D769">
        <v>2.0990000000000002E-2</v>
      </c>
      <c r="E769">
        <v>2.1270000000000001E-2</v>
      </c>
      <c r="F769">
        <v>7762555.0999999996</v>
      </c>
      <c r="G769">
        <v>0</v>
      </c>
      <c r="L769" t="s">
        <v>7</v>
      </c>
      <c r="M769" t="s">
        <v>7</v>
      </c>
      <c r="N769" t="s">
        <v>8</v>
      </c>
      <c r="P769">
        <f t="shared" si="1004"/>
        <v>-0.83081570996978893</v>
      </c>
      <c r="Q769">
        <f t="shared" si="1005"/>
        <v>-6449252.7265861053</v>
      </c>
      <c r="R769">
        <f t="shared" si="1006"/>
        <v>-325896327.1439901</v>
      </c>
      <c r="S769">
        <f t="shared" si="1007"/>
        <v>-3258.9632714399008</v>
      </c>
      <c r="T769">
        <f t="shared" si="1008"/>
        <v>-3.2589632714399008</v>
      </c>
    </row>
    <row r="770" spans="1:20" x14ac:dyDescent="0.25">
      <c r="A770" s="5">
        <v>43823</v>
      </c>
      <c r="B770">
        <v>2.094E-2</v>
      </c>
      <c r="C770">
        <v>2.462E-2</v>
      </c>
      <c r="D770">
        <v>1.9949999999999999E-2</v>
      </c>
      <c r="E770">
        <v>2.3040000000000001E-2</v>
      </c>
      <c r="F770">
        <v>10225345.4</v>
      </c>
      <c r="G770">
        <v>0</v>
      </c>
      <c r="L770" t="s">
        <v>8</v>
      </c>
      <c r="M770" t="s">
        <v>8</v>
      </c>
      <c r="N770" t="s">
        <v>8</v>
      </c>
      <c r="P770">
        <f t="shared" si="1004"/>
        <v>0.32334047109207797</v>
      </c>
      <c r="Q770">
        <f t="shared" si="1005"/>
        <v>3306267.9987152126</v>
      </c>
      <c r="R770">
        <f t="shared" si="1006"/>
        <v>-319447074.417404</v>
      </c>
      <c r="S770">
        <f t="shared" si="1007"/>
        <v>-3194.4707441740397</v>
      </c>
      <c r="T770">
        <f t="shared" si="1008"/>
        <v>-3.1944707441740396</v>
      </c>
    </row>
    <row r="771" spans="1:20" x14ac:dyDescent="0.25">
      <c r="A771" s="5">
        <v>43822</v>
      </c>
      <c r="B771">
        <v>2.0650000000000002E-2</v>
      </c>
      <c r="C771">
        <v>2.1899999999999999E-2</v>
      </c>
      <c r="D771">
        <v>2.017E-2</v>
      </c>
      <c r="E771">
        <v>2.095E-2</v>
      </c>
      <c r="F771">
        <v>3736949.8</v>
      </c>
      <c r="G771">
        <v>0</v>
      </c>
      <c r="L771" t="s">
        <v>8</v>
      </c>
      <c r="M771" t="s">
        <v>8</v>
      </c>
      <c r="N771" t="s">
        <v>7</v>
      </c>
      <c r="P771">
        <f t="shared" si="1004"/>
        <v>-9.8265895953757301E-2</v>
      </c>
      <c r="Q771">
        <f t="shared" si="1005"/>
        <v>-367214.72023121413</v>
      </c>
      <c r="R771">
        <f t="shared" si="1006"/>
        <v>-322753342.41611922</v>
      </c>
      <c r="S771">
        <f t="shared" si="1007"/>
        <v>-3227.5334241611922</v>
      </c>
      <c r="T771">
        <f t="shared" si="1008"/>
        <v>-3.2275334241611922</v>
      </c>
    </row>
    <row r="772" spans="1:20" x14ac:dyDescent="0.25">
      <c r="A772" s="5">
        <v>43821</v>
      </c>
      <c r="B772">
        <v>2.0459999999999999E-2</v>
      </c>
      <c r="C772">
        <v>2.1059999999999999E-2</v>
      </c>
      <c r="D772">
        <v>1.9949999999999999E-2</v>
      </c>
      <c r="E772">
        <v>2.0539999999999999E-2</v>
      </c>
      <c r="F772">
        <v>2600240.4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6.3063063063063626E-2</v>
      </c>
      <c r="Q772">
        <f t="shared" si="1005"/>
        <v>163979.12432432579</v>
      </c>
      <c r="R772">
        <f t="shared" si="1006"/>
        <v>-322386127.69588798</v>
      </c>
      <c r="S772">
        <f t="shared" si="1007"/>
        <v>-3223.8612769588799</v>
      </c>
      <c r="T772">
        <f t="shared" si="1008"/>
        <v>-3.2238612769588797</v>
      </c>
    </row>
    <row r="773" spans="1:20" x14ac:dyDescent="0.25">
      <c r="A773" s="5">
        <v>43820</v>
      </c>
      <c r="B773">
        <v>2.07E-2</v>
      </c>
      <c r="C773">
        <v>2.1899999999999999E-2</v>
      </c>
      <c r="D773">
        <v>2.0230000000000001E-2</v>
      </c>
      <c r="E773">
        <v>2.0490000000000001E-2</v>
      </c>
      <c r="F773">
        <v>4224106.9000000004</v>
      </c>
      <c r="G773">
        <v>0</v>
      </c>
      <c r="L773" t="s">
        <v>7</v>
      </c>
      <c r="M773" t="s">
        <v>8</v>
      </c>
      <c r="N773" t="s">
        <v>7</v>
      </c>
      <c r="P773">
        <f t="shared" si="1004"/>
        <v>-0.68862275449101784</v>
      </c>
      <c r="Q773">
        <f t="shared" si="1005"/>
        <v>-2908816.1287425146</v>
      </c>
      <c r="R773">
        <f t="shared" si="1006"/>
        <v>-322550106.8202123</v>
      </c>
      <c r="S773">
        <f t="shared" si="1007"/>
        <v>-3225.501068202123</v>
      </c>
      <c r="T773">
        <f t="shared" si="1008"/>
        <v>-3.225501068202123</v>
      </c>
    </row>
    <row r="774" spans="1:20" x14ac:dyDescent="0.25">
      <c r="A774" s="5">
        <v>43819</v>
      </c>
      <c r="B774">
        <v>2.044E-2</v>
      </c>
      <c r="C774">
        <v>2.1950000000000001E-2</v>
      </c>
      <c r="D774">
        <v>2.0250000000000001E-2</v>
      </c>
      <c r="E774">
        <v>2.0670000000000001E-2</v>
      </c>
      <c r="F774">
        <v>5858996.2999999998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-0.50588235294117623</v>
      </c>
      <c r="Q774">
        <f t="shared" si="1005"/>
        <v>-2963962.8341176454</v>
      </c>
      <c r="R774">
        <f t="shared" si="1006"/>
        <v>-319641290.69146979</v>
      </c>
      <c r="S774">
        <f t="shared" si="1007"/>
        <v>-3196.4129069146979</v>
      </c>
      <c r="T774">
        <f t="shared" si="1008"/>
        <v>-3.196412906914698</v>
      </c>
    </row>
    <row r="775" spans="1:20" x14ac:dyDescent="0.25">
      <c r="A775" s="5">
        <v>43818</v>
      </c>
      <c r="B775">
        <v>1.9890000000000001E-2</v>
      </c>
      <c r="C775">
        <v>2.145E-2</v>
      </c>
      <c r="D775">
        <v>1.8519999999999998E-2</v>
      </c>
      <c r="E775">
        <v>2.026E-2</v>
      </c>
      <c r="F775">
        <v>4671112.9000000004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0.18771331058020529</v>
      </c>
      <c r="Q775">
        <f t="shared" si="1005"/>
        <v>876830.0665529035</v>
      </c>
      <c r="R775">
        <f t="shared" si="1006"/>
        <v>-316677327.85735214</v>
      </c>
      <c r="S775">
        <f t="shared" si="1007"/>
        <v>-3166.7732785735216</v>
      </c>
      <c r="T775">
        <f t="shared" si="1008"/>
        <v>-3.1667732785735216</v>
      </c>
    </row>
    <row r="776" spans="1:20" x14ac:dyDescent="0.25">
      <c r="A776" s="5">
        <v>43817</v>
      </c>
      <c r="B776">
        <v>1.7979999999999999E-2</v>
      </c>
      <c r="C776">
        <v>2.0279999999999999E-2</v>
      </c>
      <c r="D776">
        <v>1.7090000000000001E-2</v>
      </c>
      <c r="E776">
        <v>1.9890000000000001E-2</v>
      </c>
      <c r="F776">
        <v>3417326.5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0.75548589341692907</v>
      </c>
      <c r="Q776">
        <f t="shared" si="1005"/>
        <v>2581741.963949847</v>
      </c>
      <c r="R776">
        <f t="shared" si="1006"/>
        <v>-317554157.92390501</v>
      </c>
      <c r="S776">
        <f t="shared" si="1007"/>
        <v>-3175.54157923905</v>
      </c>
      <c r="T776">
        <f t="shared" si="1008"/>
        <v>-3.17554157923905</v>
      </c>
    </row>
    <row r="777" spans="1:20" x14ac:dyDescent="0.25">
      <c r="A777" s="5">
        <v>43816</v>
      </c>
      <c r="B777">
        <v>1.958E-2</v>
      </c>
      <c r="C777">
        <v>1.959E-2</v>
      </c>
      <c r="D777">
        <v>1.7559999999999999E-2</v>
      </c>
      <c r="E777">
        <v>1.7950000000000001E-2</v>
      </c>
      <c r="F777">
        <v>2652032.9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-0.61576354679802825</v>
      </c>
      <c r="Q777">
        <f t="shared" si="1005"/>
        <v>-1633025.1847290606</v>
      </c>
      <c r="R777">
        <f t="shared" si="1006"/>
        <v>-320135899.88785487</v>
      </c>
      <c r="S777">
        <f t="shared" si="1007"/>
        <v>-3201.3589988785488</v>
      </c>
      <c r="T777">
        <f t="shared" si="1008"/>
        <v>-3.2013589988785487</v>
      </c>
    </row>
    <row r="778" spans="1:20" x14ac:dyDescent="0.25">
      <c r="A778" s="5">
        <v>43815</v>
      </c>
      <c r="B778">
        <v>2.0899999999999998E-2</v>
      </c>
      <c r="C778">
        <v>2.1499999999999998E-2</v>
      </c>
      <c r="D778">
        <v>1.9109999999999999E-2</v>
      </c>
      <c r="E778">
        <v>1.959E-2</v>
      </c>
      <c r="F778">
        <v>3515783.2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-0.59832635983263494</v>
      </c>
      <c r="Q778">
        <f t="shared" si="1005"/>
        <v>-2103585.764016733</v>
      </c>
      <c r="R778">
        <f t="shared" si="1006"/>
        <v>-318502874.70312583</v>
      </c>
      <c r="S778">
        <f t="shared" si="1007"/>
        <v>-3185.0287470312583</v>
      </c>
      <c r="T778">
        <f t="shared" si="1008"/>
        <v>-3.1850287470312582</v>
      </c>
    </row>
    <row r="779" spans="1:20" x14ac:dyDescent="0.25">
      <c r="A779" s="5">
        <v>43814</v>
      </c>
      <c r="B779">
        <v>2.035E-2</v>
      </c>
      <c r="C779">
        <v>2.1479999999999999E-2</v>
      </c>
      <c r="D779">
        <v>1.985E-2</v>
      </c>
      <c r="E779">
        <v>2.0959999999999999E-2</v>
      </c>
      <c r="F779">
        <v>3147385.8</v>
      </c>
      <c r="G779">
        <v>0</v>
      </c>
      <c r="L779" t="s">
        <v>8</v>
      </c>
      <c r="M779" t="s">
        <v>7</v>
      </c>
      <c r="N779" t="s">
        <v>7</v>
      </c>
      <c r="P779">
        <f t="shared" si="1004"/>
        <v>0.36196319018404932</v>
      </c>
      <c r="Q779">
        <f t="shared" si="1005"/>
        <v>1139237.8049079762</v>
      </c>
      <c r="R779">
        <f t="shared" si="1006"/>
        <v>-316399288.93910909</v>
      </c>
      <c r="S779">
        <f t="shared" si="1007"/>
        <v>-3163.992889391091</v>
      </c>
      <c r="T779">
        <f t="shared" si="1008"/>
        <v>-3.1639928893910909</v>
      </c>
    </row>
    <row r="780" spans="1:20" x14ac:dyDescent="0.25">
      <c r="A780" s="5">
        <v>43813</v>
      </c>
      <c r="B780">
        <v>2.273E-2</v>
      </c>
      <c r="C780">
        <v>2.3109999999999999E-2</v>
      </c>
      <c r="D780">
        <v>2.0029999999999999E-2</v>
      </c>
      <c r="E780">
        <v>2.0449999999999999E-2</v>
      </c>
      <c r="F780">
        <v>4466773.9000000004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-0.72727272727272707</v>
      </c>
      <c r="Q780">
        <f t="shared" si="1005"/>
        <v>-3248562.836363636</v>
      </c>
      <c r="R780">
        <f t="shared" si="1006"/>
        <v>-317538526.74401706</v>
      </c>
      <c r="S780">
        <f t="shared" si="1007"/>
        <v>-3175.3852674401705</v>
      </c>
      <c r="T780">
        <f t="shared" si="1008"/>
        <v>-3.1753852674401704</v>
      </c>
    </row>
    <row r="781" spans="1:20" x14ac:dyDescent="0.25">
      <c r="A781" s="5">
        <v>43812</v>
      </c>
      <c r="B781">
        <v>2.2380000000000001E-2</v>
      </c>
      <c r="C781">
        <v>2.3189999999999999E-2</v>
      </c>
      <c r="D781">
        <v>2.2200000000000001E-2</v>
      </c>
      <c r="E781">
        <v>2.2890000000000001E-2</v>
      </c>
      <c r="F781">
        <v>662095.19999999995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0.39393939393939625</v>
      </c>
      <c r="Q781">
        <f t="shared" si="1005"/>
        <v>260825.38181818332</v>
      </c>
      <c r="R781">
        <f t="shared" si="1006"/>
        <v>-314289963.90765345</v>
      </c>
      <c r="S781">
        <f t="shared" si="1007"/>
        <v>-3142.8996390765346</v>
      </c>
      <c r="T781">
        <f t="shared" si="1008"/>
        <v>-3.1428996390765347</v>
      </c>
    </row>
    <row r="782" spans="1:20" x14ac:dyDescent="0.25">
      <c r="A782" s="5">
        <v>43811</v>
      </c>
      <c r="B782">
        <v>2.316E-2</v>
      </c>
      <c r="C782">
        <v>2.3429999999999999E-2</v>
      </c>
      <c r="D782">
        <v>2.1680000000000001E-2</v>
      </c>
      <c r="E782">
        <v>2.231E-2</v>
      </c>
      <c r="F782">
        <v>2801294.6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-0.2800000000000008</v>
      </c>
      <c r="Q782">
        <f t="shared" si="1005"/>
        <v>-784362.48800000222</v>
      </c>
      <c r="R782">
        <f t="shared" si="1006"/>
        <v>-314550789.28947163</v>
      </c>
      <c r="S782">
        <f t="shared" si="1007"/>
        <v>-3145.5078928947164</v>
      </c>
      <c r="T782">
        <f t="shared" si="1008"/>
        <v>-3.1455078928947162</v>
      </c>
    </row>
    <row r="783" spans="1:20" x14ac:dyDescent="0.25">
      <c r="A783" s="5">
        <v>43810</v>
      </c>
      <c r="B783">
        <v>2.2169999999999999E-2</v>
      </c>
      <c r="C783">
        <v>2.4199999999999999E-2</v>
      </c>
      <c r="D783">
        <v>2.2169999999999999E-2</v>
      </c>
      <c r="E783">
        <v>2.316E-2</v>
      </c>
      <c r="F783">
        <v>4779669.8</v>
      </c>
      <c r="G783">
        <v>0</v>
      </c>
      <c r="L783" t="s">
        <v>8</v>
      </c>
      <c r="M783" t="s">
        <v>7</v>
      </c>
      <c r="N783" t="s">
        <v>7</v>
      </c>
      <c r="P783">
        <f t="shared" si="1004"/>
        <v>-2.463054187192017E-2</v>
      </c>
      <c r="Q783">
        <f t="shared" si="1005"/>
        <v>-117725.8571428523</v>
      </c>
      <c r="R783">
        <f t="shared" si="1006"/>
        <v>-313766426.80147165</v>
      </c>
      <c r="S783">
        <f t="shared" si="1007"/>
        <v>-3137.6642680147165</v>
      </c>
      <c r="T783">
        <f t="shared" si="1008"/>
        <v>-3.1376642680147167</v>
      </c>
    </row>
    <row r="784" spans="1:20" x14ac:dyDescent="0.25">
      <c r="A784" s="5">
        <v>43809</v>
      </c>
      <c r="B784">
        <v>2.7199999999999998E-2</v>
      </c>
      <c r="C784">
        <v>2.7199999999999998E-2</v>
      </c>
      <c r="D784">
        <v>2.2009999999999998E-2</v>
      </c>
      <c r="E784">
        <v>2.231E-2</v>
      </c>
      <c r="F784">
        <v>14240902.9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-0.88439306358381442</v>
      </c>
      <c r="Q784">
        <f t="shared" si="1005"/>
        <v>-12594555.743930627</v>
      </c>
      <c r="R784">
        <f t="shared" si="1006"/>
        <v>-313648700.94432878</v>
      </c>
      <c r="S784">
        <f t="shared" si="1007"/>
        <v>-3136.4870094432877</v>
      </c>
      <c r="T784">
        <f t="shared" si="1008"/>
        <v>-3.1364870094432877</v>
      </c>
    </row>
    <row r="785" spans="1:20" x14ac:dyDescent="0.25">
      <c r="A785" s="5">
        <v>43808</v>
      </c>
      <c r="B785">
        <v>2.9389999999999999E-2</v>
      </c>
      <c r="C785">
        <v>3.0110000000000001E-2</v>
      </c>
      <c r="D785">
        <v>2.6700000000000002E-2</v>
      </c>
      <c r="E785">
        <v>2.7230000000000001E-2</v>
      </c>
      <c r="F785">
        <v>7715284.9000000004</v>
      </c>
      <c r="G785">
        <v>0</v>
      </c>
      <c r="L785" t="s">
        <v>7</v>
      </c>
      <c r="M785" t="s">
        <v>8</v>
      </c>
      <c r="N785" t="s">
        <v>8</v>
      </c>
      <c r="P785">
        <f t="shared" si="1004"/>
        <v>-0.68914956011730244</v>
      </c>
      <c r="Q785">
        <f t="shared" si="1005"/>
        <v>-5316985.1950146658</v>
      </c>
      <c r="R785">
        <f t="shared" si="1006"/>
        <v>-301054145.20039815</v>
      </c>
      <c r="S785">
        <f t="shared" si="1007"/>
        <v>-3010.5414520039812</v>
      </c>
      <c r="T785">
        <f t="shared" si="1008"/>
        <v>-3.0105414520039813</v>
      </c>
    </row>
    <row r="786" spans="1:20" x14ac:dyDescent="0.25">
      <c r="A786" s="5">
        <v>43807</v>
      </c>
      <c r="B786">
        <v>2.7269999999999999E-2</v>
      </c>
      <c r="C786">
        <v>3.0800000000000001E-2</v>
      </c>
      <c r="D786">
        <v>2.6919999999999999E-2</v>
      </c>
      <c r="E786">
        <v>2.9430000000000001E-2</v>
      </c>
      <c r="F786">
        <v>10818078.800000001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0.29381443298969118</v>
      </c>
      <c r="Q786">
        <f t="shared" si="1005"/>
        <v>3178507.6886597988</v>
      </c>
      <c r="R786">
        <f t="shared" si="1006"/>
        <v>-295737160.00538349</v>
      </c>
      <c r="S786">
        <f t="shared" si="1007"/>
        <v>-2957.3716000538348</v>
      </c>
      <c r="T786">
        <f t="shared" si="1008"/>
        <v>-2.9573716000538348</v>
      </c>
    </row>
    <row r="787" spans="1:20" x14ac:dyDescent="0.25">
      <c r="A787" s="5">
        <v>43806</v>
      </c>
      <c r="B787">
        <v>2.8000000000000001E-2</v>
      </c>
      <c r="C787">
        <v>2.92E-2</v>
      </c>
      <c r="D787">
        <v>2.6599999999999999E-2</v>
      </c>
      <c r="E787">
        <v>2.7220000000000001E-2</v>
      </c>
      <c r="F787">
        <v>6066223.5999999996</v>
      </c>
      <c r="G787">
        <v>0</v>
      </c>
      <c r="L787" t="s">
        <v>8</v>
      </c>
      <c r="M787" t="s">
        <v>8</v>
      </c>
      <c r="N787" t="s">
        <v>8</v>
      </c>
      <c r="P787">
        <f t="shared" si="1004"/>
        <v>-0.52307692307692144</v>
      </c>
      <c r="Q787">
        <f t="shared" si="1005"/>
        <v>-3173101.5753846052</v>
      </c>
      <c r="R787">
        <f t="shared" si="1006"/>
        <v>-298915667.69404328</v>
      </c>
      <c r="S787">
        <f t="shared" si="1007"/>
        <v>-2989.1566769404326</v>
      </c>
      <c r="T787">
        <f t="shared" si="1008"/>
        <v>-2.9891566769404325</v>
      </c>
    </row>
    <row r="788" spans="1:20" x14ac:dyDescent="0.25">
      <c r="A788" s="5">
        <v>43805</v>
      </c>
      <c r="B788">
        <v>2.699E-2</v>
      </c>
      <c r="C788">
        <v>2.8799999999999999E-2</v>
      </c>
      <c r="D788">
        <v>2.547E-2</v>
      </c>
      <c r="E788">
        <v>2.8199999999999999E-2</v>
      </c>
      <c r="F788">
        <v>8450752.4000000004</v>
      </c>
      <c r="G788">
        <v>0</v>
      </c>
      <c r="L788" t="s">
        <v>8</v>
      </c>
      <c r="M788" t="s">
        <v>8</v>
      </c>
      <c r="N788" t="s">
        <v>8</v>
      </c>
      <c r="P788">
        <f t="shared" si="1004"/>
        <v>0.63963963963963966</v>
      </c>
      <c r="Q788">
        <f t="shared" si="1005"/>
        <v>5405436.2198198205</v>
      </c>
      <c r="R788">
        <f t="shared" si="1006"/>
        <v>-295742566.11865866</v>
      </c>
      <c r="S788">
        <f t="shared" si="1007"/>
        <v>-2957.4256611865867</v>
      </c>
      <c r="T788">
        <f t="shared" si="1008"/>
        <v>-2.9574256611865866</v>
      </c>
    </row>
    <row r="789" spans="1:20" x14ac:dyDescent="0.25">
      <c r="A789" s="5">
        <v>43804</v>
      </c>
      <c r="B789">
        <v>2.5499999999999998E-2</v>
      </c>
      <c r="C789">
        <v>2.7359999999999999E-2</v>
      </c>
      <c r="D789">
        <v>2.4660000000000001E-2</v>
      </c>
      <c r="E789">
        <v>2.7040000000000002E-2</v>
      </c>
      <c r="F789">
        <v>7065104.5999999996</v>
      </c>
      <c r="G789">
        <v>0</v>
      </c>
      <c r="L789" t="s">
        <v>8</v>
      </c>
      <c r="M789" t="s">
        <v>8</v>
      </c>
      <c r="N789" t="s">
        <v>8</v>
      </c>
      <c r="P789">
        <f t="shared" si="1004"/>
        <v>0.76296296296296473</v>
      </c>
      <c r="Q789">
        <f t="shared" si="1005"/>
        <v>5390413.1392592713</v>
      </c>
      <c r="R789">
        <f t="shared" si="1006"/>
        <v>-301148002.33847851</v>
      </c>
      <c r="S789">
        <f t="shared" si="1007"/>
        <v>-3011.480023384785</v>
      </c>
      <c r="T789">
        <f t="shared" si="1008"/>
        <v>-3.0114800233847849</v>
      </c>
    </row>
    <row r="790" spans="1:20" x14ac:dyDescent="0.25">
      <c r="A790" s="5">
        <v>43803</v>
      </c>
      <c r="B790">
        <v>2.3769999999999999E-2</v>
      </c>
      <c r="C790">
        <v>2.7189999999999999E-2</v>
      </c>
      <c r="D790">
        <v>2.2509999999999999E-2</v>
      </c>
      <c r="E790">
        <v>2.555E-2</v>
      </c>
      <c r="F790">
        <v>11514913.800000001</v>
      </c>
      <c r="G790">
        <v>0</v>
      </c>
      <c r="L790" t="s">
        <v>8</v>
      </c>
      <c r="M790" t="s">
        <v>8</v>
      </c>
      <c r="N790" t="s">
        <v>8</v>
      </c>
      <c r="P790">
        <f t="shared" si="1004"/>
        <v>0.29914529914529953</v>
      </c>
      <c r="Q790">
        <f t="shared" si="1005"/>
        <v>3444632.3333333381</v>
      </c>
      <c r="R790">
        <f t="shared" si="1006"/>
        <v>-306538415.47773778</v>
      </c>
      <c r="S790">
        <f t="shared" si="1007"/>
        <v>-3065.3841547773777</v>
      </c>
      <c r="T790">
        <f t="shared" si="1008"/>
        <v>-3.0653841547773779</v>
      </c>
    </row>
    <row r="791" spans="1:20" x14ac:dyDescent="0.25">
      <c r="A791" s="5">
        <v>43802</v>
      </c>
      <c r="B791">
        <v>2.3019999999999999E-2</v>
      </c>
      <c r="C791">
        <v>2.5999999999999999E-2</v>
      </c>
      <c r="D791">
        <v>2.29E-2</v>
      </c>
      <c r="E791">
        <v>2.384E-2</v>
      </c>
      <c r="F791">
        <v>2591276.5</v>
      </c>
      <c r="G791">
        <v>0</v>
      </c>
      <c r="L791" t="s">
        <v>8</v>
      </c>
      <c r="M791" t="s">
        <v>8</v>
      </c>
      <c r="N791" t="s">
        <v>8</v>
      </c>
      <c r="P791">
        <f t="shared" si="1004"/>
        <v>-0.39354838709677403</v>
      </c>
      <c r="Q791">
        <f t="shared" si="1005"/>
        <v>-1019792.6870967738</v>
      </c>
      <c r="R791">
        <f t="shared" si="1006"/>
        <v>-309983047.8110711</v>
      </c>
      <c r="S791">
        <f t="shared" si="1007"/>
        <v>-3099.8304781107108</v>
      </c>
      <c r="T791">
        <f t="shared" si="1008"/>
        <v>-3.0998304781107109</v>
      </c>
    </row>
    <row r="792" spans="1:20" x14ac:dyDescent="0.25">
      <c r="A792" s="5">
        <v>43801</v>
      </c>
      <c r="B792">
        <v>2.3009999999999999E-2</v>
      </c>
      <c r="C792">
        <v>2.4709999999999999E-2</v>
      </c>
      <c r="D792">
        <v>2.155E-2</v>
      </c>
      <c r="E792">
        <v>2.3050000000000001E-2</v>
      </c>
      <c r="F792">
        <v>3787716.6</v>
      </c>
      <c r="G792">
        <v>0</v>
      </c>
      <c r="L792" t="s">
        <v>7</v>
      </c>
      <c r="M792" t="s">
        <v>7</v>
      </c>
      <c r="N792" t="s">
        <v>8</v>
      </c>
      <c r="P792">
        <f t="shared" si="1004"/>
        <v>-5.0632911392404105E-2</v>
      </c>
      <c r="Q792">
        <f t="shared" si="1005"/>
        <v>-191783.11898733815</v>
      </c>
      <c r="R792">
        <f t="shared" si="1006"/>
        <v>-308963255.12397432</v>
      </c>
      <c r="S792">
        <f t="shared" si="1007"/>
        <v>-3089.6325512397434</v>
      </c>
      <c r="T792">
        <f t="shared" si="1008"/>
        <v>-3.0896325512397436</v>
      </c>
    </row>
    <row r="793" spans="1:20" x14ac:dyDescent="0.25">
      <c r="A793" s="5">
        <v>43800</v>
      </c>
      <c r="B793">
        <v>2.445E-2</v>
      </c>
      <c r="C793">
        <v>2.4899999999999999E-2</v>
      </c>
      <c r="D793">
        <v>2.2769999999999999E-2</v>
      </c>
      <c r="E793">
        <v>2.3120000000000002E-2</v>
      </c>
      <c r="F793">
        <v>2835525.4</v>
      </c>
      <c r="G793">
        <v>0</v>
      </c>
      <c r="L793" t="s">
        <v>7</v>
      </c>
      <c r="M793" t="s">
        <v>8</v>
      </c>
      <c r="N793" t="s">
        <v>8</v>
      </c>
      <c r="P793">
        <f t="shared" si="1004"/>
        <v>-0.67136150234741498</v>
      </c>
      <c r="Q793">
        <f t="shared" si="1005"/>
        <v>-1903662.5924882547</v>
      </c>
      <c r="R793">
        <f t="shared" si="1006"/>
        <v>-308771472.004987</v>
      </c>
      <c r="S793">
        <f t="shared" si="1007"/>
        <v>-3087.7147200498698</v>
      </c>
      <c r="T793">
        <f t="shared" si="1008"/>
        <v>-3.08771472004987</v>
      </c>
    </row>
    <row r="794" spans="1:20" x14ac:dyDescent="0.25">
      <c r="A794" s="5">
        <v>43799</v>
      </c>
      <c r="B794">
        <v>2.4080000000000001E-2</v>
      </c>
      <c r="C794">
        <v>2.5909999999999999E-2</v>
      </c>
      <c r="D794">
        <v>2.3619999999999999E-2</v>
      </c>
      <c r="E794">
        <v>2.444E-2</v>
      </c>
      <c r="F794">
        <v>4156310</v>
      </c>
      <c r="G794">
        <v>0</v>
      </c>
      <c r="L794" t="s">
        <v>7</v>
      </c>
      <c r="M794" t="s">
        <v>8</v>
      </c>
      <c r="N794" t="s">
        <v>8</v>
      </c>
      <c r="P794">
        <f t="shared" si="1004"/>
        <v>-0.28384279475982432</v>
      </c>
      <c r="Q794">
        <f t="shared" si="1005"/>
        <v>-1179738.6462882054</v>
      </c>
      <c r="R794">
        <f t="shared" si="1006"/>
        <v>-306867809.41249877</v>
      </c>
      <c r="S794">
        <f t="shared" si="1007"/>
        <v>-3068.6780941249876</v>
      </c>
      <c r="T794">
        <f t="shared" si="1008"/>
        <v>-3.0686780941249876</v>
      </c>
    </row>
    <row r="795" spans="1:20" x14ac:dyDescent="0.25">
      <c r="A795" s="5">
        <v>43798</v>
      </c>
      <c r="B795">
        <v>2.376E-2</v>
      </c>
      <c r="C795">
        <v>2.6499999999999999E-2</v>
      </c>
      <c r="D795">
        <v>2.3709999999999998E-2</v>
      </c>
      <c r="E795">
        <v>2.4209999999999999E-2</v>
      </c>
      <c r="F795">
        <v>4912207.5999999996</v>
      </c>
      <c r="G795">
        <v>0</v>
      </c>
      <c r="L795" t="s">
        <v>8</v>
      </c>
      <c r="M795" t="s">
        <v>8</v>
      </c>
      <c r="N795" t="s">
        <v>8</v>
      </c>
      <c r="P795">
        <f t="shared" si="1004"/>
        <v>-0.64157706093189948</v>
      </c>
      <c r="Q795">
        <f t="shared" si="1005"/>
        <v>-3151559.7146953396</v>
      </c>
      <c r="R795">
        <f t="shared" si="1006"/>
        <v>-305688070.76621056</v>
      </c>
      <c r="S795">
        <f t="shared" si="1007"/>
        <v>-3056.8807076621056</v>
      </c>
      <c r="T795">
        <f t="shared" si="1008"/>
        <v>-3.0568807076621054</v>
      </c>
    </row>
    <row r="796" spans="1:20" x14ac:dyDescent="0.25">
      <c r="A796" s="5">
        <v>43797</v>
      </c>
      <c r="B796">
        <v>2.2689999999999998E-2</v>
      </c>
      <c r="C796">
        <v>2.4969999999999999E-2</v>
      </c>
      <c r="D796">
        <v>2.1999999999999999E-2</v>
      </c>
      <c r="E796">
        <v>2.375E-2</v>
      </c>
      <c r="F796">
        <v>5809232.5999999996</v>
      </c>
      <c r="G796">
        <v>0</v>
      </c>
      <c r="L796" t="s">
        <v>7</v>
      </c>
      <c r="M796" t="s">
        <v>8</v>
      </c>
      <c r="N796" t="s">
        <v>8</v>
      </c>
      <c r="P796">
        <f t="shared" si="1004"/>
        <v>0.17845117845117933</v>
      </c>
      <c r="Q796">
        <f t="shared" si="1005"/>
        <v>1036664.4033670084</v>
      </c>
      <c r="R796">
        <f t="shared" si="1006"/>
        <v>-302536511.05151522</v>
      </c>
      <c r="S796">
        <f t="shared" si="1007"/>
        <v>-3025.3651105151521</v>
      </c>
      <c r="T796">
        <f t="shared" si="1008"/>
        <v>-3.025365110515152</v>
      </c>
    </row>
    <row r="797" spans="1:20" x14ac:dyDescent="0.25">
      <c r="A797" s="5">
        <v>43796</v>
      </c>
      <c r="B797">
        <v>2.3290000000000002E-2</v>
      </c>
      <c r="C797">
        <v>2.4840000000000001E-2</v>
      </c>
      <c r="D797">
        <v>2.18E-2</v>
      </c>
      <c r="E797">
        <v>2.2440000000000002E-2</v>
      </c>
      <c r="F797">
        <v>14370582.199999999</v>
      </c>
      <c r="G797">
        <v>0</v>
      </c>
      <c r="L797" t="s">
        <v>8</v>
      </c>
      <c r="M797" t="s">
        <v>8</v>
      </c>
      <c r="N797" t="s">
        <v>8</v>
      </c>
      <c r="P797">
        <f t="shared" si="1004"/>
        <v>-0.57894736842105166</v>
      </c>
      <c r="Q797">
        <f t="shared" si="1005"/>
        <v>-8319810.7473684065</v>
      </c>
      <c r="R797">
        <f t="shared" si="1006"/>
        <v>-303573175.4548822</v>
      </c>
      <c r="S797">
        <f t="shared" si="1007"/>
        <v>-3035.7317545488222</v>
      </c>
      <c r="T797">
        <f t="shared" si="1008"/>
        <v>-3.0357317545488223</v>
      </c>
    </row>
    <row r="798" spans="1:20" x14ac:dyDescent="0.25">
      <c r="A798" s="5">
        <v>43795</v>
      </c>
      <c r="B798">
        <v>2.0590000000000001E-2</v>
      </c>
      <c r="C798">
        <v>2.435E-2</v>
      </c>
      <c r="D798">
        <v>2.0549999999999999E-2</v>
      </c>
      <c r="E798">
        <v>2.3429999999999999E-2</v>
      </c>
      <c r="F798">
        <v>10195181.9</v>
      </c>
      <c r="G798">
        <v>0</v>
      </c>
      <c r="L798" t="s">
        <v>8</v>
      </c>
      <c r="M798" t="s">
        <v>8</v>
      </c>
      <c r="N798" t="s">
        <v>8</v>
      </c>
      <c r="P798">
        <f t="shared" si="1004"/>
        <v>0.51578947368421035</v>
      </c>
      <c r="Q798">
        <f t="shared" si="1005"/>
        <v>5258567.5063157883</v>
      </c>
      <c r="R798">
        <f t="shared" si="1006"/>
        <v>-295253364.70751381</v>
      </c>
      <c r="S798">
        <f t="shared" si="1007"/>
        <v>-2952.5336470751381</v>
      </c>
      <c r="T798">
        <f t="shared" si="1008"/>
        <v>-2.9525336470751382</v>
      </c>
    </row>
    <row r="799" spans="1:20" x14ac:dyDescent="0.25">
      <c r="A799" s="5">
        <v>43794</v>
      </c>
      <c r="B799">
        <v>1.8919999999999999E-2</v>
      </c>
      <c r="C799">
        <v>2.2040000000000001E-2</v>
      </c>
      <c r="D799">
        <v>1.72E-2</v>
      </c>
      <c r="E799">
        <v>2.0650000000000002E-2</v>
      </c>
      <c r="F799">
        <v>5949372.4000000004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0.42561983471074433</v>
      </c>
      <c r="Q799">
        <f t="shared" si="1005"/>
        <v>2532170.8975206646</v>
      </c>
      <c r="R799">
        <f t="shared" si="1006"/>
        <v>-300511932.21382958</v>
      </c>
      <c r="S799">
        <f t="shared" si="1007"/>
        <v>-3005.119322138296</v>
      </c>
      <c r="T799">
        <f t="shared" si="1008"/>
        <v>-3.0051193221382961</v>
      </c>
    </row>
    <row r="800" spans="1:20" x14ac:dyDescent="0.25">
      <c r="A800" s="5">
        <v>43793</v>
      </c>
      <c r="B800">
        <v>2.0420000000000001E-2</v>
      </c>
      <c r="C800">
        <v>2.0539999999999999E-2</v>
      </c>
      <c r="D800">
        <v>1.8679999999999999E-2</v>
      </c>
      <c r="E800">
        <v>1.8679999999999999E-2</v>
      </c>
      <c r="F800">
        <v>2623463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-1</v>
      </c>
      <c r="Q800">
        <f t="shared" si="1005"/>
        <v>-2623463</v>
      </c>
      <c r="R800">
        <f t="shared" si="1006"/>
        <v>-303044103.11135024</v>
      </c>
      <c r="S800">
        <f t="shared" si="1007"/>
        <v>-3030.4410311135025</v>
      </c>
      <c r="T800">
        <f t="shared" si="1008"/>
        <v>-3.0304410311135026</v>
      </c>
    </row>
    <row r="801" spans="1:20" x14ac:dyDescent="0.25">
      <c r="A801" s="5">
        <v>43792</v>
      </c>
      <c r="B801">
        <v>1.9900000000000001E-2</v>
      </c>
      <c r="C801">
        <v>2.0879999999999999E-2</v>
      </c>
      <c r="D801">
        <v>1.9259999999999999E-2</v>
      </c>
      <c r="E801">
        <v>2.0330000000000001E-2</v>
      </c>
      <c r="F801">
        <v>3032074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0.32098765432098958</v>
      </c>
      <c r="Q801">
        <f t="shared" si="1005"/>
        <v>973258.3209876602</v>
      </c>
      <c r="R801">
        <f t="shared" si="1006"/>
        <v>-300420640.11135024</v>
      </c>
      <c r="S801">
        <f t="shared" si="1007"/>
        <v>-3004.2064011135026</v>
      </c>
      <c r="T801">
        <f t="shared" si="1008"/>
        <v>-3.0042064011135028</v>
      </c>
    </row>
    <row r="802" spans="1:20" x14ac:dyDescent="0.25">
      <c r="A802" s="5">
        <v>43791</v>
      </c>
      <c r="B802">
        <v>2.1899999999999999E-2</v>
      </c>
      <c r="C802">
        <v>2.2540000000000001E-2</v>
      </c>
      <c r="D802">
        <v>1.8530000000000001E-2</v>
      </c>
      <c r="E802">
        <v>1.9949999999999999E-2</v>
      </c>
      <c r="F802">
        <v>8554001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-0.29177057356608588</v>
      </c>
      <c r="Q802">
        <f t="shared" si="1005"/>
        <v>-2495805.7780548721</v>
      </c>
      <c r="R802">
        <f t="shared" si="1006"/>
        <v>-301393898.43233788</v>
      </c>
      <c r="S802">
        <f t="shared" si="1007"/>
        <v>-3013.9389843233789</v>
      </c>
      <c r="T802">
        <f t="shared" si="1008"/>
        <v>-3.0139389843233788</v>
      </c>
    </row>
    <row r="803" spans="1:20" x14ac:dyDescent="0.25">
      <c r="A803" s="5">
        <v>43790</v>
      </c>
      <c r="B803">
        <v>2.4639999999999999E-2</v>
      </c>
      <c r="C803">
        <v>2.5940000000000001E-2</v>
      </c>
      <c r="D803">
        <v>2.1100000000000001E-2</v>
      </c>
      <c r="E803">
        <v>2.197E-2</v>
      </c>
      <c r="F803">
        <v>7996003</v>
      </c>
      <c r="G803">
        <v>0</v>
      </c>
      <c r="L803" t="s">
        <v>8</v>
      </c>
      <c r="M803" t="s">
        <v>7</v>
      </c>
      <c r="N803" t="s">
        <v>7</v>
      </c>
      <c r="P803">
        <f t="shared" si="1004"/>
        <v>-0.64049586776859535</v>
      </c>
      <c r="Q803">
        <f t="shared" si="1005"/>
        <v>-5121406.880165292</v>
      </c>
      <c r="R803">
        <f t="shared" si="1006"/>
        <v>-298898092.65428299</v>
      </c>
      <c r="S803">
        <f t="shared" si="1007"/>
        <v>-2988.9809265428298</v>
      </c>
      <c r="T803">
        <f t="shared" si="1008"/>
        <v>-2.9889809265428298</v>
      </c>
    </row>
    <row r="804" spans="1:20" x14ac:dyDescent="0.25">
      <c r="A804" s="5">
        <v>43789</v>
      </c>
      <c r="B804">
        <v>2.5260000000000001E-2</v>
      </c>
      <c r="C804">
        <v>2.5600000000000001E-2</v>
      </c>
      <c r="D804">
        <v>2.4459999999999999E-2</v>
      </c>
      <c r="E804">
        <v>2.4819999999999998E-2</v>
      </c>
      <c r="F804">
        <v>1256587.3</v>
      </c>
      <c r="G804">
        <v>0</v>
      </c>
      <c r="L804" t="s">
        <v>8</v>
      </c>
      <c r="M804" t="s">
        <v>7</v>
      </c>
      <c r="N804" t="s">
        <v>7</v>
      </c>
      <c r="P804">
        <f t="shared" si="1004"/>
        <v>-0.36842105263158154</v>
      </c>
      <c r="Q804">
        <f t="shared" si="1005"/>
        <v>-462953.21578947693</v>
      </c>
      <c r="R804">
        <f t="shared" si="1006"/>
        <v>-293776685.77411771</v>
      </c>
      <c r="S804">
        <f t="shared" si="1007"/>
        <v>-2937.7668577411769</v>
      </c>
      <c r="T804">
        <f t="shared" si="1008"/>
        <v>-2.9377668577411771</v>
      </c>
    </row>
    <row r="805" spans="1:20" x14ac:dyDescent="0.25">
      <c r="A805" s="5">
        <v>43788</v>
      </c>
      <c r="B805">
        <v>2.562E-2</v>
      </c>
      <c r="C805">
        <v>2.5729999999999999E-2</v>
      </c>
      <c r="D805">
        <v>2.3630000000000002E-2</v>
      </c>
      <c r="E805">
        <v>2.5260000000000001E-2</v>
      </c>
      <c r="F805">
        <v>3711756.68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0.55238095238095364</v>
      </c>
      <c r="Q805">
        <f t="shared" si="1005"/>
        <v>2050303.6899047666</v>
      </c>
      <c r="R805">
        <f t="shared" si="1006"/>
        <v>-293313732.55832821</v>
      </c>
      <c r="S805">
        <f t="shared" si="1007"/>
        <v>-2933.1373255832823</v>
      </c>
      <c r="T805">
        <f t="shared" si="1008"/>
        <v>-2.9331373255832824</v>
      </c>
    </row>
    <row r="806" spans="1:20" x14ac:dyDescent="0.25">
      <c r="A806" s="5">
        <v>43787</v>
      </c>
      <c r="B806">
        <v>2.7550000000000002E-2</v>
      </c>
      <c r="C806">
        <v>2.777E-2</v>
      </c>
      <c r="D806">
        <v>2.4879999999999999E-2</v>
      </c>
      <c r="E806">
        <v>2.5700000000000001E-2</v>
      </c>
      <c r="F806">
        <v>3828992.5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-0.43252595155709256</v>
      </c>
      <c r="Q806">
        <f t="shared" si="1005"/>
        <v>-1656138.6245674707</v>
      </c>
      <c r="R806">
        <f t="shared" si="1006"/>
        <v>-295364036.24823296</v>
      </c>
      <c r="S806">
        <f t="shared" si="1007"/>
        <v>-2953.6403624823297</v>
      </c>
      <c r="T806">
        <f t="shared" si="1008"/>
        <v>-2.9536403624823295</v>
      </c>
    </row>
    <row r="807" spans="1:20" x14ac:dyDescent="0.25">
      <c r="A807" s="5">
        <v>43786</v>
      </c>
      <c r="B807">
        <v>2.826E-2</v>
      </c>
      <c r="C807">
        <v>2.8989999999999998E-2</v>
      </c>
      <c r="D807">
        <v>2.7550000000000002E-2</v>
      </c>
      <c r="E807">
        <v>2.7550000000000002E-2</v>
      </c>
      <c r="F807">
        <v>5023493.4000000004</v>
      </c>
      <c r="G807">
        <v>0</v>
      </c>
      <c r="L807" t="s">
        <v>8</v>
      </c>
      <c r="M807" t="s">
        <v>7</v>
      </c>
      <c r="N807" t="s">
        <v>7</v>
      </c>
      <c r="P807">
        <f t="shared" si="1004"/>
        <v>-1</v>
      </c>
      <c r="Q807">
        <f t="shared" si="1005"/>
        <v>-5023493.4000000004</v>
      </c>
      <c r="R807">
        <f t="shared" si="1006"/>
        <v>-293707897.62366551</v>
      </c>
      <c r="S807">
        <f t="shared" si="1007"/>
        <v>-2937.0789762366553</v>
      </c>
      <c r="T807">
        <f t="shared" si="1008"/>
        <v>-2.9370789762366551</v>
      </c>
    </row>
    <row r="808" spans="1:20" x14ac:dyDescent="0.25">
      <c r="A808" s="5">
        <v>43785</v>
      </c>
      <c r="B808">
        <v>2.6769999999999999E-2</v>
      </c>
      <c r="C808">
        <v>2.8729999999999999E-2</v>
      </c>
      <c r="D808">
        <v>2.666E-2</v>
      </c>
      <c r="E808">
        <v>2.826E-2</v>
      </c>
      <c r="F808">
        <v>5961779.9000000004</v>
      </c>
      <c r="G808">
        <v>0</v>
      </c>
      <c r="L808" t="s">
        <v>8</v>
      </c>
      <c r="M808" t="s">
        <v>7</v>
      </c>
      <c r="N808" t="s">
        <v>7</v>
      </c>
      <c r="P808">
        <f t="shared" si="1004"/>
        <v>0.54589371980676482</v>
      </c>
      <c r="Q808">
        <f t="shared" si="1005"/>
        <v>3254498.2062802026</v>
      </c>
      <c r="R808">
        <f t="shared" si="1006"/>
        <v>-288684404.22366554</v>
      </c>
      <c r="S808">
        <f t="shared" si="1007"/>
        <v>-2886.8440422366552</v>
      </c>
      <c r="T808">
        <f t="shared" si="1008"/>
        <v>-2.886844042236655</v>
      </c>
    </row>
    <row r="809" spans="1:20" x14ac:dyDescent="0.25">
      <c r="A809" s="5">
        <v>43784</v>
      </c>
      <c r="B809">
        <v>2.7040000000000002E-2</v>
      </c>
      <c r="C809">
        <v>2.7640000000000001E-2</v>
      </c>
      <c r="D809">
        <v>2.6249999999999999E-2</v>
      </c>
      <c r="E809">
        <v>2.674E-2</v>
      </c>
      <c r="F809">
        <v>1979726.5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-0.29496402877697836</v>
      </c>
      <c r="Q809">
        <f t="shared" si="1005"/>
        <v>-583948.1043165467</v>
      </c>
      <c r="R809">
        <f t="shared" si="1006"/>
        <v>-291938902.42994577</v>
      </c>
      <c r="S809">
        <f t="shared" si="1007"/>
        <v>-2919.3890242994576</v>
      </c>
      <c r="T809">
        <f t="shared" si="1008"/>
        <v>-2.9193890242994573</v>
      </c>
    </row>
    <row r="810" spans="1:20" x14ac:dyDescent="0.25">
      <c r="A810" s="5">
        <v>43783</v>
      </c>
      <c r="B810">
        <v>2.7869999999999999E-2</v>
      </c>
      <c r="C810">
        <v>2.7910000000000001E-2</v>
      </c>
      <c r="D810">
        <v>2.665E-2</v>
      </c>
      <c r="E810">
        <v>2.7029999999999998E-2</v>
      </c>
      <c r="F810">
        <v>2776829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-0.39682539682539969</v>
      </c>
      <c r="Q810">
        <f t="shared" si="1005"/>
        <v>-1101916.2698412777</v>
      </c>
      <c r="R810">
        <f t="shared" si="1006"/>
        <v>-291354954.32562923</v>
      </c>
      <c r="S810">
        <f t="shared" si="1007"/>
        <v>-2913.5495432562925</v>
      </c>
      <c r="T810">
        <f t="shared" si="1008"/>
        <v>-2.9135495432562926</v>
      </c>
    </row>
    <row r="811" spans="1:20" x14ac:dyDescent="0.25">
      <c r="A811" s="5">
        <v>43782</v>
      </c>
      <c r="B811">
        <v>2.7640000000000001E-2</v>
      </c>
      <c r="C811">
        <v>2.8170000000000001E-2</v>
      </c>
      <c r="D811">
        <v>2.7459999999999998E-2</v>
      </c>
      <c r="E811">
        <v>2.784E-2</v>
      </c>
      <c r="F811">
        <v>1790764.7</v>
      </c>
      <c r="G811">
        <v>0</v>
      </c>
      <c r="L811" t="s">
        <v>7</v>
      </c>
      <c r="M811" t="s">
        <v>7</v>
      </c>
      <c r="N811" t="s">
        <v>7</v>
      </c>
      <c r="P811">
        <f t="shared" si="1004"/>
        <v>7.0422535211269399E-2</v>
      </c>
      <c r="Q811">
        <f t="shared" si="1005"/>
        <v>126110.19014084828</v>
      </c>
      <c r="R811">
        <f t="shared" si="1006"/>
        <v>-290253038.05578798</v>
      </c>
      <c r="S811">
        <f t="shared" si="1007"/>
        <v>-2902.5303805578797</v>
      </c>
      <c r="T811">
        <f t="shared" si="1008"/>
        <v>-2.9025303805578795</v>
      </c>
    </row>
    <row r="812" spans="1:20" x14ac:dyDescent="0.25">
      <c r="A812" s="5">
        <v>43781</v>
      </c>
      <c r="B812">
        <v>2.7269999999999999E-2</v>
      </c>
      <c r="C812">
        <v>2.81E-2</v>
      </c>
      <c r="D812">
        <v>2.7050000000000001E-2</v>
      </c>
      <c r="E812">
        <v>2.75E-2</v>
      </c>
      <c r="F812">
        <v>2285359.2000000002</v>
      </c>
      <c r="G812">
        <v>0</v>
      </c>
      <c r="L812" t="s">
        <v>7</v>
      </c>
      <c r="M812" t="s">
        <v>7</v>
      </c>
      <c r="N812" t="s">
        <v>7</v>
      </c>
      <c r="P812">
        <f t="shared" si="1004"/>
        <v>-0.14285714285714379</v>
      </c>
      <c r="Q812">
        <f t="shared" si="1005"/>
        <v>-326479.88571428787</v>
      </c>
      <c r="R812">
        <f t="shared" si="1006"/>
        <v>-290379148.24592882</v>
      </c>
      <c r="S812">
        <f t="shared" si="1007"/>
        <v>-2903.7914824592881</v>
      </c>
      <c r="T812">
        <f t="shared" si="1008"/>
        <v>-2.9037914824592881</v>
      </c>
    </row>
    <row r="813" spans="1:20" x14ac:dyDescent="0.25">
      <c r="A813" s="5">
        <v>43780</v>
      </c>
      <c r="B813">
        <v>2.7980000000000001E-2</v>
      </c>
      <c r="C813">
        <v>2.826E-2</v>
      </c>
      <c r="D813">
        <v>2.7E-2</v>
      </c>
      <c r="E813">
        <v>2.7279999999999999E-2</v>
      </c>
      <c r="F813">
        <v>4017224.7</v>
      </c>
      <c r="G813">
        <v>0</v>
      </c>
      <c r="L813" t="s">
        <v>7</v>
      </c>
      <c r="M813" t="s">
        <v>7</v>
      </c>
      <c r="N813" t="s">
        <v>7</v>
      </c>
      <c r="P813">
        <f t="shared" si="1004"/>
        <v>-0.55555555555555736</v>
      </c>
      <c r="Q813">
        <f t="shared" si="1005"/>
        <v>-2231791.5000000075</v>
      </c>
      <c r="R813">
        <f t="shared" si="1006"/>
        <v>-290052668.36021453</v>
      </c>
      <c r="S813">
        <f t="shared" si="1007"/>
        <v>-2900.5266836021451</v>
      </c>
      <c r="T813">
        <f t="shared" si="1008"/>
        <v>-2.9005266836021453</v>
      </c>
    </row>
    <row r="814" spans="1:20" x14ac:dyDescent="0.25">
      <c r="A814" s="5">
        <v>43779</v>
      </c>
      <c r="B814">
        <v>2.7830000000000001E-2</v>
      </c>
      <c r="C814">
        <v>2.869E-2</v>
      </c>
      <c r="D814">
        <v>2.775E-2</v>
      </c>
      <c r="E814">
        <v>2.792E-2</v>
      </c>
      <c r="F814">
        <v>3531292.2</v>
      </c>
      <c r="G814">
        <v>0</v>
      </c>
      <c r="L814" t="s">
        <v>7</v>
      </c>
      <c r="M814" t="s">
        <v>7</v>
      </c>
      <c r="N814" t="s">
        <v>7</v>
      </c>
      <c r="P814">
        <f t="shared" si="1004"/>
        <v>-0.63829787234042545</v>
      </c>
      <c r="Q814">
        <f t="shared" si="1005"/>
        <v>-2254016.2978723403</v>
      </c>
      <c r="R814">
        <f t="shared" si="1006"/>
        <v>-287820876.86021453</v>
      </c>
      <c r="S814">
        <f t="shared" si="1007"/>
        <v>-2878.2087686021455</v>
      </c>
      <c r="T814">
        <f t="shared" si="1008"/>
        <v>-2.8782087686021454</v>
      </c>
    </row>
    <row r="815" spans="1:20" x14ac:dyDescent="0.25">
      <c r="A815" s="5">
        <v>43778</v>
      </c>
      <c r="B815">
        <v>2.811E-2</v>
      </c>
      <c r="C815">
        <v>2.8199999999999999E-2</v>
      </c>
      <c r="D815">
        <v>2.6749999999999999E-2</v>
      </c>
      <c r="E815">
        <v>2.784E-2</v>
      </c>
      <c r="F815">
        <v>8395307.6999999993</v>
      </c>
      <c r="G815">
        <v>0</v>
      </c>
      <c r="L815" t="s">
        <v>7</v>
      </c>
      <c r="M815" t="s">
        <v>7</v>
      </c>
      <c r="N815" t="s">
        <v>7</v>
      </c>
      <c r="P815">
        <f t="shared" si="1004"/>
        <v>0.50344827586206997</v>
      </c>
      <c r="Q815">
        <f t="shared" si="1005"/>
        <v>4226603.1868965598</v>
      </c>
      <c r="R815">
        <f t="shared" si="1006"/>
        <v>-285566860.56234217</v>
      </c>
      <c r="S815">
        <f t="shared" si="1007"/>
        <v>-2855.6686056234216</v>
      </c>
      <c r="T815">
        <f t="shared" si="1008"/>
        <v>-2.8556686056234217</v>
      </c>
    </row>
    <row r="816" spans="1:20" x14ac:dyDescent="0.25">
      <c r="A816" s="5">
        <v>43777</v>
      </c>
      <c r="B816">
        <v>3.0020000000000002E-2</v>
      </c>
      <c r="C816">
        <v>3.0669999999999999E-2</v>
      </c>
      <c r="D816">
        <v>2.7300000000000001E-2</v>
      </c>
      <c r="E816">
        <v>2.8230000000000002E-2</v>
      </c>
      <c r="F816">
        <v>5537614.7000000002</v>
      </c>
      <c r="G816">
        <v>0</v>
      </c>
      <c r="L816" t="s">
        <v>7</v>
      </c>
      <c r="M816" t="s">
        <v>7</v>
      </c>
      <c r="N816" t="s">
        <v>7</v>
      </c>
      <c r="P816">
        <f t="shared" si="1004"/>
        <v>-0.44807121661721017</v>
      </c>
      <c r="Q816">
        <f t="shared" si="1005"/>
        <v>-2481245.7557863472</v>
      </c>
      <c r="R816">
        <f t="shared" si="1006"/>
        <v>-289793463.74923873</v>
      </c>
      <c r="S816">
        <f t="shared" si="1007"/>
        <v>-2897.9346374923871</v>
      </c>
      <c r="T816">
        <f t="shared" si="1008"/>
        <v>-2.8979346374923871</v>
      </c>
    </row>
    <row r="817" spans="1:20" x14ac:dyDescent="0.25">
      <c r="A817" s="5">
        <v>43776</v>
      </c>
      <c r="B817">
        <v>3.0949999999999998E-2</v>
      </c>
      <c r="C817">
        <v>3.107E-2</v>
      </c>
      <c r="D817">
        <v>2.9489999999999999E-2</v>
      </c>
      <c r="E817">
        <v>3.006E-2</v>
      </c>
      <c r="F817">
        <v>4210695.5999999996</v>
      </c>
      <c r="G817">
        <v>0</v>
      </c>
      <c r="L817" t="s">
        <v>7</v>
      </c>
      <c r="M817" t="s">
        <v>8</v>
      </c>
      <c r="N817" t="s">
        <v>7</v>
      </c>
      <c r="P817">
        <f t="shared" si="1004"/>
        <v>-0.27848101265822722</v>
      </c>
      <c r="Q817">
        <f t="shared" si="1005"/>
        <v>-1172598.7746835416</v>
      </c>
      <c r="R817">
        <f t="shared" si="1006"/>
        <v>-287312217.99345237</v>
      </c>
      <c r="S817">
        <f t="shared" si="1007"/>
        <v>-2873.1221799345235</v>
      </c>
      <c r="T817">
        <f t="shared" si="1008"/>
        <v>-2.8731221799345237</v>
      </c>
    </row>
    <row r="818" spans="1:20" x14ac:dyDescent="0.25">
      <c r="A818" s="5">
        <v>43775</v>
      </c>
      <c r="B818">
        <v>3.1300000000000001E-2</v>
      </c>
      <c r="C818">
        <v>3.3099999999999997E-2</v>
      </c>
      <c r="D818">
        <v>3.0499999999999999E-2</v>
      </c>
      <c r="E818">
        <v>3.0949999999999998E-2</v>
      </c>
      <c r="F818">
        <v>8007491.2000000002</v>
      </c>
      <c r="G818">
        <v>0</v>
      </c>
      <c r="L818" t="s">
        <v>8</v>
      </c>
      <c r="M818" t="s">
        <v>8</v>
      </c>
      <c r="N818" t="s">
        <v>7</v>
      </c>
      <c r="P818">
        <f t="shared" si="1004"/>
        <v>-0.65384615384615441</v>
      </c>
      <c r="Q818">
        <f t="shared" si="1005"/>
        <v>-5235667.323076928</v>
      </c>
      <c r="R818">
        <f t="shared" si="1006"/>
        <v>-286139619.21876884</v>
      </c>
      <c r="S818">
        <f t="shared" si="1007"/>
        <v>-2861.3961921876885</v>
      </c>
      <c r="T818">
        <f t="shared" si="1008"/>
        <v>-2.8613961921876885</v>
      </c>
    </row>
    <row r="819" spans="1:20" x14ac:dyDescent="0.25">
      <c r="A819" s="5">
        <v>43774</v>
      </c>
      <c r="B819">
        <v>2.9950000000000001E-2</v>
      </c>
      <c r="C819">
        <v>3.2500000000000001E-2</v>
      </c>
      <c r="D819">
        <v>2.9309999999999999E-2</v>
      </c>
      <c r="E819">
        <v>3.1220000000000001E-2</v>
      </c>
      <c r="F819">
        <v>11101760.9</v>
      </c>
      <c r="G819">
        <v>0</v>
      </c>
      <c r="L819" t="s">
        <v>8</v>
      </c>
      <c r="M819" t="s">
        <v>7</v>
      </c>
      <c r="N819" t="s">
        <v>7</v>
      </c>
      <c r="P819">
        <f t="shared" si="1004"/>
        <v>0.19749216300940492</v>
      </c>
      <c r="Q819">
        <f t="shared" si="1005"/>
        <v>2192510.7733542379</v>
      </c>
      <c r="R819">
        <f t="shared" si="1006"/>
        <v>-280903951.89569193</v>
      </c>
      <c r="S819">
        <f t="shared" si="1007"/>
        <v>-2809.0395189569194</v>
      </c>
      <c r="T819">
        <f t="shared" si="1008"/>
        <v>-2.8090395189569195</v>
      </c>
    </row>
    <row r="820" spans="1:20" x14ac:dyDescent="0.25">
      <c r="A820" s="5">
        <v>43773</v>
      </c>
      <c r="B820">
        <v>2.9559999999999999E-2</v>
      </c>
      <c r="C820">
        <v>3.0599999999999999E-2</v>
      </c>
      <c r="D820">
        <v>2.912E-2</v>
      </c>
      <c r="E820">
        <v>2.9940000000000001E-2</v>
      </c>
      <c r="F820">
        <v>6366010.5999999996</v>
      </c>
      <c r="G820">
        <v>0</v>
      </c>
      <c r="L820" t="s">
        <v>8</v>
      </c>
      <c r="M820" t="s">
        <v>7</v>
      </c>
      <c r="N820" t="s">
        <v>7</v>
      </c>
      <c r="P820">
        <f t="shared" si="1004"/>
        <v>0.10810810810811083</v>
      </c>
      <c r="Q820">
        <f t="shared" si="1005"/>
        <v>688217.36216217943</v>
      </c>
      <c r="R820">
        <f t="shared" si="1006"/>
        <v>-283096462.66904616</v>
      </c>
      <c r="S820">
        <f t="shared" si="1007"/>
        <v>-2830.9646266904615</v>
      </c>
      <c r="T820">
        <f t="shared" si="1008"/>
        <v>-2.8309646266904616</v>
      </c>
    </row>
    <row r="821" spans="1:20" x14ac:dyDescent="0.25">
      <c r="A821" s="5">
        <v>43772</v>
      </c>
      <c r="B821">
        <v>2.887E-2</v>
      </c>
      <c r="C821">
        <v>3.0980000000000001E-2</v>
      </c>
      <c r="D821">
        <v>2.8199999999999999E-2</v>
      </c>
      <c r="E821">
        <v>2.9530000000000001E-2</v>
      </c>
      <c r="F821">
        <v>9224809.5</v>
      </c>
      <c r="G821">
        <v>0</v>
      </c>
      <c r="L821" t="s">
        <v>7</v>
      </c>
      <c r="M821" t="s">
        <v>7</v>
      </c>
      <c r="N821" t="s">
        <v>7</v>
      </c>
      <c r="P821">
        <f t="shared" si="1004"/>
        <v>-4.3165467625898749E-2</v>
      </c>
      <c r="Q821">
        <f t="shared" si="1005"/>
        <v>-398193.21582733322</v>
      </c>
      <c r="R821">
        <f t="shared" si="1006"/>
        <v>-283784680.03120834</v>
      </c>
      <c r="S821">
        <f t="shared" si="1007"/>
        <v>-2837.8468003120834</v>
      </c>
      <c r="T821">
        <f t="shared" si="1008"/>
        <v>-2.8378468003120831</v>
      </c>
    </row>
    <row r="822" spans="1:20" x14ac:dyDescent="0.25">
      <c r="A822" s="5">
        <v>43771</v>
      </c>
      <c r="B822">
        <v>2.9180000000000001E-2</v>
      </c>
      <c r="C822">
        <v>2.9909999999999999E-2</v>
      </c>
      <c r="D822">
        <v>2.8580000000000001E-2</v>
      </c>
      <c r="E822">
        <v>2.887E-2</v>
      </c>
      <c r="F822">
        <v>4326285.2</v>
      </c>
      <c r="G822">
        <v>0</v>
      </c>
      <c r="L822" t="s">
        <v>7</v>
      </c>
      <c r="M822" t="s">
        <v>8</v>
      </c>
      <c r="N822" t="s">
        <v>7</v>
      </c>
      <c r="P822">
        <f t="shared" si="1004"/>
        <v>-0.56390977443609169</v>
      </c>
      <c r="Q822">
        <f t="shared" si="1005"/>
        <v>-2439634.5112782018</v>
      </c>
      <c r="R822">
        <f t="shared" si="1006"/>
        <v>-283386486.81538099</v>
      </c>
      <c r="S822">
        <f t="shared" si="1007"/>
        <v>-2833.8648681538098</v>
      </c>
      <c r="T822">
        <f t="shared" si="1008"/>
        <v>-2.8338648681538099</v>
      </c>
    </row>
    <row r="823" spans="1:20" x14ac:dyDescent="0.25">
      <c r="A823" s="5">
        <v>43770</v>
      </c>
      <c r="B823">
        <v>2.9600000000000001E-2</v>
      </c>
      <c r="C823">
        <v>3.0200000000000001E-2</v>
      </c>
      <c r="D823">
        <v>2.853E-2</v>
      </c>
      <c r="E823">
        <v>2.912E-2</v>
      </c>
      <c r="F823">
        <v>7177238.5</v>
      </c>
      <c r="G823">
        <v>0</v>
      </c>
      <c r="L823" t="s">
        <v>7</v>
      </c>
      <c r="M823" t="s">
        <v>8</v>
      </c>
      <c r="N823" t="s">
        <v>7</v>
      </c>
      <c r="P823">
        <f t="shared" si="1004"/>
        <v>-0.29341317365269487</v>
      </c>
      <c r="Q823">
        <f t="shared" si="1005"/>
        <v>-2105896.3263473073</v>
      </c>
      <c r="R823">
        <f t="shared" si="1006"/>
        <v>-280946852.30410278</v>
      </c>
      <c r="S823">
        <f t="shared" si="1007"/>
        <v>-2809.4685230410278</v>
      </c>
      <c r="T823">
        <f t="shared" si="1008"/>
        <v>-2.8094685230410277</v>
      </c>
    </row>
    <row r="824" spans="1:20" x14ac:dyDescent="0.25">
      <c r="A824" s="5">
        <v>43769</v>
      </c>
      <c r="B824">
        <v>3.1280000000000002E-2</v>
      </c>
      <c r="C824">
        <v>3.4340000000000002E-2</v>
      </c>
      <c r="D824">
        <v>2.9000000000000001E-2</v>
      </c>
      <c r="E824">
        <v>2.9780000000000001E-2</v>
      </c>
      <c r="F824">
        <v>33063718</v>
      </c>
      <c r="G824">
        <v>0</v>
      </c>
      <c r="L824" t="s">
        <v>8</v>
      </c>
      <c r="M824" t="s">
        <v>8</v>
      </c>
      <c r="N824" t="s">
        <v>7</v>
      </c>
      <c r="P824">
        <f t="shared" si="1004"/>
        <v>-0.70786516853932613</v>
      </c>
      <c r="Q824">
        <f t="shared" si="1005"/>
        <v>-23404654.314606752</v>
      </c>
      <c r="R824">
        <f t="shared" si="1006"/>
        <v>-278840955.97775549</v>
      </c>
      <c r="S824">
        <f t="shared" si="1007"/>
        <v>-2788.4095597775549</v>
      </c>
      <c r="T824">
        <f t="shared" si="1008"/>
        <v>-2.7884095597775551</v>
      </c>
    </row>
    <row r="825" spans="1:20" x14ac:dyDescent="0.25">
      <c r="A825" s="5">
        <v>43768</v>
      </c>
      <c r="B825">
        <v>2.7900000000000001E-2</v>
      </c>
      <c r="C825">
        <v>3.1859999999999999E-2</v>
      </c>
      <c r="D825">
        <v>2.656E-2</v>
      </c>
      <c r="E825">
        <v>3.134E-2</v>
      </c>
      <c r="F825">
        <v>11717455.699999999</v>
      </c>
      <c r="G825">
        <v>0</v>
      </c>
      <c r="L825" t="s">
        <v>8</v>
      </c>
      <c r="M825" t="s">
        <v>8</v>
      </c>
      <c r="N825" t="s">
        <v>7</v>
      </c>
      <c r="P825">
        <f t="shared" si="1004"/>
        <v>0.80377358490566053</v>
      </c>
      <c r="Q825">
        <f t="shared" si="1005"/>
        <v>9418181.3739622645</v>
      </c>
      <c r="R825">
        <f t="shared" si="1006"/>
        <v>-255436301.66314876</v>
      </c>
      <c r="S825">
        <f t="shared" si="1007"/>
        <v>-2554.3630166314874</v>
      </c>
      <c r="T825">
        <f t="shared" si="1008"/>
        <v>-2.5543630166314872</v>
      </c>
    </row>
    <row r="826" spans="1:20" x14ac:dyDescent="0.25">
      <c r="A826" s="5">
        <v>43767</v>
      </c>
      <c r="B826">
        <v>2.809E-2</v>
      </c>
      <c r="C826">
        <v>0.03</v>
      </c>
      <c r="D826">
        <v>2.7709999999999999E-2</v>
      </c>
      <c r="E826">
        <v>2.8039999999999999E-2</v>
      </c>
      <c r="F826">
        <v>8034735</v>
      </c>
      <c r="G826">
        <v>0</v>
      </c>
      <c r="L826" t="s">
        <v>8</v>
      </c>
      <c r="M826" t="s">
        <v>8</v>
      </c>
      <c r="N826" t="s">
        <v>7</v>
      </c>
      <c r="P826">
        <f t="shared" si="1004"/>
        <v>-0.7117903930131001</v>
      </c>
      <c r="Q826">
        <f t="shared" si="1005"/>
        <v>-5719047.1834061109</v>
      </c>
      <c r="R826">
        <f t="shared" si="1006"/>
        <v>-264854483.03711101</v>
      </c>
      <c r="S826">
        <f t="shared" si="1007"/>
        <v>-2648.54483037111</v>
      </c>
      <c r="T826">
        <f t="shared" si="1008"/>
        <v>-2.6485448303711099</v>
      </c>
    </row>
    <row r="827" spans="1:20" x14ac:dyDescent="0.25">
      <c r="A827" s="5">
        <v>43766</v>
      </c>
      <c r="B827">
        <v>2.6780000000000002E-2</v>
      </c>
      <c r="C827">
        <v>2.9069999999999999E-2</v>
      </c>
      <c r="D827">
        <v>2.6679999999999999E-2</v>
      </c>
      <c r="E827">
        <v>2.7869999999999999E-2</v>
      </c>
      <c r="F827">
        <v>9224727.9000000004</v>
      </c>
      <c r="G827">
        <v>0</v>
      </c>
      <c r="L827" t="s">
        <v>8</v>
      </c>
      <c r="M827" t="s">
        <v>7</v>
      </c>
      <c r="N827" t="s">
        <v>7</v>
      </c>
      <c r="P827">
        <f t="shared" si="1004"/>
        <v>-4.1841004184098715E-3</v>
      </c>
      <c r="Q827">
        <f t="shared" si="1005"/>
        <v>-38597.187866107219</v>
      </c>
      <c r="R827">
        <f t="shared" si="1006"/>
        <v>-259135435.8537049</v>
      </c>
      <c r="S827">
        <f t="shared" si="1007"/>
        <v>-2591.3543585370489</v>
      </c>
      <c r="T827">
        <f t="shared" si="1008"/>
        <v>-2.5913543585370489</v>
      </c>
    </row>
    <row r="828" spans="1:20" x14ac:dyDescent="0.25">
      <c r="A828" s="5">
        <v>43765</v>
      </c>
      <c r="B828">
        <v>2.699E-2</v>
      </c>
      <c r="C828">
        <v>2.7230000000000001E-2</v>
      </c>
      <c r="D828">
        <v>2.5309999999999999E-2</v>
      </c>
      <c r="E828">
        <v>2.6710000000000001E-2</v>
      </c>
      <c r="F828">
        <v>10664941.9</v>
      </c>
      <c r="G828">
        <v>0</v>
      </c>
      <c r="L828" t="s">
        <v>7</v>
      </c>
      <c r="M828" t="s">
        <v>7</v>
      </c>
      <c r="N828" t="s">
        <v>7</v>
      </c>
      <c r="P828">
        <f t="shared" si="1004"/>
        <v>0.45833333333333415</v>
      </c>
      <c r="Q828">
        <f t="shared" si="1005"/>
        <v>4888098.370833342</v>
      </c>
      <c r="R828">
        <f t="shared" si="1006"/>
        <v>-259096838.66583878</v>
      </c>
      <c r="S828">
        <f t="shared" si="1007"/>
        <v>-2590.9683866583878</v>
      </c>
      <c r="T828">
        <f t="shared" si="1008"/>
        <v>-2.5909683866583877</v>
      </c>
    </row>
    <row r="829" spans="1:20" x14ac:dyDescent="0.25">
      <c r="A829" s="5">
        <v>43764</v>
      </c>
      <c r="B829">
        <v>2.8879999999999999E-2</v>
      </c>
      <c r="C829">
        <v>2.8879999999999999E-2</v>
      </c>
      <c r="D829">
        <v>2.6419999999999999E-2</v>
      </c>
      <c r="E829">
        <v>2.674E-2</v>
      </c>
      <c r="F829">
        <v>10096728.4</v>
      </c>
      <c r="G829">
        <v>0</v>
      </c>
      <c r="L829" t="s">
        <v>7</v>
      </c>
      <c r="M829" t="s">
        <v>7</v>
      </c>
      <c r="N829" t="s">
        <v>7</v>
      </c>
      <c r="P829">
        <f t="shared" si="1004"/>
        <v>-0.7398373983739831</v>
      </c>
      <c r="Q829">
        <f t="shared" si="1005"/>
        <v>-7469937.2715447089</v>
      </c>
      <c r="R829">
        <f t="shared" si="1006"/>
        <v>-263984937.03667212</v>
      </c>
      <c r="S829">
        <f t="shared" si="1007"/>
        <v>-2639.8493703667214</v>
      </c>
      <c r="T829">
        <f t="shared" si="1008"/>
        <v>-2.6398493703667212</v>
      </c>
    </row>
    <row r="830" spans="1:20" x14ac:dyDescent="0.25">
      <c r="A830" s="5">
        <v>43763</v>
      </c>
      <c r="B830">
        <v>2.7640000000000001E-2</v>
      </c>
      <c r="C830">
        <v>2.9399999999999999E-2</v>
      </c>
      <c r="D830">
        <v>2.6759999999999999E-2</v>
      </c>
      <c r="E830">
        <v>2.8740000000000002E-2</v>
      </c>
      <c r="F830">
        <v>11412223.300000001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0.500000000000002</v>
      </c>
      <c r="Q830">
        <f t="shared" si="1005"/>
        <v>5706111.6500000227</v>
      </c>
      <c r="R830">
        <f t="shared" si="1006"/>
        <v>-256514999.76512742</v>
      </c>
      <c r="S830">
        <f t="shared" si="1007"/>
        <v>-2565.1499976512741</v>
      </c>
      <c r="T830">
        <f t="shared" si="1008"/>
        <v>-2.5651499976512739</v>
      </c>
    </row>
    <row r="831" spans="1:20" x14ac:dyDescent="0.25">
      <c r="A831" s="5">
        <v>43762</v>
      </c>
      <c r="B831">
        <v>2.7990000000000001E-2</v>
      </c>
      <c r="C831">
        <v>2.8129999999999999E-2</v>
      </c>
      <c r="D831">
        <v>2.656E-2</v>
      </c>
      <c r="E831">
        <v>2.7640000000000001E-2</v>
      </c>
      <c r="F831">
        <v>2127273.2999999998</v>
      </c>
      <c r="G831">
        <v>0</v>
      </c>
      <c r="L831" t="s">
        <v>7</v>
      </c>
      <c r="M831" t="s">
        <v>7</v>
      </c>
      <c r="N831" t="s">
        <v>7</v>
      </c>
      <c r="P831">
        <f t="shared" ref="P831:P890" si="1009">IF(C831=D831,0,((E831-D831)-(C831-E831))/(C831-D831))</f>
        <v>0.37579617834395179</v>
      </c>
      <c r="Q831">
        <f t="shared" ref="Q831:Q890" si="1010">F831*P831</f>
        <v>799421.17643312679</v>
      </c>
      <c r="R831">
        <f t="shared" ref="R831:R890" si="1011">R832+Q831</f>
        <v>-262221111.41512746</v>
      </c>
      <c r="S831">
        <f t="shared" ref="S831:S890" si="1012">R831/100000</f>
        <v>-2622.2111141512746</v>
      </c>
      <c r="T831">
        <f t="shared" ref="T831:T890" si="1013">S831/1000</f>
        <v>-2.6222111141512747</v>
      </c>
    </row>
    <row r="832" spans="1:20" x14ac:dyDescent="0.25">
      <c r="A832" s="5">
        <v>43761</v>
      </c>
      <c r="B832">
        <v>3.1130000000000001E-2</v>
      </c>
      <c r="C832">
        <v>3.1640000000000001E-2</v>
      </c>
      <c r="D832">
        <v>2.6409999999999999E-2</v>
      </c>
      <c r="E832">
        <v>2.7910000000000001E-2</v>
      </c>
      <c r="F832">
        <v>7490267.1900000004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-0.42638623326959818</v>
      </c>
      <c r="Q832">
        <f t="shared" si="1010"/>
        <v>-3193746.8133269576</v>
      </c>
      <c r="R832">
        <f t="shared" si="1011"/>
        <v>-263020532.59156057</v>
      </c>
      <c r="S832">
        <f t="shared" si="1012"/>
        <v>-2630.2053259156055</v>
      </c>
      <c r="T832">
        <f t="shared" si="1013"/>
        <v>-2.6302053259156053</v>
      </c>
    </row>
    <row r="833" spans="1:20" x14ac:dyDescent="0.25">
      <c r="A833" s="5">
        <v>43760</v>
      </c>
      <c r="B833">
        <v>3.27E-2</v>
      </c>
      <c r="C833">
        <v>3.2899999999999999E-2</v>
      </c>
      <c r="D833">
        <v>3.1099999999999999E-2</v>
      </c>
      <c r="E833">
        <v>3.116E-2</v>
      </c>
      <c r="F833">
        <v>3085876.77</v>
      </c>
      <c r="G833">
        <v>0</v>
      </c>
      <c r="L833" t="s">
        <v>7</v>
      </c>
      <c r="M833" t="s">
        <v>7</v>
      </c>
      <c r="N833" t="s">
        <v>7</v>
      </c>
      <c r="P833">
        <f t="shared" si="1009"/>
        <v>-0.93333333333333213</v>
      </c>
      <c r="Q833">
        <f t="shared" si="1010"/>
        <v>-2880151.6519999965</v>
      </c>
      <c r="R833">
        <f t="shared" si="1011"/>
        <v>-259826785.77823362</v>
      </c>
      <c r="S833">
        <f t="shared" si="1012"/>
        <v>-2598.2678577823363</v>
      </c>
      <c r="T833">
        <f t="shared" si="1013"/>
        <v>-2.5982678577823362</v>
      </c>
    </row>
    <row r="834" spans="1:20" x14ac:dyDescent="0.25">
      <c r="A834" s="5">
        <v>43759</v>
      </c>
      <c r="B834">
        <v>3.2199999999999999E-2</v>
      </c>
      <c r="C834">
        <v>3.3300000000000003E-2</v>
      </c>
      <c r="D834">
        <v>3.1800000000000002E-2</v>
      </c>
      <c r="E834">
        <v>3.2410000000000001E-2</v>
      </c>
      <c r="F834">
        <v>3803959.91</v>
      </c>
      <c r="G834">
        <v>0</v>
      </c>
      <c r="L834" t="s">
        <v>8</v>
      </c>
      <c r="M834" t="s">
        <v>7</v>
      </c>
      <c r="N834" t="s">
        <v>7</v>
      </c>
      <c r="P834">
        <f t="shared" si="1009"/>
        <v>-0.18666666666666815</v>
      </c>
      <c r="Q834">
        <f t="shared" si="1010"/>
        <v>-710072.51653333905</v>
      </c>
      <c r="R834">
        <f t="shared" si="1011"/>
        <v>-256946634.12623361</v>
      </c>
      <c r="S834">
        <f t="shared" si="1012"/>
        <v>-2569.4663412623363</v>
      </c>
      <c r="T834">
        <f t="shared" si="1013"/>
        <v>-2.5694663412623364</v>
      </c>
    </row>
    <row r="835" spans="1:20" x14ac:dyDescent="0.25">
      <c r="A835" s="5">
        <v>43758</v>
      </c>
      <c r="B835">
        <v>3.2099999999999997E-2</v>
      </c>
      <c r="C835">
        <v>3.3000000000000002E-2</v>
      </c>
      <c r="D835">
        <v>3.1300000000000001E-2</v>
      </c>
      <c r="E835">
        <v>3.2199999999999999E-2</v>
      </c>
      <c r="F835">
        <v>3468306.14</v>
      </c>
      <c r="G835">
        <v>0</v>
      </c>
      <c r="L835" t="s">
        <v>8</v>
      </c>
      <c r="M835" t="s">
        <v>7</v>
      </c>
      <c r="N835" t="s">
        <v>7</v>
      </c>
      <c r="P835">
        <f t="shared" si="1009"/>
        <v>5.8823529411762304E-2</v>
      </c>
      <c r="Q835">
        <f t="shared" si="1010"/>
        <v>204018.00823528579</v>
      </c>
      <c r="R835">
        <f t="shared" si="1011"/>
        <v>-256236561.60970026</v>
      </c>
      <c r="S835">
        <f t="shared" si="1012"/>
        <v>-2562.3656160970027</v>
      </c>
      <c r="T835">
        <f t="shared" si="1013"/>
        <v>-2.5623656160970025</v>
      </c>
    </row>
    <row r="836" spans="1:20" x14ac:dyDescent="0.25">
      <c r="A836" s="5">
        <v>43757</v>
      </c>
      <c r="B836">
        <v>3.1899999999999998E-2</v>
      </c>
      <c r="C836">
        <v>3.2500000000000001E-2</v>
      </c>
      <c r="D836">
        <v>3.1199999999999999E-2</v>
      </c>
      <c r="E836">
        <v>3.2000000000000001E-2</v>
      </c>
      <c r="F836">
        <v>3065762.95</v>
      </c>
      <c r="G836">
        <v>0</v>
      </c>
      <c r="L836" t="s">
        <v>7</v>
      </c>
      <c r="M836" t="s">
        <v>7</v>
      </c>
      <c r="N836" t="s">
        <v>7</v>
      </c>
      <c r="P836">
        <f t="shared" si="1009"/>
        <v>0.23076923076923159</v>
      </c>
      <c r="Q836">
        <f t="shared" si="1010"/>
        <v>707483.75769231026</v>
      </c>
      <c r="R836">
        <f t="shared" si="1011"/>
        <v>-256440579.61793554</v>
      </c>
      <c r="S836">
        <f t="shared" si="1012"/>
        <v>-2564.4057961793555</v>
      </c>
      <c r="T836">
        <f t="shared" si="1013"/>
        <v>-2.5644057961793556</v>
      </c>
    </row>
    <row r="837" spans="1:20" x14ac:dyDescent="0.25">
      <c r="A837" s="5">
        <v>43756</v>
      </c>
      <c r="B837">
        <v>3.3700000000000001E-2</v>
      </c>
      <c r="C837">
        <v>3.4099999999999998E-2</v>
      </c>
      <c r="D837">
        <v>3.0300000000000001E-2</v>
      </c>
      <c r="E837">
        <v>3.1899999999999998E-2</v>
      </c>
      <c r="F837">
        <v>4927775.32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-0.15789473684210623</v>
      </c>
      <c r="Q837">
        <f t="shared" si="1010"/>
        <v>-778069.78736842587</v>
      </c>
      <c r="R837">
        <f t="shared" si="1011"/>
        <v>-257148063.37562785</v>
      </c>
      <c r="S837">
        <f t="shared" si="1012"/>
        <v>-2571.4806337562786</v>
      </c>
      <c r="T837">
        <f t="shared" si="1013"/>
        <v>-2.5714806337562788</v>
      </c>
    </row>
    <row r="838" spans="1:20" x14ac:dyDescent="0.25">
      <c r="A838" s="5">
        <v>43755</v>
      </c>
      <c r="B838">
        <v>3.32E-2</v>
      </c>
      <c r="C838">
        <v>3.5000000000000003E-2</v>
      </c>
      <c r="D838">
        <v>3.2800000000000003E-2</v>
      </c>
      <c r="E838">
        <v>3.3799999999999997E-2</v>
      </c>
      <c r="F838">
        <v>3068005.81</v>
      </c>
      <c r="G838">
        <v>0</v>
      </c>
      <c r="L838" t="s">
        <v>8</v>
      </c>
      <c r="M838" t="s">
        <v>7</v>
      </c>
      <c r="N838" t="s">
        <v>7</v>
      </c>
      <c r="P838">
        <f t="shared" si="1009"/>
        <v>-9.0909090909096643E-2</v>
      </c>
      <c r="Q838">
        <f t="shared" si="1010"/>
        <v>-278909.61909092672</v>
      </c>
      <c r="R838">
        <f t="shared" si="1011"/>
        <v>-256369993.58825943</v>
      </c>
      <c r="S838">
        <f t="shared" si="1012"/>
        <v>-2563.6999358825942</v>
      </c>
      <c r="T838">
        <f t="shared" si="1013"/>
        <v>-2.5636999358825943</v>
      </c>
    </row>
    <row r="839" spans="1:20" x14ac:dyDescent="0.25">
      <c r="A839" s="5">
        <v>43754</v>
      </c>
      <c r="B839">
        <v>3.5799999999999998E-2</v>
      </c>
      <c r="C839">
        <v>3.6299999999999999E-2</v>
      </c>
      <c r="D839">
        <v>3.1600000000000003E-2</v>
      </c>
      <c r="E839">
        <v>3.3300000000000003E-2</v>
      </c>
      <c r="F839">
        <v>8021540.1100000003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-0.27659574468085035</v>
      </c>
      <c r="Q839">
        <f t="shared" si="1010"/>
        <v>-2218723.8602127605</v>
      </c>
      <c r="R839">
        <f t="shared" si="1011"/>
        <v>-256091083.96916851</v>
      </c>
      <c r="S839">
        <f t="shared" si="1012"/>
        <v>-2560.9108396916849</v>
      </c>
      <c r="T839">
        <f t="shared" si="1013"/>
        <v>-2.5609108396916849</v>
      </c>
    </row>
    <row r="840" spans="1:20" x14ac:dyDescent="0.25">
      <c r="A840" s="5">
        <v>43753</v>
      </c>
      <c r="B840">
        <v>3.6799999999999999E-2</v>
      </c>
      <c r="C840">
        <v>3.9E-2</v>
      </c>
      <c r="D840">
        <v>3.5299999999999998E-2</v>
      </c>
      <c r="E840">
        <v>3.5799999999999998E-2</v>
      </c>
      <c r="F840">
        <v>11662303.58</v>
      </c>
      <c r="G840">
        <v>0</v>
      </c>
      <c r="L840" t="s">
        <v>8</v>
      </c>
      <c r="M840" t="s">
        <v>7</v>
      </c>
      <c r="N840" t="s">
        <v>7</v>
      </c>
      <c r="P840">
        <f t="shared" si="1009"/>
        <v>-0.7297297297297296</v>
      </c>
      <c r="Q840">
        <f t="shared" si="1010"/>
        <v>-8510329.6394594572</v>
      </c>
      <c r="R840">
        <f t="shared" si="1011"/>
        <v>-253872360.10895574</v>
      </c>
      <c r="S840">
        <f t="shared" si="1012"/>
        <v>-2538.7236010895576</v>
      </c>
      <c r="T840">
        <f t="shared" si="1013"/>
        <v>-2.5387236010895577</v>
      </c>
    </row>
    <row r="841" spans="1:20" x14ac:dyDescent="0.25">
      <c r="A841" s="5">
        <v>43752</v>
      </c>
      <c r="B841">
        <v>3.5000000000000003E-2</v>
      </c>
      <c r="C841">
        <v>3.78E-2</v>
      </c>
      <c r="D841">
        <v>3.4500000000000003E-2</v>
      </c>
      <c r="E841">
        <v>3.6900000000000002E-2</v>
      </c>
      <c r="F841">
        <v>11303788.6</v>
      </c>
      <c r="G841">
        <v>0</v>
      </c>
      <c r="L841" t="s">
        <v>8</v>
      </c>
      <c r="M841" t="s">
        <v>7</v>
      </c>
      <c r="N841" t="s">
        <v>7</v>
      </c>
      <c r="P841">
        <f t="shared" si="1009"/>
        <v>0.45454545454545531</v>
      </c>
      <c r="Q841">
        <f t="shared" si="1010"/>
        <v>5138085.7272727359</v>
      </c>
      <c r="R841">
        <f t="shared" si="1011"/>
        <v>-245362030.46949628</v>
      </c>
      <c r="S841">
        <f t="shared" si="1012"/>
        <v>-2453.6203046949627</v>
      </c>
      <c r="T841">
        <f t="shared" si="1013"/>
        <v>-2.4536203046949625</v>
      </c>
    </row>
    <row r="842" spans="1:20" x14ac:dyDescent="0.25">
      <c r="A842" s="5">
        <v>43751</v>
      </c>
      <c r="B842">
        <v>3.6700000000000003E-2</v>
      </c>
      <c r="C842">
        <v>3.85E-2</v>
      </c>
      <c r="D842">
        <v>3.39E-2</v>
      </c>
      <c r="E842">
        <v>3.5000000000000003E-2</v>
      </c>
      <c r="F842">
        <v>8964522.6999999993</v>
      </c>
      <c r="G842">
        <v>0</v>
      </c>
      <c r="L842" t="s">
        <v>7</v>
      </c>
      <c r="M842" t="s">
        <v>7</v>
      </c>
      <c r="N842" t="s">
        <v>7</v>
      </c>
      <c r="P842">
        <f t="shared" si="1009"/>
        <v>-0.52173913043478093</v>
      </c>
      <c r="Q842">
        <f t="shared" si="1010"/>
        <v>-4677142.2782608541</v>
      </c>
      <c r="R842">
        <f t="shared" si="1011"/>
        <v>-250500116.19676903</v>
      </c>
      <c r="S842">
        <f t="shared" si="1012"/>
        <v>-2505.0011619676902</v>
      </c>
      <c r="T842">
        <f t="shared" si="1013"/>
        <v>-2.5050011619676904</v>
      </c>
    </row>
    <row r="843" spans="1:20" x14ac:dyDescent="0.25">
      <c r="A843" s="5">
        <v>43750</v>
      </c>
      <c r="B843">
        <v>3.6400000000000002E-2</v>
      </c>
      <c r="C843">
        <v>4.0800000000000003E-2</v>
      </c>
      <c r="D843">
        <v>3.5200000000000002E-2</v>
      </c>
      <c r="E843">
        <v>3.6600000000000001E-2</v>
      </c>
      <c r="F843">
        <v>20511929.550000001</v>
      </c>
      <c r="G843">
        <v>0</v>
      </c>
      <c r="L843" t="s">
        <v>8</v>
      </c>
      <c r="M843" t="s">
        <v>8</v>
      </c>
      <c r="N843" t="s">
        <v>7</v>
      </c>
      <c r="P843">
        <f t="shared" si="1009"/>
        <v>-0.50000000000000067</v>
      </c>
      <c r="Q843">
        <f t="shared" si="1010"/>
        <v>-10255964.775000013</v>
      </c>
      <c r="R843">
        <f t="shared" si="1011"/>
        <v>-245822973.91850817</v>
      </c>
      <c r="S843">
        <f t="shared" si="1012"/>
        <v>-2458.2297391850816</v>
      </c>
      <c r="T843">
        <f t="shared" si="1013"/>
        <v>-2.4582297391850818</v>
      </c>
    </row>
    <row r="844" spans="1:20" x14ac:dyDescent="0.25">
      <c r="A844" s="5">
        <v>43749</v>
      </c>
      <c r="B844">
        <v>3.4700000000000002E-2</v>
      </c>
      <c r="C844">
        <v>3.7100000000000001E-2</v>
      </c>
      <c r="D844">
        <v>3.2899999999999999E-2</v>
      </c>
      <c r="E844">
        <v>3.6400000000000002E-2</v>
      </c>
      <c r="F844">
        <v>17011786.289999999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0.66666666666666718</v>
      </c>
      <c r="Q844">
        <f t="shared" si="1010"/>
        <v>11341190.860000009</v>
      </c>
      <c r="R844">
        <f t="shared" si="1011"/>
        <v>-235567009.14350817</v>
      </c>
      <c r="S844">
        <f t="shared" si="1012"/>
        <v>-2355.6700914350818</v>
      </c>
      <c r="T844">
        <f t="shared" si="1013"/>
        <v>-2.3556700914350817</v>
      </c>
    </row>
    <row r="845" spans="1:20" x14ac:dyDescent="0.25">
      <c r="A845" s="5">
        <v>43748</v>
      </c>
      <c r="B845">
        <v>3.5200000000000002E-2</v>
      </c>
      <c r="C845">
        <v>3.7100000000000001E-2</v>
      </c>
      <c r="D845">
        <v>3.3399999999999999E-2</v>
      </c>
      <c r="E845">
        <v>3.4799999999999998E-2</v>
      </c>
      <c r="F845">
        <v>14688121.48</v>
      </c>
      <c r="G845">
        <v>0</v>
      </c>
      <c r="L845" t="s">
        <v>7</v>
      </c>
      <c r="M845" t="s">
        <v>8</v>
      </c>
      <c r="N845" t="s">
        <v>7</v>
      </c>
      <c r="P845">
        <f t="shared" si="1009"/>
        <v>-0.24324324324324445</v>
      </c>
      <c r="Q845">
        <f t="shared" si="1010"/>
        <v>-3572786.3059459636</v>
      </c>
      <c r="R845">
        <f t="shared" si="1011"/>
        <v>-246908200.00350818</v>
      </c>
      <c r="S845">
        <f t="shared" si="1012"/>
        <v>-2469.0820000350818</v>
      </c>
      <c r="T845">
        <f t="shared" si="1013"/>
        <v>-2.4690820000350819</v>
      </c>
    </row>
    <row r="846" spans="1:20" x14ac:dyDescent="0.25">
      <c r="A846" s="5">
        <v>43747</v>
      </c>
      <c r="B846">
        <v>3.4000000000000002E-2</v>
      </c>
      <c r="C846">
        <v>3.8300000000000001E-2</v>
      </c>
      <c r="D846">
        <v>3.2000000000000001E-2</v>
      </c>
      <c r="E846">
        <v>3.5299999999999998E-2</v>
      </c>
      <c r="F846">
        <v>24124368.739999998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4.7619047619046777E-2</v>
      </c>
      <c r="Q846">
        <f t="shared" si="1010"/>
        <v>1148779.4638095035</v>
      </c>
      <c r="R846">
        <f t="shared" si="1011"/>
        <v>-243335413.69756222</v>
      </c>
      <c r="S846">
        <f t="shared" si="1012"/>
        <v>-2433.3541369756222</v>
      </c>
      <c r="T846">
        <f t="shared" si="1013"/>
        <v>-2.433354136975622</v>
      </c>
    </row>
    <row r="847" spans="1:20" x14ac:dyDescent="0.25">
      <c r="A847" s="5">
        <v>43746</v>
      </c>
      <c r="B847">
        <v>3.3799999999999997E-2</v>
      </c>
      <c r="C847">
        <v>3.56E-2</v>
      </c>
      <c r="D847">
        <v>3.2199999999999999E-2</v>
      </c>
      <c r="E847">
        <v>3.39E-2</v>
      </c>
      <c r="F847">
        <v>8782265.9299999997</v>
      </c>
      <c r="G847">
        <v>0</v>
      </c>
      <c r="L847" t="s">
        <v>8</v>
      </c>
      <c r="M847" t="s">
        <v>7</v>
      </c>
      <c r="N847" t="s">
        <v>7</v>
      </c>
      <c r="P847">
        <f t="shared" si="1009"/>
        <v>0</v>
      </c>
      <c r="Q847">
        <f t="shared" si="1010"/>
        <v>0</v>
      </c>
      <c r="R847">
        <f t="shared" si="1011"/>
        <v>-244484193.16137171</v>
      </c>
      <c r="S847">
        <f t="shared" si="1012"/>
        <v>-2444.841931613717</v>
      </c>
      <c r="T847">
        <f t="shared" si="1013"/>
        <v>-2.4448419316137171</v>
      </c>
    </row>
    <row r="848" spans="1:20" x14ac:dyDescent="0.25">
      <c r="A848" s="5">
        <v>43745</v>
      </c>
      <c r="B848">
        <v>3.15E-2</v>
      </c>
      <c r="C848">
        <v>3.4500000000000003E-2</v>
      </c>
      <c r="D848">
        <v>3.1199999999999999E-2</v>
      </c>
      <c r="E848">
        <v>3.3799999999999997E-2</v>
      </c>
      <c r="F848">
        <v>7422609.6399999997</v>
      </c>
      <c r="G848">
        <v>0</v>
      </c>
      <c r="L848" t="s">
        <v>8</v>
      </c>
      <c r="M848" t="s">
        <v>7</v>
      </c>
      <c r="N848" t="s">
        <v>7</v>
      </c>
      <c r="P848">
        <f t="shared" si="1009"/>
        <v>0.57575757575757258</v>
      </c>
      <c r="Q848">
        <f t="shared" si="1010"/>
        <v>4273623.7321211882</v>
      </c>
      <c r="R848">
        <f t="shared" si="1011"/>
        <v>-244484193.16137171</v>
      </c>
      <c r="S848">
        <f t="shared" si="1012"/>
        <v>-2444.841931613717</v>
      </c>
      <c r="T848">
        <f t="shared" si="1013"/>
        <v>-2.4448419316137171</v>
      </c>
    </row>
    <row r="849" spans="1:20" x14ac:dyDescent="0.25">
      <c r="A849" s="5">
        <v>43744</v>
      </c>
      <c r="B849">
        <v>3.3000000000000002E-2</v>
      </c>
      <c r="C849">
        <v>3.32E-2</v>
      </c>
      <c r="D849">
        <v>3.1199999999999999E-2</v>
      </c>
      <c r="E849">
        <v>3.1699999999999999E-2</v>
      </c>
      <c r="F849">
        <v>4905739.97</v>
      </c>
      <c r="G849">
        <v>0</v>
      </c>
      <c r="L849" t="s">
        <v>7</v>
      </c>
      <c r="M849" t="s">
        <v>7</v>
      </c>
      <c r="N849" t="s">
        <v>7</v>
      </c>
      <c r="P849">
        <f t="shared" si="1009"/>
        <v>-0.5</v>
      </c>
      <c r="Q849">
        <f t="shared" si="1010"/>
        <v>-2452869.9849999999</v>
      </c>
      <c r="R849">
        <f t="shared" si="1011"/>
        <v>-248757816.89349291</v>
      </c>
      <c r="S849">
        <f t="shared" si="1012"/>
        <v>-2487.5781689349292</v>
      </c>
      <c r="T849">
        <f t="shared" si="1013"/>
        <v>-2.4875781689349292</v>
      </c>
    </row>
    <row r="850" spans="1:20" x14ac:dyDescent="0.25">
      <c r="A850" s="5">
        <v>43743</v>
      </c>
      <c r="B850">
        <v>3.32E-2</v>
      </c>
      <c r="C850">
        <v>3.3700000000000001E-2</v>
      </c>
      <c r="D850">
        <v>3.1600000000000003E-2</v>
      </c>
      <c r="E850">
        <v>3.3000000000000002E-2</v>
      </c>
      <c r="F850">
        <v>5766512.2000000002</v>
      </c>
      <c r="G850">
        <v>0</v>
      </c>
      <c r="L850" t="s">
        <v>7</v>
      </c>
      <c r="M850" t="s">
        <v>8</v>
      </c>
      <c r="N850" t="s">
        <v>7</v>
      </c>
      <c r="P850">
        <f t="shared" si="1009"/>
        <v>0.33333333333333331</v>
      </c>
      <c r="Q850">
        <f t="shared" si="1010"/>
        <v>1922170.7333333334</v>
      </c>
      <c r="R850">
        <f t="shared" si="1011"/>
        <v>-246304946.90849289</v>
      </c>
      <c r="S850">
        <f t="shared" si="1012"/>
        <v>-2463.0494690849291</v>
      </c>
      <c r="T850">
        <f t="shared" si="1013"/>
        <v>-2.4630494690849289</v>
      </c>
    </row>
    <row r="851" spans="1:20" x14ac:dyDescent="0.25">
      <c r="A851" s="5">
        <v>43742</v>
      </c>
      <c r="B851">
        <v>3.3300000000000003E-2</v>
      </c>
      <c r="C851">
        <v>3.4099999999999998E-2</v>
      </c>
      <c r="D851">
        <v>3.2199999999999999E-2</v>
      </c>
      <c r="E851">
        <v>3.32E-2</v>
      </c>
      <c r="F851">
        <v>5781589.9100000001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5.2631578947369959E-2</v>
      </c>
      <c r="Q851">
        <f t="shared" si="1010"/>
        <v>304294.20578948257</v>
      </c>
      <c r="R851">
        <f t="shared" si="1011"/>
        <v>-248227117.64182621</v>
      </c>
      <c r="S851">
        <f t="shared" si="1012"/>
        <v>-2482.2711764182623</v>
      </c>
      <c r="T851">
        <f t="shared" si="1013"/>
        <v>-2.4822711764182621</v>
      </c>
    </row>
    <row r="852" spans="1:20" x14ac:dyDescent="0.25">
      <c r="A852" s="5">
        <v>43741</v>
      </c>
      <c r="B852">
        <v>3.49E-2</v>
      </c>
      <c r="C852">
        <v>3.5799999999999998E-2</v>
      </c>
      <c r="D852">
        <v>3.1800000000000002E-2</v>
      </c>
      <c r="E852">
        <v>3.3399999999999999E-2</v>
      </c>
      <c r="F852">
        <v>10077903.1</v>
      </c>
      <c r="G852">
        <v>0</v>
      </c>
      <c r="L852" t="s">
        <v>7</v>
      </c>
      <c r="M852" t="s">
        <v>8</v>
      </c>
      <c r="N852" t="s">
        <v>7</v>
      </c>
      <c r="P852">
        <f t="shared" si="1009"/>
        <v>-0.2000000000000007</v>
      </c>
      <c r="Q852">
        <f t="shared" si="1010"/>
        <v>-2015580.6200000071</v>
      </c>
      <c r="R852">
        <f t="shared" si="1011"/>
        <v>-248531411.84761569</v>
      </c>
      <c r="S852">
        <f t="shared" si="1012"/>
        <v>-2485.3141184761571</v>
      </c>
      <c r="T852">
        <f t="shared" si="1013"/>
        <v>-2.4853141184761571</v>
      </c>
    </row>
    <row r="853" spans="1:20" x14ac:dyDescent="0.25">
      <c r="A853" s="5">
        <v>43740</v>
      </c>
      <c r="B853">
        <v>3.5499999999999997E-2</v>
      </c>
      <c r="C853">
        <v>3.5700000000000003E-2</v>
      </c>
      <c r="D853">
        <v>3.3500000000000002E-2</v>
      </c>
      <c r="E853">
        <v>3.4799999999999998E-2</v>
      </c>
      <c r="F853">
        <v>7247492.9900000002</v>
      </c>
      <c r="G853">
        <v>0</v>
      </c>
      <c r="L853" t="s">
        <v>7</v>
      </c>
      <c r="M853" t="s">
        <v>8</v>
      </c>
      <c r="N853" t="s">
        <v>7</v>
      </c>
      <c r="P853">
        <f t="shared" si="1009"/>
        <v>0.18181818181817752</v>
      </c>
      <c r="Q853">
        <f t="shared" si="1010"/>
        <v>1317725.9981817871</v>
      </c>
      <c r="R853">
        <f t="shared" si="1011"/>
        <v>-246515831.22761568</v>
      </c>
      <c r="S853">
        <f t="shared" si="1012"/>
        <v>-2465.1583122761567</v>
      </c>
      <c r="T853">
        <f t="shared" si="1013"/>
        <v>-2.4651583122761567</v>
      </c>
    </row>
    <row r="854" spans="1:20" x14ac:dyDescent="0.25">
      <c r="A854" s="5">
        <v>43739</v>
      </c>
      <c r="B854">
        <v>3.27E-2</v>
      </c>
      <c r="C854">
        <v>3.7400000000000003E-2</v>
      </c>
      <c r="D854">
        <v>3.2099999999999997E-2</v>
      </c>
      <c r="E854">
        <v>3.5499999999999997E-2</v>
      </c>
      <c r="F854">
        <v>13221959.619999999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0.28301886792452691</v>
      </c>
      <c r="Q854">
        <f t="shared" si="1010"/>
        <v>3742064.043396208</v>
      </c>
      <c r="R854">
        <f t="shared" si="1011"/>
        <v>-247833557.22579747</v>
      </c>
      <c r="S854">
        <f t="shared" si="1012"/>
        <v>-2478.3355722579749</v>
      </c>
      <c r="T854">
        <f t="shared" si="1013"/>
        <v>-2.4783355722579747</v>
      </c>
    </row>
    <row r="855" spans="1:20" x14ac:dyDescent="0.25">
      <c r="A855" s="5">
        <v>43738</v>
      </c>
      <c r="B855">
        <v>3.2399999999999998E-2</v>
      </c>
      <c r="C855">
        <v>3.32E-2</v>
      </c>
      <c r="D855">
        <v>3.0300000000000001E-2</v>
      </c>
      <c r="E855">
        <v>3.2800000000000003E-2</v>
      </c>
      <c r="F855">
        <v>7066597.5800000001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0.72413793103448443</v>
      </c>
      <c r="Q855">
        <f t="shared" si="1010"/>
        <v>5117191.351034495</v>
      </c>
      <c r="R855">
        <f t="shared" si="1011"/>
        <v>-251575621.26919368</v>
      </c>
      <c r="S855">
        <f t="shared" si="1012"/>
        <v>-2515.756212691937</v>
      </c>
      <c r="T855">
        <f t="shared" si="1013"/>
        <v>-2.5157562126919371</v>
      </c>
    </row>
    <row r="856" spans="1:20" x14ac:dyDescent="0.25">
      <c r="A856" s="5">
        <v>43737</v>
      </c>
      <c r="B856">
        <v>3.3799999999999997E-2</v>
      </c>
      <c r="C856">
        <v>3.4000000000000002E-2</v>
      </c>
      <c r="D856">
        <v>3.0700000000000002E-2</v>
      </c>
      <c r="E856">
        <v>3.2399999999999998E-2</v>
      </c>
      <c r="F856">
        <v>6084420.0199999996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3.0303030303028011E-2</v>
      </c>
      <c r="Q856">
        <f t="shared" si="1010"/>
        <v>184376.36424241029</v>
      </c>
      <c r="R856">
        <f t="shared" si="1011"/>
        <v>-256692812.62022817</v>
      </c>
      <c r="S856">
        <f t="shared" si="1012"/>
        <v>-2566.9281262022819</v>
      </c>
      <c r="T856">
        <f t="shared" si="1013"/>
        <v>-2.5669281262022818</v>
      </c>
    </row>
    <row r="857" spans="1:20" x14ac:dyDescent="0.25">
      <c r="A857" s="5">
        <v>43736</v>
      </c>
      <c r="B857">
        <v>3.44E-2</v>
      </c>
      <c r="C857">
        <v>3.4799999999999998E-2</v>
      </c>
      <c r="D857">
        <v>3.2599999999999997E-2</v>
      </c>
      <c r="E857">
        <v>3.4099999999999998E-2</v>
      </c>
      <c r="F857">
        <v>5139554.5199999996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0.36363636363636448</v>
      </c>
      <c r="Q857">
        <f t="shared" si="1010"/>
        <v>1868928.9163636405</v>
      </c>
      <c r="R857">
        <f t="shared" si="1011"/>
        <v>-256877188.98447058</v>
      </c>
      <c r="S857">
        <f t="shared" si="1012"/>
        <v>-2568.7718898447056</v>
      </c>
      <c r="T857">
        <f t="shared" si="1013"/>
        <v>-2.5687718898447054</v>
      </c>
    </row>
    <row r="858" spans="1:20" x14ac:dyDescent="0.25">
      <c r="A858" s="5">
        <v>43735</v>
      </c>
      <c r="B858">
        <v>3.2800000000000003E-2</v>
      </c>
      <c r="C858">
        <v>3.4799999999999998E-2</v>
      </c>
      <c r="D858">
        <v>3.15E-2</v>
      </c>
      <c r="E858">
        <v>3.44E-2</v>
      </c>
      <c r="F858">
        <v>9686726.3800000008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0.7575757575757589</v>
      </c>
      <c r="Q858">
        <f t="shared" si="1010"/>
        <v>7338429.0757575892</v>
      </c>
      <c r="R858">
        <f t="shared" si="1011"/>
        <v>-258746117.9008342</v>
      </c>
      <c r="S858">
        <f t="shared" si="1012"/>
        <v>-2587.4611790083422</v>
      </c>
      <c r="T858">
        <f t="shared" si="1013"/>
        <v>-2.5874611790083422</v>
      </c>
    </row>
    <row r="859" spans="1:20" x14ac:dyDescent="0.25">
      <c r="A859" s="5">
        <v>43734</v>
      </c>
      <c r="B859">
        <v>3.5999999999999997E-2</v>
      </c>
      <c r="C859">
        <v>3.8300000000000001E-2</v>
      </c>
      <c r="D859">
        <v>3.1E-2</v>
      </c>
      <c r="E859">
        <v>3.2800000000000003E-2</v>
      </c>
      <c r="F859">
        <v>11547062.630000001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-0.5068493150684924</v>
      </c>
      <c r="Q859">
        <f t="shared" si="1010"/>
        <v>-5852620.785068485</v>
      </c>
      <c r="R859">
        <f t="shared" si="1011"/>
        <v>-266084546.9765918</v>
      </c>
      <c r="S859">
        <f t="shared" si="1012"/>
        <v>-2660.8454697659181</v>
      </c>
      <c r="T859">
        <f t="shared" si="1013"/>
        <v>-2.6608454697659183</v>
      </c>
    </row>
    <row r="860" spans="1:20" x14ac:dyDescent="0.25">
      <c r="A860" s="5">
        <v>43733</v>
      </c>
      <c r="B860">
        <v>3.5700000000000003E-2</v>
      </c>
      <c r="C860">
        <v>3.8800000000000001E-2</v>
      </c>
      <c r="D860">
        <v>3.32E-2</v>
      </c>
      <c r="E860">
        <v>3.6200000000000003E-2</v>
      </c>
      <c r="F860">
        <v>7201420.7199999997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7.142857142857223E-2</v>
      </c>
      <c r="Q860">
        <f t="shared" si="1010"/>
        <v>514387.19428572006</v>
      </c>
      <c r="R860">
        <f t="shared" si="1011"/>
        <v>-260231926.19152331</v>
      </c>
      <c r="S860">
        <f t="shared" si="1012"/>
        <v>-2602.3192619152333</v>
      </c>
      <c r="T860">
        <f t="shared" si="1013"/>
        <v>-2.6023192619152331</v>
      </c>
    </row>
    <row r="861" spans="1:20" x14ac:dyDescent="0.25">
      <c r="A861" s="5">
        <v>43732</v>
      </c>
      <c r="B861">
        <v>4.7199999999999999E-2</v>
      </c>
      <c r="C861">
        <v>4.8399999999999999E-2</v>
      </c>
      <c r="D861">
        <v>3.2399999999999998E-2</v>
      </c>
      <c r="E861">
        <v>3.56E-2</v>
      </c>
      <c r="F861">
        <v>14196553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-0.59999999999999987</v>
      </c>
      <c r="Q861">
        <f t="shared" si="1010"/>
        <v>-8517931.7999999989</v>
      </c>
      <c r="R861">
        <f t="shared" si="1011"/>
        <v>-260746313.38580903</v>
      </c>
      <c r="S861">
        <f t="shared" si="1012"/>
        <v>-2607.4631338580903</v>
      </c>
      <c r="T861">
        <f t="shared" si="1013"/>
        <v>-2.6074631338580905</v>
      </c>
    </row>
    <row r="862" spans="1:20" x14ac:dyDescent="0.25">
      <c r="A862" s="5">
        <v>43731</v>
      </c>
      <c r="B862">
        <v>5.2200000000000003E-2</v>
      </c>
      <c r="C862">
        <v>5.2699999999999997E-2</v>
      </c>
      <c r="D862">
        <v>4.5600000000000002E-2</v>
      </c>
      <c r="E862">
        <v>4.7300000000000002E-2</v>
      </c>
      <c r="F862">
        <v>10226521.09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-0.52112676056337992</v>
      </c>
      <c r="Q862">
        <f t="shared" si="1010"/>
        <v>-5329313.8074647849</v>
      </c>
      <c r="R862">
        <f t="shared" si="1011"/>
        <v>-252228381.58580902</v>
      </c>
      <c r="S862">
        <f t="shared" si="1012"/>
        <v>-2522.2838158580903</v>
      </c>
      <c r="T862">
        <f t="shared" si="1013"/>
        <v>-2.5222838158580903</v>
      </c>
    </row>
    <row r="863" spans="1:20" x14ac:dyDescent="0.25">
      <c r="A863" s="5">
        <v>43730</v>
      </c>
      <c r="B863">
        <v>5.8500000000000003E-2</v>
      </c>
      <c r="C863">
        <v>5.8900000000000001E-2</v>
      </c>
      <c r="D863">
        <v>5.11E-2</v>
      </c>
      <c r="E863">
        <v>5.2299999999999999E-2</v>
      </c>
      <c r="F863">
        <v>11610178.689999999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-0.6923076923076924</v>
      </c>
      <c r="Q863">
        <f t="shared" si="1010"/>
        <v>-8037816.0161538469</v>
      </c>
      <c r="R863">
        <f t="shared" si="1011"/>
        <v>-246899067.77834424</v>
      </c>
      <c r="S863">
        <f t="shared" si="1012"/>
        <v>-2468.9906777834426</v>
      </c>
      <c r="T863">
        <f t="shared" si="1013"/>
        <v>-2.4689906777834425</v>
      </c>
    </row>
    <row r="864" spans="1:20" x14ac:dyDescent="0.25">
      <c r="A864" s="5">
        <v>43729</v>
      </c>
      <c r="B864">
        <v>5.6000000000000001E-2</v>
      </c>
      <c r="C864">
        <v>6.1800000000000001E-2</v>
      </c>
      <c r="D864">
        <v>5.5899999999999998E-2</v>
      </c>
      <c r="E864">
        <v>5.8500000000000003E-2</v>
      </c>
      <c r="F864">
        <v>17100074.920000002</v>
      </c>
      <c r="G864">
        <v>0</v>
      </c>
      <c r="L864" t="s">
        <v>7</v>
      </c>
      <c r="M864" t="s">
        <v>7</v>
      </c>
      <c r="N864" t="s">
        <v>7</v>
      </c>
      <c r="P864">
        <f t="shared" si="1009"/>
        <v>-0.11864406779660881</v>
      </c>
      <c r="Q864">
        <f t="shared" si="1010"/>
        <v>-2028822.4481355702</v>
      </c>
      <c r="R864">
        <f t="shared" si="1011"/>
        <v>-238861251.7621904</v>
      </c>
      <c r="S864">
        <f t="shared" si="1012"/>
        <v>-2388.6125176219039</v>
      </c>
      <c r="T864">
        <f t="shared" si="1013"/>
        <v>-2.3886125176219037</v>
      </c>
    </row>
    <row r="865" spans="1:20" x14ac:dyDescent="0.25">
      <c r="A865" s="5">
        <v>43728</v>
      </c>
      <c r="B865">
        <v>5.5599999999999997E-2</v>
      </c>
      <c r="C865">
        <v>6.9400000000000003E-2</v>
      </c>
      <c r="D865">
        <v>5.3400000000000003E-2</v>
      </c>
      <c r="E865">
        <v>5.6000000000000001E-2</v>
      </c>
      <c r="F865">
        <v>36552172.189999998</v>
      </c>
      <c r="G865">
        <v>0</v>
      </c>
      <c r="L865" t="s">
        <v>8</v>
      </c>
      <c r="M865" t="s">
        <v>8</v>
      </c>
      <c r="N865" t="s">
        <v>7</v>
      </c>
      <c r="P865">
        <f t="shared" si="1009"/>
        <v>-0.67500000000000027</v>
      </c>
      <c r="Q865">
        <f t="shared" si="1010"/>
        <v>-24672716.228250008</v>
      </c>
      <c r="R865">
        <f t="shared" si="1011"/>
        <v>-236832429.31405482</v>
      </c>
      <c r="S865">
        <f t="shared" si="1012"/>
        <v>-2368.324293140548</v>
      </c>
      <c r="T865">
        <f t="shared" si="1013"/>
        <v>-2.3683242931405482</v>
      </c>
    </row>
    <row r="866" spans="1:20" x14ac:dyDescent="0.25">
      <c r="A866" s="5">
        <v>43727</v>
      </c>
      <c r="B866">
        <v>6.0400000000000002E-2</v>
      </c>
      <c r="C866">
        <v>6.0600000000000001E-2</v>
      </c>
      <c r="D866">
        <v>5.2499999999999998E-2</v>
      </c>
      <c r="E866">
        <v>5.57E-2</v>
      </c>
      <c r="F866">
        <v>11906945.119999999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-0.20987654320987648</v>
      </c>
      <c r="Q866">
        <f t="shared" si="1010"/>
        <v>-2498988.4819753077</v>
      </c>
      <c r="R866">
        <f t="shared" si="1011"/>
        <v>-212159713.08580482</v>
      </c>
      <c r="S866">
        <f t="shared" si="1012"/>
        <v>-2121.5971308580483</v>
      </c>
      <c r="T866">
        <f t="shared" si="1013"/>
        <v>-2.1215971308580484</v>
      </c>
    </row>
    <row r="867" spans="1:20" x14ac:dyDescent="0.25">
      <c r="A867" s="5">
        <v>43726</v>
      </c>
      <c r="B867">
        <v>5.74E-2</v>
      </c>
      <c r="C867">
        <v>6.2300000000000001E-2</v>
      </c>
      <c r="D867">
        <v>5.6300000000000003E-2</v>
      </c>
      <c r="E867">
        <v>6.0299999999999999E-2</v>
      </c>
      <c r="F867">
        <v>20903866.16</v>
      </c>
      <c r="G867">
        <v>0</v>
      </c>
      <c r="L867" t="s">
        <v>8</v>
      </c>
      <c r="M867" t="s">
        <v>7</v>
      </c>
      <c r="N867" t="s">
        <v>7</v>
      </c>
      <c r="P867">
        <f t="shared" si="1009"/>
        <v>0.33333333333333254</v>
      </c>
      <c r="Q867">
        <f t="shared" si="1010"/>
        <v>6967955.38666665</v>
      </c>
      <c r="R867">
        <f t="shared" si="1011"/>
        <v>-209660724.6038295</v>
      </c>
      <c r="S867">
        <f t="shared" si="1012"/>
        <v>-2096.6072460382952</v>
      </c>
      <c r="T867">
        <f t="shared" si="1013"/>
        <v>-2.0966072460382952</v>
      </c>
    </row>
    <row r="868" spans="1:20" x14ac:dyDescent="0.25">
      <c r="A868" s="5">
        <v>43725</v>
      </c>
      <c r="B868">
        <v>5.79E-2</v>
      </c>
      <c r="C868">
        <v>5.8900000000000001E-2</v>
      </c>
      <c r="D868">
        <v>5.67E-2</v>
      </c>
      <c r="E868">
        <v>5.7299999999999997E-2</v>
      </c>
      <c r="F868">
        <v>11262313.48</v>
      </c>
      <c r="G868">
        <v>0</v>
      </c>
      <c r="L868" t="s">
        <v>7</v>
      </c>
      <c r="M868" t="s">
        <v>7</v>
      </c>
      <c r="N868" t="s">
        <v>7</v>
      </c>
      <c r="P868">
        <f t="shared" si="1009"/>
        <v>-0.45454545454545797</v>
      </c>
      <c r="Q868">
        <f t="shared" si="1010"/>
        <v>-5119233.4000000386</v>
      </c>
      <c r="R868">
        <f t="shared" si="1011"/>
        <v>-216628679.99049616</v>
      </c>
      <c r="S868">
        <f t="shared" si="1012"/>
        <v>-2166.2867999049618</v>
      </c>
      <c r="T868">
        <f t="shared" si="1013"/>
        <v>-2.1662867999049618</v>
      </c>
    </row>
    <row r="869" spans="1:20" x14ac:dyDescent="0.25">
      <c r="A869" s="5">
        <v>43724</v>
      </c>
      <c r="B869">
        <v>6.3E-2</v>
      </c>
      <c r="C869">
        <v>6.3600000000000004E-2</v>
      </c>
      <c r="D869">
        <v>5.57E-2</v>
      </c>
      <c r="E869">
        <v>5.7700000000000001E-2</v>
      </c>
      <c r="F869">
        <v>12960539.01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-0.49367088607594917</v>
      </c>
      <c r="Q869">
        <f t="shared" si="1010"/>
        <v>-6398240.7770886049</v>
      </c>
      <c r="R869">
        <f t="shared" si="1011"/>
        <v>-211509446.59049612</v>
      </c>
      <c r="S869">
        <f t="shared" si="1012"/>
        <v>-2115.0944659049615</v>
      </c>
      <c r="T869">
        <f t="shared" si="1013"/>
        <v>-2.1150944659049613</v>
      </c>
    </row>
    <row r="870" spans="1:20" x14ac:dyDescent="0.25">
      <c r="A870" s="5">
        <v>43723</v>
      </c>
      <c r="B870">
        <v>6.1499999999999999E-2</v>
      </c>
      <c r="C870">
        <v>6.4199999999999993E-2</v>
      </c>
      <c r="D870">
        <v>0.06</v>
      </c>
      <c r="E870">
        <v>6.3E-2</v>
      </c>
      <c r="F870">
        <v>6695467.0899999999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0.42857142857143138</v>
      </c>
      <c r="Q870">
        <f t="shared" si="1010"/>
        <v>2869485.8957143044</v>
      </c>
      <c r="R870">
        <f t="shared" si="1011"/>
        <v>-205111205.81340751</v>
      </c>
      <c r="S870">
        <f t="shared" si="1012"/>
        <v>-2051.1120581340751</v>
      </c>
      <c r="T870">
        <f t="shared" si="1013"/>
        <v>-2.0511120581340752</v>
      </c>
    </row>
    <row r="871" spans="1:20" x14ac:dyDescent="0.25">
      <c r="A871" s="5">
        <v>43722</v>
      </c>
      <c r="B871">
        <v>6.4399999999999999E-2</v>
      </c>
      <c r="C871">
        <v>6.4600000000000005E-2</v>
      </c>
      <c r="D871">
        <v>6.0100000000000001E-2</v>
      </c>
      <c r="E871">
        <v>6.1199999999999997E-2</v>
      </c>
      <c r="F871">
        <v>7690002.0499999998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-0.51111111111111296</v>
      </c>
      <c r="Q871">
        <f t="shared" si="1010"/>
        <v>-3930445.4922222365</v>
      </c>
      <c r="R871">
        <f t="shared" si="1011"/>
        <v>-207980691.70912182</v>
      </c>
      <c r="S871">
        <f t="shared" si="1012"/>
        <v>-2079.8069170912181</v>
      </c>
      <c r="T871">
        <f t="shared" si="1013"/>
        <v>-2.0798069170912181</v>
      </c>
    </row>
    <row r="872" spans="1:20" x14ac:dyDescent="0.25">
      <c r="A872" s="5">
        <v>43721</v>
      </c>
      <c r="B872">
        <v>6.6400000000000001E-2</v>
      </c>
      <c r="C872">
        <v>6.8199999999999997E-2</v>
      </c>
      <c r="D872">
        <v>6.25E-2</v>
      </c>
      <c r="E872">
        <v>6.4399999999999999E-2</v>
      </c>
      <c r="F872">
        <v>5854823.8300000001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-0.33333333333333331</v>
      </c>
      <c r="Q872">
        <f t="shared" si="1010"/>
        <v>-1951607.9433333334</v>
      </c>
      <c r="R872">
        <f t="shared" si="1011"/>
        <v>-204050246.21689957</v>
      </c>
      <c r="S872">
        <f t="shared" si="1012"/>
        <v>-2040.5024621689956</v>
      </c>
      <c r="T872">
        <f t="shared" si="1013"/>
        <v>-2.0405024621689956</v>
      </c>
    </row>
    <row r="873" spans="1:20" x14ac:dyDescent="0.25">
      <c r="A873" s="5">
        <v>43720</v>
      </c>
      <c r="B873">
        <v>6.8099999999999994E-2</v>
      </c>
      <c r="C873">
        <v>7.1300000000000002E-2</v>
      </c>
      <c r="D873">
        <v>6.4600000000000005E-2</v>
      </c>
      <c r="E873">
        <v>6.6400000000000001E-2</v>
      </c>
      <c r="F873">
        <v>11636938.98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-0.46268656716418011</v>
      </c>
      <c r="Q873">
        <f t="shared" si="1010"/>
        <v>-5384255.3489552354</v>
      </c>
      <c r="R873">
        <f t="shared" si="1011"/>
        <v>-202098638.27356625</v>
      </c>
      <c r="S873">
        <f t="shared" si="1012"/>
        <v>-2020.9863827356626</v>
      </c>
      <c r="T873">
        <f t="shared" si="1013"/>
        <v>-2.0209863827356624</v>
      </c>
    </row>
    <row r="874" spans="1:20" x14ac:dyDescent="0.25">
      <c r="A874" s="5">
        <v>43719</v>
      </c>
      <c r="B874">
        <v>7.8399999999999997E-2</v>
      </c>
      <c r="C874">
        <v>7.9899999999999999E-2</v>
      </c>
      <c r="D874">
        <v>6.6600000000000006E-2</v>
      </c>
      <c r="E874">
        <v>6.7599999999999993E-2</v>
      </c>
      <c r="F874">
        <v>13291573.029999999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-0.84962406015037784</v>
      </c>
      <c r="Q874">
        <f t="shared" si="1010"/>
        <v>-11292840.243533859</v>
      </c>
      <c r="R874">
        <f t="shared" si="1011"/>
        <v>-196714382.924611</v>
      </c>
      <c r="S874">
        <f t="shared" si="1012"/>
        <v>-1967.14382924611</v>
      </c>
      <c r="T874">
        <f t="shared" si="1013"/>
        <v>-1.9671438292461101</v>
      </c>
    </row>
    <row r="875" spans="1:20" x14ac:dyDescent="0.25">
      <c r="A875" s="5">
        <v>43718</v>
      </c>
      <c r="B875">
        <v>7.9600000000000004E-2</v>
      </c>
      <c r="C875">
        <v>8.3199999999999996E-2</v>
      </c>
      <c r="D875">
        <v>7.7700000000000005E-2</v>
      </c>
      <c r="E875">
        <v>7.8600000000000003E-2</v>
      </c>
      <c r="F875">
        <v>7889314.5700000003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-0.67272727272727295</v>
      </c>
      <c r="Q875">
        <f t="shared" si="1010"/>
        <v>-5307357.0743636386</v>
      </c>
      <c r="R875">
        <f t="shared" si="1011"/>
        <v>-185421542.68107715</v>
      </c>
      <c r="S875">
        <f t="shared" si="1012"/>
        <v>-1854.2154268107715</v>
      </c>
      <c r="T875">
        <f t="shared" si="1013"/>
        <v>-1.8542154268107716</v>
      </c>
    </row>
    <row r="876" spans="1:20" x14ac:dyDescent="0.25">
      <c r="A876" s="5">
        <v>43717</v>
      </c>
      <c r="B876">
        <v>8.1199999999999994E-2</v>
      </c>
      <c r="C876">
        <v>8.2299999999999998E-2</v>
      </c>
      <c r="D876">
        <v>7.7499999999999999E-2</v>
      </c>
      <c r="E876">
        <v>7.9600000000000004E-2</v>
      </c>
      <c r="F876">
        <v>6664965.4100000001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-0.12499999999999784</v>
      </c>
      <c r="Q876">
        <f t="shared" si="1010"/>
        <v>-833120.67624998558</v>
      </c>
      <c r="R876">
        <f t="shared" si="1011"/>
        <v>-180114185.6067135</v>
      </c>
      <c r="S876">
        <f t="shared" si="1012"/>
        <v>-1801.141856067135</v>
      </c>
      <c r="T876">
        <f t="shared" si="1013"/>
        <v>-1.8011418560671351</v>
      </c>
    </row>
    <row r="877" spans="1:20" x14ac:dyDescent="0.25">
      <c r="A877" s="5">
        <v>43716</v>
      </c>
      <c r="B877">
        <v>8.1100000000000005E-2</v>
      </c>
      <c r="C877">
        <v>8.5199999999999998E-2</v>
      </c>
      <c r="D877">
        <v>7.9600000000000004E-2</v>
      </c>
      <c r="E877">
        <v>8.1199999999999994E-2</v>
      </c>
      <c r="F877">
        <v>8511596.9600000009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-0.42857142857143138</v>
      </c>
      <c r="Q877">
        <f t="shared" si="1010"/>
        <v>-3647827.2685714527</v>
      </c>
      <c r="R877">
        <f t="shared" si="1011"/>
        <v>-179281064.93046352</v>
      </c>
      <c r="S877">
        <f t="shared" si="1012"/>
        <v>-1792.8106493046353</v>
      </c>
      <c r="T877">
        <f t="shared" si="1013"/>
        <v>-1.7928106493046352</v>
      </c>
    </row>
    <row r="878" spans="1:20" x14ac:dyDescent="0.25">
      <c r="A878" s="5">
        <v>43715</v>
      </c>
      <c r="B878">
        <v>8.1500000000000003E-2</v>
      </c>
      <c r="C878">
        <v>8.2400000000000001E-2</v>
      </c>
      <c r="D878">
        <v>7.8700000000000006E-2</v>
      </c>
      <c r="E878">
        <v>8.1000000000000003E-2</v>
      </c>
      <c r="F878">
        <v>8934102.3900000006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0.24324324324324303</v>
      </c>
      <c r="Q878">
        <f t="shared" si="1010"/>
        <v>2173160.040810809</v>
      </c>
      <c r="R878">
        <f t="shared" si="1011"/>
        <v>-175633237.66189206</v>
      </c>
      <c r="S878">
        <f t="shared" si="1012"/>
        <v>-1756.3323766189205</v>
      </c>
      <c r="T878">
        <f t="shared" si="1013"/>
        <v>-1.7563323766189205</v>
      </c>
    </row>
    <row r="879" spans="1:20" x14ac:dyDescent="0.25">
      <c r="A879" s="5">
        <v>43714</v>
      </c>
      <c r="B879">
        <v>8.8800000000000004E-2</v>
      </c>
      <c r="C879">
        <v>9.11E-2</v>
      </c>
      <c r="D879">
        <v>0.08</v>
      </c>
      <c r="E879">
        <v>8.1600000000000006E-2</v>
      </c>
      <c r="F879">
        <v>20579076.489999998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-0.71171171171171088</v>
      </c>
      <c r="Q879">
        <f t="shared" si="1010"/>
        <v>-14646369.754144127</v>
      </c>
      <c r="R879">
        <f t="shared" si="1011"/>
        <v>-177806397.70270288</v>
      </c>
      <c r="S879">
        <f t="shared" si="1012"/>
        <v>-1778.0639770270288</v>
      </c>
      <c r="T879">
        <f t="shared" si="1013"/>
        <v>-1.7780639770270288</v>
      </c>
    </row>
    <row r="880" spans="1:20" x14ac:dyDescent="0.25">
      <c r="A880" s="5">
        <v>43713</v>
      </c>
      <c r="B880">
        <v>9.2799999999999994E-2</v>
      </c>
      <c r="C880">
        <v>0.1028</v>
      </c>
      <c r="D880">
        <v>8.77E-2</v>
      </c>
      <c r="E880">
        <v>8.8800000000000004E-2</v>
      </c>
      <c r="F880">
        <v>24303825.43</v>
      </c>
      <c r="G880">
        <v>0</v>
      </c>
      <c r="L880" t="s">
        <v>8</v>
      </c>
      <c r="M880" t="s">
        <v>8</v>
      </c>
      <c r="N880" t="s">
        <v>7</v>
      </c>
      <c r="P880">
        <f t="shared" si="1009"/>
        <v>-0.85430463576158888</v>
      </c>
      <c r="Q880">
        <f t="shared" si="1010"/>
        <v>-20762870.731589392</v>
      </c>
      <c r="R880">
        <f t="shared" si="1011"/>
        <v>-163160027.94855875</v>
      </c>
      <c r="S880">
        <f t="shared" si="1012"/>
        <v>-1631.6002794855874</v>
      </c>
      <c r="T880">
        <f t="shared" si="1013"/>
        <v>-1.6316002794855875</v>
      </c>
    </row>
    <row r="881" spans="1:20" x14ac:dyDescent="0.25">
      <c r="A881" s="5">
        <v>43712</v>
      </c>
      <c r="B881">
        <v>8.5599999999999996E-2</v>
      </c>
      <c r="C881">
        <v>9.9299999999999999E-2</v>
      </c>
      <c r="D881">
        <v>8.43E-2</v>
      </c>
      <c r="E881">
        <v>9.2799999999999994E-2</v>
      </c>
      <c r="F881">
        <v>22560901.809999999</v>
      </c>
      <c r="G881">
        <v>0</v>
      </c>
      <c r="L881" t="s">
        <v>8</v>
      </c>
      <c r="M881" t="s">
        <v>8</v>
      </c>
      <c r="N881" t="s">
        <v>7</v>
      </c>
      <c r="P881">
        <f t="shared" si="1009"/>
        <v>0.13333333333333253</v>
      </c>
      <c r="Q881">
        <f t="shared" si="1010"/>
        <v>3008120.2413333151</v>
      </c>
      <c r="R881">
        <f t="shared" si="1011"/>
        <v>-142397157.21696934</v>
      </c>
      <c r="S881">
        <f t="shared" si="1012"/>
        <v>-1423.9715721696934</v>
      </c>
      <c r="T881">
        <f t="shared" si="1013"/>
        <v>-1.4239715721696935</v>
      </c>
    </row>
    <row r="882" spans="1:20" x14ac:dyDescent="0.25">
      <c r="A882" s="5">
        <v>43711</v>
      </c>
      <c r="B882">
        <v>8.4699999999999998E-2</v>
      </c>
      <c r="C882">
        <v>0.09</v>
      </c>
      <c r="D882">
        <v>8.2699999999999996E-2</v>
      </c>
      <c r="E882">
        <v>8.6099999999999996E-2</v>
      </c>
      <c r="F882">
        <v>14195558.130000001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-6.8493150684931559E-2</v>
      </c>
      <c r="Q882">
        <f t="shared" si="1010"/>
        <v>-972298.50205479527</v>
      </c>
      <c r="R882">
        <f t="shared" si="1011"/>
        <v>-145405277.45830265</v>
      </c>
      <c r="S882">
        <f t="shared" si="1012"/>
        <v>-1454.0527745830266</v>
      </c>
      <c r="T882">
        <f t="shared" si="1013"/>
        <v>-1.4540527745830265</v>
      </c>
    </row>
    <row r="883" spans="1:20" x14ac:dyDescent="0.25">
      <c r="A883" s="5">
        <v>43710</v>
      </c>
      <c r="B883">
        <v>8.9599999999999999E-2</v>
      </c>
      <c r="C883">
        <v>0.09</v>
      </c>
      <c r="D883">
        <v>8.0600000000000005E-2</v>
      </c>
      <c r="E883">
        <v>8.4000000000000005E-2</v>
      </c>
      <c r="F883">
        <v>20623960.789999999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-0.27659574468085035</v>
      </c>
      <c r="Q883">
        <f t="shared" si="1010"/>
        <v>-5704499.7929787086</v>
      </c>
      <c r="R883">
        <f t="shared" si="1011"/>
        <v>-144432978.95624787</v>
      </c>
      <c r="S883">
        <f t="shared" si="1012"/>
        <v>-1444.3297895624787</v>
      </c>
      <c r="T883">
        <f t="shared" si="1013"/>
        <v>-1.4443297895624787</v>
      </c>
    </row>
    <row r="884" spans="1:20" x14ac:dyDescent="0.25">
      <c r="A884" s="5">
        <v>43709</v>
      </c>
      <c r="B884">
        <v>8.6800000000000002E-2</v>
      </c>
      <c r="C884">
        <v>9.3700000000000006E-2</v>
      </c>
      <c r="D884">
        <v>8.5000000000000006E-2</v>
      </c>
      <c r="E884">
        <v>8.9599999999999999E-2</v>
      </c>
      <c r="F884">
        <v>10996611.92</v>
      </c>
      <c r="G884">
        <v>0</v>
      </c>
      <c r="L884" t="s">
        <v>8</v>
      </c>
      <c r="M884" t="s">
        <v>7</v>
      </c>
      <c r="N884" t="s">
        <v>7</v>
      </c>
      <c r="P884">
        <f t="shared" si="1009"/>
        <v>5.7471264367814551E-2</v>
      </c>
      <c r="Q884">
        <f t="shared" si="1010"/>
        <v>631989.19080458069</v>
      </c>
      <c r="R884">
        <f t="shared" si="1011"/>
        <v>-138728479.16326916</v>
      </c>
      <c r="S884">
        <f t="shared" si="1012"/>
        <v>-1387.2847916326916</v>
      </c>
      <c r="T884">
        <f t="shared" si="1013"/>
        <v>-1.3872847916326916</v>
      </c>
    </row>
    <row r="885" spans="1:20" x14ac:dyDescent="0.25">
      <c r="A885" s="5">
        <v>43708</v>
      </c>
      <c r="B885">
        <v>9.2100000000000001E-2</v>
      </c>
      <c r="C885">
        <v>9.4E-2</v>
      </c>
      <c r="D885">
        <v>8.4000000000000005E-2</v>
      </c>
      <c r="E885">
        <v>8.6900000000000005E-2</v>
      </c>
      <c r="F885">
        <v>11423278.109999999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-0.41999999999999976</v>
      </c>
      <c r="Q885">
        <f t="shared" si="1010"/>
        <v>-4797776.8061999967</v>
      </c>
      <c r="R885">
        <f t="shared" si="1011"/>
        <v>-139360468.35407373</v>
      </c>
      <c r="S885">
        <f t="shared" si="1012"/>
        <v>-1393.6046835407374</v>
      </c>
      <c r="T885">
        <f t="shared" si="1013"/>
        <v>-1.3936046835407374</v>
      </c>
    </row>
    <row r="886" spans="1:20" x14ac:dyDescent="0.25">
      <c r="A886" s="5">
        <v>43707</v>
      </c>
      <c r="B886">
        <v>9.0999999999999998E-2</v>
      </c>
      <c r="C886">
        <v>0.10440000000000001</v>
      </c>
      <c r="D886">
        <v>8.8900000000000007E-2</v>
      </c>
      <c r="E886">
        <v>9.2299999999999993E-2</v>
      </c>
      <c r="F886">
        <v>27236597.710000001</v>
      </c>
      <c r="G886">
        <v>0</v>
      </c>
      <c r="L886" t="s">
        <v>8</v>
      </c>
      <c r="M886" t="s">
        <v>7</v>
      </c>
      <c r="N886" t="s">
        <v>7</v>
      </c>
      <c r="P886">
        <f t="shared" si="1009"/>
        <v>-0.56129032258064693</v>
      </c>
      <c r="Q886">
        <f t="shared" si="1010"/>
        <v>-15287638.714645211</v>
      </c>
      <c r="R886">
        <f t="shared" si="1011"/>
        <v>-134562691.54787374</v>
      </c>
      <c r="S886">
        <f t="shared" si="1012"/>
        <v>-1345.6269154787374</v>
      </c>
      <c r="T886">
        <f t="shared" si="1013"/>
        <v>-1.3456269154787375</v>
      </c>
    </row>
    <row r="887" spans="1:20" x14ac:dyDescent="0.25">
      <c r="A887" s="5">
        <v>43706</v>
      </c>
      <c r="B887">
        <v>9.69E-2</v>
      </c>
      <c r="C887">
        <v>9.7799999999999998E-2</v>
      </c>
      <c r="D887">
        <v>8.77E-2</v>
      </c>
      <c r="E887">
        <v>9.11E-2</v>
      </c>
      <c r="F887">
        <v>19029796.940000001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-0.32673267326732652</v>
      </c>
      <c r="Q887">
        <f t="shared" si="1010"/>
        <v>-6217656.4259405909</v>
      </c>
      <c r="R887">
        <f t="shared" si="1011"/>
        <v>-119275052.83322851</v>
      </c>
      <c r="S887">
        <f t="shared" si="1012"/>
        <v>-1192.7505283322851</v>
      </c>
      <c r="T887">
        <f t="shared" si="1013"/>
        <v>-1.192750528332285</v>
      </c>
    </row>
    <row r="888" spans="1:20" x14ac:dyDescent="0.25">
      <c r="A888" s="5">
        <v>43705</v>
      </c>
      <c r="B888">
        <v>0.11210000000000001</v>
      </c>
      <c r="C888">
        <v>0.1188</v>
      </c>
      <c r="D888">
        <v>9.4E-2</v>
      </c>
      <c r="E888">
        <v>9.69E-2</v>
      </c>
      <c r="F888">
        <v>32566080.350000001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-0.7661290322580645</v>
      </c>
      <c r="Q888">
        <f t="shared" si="1010"/>
        <v>-24949819.622983873</v>
      </c>
      <c r="R888">
        <f t="shared" si="1011"/>
        <v>-113057396.40728793</v>
      </c>
      <c r="S888">
        <f t="shared" si="1012"/>
        <v>-1130.5739640728793</v>
      </c>
      <c r="T888">
        <f t="shared" si="1013"/>
        <v>-1.1305739640728794</v>
      </c>
    </row>
    <row r="889" spans="1:20" x14ac:dyDescent="0.25">
      <c r="A889" s="5">
        <v>43704</v>
      </c>
      <c r="B889">
        <v>0.1152</v>
      </c>
      <c r="C889">
        <v>0.1295</v>
      </c>
      <c r="D889">
        <v>0.104</v>
      </c>
      <c r="E889">
        <v>0.1124</v>
      </c>
      <c r="F889">
        <v>63447425.520000003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-0.34117647058823514</v>
      </c>
      <c r="Q889">
        <f t="shared" si="1010"/>
        <v>-21646768.70682352</v>
      </c>
      <c r="R889">
        <f t="shared" si="1011"/>
        <v>-88107576.784304053</v>
      </c>
      <c r="S889">
        <f t="shared" si="1012"/>
        <v>-881.07576784304058</v>
      </c>
      <c r="T889">
        <f t="shared" si="1013"/>
        <v>-0.88107576784304054</v>
      </c>
    </row>
    <row r="890" spans="1:20" x14ac:dyDescent="0.25">
      <c r="A890" s="5">
        <v>43703</v>
      </c>
      <c r="B890">
        <v>7.7499999999999999E-2</v>
      </c>
      <c r="C890">
        <v>0.27</v>
      </c>
      <c r="D890">
        <v>7.7499999999999999E-2</v>
      </c>
      <c r="E890">
        <v>0.11509999999999999</v>
      </c>
      <c r="F890">
        <v>109068248.55</v>
      </c>
      <c r="G890">
        <v>0</v>
      </c>
      <c r="P890">
        <f t="shared" si="1009"/>
        <v>-0.60935064935064953</v>
      </c>
      <c r="Q890">
        <f t="shared" si="1010"/>
        <v>-66460808.07748054</v>
      </c>
      <c r="R890">
        <f t="shared" si="1011"/>
        <v>-66460808.07748054</v>
      </c>
      <c r="S890">
        <f t="shared" si="1012"/>
        <v>-664.60808077480544</v>
      </c>
      <c r="T890">
        <f t="shared" si="1013"/>
        <v>-0.66460808077480549</v>
      </c>
    </row>
    <row r="891" spans="1:20" x14ac:dyDescent="0.25">
      <c r="A891" s="5"/>
      <c r="C891" s="4"/>
      <c r="D891" s="4"/>
    </row>
    <row r="892" spans="1:20" x14ac:dyDescent="0.25">
      <c r="A892" s="5"/>
      <c r="C892" s="4"/>
      <c r="D892" s="4"/>
    </row>
    <row r="893" spans="1:20" x14ac:dyDescent="0.25">
      <c r="A893" s="5"/>
      <c r="C893" s="4"/>
      <c r="D893" s="4"/>
    </row>
    <row r="894" spans="1:20" x14ac:dyDescent="0.25">
      <c r="A894" s="5"/>
      <c r="C894" s="4"/>
      <c r="D894" s="4"/>
    </row>
    <row r="895" spans="1:20" x14ac:dyDescent="0.25">
      <c r="A895" s="5"/>
      <c r="C895" s="4"/>
      <c r="D895" s="4"/>
    </row>
    <row r="896" spans="1:20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QH743" sqref="QH74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$A$742</v>
      </c>
      <c r="D111" s="1" t="str">
        <f>ADDRESS(C121-1,D121,1,1)</f>
        <v>$QH$742</v>
      </c>
      <c r="E111"/>
    </row>
    <row r="112" spans="1:5" x14ac:dyDescent="0.25">
      <c r="A112" s="7">
        <v>12164.144957890772</v>
      </c>
      <c r="C112" s="1" t="str">
        <f>ADDRESS(C121,1,1,1)</f>
        <v>$A$743</v>
      </c>
      <c r="D112" s="1" t="str">
        <f>ADDRESS(C121,D121-1,1,1)</f>
        <v>$QG$743</v>
      </c>
      <c r="E112"/>
    </row>
    <row r="113" spans="1:5" x14ac:dyDescent="0.25">
      <c r="A113" s="7">
        <v>11925.63231165762</v>
      </c>
      <c r="C113" s="1" t="str">
        <f>ADDRESS(C121+1,1,1,1)</f>
        <v>$A$744</v>
      </c>
      <c r="D113" s="1" t="str">
        <f>ADDRESS(C121-1,D121+1,1,1)</f>
        <v>$QI$742</v>
      </c>
    </row>
    <row r="114" spans="1:5" x14ac:dyDescent="0.25">
      <c r="A114" s="7">
        <v>11691.796383978059</v>
      </c>
      <c r="C114" s="1" t="str">
        <f>ADDRESS(C121,D121,1,1)</f>
        <v>$QH$743</v>
      </c>
      <c r="D114" s="1" t="str">
        <f>ADDRESS(C121+1,D121+1,1,1)</f>
        <v>$QI$744</v>
      </c>
    </row>
    <row r="115" spans="1:5" x14ac:dyDescent="0.25">
      <c r="A115" s="7">
        <v>11462.545474488292</v>
      </c>
      <c r="C115" s="1" t="str">
        <f>ADDRESS(C121+1,D121,1,1)</f>
        <v>$QH$744</v>
      </c>
    </row>
    <row r="116" spans="1:5" x14ac:dyDescent="0.25">
      <c r="A116" s="7">
        <v>11237.789680870874</v>
      </c>
      <c r="C116" s="1">
        <f>C117-1</f>
        <v>742</v>
      </c>
    </row>
    <row r="117" spans="1:5" x14ac:dyDescent="0.25">
      <c r="A117" s="7">
        <v>11017.440863598895</v>
      </c>
      <c r="C117" s="1">
        <f>C121</f>
        <v>743</v>
      </c>
      <c r="D117" s="1">
        <f>D121</f>
        <v>450</v>
      </c>
    </row>
    <row r="118" spans="1:5" x14ac:dyDescent="0.25">
      <c r="A118" s="7">
        <v>10801.412611371465</v>
      </c>
      <c r="C118" s="1">
        <f>C117+1</f>
        <v>744</v>
      </c>
      <c r="D118" s="1">
        <f>D117+1</f>
        <v>451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743</v>
      </c>
      <c r="D121" s="19">
        <v>450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R743</v>
      </c>
      <c r="D123" s="1" t="str">
        <f>"C"&amp;D121</f>
        <v>C450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4.5537921608318974E-2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302" x14ac:dyDescent="0.25">
      <c r="A641" s="7">
        <v>0.34323433454431179</v>
      </c>
      <c r="B641"/>
      <c r="C641"/>
      <c r="D641"/>
      <c r="E641"/>
      <c r="F641" s="27" t="s">
        <v>7</v>
      </c>
    </row>
    <row r="642" spans="1:302" x14ac:dyDescent="0.25">
      <c r="A642" s="7">
        <v>0.33650424955324681</v>
      </c>
      <c r="B642"/>
      <c r="C642"/>
      <c r="D642"/>
      <c r="E642"/>
      <c r="F642" s="27" t="s">
        <v>7</v>
      </c>
    </row>
    <row r="643" spans="1:302" x14ac:dyDescent="0.25">
      <c r="A643" s="7">
        <v>0.3299061270129871</v>
      </c>
      <c r="B643"/>
      <c r="C643"/>
      <c r="D643"/>
      <c r="E643"/>
      <c r="F643" s="27" t="s">
        <v>7</v>
      </c>
    </row>
    <row r="644" spans="1:302" x14ac:dyDescent="0.25">
      <c r="A644" s="7">
        <v>0.32343737942449713</v>
      </c>
      <c r="B644"/>
      <c r="C644"/>
      <c r="D644"/>
      <c r="E644"/>
      <c r="F644" s="27" t="s">
        <v>7</v>
      </c>
    </row>
    <row r="645" spans="1:302" x14ac:dyDescent="0.25">
      <c r="A645" s="7">
        <v>0.31709547002401678</v>
      </c>
      <c r="B645"/>
      <c r="C645"/>
      <c r="D645"/>
      <c r="E645"/>
      <c r="F645" s="27" t="s">
        <v>7</v>
      </c>
    </row>
    <row r="646" spans="1:302" x14ac:dyDescent="0.25">
      <c r="A646" s="7">
        <v>0.31087791178825175</v>
      </c>
      <c r="B646"/>
      <c r="C646"/>
      <c r="D646"/>
      <c r="E646"/>
      <c r="F646" s="27" t="s">
        <v>7</v>
      </c>
    </row>
    <row r="647" spans="1:302" x14ac:dyDescent="0.25">
      <c r="A647" s="7">
        <v>0.30478226645907036</v>
      </c>
      <c r="B647"/>
      <c r="C647"/>
      <c r="D647"/>
      <c r="E647"/>
      <c r="F647" s="27" t="s">
        <v>7</v>
      </c>
    </row>
    <row r="648" spans="1:302" x14ac:dyDescent="0.25">
      <c r="A648" s="7">
        <v>0.29880614358732388</v>
      </c>
      <c r="B648"/>
      <c r="C648"/>
      <c r="D648"/>
      <c r="E648"/>
      <c r="F648" s="27" t="s">
        <v>7</v>
      </c>
    </row>
    <row r="649" spans="1:302" x14ac:dyDescent="0.25">
      <c r="A649" s="7">
        <v>0.2929471995954156</v>
      </c>
      <c r="B649"/>
      <c r="C649"/>
      <c r="D649"/>
      <c r="E649"/>
      <c r="F649" s="27" t="s">
        <v>7</v>
      </c>
      <c r="KO649" s="27" t="s">
        <v>8</v>
      </c>
    </row>
    <row r="650" spans="1:302" x14ac:dyDescent="0.25">
      <c r="A650" s="7">
        <v>0.28720313685825055</v>
      </c>
      <c r="B650"/>
      <c r="C650"/>
      <c r="D650"/>
      <c r="E650"/>
      <c r="F650" s="27" t="s">
        <v>7</v>
      </c>
      <c r="KO650" s="27" t="s">
        <v>8</v>
      </c>
      <c r="KP650" s="27" t="s">
        <v>7</v>
      </c>
    </row>
    <row r="651" spans="1:302" x14ac:dyDescent="0.25">
      <c r="A651" s="7">
        <v>0.28157170280220645</v>
      </c>
      <c r="B651"/>
      <c r="C651"/>
      <c r="D651"/>
      <c r="E651"/>
      <c r="F651" s="27" t="s">
        <v>7</v>
      </c>
      <c r="KO651" s="27" t="s">
        <v>8</v>
      </c>
      <c r="KP651" s="27" t="s">
        <v>7</v>
      </c>
    </row>
    <row r="652" spans="1:302" x14ac:dyDescent="0.25">
      <c r="A652" s="7">
        <v>0.27605068902177105</v>
      </c>
      <c r="B652"/>
      <c r="C652"/>
      <c r="D652"/>
      <c r="E652"/>
      <c r="F652" s="27" t="s">
        <v>7</v>
      </c>
      <c r="KO652" s="27" t="s">
        <v>8</v>
      </c>
      <c r="KP652" s="27" t="s">
        <v>7</v>
      </c>
    </row>
    <row r="653" spans="1:302" x14ac:dyDescent="0.25">
      <c r="A653" s="7">
        <v>0.27063793041350104</v>
      </c>
      <c r="B653"/>
      <c r="C653"/>
      <c r="D653"/>
      <c r="E653"/>
      <c r="F653" s="27" t="s">
        <v>7</v>
      </c>
      <c r="KO653" s="27" t="s">
        <v>8</v>
      </c>
      <c r="KP653" s="27" t="s">
        <v>7</v>
      </c>
    </row>
    <row r="654" spans="1:302" x14ac:dyDescent="0.25">
      <c r="A654" s="7">
        <v>0.26533130432696184</v>
      </c>
      <c r="B654"/>
      <c r="C654"/>
      <c r="D654"/>
      <c r="E654"/>
      <c r="F654" s="27" t="s">
        <v>7</v>
      </c>
      <c r="KO654" s="27" t="s">
        <v>8</v>
      </c>
      <c r="KP654" s="27" t="s">
        <v>7</v>
      </c>
    </row>
    <row r="655" spans="1:302" x14ac:dyDescent="0.25">
      <c r="A655" s="7">
        <v>0.26012872973231554</v>
      </c>
      <c r="B655"/>
      <c r="C655"/>
      <c r="D655"/>
      <c r="E655"/>
      <c r="F655" s="27" t="s">
        <v>7</v>
      </c>
      <c r="KO655" s="27" t="s">
        <v>8</v>
      </c>
      <c r="KP655" s="27" t="s">
        <v>7</v>
      </c>
    </row>
    <row r="656" spans="1:302" x14ac:dyDescent="0.25">
      <c r="A656" s="7">
        <v>0.25502816640423093</v>
      </c>
      <c r="B656"/>
      <c r="C656"/>
      <c r="D656"/>
      <c r="E656"/>
      <c r="F656" s="27" t="s">
        <v>7</v>
      </c>
      <c r="KO656" s="27" t="s">
        <v>8</v>
      </c>
      <c r="KP656" s="27" t="s">
        <v>7</v>
      </c>
    </row>
    <row r="657" spans="1:310" x14ac:dyDescent="0.25">
      <c r="A657" s="7">
        <v>0.25002761412179503</v>
      </c>
      <c r="B657"/>
      <c r="C657"/>
      <c r="D657"/>
      <c r="E657"/>
      <c r="F657" s="27" t="s">
        <v>7</v>
      </c>
      <c r="KO657" s="27" t="s">
        <v>8</v>
      </c>
      <c r="KP657" s="27" t="s">
        <v>7</v>
      </c>
    </row>
    <row r="658" spans="1:310" x14ac:dyDescent="0.25">
      <c r="A658" s="7">
        <v>0.24512511188411276</v>
      </c>
      <c r="B658"/>
      <c r="C658"/>
      <c r="D658"/>
      <c r="E658"/>
      <c r="F658" s="27" t="s">
        <v>7</v>
      </c>
      <c r="KO658" s="27" t="s">
        <v>8</v>
      </c>
      <c r="KP658" s="27" t="s">
        <v>7</v>
      </c>
      <c r="KQ658" s="27" t="s">
        <v>8</v>
      </c>
    </row>
    <row r="659" spans="1:310" x14ac:dyDescent="0.25">
      <c r="A659" s="7">
        <v>0.24031873714128701</v>
      </c>
      <c r="B659"/>
      <c r="C659"/>
      <c r="D659"/>
      <c r="E659"/>
      <c r="F659" s="27" t="s">
        <v>7</v>
      </c>
      <c r="KO659" s="27" t="s">
        <v>8</v>
      </c>
      <c r="KP659" s="27" t="s">
        <v>7</v>
      </c>
      <c r="KQ659" s="27" t="s">
        <v>8</v>
      </c>
      <c r="KR659" s="27" t="s">
        <v>7</v>
      </c>
    </row>
    <row r="660" spans="1:310" x14ac:dyDescent="0.25">
      <c r="A660" s="7">
        <v>0.23560660504047748</v>
      </c>
      <c r="B660"/>
      <c r="C660"/>
      <c r="D660"/>
      <c r="E660"/>
      <c r="F660" s="27" t="s">
        <v>7</v>
      </c>
      <c r="KO660" s="27" t="s">
        <v>8</v>
      </c>
      <c r="KP660" s="27" t="s">
        <v>7</v>
      </c>
      <c r="KQ660" s="27" t="s">
        <v>8</v>
      </c>
      <c r="KR660" s="27" t="s">
        <v>7</v>
      </c>
    </row>
    <row r="661" spans="1:310" x14ac:dyDescent="0.25">
      <c r="A661" s="7">
        <v>0.23098686768674265</v>
      </c>
      <c r="B661"/>
      <c r="C661"/>
      <c r="D661"/>
      <c r="E661"/>
      <c r="F661" s="27" t="s">
        <v>7</v>
      </c>
      <c r="KO661" s="27" t="s">
        <v>8</v>
      </c>
      <c r="KP661" s="27" t="s">
        <v>7</v>
      </c>
      <c r="KQ661" s="27" t="s">
        <v>8</v>
      </c>
      <c r="KR661" s="27" t="s">
        <v>7</v>
      </c>
    </row>
    <row r="662" spans="1:310" x14ac:dyDescent="0.25">
      <c r="A662" s="7">
        <v>0.22645771341837515</v>
      </c>
      <c r="B662"/>
      <c r="C662"/>
      <c r="D662"/>
      <c r="E662"/>
      <c r="F662" s="27" t="s">
        <v>7</v>
      </c>
      <c r="KO662" s="27" t="s">
        <v>8</v>
      </c>
      <c r="KP662" s="27" t="s">
        <v>7</v>
      </c>
      <c r="KQ662" s="27" t="s">
        <v>8</v>
      </c>
      <c r="KR662" s="27" t="s">
        <v>7</v>
      </c>
      <c r="KS662" s="27" t="s">
        <v>8</v>
      </c>
      <c r="KU662" s="27" t="s">
        <v>8</v>
      </c>
    </row>
    <row r="663" spans="1:310" x14ac:dyDescent="0.25">
      <c r="A663" s="7">
        <v>0.22201736609644623</v>
      </c>
      <c r="B663"/>
      <c r="C663"/>
      <c r="D663"/>
      <c r="E663"/>
      <c r="F663" s="27" t="s">
        <v>7</v>
      </c>
      <c r="KO663" s="27" t="s">
        <v>8</v>
      </c>
      <c r="KP663" s="27" t="s">
        <v>7</v>
      </c>
      <c r="KQ663" s="27" t="s">
        <v>8</v>
      </c>
      <c r="KR663" s="27" t="s">
        <v>7</v>
      </c>
      <c r="KS663" s="27" t="s">
        <v>8</v>
      </c>
      <c r="KT663" s="27" t="s">
        <v>7</v>
      </c>
      <c r="KU663" s="27" t="s">
        <v>8</v>
      </c>
      <c r="KV663" s="27" t="s">
        <v>7</v>
      </c>
    </row>
    <row r="664" spans="1:310" x14ac:dyDescent="0.25">
      <c r="A664" s="7">
        <v>0.21766408440828061</v>
      </c>
      <c r="B664"/>
      <c r="C664"/>
      <c r="D664"/>
      <c r="E664"/>
      <c r="F664" s="27" t="s">
        <v>7</v>
      </c>
      <c r="KO664" s="27" t="s">
        <v>8</v>
      </c>
      <c r="KP664" s="27" t="s">
        <v>7</v>
      </c>
      <c r="KQ664" s="27" t="s">
        <v>8</v>
      </c>
      <c r="KR664" s="27" t="s">
        <v>7</v>
      </c>
      <c r="KS664" s="27" t="s">
        <v>8</v>
      </c>
      <c r="KT664" s="27" t="s">
        <v>7</v>
      </c>
      <c r="KU664" s="27" t="s">
        <v>8</v>
      </c>
      <c r="KV664" s="27" t="s">
        <v>7</v>
      </c>
    </row>
    <row r="665" spans="1:310" x14ac:dyDescent="0.25">
      <c r="A665" s="7">
        <v>0.21339616118458882</v>
      </c>
      <c r="B665"/>
      <c r="C665"/>
      <c r="D665"/>
      <c r="E665"/>
      <c r="F665" s="27" t="s">
        <v>7</v>
      </c>
      <c r="KM665" s="27" t="s">
        <v>8</v>
      </c>
      <c r="KO665" s="27" t="s">
        <v>8</v>
      </c>
      <c r="KP665" s="27" t="s">
        <v>7</v>
      </c>
      <c r="KQ665" s="27" t="s">
        <v>8</v>
      </c>
      <c r="KR665" s="27" t="s">
        <v>7</v>
      </c>
      <c r="KS665" s="27" t="s">
        <v>8</v>
      </c>
      <c r="KT665" s="27" t="s">
        <v>7</v>
      </c>
      <c r="KU665" s="27" t="s">
        <v>8</v>
      </c>
      <c r="KV665" s="27" t="s">
        <v>7</v>
      </c>
    </row>
    <row r="666" spans="1:310" x14ac:dyDescent="0.25">
      <c r="A666" s="7">
        <v>0.20921192272998904</v>
      </c>
      <c r="B666"/>
      <c r="C666"/>
      <c r="D666"/>
      <c r="E666"/>
      <c r="F666" s="27" t="s">
        <v>7</v>
      </c>
      <c r="KM666" s="27" t="s">
        <v>8</v>
      </c>
      <c r="KN666" s="27" t="s">
        <v>7</v>
      </c>
      <c r="KO666" s="27" t="s">
        <v>8</v>
      </c>
      <c r="KP666" s="27" t="s">
        <v>7</v>
      </c>
      <c r="KQ666" s="27" t="s">
        <v>8</v>
      </c>
      <c r="KR666" s="27" t="s">
        <v>7</v>
      </c>
      <c r="KS666" s="27" t="s">
        <v>8</v>
      </c>
      <c r="KT666" s="27" t="s">
        <v>7</v>
      </c>
      <c r="KU666" s="27" t="s">
        <v>8</v>
      </c>
      <c r="KV666" s="27" t="s">
        <v>7</v>
      </c>
      <c r="KW666" s="27" t="s">
        <v>8</v>
      </c>
    </row>
    <row r="667" spans="1:310" x14ac:dyDescent="0.25">
      <c r="A667" s="7">
        <v>0.20510972816665593</v>
      </c>
      <c r="B667"/>
      <c r="C667"/>
      <c r="D667"/>
      <c r="E667"/>
      <c r="F667" s="27" t="s">
        <v>7</v>
      </c>
      <c r="KM667" s="27" t="s">
        <v>8</v>
      </c>
      <c r="KN667" s="27" t="s">
        <v>7</v>
      </c>
      <c r="KO667" s="27" t="s">
        <v>8</v>
      </c>
      <c r="KP667" s="27" t="s">
        <v>7</v>
      </c>
      <c r="KQ667" s="27" t="s">
        <v>8</v>
      </c>
      <c r="KR667" s="27" t="s">
        <v>7</v>
      </c>
      <c r="KS667" s="27" t="s">
        <v>8</v>
      </c>
      <c r="KT667" s="27" t="s">
        <v>7</v>
      </c>
      <c r="KU667" s="27" t="s">
        <v>8</v>
      </c>
      <c r="KV667" s="27" t="s">
        <v>7</v>
      </c>
      <c r="KW667" s="27" t="s">
        <v>8</v>
      </c>
      <c r="KX667" s="27" t="s">
        <v>7</v>
      </c>
    </row>
    <row r="668" spans="1:310" x14ac:dyDescent="0.25">
      <c r="A668" s="7">
        <v>0.20108796879083912</v>
      </c>
      <c r="B668"/>
      <c r="C668"/>
      <c r="D668"/>
      <c r="E668"/>
      <c r="F668" s="27" t="s">
        <v>7</v>
      </c>
      <c r="KM668" s="27" t="s">
        <v>8</v>
      </c>
      <c r="KN668" s="27" t="s">
        <v>7</v>
      </c>
      <c r="KO668" s="27" t="s">
        <v>8</v>
      </c>
      <c r="KP668" s="27" t="s">
        <v>7</v>
      </c>
      <c r="KQ668" s="27" t="s">
        <v>8</v>
      </c>
      <c r="KR668" s="27" t="s">
        <v>7</v>
      </c>
      <c r="KS668" s="27" t="s">
        <v>8</v>
      </c>
      <c r="KT668" s="27" t="s">
        <v>7</v>
      </c>
      <c r="KV668" s="27" t="s">
        <v>7</v>
      </c>
      <c r="KW668" s="27" t="s">
        <v>8</v>
      </c>
      <c r="KX668" s="27" t="s">
        <v>7</v>
      </c>
    </row>
    <row r="669" spans="1:310" x14ac:dyDescent="0.25">
      <c r="A669" s="7">
        <v>0.19714506744199917</v>
      </c>
      <c r="B669"/>
      <c r="C669"/>
      <c r="D669"/>
      <c r="E669"/>
      <c r="F669" s="27" t="s">
        <v>7</v>
      </c>
      <c r="KM669" s="27" t="s">
        <v>8</v>
      </c>
      <c r="KN669" s="27" t="s">
        <v>7</v>
      </c>
      <c r="KO669" s="27" t="s">
        <v>8</v>
      </c>
      <c r="KP669" s="27" t="s">
        <v>7</v>
      </c>
      <c r="KQ669" s="27" t="s">
        <v>8</v>
      </c>
      <c r="KR669" s="27" t="s">
        <v>7</v>
      </c>
      <c r="KV669" s="27" t="s">
        <v>7</v>
      </c>
      <c r="KW669" s="27" t="s">
        <v>8</v>
      </c>
      <c r="KX669" s="27" t="s">
        <v>7</v>
      </c>
    </row>
    <row r="670" spans="1:310" x14ac:dyDescent="0.25">
      <c r="A670" s="7">
        <v>0.19327947788431293</v>
      </c>
      <c r="B670"/>
      <c r="C670"/>
      <c r="D670"/>
      <c r="E670"/>
      <c r="F670" s="27" t="s">
        <v>7</v>
      </c>
      <c r="KC670" s="27" t="s">
        <v>8</v>
      </c>
      <c r="KM670" s="27" t="s">
        <v>8</v>
      </c>
      <c r="KN670" s="27" t="s">
        <v>7</v>
      </c>
      <c r="KO670" s="27" t="s">
        <v>8</v>
      </c>
      <c r="KP670" s="27" t="s">
        <v>7</v>
      </c>
      <c r="KV670" s="27" t="s">
        <v>7</v>
      </c>
      <c r="KX670" s="27" t="s">
        <v>7</v>
      </c>
    </row>
    <row r="671" spans="1:310" x14ac:dyDescent="0.25">
      <c r="A671" s="7">
        <v>0.18948968420030682</v>
      </c>
      <c r="B671"/>
      <c r="C671"/>
      <c r="D671"/>
      <c r="E671"/>
      <c r="F671" s="27" t="s">
        <v>7</v>
      </c>
      <c r="KC671" s="27" t="s">
        <v>8</v>
      </c>
      <c r="KD671" s="27" t="s">
        <v>7</v>
      </c>
      <c r="KM671" s="27" t="s">
        <v>8</v>
      </c>
      <c r="KN671" s="27" t="s">
        <v>7</v>
      </c>
      <c r="KO671" s="27" t="s">
        <v>8</v>
      </c>
      <c r="KX671" s="27" t="s">
        <v>7</v>
      </c>
    </row>
    <row r="672" spans="1:310" x14ac:dyDescent="0.25">
      <c r="A672" s="7">
        <v>0.18577420019637925</v>
      </c>
      <c r="B672"/>
      <c r="C672"/>
      <c r="D672"/>
      <c r="E672"/>
      <c r="F672" s="27" t="s">
        <v>7</v>
      </c>
      <c r="KC672" s="27" t="s">
        <v>8</v>
      </c>
      <c r="KD672" s="27" t="s">
        <v>7</v>
      </c>
      <c r="KM672" s="27" t="s">
        <v>8</v>
      </c>
      <c r="KN672" s="27" t="s">
        <v>7</v>
      </c>
      <c r="KO672" s="27" t="s">
        <v>8</v>
      </c>
      <c r="KX672" s="27" t="s">
        <v>7</v>
      </c>
    </row>
    <row r="673" spans="1:420" x14ac:dyDescent="0.25">
      <c r="A673" s="7">
        <v>0.18213156881997963</v>
      </c>
      <c r="B673"/>
      <c r="C673"/>
      <c r="D673"/>
      <c r="E673"/>
      <c r="F673" s="27" t="s">
        <v>7</v>
      </c>
      <c r="KC673" s="27" t="s">
        <v>8</v>
      </c>
      <c r="KD673" s="27" t="s">
        <v>7</v>
      </c>
      <c r="KM673" s="27" t="s">
        <v>8</v>
      </c>
      <c r="KN673" s="27" t="s">
        <v>7</v>
      </c>
      <c r="KO673" s="27" t="s">
        <v>8</v>
      </c>
      <c r="KX673" s="27" t="s">
        <v>7</v>
      </c>
    </row>
    <row r="674" spans="1:420" x14ac:dyDescent="0.25">
      <c r="A674" s="7">
        <v>0.17856036158821534</v>
      </c>
      <c r="B674"/>
      <c r="C674"/>
      <c r="D674"/>
      <c r="E674"/>
      <c r="F674" s="27" t="s">
        <v>7</v>
      </c>
      <c r="KC674" s="27" t="s">
        <v>8</v>
      </c>
      <c r="KD674" s="27" t="s">
        <v>7</v>
      </c>
      <c r="KM674" s="27" t="s">
        <v>8</v>
      </c>
      <c r="KN674" s="27" t="s">
        <v>7</v>
      </c>
      <c r="KO674" s="27" t="s">
        <v>8</v>
      </c>
      <c r="KX674" s="27" t="s">
        <v>7</v>
      </c>
    </row>
    <row r="675" spans="1:420" x14ac:dyDescent="0.25">
      <c r="A675" s="7">
        <v>0.17505917802766208</v>
      </c>
      <c r="B675"/>
      <c r="C675"/>
      <c r="D675"/>
      <c r="E675"/>
      <c r="F675" s="27" t="s">
        <v>7</v>
      </c>
      <c r="KC675" s="27" t="s">
        <v>8</v>
      </c>
      <c r="KD675" s="27" t="s">
        <v>7</v>
      </c>
      <c r="KM675" s="27" t="s">
        <v>8</v>
      </c>
      <c r="KN675" s="27" t="s">
        <v>7</v>
      </c>
      <c r="KO675" s="27" t="s">
        <v>8</v>
      </c>
      <c r="KX675" s="27" t="s">
        <v>7</v>
      </c>
    </row>
    <row r="676" spans="1:420" x14ac:dyDescent="0.25">
      <c r="A676" s="7">
        <v>0.17162664512515888</v>
      </c>
      <c r="B676"/>
      <c r="C676"/>
      <c r="D676"/>
      <c r="E676"/>
      <c r="F676" s="27" t="s">
        <v>7</v>
      </c>
      <c r="KC676" s="27" t="s">
        <v>8</v>
      </c>
      <c r="KD676" s="27" t="s">
        <v>7</v>
      </c>
      <c r="KM676" s="27" t="s">
        <v>8</v>
      </c>
      <c r="KN676" s="27" t="s">
        <v>7</v>
      </c>
      <c r="KO676" s="27" t="s">
        <v>8</v>
      </c>
      <c r="KX676" s="27" t="s">
        <v>7</v>
      </c>
      <c r="LE676" s="27" t="s">
        <v>8</v>
      </c>
    </row>
    <row r="677" spans="1:420" x14ac:dyDescent="0.25">
      <c r="A677" s="7">
        <v>0.16826141678937145</v>
      </c>
      <c r="B677"/>
      <c r="C677"/>
      <c r="D677"/>
      <c r="E677"/>
      <c r="F677" s="27" t="s">
        <v>7</v>
      </c>
      <c r="KC677" s="27" t="s">
        <v>8</v>
      </c>
      <c r="KD677" s="27" t="s">
        <v>7</v>
      </c>
      <c r="KE677" s="27" t="s">
        <v>8</v>
      </c>
      <c r="KM677" s="27" t="s">
        <v>8</v>
      </c>
      <c r="KN677" s="27" t="s">
        <v>7</v>
      </c>
      <c r="KO677" s="27" t="s">
        <v>8</v>
      </c>
      <c r="KX677" s="27" t="s">
        <v>7</v>
      </c>
      <c r="LE677" s="27" t="s">
        <v>8</v>
      </c>
      <c r="LF677" s="27" t="s">
        <v>7</v>
      </c>
      <c r="OU677" s="27" t="s">
        <v>8</v>
      </c>
    </row>
    <row r="678" spans="1:420" x14ac:dyDescent="0.25">
      <c r="A678" s="7">
        <v>0.16496217332291319</v>
      </c>
      <c r="B678"/>
      <c r="C678"/>
      <c r="D678"/>
      <c r="E678"/>
      <c r="F678" s="27" t="s">
        <v>7</v>
      </c>
      <c r="KC678" s="27" t="s">
        <v>8</v>
      </c>
      <c r="KD678" s="27" t="s">
        <v>7</v>
      </c>
      <c r="KE678" s="27" t="s">
        <v>8</v>
      </c>
      <c r="KF678" s="27" t="s">
        <v>7</v>
      </c>
      <c r="KI678" s="27" t="s">
        <v>8</v>
      </c>
      <c r="KM678" s="27" t="s">
        <v>8</v>
      </c>
      <c r="KN678" s="27" t="s">
        <v>7</v>
      </c>
      <c r="KX678" s="27" t="s">
        <v>7</v>
      </c>
      <c r="LE678" s="27" t="s">
        <v>8</v>
      </c>
      <c r="LF678" s="27" t="s">
        <v>7</v>
      </c>
      <c r="OU678" s="27" t="s">
        <v>8</v>
      </c>
      <c r="OV678" s="27" t="s">
        <v>7</v>
      </c>
    </row>
    <row r="679" spans="1:420" x14ac:dyDescent="0.25">
      <c r="A679" s="7">
        <v>0.16172762090481685</v>
      </c>
      <c r="B679"/>
      <c r="C679"/>
      <c r="D679"/>
      <c r="E679"/>
      <c r="F679" s="27" t="s">
        <v>7</v>
      </c>
      <c r="KC679" s="27" t="s">
        <v>8</v>
      </c>
      <c r="KD679" s="27" t="s">
        <v>7</v>
      </c>
      <c r="KE679" s="27" t="s">
        <v>8</v>
      </c>
      <c r="KF679" s="27" t="s">
        <v>7</v>
      </c>
      <c r="KI679" s="27" t="s">
        <v>8</v>
      </c>
      <c r="KJ679" s="27" t="s">
        <v>7</v>
      </c>
      <c r="KM679" s="27" t="s">
        <v>8</v>
      </c>
      <c r="KX679" s="27" t="s">
        <v>7</v>
      </c>
      <c r="LE679" s="27" t="s">
        <v>8</v>
      </c>
      <c r="LF679" s="27" t="s">
        <v>7</v>
      </c>
      <c r="LG679" s="27" t="s">
        <v>8</v>
      </c>
      <c r="OU679" s="27" t="s">
        <v>8</v>
      </c>
      <c r="OV679" s="27" t="s">
        <v>7</v>
      </c>
    </row>
    <row r="680" spans="1:420" x14ac:dyDescent="0.25">
      <c r="A680" s="7">
        <v>0.15855649108315376</v>
      </c>
      <c r="B680"/>
      <c r="C680"/>
      <c r="D680"/>
      <c r="E680"/>
      <c r="F680" s="27" t="s">
        <v>7</v>
      </c>
      <c r="KC680" s="27" t="s">
        <v>8</v>
      </c>
      <c r="KD680" s="27" t="s">
        <v>7</v>
      </c>
      <c r="KE680" s="27" t="s">
        <v>8</v>
      </c>
      <c r="KF680" s="27" t="s">
        <v>7</v>
      </c>
      <c r="KI680" s="27" t="s">
        <v>8</v>
      </c>
      <c r="KJ680" s="27" t="s">
        <v>7</v>
      </c>
      <c r="KM680" s="27" t="s">
        <v>8</v>
      </c>
      <c r="KX680" s="27" t="s">
        <v>7</v>
      </c>
      <c r="LC680" s="27" t="s">
        <v>8</v>
      </c>
      <c r="LE680" s="27" t="s">
        <v>8</v>
      </c>
      <c r="LF680" s="27" t="s">
        <v>7</v>
      </c>
      <c r="LG680" s="27" t="s">
        <v>8</v>
      </c>
      <c r="LH680" s="27" t="s">
        <v>7</v>
      </c>
      <c r="LI680" s="27" t="s">
        <v>8</v>
      </c>
      <c r="OU680" s="27" t="s">
        <v>8</v>
      </c>
      <c r="OV680" s="27" t="s">
        <v>7</v>
      </c>
      <c r="PC680" s="27" t="s">
        <v>8</v>
      </c>
    </row>
    <row r="681" spans="1:420" x14ac:dyDescent="0.25">
      <c r="A681" s="7">
        <v>0.15544754027760171</v>
      </c>
      <c r="B681"/>
      <c r="C681"/>
      <c r="D681"/>
      <c r="E681"/>
      <c r="F681" s="27" t="s">
        <v>7</v>
      </c>
      <c r="KC681" s="27" t="s">
        <v>8</v>
      </c>
      <c r="KD681" s="27" t="s">
        <v>7</v>
      </c>
      <c r="KE681" s="27" t="s">
        <v>8</v>
      </c>
      <c r="KF681" s="27" t="s">
        <v>7</v>
      </c>
      <c r="KI681" s="27" t="s">
        <v>8</v>
      </c>
      <c r="KJ681" s="27" t="s">
        <v>7</v>
      </c>
      <c r="KK681" s="27" t="s">
        <v>8</v>
      </c>
      <c r="KM681" s="27" t="s">
        <v>8</v>
      </c>
      <c r="KX681" s="27" t="s">
        <v>7</v>
      </c>
      <c r="LA681" s="27" t="s">
        <v>8</v>
      </c>
      <c r="LC681" s="27" t="s">
        <v>8</v>
      </c>
      <c r="LD681" s="27" t="s">
        <v>7</v>
      </c>
      <c r="LE681" s="27" t="s">
        <v>8</v>
      </c>
      <c r="LF681" s="27" t="s">
        <v>7</v>
      </c>
      <c r="LG681" s="27" t="s">
        <v>8</v>
      </c>
      <c r="LH681" s="27" t="s">
        <v>7</v>
      </c>
      <c r="LI681" s="27" t="s">
        <v>8</v>
      </c>
      <c r="LJ681" s="27" t="s">
        <v>7</v>
      </c>
      <c r="OU681" s="27" t="s">
        <v>8</v>
      </c>
      <c r="OV681" s="27" t="s">
        <v>7</v>
      </c>
      <c r="PC681" s="27" t="s">
        <v>8</v>
      </c>
      <c r="PD681" s="27" t="s">
        <v>7</v>
      </c>
    </row>
    <row r="682" spans="1:420" x14ac:dyDescent="0.25">
      <c r="A682" s="7">
        <v>0.15239954929176638</v>
      </c>
      <c r="B682"/>
      <c r="C682"/>
      <c r="D682"/>
      <c r="E682"/>
      <c r="F682" s="27" t="s">
        <v>7</v>
      </c>
      <c r="KC682" s="27" t="s">
        <v>8</v>
      </c>
      <c r="KD682" s="27" t="s">
        <v>7</v>
      </c>
      <c r="KE682" s="27" t="s">
        <v>8</v>
      </c>
      <c r="KF682" s="27" t="s">
        <v>7</v>
      </c>
      <c r="KG682" s="27" t="s">
        <v>8</v>
      </c>
      <c r="KI682" s="27" t="s">
        <v>8</v>
      </c>
      <c r="KJ682" s="27" t="s">
        <v>7</v>
      </c>
      <c r="KK682" s="27" t="s">
        <v>8</v>
      </c>
      <c r="KL682" s="27" t="s">
        <v>7</v>
      </c>
      <c r="KM682" s="27" t="s">
        <v>8</v>
      </c>
      <c r="KX682" s="27" t="s">
        <v>7</v>
      </c>
      <c r="LA682" s="27" t="s">
        <v>8</v>
      </c>
      <c r="LB682" s="27" t="s">
        <v>7</v>
      </c>
      <c r="LC682" s="27" t="s">
        <v>8</v>
      </c>
      <c r="LD682" s="27" t="s">
        <v>7</v>
      </c>
      <c r="LE682" s="27" t="s">
        <v>8</v>
      </c>
      <c r="LF682" s="27" t="s">
        <v>7</v>
      </c>
      <c r="LG682" s="27" t="s">
        <v>8</v>
      </c>
      <c r="LH682" s="27" t="s">
        <v>7</v>
      </c>
      <c r="LI682" s="27" t="s">
        <v>8</v>
      </c>
      <c r="LJ682" s="27" t="s">
        <v>7</v>
      </c>
      <c r="OU682" s="27" t="s">
        <v>8</v>
      </c>
      <c r="OV682" s="27" t="s">
        <v>7</v>
      </c>
      <c r="PC682" s="27" t="s">
        <v>8</v>
      </c>
      <c r="PD682" s="27" t="s">
        <v>7</v>
      </c>
    </row>
    <row r="683" spans="1:420" x14ac:dyDescent="0.25">
      <c r="A683" s="7">
        <v>0.14941132283506509</v>
      </c>
      <c r="B683"/>
      <c r="C683"/>
      <c r="D683"/>
      <c r="E683"/>
      <c r="F683" s="27" t="s">
        <v>7</v>
      </c>
      <c r="KC683" s="27" t="s">
        <v>8</v>
      </c>
      <c r="KD683" s="27" t="s">
        <v>7</v>
      </c>
      <c r="KE683" s="27" t="s">
        <v>8</v>
      </c>
      <c r="KF683" s="27" t="s">
        <v>7</v>
      </c>
      <c r="KG683" s="27" t="s">
        <v>8</v>
      </c>
      <c r="KH683" s="27" t="s">
        <v>7</v>
      </c>
      <c r="KI683" s="27" t="s">
        <v>8</v>
      </c>
      <c r="KJ683" s="27" t="s">
        <v>7</v>
      </c>
      <c r="KK683" s="27" t="s">
        <v>8</v>
      </c>
      <c r="KL683" s="27" t="s">
        <v>7</v>
      </c>
      <c r="KM683" s="27" t="s">
        <v>8</v>
      </c>
      <c r="KX683" s="27" t="s">
        <v>7</v>
      </c>
      <c r="KY683" s="27" t="s">
        <v>8</v>
      </c>
      <c r="LA683" s="27" t="s">
        <v>8</v>
      </c>
      <c r="LB683" s="27" t="s">
        <v>7</v>
      </c>
      <c r="LC683" s="27" t="s">
        <v>8</v>
      </c>
      <c r="LD683" s="27" t="s">
        <v>7</v>
      </c>
      <c r="LE683" s="27" t="s">
        <v>8</v>
      </c>
      <c r="LF683" s="27" t="s">
        <v>7</v>
      </c>
      <c r="LG683" s="27" t="s">
        <v>8</v>
      </c>
      <c r="LH683" s="27" t="s">
        <v>7</v>
      </c>
      <c r="LI683" s="27" t="s">
        <v>8</v>
      </c>
      <c r="LJ683" s="27" t="s">
        <v>7</v>
      </c>
      <c r="OU683" s="27" t="s">
        <v>8</v>
      </c>
      <c r="OV683" s="27" t="s">
        <v>7</v>
      </c>
      <c r="PC683" s="27" t="s">
        <v>8</v>
      </c>
      <c r="PD683" s="27" t="s">
        <v>7</v>
      </c>
    </row>
    <row r="684" spans="1:420" x14ac:dyDescent="0.25">
      <c r="A684" s="7">
        <v>0.14648168905398537</v>
      </c>
      <c r="B684"/>
      <c r="C684"/>
      <c r="D684"/>
      <c r="E684"/>
      <c r="F684" s="27" t="s">
        <v>7</v>
      </c>
      <c r="KC684" s="27" t="s">
        <v>8</v>
      </c>
      <c r="KD684" s="27" t="s">
        <v>7</v>
      </c>
      <c r="KE684" s="27" t="s">
        <v>8</v>
      </c>
      <c r="KF684" s="27" t="s">
        <v>7</v>
      </c>
      <c r="KG684" s="27" t="s">
        <v>8</v>
      </c>
      <c r="KH684" s="27" t="s">
        <v>7</v>
      </c>
      <c r="KI684" s="27" t="s">
        <v>8</v>
      </c>
      <c r="KJ684" s="27" t="s">
        <v>7</v>
      </c>
      <c r="KK684" s="27" t="s">
        <v>8</v>
      </c>
      <c r="KL684" s="27" t="s">
        <v>7</v>
      </c>
      <c r="KM684" s="27" t="s">
        <v>8</v>
      </c>
      <c r="KX684" s="27" t="s">
        <v>7</v>
      </c>
      <c r="KY684" s="27" t="s">
        <v>8</v>
      </c>
      <c r="KZ684" s="27" t="s">
        <v>7</v>
      </c>
      <c r="LA684" s="27" t="s">
        <v>8</v>
      </c>
      <c r="LB684" s="27" t="s">
        <v>7</v>
      </c>
      <c r="LC684" s="27" t="s">
        <v>8</v>
      </c>
      <c r="LD684" s="27" t="s">
        <v>7</v>
      </c>
      <c r="LE684" s="27" t="s">
        <v>8</v>
      </c>
      <c r="LF684" s="27" t="s">
        <v>7</v>
      </c>
      <c r="LG684" s="27" t="s">
        <v>8</v>
      </c>
      <c r="LH684" s="27" t="s">
        <v>7</v>
      </c>
      <c r="LI684" s="27" t="s">
        <v>8</v>
      </c>
      <c r="LJ684" s="27" t="s">
        <v>7</v>
      </c>
      <c r="OU684" s="27" t="s">
        <v>8</v>
      </c>
      <c r="OV684" s="27" t="s">
        <v>7</v>
      </c>
      <c r="PC684" s="27" t="s">
        <v>8</v>
      </c>
      <c r="PD684" s="27" t="s">
        <v>7</v>
      </c>
    </row>
    <row r="685" spans="1:420" x14ac:dyDescent="0.25">
      <c r="A685" s="7">
        <v>0.14360949907253467</v>
      </c>
      <c r="B685"/>
      <c r="C685"/>
      <c r="D685"/>
      <c r="E685"/>
      <c r="F685" s="27" t="s">
        <v>7</v>
      </c>
      <c r="KC685" s="27" t="s">
        <v>8</v>
      </c>
      <c r="KD685" s="27" t="s">
        <v>7</v>
      </c>
      <c r="KF685" s="27" t="s">
        <v>7</v>
      </c>
      <c r="KG685" s="27" t="s">
        <v>8</v>
      </c>
      <c r="KH685" s="27" t="s">
        <v>7</v>
      </c>
      <c r="KI685" s="27" t="s">
        <v>8</v>
      </c>
      <c r="KJ685" s="27" t="s">
        <v>7</v>
      </c>
      <c r="KK685" s="27" t="s">
        <v>8</v>
      </c>
      <c r="KL685" s="27" t="s">
        <v>7</v>
      </c>
      <c r="KM685" s="27" t="s">
        <v>8</v>
      </c>
      <c r="KX685" s="27" t="s">
        <v>7</v>
      </c>
      <c r="KY685" s="27" t="s">
        <v>8</v>
      </c>
      <c r="KZ685" s="27" t="s">
        <v>7</v>
      </c>
      <c r="LA685" s="27" t="s">
        <v>8</v>
      </c>
      <c r="LB685" s="27" t="s">
        <v>7</v>
      </c>
      <c r="LC685" s="27" t="s">
        <v>8</v>
      </c>
      <c r="LD685" s="27" t="s">
        <v>7</v>
      </c>
      <c r="LF685" s="27" t="s">
        <v>7</v>
      </c>
      <c r="LG685" s="27" t="s">
        <v>8</v>
      </c>
      <c r="LH685" s="27" t="s">
        <v>7</v>
      </c>
      <c r="LI685" s="27" t="s">
        <v>8</v>
      </c>
      <c r="LJ685" s="27" t="s">
        <v>7</v>
      </c>
      <c r="OU685" s="27" t="s">
        <v>8</v>
      </c>
      <c r="OV685" s="27" t="s">
        <v>7</v>
      </c>
      <c r="PC685" s="27" t="s">
        <v>8</v>
      </c>
      <c r="PD685" s="27" t="s">
        <v>7</v>
      </c>
    </row>
    <row r="686" spans="1:420" x14ac:dyDescent="0.25">
      <c r="A686" s="7">
        <v>0.14079362654170066</v>
      </c>
      <c r="B686"/>
      <c r="C686"/>
      <c r="D686"/>
      <c r="E686"/>
      <c r="F686" s="27" t="s">
        <v>7</v>
      </c>
      <c r="KC686" s="27" t="s">
        <v>8</v>
      </c>
      <c r="KF686" s="27" t="s">
        <v>7</v>
      </c>
      <c r="KG686" s="27" t="s">
        <v>8</v>
      </c>
      <c r="KH686" s="27" t="s">
        <v>7</v>
      </c>
      <c r="KI686" s="27" t="s">
        <v>8</v>
      </c>
      <c r="KJ686" s="27" t="s">
        <v>7</v>
      </c>
      <c r="KK686" s="27" t="s">
        <v>8</v>
      </c>
      <c r="KL686" s="27" t="s">
        <v>7</v>
      </c>
      <c r="KX686" s="27" t="s">
        <v>7</v>
      </c>
      <c r="KY686" s="27" t="s">
        <v>8</v>
      </c>
      <c r="KZ686" s="27" t="s">
        <v>7</v>
      </c>
      <c r="LA686" s="27" t="s">
        <v>8</v>
      </c>
      <c r="LB686" s="27" t="s">
        <v>7</v>
      </c>
      <c r="LC686" s="27" t="s">
        <v>8</v>
      </c>
      <c r="LF686" s="27" t="s">
        <v>7</v>
      </c>
      <c r="LH686" s="27" t="s">
        <v>7</v>
      </c>
      <c r="LI686" s="27" t="s">
        <v>8</v>
      </c>
      <c r="LJ686" s="27" t="s">
        <v>7</v>
      </c>
      <c r="OU686" s="27" t="s">
        <v>8</v>
      </c>
      <c r="OV686" s="27" t="s">
        <v>7</v>
      </c>
      <c r="PC686" s="27" t="s">
        <v>8</v>
      </c>
      <c r="PD686" s="27" t="s">
        <v>7</v>
      </c>
    </row>
    <row r="687" spans="1:420" x14ac:dyDescent="0.25">
      <c r="A687" s="7">
        <v>0.13803296719774574</v>
      </c>
      <c r="B687"/>
      <c r="C687"/>
      <c r="D687"/>
      <c r="E687"/>
      <c r="F687" s="27" t="s">
        <v>7</v>
      </c>
      <c r="KC687" s="27" t="s">
        <v>8</v>
      </c>
      <c r="KF687" s="27" t="s">
        <v>7</v>
      </c>
      <c r="KG687" s="27" t="s">
        <v>8</v>
      </c>
      <c r="KH687" s="27" t="s">
        <v>7</v>
      </c>
      <c r="KI687" s="27" t="s">
        <v>8</v>
      </c>
      <c r="KJ687" s="27" t="s">
        <v>7</v>
      </c>
      <c r="KK687" s="27" t="s">
        <v>8</v>
      </c>
      <c r="KX687" s="27" t="s">
        <v>7</v>
      </c>
      <c r="KY687" s="27" t="s">
        <v>8</v>
      </c>
      <c r="KZ687" s="27" t="s">
        <v>7</v>
      </c>
      <c r="LA687" s="27" t="s">
        <v>8</v>
      </c>
      <c r="LB687" s="27" t="s">
        <v>7</v>
      </c>
      <c r="LC687" s="27" t="s">
        <v>8</v>
      </c>
      <c r="LH687" s="27" t="s">
        <v>7</v>
      </c>
      <c r="LI687" s="27" t="s">
        <v>8</v>
      </c>
      <c r="LJ687" s="27" t="s">
        <v>7</v>
      </c>
      <c r="OU687" s="27" t="s">
        <v>8</v>
      </c>
      <c r="OV687" s="27" t="s">
        <v>7</v>
      </c>
      <c r="PC687" s="27" t="s">
        <v>8</v>
      </c>
      <c r="PD687" s="27" t="s">
        <v>7</v>
      </c>
    </row>
    <row r="688" spans="1:420" x14ac:dyDescent="0.25">
      <c r="A688" s="7">
        <v>0.1353264384291625</v>
      </c>
      <c r="B688"/>
      <c r="C688"/>
      <c r="D688"/>
      <c r="E688"/>
      <c r="F688" s="27" t="s">
        <v>7</v>
      </c>
      <c r="KA688" s="27" t="s">
        <v>8</v>
      </c>
      <c r="KC688" s="27" t="s">
        <v>8</v>
      </c>
      <c r="KF688" s="27" t="s">
        <v>7</v>
      </c>
      <c r="KG688" s="27" t="s">
        <v>8</v>
      </c>
      <c r="KH688" s="27" t="s">
        <v>7</v>
      </c>
      <c r="KI688" s="27" t="s">
        <v>8</v>
      </c>
      <c r="KJ688" s="27" t="s">
        <v>7</v>
      </c>
      <c r="KK688" s="27" t="s">
        <v>8</v>
      </c>
      <c r="KX688" s="27" t="s">
        <v>7</v>
      </c>
      <c r="KY688" s="27" t="s">
        <v>8</v>
      </c>
      <c r="KZ688" s="27" t="s">
        <v>7</v>
      </c>
      <c r="LA688" s="27" t="s">
        <v>8</v>
      </c>
      <c r="LB688" s="27" t="s">
        <v>7</v>
      </c>
      <c r="LC688" s="27" t="s">
        <v>8</v>
      </c>
      <c r="LH688" s="27" t="s">
        <v>7</v>
      </c>
      <c r="LI688" s="27" t="s">
        <v>8</v>
      </c>
      <c r="LJ688" s="27" t="s">
        <v>7</v>
      </c>
      <c r="OU688" s="27" t="s">
        <v>8</v>
      </c>
      <c r="OV688" s="27" t="s">
        <v>7</v>
      </c>
      <c r="PC688" s="27" t="s">
        <v>8</v>
      </c>
      <c r="PD688" s="27" t="s">
        <v>7</v>
      </c>
    </row>
    <row r="689" spans="1:434" x14ac:dyDescent="0.25">
      <c r="A689" s="7">
        <v>0.13267297885212009</v>
      </c>
      <c r="B689"/>
      <c r="C689"/>
      <c r="D689"/>
      <c r="E689"/>
      <c r="F689" s="27" t="s">
        <v>7</v>
      </c>
      <c r="KA689" s="27" t="s">
        <v>8</v>
      </c>
      <c r="KB689" s="27" t="s">
        <v>7</v>
      </c>
      <c r="KC689" s="27" t="s">
        <v>8</v>
      </c>
      <c r="KF689" s="27" t="s">
        <v>7</v>
      </c>
      <c r="KH689" s="27" t="s">
        <v>7</v>
      </c>
      <c r="KI689" s="27" t="s">
        <v>8</v>
      </c>
      <c r="KJ689" s="27" t="s">
        <v>7</v>
      </c>
      <c r="KK689" s="27" t="s">
        <v>8</v>
      </c>
      <c r="KX689" s="27" t="s">
        <v>7</v>
      </c>
      <c r="KY689" s="27" t="s">
        <v>8</v>
      </c>
      <c r="KZ689" s="27" t="s">
        <v>7</v>
      </c>
      <c r="LA689" s="27" t="s">
        <v>8</v>
      </c>
      <c r="LB689" s="27" t="s">
        <v>7</v>
      </c>
      <c r="LC689" s="27" t="s">
        <v>8</v>
      </c>
      <c r="LH689" s="27" t="s">
        <v>7</v>
      </c>
      <c r="LI689" s="27" t="s">
        <v>8</v>
      </c>
      <c r="LJ689" s="27" t="s">
        <v>7</v>
      </c>
      <c r="OU689" s="27" t="s">
        <v>8</v>
      </c>
      <c r="OV689" s="27" t="s">
        <v>7</v>
      </c>
      <c r="PC689" s="27" t="s">
        <v>8</v>
      </c>
      <c r="PD689" s="27" t="s">
        <v>7</v>
      </c>
    </row>
    <row r="690" spans="1:434" x14ac:dyDescent="0.25">
      <c r="A690" s="7">
        <v>0.13007154789423539</v>
      </c>
      <c r="B690"/>
      <c r="C690"/>
      <c r="D690"/>
      <c r="E690"/>
      <c r="F690" s="27" t="s">
        <v>7</v>
      </c>
      <c r="KA690" s="27" t="s">
        <v>8</v>
      </c>
      <c r="KB690" s="27" t="s">
        <v>7</v>
      </c>
      <c r="KC690" s="27" t="s">
        <v>8</v>
      </c>
      <c r="KH690" s="27" t="s">
        <v>7</v>
      </c>
      <c r="KI690" s="27" t="s">
        <v>8</v>
      </c>
      <c r="KJ690" s="27" t="s">
        <v>7</v>
      </c>
      <c r="KK690" s="27" t="s">
        <v>8</v>
      </c>
      <c r="KX690" s="27" t="s">
        <v>7</v>
      </c>
      <c r="KY690" s="27" t="s">
        <v>8</v>
      </c>
      <c r="KZ690" s="27" t="s">
        <v>7</v>
      </c>
      <c r="LA690" s="27" t="s">
        <v>8</v>
      </c>
      <c r="LB690" s="27" t="s">
        <v>7</v>
      </c>
      <c r="LH690" s="27" t="s">
        <v>7</v>
      </c>
      <c r="LI690" s="27" t="s">
        <v>8</v>
      </c>
      <c r="LJ690" s="27" t="s">
        <v>7</v>
      </c>
      <c r="OU690" s="27" t="s">
        <v>8</v>
      </c>
      <c r="OV690" s="27" t="s">
        <v>7</v>
      </c>
      <c r="PC690" s="27" t="s">
        <v>8</v>
      </c>
      <c r="PD690" s="27" t="s">
        <v>7</v>
      </c>
    </row>
    <row r="691" spans="1:434" x14ac:dyDescent="0.25">
      <c r="A691" s="7">
        <v>0.12752112538650529</v>
      </c>
      <c r="B691"/>
      <c r="C691"/>
      <c r="D691"/>
      <c r="E691"/>
      <c r="F691" s="27" t="s">
        <v>7</v>
      </c>
      <c r="KA691" s="27" t="s">
        <v>8</v>
      </c>
      <c r="KB691" s="27" t="s">
        <v>7</v>
      </c>
      <c r="KC691" s="27" t="s">
        <v>8</v>
      </c>
      <c r="KH691" s="27" t="s">
        <v>7</v>
      </c>
      <c r="KI691" s="27" t="s">
        <v>8</v>
      </c>
      <c r="KJ691" s="27" t="s">
        <v>7</v>
      </c>
      <c r="KX691" s="27" t="s">
        <v>7</v>
      </c>
      <c r="KZ691" s="27" t="s">
        <v>7</v>
      </c>
      <c r="LA691" s="27" t="s">
        <v>8</v>
      </c>
      <c r="LH691" s="27" t="s">
        <v>7</v>
      </c>
      <c r="LI691" s="27" t="s">
        <v>8</v>
      </c>
      <c r="LJ691" s="27" t="s">
        <v>7</v>
      </c>
      <c r="LK691" s="27" t="s">
        <v>8</v>
      </c>
      <c r="OU691" s="27" t="s">
        <v>8</v>
      </c>
      <c r="OV691" s="27" t="s">
        <v>7</v>
      </c>
      <c r="PC691" s="27" t="s">
        <v>8</v>
      </c>
      <c r="PD691" s="27" t="s">
        <v>7</v>
      </c>
    </row>
    <row r="692" spans="1:434" x14ac:dyDescent="0.25">
      <c r="A692" s="7">
        <v>0.12502071116324048</v>
      </c>
      <c r="B692"/>
      <c r="C692"/>
      <c r="D692"/>
      <c r="E692"/>
      <c r="F692" s="27" t="s">
        <v>7</v>
      </c>
      <c r="KA692" s="27" t="s">
        <v>8</v>
      </c>
      <c r="KB692" s="27" t="s">
        <v>7</v>
      </c>
      <c r="KC692" s="27" t="s">
        <v>8</v>
      </c>
      <c r="KH692" s="27" t="s">
        <v>7</v>
      </c>
      <c r="KI692" s="27" t="s">
        <v>8</v>
      </c>
      <c r="KZ692" s="27" t="s">
        <v>7</v>
      </c>
      <c r="LA692" s="27" t="s">
        <v>8</v>
      </c>
      <c r="LH692" s="27" t="s">
        <v>7</v>
      </c>
      <c r="LJ692" s="27" t="s">
        <v>7</v>
      </c>
      <c r="LK692" s="27" t="s">
        <v>8</v>
      </c>
      <c r="LL692" s="27" t="s">
        <v>7</v>
      </c>
      <c r="MC692" s="27" t="s">
        <v>8</v>
      </c>
      <c r="OU692" s="27" t="s">
        <v>8</v>
      </c>
      <c r="OV692" s="27" t="s">
        <v>7</v>
      </c>
      <c r="PC692" s="27" t="s">
        <v>8</v>
      </c>
      <c r="PD692" s="27" t="s">
        <v>7</v>
      </c>
    </row>
    <row r="693" spans="1:434" x14ac:dyDescent="0.25">
      <c r="A693" s="7">
        <v>0.1225693246698436</v>
      </c>
      <c r="B693"/>
      <c r="C693"/>
      <c r="D693"/>
      <c r="E693"/>
      <c r="F693" s="27" t="s">
        <v>7</v>
      </c>
      <c r="KA693" s="27" t="s">
        <v>8</v>
      </c>
      <c r="KB693" s="27" t="s">
        <v>7</v>
      </c>
      <c r="KC693" s="27" t="s">
        <v>8</v>
      </c>
      <c r="KH693" s="27" t="s">
        <v>7</v>
      </c>
      <c r="KZ693" s="27" t="s">
        <v>7</v>
      </c>
      <c r="LA693" s="27" t="s">
        <v>8</v>
      </c>
      <c r="LJ693" s="27" t="s">
        <v>7</v>
      </c>
      <c r="LK693" s="27" t="s">
        <v>8</v>
      </c>
      <c r="LL693" s="27" t="s">
        <v>7</v>
      </c>
      <c r="LW693" s="27" t="s">
        <v>8</v>
      </c>
      <c r="MC693" s="27" t="s">
        <v>8</v>
      </c>
      <c r="MD693" s="27" t="s">
        <v>7</v>
      </c>
      <c r="NO693" s="27" t="s">
        <v>8</v>
      </c>
      <c r="OU693" s="27" t="s">
        <v>8</v>
      </c>
      <c r="OV693" s="27" t="s">
        <v>7</v>
      </c>
      <c r="PC693" s="27" t="s">
        <v>8</v>
      </c>
      <c r="PD693" s="27" t="s">
        <v>7</v>
      </c>
    </row>
    <row r="694" spans="1:434" x14ac:dyDescent="0.25">
      <c r="A694" s="7">
        <v>0.12016600457827803</v>
      </c>
      <c r="B694"/>
      <c r="C694"/>
      <c r="D694"/>
      <c r="E694"/>
      <c r="F694" s="27" t="s">
        <v>7</v>
      </c>
      <c r="KA694" s="27" t="s">
        <v>8</v>
      </c>
      <c r="KB694" s="27" t="s">
        <v>7</v>
      </c>
      <c r="KC694" s="27" t="s">
        <v>8</v>
      </c>
      <c r="KZ694" s="27" t="s">
        <v>7</v>
      </c>
      <c r="LA694" s="27" t="s">
        <v>8</v>
      </c>
      <c r="LJ694" s="27" t="s">
        <v>7</v>
      </c>
      <c r="LK694" s="27" t="s">
        <v>8</v>
      </c>
      <c r="LL694" s="27" t="s">
        <v>7</v>
      </c>
      <c r="LW694" s="27" t="s">
        <v>8</v>
      </c>
      <c r="LX694" s="27" t="s">
        <v>7</v>
      </c>
      <c r="MC694" s="27" t="s">
        <v>8</v>
      </c>
      <c r="MD694" s="27" t="s">
        <v>7</v>
      </c>
      <c r="NO694" s="27" t="s">
        <v>8</v>
      </c>
      <c r="NP694" s="27" t="s">
        <v>7</v>
      </c>
      <c r="OU694" s="27" t="s">
        <v>8</v>
      </c>
      <c r="OV694" s="27" t="s">
        <v>7</v>
      </c>
      <c r="PC694" s="27" t="s">
        <v>8</v>
      </c>
      <c r="PD694" s="27" t="s">
        <v>7</v>
      </c>
    </row>
    <row r="695" spans="1:434" x14ac:dyDescent="0.25">
      <c r="A695" s="7">
        <v>0.1178098084100765</v>
      </c>
      <c r="B695"/>
      <c r="C695"/>
      <c r="D695"/>
      <c r="E695"/>
      <c r="F695" s="27" t="s">
        <v>7</v>
      </c>
      <c r="KA695" s="27" t="s">
        <v>8</v>
      </c>
      <c r="KB695" s="27" t="s">
        <v>7</v>
      </c>
      <c r="KC695" s="27" t="s">
        <v>8</v>
      </c>
      <c r="KZ695" s="27" t="s">
        <v>7</v>
      </c>
      <c r="LA695" s="27" t="s">
        <v>8</v>
      </c>
      <c r="LJ695" s="27" t="s">
        <v>7</v>
      </c>
      <c r="LK695" s="27" t="s">
        <v>8</v>
      </c>
      <c r="LL695" s="27" t="s">
        <v>7</v>
      </c>
      <c r="LM695" s="27" t="s">
        <v>8</v>
      </c>
      <c r="LW695" s="27" t="s">
        <v>8</v>
      </c>
      <c r="LX695" s="27" t="s">
        <v>7</v>
      </c>
      <c r="MC695" s="27" t="s">
        <v>8</v>
      </c>
      <c r="MD695" s="27" t="s">
        <v>7</v>
      </c>
      <c r="NO695" s="27" t="s">
        <v>8</v>
      </c>
      <c r="NP695" s="27" t="s">
        <v>7</v>
      </c>
      <c r="OU695" s="27" t="s">
        <v>8</v>
      </c>
      <c r="OV695" s="27" t="s">
        <v>7</v>
      </c>
      <c r="PC695" s="27" t="s">
        <v>8</v>
      </c>
      <c r="PD695" s="27" t="s">
        <v>7</v>
      </c>
    </row>
    <row r="696" spans="1:434" x14ac:dyDescent="0.25">
      <c r="A696" s="7">
        <v>0.11549981216674166</v>
      </c>
      <c r="B696"/>
      <c r="C696"/>
      <c r="D696"/>
      <c r="E696"/>
      <c r="F696" s="27" t="s">
        <v>7</v>
      </c>
      <c r="KA696" s="27" t="s">
        <v>8</v>
      </c>
      <c r="KB696" s="27" t="s">
        <v>7</v>
      </c>
      <c r="KC696" s="27" t="s">
        <v>8</v>
      </c>
      <c r="KZ696" s="27" t="s">
        <v>7</v>
      </c>
      <c r="LA696" s="27" t="s">
        <v>8</v>
      </c>
      <c r="LJ696" s="27" t="s">
        <v>7</v>
      </c>
      <c r="LK696" s="27" t="s">
        <v>8</v>
      </c>
      <c r="LL696" s="27" t="s">
        <v>7</v>
      </c>
      <c r="LM696" s="27" t="s">
        <v>8</v>
      </c>
      <c r="LN696" s="27" t="s">
        <v>7</v>
      </c>
      <c r="LW696" s="27" t="s">
        <v>8</v>
      </c>
      <c r="LX696" s="27" t="s">
        <v>7</v>
      </c>
      <c r="MC696" s="27" t="s">
        <v>8</v>
      </c>
      <c r="MD696" s="27" t="s">
        <v>7</v>
      </c>
      <c r="NO696" s="27" t="s">
        <v>8</v>
      </c>
      <c r="NP696" s="27" t="s">
        <v>7</v>
      </c>
      <c r="OU696" s="27" t="s">
        <v>8</v>
      </c>
      <c r="OV696" s="27" t="s">
        <v>7</v>
      </c>
      <c r="PC696" s="27" t="s">
        <v>8</v>
      </c>
      <c r="PD696" s="27" t="s">
        <v>7</v>
      </c>
    </row>
    <row r="697" spans="1:434" x14ac:dyDescent="0.25">
      <c r="A697" s="7">
        <v>0.11323510996739378</v>
      </c>
      <c r="B697"/>
      <c r="C697"/>
      <c r="D697"/>
      <c r="E697"/>
      <c r="F697" s="27" t="s">
        <v>7</v>
      </c>
      <c r="JY697" s="27" t="s">
        <v>8</v>
      </c>
      <c r="KA697" s="27" t="s">
        <v>8</v>
      </c>
      <c r="KB697" s="27" t="s">
        <v>7</v>
      </c>
      <c r="KC697" s="27" t="s">
        <v>8</v>
      </c>
      <c r="KZ697" s="27" t="s">
        <v>7</v>
      </c>
      <c r="LA697" s="27" t="s">
        <v>8</v>
      </c>
      <c r="LJ697" s="27" t="s">
        <v>7</v>
      </c>
      <c r="LK697" s="27" t="s">
        <v>8</v>
      </c>
      <c r="LL697" s="27" t="s">
        <v>7</v>
      </c>
      <c r="LM697" s="27" t="s">
        <v>8</v>
      </c>
      <c r="LN697" s="27" t="s">
        <v>7</v>
      </c>
      <c r="LW697" s="27" t="s">
        <v>8</v>
      </c>
      <c r="LX697" s="27" t="s">
        <v>7</v>
      </c>
      <c r="MC697" s="27" t="s">
        <v>8</v>
      </c>
      <c r="MD697" s="27" t="s">
        <v>7</v>
      </c>
      <c r="NO697" s="27" t="s">
        <v>8</v>
      </c>
      <c r="NP697" s="27" t="s">
        <v>7</v>
      </c>
      <c r="NQ697" s="27" t="s">
        <v>8</v>
      </c>
      <c r="OU697" s="27" t="s">
        <v>8</v>
      </c>
      <c r="OV697" s="27" t="s">
        <v>7</v>
      </c>
      <c r="PC697" s="27" t="s">
        <v>8</v>
      </c>
      <c r="PD697" s="27" t="s">
        <v>7</v>
      </c>
    </row>
    <row r="698" spans="1:434" x14ac:dyDescent="0.25">
      <c r="A698" s="7">
        <v>0.11101481369352331</v>
      </c>
      <c r="B698"/>
      <c r="C698"/>
      <c r="D698"/>
      <c r="E698"/>
      <c r="F698" s="27" t="s">
        <v>7</v>
      </c>
      <c r="JY698" s="27" t="s">
        <v>8</v>
      </c>
      <c r="JZ698" s="27" t="s">
        <v>7</v>
      </c>
      <c r="KA698" s="27" t="s">
        <v>8</v>
      </c>
      <c r="KB698" s="27" t="s">
        <v>7</v>
      </c>
      <c r="KC698" s="27" t="s">
        <v>8</v>
      </c>
      <c r="KZ698" s="27" t="s">
        <v>7</v>
      </c>
      <c r="LA698" s="27" t="s">
        <v>8</v>
      </c>
      <c r="LJ698" s="27" t="s">
        <v>7</v>
      </c>
      <c r="LK698" s="27" t="s">
        <v>8</v>
      </c>
      <c r="LL698" s="27" t="s">
        <v>7</v>
      </c>
      <c r="LM698" s="27" t="s">
        <v>8</v>
      </c>
      <c r="LN698" s="27" t="s">
        <v>7</v>
      </c>
      <c r="LW698" s="27" t="s">
        <v>8</v>
      </c>
      <c r="LX698" s="27" t="s">
        <v>7</v>
      </c>
      <c r="MC698" s="27" t="s">
        <v>8</v>
      </c>
      <c r="MD698" s="27" t="s">
        <v>7</v>
      </c>
      <c r="NO698" s="27" t="s">
        <v>8</v>
      </c>
      <c r="NP698" s="27" t="s">
        <v>7</v>
      </c>
      <c r="NQ698" s="27" t="s">
        <v>8</v>
      </c>
      <c r="NR698" s="27" t="s">
        <v>7</v>
      </c>
      <c r="OO698" s="27" t="s">
        <v>8</v>
      </c>
      <c r="OU698" s="27" t="s">
        <v>8</v>
      </c>
      <c r="OV698" s="27" t="s">
        <v>7</v>
      </c>
      <c r="PC698" s="27" t="s">
        <v>8</v>
      </c>
      <c r="PD698" s="27" t="s">
        <v>7</v>
      </c>
    </row>
    <row r="699" spans="1:434" x14ac:dyDescent="0.25">
      <c r="A699" s="7">
        <v>0.10883805264070913</v>
      </c>
      <c r="B699"/>
      <c r="C699"/>
      <c r="D699"/>
      <c r="E699"/>
      <c r="F699" s="27" t="s">
        <v>7</v>
      </c>
      <c r="JY699" s="27" t="s">
        <v>8</v>
      </c>
      <c r="JZ699" s="27" t="s">
        <v>7</v>
      </c>
      <c r="KA699" s="27" t="s">
        <v>8</v>
      </c>
      <c r="KB699" s="27" t="s">
        <v>7</v>
      </c>
      <c r="KZ699" s="27" t="s">
        <v>7</v>
      </c>
      <c r="LA699" s="27" t="s">
        <v>8</v>
      </c>
      <c r="LJ699" s="27" t="s">
        <v>7</v>
      </c>
      <c r="LK699" s="27" t="s">
        <v>8</v>
      </c>
      <c r="LL699" s="27" t="s">
        <v>7</v>
      </c>
      <c r="LM699" s="27" t="s">
        <v>8</v>
      </c>
      <c r="LN699" s="27" t="s">
        <v>7</v>
      </c>
      <c r="LW699" s="27" t="s">
        <v>8</v>
      </c>
      <c r="LX699" s="27" t="s">
        <v>7</v>
      </c>
      <c r="MC699" s="27" t="s">
        <v>8</v>
      </c>
      <c r="MD699" s="27" t="s">
        <v>7</v>
      </c>
      <c r="NO699" s="27" t="s">
        <v>8</v>
      </c>
      <c r="NP699" s="27" t="s">
        <v>7</v>
      </c>
      <c r="NQ699" s="27" t="s">
        <v>8</v>
      </c>
      <c r="NR699" s="27" t="s">
        <v>7</v>
      </c>
      <c r="OO699" s="27" t="s">
        <v>8</v>
      </c>
      <c r="OP699" s="27" t="s">
        <v>7</v>
      </c>
      <c r="OU699" s="27" t="s">
        <v>8</v>
      </c>
      <c r="OV699" s="27" t="s">
        <v>7</v>
      </c>
      <c r="PC699" s="27" t="s">
        <v>8</v>
      </c>
      <c r="PD699" s="27" t="s">
        <v>7</v>
      </c>
    </row>
    <row r="700" spans="1:434" x14ac:dyDescent="0.25">
      <c r="A700" s="7">
        <v>0.10670397317716582</v>
      </c>
      <c r="B700"/>
      <c r="C700"/>
      <c r="D700"/>
      <c r="E700"/>
      <c r="F700" s="27" t="s">
        <v>7</v>
      </c>
      <c r="JY700" s="27" t="s">
        <v>8</v>
      </c>
      <c r="JZ700" s="27" t="s">
        <v>7</v>
      </c>
      <c r="KA700" s="27" t="s">
        <v>8</v>
      </c>
      <c r="KZ700" s="27" t="s">
        <v>7</v>
      </c>
      <c r="LA700" s="27" t="s">
        <v>8</v>
      </c>
      <c r="LJ700" s="27" t="s">
        <v>7</v>
      </c>
      <c r="LL700" s="27" t="s">
        <v>7</v>
      </c>
      <c r="LM700" s="27" t="s">
        <v>8</v>
      </c>
      <c r="LN700" s="27" t="s">
        <v>7</v>
      </c>
      <c r="LW700" s="27" t="s">
        <v>8</v>
      </c>
      <c r="LX700" s="27" t="s">
        <v>7</v>
      </c>
      <c r="MC700" s="27" t="s">
        <v>8</v>
      </c>
      <c r="MD700" s="27" t="s">
        <v>7</v>
      </c>
      <c r="NI700" s="27" t="s">
        <v>8</v>
      </c>
      <c r="NO700" s="27" t="s">
        <v>8</v>
      </c>
      <c r="NP700" s="27" t="s">
        <v>7</v>
      </c>
      <c r="NQ700" s="27" t="s">
        <v>8</v>
      </c>
      <c r="NR700" s="27" t="s">
        <v>7</v>
      </c>
      <c r="NS700" s="27" t="s">
        <v>8</v>
      </c>
      <c r="OO700" s="27" t="s">
        <v>8</v>
      </c>
      <c r="OP700" s="27" t="s">
        <v>7</v>
      </c>
      <c r="OU700" s="27" t="s">
        <v>8</v>
      </c>
      <c r="OV700" s="27" t="s">
        <v>7</v>
      </c>
      <c r="OW700" s="27" t="s">
        <v>8</v>
      </c>
      <c r="OY700" s="27" t="s">
        <v>8</v>
      </c>
      <c r="PC700" s="27" t="s">
        <v>8</v>
      </c>
      <c r="PD700" s="27" t="s">
        <v>7</v>
      </c>
      <c r="PQ700" s="27" t="s">
        <v>8</v>
      </c>
    </row>
    <row r="701" spans="1:434" x14ac:dyDescent="0.25">
      <c r="A701" s="7">
        <v>0.1046117384089861</v>
      </c>
      <c r="B701"/>
      <c r="C701"/>
      <c r="D701"/>
      <c r="E701"/>
      <c r="F701" s="27" t="s">
        <v>7</v>
      </c>
      <c r="JY701" s="27" t="s">
        <v>8</v>
      </c>
      <c r="JZ701" s="27" t="s">
        <v>7</v>
      </c>
      <c r="KA701" s="27" t="s">
        <v>8</v>
      </c>
      <c r="KZ701" s="27" t="s">
        <v>7</v>
      </c>
      <c r="LA701" s="27" t="s">
        <v>8</v>
      </c>
      <c r="LL701" s="27" t="s">
        <v>7</v>
      </c>
      <c r="LM701" s="27" t="s">
        <v>8</v>
      </c>
      <c r="LN701" s="27" t="s">
        <v>7</v>
      </c>
      <c r="LW701" s="27" t="s">
        <v>8</v>
      </c>
      <c r="LX701" s="27" t="s">
        <v>7</v>
      </c>
      <c r="MC701" s="27" t="s">
        <v>8</v>
      </c>
      <c r="MD701" s="27" t="s">
        <v>7</v>
      </c>
      <c r="NI701" s="27" t="s">
        <v>8</v>
      </c>
      <c r="NJ701" s="27" t="s">
        <v>7</v>
      </c>
      <c r="NM701" s="27" t="s">
        <v>8</v>
      </c>
      <c r="NO701" s="27" t="s">
        <v>8</v>
      </c>
      <c r="NP701" s="27" t="s">
        <v>7</v>
      </c>
      <c r="NQ701" s="27" t="s">
        <v>8</v>
      </c>
      <c r="NR701" s="27" t="s">
        <v>7</v>
      </c>
      <c r="NS701" s="27" t="s">
        <v>8</v>
      </c>
      <c r="NT701" s="27" t="s">
        <v>7</v>
      </c>
      <c r="OM701" s="27" t="s">
        <v>8</v>
      </c>
      <c r="OO701" s="27" t="s">
        <v>8</v>
      </c>
      <c r="OP701" s="27" t="s">
        <v>7</v>
      </c>
      <c r="OU701" s="27" t="s">
        <v>8</v>
      </c>
      <c r="OV701" s="27" t="s">
        <v>7</v>
      </c>
      <c r="OW701" s="27" t="s">
        <v>8</v>
      </c>
      <c r="OX701" s="27" t="s">
        <v>7</v>
      </c>
      <c r="OY701" s="27" t="s">
        <v>8</v>
      </c>
      <c r="OZ701" s="27" t="s">
        <v>7</v>
      </c>
      <c r="PC701" s="27" t="s">
        <v>8</v>
      </c>
      <c r="PD701" s="27" t="s">
        <v>7</v>
      </c>
      <c r="PQ701" s="27" t="s">
        <v>8</v>
      </c>
      <c r="PR701" s="27" t="s">
        <v>7</v>
      </c>
    </row>
    <row r="702" spans="1:434" x14ac:dyDescent="0.25">
      <c r="A702" s="7">
        <v>0.10256052785194716</v>
      </c>
      <c r="B702"/>
      <c r="C702"/>
      <c r="D702"/>
      <c r="E702"/>
      <c r="F702" s="27" t="s">
        <v>7</v>
      </c>
      <c r="G702" s="27" t="s">
        <v>8</v>
      </c>
      <c r="K702" s="27" t="s">
        <v>8</v>
      </c>
      <c r="JK702" s="27" t="s">
        <v>8</v>
      </c>
      <c r="JY702" s="27" t="s">
        <v>8</v>
      </c>
      <c r="JZ702" s="27" t="s">
        <v>7</v>
      </c>
      <c r="KA702" s="27" t="s">
        <v>8</v>
      </c>
      <c r="KZ702" s="27" t="s">
        <v>7</v>
      </c>
      <c r="LA702" s="27" t="s">
        <v>8</v>
      </c>
      <c r="LL702" s="27" t="s">
        <v>7</v>
      </c>
      <c r="LM702" s="27" t="s">
        <v>8</v>
      </c>
      <c r="LN702" s="27" t="s">
        <v>7</v>
      </c>
      <c r="LW702" s="27" t="s">
        <v>8</v>
      </c>
      <c r="LX702" s="27" t="s">
        <v>7</v>
      </c>
      <c r="MC702" s="27" t="s">
        <v>8</v>
      </c>
      <c r="MD702" s="27" t="s">
        <v>7</v>
      </c>
      <c r="NI702" s="27" t="s">
        <v>8</v>
      </c>
      <c r="NJ702" s="27" t="s">
        <v>7</v>
      </c>
      <c r="NK702" s="27" t="s">
        <v>8</v>
      </c>
      <c r="NM702" s="27" t="s">
        <v>8</v>
      </c>
      <c r="NN702" s="27" t="s">
        <v>7</v>
      </c>
      <c r="NO702" s="27" t="s">
        <v>8</v>
      </c>
      <c r="NP702" s="27" t="s">
        <v>7</v>
      </c>
      <c r="NQ702" s="27" t="s">
        <v>8</v>
      </c>
      <c r="NR702" s="27" t="s">
        <v>7</v>
      </c>
      <c r="NS702" s="27" t="s">
        <v>8</v>
      </c>
      <c r="NT702" s="27" t="s">
        <v>7</v>
      </c>
      <c r="OM702" s="27" t="s">
        <v>8</v>
      </c>
      <c r="ON702" s="27" t="s">
        <v>7</v>
      </c>
      <c r="OO702" s="27" t="s">
        <v>8</v>
      </c>
      <c r="OP702" s="27" t="s">
        <v>7</v>
      </c>
      <c r="OU702" s="27" t="s">
        <v>8</v>
      </c>
      <c r="OV702" s="27" t="s">
        <v>7</v>
      </c>
      <c r="OW702" s="27" t="s">
        <v>8</v>
      </c>
      <c r="OX702" s="27" t="s">
        <v>7</v>
      </c>
      <c r="OY702" s="27" t="s">
        <v>8</v>
      </c>
      <c r="OZ702" s="27" t="s">
        <v>7</v>
      </c>
      <c r="PC702" s="27" t="s">
        <v>8</v>
      </c>
      <c r="PD702" s="27" t="s">
        <v>7</v>
      </c>
      <c r="PQ702" s="27" t="s">
        <v>8</v>
      </c>
      <c r="PR702" s="27" t="s">
        <v>7</v>
      </c>
    </row>
    <row r="703" spans="1:434" x14ac:dyDescent="0.25">
      <c r="A703" s="7">
        <v>0.10054953710975212</v>
      </c>
      <c r="B703"/>
      <c r="C703"/>
      <c r="D703"/>
      <c r="E703"/>
      <c r="F703" s="27" t="s">
        <v>7</v>
      </c>
      <c r="G703" s="27" t="s">
        <v>8</v>
      </c>
      <c r="H703" s="27" t="s">
        <v>7</v>
      </c>
      <c r="K703" s="27" t="s">
        <v>8</v>
      </c>
      <c r="L703" s="27" t="s">
        <v>7</v>
      </c>
      <c r="JK703" s="27" t="s">
        <v>8</v>
      </c>
      <c r="JL703" s="27" t="s">
        <v>7</v>
      </c>
      <c r="JY703" s="27" t="s">
        <v>8</v>
      </c>
      <c r="JZ703" s="27" t="s">
        <v>7</v>
      </c>
      <c r="KA703" s="27" t="s">
        <v>8</v>
      </c>
      <c r="KZ703" s="27" t="s">
        <v>7</v>
      </c>
      <c r="LA703" s="27" t="s">
        <v>8</v>
      </c>
      <c r="LL703" s="27" t="s">
        <v>7</v>
      </c>
      <c r="LM703" s="27" t="s">
        <v>8</v>
      </c>
      <c r="LN703" s="27" t="s">
        <v>7</v>
      </c>
      <c r="LW703" s="27" t="s">
        <v>8</v>
      </c>
      <c r="LX703" s="27" t="s">
        <v>7</v>
      </c>
      <c r="MC703" s="27" t="s">
        <v>8</v>
      </c>
      <c r="MD703" s="27" t="s">
        <v>7</v>
      </c>
      <c r="NG703" s="27" t="s">
        <v>8</v>
      </c>
      <c r="NI703" s="27" t="s">
        <v>8</v>
      </c>
      <c r="NJ703" s="27" t="s">
        <v>7</v>
      </c>
      <c r="NK703" s="27" t="s">
        <v>8</v>
      </c>
      <c r="NL703" s="27" t="s">
        <v>7</v>
      </c>
      <c r="NM703" s="27" t="s">
        <v>8</v>
      </c>
      <c r="NN703" s="27" t="s">
        <v>7</v>
      </c>
      <c r="NO703" s="27" t="s">
        <v>8</v>
      </c>
      <c r="NP703" s="27" t="s">
        <v>7</v>
      </c>
      <c r="NQ703" s="27" t="s">
        <v>8</v>
      </c>
      <c r="NR703" s="27" t="s">
        <v>7</v>
      </c>
      <c r="NS703" s="27" t="s">
        <v>8</v>
      </c>
      <c r="NT703" s="27" t="s">
        <v>7</v>
      </c>
      <c r="OM703" s="27" t="s">
        <v>8</v>
      </c>
      <c r="ON703" s="27" t="s">
        <v>7</v>
      </c>
      <c r="OO703" s="27" t="s">
        <v>8</v>
      </c>
      <c r="OP703" s="27" t="s">
        <v>7</v>
      </c>
      <c r="OU703" s="27" t="s">
        <v>8</v>
      </c>
      <c r="OV703" s="27" t="s">
        <v>7</v>
      </c>
      <c r="OW703" s="27" t="s">
        <v>8</v>
      </c>
      <c r="OX703" s="27" t="s">
        <v>7</v>
      </c>
      <c r="OY703" s="27" t="s">
        <v>8</v>
      </c>
      <c r="OZ703" s="27" t="s">
        <v>7</v>
      </c>
      <c r="PC703" s="27" t="s">
        <v>8</v>
      </c>
      <c r="PD703" s="27" t="s">
        <v>7</v>
      </c>
      <c r="PO703" s="27" t="s">
        <v>8</v>
      </c>
      <c r="PQ703" s="27" t="s">
        <v>8</v>
      </c>
      <c r="PR703" s="27" t="s">
        <v>7</v>
      </c>
    </row>
    <row r="704" spans="1:434" x14ac:dyDescent="0.25">
      <c r="A704" s="7">
        <v>9.8577977558580512E-2</v>
      </c>
      <c r="B704"/>
      <c r="C704"/>
      <c r="D704"/>
      <c r="E704"/>
      <c r="F704" s="27" t="s">
        <v>7</v>
      </c>
      <c r="G704" s="27" t="s">
        <v>8</v>
      </c>
      <c r="H704" s="27" t="s">
        <v>7</v>
      </c>
      <c r="K704" s="27" t="s">
        <v>8</v>
      </c>
      <c r="L704" s="27" t="s">
        <v>7</v>
      </c>
      <c r="JK704" s="27" t="s">
        <v>8</v>
      </c>
      <c r="JL704" s="27" t="s">
        <v>7</v>
      </c>
      <c r="JY704" s="27" t="s">
        <v>8</v>
      </c>
      <c r="JZ704" s="27" t="s">
        <v>7</v>
      </c>
      <c r="KA704" s="27" t="s">
        <v>8</v>
      </c>
      <c r="KZ704" s="27" t="s">
        <v>7</v>
      </c>
      <c r="LA704" s="27" t="s">
        <v>8</v>
      </c>
      <c r="LL704" s="27" t="s">
        <v>7</v>
      </c>
      <c r="LM704" s="27" t="s">
        <v>8</v>
      </c>
      <c r="LN704" s="27" t="s">
        <v>7</v>
      </c>
      <c r="LW704" s="27" t="s">
        <v>8</v>
      </c>
      <c r="LX704" s="27" t="s">
        <v>7</v>
      </c>
      <c r="MC704" s="27" t="s">
        <v>8</v>
      </c>
      <c r="MD704" s="27" t="s">
        <v>7</v>
      </c>
      <c r="NG704" s="27" t="s">
        <v>8</v>
      </c>
      <c r="NH704" s="27" t="s">
        <v>7</v>
      </c>
      <c r="NI704" s="27" t="s">
        <v>8</v>
      </c>
      <c r="NJ704" s="27" t="s">
        <v>7</v>
      </c>
      <c r="NK704" s="27" t="s">
        <v>8</v>
      </c>
      <c r="NL704" s="27" t="s">
        <v>7</v>
      </c>
      <c r="NM704" s="27" t="s">
        <v>8</v>
      </c>
      <c r="NN704" s="27" t="s">
        <v>7</v>
      </c>
      <c r="NO704" s="27" t="s">
        <v>8</v>
      </c>
      <c r="NP704" s="27" t="s">
        <v>7</v>
      </c>
      <c r="NQ704" s="27" t="s">
        <v>8</v>
      </c>
      <c r="NR704" s="27" t="s">
        <v>7</v>
      </c>
      <c r="NS704" s="27" t="s">
        <v>8</v>
      </c>
      <c r="NT704" s="27" t="s">
        <v>7</v>
      </c>
      <c r="OE704" s="27" t="s">
        <v>8</v>
      </c>
      <c r="OG704" s="27" t="s">
        <v>8</v>
      </c>
      <c r="OM704" s="27" t="s">
        <v>8</v>
      </c>
      <c r="ON704" s="27" t="s">
        <v>7</v>
      </c>
      <c r="OO704" s="27" t="s">
        <v>8</v>
      </c>
      <c r="OP704" s="27" t="s">
        <v>7</v>
      </c>
      <c r="OQ704" s="27" t="s">
        <v>8</v>
      </c>
      <c r="OU704" s="27" t="s">
        <v>8</v>
      </c>
      <c r="OV704" s="27" t="s">
        <v>7</v>
      </c>
      <c r="OW704" s="27" t="s">
        <v>8</v>
      </c>
      <c r="OX704" s="27" t="s">
        <v>7</v>
      </c>
      <c r="OY704" s="27" t="s">
        <v>8</v>
      </c>
      <c r="OZ704" s="27" t="s">
        <v>7</v>
      </c>
      <c r="PA704" s="27" t="s">
        <v>8</v>
      </c>
      <c r="PC704" s="27" t="s">
        <v>8</v>
      </c>
      <c r="PD704" s="27" t="s">
        <v>7</v>
      </c>
      <c r="PO704" s="27" t="s">
        <v>8</v>
      </c>
      <c r="PP704" s="27" t="s">
        <v>7</v>
      </c>
      <c r="PQ704" s="27" t="s">
        <v>8</v>
      </c>
      <c r="PR704" s="27" t="s">
        <v>7</v>
      </c>
    </row>
    <row r="705" spans="1:446" x14ac:dyDescent="0.25">
      <c r="A705" s="7">
        <v>9.6645076037824032E-2</v>
      </c>
      <c r="B705"/>
      <c r="C705"/>
      <c r="D705"/>
      <c r="E705"/>
      <c r="F705" s="27" t="s">
        <v>7</v>
      </c>
      <c r="G705" s="27" t="s">
        <v>8</v>
      </c>
      <c r="H705" s="27" t="s">
        <v>7</v>
      </c>
      <c r="K705" s="27" t="s">
        <v>8</v>
      </c>
      <c r="L705" s="27" t="s">
        <v>7</v>
      </c>
      <c r="JK705" s="27" t="s">
        <v>8</v>
      </c>
      <c r="JL705" s="27" t="s">
        <v>7</v>
      </c>
      <c r="JY705" s="27" t="s">
        <v>8</v>
      </c>
      <c r="JZ705" s="27" t="s">
        <v>7</v>
      </c>
      <c r="KA705" s="27" t="s">
        <v>8</v>
      </c>
      <c r="KZ705" s="27" t="s">
        <v>7</v>
      </c>
      <c r="LL705" s="27" t="s">
        <v>7</v>
      </c>
      <c r="LM705" s="27" t="s">
        <v>8</v>
      </c>
      <c r="LN705" s="27" t="s">
        <v>7</v>
      </c>
      <c r="LW705" s="27" t="s">
        <v>8</v>
      </c>
      <c r="LX705" s="27" t="s">
        <v>7</v>
      </c>
      <c r="MC705" s="27" t="s">
        <v>8</v>
      </c>
      <c r="MD705" s="27" t="s">
        <v>7</v>
      </c>
      <c r="NE705" s="27" t="s">
        <v>8</v>
      </c>
      <c r="NG705" s="27" t="s">
        <v>8</v>
      </c>
      <c r="NH705" s="27" t="s">
        <v>7</v>
      </c>
      <c r="NI705" s="27" t="s">
        <v>8</v>
      </c>
      <c r="NJ705" s="27" t="s">
        <v>7</v>
      </c>
      <c r="NK705" s="27" t="s">
        <v>8</v>
      </c>
      <c r="NL705" s="27" t="s">
        <v>7</v>
      </c>
      <c r="NM705" s="27" t="s">
        <v>8</v>
      </c>
      <c r="NN705" s="27" t="s">
        <v>7</v>
      </c>
      <c r="NO705" s="27" t="s">
        <v>8</v>
      </c>
      <c r="NP705" s="27" t="s">
        <v>7</v>
      </c>
      <c r="NQ705" s="27" t="s">
        <v>8</v>
      </c>
      <c r="NR705" s="27" t="s">
        <v>7</v>
      </c>
      <c r="NS705" s="27" t="s">
        <v>8</v>
      </c>
      <c r="NT705" s="27" t="s">
        <v>7</v>
      </c>
      <c r="NU705" s="27" t="s">
        <v>8</v>
      </c>
      <c r="OE705" s="27" t="s">
        <v>8</v>
      </c>
      <c r="OF705" s="27" t="s">
        <v>7</v>
      </c>
      <c r="OG705" s="27" t="s">
        <v>8</v>
      </c>
      <c r="OH705" s="27" t="s">
        <v>7</v>
      </c>
      <c r="OI705" s="27" t="s">
        <v>8</v>
      </c>
      <c r="OM705" s="27" t="s">
        <v>8</v>
      </c>
      <c r="ON705" s="27" t="s">
        <v>7</v>
      </c>
      <c r="OO705" s="27" t="s">
        <v>8</v>
      </c>
      <c r="OP705" s="27" t="s">
        <v>7</v>
      </c>
      <c r="OQ705" s="27" t="s">
        <v>8</v>
      </c>
      <c r="OR705" s="27" t="s">
        <v>7</v>
      </c>
      <c r="OS705" s="27" t="s">
        <v>8</v>
      </c>
      <c r="OU705" s="27" t="s">
        <v>8</v>
      </c>
      <c r="OV705" s="27" t="s">
        <v>7</v>
      </c>
      <c r="OW705" s="27" t="s">
        <v>8</v>
      </c>
      <c r="OX705" s="27" t="s">
        <v>7</v>
      </c>
      <c r="OY705" s="27" t="s">
        <v>8</v>
      </c>
      <c r="OZ705" s="27" t="s">
        <v>7</v>
      </c>
      <c r="PA705" s="27" t="s">
        <v>8</v>
      </c>
      <c r="PB705" s="27" t="s">
        <v>7</v>
      </c>
      <c r="PC705" s="27" t="s">
        <v>8</v>
      </c>
      <c r="PD705" s="27" t="s">
        <v>7</v>
      </c>
      <c r="PO705" s="27" t="s">
        <v>8</v>
      </c>
      <c r="PP705" s="27" t="s">
        <v>7</v>
      </c>
      <c r="PQ705" s="27" t="s">
        <v>8</v>
      </c>
      <c r="PR705" s="27" t="s">
        <v>7</v>
      </c>
    </row>
    <row r="706" spans="1:446" x14ac:dyDescent="0.25">
      <c r="A706" s="7">
        <v>9.4750074546886304E-2</v>
      </c>
      <c r="B706"/>
      <c r="C706"/>
      <c r="D706"/>
      <c r="E706"/>
      <c r="F706" s="27" t="s">
        <v>7</v>
      </c>
      <c r="G706" s="27" t="s">
        <v>8</v>
      </c>
      <c r="H706" s="27" t="s">
        <v>7</v>
      </c>
      <c r="K706" s="27" t="s">
        <v>8</v>
      </c>
      <c r="L706" s="27" t="s">
        <v>7</v>
      </c>
      <c r="JK706" s="27" t="s">
        <v>8</v>
      </c>
      <c r="JL706" s="27" t="s">
        <v>7</v>
      </c>
      <c r="JY706" s="27" t="s">
        <v>8</v>
      </c>
      <c r="JZ706" s="27" t="s">
        <v>7</v>
      </c>
      <c r="KA706" s="27" t="s">
        <v>8</v>
      </c>
      <c r="LL706" s="27" t="s">
        <v>7</v>
      </c>
      <c r="LN706" s="27" t="s">
        <v>7</v>
      </c>
      <c r="LW706" s="27" t="s">
        <v>8</v>
      </c>
      <c r="LX706" s="27" t="s">
        <v>7</v>
      </c>
      <c r="MC706" s="27" t="s">
        <v>8</v>
      </c>
      <c r="MD706" s="27" t="s">
        <v>7</v>
      </c>
      <c r="NA706" s="27" t="s">
        <v>8</v>
      </c>
      <c r="NC706" s="27" t="s">
        <v>8</v>
      </c>
      <c r="NE706" s="27" t="s">
        <v>8</v>
      </c>
      <c r="NF706" s="27" t="s">
        <v>7</v>
      </c>
      <c r="NG706" s="27" t="s">
        <v>8</v>
      </c>
      <c r="NH706" s="27" t="s">
        <v>7</v>
      </c>
      <c r="NJ706" s="27" t="s">
        <v>7</v>
      </c>
      <c r="NK706" s="27" t="s">
        <v>8</v>
      </c>
      <c r="NL706" s="27" t="s">
        <v>7</v>
      </c>
      <c r="NM706" s="27" t="s">
        <v>8</v>
      </c>
      <c r="NN706" s="27" t="s">
        <v>7</v>
      </c>
      <c r="NO706" s="27" t="s">
        <v>8</v>
      </c>
      <c r="NP706" s="27" t="s">
        <v>7</v>
      </c>
      <c r="NQ706" s="27" t="s">
        <v>8</v>
      </c>
      <c r="NR706" s="27" t="s">
        <v>7</v>
      </c>
      <c r="NS706" s="27" t="s">
        <v>8</v>
      </c>
      <c r="NT706" s="27" t="s">
        <v>7</v>
      </c>
      <c r="NU706" s="27" t="s">
        <v>8</v>
      </c>
      <c r="NV706" s="27" t="s">
        <v>7</v>
      </c>
      <c r="OE706" s="27" t="s">
        <v>8</v>
      </c>
      <c r="OF706" s="27" t="s">
        <v>7</v>
      </c>
      <c r="OG706" s="27" t="s">
        <v>8</v>
      </c>
      <c r="OH706" s="27" t="s">
        <v>7</v>
      </c>
      <c r="OI706" s="27" t="s">
        <v>8</v>
      </c>
      <c r="OJ706" s="27" t="s">
        <v>7</v>
      </c>
      <c r="OM706" s="27" t="s">
        <v>8</v>
      </c>
      <c r="ON706" s="27" t="s">
        <v>7</v>
      </c>
      <c r="OO706" s="27" t="s">
        <v>8</v>
      </c>
      <c r="OP706" s="27" t="s">
        <v>7</v>
      </c>
      <c r="OQ706" s="27" t="s">
        <v>8</v>
      </c>
      <c r="OR706" s="27" t="s">
        <v>7</v>
      </c>
      <c r="OS706" s="27" t="s">
        <v>8</v>
      </c>
      <c r="OT706" s="27" t="s">
        <v>7</v>
      </c>
      <c r="OU706" s="27" t="s">
        <v>8</v>
      </c>
      <c r="OV706" s="27" t="s">
        <v>7</v>
      </c>
      <c r="OW706" s="27" t="s">
        <v>8</v>
      </c>
      <c r="OX706" s="27" t="s">
        <v>7</v>
      </c>
      <c r="OY706" s="27" t="s">
        <v>8</v>
      </c>
      <c r="OZ706" s="27" t="s">
        <v>7</v>
      </c>
      <c r="PA706" s="27" t="s">
        <v>8</v>
      </c>
      <c r="PB706" s="27" t="s">
        <v>7</v>
      </c>
      <c r="PC706" s="27" t="s">
        <v>8</v>
      </c>
      <c r="PD706" s="27" t="s">
        <v>7</v>
      </c>
      <c r="PO706" s="27" t="s">
        <v>8</v>
      </c>
      <c r="PP706" s="27" t="s">
        <v>7</v>
      </c>
      <c r="PQ706" s="27" t="s">
        <v>8</v>
      </c>
      <c r="PR706" s="27" t="s">
        <v>7</v>
      </c>
    </row>
    <row r="707" spans="1:446" x14ac:dyDescent="0.25">
      <c r="A707" s="7">
        <v>9.2892229947927743E-2</v>
      </c>
      <c r="B707"/>
      <c r="C707"/>
      <c r="D707"/>
      <c r="E707"/>
      <c r="F707" s="27" t="s">
        <v>7</v>
      </c>
      <c r="G707" s="27" t="s">
        <v>8</v>
      </c>
      <c r="H707" s="27" t="s">
        <v>7</v>
      </c>
      <c r="I707" s="27" t="s">
        <v>8</v>
      </c>
      <c r="K707" s="27" t="s">
        <v>8</v>
      </c>
      <c r="L707" s="27" t="s">
        <v>7</v>
      </c>
      <c r="JK707" s="27" t="s">
        <v>8</v>
      </c>
      <c r="JL707" s="27" t="s">
        <v>7</v>
      </c>
      <c r="JY707" s="27" t="s">
        <v>8</v>
      </c>
      <c r="JZ707" s="27" t="s">
        <v>7</v>
      </c>
      <c r="KA707" s="27" t="s">
        <v>8</v>
      </c>
      <c r="LN707" s="27" t="s">
        <v>7</v>
      </c>
      <c r="LW707" s="27" t="s">
        <v>8</v>
      </c>
      <c r="LX707" s="27" t="s">
        <v>7</v>
      </c>
      <c r="MC707" s="27" t="s">
        <v>8</v>
      </c>
      <c r="MD707" s="27" t="s">
        <v>7</v>
      </c>
      <c r="NA707" s="27" t="s">
        <v>8</v>
      </c>
      <c r="NB707" s="27" t="s">
        <v>7</v>
      </c>
      <c r="NC707" s="27" t="s">
        <v>8</v>
      </c>
      <c r="ND707" s="27" t="s">
        <v>7</v>
      </c>
      <c r="NE707" s="27" t="s">
        <v>8</v>
      </c>
      <c r="NF707" s="27" t="s">
        <v>7</v>
      </c>
      <c r="NG707" s="27" t="s">
        <v>8</v>
      </c>
      <c r="NJ707" s="27" t="s">
        <v>7</v>
      </c>
      <c r="NK707" s="27" t="s">
        <v>8</v>
      </c>
      <c r="NL707" s="27" t="s">
        <v>7</v>
      </c>
      <c r="NN707" s="27" t="s">
        <v>7</v>
      </c>
      <c r="NO707" s="27" t="s">
        <v>8</v>
      </c>
      <c r="NP707" s="27" t="s">
        <v>7</v>
      </c>
      <c r="NQ707" s="27" t="s">
        <v>8</v>
      </c>
      <c r="NR707" s="27" t="s">
        <v>7</v>
      </c>
      <c r="NS707" s="27" t="s">
        <v>8</v>
      </c>
      <c r="NT707" s="27" t="s">
        <v>7</v>
      </c>
      <c r="NU707" s="27" t="s">
        <v>8</v>
      </c>
      <c r="NV707" s="27" t="s">
        <v>7</v>
      </c>
      <c r="OE707" s="27" t="s">
        <v>8</v>
      </c>
      <c r="OF707" s="27" t="s">
        <v>7</v>
      </c>
      <c r="OG707" s="27" t="s">
        <v>8</v>
      </c>
      <c r="OH707" s="27" t="s">
        <v>7</v>
      </c>
      <c r="OI707" s="27" t="s">
        <v>8</v>
      </c>
      <c r="OJ707" s="27" t="s">
        <v>7</v>
      </c>
      <c r="OM707" s="27" t="s">
        <v>8</v>
      </c>
      <c r="ON707" s="27" t="s">
        <v>7</v>
      </c>
      <c r="OO707" s="27" t="s">
        <v>8</v>
      </c>
      <c r="OP707" s="27" t="s">
        <v>7</v>
      </c>
      <c r="OQ707" s="27" t="s">
        <v>8</v>
      </c>
      <c r="OR707" s="27" t="s">
        <v>7</v>
      </c>
      <c r="OS707" s="27" t="s">
        <v>8</v>
      </c>
      <c r="OT707" s="27" t="s">
        <v>7</v>
      </c>
      <c r="OU707" s="27" t="s">
        <v>8</v>
      </c>
      <c r="OV707" s="27" t="s">
        <v>7</v>
      </c>
      <c r="OX707" s="27" t="s">
        <v>7</v>
      </c>
      <c r="OY707" s="27" t="s">
        <v>8</v>
      </c>
      <c r="OZ707" s="27" t="s">
        <v>7</v>
      </c>
      <c r="PA707" s="27" t="s">
        <v>8</v>
      </c>
      <c r="PB707" s="27" t="s">
        <v>7</v>
      </c>
      <c r="PD707" s="27" t="s">
        <v>7</v>
      </c>
      <c r="PE707" s="27" t="s">
        <v>8</v>
      </c>
      <c r="PG707" s="27" t="s">
        <v>8</v>
      </c>
      <c r="PO707" s="27" t="s">
        <v>8</v>
      </c>
      <c r="PP707" s="27" t="s">
        <v>7</v>
      </c>
      <c r="PQ707" s="27" t="s">
        <v>8</v>
      </c>
      <c r="PR707" s="27" t="s">
        <v>7</v>
      </c>
    </row>
    <row r="708" spans="1:446" x14ac:dyDescent="0.25">
      <c r="A708" s="7">
        <v>9.1070813674438963E-2</v>
      </c>
      <c r="B708"/>
      <c r="C708"/>
      <c r="D708"/>
      <c r="E708"/>
      <c r="F708" s="27" t="s">
        <v>7</v>
      </c>
      <c r="G708" s="27" t="s">
        <v>8</v>
      </c>
      <c r="H708" s="27" t="s">
        <v>7</v>
      </c>
      <c r="I708" s="27" t="s">
        <v>8</v>
      </c>
      <c r="J708" s="27" t="s">
        <v>7</v>
      </c>
      <c r="K708" s="27" t="s">
        <v>8</v>
      </c>
      <c r="L708" s="27" t="s">
        <v>7</v>
      </c>
      <c r="FQ708" s="27" t="s">
        <v>8</v>
      </c>
      <c r="JK708" s="27" t="s">
        <v>8</v>
      </c>
      <c r="JL708" s="27" t="s">
        <v>7</v>
      </c>
      <c r="JY708" s="27" t="s">
        <v>8</v>
      </c>
      <c r="JZ708" s="27" t="s">
        <v>7</v>
      </c>
      <c r="KA708" s="27" t="s">
        <v>8</v>
      </c>
      <c r="LN708" s="27" t="s">
        <v>7</v>
      </c>
      <c r="LW708" s="27" t="s">
        <v>8</v>
      </c>
      <c r="LX708" s="27" t="s">
        <v>7</v>
      </c>
      <c r="MC708" s="27" t="s">
        <v>8</v>
      </c>
      <c r="MD708" s="27" t="s">
        <v>7</v>
      </c>
      <c r="NA708" s="27" t="s">
        <v>8</v>
      </c>
      <c r="NB708" s="27" t="s">
        <v>7</v>
      </c>
      <c r="NC708" s="27" t="s">
        <v>8</v>
      </c>
      <c r="ND708" s="27" t="s">
        <v>7</v>
      </c>
      <c r="NE708" s="27" t="s">
        <v>8</v>
      </c>
      <c r="NF708" s="27" t="s">
        <v>7</v>
      </c>
      <c r="NG708" s="27" t="s">
        <v>8</v>
      </c>
      <c r="NJ708" s="27" t="s">
        <v>7</v>
      </c>
      <c r="NK708" s="27" t="s">
        <v>8</v>
      </c>
      <c r="NN708" s="27" t="s">
        <v>7</v>
      </c>
      <c r="NP708" s="27" t="s">
        <v>7</v>
      </c>
      <c r="NQ708" s="27" t="s">
        <v>8</v>
      </c>
      <c r="NR708" s="27" t="s">
        <v>7</v>
      </c>
      <c r="NS708" s="27" t="s">
        <v>8</v>
      </c>
      <c r="NT708" s="27" t="s">
        <v>7</v>
      </c>
      <c r="NU708" s="27" t="s">
        <v>8</v>
      </c>
      <c r="NV708" s="27" t="s">
        <v>7</v>
      </c>
      <c r="OA708" s="27" t="s">
        <v>8</v>
      </c>
      <c r="OE708" s="27" t="s">
        <v>8</v>
      </c>
      <c r="OF708" s="27" t="s">
        <v>7</v>
      </c>
      <c r="OG708" s="27" t="s">
        <v>8</v>
      </c>
      <c r="OH708" s="27" t="s">
        <v>7</v>
      </c>
      <c r="OI708" s="27" t="s">
        <v>8</v>
      </c>
      <c r="OJ708" s="27" t="s">
        <v>7</v>
      </c>
      <c r="OK708" s="27" t="s">
        <v>8</v>
      </c>
      <c r="OM708" s="27" t="s">
        <v>8</v>
      </c>
      <c r="ON708" s="27" t="s">
        <v>7</v>
      </c>
      <c r="OO708" s="27" t="s">
        <v>8</v>
      </c>
      <c r="OP708" s="27" t="s">
        <v>7</v>
      </c>
      <c r="OQ708" s="27" t="s">
        <v>8</v>
      </c>
      <c r="OR708" s="27" t="s">
        <v>7</v>
      </c>
      <c r="OT708" s="27" t="s">
        <v>7</v>
      </c>
      <c r="OU708" s="27" t="s">
        <v>8</v>
      </c>
      <c r="OX708" s="27" t="s">
        <v>7</v>
      </c>
      <c r="OY708" s="27" t="s">
        <v>8</v>
      </c>
      <c r="OZ708" s="27" t="s">
        <v>7</v>
      </c>
      <c r="PD708" s="27" t="s">
        <v>7</v>
      </c>
      <c r="PE708" s="27" t="s">
        <v>8</v>
      </c>
      <c r="PF708" s="27" t="s">
        <v>7</v>
      </c>
      <c r="PG708" s="27" t="s">
        <v>8</v>
      </c>
      <c r="PH708" s="27" t="s">
        <v>7</v>
      </c>
      <c r="PO708" s="27" t="s">
        <v>8</v>
      </c>
      <c r="PP708" s="27" t="s">
        <v>7</v>
      </c>
      <c r="PQ708" s="27" t="s">
        <v>8</v>
      </c>
      <c r="PR708" s="27" t="s">
        <v>7</v>
      </c>
    </row>
    <row r="709" spans="1:446" x14ac:dyDescent="0.25">
      <c r="A709" s="7">
        <v>8.9285111445528392E-2</v>
      </c>
      <c r="B709"/>
      <c r="C709"/>
      <c r="D709"/>
      <c r="E709"/>
      <c r="F709" s="27" t="s">
        <v>7</v>
      </c>
      <c r="H709" s="27" t="s">
        <v>7</v>
      </c>
      <c r="I709" s="27" t="s">
        <v>8</v>
      </c>
      <c r="J709" s="27" t="s">
        <v>7</v>
      </c>
      <c r="K709" s="27" t="s">
        <v>8</v>
      </c>
      <c r="L709" s="27" t="s">
        <v>7</v>
      </c>
      <c r="FQ709" s="27" t="s">
        <v>8</v>
      </c>
      <c r="FR709" s="27" t="s">
        <v>7</v>
      </c>
      <c r="JK709" s="27" t="s">
        <v>8</v>
      </c>
      <c r="JL709" s="27" t="s">
        <v>7</v>
      </c>
      <c r="JY709" s="27" t="s">
        <v>8</v>
      </c>
      <c r="JZ709" s="27" t="s">
        <v>7</v>
      </c>
      <c r="KA709" s="27" t="s">
        <v>8</v>
      </c>
      <c r="LN709" s="27" t="s">
        <v>7</v>
      </c>
      <c r="LW709" s="27" t="s">
        <v>8</v>
      </c>
      <c r="LX709" s="27" t="s">
        <v>7</v>
      </c>
      <c r="MC709" s="27" t="s">
        <v>8</v>
      </c>
      <c r="MD709" s="27" t="s">
        <v>7</v>
      </c>
      <c r="NA709" s="27" t="s">
        <v>8</v>
      </c>
      <c r="NB709" s="27" t="s">
        <v>7</v>
      </c>
      <c r="NC709" s="27" t="s">
        <v>8</v>
      </c>
      <c r="ND709" s="27" t="s">
        <v>7</v>
      </c>
      <c r="NE709" s="27" t="s">
        <v>8</v>
      </c>
      <c r="NF709" s="27" t="s">
        <v>7</v>
      </c>
      <c r="NG709" s="27" t="s">
        <v>8</v>
      </c>
      <c r="NJ709" s="27" t="s">
        <v>7</v>
      </c>
      <c r="NP709" s="27" t="s">
        <v>7</v>
      </c>
      <c r="NQ709" s="27" t="s">
        <v>8</v>
      </c>
      <c r="NR709" s="27" t="s">
        <v>7</v>
      </c>
      <c r="NS709" s="27" t="s">
        <v>8</v>
      </c>
      <c r="NT709" s="27" t="s">
        <v>7</v>
      </c>
      <c r="NV709" s="27" t="s">
        <v>7</v>
      </c>
      <c r="NW709" s="27" t="s">
        <v>8</v>
      </c>
      <c r="OA709" s="27" t="s">
        <v>8</v>
      </c>
      <c r="OB709" s="27" t="s">
        <v>7</v>
      </c>
      <c r="OC709" s="27" t="s">
        <v>8</v>
      </c>
      <c r="OE709" s="27" t="s">
        <v>8</v>
      </c>
      <c r="OF709" s="27" t="s">
        <v>7</v>
      </c>
      <c r="OG709" s="27" t="s">
        <v>8</v>
      </c>
      <c r="OH709" s="27" t="s">
        <v>7</v>
      </c>
      <c r="OI709" s="27" t="s">
        <v>8</v>
      </c>
      <c r="OJ709" s="27" t="s">
        <v>7</v>
      </c>
      <c r="OK709" s="27" t="s">
        <v>8</v>
      </c>
      <c r="OL709" s="27" t="s">
        <v>7</v>
      </c>
      <c r="OM709" s="27" t="s">
        <v>8</v>
      </c>
      <c r="ON709" s="27" t="s">
        <v>7</v>
      </c>
      <c r="OO709" s="27" t="s">
        <v>8</v>
      </c>
      <c r="OP709" s="27" t="s">
        <v>7</v>
      </c>
      <c r="OQ709" s="27" t="s">
        <v>8</v>
      </c>
      <c r="OT709" s="27" t="s">
        <v>7</v>
      </c>
      <c r="OU709" s="27" t="s">
        <v>8</v>
      </c>
      <c r="OX709" s="27" t="s">
        <v>7</v>
      </c>
      <c r="PD709" s="27" t="s">
        <v>7</v>
      </c>
      <c r="PE709" s="27" t="s">
        <v>8</v>
      </c>
      <c r="PF709" s="27" t="s">
        <v>7</v>
      </c>
      <c r="PG709" s="27" t="s">
        <v>8</v>
      </c>
      <c r="PH709" s="27" t="s">
        <v>7</v>
      </c>
      <c r="PO709" s="27" t="s">
        <v>8</v>
      </c>
      <c r="PP709" s="27" t="s">
        <v>7</v>
      </c>
      <c r="PQ709" s="27" t="s">
        <v>8</v>
      </c>
      <c r="PR709" s="27" t="s">
        <v>7</v>
      </c>
    </row>
    <row r="710" spans="1:446" x14ac:dyDescent="0.25">
      <c r="A710" s="7">
        <v>8.7534422985812155E-2</v>
      </c>
      <c r="B710"/>
      <c r="C710"/>
      <c r="D710"/>
      <c r="E710"/>
      <c r="H710" s="27" t="s">
        <v>7</v>
      </c>
      <c r="I710" s="27" t="s">
        <v>8</v>
      </c>
      <c r="J710" s="27" t="s">
        <v>7</v>
      </c>
      <c r="K710" s="27" t="s">
        <v>8</v>
      </c>
      <c r="L710" s="27" t="s">
        <v>7</v>
      </c>
      <c r="FQ710" s="27" t="s">
        <v>8</v>
      </c>
      <c r="FR710" s="27" t="s">
        <v>7</v>
      </c>
      <c r="JK710" s="27" t="s">
        <v>8</v>
      </c>
      <c r="JL710" s="27" t="s">
        <v>7</v>
      </c>
      <c r="JY710" s="27" t="s">
        <v>8</v>
      </c>
      <c r="JZ710" s="27" t="s">
        <v>7</v>
      </c>
      <c r="KA710" s="27" t="s">
        <v>8</v>
      </c>
      <c r="LN710" s="27" t="s">
        <v>7</v>
      </c>
      <c r="LW710" s="27" t="s">
        <v>8</v>
      </c>
      <c r="LX710" s="27" t="s">
        <v>7</v>
      </c>
      <c r="MC710" s="27" t="s">
        <v>8</v>
      </c>
      <c r="MD710" s="27" t="s">
        <v>7</v>
      </c>
      <c r="MW710" s="27" t="s">
        <v>8</v>
      </c>
      <c r="MY710" s="27" t="s">
        <v>8</v>
      </c>
      <c r="NA710" s="27" t="s">
        <v>8</v>
      </c>
      <c r="NB710" s="27" t="s">
        <v>7</v>
      </c>
      <c r="NC710" s="27" t="s">
        <v>8</v>
      </c>
      <c r="ND710" s="27" t="s">
        <v>7</v>
      </c>
      <c r="NE710" s="27" t="s">
        <v>8</v>
      </c>
      <c r="NF710" s="27" t="s">
        <v>7</v>
      </c>
      <c r="NG710" s="27" t="s">
        <v>8</v>
      </c>
      <c r="NP710" s="27" t="s">
        <v>7</v>
      </c>
      <c r="NQ710" s="27" t="s">
        <v>8</v>
      </c>
      <c r="NR710" s="27" t="s">
        <v>7</v>
      </c>
      <c r="NS710" s="27" t="s">
        <v>8</v>
      </c>
      <c r="NV710" s="27" t="s">
        <v>7</v>
      </c>
      <c r="NW710" s="27" t="s">
        <v>8</v>
      </c>
      <c r="NX710" s="27" t="s">
        <v>7</v>
      </c>
      <c r="OA710" s="27" t="s">
        <v>8</v>
      </c>
      <c r="OB710" s="27" t="s">
        <v>7</v>
      </c>
      <c r="OC710" s="27" t="s">
        <v>8</v>
      </c>
      <c r="OD710" s="27" t="s">
        <v>7</v>
      </c>
      <c r="OE710" s="27" t="s">
        <v>8</v>
      </c>
      <c r="OF710" s="27" t="s">
        <v>7</v>
      </c>
      <c r="OG710" s="27" t="s">
        <v>8</v>
      </c>
      <c r="OH710" s="27" t="s">
        <v>7</v>
      </c>
      <c r="OJ710" s="27" t="s">
        <v>7</v>
      </c>
      <c r="OK710" s="27" t="s">
        <v>8</v>
      </c>
      <c r="OL710" s="27" t="s">
        <v>7</v>
      </c>
      <c r="OM710" s="27" t="s">
        <v>8</v>
      </c>
      <c r="ON710" s="27" t="s">
        <v>7</v>
      </c>
      <c r="OP710" s="27" t="s">
        <v>7</v>
      </c>
      <c r="OQ710" s="27" t="s">
        <v>8</v>
      </c>
      <c r="OT710" s="27" t="s">
        <v>7</v>
      </c>
      <c r="OU710" s="27" t="s">
        <v>8</v>
      </c>
      <c r="PD710" s="27" t="s">
        <v>7</v>
      </c>
      <c r="PE710" s="27" t="s">
        <v>8</v>
      </c>
      <c r="PF710" s="27" t="s">
        <v>7</v>
      </c>
      <c r="PG710" s="27" t="s">
        <v>8</v>
      </c>
      <c r="PH710" s="27" t="s">
        <v>7</v>
      </c>
      <c r="PO710" s="27" t="s">
        <v>8</v>
      </c>
      <c r="PP710" s="27" t="s">
        <v>7</v>
      </c>
      <c r="PQ710" s="27" t="s">
        <v>8</v>
      </c>
      <c r="PR710" s="27" t="s">
        <v>7</v>
      </c>
      <c r="PW710" s="27" t="s">
        <v>8</v>
      </c>
    </row>
    <row r="711" spans="1:446" x14ac:dyDescent="0.25">
      <c r="A711" s="7">
        <v>8.5818061750796232E-2</v>
      </c>
      <c r="B711"/>
      <c r="C711"/>
      <c r="D711"/>
      <c r="E711"/>
      <c r="H711" s="27" t="s">
        <v>7</v>
      </c>
      <c r="I711" s="27" t="s">
        <v>8</v>
      </c>
      <c r="J711" s="27" t="s">
        <v>7</v>
      </c>
      <c r="K711" s="27" t="s">
        <v>8</v>
      </c>
      <c r="L711" s="27" t="s">
        <v>7</v>
      </c>
      <c r="FM711" s="27" t="s">
        <v>8</v>
      </c>
      <c r="FQ711" s="27" t="s">
        <v>8</v>
      </c>
      <c r="FR711" s="27" t="s">
        <v>7</v>
      </c>
      <c r="JK711" s="27" t="s">
        <v>8</v>
      </c>
      <c r="JL711" s="27" t="s">
        <v>7</v>
      </c>
      <c r="JY711" s="27" t="s">
        <v>8</v>
      </c>
      <c r="JZ711" s="27" t="s">
        <v>7</v>
      </c>
      <c r="KA711" s="27" t="s">
        <v>8</v>
      </c>
      <c r="LN711" s="27" t="s">
        <v>7</v>
      </c>
      <c r="LW711" s="27" t="s">
        <v>8</v>
      </c>
      <c r="LX711" s="27" t="s">
        <v>7</v>
      </c>
      <c r="MC711" s="27" t="s">
        <v>8</v>
      </c>
      <c r="MD711" s="27" t="s">
        <v>7</v>
      </c>
      <c r="MG711" s="27" t="s">
        <v>8</v>
      </c>
      <c r="MW711" s="27" t="s">
        <v>8</v>
      </c>
      <c r="MX711" s="27" t="s">
        <v>7</v>
      </c>
      <c r="MY711" s="27" t="s">
        <v>8</v>
      </c>
      <c r="MZ711" s="27" t="s">
        <v>7</v>
      </c>
      <c r="NA711" s="27" t="s">
        <v>8</v>
      </c>
      <c r="NB711" s="27" t="s">
        <v>7</v>
      </c>
      <c r="NC711" s="27" t="s">
        <v>8</v>
      </c>
      <c r="ND711" s="27" t="s">
        <v>7</v>
      </c>
      <c r="NF711" s="27" t="s">
        <v>7</v>
      </c>
      <c r="NG711" s="27" t="s">
        <v>8</v>
      </c>
      <c r="NP711" s="27" t="s">
        <v>7</v>
      </c>
      <c r="NQ711" s="27" t="s">
        <v>8</v>
      </c>
      <c r="NR711" s="27" t="s">
        <v>7</v>
      </c>
      <c r="NV711" s="27" t="s">
        <v>7</v>
      </c>
      <c r="NW711" s="27" t="s">
        <v>8</v>
      </c>
      <c r="NX711" s="27" t="s">
        <v>7</v>
      </c>
      <c r="OA711" s="27" t="s">
        <v>8</v>
      </c>
      <c r="OB711" s="27" t="s">
        <v>7</v>
      </c>
      <c r="OC711" s="27" t="s">
        <v>8</v>
      </c>
      <c r="OD711" s="27" t="s">
        <v>7</v>
      </c>
      <c r="OE711" s="27" t="s">
        <v>8</v>
      </c>
      <c r="OF711" s="27" t="s">
        <v>7</v>
      </c>
      <c r="OG711" s="27" t="s">
        <v>8</v>
      </c>
      <c r="OJ711" s="27" t="s">
        <v>7</v>
      </c>
      <c r="OK711" s="27" t="s">
        <v>8</v>
      </c>
      <c r="OL711" s="27" t="s">
        <v>7</v>
      </c>
      <c r="OP711" s="27" t="s">
        <v>7</v>
      </c>
      <c r="OT711" s="27" t="s">
        <v>7</v>
      </c>
      <c r="OU711" s="27" t="s">
        <v>8</v>
      </c>
      <c r="PD711" s="27" t="s">
        <v>7</v>
      </c>
      <c r="PE711" s="27" t="s">
        <v>8</v>
      </c>
      <c r="PF711" s="27" t="s">
        <v>7</v>
      </c>
      <c r="PG711" s="27" t="s">
        <v>8</v>
      </c>
      <c r="PH711" s="27" t="s">
        <v>7</v>
      </c>
      <c r="PO711" s="27" t="s">
        <v>8</v>
      </c>
      <c r="PP711" s="27" t="s">
        <v>7</v>
      </c>
      <c r="PQ711" s="27" t="s">
        <v>8</v>
      </c>
      <c r="PR711" s="27" t="s">
        <v>7</v>
      </c>
      <c r="PU711" s="27" t="s">
        <v>8</v>
      </c>
      <c r="PW711" s="27" t="s">
        <v>8</v>
      </c>
      <c r="PX711" s="27" t="s">
        <v>7</v>
      </c>
    </row>
    <row r="712" spans="1:446" x14ac:dyDescent="0.25">
      <c r="A712" s="7">
        <v>8.4135354657643366E-2</v>
      </c>
      <c r="B712"/>
      <c r="C712"/>
      <c r="D712"/>
      <c r="E712"/>
      <c r="H712" s="27" t="s">
        <v>7</v>
      </c>
      <c r="J712" s="27" t="s">
        <v>7</v>
      </c>
      <c r="K712" s="27" t="s">
        <v>8</v>
      </c>
      <c r="L712" s="27" t="s">
        <v>7</v>
      </c>
      <c r="M712" s="27" t="s">
        <v>8</v>
      </c>
      <c r="FM712" s="27" t="s">
        <v>8</v>
      </c>
      <c r="FN712" s="27" t="s">
        <v>7</v>
      </c>
      <c r="FQ712" s="27" t="s">
        <v>8</v>
      </c>
      <c r="FR712" s="27" t="s">
        <v>7</v>
      </c>
      <c r="JK712" s="27" t="s">
        <v>8</v>
      </c>
      <c r="JL712" s="27" t="s">
        <v>7</v>
      </c>
      <c r="JY712" s="27" t="s">
        <v>8</v>
      </c>
      <c r="JZ712" s="27" t="s">
        <v>7</v>
      </c>
      <c r="KA712" s="27" t="s">
        <v>8</v>
      </c>
      <c r="LN712" s="27" t="s">
        <v>7</v>
      </c>
      <c r="LW712" s="27" t="s">
        <v>8</v>
      </c>
      <c r="LX712" s="27" t="s">
        <v>7</v>
      </c>
      <c r="MC712" s="27" t="s">
        <v>8</v>
      </c>
      <c r="MD712" s="27" t="s">
        <v>7</v>
      </c>
      <c r="MG712" s="27" t="s">
        <v>8</v>
      </c>
      <c r="MH712" s="27" t="s">
        <v>7</v>
      </c>
      <c r="MW712" s="27" t="s">
        <v>8</v>
      </c>
      <c r="MX712" s="27" t="s">
        <v>7</v>
      </c>
      <c r="MY712" s="27" t="s">
        <v>8</v>
      </c>
      <c r="MZ712" s="27" t="s">
        <v>7</v>
      </c>
      <c r="NA712" s="27" t="s">
        <v>8</v>
      </c>
      <c r="NB712" s="27" t="s">
        <v>7</v>
      </c>
      <c r="NC712" s="27" t="s">
        <v>8</v>
      </c>
      <c r="NF712" s="27" t="s">
        <v>7</v>
      </c>
      <c r="NG712" s="27" t="s">
        <v>8</v>
      </c>
      <c r="NP712" s="27" t="s">
        <v>7</v>
      </c>
      <c r="NQ712" s="27" t="s">
        <v>8</v>
      </c>
      <c r="NV712" s="27" t="s">
        <v>7</v>
      </c>
      <c r="NW712" s="27" t="s">
        <v>8</v>
      </c>
      <c r="NX712" s="27" t="s">
        <v>7</v>
      </c>
      <c r="NY712" s="27" t="s">
        <v>8</v>
      </c>
      <c r="OA712" s="27" t="s">
        <v>8</v>
      </c>
      <c r="OB712" s="27" t="s">
        <v>7</v>
      </c>
      <c r="OC712" s="27" t="s">
        <v>8</v>
      </c>
      <c r="OD712" s="27" t="s">
        <v>7</v>
      </c>
      <c r="OE712" s="27" t="s">
        <v>8</v>
      </c>
      <c r="OF712" s="27" t="s">
        <v>7</v>
      </c>
      <c r="OG712" s="27" t="s">
        <v>8</v>
      </c>
      <c r="OJ712" s="27" t="s">
        <v>7</v>
      </c>
      <c r="OK712" s="27" t="s">
        <v>8</v>
      </c>
      <c r="OT712" s="27" t="s">
        <v>7</v>
      </c>
      <c r="OU712" s="27" t="s">
        <v>8</v>
      </c>
      <c r="PD712" s="27" t="s">
        <v>7</v>
      </c>
      <c r="PE712" s="27" t="s">
        <v>8</v>
      </c>
      <c r="PF712" s="27" t="s">
        <v>7</v>
      </c>
      <c r="PG712" s="27" t="s">
        <v>8</v>
      </c>
      <c r="PH712" s="27" t="s">
        <v>7</v>
      </c>
      <c r="PO712" s="27" t="s">
        <v>8</v>
      </c>
      <c r="PP712" s="27" t="s">
        <v>7</v>
      </c>
      <c r="PQ712" s="27" t="s">
        <v>8</v>
      </c>
      <c r="PR712" s="27" t="s">
        <v>7</v>
      </c>
      <c r="PS712" s="27" t="s">
        <v>8</v>
      </c>
      <c r="PU712" s="27" t="s">
        <v>8</v>
      </c>
      <c r="PV712" s="27" t="s">
        <v>7</v>
      </c>
      <c r="PW712" s="27" t="s">
        <v>8</v>
      </c>
      <c r="PX712" s="27" t="s">
        <v>7</v>
      </c>
    </row>
    <row r="713" spans="1:446" x14ac:dyDescent="0.25">
      <c r="A713" s="7">
        <v>8.248564182121898E-2</v>
      </c>
      <c r="B713"/>
      <c r="C713"/>
      <c r="D713"/>
      <c r="E713"/>
      <c r="J713" s="27" t="s">
        <v>7</v>
      </c>
      <c r="K713" s="27" t="s">
        <v>8</v>
      </c>
      <c r="L713" s="27" t="s">
        <v>7</v>
      </c>
      <c r="M713" s="27" t="s">
        <v>8</v>
      </c>
      <c r="N713" s="27" t="s">
        <v>7</v>
      </c>
      <c r="O713" s="27" t="s">
        <v>8</v>
      </c>
      <c r="FM713" s="27" t="s">
        <v>8</v>
      </c>
      <c r="FN713" s="27" t="s">
        <v>7</v>
      </c>
      <c r="FQ713" s="27" t="s">
        <v>8</v>
      </c>
      <c r="FR713" s="27" t="s">
        <v>7</v>
      </c>
      <c r="JK713" s="27" t="s">
        <v>8</v>
      </c>
      <c r="JL713" s="27" t="s">
        <v>7</v>
      </c>
      <c r="JM713" s="27" t="s">
        <v>8</v>
      </c>
      <c r="JY713" s="27" t="s">
        <v>8</v>
      </c>
      <c r="JZ713" s="27" t="s">
        <v>7</v>
      </c>
      <c r="LN713" s="27" t="s">
        <v>7</v>
      </c>
      <c r="LO713" s="27" t="s">
        <v>8</v>
      </c>
      <c r="LW713" s="27" t="s">
        <v>8</v>
      </c>
      <c r="LX713" s="27" t="s">
        <v>7</v>
      </c>
      <c r="MC713" s="27" t="s">
        <v>8</v>
      </c>
      <c r="MD713" s="27" t="s">
        <v>7</v>
      </c>
      <c r="MG713" s="27" t="s">
        <v>8</v>
      </c>
      <c r="MH713" s="27" t="s">
        <v>7</v>
      </c>
      <c r="MW713" s="27" t="s">
        <v>8</v>
      </c>
      <c r="MX713" s="27" t="s">
        <v>7</v>
      </c>
      <c r="MY713" s="27" t="s">
        <v>8</v>
      </c>
      <c r="MZ713" s="27" t="s">
        <v>7</v>
      </c>
      <c r="NA713" s="27" t="s">
        <v>8</v>
      </c>
      <c r="NB713" s="27" t="s">
        <v>7</v>
      </c>
      <c r="NF713" s="27" t="s">
        <v>7</v>
      </c>
      <c r="NG713" s="27" t="s">
        <v>8</v>
      </c>
      <c r="NP713" s="27" t="s">
        <v>7</v>
      </c>
      <c r="NQ713" s="27" t="s">
        <v>8</v>
      </c>
      <c r="NV713" s="27" t="s">
        <v>7</v>
      </c>
      <c r="NW713" s="27" t="s">
        <v>8</v>
      </c>
      <c r="NX713" s="27" t="s">
        <v>7</v>
      </c>
      <c r="NY713" s="27" t="s">
        <v>8</v>
      </c>
      <c r="NZ713" s="27" t="s">
        <v>7</v>
      </c>
      <c r="OA713" s="27" t="s">
        <v>8</v>
      </c>
      <c r="OB713" s="27" t="s">
        <v>7</v>
      </c>
      <c r="OC713" s="27" t="s">
        <v>8</v>
      </c>
      <c r="OD713" s="27" t="s">
        <v>7</v>
      </c>
      <c r="OE713" s="27" t="s">
        <v>8</v>
      </c>
      <c r="OF713" s="27" t="s">
        <v>7</v>
      </c>
      <c r="OG713" s="27" t="s">
        <v>8</v>
      </c>
      <c r="OJ713" s="27" t="s">
        <v>7</v>
      </c>
      <c r="OK713" s="27" t="s">
        <v>8</v>
      </c>
      <c r="OT713" s="27" t="s">
        <v>7</v>
      </c>
      <c r="OU713" s="27" t="s">
        <v>8</v>
      </c>
      <c r="PD713" s="27" t="s">
        <v>7</v>
      </c>
      <c r="PE713" s="27" t="s">
        <v>8</v>
      </c>
      <c r="PF713" s="27" t="s">
        <v>7</v>
      </c>
      <c r="PG713" s="27" t="s">
        <v>8</v>
      </c>
      <c r="PH713" s="27" t="s">
        <v>7</v>
      </c>
      <c r="PO713" s="27" t="s">
        <v>8</v>
      </c>
      <c r="PP713" s="27" t="s">
        <v>7</v>
      </c>
      <c r="PQ713" s="27" t="s">
        <v>8</v>
      </c>
      <c r="PR713" s="27" t="s">
        <v>7</v>
      </c>
      <c r="PS713" s="27" t="s">
        <v>8</v>
      </c>
      <c r="PT713" s="27" t="s">
        <v>7</v>
      </c>
      <c r="PU713" s="27" t="s">
        <v>8</v>
      </c>
      <c r="PV713" s="27" t="s">
        <v>7</v>
      </c>
      <c r="PW713" s="27" t="s">
        <v>8</v>
      </c>
      <c r="PX713" s="27" t="s">
        <v>7</v>
      </c>
    </row>
    <row r="714" spans="1:446" x14ac:dyDescent="0.25">
      <c r="A714" s="7">
        <v>8.0868276295312735E-2</v>
      </c>
      <c r="B714"/>
      <c r="C714"/>
      <c r="D714"/>
      <c r="E714"/>
      <c r="J714" s="27" t="s">
        <v>7</v>
      </c>
      <c r="L714" s="27" t="s">
        <v>7</v>
      </c>
      <c r="M714" s="27" t="s">
        <v>8</v>
      </c>
      <c r="N714" s="27" t="s">
        <v>7</v>
      </c>
      <c r="O714" s="27" t="s">
        <v>8</v>
      </c>
      <c r="P714" s="27" t="s">
        <v>7</v>
      </c>
      <c r="FM714" s="27" t="s">
        <v>8</v>
      </c>
      <c r="FN714" s="27" t="s">
        <v>7</v>
      </c>
      <c r="FO714" s="27" t="s">
        <v>8</v>
      </c>
      <c r="FQ714" s="27" t="s">
        <v>8</v>
      </c>
      <c r="FR714" s="27" t="s">
        <v>7</v>
      </c>
      <c r="JK714" s="27" t="s">
        <v>8</v>
      </c>
      <c r="JL714" s="27" t="s">
        <v>7</v>
      </c>
      <c r="JM714" s="27" t="s">
        <v>8</v>
      </c>
      <c r="JN714" s="27" t="s">
        <v>7</v>
      </c>
      <c r="JY714" s="27" t="s">
        <v>8</v>
      </c>
      <c r="LN714" s="27" t="s">
        <v>7</v>
      </c>
      <c r="LO714" s="27" t="s">
        <v>8</v>
      </c>
      <c r="LP714" s="27" t="s">
        <v>7</v>
      </c>
      <c r="LW714" s="27" t="s">
        <v>8</v>
      </c>
      <c r="LX714" s="27" t="s">
        <v>7</v>
      </c>
      <c r="MC714" s="27" t="s">
        <v>8</v>
      </c>
      <c r="MD714" s="27" t="s">
        <v>7</v>
      </c>
      <c r="MG714" s="27" t="s">
        <v>8</v>
      </c>
      <c r="MH714" s="27" t="s">
        <v>7</v>
      </c>
      <c r="MW714" s="27" t="s">
        <v>8</v>
      </c>
      <c r="MX714" s="27" t="s">
        <v>7</v>
      </c>
      <c r="MY714" s="27" t="s">
        <v>8</v>
      </c>
      <c r="MZ714" s="27" t="s">
        <v>7</v>
      </c>
      <c r="NA714" s="27" t="s">
        <v>8</v>
      </c>
      <c r="NF714" s="27" t="s">
        <v>7</v>
      </c>
      <c r="NG714" s="27" t="s">
        <v>8</v>
      </c>
      <c r="NP714" s="27" t="s">
        <v>7</v>
      </c>
      <c r="NQ714" s="27" t="s">
        <v>8</v>
      </c>
      <c r="NV714" s="27" t="s">
        <v>7</v>
      </c>
      <c r="NW714" s="27" t="s">
        <v>8</v>
      </c>
      <c r="NX714" s="27" t="s">
        <v>7</v>
      </c>
      <c r="NY714" s="27" t="s">
        <v>8</v>
      </c>
      <c r="NZ714" s="27" t="s">
        <v>7</v>
      </c>
      <c r="OA714" s="27" t="s">
        <v>8</v>
      </c>
      <c r="OB714" s="27" t="s">
        <v>7</v>
      </c>
      <c r="OC714" s="27" t="s">
        <v>8</v>
      </c>
      <c r="OD714" s="27" t="s">
        <v>7</v>
      </c>
      <c r="OE714" s="27" t="s">
        <v>8</v>
      </c>
      <c r="OF714" s="27" t="s">
        <v>7</v>
      </c>
      <c r="OG714" s="27" t="s">
        <v>8</v>
      </c>
      <c r="OJ714" s="27" t="s">
        <v>7</v>
      </c>
      <c r="OT714" s="27" t="s">
        <v>7</v>
      </c>
      <c r="OU714" s="27" t="s">
        <v>8</v>
      </c>
      <c r="PD714" s="27" t="s">
        <v>7</v>
      </c>
      <c r="PE714" s="27" t="s">
        <v>8</v>
      </c>
      <c r="PF714" s="27" t="s">
        <v>7</v>
      </c>
      <c r="PG714" s="27" t="s">
        <v>8</v>
      </c>
      <c r="PH714" s="27" t="s">
        <v>7</v>
      </c>
      <c r="PO714" s="27" t="s">
        <v>8</v>
      </c>
      <c r="PP714" s="27" t="s">
        <v>7</v>
      </c>
      <c r="PR714" s="27" t="s">
        <v>7</v>
      </c>
      <c r="PS714" s="27" t="s">
        <v>8</v>
      </c>
      <c r="PT714" s="27" t="s">
        <v>7</v>
      </c>
      <c r="PU714" s="27" t="s">
        <v>8</v>
      </c>
      <c r="PV714" s="27" t="s">
        <v>7</v>
      </c>
      <c r="PX714" s="27" t="s">
        <v>7</v>
      </c>
    </row>
    <row r="715" spans="1:446" x14ac:dyDescent="0.25">
      <c r="A715" s="7">
        <v>7.9282623818934056E-2</v>
      </c>
      <c r="B715"/>
      <c r="C715"/>
      <c r="D715"/>
      <c r="E715"/>
      <c r="L715" s="27" t="s">
        <v>7</v>
      </c>
      <c r="N715" s="27" t="s">
        <v>7</v>
      </c>
      <c r="O715" s="27" t="s">
        <v>8</v>
      </c>
      <c r="P715" s="27" t="s">
        <v>7</v>
      </c>
      <c r="FM715" s="27" t="s">
        <v>8</v>
      </c>
      <c r="FN715" s="27" t="s">
        <v>7</v>
      </c>
      <c r="FO715" s="27" t="s">
        <v>8</v>
      </c>
      <c r="FP715" s="27" t="s">
        <v>7</v>
      </c>
      <c r="FQ715" s="27" t="s">
        <v>8</v>
      </c>
      <c r="FR715" s="27" t="s">
        <v>7</v>
      </c>
      <c r="FS715" s="27" t="s">
        <v>8</v>
      </c>
      <c r="JK715" s="27" t="s">
        <v>8</v>
      </c>
      <c r="JL715" s="27" t="s">
        <v>7</v>
      </c>
      <c r="JM715" s="27" t="s">
        <v>8</v>
      </c>
      <c r="JN715" s="27" t="s">
        <v>7</v>
      </c>
      <c r="JO715" s="27" t="s">
        <v>8</v>
      </c>
      <c r="JY715" s="27" t="s">
        <v>8</v>
      </c>
      <c r="LN715" s="27" t="s">
        <v>7</v>
      </c>
      <c r="LO715" s="27" t="s">
        <v>8</v>
      </c>
      <c r="LP715" s="27" t="s">
        <v>7</v>
      </c>
      <c r="LW715" s="27" t="s">
        <v>8</v>
      </c>
      <c r="LX715" s="27" t="s">
        <v>7</v>
      </c>
      <c r="LY715" s="27" t="s">
        <v>8</v>
      </c>
      <c r="MC715" s="27" t="s">
        <v>8</v>
      </c>
      <c r="MD715" s="27" t="s">
        <v>7</v>
      </c>
      <c r="MG715" s="27" t="s">
        <v>8</v>
      </c>
      <c r="MH715" s="27" t="s">
        <v>7</v>
      </c>
      <c r="MW715" s="27" t="s">
        <v>8</v>
      </c>
      <c r="MX715" s="27" t="s">
        <v>7</v>
      </c>
      <c r="MY715" s="27" t="s">
        <v>8</v>
      </c>
      <c r="MZ715" s="27" t="s">
        <v>7</v>
      </c>
      <c r="NF715" s="27" t="s">
        <v>7</v>
      </c>
      <c r="NP715" s="27" t="s">
        <v>7</v>
      </c>
      <c r="NQ715" s="27" t="s">
        <v>8</v>
      </c>
      <c r="NV715" s="27" t="s">
        <v>7</v>
      </c>
      <c r="NW715" s="27" t="s">
        <v>8</v>
      </c>
      <c r="NX715" s="27" t="s">
        <v>7</v>
      </c>
      <c r="NY715" s="27" t="s">
        <v>8</v>
      </c>
      <c r="NZ715" s="27" t="s">
        <v>7</v>
      </c>
      <c r="OA715" s="27" t="s">
        <v>8</v>
      </c>
      <c r="OB715" s="27" t="s">
        <v>7</v>
      </c>
      <c r="OC715" s="27" t="s">
        <v>8</v>
      </c>
      <c r="OD715" s="27" t="s">
        <v>7</v>
      </c>
      <c r="OE715" s="27" t="s">
        <v>8</v>
      </c>
      <c r="OF715" s="27" t="s">
        <v>7</v>
      </c>
      <c r="OT715" s="27" t="s">
        <v>7</v>
      </c>
      <c r="OU715" s="27" t="s">
        <v>8</v>
      </c>
      <c r="PD715" s="27" t="s">
        <v>7</v>
      </c>
      <c r="PE715" s="27" t="s">
        <v>8</v>
      </c>
      <c r="PF715" s="27" t="s">
        <v>7</v>
      </c>
      <c r="PG715" s="27" t="s">
        <v>8</v>
      </c>
      <c r="PH715" s="27" t="s">
        <v>7</v>
      </c>
      <c r="PI715" s="27" t="s">
        <v>8</v>
      </c>
      <c r="PM715" s="27" t="s">
        <v>8</v>
      </c>
      <c r="PO715" s="27" t="s">
        <v>8</v>
      </c>
      <c r="PR715" s="27" t="s">
        <v>7</v>
      </c>
      <c r="PT715" s="27" t="s">
        <v>7</v>
      </c>
      <c r="PX715" s="27" t="s">
        <v>7</v>
      </c>
      <c r="QC715" s="27" t="s">
        <v>8</v>
      </c>
    </row>
    <row r="716" spans="1:446" x14ac:dyDescent="0.25">
      <c r="A716" s="7">
        <v>7.7728062567582412E-2</v>
      </c>
      <c r="B716"/>
      <c r="C716"/>
      <c r="D716"/>
      <c r="E716"/>
      <c r="N716" s="27" t="s">
        <v>7</v>
      </c>
      <c r="P716" s="27" t="s">
        <v>7</v>
      </c>
      <c r="FM716" s="27" t="s">
        <v>8</v>
      </c>
      <c r="FN716" s="27" t="s">
        <v>7</v>
      </c>
      <c r="FO716" s="27" t="s">
        <v>8</v>
      </c>
      <c r="FP716" s="27" t="s">
        <v>7</v>
      </c>
      <c r="FQ716" s="27" t="s">
        <v>8</v>
      </c>
      <c r="FR716" s="27" t="s">
        <v>7</v>
      </c>
      <c r="FS716" s="27" t="s">
        <v>8</v>
      </c>
      <c r="FT716" s="27" t="s">
        <v>7</v>
      </c>
      <c r="JK716" s="27" t="s">
        <v>8</v>
      </c>
      <c r="JL716" s="27" t="s">
        <v>7</v>
      </c>
      <c r="JM716" s="27" t="s">
        <v>8</v>
      </c>
      <c r="JN716" s="27" t="s">
        <v>7</v>
      </c>
      <c r="JO716" s="27" t="s">
        <v>8</v>
      </c>
      <c r="JP716" s="27" t="s">
        <v>7</v>
      </c>
      <c r="JY716" s="27" t="s">
        <v>8</v>
      </c>
      <c r="LN716" s="27" t="s">
        <v>7</v>
      </c>
      <c r="LO716" s="27" t="s">
        <v>8</v>
      </c>
      <c r="LP716" s="27" t="s">
        <v>7</v>
      </c>
      <c r="LW716" s="27" t="s">
        <v>8</v>
      </c>
      <c r="LX716" s="27" t="s">
        <v>7</v>
      </c>
      <c r="LY716" s="27" t="s">
        <v>8</v>
      </c>
      <c r="LZ716" s="27" t="s">
        <v>7</v>
      </c>
      <c r="MC716" s="27" t="s">
        <v>8</v>
      </c>
      <c r="MD716" s="27" t="s">
        <v>7</v>
      </c>
      <c r="MG716" s="27" t="s">
        <v>8</v>
      </c>
      <c r="MH716" s="27" t="s">
        <v>7</v>
      </c>
      <c r="MW716" s="27" t="s">
        <v>8</v>
      </c>
      <c r="MX716" s="27" t="s">
        <v>7</v>
      </c>
      <c r="MY716" s="27" t="s">
        <v>8</v>
      </c>
      <c r="NP716" s="27" t="s">
        <v>7</v>
      </c>
      <c r="NV716" s="27" t="s">
        <v>7</v>
      </c>
      <c r="NW716" s="27" t="s">
        <v>8</v>
      </c>
      <c r="NX716" s="27" t="s">
        <v>7</v>
      </c>
      <c r="NY716" s="27" t="s">
        <v>8</v>
      </c>
      <c r="NZ716" s="27" t="s">
        <v>7</v>
      </c>
      <c r="OA716" s="27" t="s">
        <v>8</v>
      </c>
      <c r="OB716" s="27" t="s">
        <v>7</v>
      </c>
      <c r="OC716" s="27" t="s">
        <v>8</v>
      </c>
      <c r="OD716" s="27" t="s">
        <v>7</v>
      </c>
      <c r="OT716" s="27" t="s">
        <v>7</v>
      </c>
      <c r="OU716" s="27" t="s">
        <v>8</v>
      </c>
      <c r="PD716" s="27" t="s">
        <v>7</v>
      </c>
      <c r="PE716" s="27" t="s">
        <v>8</v>
      </c>
      <c r="PF716" s="27" t="s">
        <v>7</v>
      </c>
      <c r="PG716" s="27" t="s">
        <v>8</v>
      </c>
      <c r="PH716" s="27" t="s">
        <v>7</v>
      </c>
      <c r="PI716" s="27" t="s">
        <v>8</v>
      </c>
      <c r="PJ716" s="27" t="s">
        <v>7</v>
      </c>
      <c r="PM716" s="27" t="s">
        <v>8</v>
      </c>
      <c r="PN716" s="27" t="s">
        <v>7</v>
      </c>
      <c r="PO716" s="27" t="s">
        <v>8</v>
      </c>
      <c r="PX716" s="27" t="s">
        <v>7</v>
      </c>
      <c r="QC716" s="27" t="s">
        <v>8</v>
      </c>
      <c r="QD716" s="27" t="s">
        <v>7</v>
      </c>
    </row>
    <row r="717" spans="1:446" x14ac:dyDescent="0.25">
      <c r="A717" s="7">
        <v>7.6203982909394521E-2</v>
      </c>
      <c r="B717"/>
      <c r="C717"/>
      <c r="D717"/>
      <c r="E717"/>
      <c r="P717" s="27" t="s">
        <v>7</v>
      </c>
      <c r="FM717" s="27" t="s">
        <v>8</v>
      </c>
      <c r="FN717" s="27" t="s">
        <v>7</v>
      </c>
      <c r="FO717" s="27" t="s">
        <v>8</v>
      </c>
      <c r="FP717" s="27" t="s">
        <v>7</v>
      </c>
      <c r="FQ717" s="27" t="s">
        <v>8</v>
      </c>
      <c r="FR717" s="27" t="s">
        <v>7</v>
      </c>
      <c r="FS717" s="27" t="s">
        <v>8</v>
      </c>
      <c r="FT717" s="27" t="s">
        <v>7</v>
      </c>
      <c r="JK717" s="27" t="s">
        <v>8</v>
      </c>
      <c r="JL717" s="27" t="s">
        <v>7</v>
      </c>
      <c r="JM717" s="27" t="s">
        <v>8</v>
      </c>
      <c r="JN717" s="27" t="s">
        <v>7</v>
      </c>
      <c r="JO717" s="27" t="s">
        <v>8</v>
      </c>
      <c r="JP717" s="27" t="s">
        <v>7</v>
      </c>
      <c r="JQ717" s="27" t="s">
        <v>8</v>
      </c>
      <c r="JY717" s="27" t="s">
        <v>8</v>
      </c>
      <c r="LN717" s="27" t="s">
        <v>7</v>
      </c>
      <c r="LO717" s="27" t="s">
        <v>8</v>
      </c>
      <c r="LP717" s="27" t="s">
        <v>7</v>
      </c>
      <c r="LW717" s="27" t="s">
        <v>8</v>
      </c>
      <c r="LX717" s="27" t="s">
        <v>7</v>
      </c>
      <c r="LY717" s="27" t="s">
        <v>8</v>
      </c>
      <c r="LZ717" s="27" t="s">
        <v>7</v>
      </c>
      <c r="MC717" s="27" t="s">
        <v>8</v>
      </c>
      <c r="MD717" s="27" t="s">
        <v>7</v>
      </c>
      <c r="MG717" s="27" t="s">
        <v>8</v>
      </c>
      <c r="MH717" s="27" t="s">
        <v>7</v>
      </c>
      <c r="MW717" s="27" t="s">
        <v>8</v>
      </c>
      <c r="MX717" s="27" t="s">
        <v>7</v>
      </c>
      <c r="MY717" s="27" t="s">
        <v>8</v>
      </c>
      <c r="NV717" s="27" t="s">
        <v>7</v>
      </c>
      <c r="NW717" s="27" t="s">
        <v>8</v>
      </c>
      <c r="NX717" s="27" t="s">
        <v>7</v>
      </c>
      <c r="NZ717" s="27" t="s">
        <v>7</v>
      </c>
      <c r="OA717" s="27" t="s">
        <v>8</v>
      </c>
      <c r="OB717" s="27" t="s">
        <v>7</v>
      </c>
      <c r="OC717" s="27" t="s">
        <v>8</v>
      </c>
      <c r="OT717" s="27" t="s">
        <v>7</v>
      </c>
      <c r="OU717" s="27" t="s">
        <v>8</v>
      </c>
      <c r="PD717" s="27" t="s">
        <v>7</v>
      </c>
      <c r="PE717" s="27" t="s">
        <v>8</v>
      </c>
      <c r="PF717" s="27" t="s">
        <v>7</v>
      </c>
      <c r="PG717" s="27" t="s">
        <v>8</v>
      </c>
      <c r="PH717" s="27" t="s">
        <v>7</v>
      </c>
      <c r="PI717" s="27" t="s">
        <v>8</v>
      </c>
      <c r="PJ717" s="27" t="s">
        <v>7</v>
      </c>
      <c r="PM717" s="27" t="s">
        <v>8</v>
      </c>
      <c r="PN717" s="27" t="s">
        <v>7</v>
      </c>
      <c r="PO717" s="27" t="s">
        <v>8</v>
      </c>
      <c r="PX717" s="27" t="s">
        <v>7</v>
      </c>
      <c r="QC717" s="27" t="s">
        <v>8</v>
      </c>
      <c r="QD717" s="27" t="s">
        <v>7</v>
      </c>
    </row>
    <row r="718" spans="1:446" x14ac:dyDescent="0.25">
      <c r="A718" s="7">
        <v>7.4709787166073058E-2</v>
      </c>
      <c r="B718"/>
      <c r="C718"/>
      <c r="D718"/>
      <c r="E718"/>
      <c r="P718" s="27" t="s">
        <v>7</v>
      </c>
      <c r="FM718" s="27" t="s">
        <v>8</v>
      </c>
      <c r="FN718" s="27" t="s">
        <v>7</v>
      </c>
      <c r="FO718" s="27" t="s">
        <v>8</v>
      </c>
      <c r="FP718" s="27" t="s">
        <v>7</v>
      </c>
      <c r="FQ718" s="27" t="s">
        <v>8</v>
      </c>
      <c r="FR718" s="27" t="s">
        <v>7</v>
      </c>
      <c r="FS718" s="27" t="s">
        <v>8</v>
      </c>
      <c r="FT718" s="27" t="s">
        <v>7</v>
      </c>
      <c r="JK718" s="27" t="s">
        <v>8</v>
      </c>
      <c r="JL718" s="27" t="s">
        <v>7</v>
      </c>
      <c r="JM718" s="27" t="s">
        <v>8</v>
      </c>
      <c r="JN718" s="27" t="s">
        <v>7</v>
      </c>
      <c r="JO718" s="27" t="s">
        <v>8</v>
      </c>
      <c r="JP718" s="27" t="s">
        <v>7</v>
      </c>
      <c r="JQ718" s="27" t="s">
        <v>8</v>
      </c>
      <c r="JR718" s="27" t="s">
        <v>7</v>
      </c>
      <c r="JY718" s="27" t="s">
        <v>8</v>
      </c>
      <c r="LN718" s="27" t="s">
        <v>7</v>
      </c>
      <c r="LO718" s="27" t="s">
        <v>8</v>
      </c>
      <c r="LP718" s="27" t="s">
        <v>7</v>
      </c>
      <c r="LW718" s="27" t="s">
        <v>8</v>
      </c>
      <c r="LX718" s="27" t="s">
        <v>7</v>
      </c>
      <c r="LY718" s="27" t="s">
        <v>8</v>
      </c>
      <c r="LZ718" s="27" t="s">
        <v>7</v>
      </c>
      <c r="MC718" s="27" t="s">
        <v>8</v>
      </c>
      <c r="MD718" s="27" t="s">
        <v>7</v>
      </c>
      <c r="MG718" s="27" t="s">
        <v>8</v>
      </c>
      <c r="MH718" s="27" t="s">
        <v>7</v>
      </c>
      <c r="MW718" s="27" t="s">
        <v>8</v>
      </c>
      <c r="MX718" s="27" t="s">
        <v>7</v>
      </c>
      <c r="MY718" s="27" t="s">
        <v>8</v>
      </c>
      <c r="NV718" s="27" t="s">
        <v>7</v>
      </c>
      <c r="NW718" s="27" t="s">
        <v>8</v>
      </c>
      <c r="NZ718" s="27" t="s">
        <v>7</v>
      </c>
      <c r="OB718" s="27" t="s">
        <v>7</v>
      </c>
      <c r="OT718" s="27" t="s">
        <v>7</v>
      </c>
      <c r="OU718" s="27" t="s">
        <v>8</v>
      </c>
      <c r="PD718" s="27" t="s">
        <v>7</v>
      </c>
      <c r="PE718" s="27" t="s">
        <v>8</v>
      </c>
      <c r="PF718" s="27" t="s">
        <v>7</v>
      </c>
      <c r="PG718" s="27" t="s">
        <v>8</v>
      </c>
      <c r="PH718" s="27" t="s">
        <v>7</v>
      </c>
      <c r="PJ718" s="27" t="s">
        <v>7</v>
      </c>
      <c r="PK718" s="27" t="s">
        <v>8</v>
      </c>
      <c r="PM718" s="27" t="s">
        <v>8</v>
      </c>
      <c r="PN718" s="27" t="s">
        <v>7</v>
      </c>
      <c r="PO718" s="27" t="s">
        <v>8</v>
      </c>
      <c r="PX718" s="27" t="s">
        <v>7</v>
      </c>
      <c r="QC718" s="27" t="s">
        <v>8</v>
      </c>
      <c r="QD718" s="27" t="s">
        <v>7</v>
      </c>
    </row>
    <row r="719" spans="1:446" x14ac:dyDescent="0.25">
      <c r="A719" s="7">
        <v>7.3244889378503E-2</v>
      </c>
      <c r="B719"/>
      <c r="C719"/>
      <c r="D719"/>
      <c r="E719"/>
      <c r="P719" s="27" t="s">
        <v>7</v>
      </c>
      <c r="FI719" s="27" t="s">
        <v>8</v>
      </c>
      <c r="FK719" s="27" t="s">
        <v>8</v>
      </c>
      <c r="FM719" s="27" t="s">
        <v>8</v>
      </c>
      <c r="FN719" s="27" t="s">
        <v>7</v>
      </c>
      <c r="FO719" s="27" t="s">
        <v>8</v>
      </c>
      <c r="FP719" s="27" t="s">
        <v>7</v>
      </c>
      <c r="FQ719" s="27" t="s">
        <v>8</v>
      </c>
      <c r="FR719" s="27" t="s">
        <v>7</v>
      </c>
      <c r="FS719" s="27" t="s">
        <v>8</v>
      </c>
      <c r="FT719" s="27" t="s">
        <v>7</v>
      </c>
      <c r="JK719" s="27" t="s">
        <v>8</v>
      </c>
      <c r="JL719" s="27" t="s">
        <v>7</v>
      </c>
      <c r="JM719" s="27" t="s">
        <v>8</v>
      </c>
      <c r="JN719" s="27" t="s">
        <v>7</v>
      </c>
      <c r="JO719" s="27" t="s">
        <v>8</v>
      </c>
      <c r="JP719" s="27" t="s">
        <v>7</v>
      </c>
      <c r="JQ719" s="27" t="s">
        <v>8</v>
      </c>
      <c r="JR719" s="27" t="s">
        <v>7</v>
      </c>
      <c r="JY719" s="27" t="s">
        <v>8</v>
      </c>
      <c r="LN719" s="27" t="s">
        <v>7</v>
      </c>
      <c r="LO719" s="27" t="s">
        <v>8</v>
      </c>
      <c r="LP719" s="27" t="s">
        <v>7</v>
      </c>
      <c r="LW719" s="27" t="s">
        <v>8</v>
      </c>
      <c r="LX719" s="27" t="s">
        <v>7</v>
      </c>
      <c r="LY719" s="27" t="s">
        <v>8</v>
      </c>
      <c r="LZ719" s="27" t="s">
        <v>7</v>
      </c>
      <c r="MC719" s="27" t="s">
        <v>8</v>
      </c>
      <c r="MD719" s="27" t="s">
        <v>7</v>
      </c>
      <c r="MG719" s="27" t="s">
        <v>8</v>
      </c>
      <c r="MH719" s="27" t="s">
        <v>7</v>
      </c>
      <c r="MW719" s="27" t="s">
        <v>8</v>
      </c>
      <c r="MX719" s="27" t="s">
        <v>7</v>
      </c>
      <c r="MY719" s="27" t="s">
        <v>8</v>
      </c>
      <c r="NV719" s="27" t="s">
        <v>7</v>
      </c>
      <c r="OT719" s="27" t="s">
        <v>7</v>
      </c>
      <c r="PD719" s="27" t="s">
        <v>7</v>
      </c>
      <c r="PF719" s="27" t="s">
        <v>7</v>
      </c>
      <c r="PJ719" s="27" t="s">
        <v>7</v>
      </c>
      <c r="PK719" s="27" t="s">
        <v>8</v>
      </c>
      <c r="PL719" s="27" t="s">
        <v>7</v>
      </c>
      <c r="PM719" s="27" t="s">
        <v>8</v>
      </c>
      <c r="PN719" s="27" t="s">
        <v>7</v>
      </c>
      <c r="PO719" s="27" t="s">
        <v>8</v>
      </c>
      <c r="PX719" s="27" t="s">
        <v>7</v>
      </c>
      <c r="QC719" s="27" t="s">
        <v>8</v>
      </c>
      <c r="QD719" s="27" t="s">
        <v>7</v>
      </c>
    </row>
    <row r="720" spans="1:446" x14ac:dyDescent="0.25">
      <c r="A720" s="7">
        <v>7.1808715076963722E-2</v>
      </c>
      <c r="B720"/>
      <c r="C720"/>
      <c r="D720"/>
      <c r="E720"/>
      <c r="P720" s="27" t="s">
        <v>7</v>
      </c>
      <c r="FI720" s="27" t="s">
        <v>8</v>
      </c>
      <c r="FJ720" s="27" t="s">
        <v>7</v>
      </c>
      <c r="FK720" s="27" t="s">
        <v>8</v>
      </c>
      <c r="FL720" s="27" t="s">
        <v>7</v>
      </c>
      <c r="FM720" s="27" t="s">
        <v>8</v>
      </c>
      <c r="FN720" s="27" t="s">
        <v>7</v>
      </c>
      <c r="FO720" s="27" t="s">
        <v>8</v>
      </c>
      <c r="FP720" s="27" t="s">
        <v>7</v>
      </c>
      <c r="FR720" s="27" t="s">
        <v>7</v>
      </c>
      <c r="FT720" s="27" t="s">
        <v>7</v>
      </c>
      <c r="JK720" s="27" t="s">
        <v>8</v>
      </c>
      <c r="JL720" s="27" t="s">
        <v>7</v>
      </c>
      <c r="JM720" s="27" t="s">
        <v>8</v>
      </c>
      <c r="JN720" s="27" t="s">
        <v>7</v>
      </c>
      <c r="JO720" s="27" t="s">
        <v>8</v>
      </c>
      <c r="JP720" s="27" t="s">
        <v>7</v>
      </c>
      <c r="JQ720" s="27" t="s">
        <v>8</v>
      </c>
      <c r="JR720" s="27" t="s">
        <v>7</v>
      </c>
      <c r="JY720" s="27" t="s">
        <v>8</v>
      </c>
      <c r="LN720" s="27" t="s">
        <v>7</v>
      </c>
      <c r="LO720" s="27" t="s">
        <v>8</v>
      </c>
      <c r="LP720" s="27" t="s">
        <v>7</v>
      </c>
      <c r="LW720" s="27" t="s">
        <v>8</v>
      </c>
      <c r="LX720" s="27" t="s">
        <v>7</v>
      </c>
      <c r="LY720" s="27" t="s">
        <v>8</v>
      </c>
      <c r="LZ720" s="27" t="s">
        <v>7</v>
      </c>
      <c r="MA720" s="27" t="s">
        <v>8</v>
      </c>
      <c r="MC720" s="27" t="s">
        <v>8</v>
      </c>
      <c r="MD720" s="27" t="s">
        <v>7</v>
      </c>
      <c r="MG720" s="27" t="s">
        <v>8</v>
      </c>
      <c r="MH720" s="27" t="s">
        <v>7</v>
      </c>
      <c r="MW720" s="27" t="s">
        <v>8</v>
      </c>
      <c r="MX720" s="27" t="s">
        <v>7</v>
      </c>
      <c r="PJ720" s="27" t="s">
        <v>7</v>
      </c>
      <c r="PK720" s="27" t="s">
        <v>8</v>
      </c>
      <c r="PL720" s="27" t="s">
        <v>7</v>
      </c>
      <c r="PM720" s="27" t="s">
        <v>8</v>
      </c>
      <c r="PN720" s="27" t="s">
        <v>7</v>
      </c>
      <c r="PX720" s="27" t="s">
        <v>7</v>
      </c>
      <c r="PY720" s="27" t="s">
        <v>8</v>
      </c>
      <c r="QA720" s="27" t="s">
        <v>8</v>
      </c>
      <c r="QC720" s="27" t="s">
        <v>8</v>
      </c>
      <c r="QD720" s="27" t="s">
        <v>7</v>
      </c>
    </row>
    <row r="721" spans="1:449" x14ac:dyDescent="0.25">
      <c r="A721" s="7">
        <v>7.0400701055846782E-2</v>
      </c>
      <c r="B721"/>
      <c r="C721"/>
      <c r="D721"/>
      <c r="E721"/>
      <c r="P721" s="27" t="s">
        <v>7</v>
      </c>
      <c r="FI721" s="27" t="s">
        <v>8</v>
      </c>
      <c r="FJ721" s="27" t="s">
        <v>7</v>
      </c>
      <c r="FK721" s="27" t="s">
        <v>8</v>
      </c>
      <c r="FL721" s="27" t="s">
        <v>7</v>
      </c>
      <c r="FM721" s="27" t="s">
        <v>8</v>
      </c>
      <c r="FN721" s="27" t="s">
        <v>7</v>
      </c>
      <c r="FO721" s="27" t="s">
        <v>8</v>
      </c>
      <c r="FT721" s="27" t="s">
        <v>7</v>
      </c>
      <c r="FU721" s="27" t="s">
        <v>8</v>
      </c>
      <c r="JK721" s="27" t="s">
        <v>8</v>
      </c>
      <c r="JL721" s="27" t="s">
        <v>7</v>
      </c>
      <c r="JM721" s="27" t="s">
        <v>8</v>
      </c>
      <c r="JN721" s="27" t="s">
        <v>7</v>
      </c>
      <c r="JO721" s="27" t="s">
        <v>8</v>
      </c>
      <c r="JP721" s="27" t="s">
        <v>7</v>
      </c>
      <c r="JQ721" s="27" t="s">
        <v>8</v>
      </c>
      <c r="JR721" s="27" t="s">
        <v>7</v>
      </c>
      <c r="JY721" s="27" t="s">
        <v>8</v>
      </c>
      <c r="LN721" s="27" t="s">
        <v>7</v>
      </c>
      <c r="LO721" s="27" t="s">
        <v>8</v>
      </c>
      <c r="LP721" s="27" t="s">
        <v>7</v>
      </c>
      <c r="LS721" s="27" t="s">
        <v>8</v>
      </c>
      <c r="LW721" s="27" t="s">
        <v>8</v>
      </c>
      <c r="LX721" s="27" t="s">
        <v>7</v>
      </c>
      <c r="LY721" s="27" t="s">
        <v>8</v>
      </c>
      <c r="LZ721" s="27" t="s">
        <v>7</v>
      </c>
      <c r="MA721" s="27" t="s">
        <v>8</v>
      </c>
      <c r="MB721" s="27" t="s">
        <v>7</v>
      </c>
      <c r="MC721" s="27" t="s">
        <v>8</v>
      </c>
      <c r="MD721" s="27" t="s">
        <v>7</v>
      </c>
      <c r="ME721" s="27" t="s">
        <v>8</v>
      </c>
      <c r="MG721" s="27" t="s">
        <v>8</v>
      </c>
      <c r="MH721" s="27" t="s">
        <v>7</v>
      </c>
      <c r="MI721" s="27" t="s">
        <v>8</v>
      </c>
      <c r="MK721" s="27" t="s">
        <v>8</v>
      </c>
      <c r="MW721" s="27" t="s">
        <v>8</v>
      </c>
      <c r="PJ721" s="27" t="s">
        <v>7</v>
      </c>
      <c r="PK721" s="27" t="s">
        <v>8</v>
      </c>
      <c r="PL721" s="27" t="s">
        <v>7</v>
      </c>
      <c r="PM721" s="27" t="s">
        <v>8</v>
      </c>
      <c r="PX721" s="27" t="s">
        <v>7</v>
      </c>
      <c r="PY721" s="27" t="s">
        <v>8</v>
      </c>
      <c r="PZ721" s="27" t="s">
        <v>7</v>
      </c>
      <c r="QA721" s="27" t="s">
        <v>8</v>
      </c>
      <c r="QB721" s="27" t="s">
        <v>7</v>
      </c>
      <c r="QC721" s="27" t="s">
        <v>8</v>
      </c>
      <c r="QD721" s="27" t="s">
        <v>7</v>
      </c>
    </row>
    <row r="722" spans="1:449" x14ac:dyDescent="0.25">
      <c r="A722" s="7">
        <v>6.9020295152790956E-2</v>
      </c>
      <c r="B722"/>
      <c r="C722"/>
      <c r="D722"/>
      <c r="E722"/>
      <c r="P722" s="27" t="s">
        <v>7</v>
      </c>
      <c r="S722" s="27" t="s">
        <v>8</v>
      </c>
      <c r="FG722" s="27" t="s">
        <v>8</v>
      </c>
      <c r="FI722" s="27" t="s">
        <v>8</v>
      </c>
      <c r="FJ722" s="27" t="s">
        <v>7</v>
      </c>
      <c r="FK722" s="27" t="s">
        <v>8</v>
      </c>
      <c r="FL722" s="27" t="s">
        <v>7</v>
      </c>
      <c r="FM722" s="27" t="s">
        <v>8</v>
      </c>
      <c r="FN722" s="27" t="s">
        <v>7</v>
      </c>
      <c r="FO722" s="27" t="s">
        <v>8</v>
      </c>
      <c r="FT722" s="27" t="s">
        <v>7</v>
      </c>
      <c r="FU722" s="27" t="s">
        <v>8</v>
      </c>
      <c r="FV722" s="27" t="s">
        <v>7</v>
      </c>
      <c r="JK722" s="27" t="s">
        <v>8</v>
      </c>
      <c r="JL722" s="27" t="s">
        <v>7</v>
      </c>
      <c r="JM722" s="27" t="s">
        <v>8</v>
      </c>
      <c r="JN722" s="27" t="s">
        <v>7</v>
      </c>
      <c r="JO722" s="27" t="s">
        <v>8</v>
      </c>
      <c r="JP722" s="27" t="s">
        <v>7</v>
      </c>
      <c r="JQ722" s="27" t="s">
        <v>8</v>
      </c>
      <c r="JR722" s="27" t="s">
        <v>7</v>
      </c>
      <c r="JY722" s="27" t="s">
        <v>8</v>
      </c>
      <c r="LN722" s="27" t="s">
        <v>7</v>
      </c>
      <c r="LO722" s="27" t="s">
        <v>8</v>
      </c>
      <c r="LP722" s="27" t="s">
        <v>7</v>
      </c>
      <c r="LS722" s="27" t="s">
        <v>8</v>
      </c>
      <c r="LT722" s="27" t="s">
        <v>7</v>
      </c>
      <c r="LW722" s="27" t="s">
        <v>8</v>
      </c>
      <c r="LX722" s="27" t="s">
        <v>7</v>
      </c>
      <c r="LY722" s="27" t="s">
        <v>8</v>
      </c>
      <c r="LZ722" s="27" t="s">
        <v>7</v>
      </c>
      <c r="MA722" s="27" t="s">
        <v>8</v>
      </c>
      <c r="MB722" s="27" t="s">
        <v>7</v>
      </c>
      <c r="MC722" s="27" t="s">
        <v>8</v>
      </c>
      <c r="MD722" s="27" t="s">
        <v>7</v>
      </c>
      <c r="ME722" s="27" t="s">
        <v>8</v>
      </c>
      <c r="MF722" s="27" t="s">
        <v>7</v>
      </c>
      <c r="MG722" s="27" t="s">
        <v>8</v>
      </c>
      <c r="MH722" s="27" t="s">
        <v>7</v>
      </c>
      <c r="MI722" s="27" t="s">
        <v>8</v>
      </c>
      <c r="MJ722" s="27" t="s">
        <v>7</v>
      </c>
      <c r="MK722" s="27" t="s">
        <v>8</v>
      </c>
      <c r="ML722" s="27" t="s">
        <v>7</v>
      </c>
      <c r="MW722" s="27" t="s">
        <v>8</v>
      </c>
      <c r="PJ722" s="27" t="s">
        <v>7</v>
      </c>
      <c r="PK722" s="27" t="s">
        <v>8</v>
      </c>
      <c r="PL722" s="27" t="s">
        <v>7</v>
      </c>
      <c r="PX722" s="27" t="s">
        <v>7</v>
      </c>
      <c r="PY722" s="27" t="s">
        <v>8</v>
      </c>
      <c r="PZ722" s="27" t="s">
        <v>7</v>
      </c>
      <c r="QA722" s="27" t="s">
        <v>8</v>
      </c>
      <c r="QB722" s="27" t="s">
        <v>7</v>
      </c>
      <c r="QC722" s="27" t="s">
        <v>8</v>
      </c>
      <c r="QD722" s="27" t="s">
        <v>7</v>
      </c>
    </row>
    <row r="723" spans="1:449" x14ac:dyDescent="0.25">
      <c r="A723" s="7">
        <v>6.7666956032147993E-2</v>
      </c>
      <c r="B723"/>
      <c r="C723"/>
      <c r="D723"/>
      <c r="E723"/>
      <c r="P723" s="27" t="s">
        <v>7</v>
      </c>
      <c r="S723" s="27" t="s">
        <v>8</v>
      </c>
      <c r="T723" s="27" t="s">
        <v>7</v>
      </c>
      <c r="FG723" s="27" t="s">
        <v>8</v>
      </c>
      <c r="FH723" s="27" t="s">
        <v>7</v>
      </c>
      <c r="FI723" s="27" t="s">
        <v>8</v>
      </c>
      <c r="FJ723" s="27" t="s">
        <v>7</v>
      </c>
      <c r="FK723" s="27" t="s">
        <v>8</v>
      </c>
      <c r="FL723" s="27" t="s">
        <v>7</v>
      </c>
      <c r="FM723" s="27" t="s">
        <v>8</v>
      </c>
      <c r="FN723" s="27" t="s">
        <v>7</v>
      </c>
      <c r="FO723" s="27" t="s">
        <v>8</v>
      </c>
      <c r="FT723" s="27" t="s">
        <v>7</v>
      </c>
      <c r="FU723" s="27" t="s">
        <v>8</v>
      </c>
      <c r="FV723" s="27" t="s">
        <v>7</v>
      </c>
      <c r="JK723" s="27" t="s">
        <v>8</v>
      </c>
      <c r="JL723" s="27" t="s">
        <v>7</v>
      </c>
      <c r="JM723" s="27" t="s">
        <v>8</v>
      </c>
      <c r="JN723" s="27" t="s">
        <v>7</v>
      </c>
      <c r="JO723" s="27" t="s">
        <v>8</v>
      </c>
      <c r="JP723" s="27" t="s">
        <v>7</v>
      </c>
      <c r="JR723" s="27" t="s">
        <v>7</v>
      </c>
      <c r="JY723" s="27" t="s">
        <v>8</v>
      </c>
      <c r="LN723" s="27" t="s">
        <v>7</v>
      </c>
      <c r="LO723" s="27" t="s">
        <v>8</v>
      </c>
      <c r="LP723" s="27" t="s">
        <v>7</v>
      </c>
      <c r="LS723" s="27" t="s">
        <v>8</v>
      </c>
      <c r="LT723" s="27" t="s">
        <v>7</v>
      </c>
      <c r="LW723" s="27" t="s">
        <v>8</v>
      </c>
      <c r="LX723" s="27" t="s">
        <v>7</v>
      </c>
      <c r="LY723" s="27" t="s">
        <v>8</v>
      </c>
      <c r="LZ723" s="27" t="s">
        <v>7</v>
      </c>
      <c r="MA723" s="27" t="s">
        <v>8</v>
      </c>
      <c r="MB723" s="27" t="s">
        <v>7</v>
      </c>
      <c r="MC723" s="27" t="s">
        <v>8</v>
      </c>
      <c r="MD723" s="27" t="s">
        <v>7</v>
      </c>
      <c r="ME723" s="27" t="s">
        <v>8</v>
      </c>
      <c r="MF723" s="27" t="s">
        <v>7</v>
      </c>
      <c r="MG723" s="27" t="s">
        <v>8</v>
      </c>
      <c r="MH723" s="27" t="s">
        <v>7</v>
      </c>
      <c r="MI723" s="27" t="s">
        <v>8</v>
      </c>
      <c r="MJ723" s="27" t="s">
        <v>7</v>
      </c>
      <c r="MK723" s="27" t="s">
        <v>8</v>
      </c>
      <c r="ML723" s="27" t="s">
        <v>7</v>
      </c>
      <c r="MM723" s="27" t="s">
        <v>8</v>
      </c>
      <c r="MW723" s="27" t="s">
        <v>8</v>
      </c>
      <c r="PJ723" s="27" t="s">
        <v>7</v>
      </c>
      <c r="PK723" s="27" t="s">
        <v>8</v>
      </c>
      <c r="PX723" s="27" t="s">
        <v>7</v>
      </c>
      <c r="PY723" s="27" t="s">
        <v>8</v>
      </c>
      <c r="PZ723" s="27" t="s">
        <v>7</v>
      </c>
      <c r="QA723" s="27" t="s">
        <v>8</v>
      </c>
      <c r="QB723" s="27" t="s">
        <v>7</v>
      </c>
      <c r="QC723" s="27" t="s">
        <v>8</v>
      </c>
      <c r="QD723" s="27" t="s">
        <v>7</v>
      </c>
    </row>
    <row r="724" spans="1:449" x14ac:dyDescent="0.25">
      <c r="A724" s="7">
        <v>6.6340152972694105E-2</v>
      </c>
      <c r="B724"/>
      <c r="C724"/>
      <c r="D724"/>
      <c r="E724"/>
      <c r="P724" s="27" t="s">
        <v>7</v>
      </c>
      <c r="S724" s="27" t="s">
        <v>8</v>
      </c>
      <c r="T724" s="27" t="s">
        <v>7</v>
      </c>
      <c r="FG724" s="27" t="s">
        <v>8</v>
      </c>
      <c r="FH724" s="27" t="s">
        <v>7</v>
      </c>
      <c r="FI724" s="27" t="s">
        <v>8</v>
      </c>
      <c r="FJ724" s="27" t="s">
        <v>7</v>
      </c>
      <c r="FK724" s="27" t="s">
        <v>8</v>
      </c>
      <c r="FL724" s="27" t="s">
        <v>7</v>
      </c>
      <c r="FM724" s="27" t="s">
        <v>8</v>
      </c>
      <c r="FN724" s="27" t="s">
        <v>7</v>
      </c>
      <c r="FT724" s="27" t="s">
        <v>7</v>
      </c>
      <c r="FU724" s="27" t="s">
        <v>8</v>
      </c>
      <c r="FV724" s="27" t="s">
        <v>7</v>
      </c>
      <c r="JK724" s="27" t="s">
        <v>8</v>
      </c>
      <c r="JL724" s="27" t="s">
        <v>7</v>
      </c>
      <c r="JM724" s="27" t="s">
        <v>8</v>
      </c>
      <c r="JN724" s="27" t="s">
        <v>7</v>
      </c>
      <c r="JO724" s="27" t="s">
        <v>8</v>
      </c>
      <c r="JR724" s="27" t="s">
        <v>7</v>
      </c>
      <c r="JS724" s="27" t="s">
        <v>8</v>
      </c>
      <c r="JY724" s="27" t="s">
        <v>8</v>
      </c>
      <c r="LN724" s="27" t="s">
        <v>7</v>
      </c>
      <c r="LO724" s="27" t="s">
        <v>8</v>
      </c>
      <c r="LP724" s="27" t="s">
        <v>7</v>
      </c>
      <c r="LS724" s="27" t="s">
        <v>8</v>
      </c>
      <c r="LT724" s="27" t="s">
        <v>7</v>
      </c>
      <c r="LW724" s="27" t="s">
        <v>8</v>
      </c>
      <c r="LX724" s="27" t="s">
        <v>7</v>
      </c>
      <c r="LY724" s="27" t="s">
        <v>8</v>
      </c>
      <c r="LZ724" s="27" t="s">
        <v>7</v>
      </c>
      <c r="MA724" s="27" t="s">
        <v>8</v>
      </c>
      <c r="MB724" s="27" t="s">
        <v>7</v>
      </c>
      <c r="MC724" s="27" t="s">
        <v>8</v>
      </c>
      <c r="MD724" s="27" t="s">
        <v>7</v>
      </c>
      <c r="ME724" s="27" t="s">
        <v>8</v>
      </c>
      <c r="MF724" s="27" t="s">
        <v>7</v>
      </c>
      <c r="MG724" s="27" t="s">
        <v>8</v>
      </c>
      <c r="MH724" s="27" t="s">
        <v>7</v>
      </c>
      <c r="MI724" s="27" t="s">
        <v>8</v>
      </c>
      <c r="MJ724" s="27" t="s">
        <v>7</v>
      </c>
      <c r="MK724" s="27" t="s">
        <v>8</v>
      </c>
      <c r="ML724" s="27" t="s">
        <v>7</v>
      </c>
      <c r="MM724" s="27" t="s">
        <v>8</v>
      </c>
      <c r="MN724" s="27" t="s">
        <v>7</v>
      </c>
      <c r="MO724" s="27" t="s">
        <v>8</v>
      </c>
      <c r="MU724" s="27" t="s">
        <v>8</v>
      </c>
      <c r="MW724" s="27" t="s">
        <v>8</v>
      </c>
      <c r="PJ724" s="27" t="s">
        <v>7</v>
      </c>
      <c r="PX724" s="27" t="s">
        <v>7</v>
      </c>
      <c r="PZ724" s="27" t="s">
        <v>7</v>
      </c>
      <c r="QA724" s="27" t="s">
        <v>8</v>
      </c>
      <c r="QB724" s="27" t="s">
        <v>7</v>
      </c>
      <c r="QD724" s="27" t="s">
        <v>7</v>
      </c>
    </row>
    <row r="725" spans="1:449" x14ac:dyDescent="0.25">
      <c r="A725" s="7">
        <v>6.5039365659504023E-2</v>
      </c>
      <c r="B725"/>
      <c r="C725"/>
      <c r="D725"/>
      <c r="E725"/>
      <c r="P725" s="27" t="s">
        <v>7</v>
      </c>
      <c r="S725" s="27" t="s">
        <v>8</v>
      </c>
      <c r="T725" s="27" t="s">
        <v>7</v>
      </c>
      <c r="FG725" s="27" t="s">
        <v>8</v>
      </c>
      <c r="FH725" s="27" t="s">
        <v>7</v>
      </c>
      <c r="FI725" s="27" t="s">
        <v>8</v>
      </c>
      <c r="FJ725" s="27" t="s">
        <v>7</v>
      </c>
      <c r="FK725" s="27" t="s">
        <v>8</v>
      </c>
      <c r="FL725" s="27" t="s">
        <v>7</v>
      </c>
      <c r="FM725" s="27" t="s">
        <v>8</v>
      </c>
      <c r="FT725" s="27" t="s">
        <v>7</v>
      </c>
      <c r="FU725" s="27" t="s">
        <v>8</v>
      </c>
      <c r="FV725" s="27" t="s">
        <v>7</v>
      </c>
      <c r="JK725" s="27" t="s">
        <v>8</v>
      </c>
      <c r="JL725" s="27" t="s">
        <v>7</v>
      </c>
      <c r="JM725" s="27" t="s">
        <v>8</v>
      </c>
      <c r="JN725" s="27" t="s">
        <v>7</v>
      </c>
      <c r="JR725" s="27" t="s">
        <v>7</v>
      </c>
      <c r="JS725" s="27" t="s">
        <v>8</v>
      </c>
      <c r="JT725" s="27" t="s">
        <v>7</v>
      </c>
      <c r="JW725" s="27" t="s">
        <v>8</v>
      </c>
      <c r="JY725" s="27" t="s">
        <v>8</v>
      </c>
      <c r="LN725" s="27" t="s">
        <v>7</v>
      </c>
      <c r="LO725" s="27" t="s">
        <v>8</v>
      </c>
      <c r="LP725" s="27" t="s">
        <v>7</v>
      </c>
      <c r="LS725" s="27" t="s">
        <v>8</v>
      </c>
      <c r="LT725" s="27" t="s">
        <v>7</v>
      </c>
      <c r="LU725" s="27" t="s">
        <v>8</v>
      </c>
      <c r="LW725" s="27" t="s">
        <v>8</v>
      </c>
      <c r="LX725" s="27" t="s">
        <v>7</v>
      </c>
      <c r="LY725" s="27" t="s">
        <v>8</v>
      </c>
      <c r="LZ725" s="27" t="s">
        <v>7</v>
      </c>
      <c r="MA725" s="27" t="s">
        <v>8</v>
      </c>
      <c r="MB725" s="27" t="s">
        <v>7</v>
      </c>
      <c r="MC725" s="27" t="s">
        <v>8</v>
      </c>
      <c r="MD725" s="27" t="s">
        <v>7</v>
      </c>
      <c r="ME725" s="27" t="s">
        <v>8</v>
      </c>
      <c r="MF725" s="27" t="s">
        <v>7</v>
      </c>
      <c r="MG725" s="27" t="s">
        <v>8</v>
      </c>
      <c r="MH725" s="27" t="s">
        <v>7</v>
      </c>
      <c r="MI725" s="27" t="s">
        <v>8</v>
      </c>
      <c r="MJ725" s="27" t="s">
        <v>7</v>
      </c>
      <c r="MK725" s="27" t="s">
        <v>8</v>
      </c>
      <c r="ML725" s="27" t="s">
        <v>7</v>
      </c>
      <c r="MM725" s="27" t="s">
        <v>8</v>
      </c>
      <c r="MN725" s="27" t="s">
        <v>7</v>
      </c>
      <c r="MO725" s="27" t="s">
        <v>8</v>
      </c>
      <c r="MP725" s="27" t="s">
        <v>7</v>
      </c>
      <c r="MU725" s="27" t="s">
        <v>8</v>
      </c>
      <c r="MV725" s="27" t="s">
        <v>7</v>
      </c>
      <c r="MW725" s="27" t="s">
        <v>8</v>
      </c>
      <c r="PZ725" s="27" t="s">
        <v>7</v>
      </c>
      <c r="QA725" s="27" t="s">
        <v>8</v>
      </c>
      <c r="QD725" s="27" t="s">
        <v>7</v>
      </c>
    </row>
    <row r="726" spans="1:449" x14ac:dyDescent="0.25">
      <c r="A726" s="7">
        <v>6.3764083979905906E-2</v>
      </c>
      <c r="B726"/>
      <c r="C726"/>
      <c r="D726"/>
      <c r="E726"/>
      <c r="P726" s="27" t="s">
        <v>7</v>
      </c>
      <c r="S726" s="27" t="s">
        <v>8</v>
      </c>
      <c r="T726" s="27" t="s">
        <v>7</v>
      </c>
      <c r="FG726" s="27" t="s">
        <v>8</v>
      </c>
      <c r="FH726" s="27" t="s">
        <v>7</v>
      </c>
      <c r="FI726" s="27" t="s">
        <v>8</v>
      </c>
      <c r="FJ726" s="27" t="s">
        <v>7</v>
      </c>
      <c r="FK726" s="27" t="s">
        <v>8</v>
      </c>
      <c r="FL726" s="27" t="s">
        <v>7</v>
      </c>
      <c r="FM726" s="27" t="s">
        <v>8</v>
      </c>
      <c r="FT726" s="27" t="s">
        <v>7</v>
      </c>
      <c r="FU726" s="27" t="s">
        <v>8</v>
      </c>
      <c r="FV726" s="27" t="s">
        <v>7</v>
      </c>
      <c r="JK726" s="27" t="s">
        <v>8</v>
      </c>
      <c r="JL726" s="27" t="s">
        <v>7</v>
      </c>
      <c r="JM726" s="27" t="s">
        <v>8</v>
      </c>
      <c r="JR726" s="27" t="s">
        <v>7</v>
      </c>
      <c r="JS726" s="27" t="s">
        <v>8</v>
      </c>
      <c r="JT726" s="27" t="s">
        <v>7</v>
      </c>
      <c r="JW726" s="27" t="s">
        <v>8</v>
      </c>
      <c r="JX726" s="27" t="s">
        <v>7</v>
      </c>
      <c r="JY726" s="27" t="s">
        <v>8</v>
      </c>
      <c r="LN726" s="27" t="s">
        <v>7</v>
      </c>
      <c r="LO726" s="27" t="s">
        <v>8</v>
      </c>
      <c r="LP726" s="27" t="s">
        <v>7</v>
      </c>
      <c r="LQ726" s="27" t="s">
        <v>8</v>
      </c>
      <c r="LS726" s="27" t="s">
        <v>8</v>
      </c>
      <c r="LT726" s="27" t="s">
        <v>7</v>
      </c>
      <c r="LU726" s="27" t="s">
        <v>8</v>
      </c>
      <c r="LV726" s="27" t="s">
        <v>7</v>
      </c>
      <c r="LW726" s="27" t="s">
        <v>8</v>
      </c>
      <c r="LX726" s="27" t="s">
        <v>7</v>
      </c>
      <c r="LY726" s="27" t="s">
        <v>8</v>
      </c>
      <c r="LZ726" s="27" t="s">
        <v>7</v>
      </c>
      <c r="MA726" s="27" t="s">
        <v>8</v>
      </c>
      <c r="MB726" s="27" t="s">
        <v>7</v>
      </c>
      <c r="MC726" s="27" t="s">
        <v>8</v>
      </c>
      <c r="MD726" s="27" t="s">
        <v>7</v>
      </c>
      <c r="ME726" s="27" t="s">
        <v>8</v>
      </c>
      <c r="MF726" s="27" t="s">
        <v>7</v>
      </c>
      <c r="MG726" s="27" t="s">
        <v>8</v>
      </c>
      <c r="MH726" s="27" t="s">
        <v>7</v>
      </c>
      <c r="MI726" s="27" t="s">
        <v>8</v>
      </c>
      <c r="MJ726" s="27" t="s">
        <v>7</v>
      </c>
      <c r="MK726" s="27" t="s">
        <v>8</v>
      </c>
      <c r="ML726" s="27" t="s">
        <v>7</v>
      </c>
      <c r="MM726" s="27" t="s">
        <v>8</v>
      </c>
      <c r="MN726" s="27" t="s">
        <v>7</v>
      </c>
      <c r="MO726" s="27" t="s">
        <v>8</v>
      </c>
      <c r="MP726" s="27" t="s">
        <v>7</v>
      </c>
      <c r="MS726" s="27" t="s">
        <v>8</v>
      </c>
      <c r="MU726" s="27" t="s">
        <v>8</v>
      </c>
      <c r="MV726" s="27" t="s">
        <v>7</v>
      </c>
      <c r="MW726" s="27" t="s">
        <v>8</v>
      </c>
      <c r="PZ726" s="27" t="s">
        <v>7</v>
      </c>
      <c r="QA726" s="27" t="s">
        <v>8</v>
      </c>
      <c r="QD726" s="27" t="s">
        <v>7</v>
      </c>
    </row>
    <row r="727" spans="1:449" x14ac:dyDescent="0.25">
      <c r="A727" s="7">
        <v>6.251380782343717E-2</v>
      </c>
      <c r="B727"/>
      <c r="C727"/>
      <c r="D727"/>
      <c r="E727"/>
      <c r="P727" s="27" t="s">
        <v>7</v>
      </c>
      <c r="S727" s="27" t="s">
        <v>8</v>
      </c>
      <c r="T727" s="27" t="s">
        <v>7</v>
      </c>
      <c r="FG727" s="27" t="s">
        <v>8</v>
      </c>
      <c r="FH727" s="27" t="s">
        <v>7</v>
      </c>
      <c r="FI727" s="27" t="s">
        <v>8</v>
      </c>
      <c r="FJ727" s="27" t="s">
        <v>7</v>
      </c>
      <c r="FK727" s="27" t="s">
        <v>8</v>
      </c>
      <c r="FL727" s="27" t="s">
        <v>7</v>
      </c>
      <c r="FM727" s="27" t="s">
        <v>8</v>
      </c>
      <c r="FT727" s="27" t="s">
        <v>7</v>
      </c>
      <c r="FU727" s="27" t="s">
        <v>8</v>
      </c>
      <c r="FV727" s="27" t="s">
        <v>7</v>
      </c>
      <c r="JK727" s="27" t="s">
        <v>8</v>
      </c>
      <c r="JL727" s="27" t="s">
        <v>7</v>
      </c>
      <c r="JR727" s="27" t="s">
        <v>7</v>
      </c>
      <c r="JS727" s="27" t="s">
        <v>8</v>
      </c>
      <c r="JT727" s="27" t="s">
        <v>7</v>
      </c>
      <c r="JW727" s="27" t="s">
        <v>8</v>
      </c>
      <c r="JX727" s="27" t="s">
        <v>7</v>
      </c>
      <c r="JY727" s="27" t="s">
        <v>8</v>
      </c>
      <c r="LN727" s="27" t="s">
        <v>7</v>
      </c>
      <c r="LO727" s="27" t="s">
        <v>8</v>
      </c>
      <c r="LP727" s="27" t="s">
        <v>7</v>
      </c>
      <c r="LQ727" s="27" t="s">
        <v>8</v>
      </c>
      <c r="LR727" s="27" t="s">
        <v>7</v>
      </c>
      <c r="LS727" s="27" t="s">
        <v>8</v>
      </c>
      <c r="LT727" s="27" t="s">
        <v>7</v>
      </c>
      <c r="LU727" s="27" t="s">
        <v>8</v>
      </c>
      <c r="LV727" s="27" t="s">
        <v>7</v>
      </c>
      <c r="LW727" s="27" t="s">
        <v>8</v>
      </c>
      <c r="LX727" s="27" t="s">
        <v>7</v>
      </c>
      <c r="LY727" s="27" t="s">
        <v>8</v>
      </c>
      <c r="LZ727" s="27" t="s">
        <v>7</v>
      </c>
      <c r="MB727" s="27" t="s">
        <v>7</v>
      </c>
      <c r="MC727" s="27" t="s">
        <v>8</v>
      </c>
      <c r="MD727" s="27" t="s">
        <v>7</v>
      </c>
      <c r="ME727" s="27" t="s">
        <v>8</v>
      </c>
      <c r="MF727" s="27" t="s">
        <v>7</v>
      </c>
      <c r="MG727" s="27" t="s">
        <v>8</v>
      </c>
      <c r="MH727" s="27" t="s">
        <v>7</v>
      </c>
      <c r="MI727" s="27" t="s">
        <v>8</v>
      </c>
      <c r="MJ727" s="27" t="s">
        <v>7</v>
      </c>
      <c r="ML727" s="27" t="s">
        <v>7</v>
      </c>
      <c r="MM727" s="27" t="s">
        <v>8</v>
      </c>
      <c r="MN727" s="27" t="s">
        <v>7</v>
      </c>
      <c r="MO727" s="27" t="s">
        <v>8</v>
      </c>
      <c r="MP727" s="27" t="s">
        <v>7</v>
      </c>
      <c r="MS727" s="27" t="s">
        <v>8</v>
      </c>
      <c r="MT727" s="27" t="s">
        <v>7</v>
      </c>
      <c r="MU727" s="27" t="s">
        <v>8</v>
      </c>
      <c r="MV727" s="27" t="s">
        <v>7</v>
      </c>
      <c r="MW727" s="27" t="s">
        <v>8</v>
      </c>
      <c r="PZ727" s="27" t="s">
        <v>7</v>
      </c>
      <c r="QD727" s="27" t="s">
        <v>7</v>
      </c>
    </row>
    <row r="728" spans="1:449" x14ac:dyDescent="0.25">
      <c r="A728" s="7">
        <v>6.1288046885722716E-2</v>
      </c>
      <c r="B728"/>
      <c r="C728"/>
      <c r="D728"/>
      <c r="E728"/>
      <c r="P728" s="27" t="s">
        <v>7</v>
      </c>
      <c r="Q728" s="27" t="s">
        <v>8</v>
      </c>
      <c r="S728" s="27" t="s">
        <v>8</v>
      </c>
      <c r="T728" s="27" t="s">
        <v>7</v>
      </c>
      <c r="FG728" s="27" t="s">
        <v>8</v>
      </c>
      <c r="FH728" s="27" t="s">
        <v>7</v>
      </c>
      <c r="FI728" s="27" t="s">
        <v>8</v>
      </c>
      <c r="FJ728" s="27" t="s">
        <v>7</v>
      </c>
      <c r="FK728" s="27" t="s">
        <v>8</v>
      </c>
      <c r="FL728" s="27" t="s">
        <v>7</v>
      </c>
      <c r="FM728" s="27" t="s">
        <v>8</v>
      </c>
      <c r="FT728" s="27" t="s">
        <v>7</v>
      </c>
      <c r="FU728" s="27" t="s">
        <v>8</v>
      </c>
      <c r="FV728" s="27" t="s">
        <v>7</v>
      </c>
      <c r="JI728" s="27" t="s">
        <v>8</v>
      </c>
      <c r="JK728" s="27" t="s">
        <v>8</v>
      </c>
      <c r="JR728" s="27" t="s">
        <v>7</v>
      </c>
      <c r="JS728" s="27" t="s">
        <v>8</v>
      </c>
      <c r="JT728" s="27" t="s">
        <v>7</v>
      </c>
      <c r="JW728" s="27" t="s">
        <v>8</v>
      </c>
      <c r="JX728" s="27" t="s">
        <v>7</v>
      </c>
      <c r="JY728" s="27" t="s">
        <v>8</v>
      </c>
      <c r="LN728" s="27" t="s">
        <v>7</v>
      </c>
      <c r="LO728" s="27" t="s">
        <v>8</v>
      </c>
      <c r="LP728" s="27" t="s">
        <v>7</v>
      </c>
      <c r="LQ728" s="27" t="s">
        <v>8</v>
      </c>
      <c r="LR728" s="27" t="s">
        <v>7</v>
      </c>
      <c r="LS728" s="27" t="s">
        <v>8</v>
      </c>
      <c r="LT728" s="27" t="s">
        <v>7</v>
      </c>
      <c r="LU728" s="27" t="s">
        <v>8</v>
      </c>
      <c r="LV728" s="27" t="s">
        <v>7</v>
      </c>
      <c r="LW728" s="27" t="s">
        <v>8</v>
      </c>
      <c r="LX728" s="27" t="s">
        <v>7</v>
      </c>
      <c r="LY728" s="27" t="s">
        <v>8</v>
      </c>
      <c r="MB728" s="27" t="s">
        <v>7</v>
      </c>
      <c r="MC728" s="27" t="s">
        <v>8</v>
      </c>
      <c r="MD728" s="27" t="s">
        <v>7</v>
      </c>
      <c r="ME728" s="27" t="s">
        <v>8</v>
      </c>
      <c r="MF728" s="27" t="s">
        <v>7</v>
      </c>
      <c r="MG728" s="27" t="s">
        <v>8</v>
      </c>
      <c r="MH728" s="27" t="s">
        <v>7</v>
      </c>
      <c r="MI728" s="27" t="s">
        <v>8</v>
      </c>
      <c r="ML728" s="27" t="s">
        <v>7</v>
      </c>
      <c r="MN728" s="27" t="s">
        <v>7</v>
      </c>
      <c r="MO728" s="27" t="s">
        <v>8</v>
      </c>
      <c r="MP728" s="27" t="s">
        <v>7</v>
      </c>
      <c r="MS728" s="27" t="s">
        <v>8</v>
      </c>
      <c r="MT728" s="27" t="s">
        <v>7</v>
      </c>
      <c r="MU728" s="27" t="s">
        <v>8</v>
      </c>
      <c r="MV728" s="27" t="s">
        <v>7</v>
      </c>
      <c r="QD728" s="27" t="s">
        <v>7</v>
      </c>
    </row>
    <row r="729" spans="1:449" x14ac:dyDescent="0.25">
      <c r="A729" s="7">
        <v>6.0086320476198739E-2</v>
      </c>
      <c r="B729"/>
      <c r="C729"/>
      <c r="D729"/>
      <c r="E729"/>
      <c r="P729" s="27" t="s">
        <v>7</v>
      </c>
      <c r="Q729" s="27" t="s">
        <v>8</v>
      </c>
      <c r="R729" s="27" t="s">
        <v>7</v>
      </c>
      <c r="S729" s="27" t="s">
        <v>8</v>
      </c>
      <c r="T729" s="27" t="s">
        <v>7</v>
      </c>
      <c r="FG729" s="27" t="s">
        <v>8</v>
      </c>
      <c r="FH729" s="27" t="s">
        <v>7</v>
      </c>
      <c r="FI729" s="27" t="s">
        <v>8</v>
      </c>
      <c r="FJ729" s="27" t="s">
        <v>7</v>
      </c>
      <c r="FK729" s="27" t="s">
        <v>8</v>
      </c>
      <c r="FL729" s="27" t="s">
        <v>7</v>
      </c>
      <c r="FM729" s="27" t="s">
        <v>8</v>
      </c>
      <c r="FT729" s="27" t="s">
        <v>7</v>
      </c>
      <c r="FU729" s="27" t="s">
        <v>8</v>
      </c>
      <c r="FV729" s="27" t="s">
        <v>7</v>
      </c>
      <c r="JI729" s="27" t="s">
        <v>8</v>
      </c>
      <c r="JJ729" s="27" t="s">
        <v>7</v>
      </c>
      <c r="JK729" s="27" t="s">
        <v>8</v>
      </c>
      <c r="JR729" s="27" t="s">
        <v>7</v>
      </c>
      <c r="JS729" s="27" t="s">
        <v>8</v>
      </c>
      <c r="JT729" s="27" t="s">
        <v>7</v>
      </c>
      <c r="JW729" s="27" t="s">
        <v>8</v>
      </c>
      <c r="JX729" s="27" t="s">
        <v>7</v>
      </c>
      <c r="JY729" s="27" t="s">
        <v>8</v>
      </c>
      <c r="LN729" s="27" t="s">
        <v>7</v>
      </c>
      <c r="LP729" s="27" t="s">
        <v>7</v>
      </c>
      <c r="LQ729" s="27" t="s">
        <v>8</v>
      </c>
      <c r="LR729" s="27" t="s">
        <v>7</v>
      </c>
      <c r="LS729" s="27" t="s">
        <v>8</v>
      </c>
      <c r="LT729" s="27" t="s">
        <v>7</v>
      </c>
      <c r="LU729" s="27" t="s">
        <v>8</v>
      </c>
      <c r="LV729" s="27" t="s">
        <v>7</v>
      </c>
      <c r="LW729" s="27" t="s">
        <v>8</v>
      </c>
      <c r="LX729" s="27" t="s">
        <v>7</v>
      </c>
      <c r="LY729" s="27" t="s">
        <v>8</v>
      </c>
      <c r="MB729" s="27" t="s">
        <v>7</v>
      </c>
      <c r="MC729" s="27" t="s">
        <v>8</v>
      </c>
      <c r="MD729" s="27" t="s">
        <v>7</v>
      </c>
      <c r="ME729" s="27" t="s">
        <v>8</v>
      </c>
      <c r="MF729" s="27" t="s">
        <v>7</v>
      </c>
      <c r="MG729" s="27" t="s">
        <v>8</v>
      </c>
      <c r="MH729" s="27" t="s">
        <v>7</v>
      </c>
      <c r="MN729" s="27" t="s">
        <v>7</v>
      </c>
      <c r="MO729" s="27" t="s">
        <v>8</v>
      </c>
      <c r="MP729" s="27" t="s">
        <v>7</v>
      </c>
      <c r="MQ729" s="27" t="s">
        <v>8</v>
      </c>
      <c r="MS729" s="27" t="s">
        <v>8</v>
      </c>
      <c r="MT729" s="27" t="s">
        <v>7</v>
      </c>
      <c r="MU729" s="27" t="s">
        <v>8</v>
      </c>
      <c r="QD729" s="27" t="s">
        <v>7</v>
      </c>
    </row>
    <row r="730" spans="1:449" x14ac:dyDescent="0.25">
      <c r="A730" s="7">
        <v>5.8908157329606609E-2</v>
      </c>
      <c r="B730"/>
      <c r="C730"/>
      <c r="D730"/>
      <c r="E730"/>
      <c r="P730" s="27" t="s">
        <v>7</v>
      </c>
      <c r="Q730" s="27" t="s">
        <v>8</v>
      </c>
      <c r="R730" s="27" t="s">
        <v>7</v>
      </c>
      <c r="S730" s="27" t="s">
        <v>8</v>
      </c>
      <c r="T730" s="27" t="s">
        <v>7</v>
      </c>
      <c r="FG730" s="27" t="s">
        <v>8</v>
      </c>
      <c r="FH730" s="27" t="s">
        <v>7</v>
      </c>
      <c r="FI730" s="27" t="s">
        <v>8</v>
      </c>
      <c r="FJ730" s="27" t="s">
        <v>7</v>
      </c>
      <c r="FK730" s="27" t="s">
        <v>8</v>
      </c>
      <c r="FL730" s="27" t="s">
        <v>7</v>
      </c>
      <c r="FM730" s="27" t="s">
        <v>8</v>
      </c>
      <c r="FT730" s="27" t="s">
        <v>7</v>
      </c>
      <c r="FV730" s="27" t="s">
        <v>7</v>
      </c>
      <c r="GA730" s="27" t="s">
        <v>8</v>
      </c>
      <c r="JI730" s="27" t="s">
        <v>8</v>
      </c>
      <c r="JJ730" s="27" t="s">
        <v>7</v>
      </c>
      <c r="JK730" s="27" t="s">
        <v>8</v>
      </c>
      <c r="JR730" s="27" t="s">
        <v>7</v>
      </c>
      <c r="JS730" s="27" t="s">
        <v>8</v>
      </c>
      <c r="JT730" s="27" t="s">
        <v>7</v>
      </c>
      <c r="JW730" s="27" t="s">
        <v>8</v>
      </c>
      <c r="JX730" s="27" t="s">
        <v>7</v>
      </c>
      <c r="JY730" s="27" t="s">
        <v>8</v>
      </c>
      <c r="LP730" s="27" t="s">
        <v>7</v>
      </c>
      <c r="LQ730" s="27" t="s">
        <v>8</v>
      </c>
      <c r="LR730" s="27" t="s">
        <v>7</v>
      </c>
      <c r="LS730" s="27" t="s">
        <v>8</v>
      </c>
      <c r="LT730" s="27" t="s">
        <v>7</v>
      </c>
      <c r="LU730" s="27" t="s">
        <v>8</v>
      </c>
      <c r="LV730" s="27" t="s">
        <v>7</v>
      </c>
      <c r="LW730" s="27" t="s">
        <v>8</v>
      </c>
      <c r="LX730" s="27" t="s">
        <v>7</v>
      </c>
      <c r="LY730" s="27" t="s">
        <v>8</v>
      </c>
      <c r="MB730" s="27" t="s">
        <v>7</v>
      </c>
      <c r="MC730" s="27" t="s">
        <v>8</v>
      </c>
      <c r="MD730" s="27" t="s">
        <v>7</v>
      </c>
      <c r="ME730" s="27" t="s">
        <v>8</v>
      </c>
      <c r="MF730" s="27" t="s">
        <v>7</v>
      </c>
      <c r="MG730" s="27" t="s">
        <v>8</v>
      </c>
      <c r="MN730" s="27" t="s">
        <v>7</v>
      </c>
      <c r="MO730" s="27" t="s">
        <v>8</v>
      </c>
      <c r="MP730" s="27" t="s">
        <v>7</v>
      </c>
      <c r="MQ730" s="27" t="s">
        <v>8</v>
      </c>
      <c r="MR730" s="27" t="s">
        <v>7</v>
      </c>
      <c r="MS730" s="27" t="s">
        <v>8</v>
      </c>
      <c r="MT730" s="27" t="s">
        <v>7</v>
      </c>
      <c r="MU730" s="27" t="s">
        <v>8</v>
      </c>
      <c r="QD730" s="27" t="s">
        <v>7</v>
      </c>
    </row>
    <row r="731" spans="1:449" x14ac:dyDescent="0.25">
      <c r="A731" s="7">
        <v>5.7753095421182947E-2</v>
      </c>
      <c r="B731"/>
      <c r="C731"/>
      <c r="D731"/>
      <c r="E731"/>
      <c r="P731" s="27" t="s">
        <v>7</v>
      </c>
      <c r="Q731" s="27" t="s">
        <v>8</v>
      </c>
      <c r="R731" s="27" t="s">
        <v>7</v>
      </c>
      <c r="S731" s="27" t="s">
        <v>8</v>
      </c>
      <c r="T731" s="27" t="s">
        <v>7</v>
      </c>
      <c r="FG731" s="27" t="s">
        <v>8</v>
      </c>
      <c r="FH731" s="27" t="s">
        <v>7</v>
      </c>
      <c r="FI731" s="27" t="s">
        <v>8</v>
      </c>
      <c r="FJ731" s="27" t="s">
        <v>7</v>
      </c>
      <c r="FL731" s="27" t="s">
        <v>7</v>
      </c>
      <c r="FM731" s="27" t="s">
        <v>8</v>
      </c>
      <c r="FV731" s="27" t="s">
        <v>7</v>
      </c>
      <c r="GA731" s="27" t="s">
        <v>8</v>
      </c>
      <c r="GB731" s="27" t="s">
        <v>7</v>
      </c>
      <c r="JI731" s="27" t="s">
        <v>8</v>
      </c>
      <c r="JJ731" s="27" t="s">
        <v>7</v>
      </c>
      <c r="JK731" s="27" t="s">
        <v>8</v>
      </c>
      <c r="JR731" s="27" t="s">
        <v>7</v>
      </c>
      <c r="JS731" s="27" t="s">
        <v>8</v>
      </c>
      <c r="JT731" s="27" t="s">
        <v>7</v>
      </c>
      <c r="JU731" s="27" t="s">
        <v>8</v>
      </c>
      <c r="JW731" s="27" t="s">
        <v>8</v>
      </c>
      <c r="JX731" s="27" t="s">
        <v>7</v>
      </c>
      <c r="JY731" s="27" t="s">
        <v>8</v>
      </c>
      <c r="LP731" s="27" t="s">
        <v>7</v>
      </c>
      <c r="LQ731" s="27" t="s">
        <v>8</v>
      </c>
      <c r="LR731" s="27" t="s">
        <v>7</v>
      </c>
      <c r="LS731" s="27" t="s">
        <v>8</v>
      </c>
      <c r="LT731" s="27" t="s">
        <v>7</v>
      </c>
      <c r="LU731" s="27" t="s">
        <v>8</v>
      </c>
      <c r="LV731" s="27" t="s">
        <v>7</v>
      </c>
      <c r="LW731" s="27" t="s">
        <v>8</v>
      </c>
      <c r="LX731" s="27" t="s">
        <v>7</v>
      </c>
      <c r="LY731" s="27" t="s">
        <v>8</v>
      </c>
      <c r="MB731" s="27" t="s">
        <v>7</v>
      </c>
      <c r="MD731" s="27" t="s">
        <v>7</v>
      </c>
      <c r="ME731" s="27" t="s">
        <v>8</v>
      </c>
      <c r="MF731" s="27" t="s">
        <v>7</v>
      </c>
      <c r="MG731" s="27" t="s">
        <v>8</v>
      </c>
      <c r="MN731" s="27" t="s">
        <v>7</v>
      </c>
      <c r="MP731" s="27" t="s">
        <v>7</v>
      </c>
      <c r="MQ731" s="27" t="s">
        <v>8</v>
      </c>
      <c r="MR731" s="27" t="s">
        <v>7</v>
      </c>
      <c r="MS731" s="27" t="s">
        <v>8</v>
      </c>
      <c r="MT731" s="27" t="s">
        <v>7</v>
      </c>
      <c r="MU731" s="27" t="s">
        <v>8</v>
      </c>
      <c r="QD731" s="27" t="s">
        <v>7</v>
      </c>
    </row>
    <row r="732" spans="1:449" x14ac:dyDescent="0.25">
      <c r="A732" s="7">
        <v>5.6620681785473484E-2</v>
      </c>
      <c r="B732"/>
      <c r="C732"/>
      <c r="D732"/>
      <c r="E732"/>
      <c r="P732" s="27" t="s">
        <v>7</v>
      </c>
      <c r="R732" s="27" t="s">
        <v>7</v>
      </c>
      <c r="S732" s="27" t="s">
        <v>8</v>
      </c>
      <c r="T732" s="27" t="s">
        <v>7</v>
      </c>
      <c r="CE732" s="27" t="s">
        <v>8</v>
      </c>
      <c r="FG732" s="27" t="s">
        <v>8</v>
      </c>
      <c r="FH732" s="27" t="s">
        <v>7</v>
      </c>
      <c r="FI732" s="27" t="s">
        <v>8</v>
      </c>
      <c r="FL732" s="27" t="s">
        <v>7</v>
      </c>
      <c r="FM732" s="27" t="s">
        <v>8</v>
      </c>
      <c r="FV732" s="27" t="s">
        <v>7</v>
      </c>
      <c r="FW732" s="27" t="s">
        <v>8</v>
      </c>
      <c r="GA732" s="27" t="s">
        <v>8</v>
      </c>
      <c r="GB732" s="27" t="s">
        <v>7</v>
      </c>
      <c r="JI732" s="27" t="s">
        <v>8</v>
      </c>
      <c r="JJ732" s="27" t="s">
        <v>7</v>
      </c>
      <c r="JK732" s="27" t="s">
        <v>8</v>
      </c>
      <c r="JR732" s="27" t="s">
        <v>7</v>
      </c>
      <c r="JS732" s="27" t="s">
        <v>8</v>
      </c>
      <c r="JT732" s="27" t="s">
        <v>7</v>
      </c>
      <c r="JU732" s="27" t="s">
        <v>8</v>
      </c>
      <c r="JV732" s="27" t="s">
        <v>7</v>
      </c>
      <c r="JW732" s="27" t="s">
        <v>8</v>
      </c>
      <c r="JX732" s="27" t="s">
        <v>7</v>
      </c>
      <c r="JY732" s="27" t="s">
        <v>8</v>
      </c>
      <c r="LP732" s="27" t="s">
        <v>7</v>
      </c>
      <c r="LQ732" s="27" t="s">
        <v>8</v>
      </c>
      <c r="LR732" s="27" t="s">
        <v>7</v>
      </c>
      <c r="LS732" s="27" t="s">
        <v>8</v>
      </c>
      <c r="LT732" s="27" t="s">
        <v>7</v>
      </c>
      <c r="LU732" s="27" t="s">
        <v>8</v>
      </c>
      <c r="LV732" s="27" t="s">
        <v>7</v>
      </c>
      <c r="LW732" s="27" t="s">
        <v>8</v>
      </c>
      <c r="LX732" s="27" t="s">
        <v>7</v>
      </c>
      <c r="LY732" s="27" t="s">
        <v>8</v>
      </c>
      <c r="MD732" s="27" t="s">
        <v>7</v>
      </c>
      <c r="ME732" s="27" t="s">
        <v>8</v>
      </c>
      <c r="MF732" s="27" t="s">
        <v>7</v>
      </c>
      <c r="MG732" s="27" t="s">
        <v>8</v>
      </c>
      <c r="MP732" s="27" t="s">
        <v>7</v>
      </c>
      <c r="MQ732" s="27" t="s">
        <v>8</v>
      </c>
      <c r="MR732" s="27" t="s">
        <v>7</v>
      </c>
      <c r="MS732" s="27" t="s">
        <v>8</v>
      </c>
      <c r="MT732" s="27" t="s">
        <v>7</v>
      </c>
      <c r="MU732" s="27" t="s">
        <v>8</v>
      </c>
      <c r="QD732" s="27" t="s">
        <v>7</v>
      </c>
    </row>
    <row r="733" spans="1:449" x14ac:dyDescent="0.25">
      <c r="A733" s="7">
        <v>5.5510472338699497E-2</v>
      </c>
      <c r="B733"/>
      <c r="C733"/>
      <c r="D733"/>
      <c r="E733"/>
      <c r="R733" s="27" t="s">
        <v>7</v>
      </c>
      <c r="S733" s="27" t="s">
        <v>8</v>
      </c>
      <c r="T733" s="27" t="s">
        <v>7</v>
      </c>
      <c r="CE733" s="27" t="s">
        <v>8</v>
      </c>
      <c r="CF733" s="27" t="s">
        <v>7</v>
      </c>
      <c r="FG733" s="27" t="s">
        <v>8</v>
      </c>
      <c r="FH733" s="27" t="s">
        <v>7</v>
      </c>
      <c r="FI733" s="27" t="s">
        <v>8</v>
      </c>
      <c r="FL733" s="27" t="s">
        <v>7</v>
      </c>
      <c r="FV733" s="27" t="s">
        <v>7</v>
      </c>
      <c r="FW733" s="27" t="s">
        <v>8</v>
      </c>
      <c r="FX733" s="27" t="s">
        <v>7</v>
      </c>
      <c r="FY733" s="27" t="s">
        <v>8</v>
      </c>
      <c r="GA733" s="27" t="s">
        <v>8</v>
      </c>
      <c r="GB733" s="27" t="s">
        <v>7</v>
      </c>
      <c r="JI733" s="27" t="s">
        <v>8</v>
      </c>
      <c r="JJ733" s="27" t="s">
        <v>7</v>
      </c>
      <c r="JK733" s="27" t="s">
        <v>8</v>
      </c>
      <c r="JR733" s="27" t="s">
        <v>7</v>
      </c>
      <c r="JS733" s="27" t="s">
        <v>8</v>
      </c>
      <c r="JT733" s="27" t="s">
        <v>7</v>
      </c>
      <c r="JU733" s="27" t="s">
        <v>8</v>
      </c>
      <c r="JV733" s="27" t="s">
        <v>7</v>
      </c>
      <c r="JW733" s="27" t="s">
        <v>8</v>
      </c>
      <c r="JX733" s="27" t="s">
        <v>7</v>
      </c>
      <c r="LP733" s="27" t="s">
        <v>7</v>
      </c>
      <c r="LQ733" s="27" t="s">
        <v>8</v>
      </c>
      <c r="LR733" s="27" t="s">
        <v>7</v>
      </c>
      <c r="LS733" s="27" t="s">
        <v>8</v>
      </c>
      <c r="LT733" s="27" t="s">
        <v>7</v>
      </c>
      <c r="LU733" s="27" t="s">
        <v>8</v>
      </c>
      <c r="LV733" s="27" t="s">
        <v>7</v>
      </c>
      <c r="LW733" s="27" t="s">
        <v>8</v>
      </c>
      <c r="LX733" s="27" t="s">
        <v>7</v>
      </c>
      <c r="LY733" s="27" t="s">
        <v>8</v>
      </c>
      <c r="MD733" s="27" t="s">
        <v>7</v>
      </c>
      <c r="ME733" s="27" t="s">
        <v>8</v>
      </c>
      <c r="MF733" s="27" t="s">
        <v>7</v>
      </c>
      <c r="MG733" s="27" t="s">
        <v>8</v>
      </c>
      <c r="MP733" s="27" t="s">
        <v>7</v>
      </c>
      <c r="MQ733" s="27" t="s">
        <v>8</v>
      </c>
      <c r="MR733" s="27" t="s">
        <v>7</v>
      </c>
      <c r="MT733" s="27" t="s">
        <v>7</v>
      </c>
      <c r="QD733" s="27" t="s">
        <v>7</v>
      </c>
    </row>
    <row r="734" spans="1:449" x14ac:dyDescent="0.25">
      <c r="A734" s="7">
        <v>5.4422031704607354E-2</v>
      </c>
      <c r="B734"/>
      <c r="C734"/>
      <c r="D734"/>
      <c r="E734"/>
      <c r="R734" s="27" t="s">
        <v>7</v>
      </c>
      <c r="S734" s="27" t="s">
        <v>8</v>
      </c>
      <c r="T734" s="27" t="s">
        <v>7</v>
      </c>
      <c r="CE734" s="27" t="s">
        <v>8</v>
      </c>
      <c r="CF734" s="27" t="s">
        <v>7</v>
      </c>
      <c r="FG734" s="27" t="s">
        <v>8</v>
      </c>
      <c r="FH734" s="27" t="s">
        <v>7</v>
      </c>
      <c r="FI734" s="27" t="s">
        <v>8</v>
      </c>
      <c r="FV734" s="27" t="s">
        <v>7</v>
      </c>
      <c r="FW734" s="27" t="s">
        <v>8</v>
      </c>
      <c r="FX734" s="27" t="s">
        <v>7</v>
      </c>
      <c r="FY734" s="27" t="s">
        <v>8</v>
      </c>
      <c r="FZ734" s="27" t="s">
        <v>7</v>
      </c>
      <c r="GA734" s="27" t="s">
        <v>8</v>
      </c>
      <c r="GB734" s="27" t="s">
        <v>7</v>
      </c>
      <c r="JI734" s="27" t="s">
        <v>8</v>
      </c>
      <c r="JJ734" s="27" t="s">
        <v>7</v>
      </c>
      <c r="JK734" s="27" t="s">
        <v>8</v>
      </c>
      <c r="JR734" s="27" t="s">
        <v>7</v>
      </c>
      <c r="JS734" s="27" t="s">
        <v>8</v>
      </c>
      <c r="JT734" s="27" t="s">
        <v>7</v>
      </c>
      <c r="JU734" s="27" t="s">
        <v>8</v>
      </c>
      <c r="JV734" s="27" t="s">
        <v>7</v>
      </c>
      <c r="JW734" s="27" t="s">
        <v>8</v>
      </c>
      <c r="LP734" s="27" t="s">
        <v>7</v>
      </c>
      <c r="LR734" s="27" t="s">
        <v>7</v>
      </c>
      <c r="LS734" s="27" t="s">
        <v>8</v>
      </c>
      <c r="LT734" s="27" t="s">
        <v>7</v>
      </c>
      <c r="LU734" s="27" t="s">
        <v>8</v>
      </c>
      <c r="LV734" s="27" t="s">
        <v>7</v>
      </c>
      <c r="LW734" s="27" t="s">
        <v>8</v>
      </c>
      <c r="LX734" s="27" t="s">
        <v>7</v>
      </c>
      <c r="LY734" s="27" t="s">
        <v>8</v>
      </c>
      <c r="MD734" s="27" t="s">
        <v>7</v>
      </c>
      <c r="ME734" s="27" t="s">
        <v>8</v>
      </c>
      <c r="MF734" s="27" t="s">
        <v>7</v>
      </c>
      <c r="MP734" s="27" t="s">
        <v>7</v>
      </c>
      <c r="MQ734" s="27" t="s">
        <v>8</v>
      </c>
      <c r="QD734" s="27" t="s">
        <v>7</v>
      </c>
    </row>
    <row r="735" spans="1:449" x14ac:dyDescent="0.25">
      <c r="A735" s="7">
        <v>5.3354933043732705E-2</v>
      </c>
      <c r="B735"/>
      <c r="C735"/>
      <c r="D735"/>
      <c r="E735"/>
      <c r="R735" s="27" t="s">
        <v>7</v>
      </c>
      <c r="T735" s="27" t="s">
        <v>7</v>
      </c>
      <c r="CE735" s="27" t="s">
        <v>8</v>
      </c>
      <c r="CF735" s="27" t="s">
        <v>7</v>
      </c>
      <c r="FG735" s="27" t="s">
        <v>8</v>
      </c>
      <c r="FH735" s="27" t="s">
        <v>7</v>
      </c>
      <c r="FI735" s="27" t="s">
        <v>8</v>
      </c>
      <c r="FV735" s="27" t="s">
        <v>7</v>
      </c>
      <c r="FX735" s="27" t="s">
        <v>7</v>
      </c>
      <c r="FY735" s="27" t="s">
        <v>8</v>
      </c>
      <c r="FZ735" s="27" t="s">
        <v>7</v>
      </c>
      <c r="GA735" s="27" t="s">
        <v>8</v>
      </c>
      <c r="GB735" s="27" t="s">
        <v>7</v>
      </c>
      <c r="JI735" s="27" t="s">
        <v>8</v>
      </c>
      <c r="JJ735" s="27" t="s">
        <v>7</v>
      </c>
      <c r="JK735" s="27" t="s">
        <v>8</v>
      </c>
      <c r="JR735" s="27" t="s">
        <v>7</v>
      </c>
      <c r="JS735" s="27" t="s">
        <v>8</v>
      </c>
      <c r="JT735" s="27" t="s">
        <v>7</v>
      </c>
      <c r="JU735" s="27" t="s">
        <v>8</v>
      </c>
      <c r="JV735" s="27" t="s">
        <v>7</v>
      </c>
      <c r="JW735" s="27" t="s">
        <v>8</v>
      </c>
      <c r="LR735" s="27" t="s">
        <v>7</v>
      </c>
      <c r="LS735" s="27" t="s">
        <v>8</v>
      </c>
      <c r="LT735" s="27" t="s">
        <v>7</v>
      </c>
      <c r="LU735" s="27" t="s">
        <v>8</v>
      </c>
      <c r="LV735" s="27" t="s">
        <v>7</v>
      </c>
      <c r="LX735" s="27" t="s">
        <v>7</v>
      </c>
      <c r="MD735" s="27" t="s">
        <v>7</v>
      </c>
      <c r="ME735" s="27" t="s">
        <v>8</v>
      </c>
      <c r="MP735" s="27" t="s">
        <v>7</v>
      </c>
      <c r="MQ735" s="27" t="s">
        <v>8</v>
      </c>
      <c r="QD735" s="27" t="s">
        <v>7</v>
      </c>
    </row>
    <row r="736" spans="1:449" x14ac:dyDescent="0.25">
      <c r="A736" s="7">
        <v>5.2308757886012455E-2</v>
      </c>
      <c r="B736"/>
      <c r="C736"/>
      <c r="D736"/>
      <c r="E736"/>
      <c r="T736" s="27" t="s">
        <v>7</v>
      </c>
      <c r="CE736" s="27" t="s">
        <v>8</v>
      </c>
      <c r="CF736" s="27" t="s">
        <v>7</v>
      </c>
      <c r="CG736" s="27" t="s">
        <v>8</v>
      </c>
      <c r="FG736" s="27" t="s">
        <v>8</v>
      </c>
      <c r="FH736" s="27" t="s">
        <v>7</v>
      </c>
      <c r="FI736" s="27" t="s">
        <v>8</v>
      </c>
      <c r="FX736" s="27" t="s">
        <v>7</v>
      </c>
      <c r="FY736" s="27" t="s">
        <v>8</v>
      </c>
      <c r="FZ736" s="27" t="s">
        <v>7</v>
      </c>
      <c r="GA736" s="27" t="s">
        <v>8</v>
      </c>
      <c r="GB736" s="27" t="s">
        <v>7</v>
      </c>
      <c r="JI736" s="27" t="s">
        <v>8</v>
      </c>
      <c r="JJ736" s="27" t="s">
        <v>7</v>
      </c>
      <c r="JK736" s="27" t="s">
        <v>8</v>
      </c>
      <c r="JR736" s="27" t="s">
        <v>7</v>
      </c>
      <c r="JS736" s="27" t="s">
        <v>8</v>
      </c>
      <c r="JT736" s="27" t="s">
        <v>7</v>
      </c>
      <c r="JU736" s="27" t="s">
        <v>8</v>
      </c>
      <c r="JV736" s="27" t="s">
        <v>7</v>
      </c>
      <c r="JW736" s="27" t="s">
        <v>8</v>
      </c>
      <c r="LR736" s="27" t="s">
        <v>7</v>
      </c>
      <c r="LS736" s="27" t="s">
        <v>8</v>
      </c>
      <c r="LT736" s="27" t="s">
        <v>7</v>
      </c>
      <c r="LU736" s="27" t="s">
        <v>8</v>
      </c>
      <c r="MD736" s="27" t="s">
        <v>7</v>
      </c>
      <c r="ME736" s="27" t="s">
        <v>8</v>
      </c>
      <c r="MP736" s="27" t="s">
        <v>7</v>
      </c>
      <c r="MQ736" s="27" t="s">
        <v>8</v>
      </c>
      <c r="QD736" s="27" t="s">
        <v>7</v>
      </c>
      <c r="QG736" s="27" t="s">
        <v>8</v>
      </c>
    </row>
    <row r="737" spans="1:450" x14ac:dyDescent="0.25">
      <c r="A737" s="7">
        <v>5.1283095966678877E-2</v>
      </c>
      <c r="B737"/>
      <c r="C737"/>
      <c r="D737"/>
      <c r="E737"/>
      <c r="T737" s="27" t="s">
        <v>7</v>
      </c>
      <c r="CE737" s="27" t="s">
        <v>8</v>
      </c>
      <c r="CF737" s="27" t="s">
        <v>7</v>
      </c>
      <c r="CG737" s="27" t="s">
        <v>8</v>
      </c>
      <c r="CH737" s="27" t="s">
        <v>7</v>
      </c>
      <c r="FG737" s="27" t="s">
        <v>8</v>
      </c>
      <c r="FH737" s="27" t="s">
        <v>7</v>
      </c>
      <c r="FI737" s="27" t="s">
        <v>8</v>
      </c>
      <c r="FX737" s="27" t="s">
        <v>7</v>
      </c>
      <c r="FY737" s="27" t="s">
        <v>8</v>
      </c>
      <c r="FZ737" s="27" t="s">
        <v>7</v>
      </c>
      <c r="GA737" s="27" t="s">
        <v>8</v>
      </c>
      <c r="GB737" s="27" t="s">
        <v>7</v>
      </c>
      <c r="JI737" s="27" t="s">
        <v>8</v>
      </c>
      <c r="JJ737" s="27" t="s">
        <v>7</v>
      </c>
      <c r="JK737" s="27" t="s">
        <v>8</v>
      </c>
      <c r="JR737" s="27" t="s">
        <v>7</v>
      </c>
      <c r="JS737" s="27" t="s">
        <v>8</v>
      </c>
      <c r="JT737" s="27" t="s">
        <v>7</v>
      </c>
      <c r="JU737" s="27" t="s">
        <v>8</v>
      </c>
      <c r="JV737" s="27" t="s">
        <v>7</v>
      </c>
      <c r="JW737" s="27" t="s">
        <v>8</v>
      </c>
      <c r="LR737" s="27" t="s">
        <v>7</v>
      </c>
      <c r="LS737" s="27" t="s">
        <v>8</v>
      </c>
      <c r="LT737" s="27" t="s">
        <v>7</v>
      </c>
      <c r="LU737" s="27" t="s">
        <v>8</v>
      </c>
      <c r="MD737" s="27" t="s">
        <v>7</v>
      </c>
      <c r="MP737" s="18" t="s">
        <v>7</v>
      </c>
      <c r="MQ737" s="27" t="s">
        <v>8</v>
      </c>
      <c r="QD737" s="27" t="s">
        <v>7</v>
      </c>
      <c r="QG737" s="27" t="s">
        <v>8</v>
      </c>
      <c r="QH737" s="27" t="s">
        <v>7</v>
      </c>
    </row>
    <row r="738" spans="1:450" x14ac:dyDescent="0.25">
      <c r="A738" s="7">
        <v>5.0277545065371444E-2</v>
      </c>
      <c r="B738"/>
      <c r="C738"/>
      <c r="D738"/>
      <c r="E738"/>
      <c r="T738" s="27" t="s">
        <v>7</v>
      </c>
      <c r="CC738" s="27" t="s">
        <v>8</v>
      </c>
      <c r="CE738" s="27" t="s">
        <v>8</v>
      </c>
      <c r="CF738" s="27" t="s">
        <v>7</v>
      </c>
      <c r="CG738" s="27" t="s">
        <v>8</v>
      </c>
      <c r="CH738" s="27" t="s">
        <v>7</v>
      </c>
      <c r="FG738" s="27" t="s">
        <v>8</v>
      </c>
      <c r="FH738" s="27" t="s">
        <v>7</v>
      </c>
      <c r="FI738" s="27" t="s">
        <v>8</v>
      </c>
      <c r="FX738" s="27" t="s">
        <v>7</v>
      </c>
      <c r="FY738" s="27" t="s">
        <v>8</v>
      </c>
      <c r="FZ738" s="27" t="s">
        <v>7</v>
      </c>
      <c r="GB738" s="27" t="s">
        <v>7</v>
      </c>
      <c r="JI738" s="27" t="s">
        <v>8</v>
      </c>
      <c r="JJ738" s="27" t="s">
        <v>7</v>
      </c>
      <c r="JK738" s="27" t="s">
        <v>8</v>
      </c>
      <c r="JR738" s="27" t="s">
        <v>7</v>
      </c>
      <c r="JS738" s="27" t="s">
        <v>8</v>
      </c>
      <c r="JT738" s="27" t="s">
        <v>7</v>
      </c>
      <c r="JU738" s="27" t="s">
        <v>8</v>
      </c>
      <c r="JV738" s="27" t="s">
        <v>7</v>
      </c>
      <c r="JW738" s="27" t="s">
        <v>8</v>
      </c>
      <c r="LR738" s="27" t="s">
        <v>7</v>
      </c>
      <c r="LS738" s="27" t="s">
        <v>8</v>
      </c>
      <c r="LT738" s="27" t="s">
        <v>7</v>
      </c>
      <c r="LU738" s="27" t="s">
        <v>8</v>
      </c>
      <c r="MP738" s="27" t="s">
        <v>7</v>
      </c>
      <c r="MQ738" s="27" t="s">
        <v>8</v>
      </c>
      <c r="QD738" s="27" t="s">
        <v>7</v>
      </c>
      <c r="QG738" s="27" t="s">
        <v>8</v>
      </c>
      <c r="QH738" s="27" t="s">
        <v>7</v>
      </c>
    </row>
    <row r="739" spans="1:450" x14ac:dyDescent="0.25">
      <c r="A739" s="7">
        <v>4.9291710848403378E-2</v>
      </c>
      <c r="B739"/>
      <c r="C739"/>
      <c r="D739"/>
      <c r="E739"/>
      <c r="T739" s="27" t="s">
        <v>7</v>
      </c>
      <c r="CC739" s="27" t="s">
        <v>8</v>
      </c>
      <c r="CD739" s="27" t="s">
        <v>7</v>
      </c>
      <c r="CE739" s="27" t="s">
        <v>8</v>
      </c>
      <c r="CF739" s="27" t="s">
        <v>7</v>
      </c>
      <c r="CG739" s="27" t="s">
        <v>8</v>
      </c>
      <c r="CH739" s="27" t="s">
        <v>7</v>
      </c>
      <c r="CI739" s="27" t="s">
        <v>8</v>
      </c>
      <c r="FG739" s="27" t="s">
        <v>8</v>
      </c>
      <c r="FH739" s="27" t="s">
        <v>7</v>
      </c>
      <c r="FI739" s="27" t="s">
        <v>8</v>
      </c>
      <c r="FX739" s="27" t="s">
        <v>7</v>
      </c>
      <c r="FY739" s="27" t="s">
        <v>8</v>
      </c>
      <c r="GB739" s="27" t="s">
        <v>7</v>
      </c>
      <c r="JI739" s="27" t="s">
        <v>8</v>
      </c>
      <c r="JJ739" s="27" t="s">
        <v>7</v>
      </c>
      <c r="JK739" s="27" t="s">
        <v>8</v>
      </c>
      <c r="JR739" s="27" t="s">
        <v>7</v>
      </c>
      <c r="JS739" s="27" t="s">
        <v>8</v>
      </c>
      <c r="JT739" s="27" t="s">
        <v>7</v>
      </c>
      <c r="JU739" s="27" t="s">
        <v>8</v>
      </c>
      <c r="JV739" s="27" t="s">
        <v>7</v>
      </c>
      <c r="JW739" s="27" t="s">
        <v>8</v>
      </c>
      <c r="LR739" s="27" t="s">
        <v>7</v>
      </c>
      <c r="LS739" s="27" t="s">
        <v>8</v>
      </c>
      <c r="LT739" s="27" t="s">
        <v>7</v>
      </c>
      <c r="MP739" s="27" t="s">
        <v>7</v>
      </c>
      <c r="MQ739" s="27" t="s">
        <v>8</v>
      </c>
      <c r="QD739" s="27" t="s">
        <v>7</v>
      </c>
      <c r="QE739" s="27" t="s">
        <v>8</v>
      </c>
      <c r="QG739" s="27" t="s">
        <v>8</v>
      </c>
      <c r="QH739" s="27" t="s">
        <v>7</v>
      </c>
    </row>
    <row r="740" spans="1:450" x14ac:dyDescent="0.25">
      <c r="A740" s="7">
        <v>4.8325206714120959E-2</v>
      </c>
      <c r="B740"/>
      <c r="C740"/>
      <c r="D740"/>
      <c r="E740"/>
      <c r="T740" s="27" t="s">
        <v>7</v>
      </c>
      <c r="CC740" s="27" t="s">
        <v>8</v>
      </c>
      <c r="CD740" s="27" t="s">
        <v>7</v>
      </c>
      <c r="CE740" s="27" t="s">
        <v>8</v>
      </c>
      <c r="CF740" s="27" t="s">
        <v>7</v>
      </c>
      <c r="CG740" s="27" t="s">
        <v>8</v>
      </c>
      <c r="CH740" s="27" t="s">
        <v>7</v>
      </c>
      <c r="CI740" s="27" t="s">
        <v>8</v>
      </c>
      <c r="CJ740" s="27" t="s">
        <v>7</v>
      </c>
      <c r="FG740" s="27" t="s">
        <v>8</v>
      </c>
      <c r="FH740" s="27" t="s">
        <v>7</v>
      </c>
      <c r="FI740" s="27" t="s">
        <v>8</v>
      </c>
      <c r="FX740" s="27" t="s">
        <v>7</v>
      </c>
      <c r="GB740" s="27" t="s">
        <v>7</v>
      </c>
      <c r="JI740" s="27" t="s">
        <v>8</v>
      </c>
      <c r="JJ740" s="27" t="s">
        <v>7</v>
      </c>
      <c r="JK740" s="27" t="s">
        <v>8</v>
      </c>
      <c r="JR740" s="27" t="s">
        <v>7</v>
      </c>
      <c r="JS740" s="27" t="s">
        <v>8</v>
      </c>
      <c r="JT740" s="27" t="s">
        <v>7</v>
      </c>
      <c r="JU740" s="27" t="s">
        <v>8</v>
      </c>
      <c r="JV740" s="27" t="s">
        <v>7</v>
      </c>
      <c r="JW740" s="27" t="s">
        <v>8</v>
      </c>
      <c r="LR740" s="27" t="s">
        <v>7</v>
      </c>
      <c r="LS740" s="27" t="s">
        <v>8</v>
      </c>
      <c r="MP740" s="27" t="s">
        <v>7</v>
      </c>
      <c r="MQ740" s="27" t="s">
        <v>8</v>
      </c>
      <c r="QD740" s="27" t="s">
        <v>7</v>
      </c>
      <c r="QE740" s="27" t="s">
        <v>8</v>
      </c>
      <c r="QF740" s="27" t="s">
        <v>7</v>
      </c>
      <c r="QG740" s="27" t="s">
        <v>8</v>
      </c>
      <c r="QH740" s="27" t="s">
        <v>7</v>
      </c>
    </row>
    <row r="741" spans="1:450" x14ac:dyDescent="0.25">
      <c r="A741" s="7">
        <v>4.7377653641295057E-2</v>
      </c>
      <c r="B741"/>
      <c r="C741"/>
      <c r="D741"/>
      <c r="E741"/>
      <c r="T741" s="27" t="s">
        <v>7</v>
      </c>
      <c r="CC741" s="27" t="s">
        <v>8</v>
      </c>
      <c r="CD741" s="27" t="s">
        <v>7</v>
      </c>
      <c r="CE741" s="27" t="s">
        <v>8</v>
      </c>
      <c r="CF741" s="27" t="s">
        <v>7</v>
      </c>
      <c r="CG741" s="27" t="s">
        <v>8</v>
      </c>
      <c r="CH741" s="27" t="s">
        <v>7</v>
      </c>
      <c r="CI741" s="27" t="s">
        <v>8</v>
      </c>
      <c r="CJ741" s="27" t="s">
        <v>7</v>
      </c>
      <c r="FG741" s="27" t="s">
        <v>8</v>
      </c>
      <c r="FH741" s="27" t="s">
        <v>7</v>
      </c>
      <c r="FI741" s="27" t="s">
        <v>8</v>
      </c>
      <c r="GB741" s="27" t="s">
        <v>7</v>
      </c>
      <c r="JI741" s="27" t="s">
        <v>8</v>
      </c>
      <c r="JJ741" s="27" t="s">
        <v>7</v>
      </c>
      <c r="JK741" s="27" t="s">
        <v>8</v>
      </c>
      <c r="JR741" s="27" t="s">
        <v>7</v>
      </c>
      <c r="JS741" s="27" t="s">
        <v>8</v>
      </c>
      <c r="JT741" s="27" t="s">
        <v>7</v>
      </c>
      <c r="JV741" s="27" t="s">
        <v>7</v>
      </c>
      <c r="JW741" s="27" t="s">
        <v>8</v>
      </c>
      <c r="LR741" s="27" t="s">
        <v>7</v>
      </c>
      <c r="LS741" s="27" t="s">
        <v>8</v>
      </c>
      <c r="MP741" s="27" t="s">
        <v>7</v>
      </c>
      <c r="MQ741" s="27" t="s">
        <v>8</v>
      </c>
      <c r="QD741" s="27" t="s">
        <v>7</v>
      </c>
      <c r="QE741" s="27" t="s">
        <v>8</v>
      </c>
      <c r="QF741" s="27" t="s">
        <v>7</v>
      </c>
      <c r="QG741" s="27" t="s">
        <v>8</v>
      </c>
      <c r="QH741" s="27" t="s">
        <v>7</v>
      </c>
    </row>
    <row r="742" spans="1:450" x14ac:dyDescent="0.25">
      <c r="A742" s="7">
        <v>4.644868004048535E-2</v>
      </c>
      <c r="B742"/>
      <c r="C742"/>
      <c r="D742"/>
      <c r="E742"/>
      <c r="T742" s="27" t="s">
        <v>7</v>
      </c>
      <c r="CC742" s="27" t="s">
        <v>8</v>
      </c>
      <c r="CD742" s="27" t="s">
        <v>7</v>
      </c>
      <c r="CE742" s="27" t="s">
        <v>8</v>
      </c>
      <c r="CF742" s="27" t="s">
        <v>7</v>
      </c>
      <c r="CG742" s="27" t="s">
        <v>8</v>
      </c>
      <c r="CH742" s="27" t="s">
        <v>7</v>
      </c>
      <c r="CI742" s="27" t="s">
        <v>8</v>
      </c>
      <c r="CJ742" s="27" t="s">
        <v>7</v>
      </c>
      <c r="FG742" s="27" t="s">
        <v>8</v>
      </c>
      <c r="FH742" s="27" t="s">
        <v>7</v>
      </c>
      <c r="FI742" s="27" t="s">
        <v>8</v>
      </c>
      <c r="GB742" s="27" t="s">
        <v>7</v>
      </c>
      <c r="JI742" s="27" t="s">
        <v>8</v>
      </c>
      <c r="JJ742" s="27" t="s">
        <v>7</v>
      </c>
      <c r="JR742" s="27" t="s">
        <v>7</v>
      </c>
      <c r="JS742" s="27" t="s">
        <v>8</v>
      </c>
      <c r="JV742" s="27" t="s">
        <v>7</v>
      </c>
      <c r="JW742" s="27" t="s">
        <v>8</v>
      </c>
      <c r="LR742" s="27" t="s">
        <v>7</v>
      </c>
      <c r="LS742" s="27" t="s">
        <v>8</v>
      </c>
      <c r="MP742" s="27" t="s">
        <v>7</v>
      </c>
      <c r="MQ742" s="27" t="s">
        <v>8</v>
      </c>
      <c r="QD742" s="27" t="s">
        <v>7</v>
      </c>
      <c r="QE742" s="27" t="s">
        <v>8</v>
      </c>
      <c r="QF742" s="27" t="s">
        <v>7</v>
      </c>
      <c r="QG742" s="27" t="s">
        <v>8</v>
      </c>
      <c r="QH742" s="27" t="s">
        <v>7</v>
      </c>
    </row>
    <row r="743" spans="1:450" x14ac:dyDescent="0.25">
      <c r="A743" s="7">
        <v>4.5537921608318974E-2</v>
      </c>
      <c r="B743"/>
      <c r="C743"/>
      <c r="D743"/>
      <c r="E743"/>
      <c r="T743" s="27" t="s">
        <v>7</v>
      </c>
      <c r="CC743" s="27" t="s">
        <v>8</v>
      </c>
      <c r="CD743" s="27" t="s">
        <v>7</v>
      </c>
      <c r="CE743" s="27" t="s">
        <v>8</v>
      </c>
      <c r="CF743" s="27" t="s">
        <v>7</v>
      </c>
      <c r="CG743" s="27" t="s">
        <v>8</v>
      </c>
      <c r="CH743" s="27" t="s">
        <v>7</v>
      </c>
      <c r="CI743" s="27" t="s">
        <v>8</v>
      </c>
      <c r="CJ743" s="27" t="s">
        <v>7</v>
      </c>
      <c r="FG743" s="27" t="s">
        <v>8</v>
      </c>
      <c r="FH743" s="27" t="s">
        <v>7</v>
      </c>
      <c r="FI743" s="27" t="s">
        <v>8</v>
      </c>
      <c r="GB743" s="27" t="s">
        <v>7</v>
      </c>
      <c r="JI743" s="27" t="s">
        <v>8</v>
      </c>
      <c r="JR743" s="27" t="s">
        <v>7</v>
      </c>
      <c r="JS743" s="27" t="s">
        <v>8</v>
      </c>
      <c r="JV743" s="27" t="s">
        <v>7</v>
      </c>
      <c r="LR743" s="27" t="s">
        <v>7</v>
      </c>
      <c r="LS743" s="27" t="s">
        <v>8</v>
      </c>
      <c r="MP743" s="27" t="s">
        <v>7</v>
      </c>
      <c r="QD743" s="27" t="s">
        <v>7</v>
      </c>
      <c r="QE743" s="27" t="s">
        <v>8</v>
      </c>
      <c r="QF743" s="27" t="s">
        <v>7</v>
      </c>
      <c r="QG743" s="27" t="s">
        <v>8</v>
      </c>
      <c r="QH743" s="27" t="s">
        <v>7</v>
      </c>
    </row>
    <row r="744" spans="1:450" x14ac:dyDescent="0.25">
      <c r="A744" s="7">
        <v>4.4645021184626446E-2</v>
      </c>
      <c r="B744"/>
      <c r="C744"/>
      <c r="D744"/>
      <c r="E744"/>
      <c r="T744" s="27" t="s">
        <v>7</v>
      </c>
      <c r="CC744" s="27" t="s">
        <v>8</v>
      </c>
      <c r="CD744" s="27" t="s">
        <v>7</v>
      </c>
      <c r="CE744" s="27" t="s">
        <v>8</v>
      </c>
      <c r="CF744" s="27" t="s">
        <v>7</v>
      </c>
      <c r="CG744" s="27" t="s">
        <v>8</v>
      </c>
      <c r="CH744" s="27" t="s">
        <v>7</v>
      </c>
      <c r="CI744" s="27" t="s">
        <v>8</v>
      </c>
      <c r="CJ744" s="27" t="s">
        <v>7</v>
      </c>
      <c r="FG744" s="27" t="s">
        <v>8</v>
      </c>
      <c r="FH744" s="27" t="s">
        <v>7</v>
      </c>
      <c r="FI744" s="27" t="s">
        <v>8</v>
      </c>
      <c r="GB744" s="27" t="s">
        <v>7</v>
      </c>
      <c r="JE744" s="27" t="s">
        <v>8</v>
      </c>
      <c r="JI744" s="27" t="s">
        <v>8</v>
      </c>
      <c r="JR744" s="27" t="s">
        <v>7</v>
      </c>
      <c r="JS744" s="27" t="s">
        <v>8</v>
      </c>
      <c r="LR744" s="27" t="s">
        <v>7</v>
      </c>
      <c r="LS744" s="27" t="s">
        <v>8</v>
      </c>
      <c r="QD744" s="27" t="s">
        <v>7</v>
      </c>
      <c r="QE744" s="27" t="s">
        <v>8</v>
      </c>
      <c r="QF744" s="27" t="s">
        <v>7</v>
      </c>
      <c r="QG744" s="27" t="s">
        <v>8</v>
      </c>
    </row>
    <row r="745" spans="1:450" x14ac:dyDescent="0.25">
      <c r="A745" s="7">
        <v>4.3769628612378868E-2</v>
      </c>
      <c r="B745"/>
      <c r="C745"/>
      <c r="D745"/>
      <c r="E745"/>
      <c r="T745" s="27" t="s">
        <v>7</v>
      </c>
      <c r="CC745" s="27" t="s">
        <v>8</v>
      </c>
      <c r="CD745" s="27" t="s">
        <v>7</v>
      </c>
      <c r="CE745" s="27" t="s">
        <v>8</v>
      </c>
      <c r="CF745" s="27" t="s">
        <v>7</v>
      </c>
      <c r="CG745" s="27" t="s">
        <v>8</v>
      </c>
      <c r="CH745" s="27" t="s">
        <v>7</v>
      </c>
      <c r="CI745" s="27" t="s">
        <v>8</v>
      </c>
      <c r="CJ745" s="27" t="s">
        <v>7</v>
      </c>
      <c r="FG745" s="27" t="s">
        <v>8</v>
      </c>
      <c r="FH745" s="27" t="s">
        <v>7</v>
      </c>
      <c r="GB745" s="27" t="s">
        <v>7</v>
      </c>
      <c r="JE745" s="27" t="s">
        <v>8</v>
      </c>
      <c r="JF745" s="27" t="s">
        <v>7</v>
      </c>
      <c r="JI745" s="27" t="s">
        <v>8</v>
      </c>
      <c r="JR745" s="27" t="s">
        <v>7</v>
      </c>
      <c r="LR745" s="27" t="s">
        <v>7</v>
      </c>
      <c r="LS745" s="27" t="s">
        <v>8</v>
      </c>
      <c r="QD745" s="27" t="s">
        <v>7</v>
      </c>
      <c r="QE745" s="27" t="s">
        <v>8</v>
      </c>
      <c r="QF745" s="27" t="s">
        <v>7</v>
      </c>
      <c r="QG745" s="27" t="s">
        <v>8</v>
      </c>
    </row>
    <row r="746" spans="1:450" x14ac:dyDescent="0.25">
      <c r="A746" s="7">
        <v>4.2911400600371442E-2</v>
      </c>
      <c r="B746"/>
      <c r="C746"/>
      <c r="D746"/>
      <c r="E746"/>
      <c r="T746" s="27" t="s">
        <v>7</v>
      </c>
      <c r="CC746" s="27" t="s">
        <v>8</v>
      </c>
      <c r="CD746" s="27" t="s">
        <v>7</v>
      </c>
      <c r="CE746" s="27" t="s">
        <v>8</v>
      </c>
      <c r="CF746" s="27" t="s">
        <v>7</v>
      </c>
      <c r="CG746" s="27" t="s">
        <v>8</v>
      </c>
      <c r="CH746" s="27" t="s">
        <v>7</v>
      </c>
      <c r="CJ746" s="27" t="s">
        <v>7</v>
      </c>
      <c r="FG746" s="27" t="s">
        <v>8</v>
      </c>
      <c r="GB746" s="27" t="s">
        <v>7</v>
      </c>
      <c r="JE746" s="27" t="s">
        <v>8</v>
      </c>
      <c r="JF746" s="27" t="s">
        <v>7</v>
      </c>
      <c r="JG746" s="27" t="s">
        <v>8</v>
      </c>
      <c r="JI746" s="27" t="s">
        <v>8</v>
      </c>
      <c r="LR746" s="27" t="s">
        <v>7</v>
      </c>
      <c r="LS746" s="27" t="s">
        <v>8</v>
      </c>
      <c r="QD746" s="27" t="s">
        <v>7</v>
      </c>
      <c r="QE746" s="27" t="s">
        <v>8</v>
      </c>
      <c r="QF746" s="27" t="s">
        <v>7</v>
      </c>
      <c r="QG746" s="27" t="s">
        <v>8</v>
      </c>
    </row>
    <row r="747" spans="1:450" x14ac:dyDescent="0.25">
      <c r="A747" s="7">
        <v>4.2070000588599457E-2</v>
      </c>
      <c r="B747"/>
      <c r="C747"/>
      <c r="D747"/>
      <c r="E747"/>
      <c r="T747" s="27" t="s">
        <v>7</v>
      </c>
      <c r="CC747" s="27" t="s">
        <v>8</v>
      </c>
      <c r="CD747" s="27" t="s">
        <v>7</v>
      </c>
      <c r="CE747" s="27" t="s">
        <v>8</v>
      </c>
      <c r="CF747" s="27" t="s">
        <v>7</v>
      </c>
      <c r="CJ747" s="27" t="s">
        <v>7</v>
      </c>
      <c r="CK747" s="27" t="s">
        <v>8</v>
      </c>
      <c r="CM747" s="27" t="s">
        <v>8</v>
      </c>
      <c r="FG747" s="27" t="s">
        <v>8</v>
      </c>
      <c r="GB747" s="27" t="s">
        <v>7</v>
      </c>
      <c r="JE747" s="27" t="s">
        <v>8</v>
      </c>
      <c r="JF747" s="27" t="s">
        <v>7</v>
      </c>
      <c r="JG747" s="27" t="s">
        <v>8</v>
      </c>
      <c r="JH747" s="27" t="s">
        <v>7</v>
      </c>
      <c r="JI747" s="27" t="s">
        <v>8</v>
      </c>
      <c r="LR747" s="27" t="s">
        <v>7</v>
      </c>
      <c r="LS747" s="27" t="s">
        <v>8</v>
      </c>
      <c r="QD747" s="27" t="s">
        <v>7</v>
      </c>
      <c r="QF747" s="27" t="s">
        <v>7</v>
      </c>
      <c r="QG747" s="27" t="s">
        <v>8</v>
      </c>
    </row>
    <row r="748" spans="1:450" x14ac:dyDescent="0.25">
      <c r="A748" s="7">
        <v>4.1245098616273977E-2</v>
      </c>
      <c r="B748"/>
      <c r="C748"/>
      <c r="D748"/>
      <c r="E748"/>
      <c r="T748" s="27" t="s">
        <v>7</v>
      </c>
      <c r="CA748" s="27" t="s">
        <v>8</v>
      </c>
      <c r="CC748" s="27" t="s">
        <v>8</v>
      </c>
      <c r="CD748" s="27" t="s">
        <v>7</v>
      </c>
      <c r="CE748" s="27" t="s">
        <v>8</v>
      </c>
      <c r="CJ748" s="27" t="s">
        <v>7</v>
      </c>
      <c r="CK748" s="27" t="s">
        <v>8</v>
      </c>
      <c r="CL748" s="27" t="s">
        <v>7</v>
      </c>
      <c r="CM748" s="27" t="s">
        <v>8</v>
      </c>
      <c r="CN748" s="27" t="s">
        <v>7</v>
      </c>
      <c r="CU748" s="27" t="s">
        <v>8</v>
      </c>
      <c r="CW748" s="27" t="s">
        <v>8</v>
      </c>
      <c r="FG748" s="27" t="s">
        <v>8</v>
      </c>
      <c r="GB748" s="27" t="s">
        <v>7</v>
      </c>
      <c r="JE748" s="27" t="s">
        <v>8</v>
      </c>
      <c r="JF748" s="27" t="s">
        <v>7</v>
      </c>
      <c r="JG748" s="27" t="s">
        <v>8</v>
      </c>
      <c r="JH748" s="27" t="s">
        <v>7</v>
      </c>
      <c r="JI748" s="27" t="s">
        <v>8</v>
      </c>
      <c r="LR748" s="27" t="s">
        <v>7</v>
      </c>
      <c r="LS748" s="27" t="s">
        <v>8</v>
      </c>
      <c r="QF748" s="27" t="s">
        <v>7</v>
      </c>
      <c r="QG748" s="27" t="s">
        <v>8</v>
      </c>
    </row>
    <row r="749" spans="1:450" x14ac:dyDescent="0.25">
      <c r="A749" s="7">
        <v>4.043637119242547E-2</v>
      </c>
      <c r="B749"/>
      <c r="C749"/>
      <c r="D749"/>
      <c r="E749"/>
      <c r="T749" s="27" t="s">
        <v>7</v>
      </c>
      <c r="AE749" s="27" t="s">
        <v>8</v>
      </c>
      <c r="BW749" s="27" t="s">
        <v>8</v>
      </c>
      <c r="CA749" s="27" t="s">
        <v>8</v>
      </c>
      <c r="CB749" s="27" t="s">
        <v>7</v>
      </c>
      <c r="CC749" s="27" t="s">
        <v>8</v>
      </c>
      <c r="CD749" s="27" t="s">
        <v>7</v>
      </c>
      <c r="CJ749" s="27" t="s">
        <v>7</v>
      </c>
      <c r="CK749" s="27" t="s">
        <v>8</v>
      </c>
      <c r="CL749" s="27" t="s">
        <v>7</v>
      </c>
      <c r="CM749" s="27" t="s">
        <v>8</v>
      </c>
      <c r="CN749" s="27" t="s">
        <v>7</v>
      </c>
      <c r="CU749" s="27" t="s">
        <v>8</v>
      </c>
      <c r="CV749" s="27" t="s">
        <v>7</v>
      </c>
      <c r="CW749" s="27" t="s">
        <v>8</v>
      </c>
      <c r="CX749" s="27" t="s">
        <v>7</v>
      </c>
      <c r="FG749" s="27" t="s">
        <v>8</v>
      </c>
      <c r="GB749" s="27" t="s">
        <v>7</v>
      </c>
      <c r="JE749" s="27" t="s">
        <v>8</v>
      </c>
      <c r="JF749" s="27" t="s">
        <v>7</v>
      </c>
      <c r="JG749" s="27" t="s">
        <v>8</v>
      </c>
      <c r="JH749" s="27" t="s">
        <v>7</v>
      </c>
      <c r="JI749" s="27" t="s">
        <v>8</v>
      </c>
      <c r="LR749" s="27" t="s">
        <v>7</v>
      </c>
      <c r="LS749" s="27" t="s">
        <v>8</v>
      </c>
      <c r="QF749" s="27" t="s">
        <v>7</v>
      </c>
    </row>
    <row r="750" spans="1:450" x14ac:dyDescent="0.25">
      <c r="A750" s="7">
        <v>3.9643501169044582E-2</v>
      </c>
      <c r="B750"/>
      <c r="C750"/>
      <c r="D750"/>
      <c r="E750"/>
      <c r="T750" s="27" t="s">
        <v>7</v>
      </c>
      <c r="AE750" s="27" t="s">
        <v>8</v>
      </c>
      <c r="AF750" s="27" t="s">
        <v>7</v>
      </c>
      <c r="BW750" s="27" t="s">
        <v>8</v>
      </c>
      <c r="BX750" s="27" t="s">
        <v>7</v>
      </c>
      <c r="CA750" s="27" t="s">
        <v>8</v>
      </c>
      <c r="CB750" s="27" t="s">
        <v>7</v>
      </c>
      <c r="CC750" s="27" t="s">
        <v>8</v>
      </c>
      <c r="CJ750" s="27" t="s">
        <v>7</v>
      </c>
      <c r="CK750" s="27" t="s">
        <v>8</v>
      </c>
      <c r="CL750" s="27" t="s">
        <v>7</v>
      </c>
      <c r="CM750" s="27" t="s">
        <v>8</v>
      </c>
      <c r="CN750" s="27" t="s">
        <v>7</v>
      </c>
      <c r="CU750" s="27" t="s">
        <v>8</v>
      </c>
      <c r="CV750" s="27" t="s">
        <v>7</v>
      </c>
      <c r="CW750" s="27" t="s">
        <v>8</v>
      </c>
      <c r="CX750" s="27" t="s">
        <v>7</v>
      </c>
      <c r="FG750" s="27" t="s">
        <v>8</v>
      </c>
      <c r="GB750" s="27" t="s">
        <v>7</v>
      </c>
      <c r="GC750" s="27" t="s">
        <v>8</v>
      </c>
      <c r="JA750" s="27" t="s">
        <v>8</v>
      </c>
      <c r="JE750" s="27" t="s">
        <v>8</v>
      </c>
      <c r="JF750" s="27" t="s">
        <v>7</v>
      </c>
      <c r="JG750" s="27" t="s">
        <v>8</v>
      </c>
      <c r="JH750" s="27" t="s">
        <v>7</v>
      </c>
      <c r="JI750" s="27" t="s">
        <v>8</v>
      </c>
      <c r="LR750" s="27" t="s">
        <v>7</v>
      </c>
      <c r="LS750" s="27" t="s">
        <v>8</v>
      </c>
    </row>
    <row r="751" spans="1:450" x14ac:dyDescent="0.25">
      <c r="A751" s="7">
        <v>3.8866177616710372E-2</v>
      </c>
      <c r="B751"/>
      <c r="C751"/>
      <c r="D751"/>
      <c r="E751"/>
      <c r="T751" s="27" t="s">
        <v>7</v>
      </c>
      <c r="AE751" s="27" t="s">
        <v>8</v>
      </c>
      <c r="AF751" s="27" t="s">
        <v>7</v>
      </c>
      <c r="AG751" s="27" t="s">
        <v>8</v>
      </c>
      <c r="BW751" s="27" t="s">
        <v>8</v>
      </c>
      <c r="BX751" s="27" t="s">
        <v>7</v>
      </c>
      <c r="BY751" s="27" t="s">
        <v>8</v>
      </c>
      <c r="CA751" s="27" t="s">
        <v>8</v>
      </c>
      <c r="CB751" s="27" t="s">
        <v>7</v>
      </c>
      <c r="CC751" s="27" t="s">
        <v>8</v>
      </c>
      <c r="CJ751" s="27" t="s">
        <v>7</v>
      </c>
      <c r="CK751" s="27" t="s">
        <v>8</v>
      </c>
      <c r="CL751" s="27" t="s">
        <v>7</v>
      </c>
      <c r="CM751" s="27" t="s">
        <v>8</v>
      </c>
      <c r="CN751" s="27" t="s">
        <v>7</v>
      </c>
      <c r="CU751" s="27" t="s">
        <v>8</v>
      </c>
      <c r="CV751" s="27" t="s">
        <v>7</v>
      </c>
      <c r="CW751" s="27" t="s">
        <v>8</v>
      </c>
      <c r="CX751" s="27" t="s">
        <v>7</v>
      </c>
      <c r="FG751" s="27" t="s">
        <v>8</v>
      </c>
      <c r="GB751" s="27" t="s">
        <v>7</v>
      </c>
      <c r="GC751" s="27" t="s">
        <v>8</v>
      </c>
      <c r="GD751" s="27" t="s">
        <v>7</v>
      </c>
      <c r="JA751" s="27" t="s">
        <v>8</v>
      </c>
      <c r="JB751" s="27" t="s">
        <v>7</v>
      </c>
      <c r="JE751" s="27" t="s">
        <v>8</v>
      </c>
      <c r="JF751" s="27" t="s">
        <v>7</v>
      </c>
      <c r="JG751" s="27" t="s">
        <v>8</v>
      </c>
      <c r="JH751" s="27" t="s">
        <v>7</v>
      </c>
      <c r="JI751" s="27" t="s">
        <v>8</v>
      </c>
      <c r="LR751" s="27" t="s">
        <v>7</v>
      </c>
      <c r="LS751" s="27" t="s">
        <v>8</v>
      </c>
    </row>
    <row r="752" spans="1:450" x14ac:dyDescent="0.25">
      <c r="A752" s="7">
        <v>3.8104095702657229E-2</v>
      </c>
      <c r="B752"/>
      <c r="C752"/>
      <c r="D752"/>
      <c r="E752"/>
      <c r="T752" s="27" t="s">
        <v>7</v>
      </c>
      <c r="U752" s="27" t="s">
        <v>8</v>
      </c>
      <c r="AC752" s="27" t="s">
        <v>8</v>
      </c>
      <c r="AE752" s="27" t="s">
        <v>8</v>
      </c>
      <c r="AF752" s="27" t="s">
        <v>7</v>
      </c>
      <c r="AG752" s="27" t="s">
        <v>8</v>
      </c>
      <c r="AH752" s="27" t="s">
        <v>7</v>
      </c>
      <c r="BW752" s="27" t="s">
        <v>8</v>
      </c>
      <c r="BX752" s="27" t="s">
        <v>7</v>
      </c>
      <c r="BY752" s="27" t="s">
        <v>8</v>
      </c>
      <c r="BZ752" s="27" t="s">
        <v>7</v>
      </c>
      <c r="CA752" s="27" t="s">
        <v>8</v>
      </c>
      <c r="CB752" s="27" t="s">
        <v>7</v>
      </c>
      <c r="CC752" s="27" t="s">
        <v>8</v>
      </c>
      <c r="CJ752" s="27" t="s">
        <v>7</v>
      </c>
      <c r="CK752" s="27" t="s">
        <v>8</v>
      </c>
      <c r="CL752" s="27" t="s">
        <v>7</v>
      </c>
      <c r="CM752" s="27" t="s">
        <v>8</v>
      </c>
      <c r="CN752" s="27" t="s">
        <v>7</v>
      </c>
      <c r="CU752" s="27" t="s">
        <v>8</v>
      </c>
      <c r="CV752" s="27" t="s">
        <v>7</v>
      </c>
      <c r="CW752" s="27" t="s">
        <v>8</v>
      </c>
      <c r="CX752" s="27" t="s">
        <v>7</v>
      </c>
      <c r="FG752" s="27" t="s">
        <v>8</v>
      </c>
      <c r="GB752" s="27" t="s">
        <v>7</v>
      </c>
      <c r="GC752" s="27" t="s">
        <v>8</v>
      </c>
      <c r="GD752" s="27" t="s">
        <v>7</v>
      </c>
      <c r="JA752" s="27" t="s">
        <v>8</v>
      </c>
      <c r="JB752" s="27" t="s">
        <v>7</v>
      </c>
      <c r="JE752" s="27" t="s">
        <v>8</v>
      </c>
      <c r="JF752" s="27" t="s">
        <v>7</v>
      </c>
      <c r="JG752" s="27" t="s">
        <v>8</v>
      </c>
      <c r="JH752" s="27" t="s">
        <v>7</v>
      </c>
      <c r="JI752" s="27" t="s">
        <v>8</v>
      </c>
      <c r="LR752" s="27" t="s">
        <v>7</v>
      </c>
      <c r="LS752" s="27" t="s">
        <v>8</v>
      </c>
    </row>
    <row r="753" spans="1:330" x14ac:dyDescent="0.25">
      <c r="A753" s="7">
        <v>3.7356956571232579E-2</v>
      </c>
      <c r="B753"/>
      <c r="C753"/>
      <c r="D753"/>
      <c r="E753"/>
      <c r="T753" s="27" t="s">
        <v>7</v>
      </c>
      <c r="U753" s="27" t="s">
        <v>8</v>
      </c>
      <c r="V753" s="27" t="s">
        <v>7</v>
      </c>
      <c r="Y753" s="27" t="s">
        <v>8</v>
      </c>
      <c r="AC753" s="27" t="s">
        <v>8</v>
      </c>
      <c r="AD753" s="27" t="s">
        <v>7</v>
      </c>
      <c r="AE753" s="27" t="s">
        <v>8</v>
      </c>
      <c r="AF753" s="27" t="s">
        <v>7</v>
      </c>
      <c r="AG753" s="27" t="s">
        <v>8</v>
      </c>
      <c r="AH753" s="27" t="s">
        <v>7</v>
      </c>
      <c r="BW753" s="27" t="s">
        <v>8</v>
      </c>
      <c r="BX753" s="27" t="s">
        <v>7</v>
      </c>
      <c r="BY753" s="27" t="s">
        <v>8</v>
      </c>
      <c r="BZ753" s="27" t="s">
        <v>7</v>
      </c>
      <c r="CA753" s="27" t="s">
        <v>8</v>
      </c>
      <c r="CB753" s="27" t="s">
        <v>7</v>
      </c>
      <c r="CC753" s="27" t="s">
        <v>8</v>
      </c>
      <c r="CJ753" s="27" t="s">
        <v>7</v>
      </c>
      <c r="CK753" s="27" t="s">
        <v>8</v>
      </c>
      <c r="CL753" s="27" t="s">
        <v>7</v>
      </c>
      <c r="CM753" s="27" t="s">
        <v>8</v>
      </c>
      <c r="CN753" s="27" t="s">
        <v>7</v>
      </c>
      <c r="CS753" s="27" t="s">
        <v>8</v>
      </c>
      <c r="CU753" s="27" t="s">
        <v>8</v>
      </c>
      <c r="CV753" s="27" t="s">
        <v>7</v>
      </c>
      <c r="CW753" s="27" t="s">
        <v>8</v>
      </c>
      <c r="CX753" s="27" t="s">
        <v>7</v>
      </c>
      <c r="FG753" s="27" t="s">
        <v>8</v>
      </c>
      <c r="GB753" s="27" t="s">
        <v>7</v>
      </c>
      <c r="GC753" s="27" t="s">
        <v>8</v>
      </c>
      <c r="GD753" s="27" t="s">
        <v>7</v>
      </c>
      <c r="IG753" s="27" t="s">
        <v>8</v>
      </c>
      <c r="JA753" s="27" t="s">
        <v>8</v>
      </c>
      <c r="JB753" s="27" t="s">
        <v>7</v>
      </c>
      <c r="JC753" s="27" t="s">
        <v>8</v>
      </c>
      <c r="JE753" s="27" t="s">
        <v>8</v>
      </c>
      <c r="JF753" s="27" t="s">
        <v>7</v>
      </c>
      <c r="JG753" s="27" t="s">
        <v>8</v>
      </c>
      <c r="JH753" s="27" t="s">
        <v>7</v>
      </c>
      <c r="JI753" s="27" t="s">
        <v>8</v>
      </c>
      <c r="LR753" s="27" t="s">
        <v>7</v>
      </c>
    </row>
    <row r="754" spans="1:330" x14ac:dyDescent="0.25">
      <c r="A754" s="7">
        <v>3.6624467226698605E-2</v>
      </c>
      <c r="B754"/>
      <c r="C754"/>
      <c r="D754"/>
      <c r="E754"/>
      <c r="T754" s="27" t="s">
        <v>7</v>
      </c>
      <c r="U754" s="27" t="s">
        <v>8</v>
      </c>
      <c r="V754" s="27" t="s">
        <v>7</v>
      </c>
      <c r="Y754" s="27" t="s">
        <v>8</v>
      </c>
      <c r="Z754" s="27" t="s">
        <v>7</v>
      </c>
      <c r="AC754" s="27" t="s">
        <v>8</v>
      </c>
      <c r="AD754" s="27" t="s">
        <v>7</v>
      </c>
      <c r="AE754" s="27" t="s">
        <v>8</v>
      </c>
      <c r="AF754" s="27" t="s">
        <v>7</v>
      </c>
      <c r="AG754" s="27" t="s">
        <v>8</v>
      </c>
      <c r="AH754" s="27" t="s">
        <v>7</v>
      </c>
      <c r="BW754" s="27" t="s">
        <v>8</v>
      </c>
      <c r="BX754" s="27" t="s">
        <v>7</v>
      </c>
      <c r="BY754" s="27" t="s">
        <v>8</v>
      </c>
      <c r="BZ754" s="27" t="s">
        <v>7</v>
      </c>
      <c r="CA754" s="27" t="s">
        <v>8</v>
      </c>
      <c r="CB754" s="27" t="s">
        <v>7</v>
      </c>
      <c r="CC754" s="27" t="s">
        <v>8</v>
      </c>
      <c r="CJ754" s="27" t="s">
        <v>7</v>
      </c>
      <c r="CK754" s="27" t="s">
        <v>8</v>
      </c>
      <c r="CL754" s="27" t="s">
        <v>7</v>
      </c>
      <c r="CM754" s="27" t="s">
        <v>8</v>
      </c>
      <c r="CN754" s="27" t="s">
        <v>7</v>
      </c>
      <c r="CS754" s="27" t="s">
        <v>8</v>
      </c>
      <c r="CT754" s="27" t="s">
        <v>7</v>
      </c>
      <c r="CU754" s="27" t="s">
        <v>8</v>
      </c>
      <c r="CV754" s="27" t="s">
        <v>7</v>
      </c>
      <c r="CW754" s="27" t="s">
        <v>8</v>
      </c>
      <c r="CX754" s="27" t="s">
        <v>7</v>
      </c>
      <c r="FG754" s="27" t="s">
        <v>8</v>
      </c>
      <c r="GB754" s="27" t="s">
        <v>7</v>
      </c>
      <c r="GC754" s="27" t="s">
        <v>8</v>
      </c>
      <c r="GD754" s="27" t="s">
        <v>7</v>
      </c>
      <c r="GI754" s="27" t="s">
        <v>8</v>
      </c>
      <c r="IG754" s="27" t="s">
        <v>8</v>
      </c>
      <c r="IH754" s="27" t="s">
        <v>7</v>
      </c>
      <c r="JA754" s="27" t="s">
        <v>8</v>
      </c>
      <c r="JB754" s="27" t="s">
        <v>7</v>
      </c>
      <c r="JC754" s="27" t="s">
        <v>8</v>
      </c>
      <c r="JD754" s="27" t="s">
        <v>7</v>
      </c>
      <c r="JE754" s="27" t="s">
        <v>8</v>
      </c>
      <c r="JF754" s="27" t="s">
        <v>7</v>
      </c>
      <c r="JG754" s="27" t="s">
        <v>8</v>
      </c>
      <c r="JH754" s="27" t="s">
        <v>7</v>
      </c>
    </row>
    <row r="755" spans="1:330" x14ac:dyDescent="0.25">
      <c r="A755" s="7">
        <v>3.5906340418331961E-2</v>
      </c>
      <c r="B755"/>
      <c r="C755"/>
      <c r="D755"/>
      <c r="E755"/>
      <c r="T755" s="27" t="s">
        <v>7</v>
      </c>
      <c r="U755" s="27" t="s">
        <v>8</v>
      </c>
      <c r="V755" s="27" t="s">
        <v>7</v>
      </c>
      <c r="Y755" s="27" t="s">
        <v>8</v>
      </c>
      <c r="Z755" s="27" t="s">
        <v>7</v>
      </c>
      <c r="AC755" s="27" t="s">
        <v>8</v>
      </c>
      <c r="AD755" s="27" t="s">
        <v>7</v>
      </c>
      <c r="AE755" s="27" t="s">
        <v>8</v>
      </c>
      <c r="AF755" s="27" t="s">
        <v>7</v>
      </c>
      <c r="AG755" s="27" t="s">
        <v>8</v>
      </c>
      <c r="AH755" s="27" t="s">
        <v>7</v>
      </c>
      <c r="BW755" s="27" t="s">
        <v>8</v>
      </c>
      <c r="BX755" s="27" t="s">
        <v>7</v>
      </c>
      <c r="BY755" s="27" t="s">
        <v>8</v>
      </c>
      <c r="BZ755" s="27" t="s">
        <v>7</v>
      </c>
      <c r="CA755" s="27" t="s">
        <v>8</v>
      </c>
      <c r="CB755" s="27" t="s">
        <v>7</v>
      </c>
      <c r="CC755" s="27" t="s">
        <v>8</v>
      </c>
      <c r="CJ755" s="27" t="s">
        <v>7</v>
      </c>
      <c r="CK755" s="27" t="s">
        <v>8</v>
      </c>
      <c r="CL755" s="27" t="s">
        <v>7</v>
      </c>
      <c r="CM755" s="27" t="s">
        <v>8</v>
      </c>
      <c r="CN755" s="27" t="s">
        <v>7</v>
      </c>
      <c r="CS755" s="27" t="s">
        <v>8</v>
      </c>
      <c r="CT755" s="27" t="s">
        <v>7</v>
      </c>
      <c r="CU755" s="27" t="s">
        <v>8</v>
      </c>
      <c r="CV755" s="27" t="s">
        <v>7</v>
      </c>
      <c r="CW755" s="27" t="s">
        <v>8</v>
      </c>
      <c r="CX755" s="27" t="s">
        <v>7</v>
      </c>
      <c r="FG755" s="27" t="s">
        <v>8</v>
      </c>
      <c r="GB755" s="27" t="s">
        <v>7</v>
      </c>
      <c r="GC755" s="27" t="s">
        <v>8</v>
      </c>
      <c r="GD755" s="27" t="s">
        <v>7</v>
      </c>
      <c r="GI755" s="27" t="s">
        <v>8</v>
      </c>
      <c r="GJ755" s="27" t="s">
        <v>7</v>
      </c>
      <c r="IG755" s="27" t="s">
        <v>8</v>
      </c>
      <c r="IH755" s="27" t="s">
        <v>7</v>
      </c>
      <c r="JA755" s="27" t="s">
        <v>8</v>
      </c>
      <c r="JB755" s="27" t="s">
        <v>7</v>
      </c>
      <c r="JC755" s="27" t="s">
        <v>8</v>
      </c>
      <c r="JD755" s="27" t="s">
        <v>7</v>
      </c>
      <c r="JE755" s="27" t="s">
        <v>8</v>
      </c>
      <c r="JF755" s="27" t="s">
        <v>7</v>
      </c>
    </row>
    <row r="756" spans="1:330" x14ac:dyDescent="0.25">
      <c r="A756" s="7">
        <v>3.5202294527776436E-2</v>
      </c>
      <c r="B756"/>
      <c r="C756"/>
      <c r="D756"/>
      <c r="E756"/>
      <c r="T756" s="27" t="s">
        <v>7</v>
      </c>
      <c r="U756" s="27" t="s">
        <v>8</v>
      </c>
      <c r="V756" s="27" t="s">
        <v>7</v>
      </c>
      <c r="Y756" s="27" t="s">
        <v>8</v>
      </c>
      <c r="Z756" s="27" t="s">
        <v>7</v>
      </c>
      <c r="AC756" s="27" t="s">
        <v>8</v>
      </c>
      <c r="AD756" s="27" t="s">
        <v>7</v>
      </c>
      <c r="AE756" s="27" t="s">
        <v>8</v>
      </c>
      <c r="AF756" s="27" t="s">
        <v>7</v>
      </c>
      <c r="AG756" s="27" t="s">
        <v>8</v>
      </c>
      <c r="AH756" s="27" t="s">
        <v>7</v>
      </c>
      <c r="BW756" s="27" t="s">
        <v>8</v>
      </c>
      <c r="BX756" s="27" t="s">
        <v>7</v>
      </c>
      <c r="BY756" s="27" t="s">
        <v>8</v>
      </c>
      <c r="BZ756" s="27" t="s">
        <v>7</v>
      </c>
      <c r="CA756" s="27" t="s">
        <v>8</v>
      </c>
      <c r="CB756" s="27" t="s">
        <v>7</v>
      </c>
      <c r="CC756" s="27" t="s">
        <v>8</v>
      </c>
      <c r="CJ756" s="27" t="s">
        <v>7</v>
      </c>
      <c r="CL756" s="27" t="s">
        <v>7</v>
      </c>
      <c r="CN756" s="27" t="s">
        <v>7</v>
      </c>
      <c r="CS756" s="27" t="s">
        <v>8</v>
      </c>
      <c r="CT756" s="27" t="s">
        <v>7</v>
      </c>
      <c r="CU756" s="27" t="s">
        <v>8</v>
      </c>
      <c r="CV756" s="27" t="s">
        <v>7</v>
      </c>
      <c r="CW756" s="27" t="s">
        <v>8</v>
      </c>
      <c r="CX756" s="27" t="s">
        <v>7</v>
      </c>
      <c r="FG756" s="27" t="s">
        <v>8</v>
      </c>
      <c r="GB756" s="27" t="s">
        <v>7</v>
      </c>
      <c r="GC756" s="27" t="s">
        <v>8</v>
      </c>
      <c r="GD756" s="27" t="s">
        <v>7</v>
      </c>
      <c r="GG756" s="27" t="s">
        <v>8</v>
      </c>
      <c r="GI756" s="27" t="s">
        <v>8</v>
      </c>
      <c r="GJ756" s="27" t="s">
        <v>7</v>
      </c>
      <c r="IG756" s="27" t="s">
        <v>8</v>
      </c>
      <c r="IH756" s="27" t="s">
        <v>7</v>
      </c>
      <c r="IY756" s="27" t="s">
        <v>8</v>
      </c>
      <c r="JA756" s="27" t="s">
        <v>8</v>
      </c>
      <c r="JB756" s="27" t="s">
        <v>7</v>
      </c>
      <c r="JC756" s="27" t="s">
        <v>8</v>
      </c>
      <c r="JD756" s="27" t="s">
        <v>7</v>
      </c>
      <c r="JE756" s="27" t="s">
        <v>8</v>
      </c>
    </row>
    <row r="757" spans="1:330" x14ac:dyDescent="0.25">
      <c r="A757" s="7">
        <v>3.451205345860435E-2</v>
      </c>
      <c r="B757"/>
      <c r="C757"/>
      <c r="D757"/>
      <c r="E757"/>
      <c r="T757" s="27" t="s">
        <v>7</v>
      </c>
      <c r="U757" s="27" t="s">
        <v>8</v>
      </c>
      <c r="V757" s="27" t="s">
        <v>7</v>
      </c>
      <c r="W757" s="27" t="s">
        <v>8</v>
      </c>
      <c r="Y757" s="27" t="s">
        <v>8</v>
      </c>
      <c r="Z757" s="27" t="s">
        <v>7</v>
      </c>
      <c r="AC757" s="27" t="s">
        <v>8</v>
      </c>
      <c r="AD757" s="27" t="s">
        <v>7</v>
      </c>
      <c r="AE757" s="27" t="s">
        <v>8</v>
      </c>
      <c r="AF757" s="27" t="s">
        <v>7</v>
      </c>
      <c r="AH757" s="27" t="s">
        <v>7</v>
      </c>
      <c r="AI757" s="27" t="s">
        <v>8</v>
      </c>
      <c r="BW757" s="27" t="s">
        <v>8</v>
      </c>
      <c r="BX757" s="27" t="s">
        <v>7</v>
      </c>
      <c r="BY757" s="27" t="s">
        <v>8</v>
      </c>
      <c r="BZ757" s="27" t="s">
        <v>7</v>
      </c>
      <c r="CB757" s="27" t="s">
        <v>7</v>
      </c>
      <c r="CC757" s="27" t="s">
        <v>8</v>
      </c>
      <c r="CN757" s="27" t="s">
        <v>7</v>
      </c>
      <c r="CS757" s="27" t="s">
        <v>8</v>
      </c>
      <c r="CT757" s="27" t="s">
        <v>7</v>
      </c>
      <c r="CU757" s="27" t="s">
        <v>8</v>
      </c>
      <c r="CV757" s="27" t="s">
        <v>7</v>
      </c>
      <c r="CW757" s="27" t="s">
        <v>8</v>
      </c>
      <c r="CX757" s="27" t="s">
        <v>7</v>
      </c>
      <c r="FG757" s="27" t="s">
        <v>8</v>
      </c>
      <c r="GB757" s="27" t="s">
        <v>7</v>
      </c>
      <c r="GC757" s="27" t="s">
        <v>8</v>
      </c>
      <c r="GD757" s="27" t="s">
        <v>7</v>
      </c>
      <c r="GG757" s="27" t="s">
        <v>8</v>
      </c>
      <c r="GH757" s="27" t="s">
        <v>7</v>
      </c>
      <c r="GI757" s="27" t="s">
        <v>8</v>
      </c>
      <c r="GJ757" s="27" t="s">
        <v>7</v>
      </c>
      <c r="IG757" s="27" t="s">
        <v>8</v>
      </c>
      <c r="IH757" s="27" t="s">
        <v>7</v>
      </c>
      <c r="IS757" s="27" t="s">
        <v>8</v>
      </c>
      <c r="IY757" s="27" t="s">
        <v>8</v>
      </c>
      <c r="IZ757" s="27" t="s">
        <v>7</v>
      </c>
      <c r="JA757" s="27" t="s">
        <v>8</v>
      </c>
      <c r="JB757" s="27" t="s">
        <v>7</v>
      </c>
      <c r="JC757" s="27" t="s">
        <v>8</v>
      </c>
      <c r="JD757" s="27" t="s">
        <v>7</v>
      </c>
      <c r="JE757" s="27" t="s">
        <v>8</v>
      </c>
    </row>
    <row r="758" spans="1:330" x14ac:dyDescent="0.25">
      <c r="A758" s="7">
        <v>3.3835346528043479E-2</v>
      </c>
      <c r="B758"/>
      <c r="C758"/>
      <c r="D758"/>
      <c r="E758"/>
      <c r="T758" s="27" t="s">
        <v>7</v>
      </c>
      <c r="U758" s="27" t="s">
        <v>8</v>
      </c>
      <c r="V758" s="27" t="s">
        <v>7</v>
      </c>
      <c r="W758" s="27" t="s">
        <v>8</v>
      </c>
      <c r="X758" s="27" t="s">
        <v>7</v>
      </c>
      <c r="Y758" s="27" t="s">
        <v>8</v>
      </c>
      <c r="Z758" s="27" t="s">
        <v>7</v>
      </c>
      <c r="AA758" s="27" t="s">
        <v>8</v>
      </c>
      <c r="AC758" s="27" t="s">
        <v>8</v>
      </c>
      <c r="AD758" s="27" t="s">
        <v>7</v>
      </c>
      <c r="AE758" s="27" t="s">
        <v>8</v>
      </c>
      <c r="AH758" s="27" t="s">
        <v>7</v>
      </c>
      <c r="AI758" s="27" t="s">
        <v>8</v>
      </c>
      <c r="AJ758" s="27" t="s">
        <v>7</v>
      </c>
      <c r="AO758" s="27" t="s">
        <v>8</v>
      </c>
      <c r="BW758" s="27" t="s">
        <v>8</v>
      </c>
      <c r="BX758" s="27" t="s">
        <v>7</v>
      </c>
      <c r="BY758" s="27" t="s">
        <v>8</v>
      </c>
      <c r="CB758" s="27" t="s">
        <v>7</v>
      </c>
      <c r="CC758" s="27" t="s">
        <v>8</v>
      </c>
      <c r="CN758" s="27" t="s">
        <v>7</v>
      </c>
      <c r="CS758" s="27" t="s">
        <v>8</v>
      </c>
      <c r="CT758" s="27" t="s">
        <v>7</v>
      </c>
      <c r="CU758" s="27" t="s">
        <v>8</v>
      </c>
      <c r="CV758" s="27" t="s">
        <v>7</v>
      </c>
      <c r="CW758" s="27" t="s">
        <v>8</v>
      </c>
      <c r="CX758" s="27" t="s">
        <v>7</v>
      </c>
      <c r="FG758" s="27" t="s">
        <v>8</v>
      </c>
      <c r="GB758" s="27" t="s">
        <v>7</v>
      </c>
      <c r="GC758" s="27" t="s">
        <v>8</v>
      </c>
      <c r="GD758" s="27" t="s">
        <v>7</v>
      </c>
      <c r="GG758" s="27" t="s">
        <v>8</v>
      </c>
      <c r="GH758" s="27" t="s">
        <v>7</v>
      </c>
      <c r="GI758" s="27" t="s">
        <v>8</v>
      </c>
      <c r="GJ758" s="27" t="s">
        <v>7</v>
      </c>
      <c r="IG758" s="27" t="s">
        <v>8</v>
      </c>
      <c r="IH758" s="27" t="s">
        <v>7</v>
      </c>
      <c r="IS758" s="27" t="s">
        <v>8</v>
      </c>
      <c r="IT758" s="27" t="s">
        <v>7</v>
      </c>
      <c r="IY758" s="27" t="s">
        <v>8</v>
      </c>
      <c r="IZ758" s="27" t="s">
        <v>7</v>
      </c>
      <c r="JA758" s="27" t="s">
        <v>8</v>
      </c>
      <c r="JB758" s="27" t="s">
        <v>7</v>
      </c>
      <c r="JC758" s="27" t="s">
        <v>8</v>
      </c>
      <c r="JD758" s="27" t="s">
        <v>7</v>
      </c>
      <c r="JE758" s="27" t="s">
        <v>8</v>
      </c>
    </row>
    <row r="759" spans="1:330" x14ac:dyDescent="0.25">
      <c r="A759" s="7">
        <v>3.3171908360826938E-2</v>
      </c>
      <c r="B759"/>
      <c r="C759"/>
      <c r="D759"/>
      <c r="E759"/>
      <c r="T759" s="27" t="s">
        <v>7</v>
      </c>
      <c r="U759" s="27" t="s">
        <v>8</v>
      </c>
      <c r="V759" s="27" t="s">
        <v>7</v>
      </c>
      <c r="W759" s="27" t="s">
        <v>8</v>
      </c>
      <c r="X759" s="27" t="s">
        <v>7</v>
      </c>
      <c r="Y759" s="27" t="s">
        <v>8</v>
      </c>
      <c r="Z759" s="27" t="s">
        <v>7</v>
      </c>
      <c r="AA759" s="27" t="s">
        <v>8</v>
      </c>
      <c r="AB759" s="27" t="s">
        <v>7</v>
      </c>
      <c r="AC759" s="27" t="s">
        <v>8</v>
      </c>
      <c r="AD759" s="27" t="s">
        <v>7</v>
      </c>
      <c r="AH759" s="27" t="s">
        <v>7</v>
      </c>
      <c r="AI759" s="27" t="s">
        <v>8</v>
      </c>
      <c r="AJ759" s="27" t="s">
        <v>7</v>
      </c>
      <c r="AK759" s="27" t="s">
        <v>8</v>
      </c>
      <c r="AO759" s="27" t="s">
        <v>8</v>
      </c>
      <c r="AP759" s="27" t="s">
        <v>7</v>
      </c>
      <c r="BW759" s="27" t="s">
        <v>8</v>
      </c>
      <c r="BX759" s="27" t="s">
        <v>7</v>
      </c>
      <c r="BY759" s="27" t="s">
        <v>8</v>
      </c>
      <c r="CB759" s="27" t="s">
        <v>7</v>
      </c>
      <c r="CC759" s="27" t="s">
        <v>8</v>
      </c>
      <c r="CN759" s="27" t="s">
        <v>7</v>
      </c>
      <c r="CS759" s="27" t="s">
        <v>8</v>
      </c>
      <c r="CT759" s="27" t="s">
        <v>7</v>
      </c>
      <c r="CU759" s="27" t="s">
        <v>8</v>
      </c>
      <c r="CV759" s="27" t="s">
        <v>7</v>
      </c>
      <c r="CW759" s="27" t="s">
        <v>8</v>
      </c>
      <c r="CX759" s="27" t="s">
        <v>7</v>
      </c>
      <c r="FG759" s="27" t="s">
        <v>8</v>
      </c>
      <c r="GB759" s="27" t="s">
        <v>7</v>
      </c>
      <c r="GC759" s="27" t="s">
        <v>8</v>
      </c>
      <c r="GD759" s="27" t="s">
        <v>7</v>
      </c>
      <c r="GE759" s="27" t="s">
        <v>8</v>
      </c>
      <c r="GG759" s="27" t="s">
        <v>8</v>
      </c>
      <c r="GH759" s="27" t="s">
        <v>7</v>
      </c>
      <c r="GI759" s="27" t="s">
        <v>8</v>
      </c>
      <c r="GJ759" s="27" t="s">
        <v>7</v>
      </c>
      <c r="IG759" s="27" t="s">
        <v>8</v>
      </c>
      <c r="IH759" s="27" t="s">
        <v>7</v>
      </c>
      <c r="IS759" s="27" t="s">
        <v>8</v>
      </c>
      <c r="IT759" s="27" t="s">
        <v>7</v>
      </c>
      <c r="IY759" s="27" t="s">
        <v>8</v>
      </c>
      <c r="IZ759" s="27" t="s">
        <v>7</v>
      </c>
      <c r="JA759" s="27" t="s">
        <v>8</v>
      </c>
      <c r="JB759" s="27" t="s">
        <v>7</v>
      </c>
      <c r="JC759" s="27" t="s">
        <v>8</v>
      </c>
      <c r="JD759" s="27" t="s">
        <v>7</v>
      </c>
      <c r="JE759" s="27" t="s">
        <v>8</v>
      </c>
    </row>
    <row r="760" spans="1:330" x14ac:dyDescent="0.25">
      <c r="A760" s="7">
        <v>3.2521478785124451E-2</v>
      </c>
      <c r="B760"/>
      <c r="C760"/>
      <c r="D760"/>
      <c r="E760"/>
      <c r="T760" s="27" t="s">
        <v>7</v>
      </c>
      <c r="V760" s="27" t="s">
        <v>7</v>
      </c>
      <c r="W760" s="27" t="s">
        <v>8</v>
      </c>
      <c r="X760" s="27" t="s">
        <v>7</v>
      </c>
      <c r="Y760" s="27" t="s">
        <v>8</v>
      </c>
      <c r="Z760" s="27" t="s">
        <v>7</v>
      </c>
      <c r="AA760" s="27" t="s">
        <v>8</v>
      </c>
      <c r="AB760" s="27" t="s">
        <v>7</v>
      </c>
      <c r="AC760" s="27" t="s">
        <v>8</v>
      </c>
      <c r="AH760" s="27" t="s">
        <v>7</v>
      </c>
      <c r="AI760" s="27" t="s">
        <v>8</v>
      </c>
      <c r="AJ760" s="27" t="s">
        <v>7</v>
      </c>
      <c r="AK760" s="27" t="s">
        <v>8</v>
      </c>
      <c r="AL760" s="27" t="s">
        <v>7</v>
      </c>
      <c r="AO760" s="27" t="s">
        <v>8</v>
      </c>
      <c r="AP760" s="27" t="s">
        <v>7</v>
      </c>
      <c r="AQ760" s="27" t="s">
        <v>8</v>
      </c>
      <c r="BW760" s="27" t="s">
        <v>8</v>
      </c>
      <c r="BX760" s="27" t="s">
        <v>7</v>
      </c>
      <c r="BY760" s="27" t="s">
        <v>8</v>
      </c>
      <c r="CB760" s="27" t="s">
        <v>7</v>
      </c>
      <c r="CC760" s="27" t="s">
        <v>8</v>
      </c>
      <c r="CN760" s="27" t="s">
        <v>7</v>
      </c>
      <c r="CS760" s="27" t="s">
        <v>8</v>
      </c>
      <c r="CT760" s="27" t="s">
        <v>7</v>
      </c>
      <c r="CU760" s="27" t="s">
        <v>8</v>
      </c>
      <c r="CV760" s="27" t="s">
        <v>7</v>
      </c>
      <c r="CW760" s="27" t="s">
        <v>8</v>
      </c>
      <c r="CX760" s="27" t="s">
        <v>7</v>
      </c>
      <c r="FG760" s="27" t="s">
        <v>8</v>
      </c>
      <c r="GB760" s="27" t="s">
        <v>7</v>
      </c>
      <c r="GD760" s="27" t="s">
        <v>7</v>
      </c>
      <c r="GE760" s="27" t="s">
        <v>8</v>
      </c>
      <c r="GF760" s="27" t="s">
        <v>7</v>
      </c>
      <c r="GG760" s="27" t="s">
        <v>8</v>
      </c>
      <c r="GH760" s="27" t="s">
        <v>7</v>
      </c>
      <c r="GI760" s="27" t="s">
        <v>8</v>
      </c>
      <c r="GJ760" s="27" t="s">
        <v>7</v>
      </c>
      <c r="IG760" s="27" t="s">
        <v>8</v>
      </c>
      <c r="IH760" s="27" t="s">
        <v>7</v>
      </c>
      <c r="IS760" s="27" t="s">
        <v>8</v>
      </c>
      <c r="IT760" s="27" t="s">
        <v>7</v>
      </c>
      <c r="IY760" s="27" t="s">
        <v>8</v>
      </c>
      <c r="IZ760" s="27" t="s">
        <v>7</v>
      </c>
      <c r="JA760" s="27" t="s">
        <v>8</v>
      </c>
      <c r="JB760" s="27" t="s">
        <v>7</v>
      </c>
      <c r="JD760" s="27" t="s">
        <v>7</v>
      </c>
    </row>
    <row r="761" spans="1:330" x14ac:dyDescent="0.25">
      <c r="A761" s="7">
        <v>3.1883802730514173E-2</v>
      </c>
      <c r="B761"/>
      <c r="C761"/>
      <c r="D761"/>
      <c r="E761"/>
      <c r="V761" s="27" t="s">
        <v>7</v>
      </c>
      <c r="W761" s="27" t="s">
        <v>8</v>
      </c>
      <c r="X761" s="27" t="s">
        <v>7</v>
      </c>
      <c r="Y761" s="27" t="s">
        <v>8</v>
      </c>
      <c r="Z761" s="27" t="s">
        <v>7</v>
      </c>
      <c r="AB761" s="27" t="s">
        <v>7</v>
      </c>
      <c r="AC761" s="27" t="s">
        <v>8</v>
      </c>
      <c r="AH761" s="27" t="s">
        <v>7</v>
      </c>
      <c r="AJ761" s="27" t="s">
        <v>7</v>
      </c>
      <c r="AK761" s="27" t="s">
        <v>8</v>
      </c>
      <c r="AL761" s="27" t="s">
        <v>7</v>
      </c>
      <c r="AO761" s="27" t="s">
        <v>8</v>
      </c>
      <c r="AP761" s="27" t="s">
        <v>7</v>
      </c>
      <c r="AQ761" s="27" t="s">
        <v>8</v>
      </c>
      <c r="AR761" s="27" t="s">
        <v>7</v>
      </c>
      <c r="BW761" s="27" t="s">
        <v>8</v>
      </c>
      <c r="BX761" s="27" t="s">
        <v>7</v>
      </c>
      <c r="BY761" s="27" t="s">
        <v>8</v>
      </c>
      <c r="CB761" s="27" t="s">
        <v>7</v>
      </c>
      <c r="CN761" s="27" t="s">
        <v>7</v>
      </c>
      <c r="CS761" s="27" t="s">
        <v>8</v>
      </c>
      <c r="CT761" s="27" t="s">
        <v>7</v>
      </c>
      <c r="CV761" s="27" t="s">
        <v>7</v>
      </c>
      <c r="CW761" s="27" t="s">
        <v>8</v>
      </c>
      <c r="CX761" s="27" t="s">
        <v>7</v>
      </c>
      <c r="FE761" s="27" t="s">
        <v>8</v>
      </c>
      <c r="FG761" s="27" t="s">
        <v>8</v>
      </c>
      <c r="GD761" s="27" t="s">
        <v>7</v>
      </c>
      <c r="GE761" s="27" t="s">
        <v>8</v>
      </c>
      <c r="GF761" s="27" t="s">
        <v>7</v>
      </c>
      <c r="GG761" s="27" t="s">
        <v>8</v>
      </c>
      <c r="GH761" s="27" t="s">
        <v>7</v>
      </c>
      <c r="GI761" s="27" t="s">
        <v>8</v>
      </c>
      <c r="GJ761" s="27" t="s">
        <v>7</v>
      </c>
      <c r="GK761" s="27" t="s">
        <v>8</v>
      </c>
      <c r="IG761" s="27" t="s">
        <v>8</v>
      </c>
      <c r="IH761" s="27" t="s">
        <v>7</v>
      </c>
      <c r="II761" s="27" t="s">
        <v>8</v>
      </c>
      <c r="IS761" s="27" t="s">
        <v>8</v>
      </c>
      <c r="IT761" s="27" t="s">
        <v>7</v>
      </c>
      <c r="IW761" s="27" t="s">
        <v>8</v>
      </c>
      <c r="IY761" s="27" t="s">
        <v>8</v>
      </c>
      <c r="IZ761" s="27" t="s">
        <v>7</v>
      </c>
      <c r="JA761" s="27" t="s">
        <v>8</v>
      </c>
    </row>
    <row r="762" spans="1:330" x14ac:dyDescent="0.25">
      <c r="A762" s="7">
        <v>3.1258630127955073E-2</v>
      </c>
      <c r="B762"/>
      <c r="C762"/>
      <c r="D762"/>
      <c r="E762"/>
      <c r="V762" s="27" t="s">
        <v>7</v>
      </c>
      <c r="X762" s="27" t="s">
        <v>7</v>
      </c>
      <c r="Y762" s="27" t="s">
        <v>8</v>
      </c>
      <c r="AB762" s="27" t="s">
        <v>7</v>
      </c>
      <c r="AJ762" s="27" t="s">
        <v>7</v>
      </c>
      <c r="AK762" s="27" t="s">
        <v>8</v>
      </c>
      <c r="AL762" s="27" t="s">
        <v>7</v>
      </c>
      <c r="AO762" s="27" t="s">
        <v>8</v>
      </c>
      <c r="AP762" s="27" t="s">
        <v>7</v>
      </c>
      <c r="AQ762" s="27" t="s">
        <v>8</v>
      </c>
      <c r="AR762" s="27" t="s">
        <v>7</v>
      </c>
      <c r="BW762" s="27" t="s">
        <v>8</v>
      </c>
      <c r="BX762" s="27" t="s">
        <v>7</v>
      </c>
      <c r="BY762" s="27" t="s">
        <v>8</v>
      </c>
      <c r="CN762" s="27" t="s">
        <v>7</v>
      </c>
      <c r="CO762" s="27" t="s">
        <v>8</v>
      </c>
      <c r="CS762" s="27" t="s">
        <v>8</v>
      </c>
      <c r="CV762" s="27" t="s">
        <v>7</v>
      </c>
      <c r="CW762" s="27" t="s">
        <v>8</v>
      </c>
      <c r="CX762" s="27" t="s">
        <v>7</v>
      </c>
      <c r="FE762" s="27" t="s">
        <v>8</v>
      </c>
      <c r="FF762" s="27" t="s">
        <v>7</v>
      </c>
      <c r="FG762" s="27" t="s">
        <v>8</v>
      </c>
      <c r="GD762" s="27" t="s">
        <v>7</v>
      </c>
      <c r="GE762" s="27" t="s">
        <v>8</v>
      </c>
      <c r="GF762" s="27" t="s">
        <v>7</v>
      </c>
      <c r="GG762" s="27" t="s">
        <v>8</v>
      </c>
      <c r="GH762" s="27" t="s">
        <v>7</v>
      </c>
      <c r="GI762" s="27" t="s">
        <v>8</v>
      </c>
      <c r="GJ762" s="27" t="s">
        <v>7</v>
      </c>
      <c r="GK762" s="27" t="s">
        <v>8</v>
      </c>
      <c r="GL762" s="27" t="s">
        <v>7</v>
      </c>
      <c r="IG762" s="27" t="s">
        <v>8</v>
      </c>
      <c r="IH762" s="27" t="s">
        <v>7</v>
      </c>
      <c r="II762" s="27" t="s">
        <v>8</v>
      </c>
      <c r="IJ762" s="27" t="s">
        <v>7</v>
      </c>
      <c r="IS762" s="27" t="s">
        <v>8</v>
      </c>
      <c r="IT762" s="27" t="s">
        <v>7</v>
      </c>
      <c r="IW762" s="27" t="s">
        <v>8</v>
      </c>
      <c r="IX762" s="27" t="s">
        <v>7</v>
      </c>
      <c r="IY762" s="27" t="s">
        <v>8</v>
      </c>
      <c r="IZ762" s="27" t="s">
        <v>7</v>
      </c>
      <c r="JA762" s="27" t="s">
        <v>8</v>
      </c>
    </row>
    <row r="763" spans="1:330" x14ac:dyDescent="0.25">
      <c r="A763" s="7">
        <v>3.064571581172066E-2</v>
      </c>
      <c r="B763"/>
      <c r="C763"/>
      <c r="D763"/>
      <c r="E763"/>
      <c r="X763" s="27" t="s">
        <v>7</v>
      </c>
      <c r="AJ763" s="27" t="s">
        <v>7</v>
      </c>
      <c r="AL763" s="27" t="s">
        <v>7</v>
      </c>
      <c r="AO763" s="27" t="s">
        <v>8</v>
      </c>
      <c r="AP763" s="27" t="s">
        <v>7</v>
      </c>
      <c r="AQ763" s="27" t="s">
        <v>8</v>
      </c>
      <c r="AR763" s="27" t="s">
        <v>7</v>
      </c>
      <c r="BC763" s="27" t="s">
        <v>8</v>
      </c>
      <c r="BW763" s="27" t="s">
        <v>8</v>
      </c>
      <c r="BX763" s="27" t="s">
        <v>7</v>
      </c>
      <c r="CN763" s="27" t="s">
        <v>7</v>
      </c>
      <c r="CO763" s="27" t="s">
        <v>8</v>
      </c>
      <c r="CP763" s="27" t="s">
        <v>7</v>
      </c>
      <c r="CS763" s="27" t="s">
        <v>8</v>
      </c>
      <c r="CV763" s="27" t="s">
        <v>7</v>
      </c>
      <c r="CW763" s="27" t="s">
        <v>8</v>
      </c>
      <c r="CX763" s="27" t="s">
        <v>7</v>
      </c>
      <c r="FE763" s="27" t="s">
        <v>8</v>
      </c>
      <c r="FF763" s="27" t="s">
        <v>7</v>
      </c>
      <c r="FG763" s="27" t="s">
        <v>8</v>
      </c>
      <c r="GD763" s="27" t="s">
        <v>7</v>
      </c>
      <c r="GE763" s="27" t="s">
        <v>8</v>
      </c>
      <c r="GF763" s="27" t="s">
        <v>7</v>
      </c>
      <c r="GG763" s="27" t="s">
        <v>8</v>
      </c>
      <c r="GH763" s="27" t="s">
        <v>7</v>
      </c>
      <c r="GJ763" s="27" t="s">
        <v>7</v>
      </c>
      <c r="GK763" s="27" t="s">
        <v>8</v>
      </c>
      <c r="GL763" s="27" t="s">
        <v>7</v>
      </c>
      <c r="IG763" s="27" t="s">
        <v>8</v>
      </c>
      <c r="IH763" s="27" t="s">
        <v>7</v>
      </c>
      <c r="II763" s="27" t="s">
        <v>8</v>
      </c>
      <c r="IJ763" s="27" t="s">
        <v>7</v>
      </c>
      <c r="IS763" s="27" t="s">
        <v>8</v>
      </c>
      <c r="IT763" s="27" t="s">
        <v>7</v>
      </c>
      <c r="IW763" s="27" t="s">
        <v>8</v>
      </c>
      <c r="IX763" s="27" t="s">
        <v>7</v>
      </c>
      <c r="IY763" s="27" t="s">
        <v>8</v>
      </c>
      <c r="IZ763" s="27" t="s">
        <v>7</v>
      </c>
      <c r="JA763" s="27" t="s">
        <v>8</v>
      </c>
    </row>
    <row r="764" spans="1:330" x14ac:dyDescent="0.25">
      <c r="A764" s="7">
        <v>3.0044819423255549E-2</v>
      </c>
      <c r="B764"/>
      <c r="C764"/>
      <c r="D764"/>
      <c r="E764"/>
      <c r="AL764" s="27" t="s">
        <v>7</v>
      </c>
      <c r="AO764" s="27" t="s">
        <v>8</v>
      </c>
      <c r="AP764" s="27" t="s">
        <v>7</v>
      </c>
      <c r="AQ764" s="27" t="s">
        <v>8</v>
      </c>
      <c r="AR764" s="27" t="s">
        <v>7</v>
      </c>
      <c r="BC764" s="27" t="s">
        <v>8</v>
      </c>
      <c r="BD764" s="27" t="s">
        <v>7</v>
      </c>
      <c r="BW764" s="27" t="s">
        <v>8</v>
      </c>
      <c r="CN764" s="27" t="s">
        <v>7</v>
      </c>
      <c r="CO764" s="27" t="s">
        <v>8</v>
      </c>
      <c r="CP764" s="27" t="s">
        <v>7</v>
      </c>
      <c r="CS764" s="27" t="s">
        <v>8</v>
      </c>
      <c r="CV764" s="27" t="s">
        <v>7</v>
      </c>
      <c r="CW764" s="27" t="s">
        <v>8</v>
      </c>
      <c r="CX764" s="27" t="s">
        <v>7</v>
      </c>
      <c r="FE764" s="27" t="s">
        <v>8</v>
      </c>
      <c r="FF764" s="27" t="s">
        <v>7</v>
      </c>
      <c r="FG764" s="27" t="s">
        <v>8</v>
      </c>
      <c r="GD764" s="27" t="s">
        <v>7</v>
      </c>
      <c r="GE764" s="27" t="s">
        <v>8</v>
      </c>
      <c r="GF764" s="27" t="s">
        <v>7</v>
      </c>
      <c r="GG764" s="27" t="s">
        <v>8</v>
      </c>
      <c r="GJ764" s="27" t="s">
        <v>7</v>
      </c>
      <c r="GL764" s="27" t="s">
        <v>7</v>
      </c>
      <c r="IG764" s="27" t="s">
        <v>8</v>
      </c>
      <c r="IH764" s="27" t="s">
        <v>7</v>
      </c>
      <c r="II764" s="27" t="s">
        <v>8</v>
      </c>
      <c r="IJ764" s="27" t="s">
        <v>7</v>
      </c>
      <c r="IS764" s="27" t="s">
        <v>8</v>
      </c>
      <c r="IT764" s="27" t="s">
        <v>7</v>
      </c>
      <c r="IW764" s="27" t="s">
        <v>8</v>
      </c>
      <c r="IX764" s="27" t="s">
        <v>7</v>
      </c>
      <c r="IY764" s="27" t="s">
        <v>8</v>
      </c>
      <c r="IZ764" s="27" t="s">
        <v>7</v>
      </c>
      <c r="JA764" s="27" t="s">
        <v>8</v>
      </c>
    </row>
    <row r="765" spans="1:330" x14ac:dyDescent="0.25">
      <c r="A765" s="7">
        <v>2.9455705316917203E-2</v>
      </c>
      <c r="B765"/>
      <c r="C765"/>
      <c r="D765"/>
      <c r="E765"/>
      <c r="AL765" s="27" t="s">
        <v>7</v>
      </c>
      <c r="AO765" s="27" t="s">
        <v>8</v>
      </c>
      <c r="AP765" s="27" t="s">
        <v>7</v>
      </c>
      <c r="AQ765" s="27" t="s">
        <v>8</v>
      </c>
      <c r="AR765" s="27" t="s">
        <v>7</v>
      </c>
      <c r="BC765" s="27" t="s">
        <v>8</v>
      </c>
      <c r="BD765" s="27" t="s">
        <v>7</v>
      </c>
      <c r="BW765" s="27" t="s">
        <v>8</v>
      </c>
      <c r="CN765" s="27" t="s">
        <v>7</v>
      </c>
      <c r="CO765" s="27" t="s">
        <v>8</v>
      </c>
      <c r="CP765" s="27" t="s">
        <v>7</v>
      </c>
      <c r="CS765" s="27" t="s">
        <v>8</v>
      </c>
      <c r="CV765" s="27" t="s">
        <v>7</v>
      </c>
      <c r="CW765" s="27" t="s">
        <v>8</v>
      </c>
      <c r="CX765" s="27" t="s">
        <v>7</v>
      </c>
      <c r="FE765" s="27" t="s">
        <v>8</v>
      </c>
      <c r="FF765" s="27" t="s">
        <v>7</v>
      </c>
      <c r="FG765" s="27" t="s">
        <v>8</v>
      </c>
      <c r="GD765" s="27" t="s">
        <v>7</v>
      </c>
      <c r="GE765" s="27" t="s">
        <v>8</v>
      </c>
      <c r="GF765" s="27" t="s">
        <v>7</v>
      </c>
      <c r="GG765" s="27" t="s">
        <v>8</v>
      </c>
      <c r="GL765" s="27" t="s">
        <v>7</v>
      </c>
      <c r="IG765" s="27" t="s">
        <v>8</v>
      </c>
      <c r="IH765" s="27" t="s">
        <v>7</v>
      </c>
      <c r="II765" s="27" t="s">
        <v>8</v>
      </c>
      <c r="IJ765" s="27" t="s">
        <v>7</v>
      </c>
      <c r="IS765" s="27" t="s">
        <v>8</v>
      </c>
      <c r="IT765" s="27" t="s">
        <v>7</v>
      </c>
      <c r="IW765" s="27" t="s">
        <v>8</v>
      </c>
      <c r="IX765" s="27" t="s">
        <v>7</v>
      </c>
      <c r="IY765" s="27" t="s">
        <v>8</v>
      </c>
      <c r="IZ765" s="27" t="s">
        <v>7</v>
      </c>
      <c r="JA765" s="27" t="s">
        <v>8</v>
      </c>
    </row>
    <row r="766" spans="1:330" x14ac:dyDescent="0.25">
      <c r="A766" s="7">
        <v>2.8878142467565884E-2</v>
      </c>
      <c r="B766"/>
      <c r="C766"/>
      <c r="D766"/>
      <c r="E766"/>
      <c r="AL766" s="27" t="s">
        <v>7</v>
      </c>
      <c r="AM766" s="27" t="s">
        <v>8</v>
      </c>
      <c r="AO766" s="27" t="s">
        <v>8</v>
      </c>
      <c r="AP766" s="27" t="s">
        <v>7</v>
      </c>
      <c r="AQ766" s="27" t="s">
        <v>8</v>
      </c>
      <c r="AR766" s="27" t="s">
        <v>7</v>
      </c>
      <c r="AS766" s="27" t="s">
        <v>8</v>
      </c>
      <c r="BC766" s="27" t="s">
        <v>8</v>
      </c>
      <c r="BD766" s="27" t="s">
        <v>7</v>
      </c>
      <c r="BW766" s="27" t="s">
        <v>8</v>
      </c>
      <c r="CN766" s="27" t="s">
        <v>7</v>
      </c>
      <c r="CO766" s="27" t="s">
        <v>8</v>
      </c>
      <c r="CP766" s="27" t="s">
        <v>7</v>
      </c>
      <c r="CS766" s="27" t="s">
        <v>8</v>
      </c>
      <c r="CV766" s="27" t="s">
        <v>7</v>
      </c>
      <c r="CW766" s="27" t="s">
        <v>8</v>
      </c>
      <c r="CX766" s="27" t="s">
        <v>7</v>
      </c>
      <c r="FE766" s="27" t="s">
        <v>8</v>
      </c>
      <c r="FF766" s="27" t="s">
        <v>7</v>
      </c>
      <c r="FG766" s="27" t="s">
        <v>8</v>
      </c>
      <c r="GD766" s="27" t="s">
        <v>7</v>
      </c>
      <c r="GE766" s="27" t="s">
        <v>8</v>
      </c>
      <c r="GF766" s="27" t="s">
        <v>7</v>
      </c>
      <c r="GL766" s="27" t="s">
        <v>7</v>
      </c>
      <c r="IG766" s="27" t="s">
        <v>8</v>
      </c>
      <c r="IH766" s="27" t="s">
        <v>7</v>
      </c>
      <c r="II766" s="27" t="s">
        <v>8</v>
      </c>
      <c r="IJ766" s="27" t="s">
        <v>7</v>
      </c>
      <c r="IS766" s="27" t="s">
        <v>8</v>
      </c>
      <c r="IT766" s="27" t="s">
        <v>7</v>
      </c>
      <c r="IW766" s="27" t="s">
        <v>8</v>
      </c>
      <c r="IX766" s="27" t="s">
        <v>7</v>
      </c>
      <c r="IY766" s="27" t="s">
        <v>8</v>
      </c>
      <c r="IZ766" s="27" t="s">
        <v>7</v>
      </c>
    </row>
    <row r="767" spans="1:330" x14ac:dyDescent="0.25">
      <c r="A767" s="7">
        <v>2.8311904379966554E-2</v>
      </c>
      <c r="B767"/>
      <c r="C767"/>
      <c r="D767"/>
      <c r="E767"/>
      <c r="AL767" s="27" t="s">
        <v>7</v>
      </c>
      <c r="AM767" s="27" t="s">
        <v>8</v>
      </c>
      <c r="AN767" s="27" t="s">
        <v>7</v>
      </c>
      <c r="AO767" s="27" t="s">
        <v>8</v>
      </c>
      <c r="AP767" s="27" t="s">
        <v>7</v>
      </c>
      <c r="AR767" s="27" t="s">
        <v>7</v>
      </c>
      <c r="AS767" s="27" t="s">
        <v>8</v>
      </c>
      <c r="AT767" s="27" t="s">
        <v>7</v>
      </c>
      <c r="BC767" s="27" t="s">
        <v>8</v>
      </c>
      <c r="BD767" s="27" t="s">
        <v>7</v>
      </c>
      <c r="BW767" s="27" t="s">
        <v>8</v>
      </c>
      <c r="CN767" s="27" t="s">
        <v>7</v>
      </c>
      <c r="CO767" s="27" t="s">
        <v>8</v>
      </c>
      <c r="CP767" s="27" t="s">
        <v>7</v>
      </c>
      <c r="CQ767" s="27" t="s">
        <v>8</v>
      </c>
      <c r="CS767" s="27" t="s">
        <v>8</v>
      </c>
      <c r="CV767" s="27" t="s">
        <v>7</v>
      </c>
      <c r="CX767" s="27" t="s">
        <v>7</v>
      </c>
      <c r="FE767" s="27" t="s">
        <v>8</v>
      </c>
      <c r="FF767" s="27" t="s">
        <v>7</v>
      </c>
      <c r="FG767" s="27" t="s">
        <v>8</v>
      </c>
      <c r="GD767" s="27" t="s">
        <v>7</v>
      </c>
      <c r="GE767" s="27" t="s">
        <v>8</v>
      </c>
      <c r="GL767" s="27" t="s">
        <v>7</v>
      </c>
      <c r="IG767" s="27" t="s">
        <v>8</v>
      </c>
      <c r="IH767" s="27" t="s">
        <v>7</v>
      </c>
      <c r="II767" s="27" t="s">
        <v>8</v>
      </c>
      <c r="IJ767" s="27" t="s">
        <v>7</v>
      </c>
      <c r="IK767" s="27" t="s">
        <v>8</v>
      </c>
      <c r="IS767" s="27" t="s">
        <v>8</v>
      </c>
      <c r="IT767" s="27" t="s">
        <v>7</v>
      </c>
      <c r="IW767" s="27" t="s">
        <v>8</v>
      </c>
      <c r="IX767" s="27" t="s">
        <v>7</v>
      </c>
    </row>
    <row r="768" spans="1:330" x14ac:dyDescent="0.25">
      <c r="A768" s="7">
        <v>2.7756768999967207E-2</v>
      </c>
      <c r="B768"/>
      <c r="C768"/>
      <c r="D768"/>
      <c r="E768"/>
      <c r="AL768" s="27" t="s">
        <v>7</v>
      </c>
      <c r="AM768" s="27" t="s">
        <v>8</v>
      </c>
      <c r="AN768" s="27" t="s">
        <v>7</v>
      </c>
      <c r="AO768" s="27" t="s">
        <v>8</v>
      </c>
      <c r="AR768" s="27" t="s">
        <v>7</v>
      </c>
      <c r="AS768" s="27" t="s">
        <v>8</v>
      </c>
      <c r="AT768" s="27" t="s">
        <v>7</v>
      </c>
      <c r="BC768" s="27" t="s">
        <v>8</v>
      </c>
      <c r="BD768" s="27" t="s">
        <v>7</v>
      </c>
      <c r="BW768" s="27" t="s">
        <v>8</v>
      </c>
      <c r="CN768" s="27" t="s">
        <v>7</v>
      </c>
      <c r="CO768" s="27" t="s">
        <v>8</v>
      </c>
      <c r="CP768" s="27" t="s">
        <v>7</v>
      </c>
      <c r="CQ768" s="27" t="s">
        <v>8</v>
      </c>
      <c r="CR768" s="27" t="s">
        <v>7</v>
      </c>
      <c r="CS768" s="27" t="s">
        <v>8</v>
      </c>
      <c r="CX768" s="27" t="s">
        <v>7</v>
      </c>
      <c r="FE768" s="27" t="s">
        <v>8</v>
      </c>
      <c r="FF768" s="27" t="s">
        <v>7</v>
      </c>
      <c r="GD768" s="27" t="s">
        <v>7</v>
      </c>
      <c r="GE768" s="27" t="s">
        <v>8</v>
      </c>
      <c r="GL768" s="27" t="s">
        <v>7</v>
      </c>
      <c r="HU768" s="27" t="s">
        <v>8</v>
      </c>
      <c r="IG768" s="27" t="s">
        <v>8</v>
      </c>
      <c r="IH768" s="27" t="s">
        <v>7</v>
      </c>
      <c r="II768" s="27" t="s">
        <v>8</v>
      </c>
      <c r="IJ768" s="27" t="s">
        <v>7</v>
      </c>
      <c r="IK768" s="27" t="s">
        <v>8</v>
      </c>
      <c r="IL768" s="27" t="s">
        <v>7</v>
      </c>
      <c r="IO768" s="27" t="s">
        <v>8</v>
      </c>
      <c r="IS768" s="27" t="s">
        <v>8</v>
      </c>
      <c r="IT768" s="27" t="s">
        <v>7</v>
      </c>
      <c r="IW768" s="27" t="s">
        <v>8</v>
      </c>
    </row>
    <row r="769" spans="1:257" x14ac:dyDescent="0.25">
      <c r="A769" s="7">
        <v>2.7212518627418834E-2</v>
      </c>
      <c r="B769"/>
      <c r="C769"/>
      <c r="D769"/>
      <c r="E769"/>
      <c r="AL769" s="27" t="s">
        <v>7</v>
      </c>
      <c r="AM769" s="27" t="s">
        <v>8</v>
      </c>
      <c r="AN769" s="27" t="s">
        <v>7</v>
      </c>
      <c r="AO769" s="27" t="s">
        <v>8</v>
      </c>
      <c r="AR769" s="27" t="s">
        <v>7</v>
      </c>
      <c r="AS769" s="27" t="s">
        <v>8</v>
      </c>
      <c r="AT769" s="27" t="s">
        <v>7</v>
      </c>
      <c r="BC769" s="27" t="s">
        <v>8</v>
      </c>
      <c r="BD769" s="27" t="s">
        <v>7</v>
      </c>
      <c r="BW769" s="27" t="s">
        <v>8</v>
      </c>
      <c r="CN769" s="27" t="s">
        <v>7</v>
      </c>
      <c r="CO769" s="27" t="s">
        <v>8</v>
      </c>
      <c r="CP769" s="27" t="s">
        <v>7</v>
      </c>
      <c r="CQ769" s="27" t="s">
        <v>8</v>
      </c>
      <c r="CR769" s="27" t="s">
        <v>7</v>
      </c>
      <c r="CS769" s="27" t="s">
        <v>8</v>
      </c>
      <c r="CX769" s="27" t="s">
        <v>7</v>
      </c>
      <c r="FE769" s="27" t="s">
        <v>8</v>
      </c>
      <c r="GD769" s="27" t="s">
        <v>7</v>
      </c>
      <c r="GE769" s="27" t="s">
        <v>8</v>
      </c>
      <c r="GL769" s="27" t="s">
        <v>7</v>
      </c>
      <c r="GM769" s="27" t="s">
        <v>8</v>
      </c>
      <c r="GU769" s="27" t="s">
        <v>8</v>
      </c>
      <c r="HU769" s="27" t="s">
        <v>8</v>
      </c>
      <c r="HV769" s="27" t="s">
        <v>7</v>
      </c>
      <c r="IG769" s="27" t="s">
        <v>8</v>
      </c>
      <c r="IH769" s="27" t="s">
        <v>7</v>
      </c>
      <c r="II769" s="27" t="s">
        <v>8</v>
      </c>
      <c r="IJ769" s="27" t="s">
        <v>7</v>
      </c>
      <c r="IK769" s="27" t="s">
        <v>8</v>
      </c>
      <c r="IL769" s="27" t="s">
        <v>7</v>
      </c>
      <c r="IO769" s="27" t="s">
        <v>8</v>
      </c>
      <c r="IP769" s="27" t="s">
        <v>7</v>
      </c>
      <c r="IS769" s="27" t="s">
        <v>8</v>
      </c>
      <c r="IT769" s="27" t="s">
        <v>7</v>
      </c>
      <c r="IU769" s="27" t="s">
        <v>8</v>
      </c>
      <c r="IW769" s="27" t="s">
        <v>8</v>
      </c>
    </row>
    <row r="770" spans="1:257" x14ac:dyDescent="0.25">
      <c r="A770" s="7">
        <v>2.6678939830802779E-2</v>
      </c>
      <c r="B770"/>
      <c r="C770"/>
      <c r="D770"/>
      <c r="E770"/>
      <c r="AL770" s="27" t="s">
        <v>7</v>
      </c>
      <c r="AN770" s="27" t="s">
        <v>7</v>
      </c>
      <c r="AO770" s="27" t="s">
        <v>8</v>
      </c>
      <c r="AR770" s="27" t="s">
        <v>7</v>
      </c>
      <c r="AT770" s="27" t="s">
        <v>7</v>
      </c>
      <c r="BC770" s="27" t="s">
        <v>8</v>
      </c>
      <c r="BD770" s="27" t="s">
        <v>7</v>
      </c>
      <c r="BW770" s="27" t="s">
        <v>8</v>
      </c>
      <c r="CN770" s="27" t="s">
        <v>7</v>
      </c>
      <c r="CO770" s="27" t="s">
        <v>8</v>
      </c>
      <c r="CP770" s="27" t="s">
        <v>7</v>
      </c>
      <c r="CQ770" s="27" t="s">
        <v>8</v>
      </c>
      <c r="CR770" s="27" t="s">
        <v>7</v>
      </c>
      <c r="CS770" s="27" t="s">
        <v>8</v>
      </c>
      <c r="CX770" s="27" t="s">
        <v>7</v>
      </c>
      <c r="FE770" s="27" t="s">
        <v>8</v>
      </c>
      <c r="GD770" s="27" t="s">
        <v>7</v>
      </c>
      <c r="GE770" s="27" t="s">
        <v>8</v>
      </c>
      <c r="GL770" s="27" t="s">
        <v>7</v>
      </c>
      <c r="GM770" s="27" t="s">
        <v>8</v>
      </c>
      <c r="GN770" s="27" t="s">
        <v>7</v>
      </c>
      <c r="GU770" s="27" t="s">
        <v>8</v>
      </c>
      <c r="GV770" s="27" t="s">
        <v>7</v>
      </c>
      <c r="HA770" s="27" t="s">
        <v>8</v>
      </c>
      <c r="HU770" s="27" t="s">
        <v>8</v>
      </c>
      <c r="HV770" s="27" t="s">
        <v>7</v>
      </c>
      <c r="IG770" s="27" t="s">
        <v>8</v>
      </c>
      <c r="IH770" s="27" t="s">
        <v>7</v>
      </c>
      <c r="IJ770" s="27" t="s">
        <v>7</v>
      </c>
      <c r="IK770" s="27" t="s">
        <v>8</v>
      </c>
      <c r="IL770" s="27" t="s">
        <v>7</v>
      </c>
      <c r="IO770" s="27" t="s">
        <v>8</v>
      </c>
      <c r="IP770" s="27" t="s">
        <v>7</v>
      </c>
      <c r="IQ770" s="27" t="s">
        <v>8</v>
      </c>
      <c r="IS770" s="27" t="s">
        <v>8</v>
      </c>
      <c r="IT770" s="27" t="s">
        <v>7</v>
      </c>
      <c r="IU770" s="27" t="s">
        <v>8</v>
      </c>
      <c r="IV770" s="27" t="s">
        <v>7</v>
      </c>
      <c r="IW770" s="27" t="s">
        <v>8</v>
      </c>
    </row>
    <row r="771" spans="1:257" x14ac:dyDescent="0.25">
      <c r="A771" s="7">
        <v>2.615582336353214E-2</v>
      </c>
      <c r="B771"/>
      <c r="C771"/>
      <c r="D771"/>
      <c r="E771"/>
      <c r="AN771" s="27" t="s">
        <v>7</v>
      </c>
      <c r="AO771" s="27" t="s">
        <v>8</v>
      </c>
      <c r="AT771" s="27" t="s">
        <v>7</v>
      </c>
      <c r="BA771" s="27" t="s">
        <v>8</v>
      </c>
      <c r="BC771" s="27" t="s">
        <v>8</v>
      </c>
      <c r="BD771" s="27" t="s">
        <v>7</v>
      </c>
      <c r="BW771" s="27" t="s">
        <v>8</v>
      </c>
      <c r="CN771" s="27" t="s">
        <v>7</v>
      </c>
      <c r="CO771" s="27" t="s">
        <v>8</v>
      </c>
      <c r="CP771" s="27" t="s">
        <v>7</v>
      </c>
      <c r="CQ771" s="27" t="s">
        <v>8</v>
      </c>
      <c r="CR771" s="27" t="s">
        <v>7</v>
      </c>
      <c r="CX771" s="27" t="s">
        <v>7</v>
      </c>
      <c r="FE771" s="27" t="s">
        <v>8</v>
      </c>
      <c r="GD771" s="27" t="s">
        <v>7</v>
      </c>
      <c r="GL771" s="27" t="s">
        <v>7</v>
      </c>
      <c r="GM771" s="27" t="s">
        <v>8</v>
      </c>
      <c r="GN771" s="27" t="s">
        <v>7</v>
      </c>
      <c r="GU771" s="27" t="s">
        <v>8</v>
      </c>
      <c r="GV771" s="27" t="s">
        <v>7</v>
      </c>
      <c r="HA771" s="27" t="s">
        <v>8</v>
      </c>
      <c r="HB771" s="27" t="s">
        <v>7</v>
      </c>
      <c r="HU771" s="27" t="s">
        <v>8</v>
      </c>
      <c r="HV771" s="27" t="s">
        <v>7</v>
      </c>
      <c r="IG771" s="27" t="s">
        <v>8</v>
      </c>
      <c r="IJ771" s="27" t="s">
        <v>7</v>
      </c>
      <c r="IK771" s="27" t="s">
        <v>8</v>
      </c>
      <c r="IL771" s="27" t="s">
        <v>7</v>
      </c>
      <c r="IM771" s="27" t="s">
        <v>8</v>
      </c>
      <c r="IO771" s="27" t="s">
        <v>8</v>
      </c>
      <c r="IP771" s="27" t="s">
        <v>7</v>
      </c>
      <c r="IQ771" s="27" t="s">
        <v>8</v>
      </c>
      <c r="IR771" s="27" t="s">
        <v>7</v>
      </c>
      <c r="IS771" s="27" t="s">
        <v>8</v>
      </c>
      <c r="IT771" s="27" t="s">
        <v>7</v>
      </c>
      <c r="IU771" s="27" t="s">
        <v>8</v>
      </c>
      <c r="IV771" s="27" t="s">
        <v>7</v>
      </c>
      <c r="IW771" s="27" t="s">
        <v>8</v>
      </c>
    </row>
    <row r="772" spans="1:257" x14ac:dyDescent="0.25">
      <c r="A772" s="7">
        <v>2.5642964081894253E-2</v>
      </c>
      <c r="B772"/>
      <c r="C772"/>
      <c r="D772"/>
      <c r="E772"/>
      <c r="AN772" s="27" t="s">
        <v>7</v>
      </c>
      <c r="AT772" s="27" t="s">
        <v>7</v>
      </c>
      <c r="AU772" s="27" t="s">
        <v>8</v>
      </c>
      <c r="BA772" s="27" t="s">
        <v>8</v>
      </c>
      <c r="BB772" s="27" t="s">
        <v>7</v>
      </c>
      <c r="BC772" s="27" t="s">
        <v>8</v>
      </c>
      <c r="BD772" s="27" t="s">
        <v>7</v>
      </c>
      <c r="BW772" s="27" t="s">
        <v>8</v>
      </c>
      <c r="CN772" s="27" t="s">
        <v>7</v>
      </c>
      <c r="CO772" s="27" t="s">
        <v>8</v>
      </c>
      <c r="CP772" s="27" t="s">
        <v>7</v>
      </c>
      <c r="CQ772" s="27" t="s">
        <v>8</v>
      </c>
      <c r="CX772" s="27" t="s">
        <v>7</v>
      </c>
      <c r="FE772" s="27" t="s">
        <v>8</v>
      </c>
      <c r="GL772" s="27" t="s">
        <v>7</v>
      </c>
      <c r="GM772" s="27" t="s">
        <v>8</v>
      </c>
      <c r="GN772" s="27" t="s">
        <v>7</v>
      </c>
      <c r="GS772" s="27" t="s">
        <v>8</v>
      </c>
      <c r="GU772" s="27" t="s">
        <v>8</v>
      </c>
      <c r="GV772" s="27" t="s">
        <v>7</v>
      </c>
      <c r="HA772" s="27" t="s">
        <v>8</v>
      </c>
      <c r="HB772" s="27" t="s">
        <v>7</v>
      </c>
      <c r="HU772" s="27" t="s">
        <v>8</v>
      </c>
      <c r="HV772" s="27" t="s">
        <v>7</v>
      </c>
      <c r="IG772" s="27" t="s">
        <v>8</v>
      </c>
      <c r="IJ772" s="27" t="s">
        <v>7</v>
      </c>
      <c r="IK772" s="27" t="s">
        <v>8</v>
      </c>
      <c r="IL772" s="27" t="s">
        <v>7</v>
      </c>
      <c r="IM772" s="27" t="s">
        <v>8</v>
      </c>
      <c r="IN772" s="27" t="s">
        <v>7</v>
      </c>
      <c r="IO772" s="27" t="s">
        <v>8</v>
      </c>
      <c r="IP772" s="27" t="s">
        <v>7</v>
      </c>
      <c r="IQ772" s="27" t="s">
        <v>8</v>
      </c>
      <c r="IR772" s="27" t="s">
        <v>7</v>
      </c>
      <c r="IS772" s="27" t="s">
        <v>8</v>
      </c>
      <c r="IT772" s="27" t="s">
        <v>7</v>
      </c>
      <c r="IU772" s="27" t="s">
        <v>8</v>
      </c>
      <c r="IV772" s="27" t="s">
        <v>7</v>
      </c>
      <c r="IW772" s="27" t="s">
        <v>8</v>
      </c>
    </row>
    <row r="773" spans="1:257" x14ac:dyDescent="0.25">
      <c r="A773" s="7">
        <v>2.5140160864602207E-2</v>
      </c>
      <c r="B773"/>
      <c r="C773"/>
      <c r="D773"/>
      <c r="E773"/>
      <c r="AT773" s="27" t="s">
        <v>7</v>
      </c>
      <c r="AU773" s="27" t="s">
        <v>8</v>
      </c>
      <c r="AV773" s="27" t="s">
        <v>7</v>
      </c>
      <c r="BA773" s="27" t="s">
        <v>8</v>
      </c>
      <c r="BB773" s="27" t="s">
        <v>7</v>
      </c>
      <c r="BC773" s="27" t="s">
        <v>8</v>
      </c>
      <c r="BD773" s="27" t="s">
        <v>7</v>
      </c>
      <c r="BW773" s="27" t="s">
        <v>8</v>
      </c>
      <c r="CN773" s="27" t="s">
        <v>7</v>
      </c>
      <c r="CO773" s="27" t="s">
        <v>8</v>
      </c>
      <c r="CP773" s="27" t="s">
        <v>7</v>
      </c>
      <c r="CX773" s="27" t="s">
        <v>7</v>
      </c>
      <c r="ES773" s="27" t="s">
        <v>8</v>
      </c>
      <c r="FE773" s="27" t="s">
        <v>8</v>
      </c>
      <c r="GL773" s="27" t="s">
        <v>7</v>
      </c>
      <c r="GM773" s="27" t="s">
        <v>8</v>
      </c>
      <c r="GN773" s="27" t="s">
        <v>7</v>
      </c>
      <c r="GS773" s="27" t="s">
        <v>8</v>
      </c>
      <c r="GT773" s="27" t="s">
        <v>7</v>
      </c>
      <c r="GU773" s="27" t="s">
        <v>8</v>
      </c>
      <c r="GV773" s="27" t="s">
        <v>7</v>
      </c>
      <c r="HA773" s="27" t="s">
        <v>8</v>
      </c>
      <c r="HB773" s="27" t="s">
        <v>7</v>
      </c>
      <c r="HU773" s="27" t="s">
        <v>8</v>
      </c>
      <c r="HV773" s="27" t="s">
        <v>7</v>
      </c>
      <c r="IG773" s="27" t="s">
        <v>8</v>
      </c>
      <c r="IJ773" s="27" t="s">
        <v>7</v>
      </c>
      <c r="IK773" s="27" t="s">
        <v>8</v>
      </c>
      <c r="IL773" s="27" t="s">
        <v>7</v>
      </c>
      <c r="IM773" s="27" t="s">
        <v>8</v>
      </c>
      <c r="IN773" s="27" t="s">
        <v>7</v>
      </c>
      <c r="IO773" s="27" t="s">
        <v>8</v>
      </c>
      <c r="IP773" s="27" t="s">
        <v>7</v>
      </c>
      <c r="IQ773" s="27" t="s">
        <v>8</v>
      </c>
      <c r="IR773" s="27" t="s">
        <v>7</v>
      </c>
      <c r="IS773" s="27" t="s">
        <v>8</v>
      </c>
      <c r="IT773" s="27" t="s">
        <v>7</v>
      </c>
      <c r="IU773" s="27" t="s">
        <v>8</v>
      </c>
      <c r="IV773" s="27" t="s">
        <v>7</v>
      </c>
      <c r="IW773" s="27" t="s">
        <v>8</v>
      </c>
    </row>
    <row r="774" spans="1:257" x14ac:dyDescent="0.25">
      <c r="A774" s="7">
        <v>2.4647216533923735E-2</v>
      </c>
      <c r="B774"/>
      <c r="C774"/>
      <c r="D774"/>
      <c r="E774"/>
      <c r="AT774" s="27" t="s">
        <v>7</v>
      </c>
      <c r="AU774" s="27" t="s">
        <v>8</v>
      </c>
      <c r="AV774" s="27" t="s">
        <v>7</v>
      </c>
      <c r="AY774" s="27" t="s">
        <v>8</v>
      </c>
      <c r="BA774" s="27" t="s">
        <v>8</v>
      </c>
      <c r="BB774" s="27" t="s">
        <v>7</v>
      </c>
      <c r="BC774" s="27" t="s">
        <v>8</v>
      </c>
      <c r="BD774" s="27" t="s">
        <v>7</v>
      </c>
      <c r="BQ774" s="27" t="s">
        <v>8</v>
      </c>
      <c r="BW774" s="27" t="s">
        <v>8</v>
      </c>
      <c r="CN774" s="27" t="s">
        <v>7</v>
      </c>
      <c r="CX774" s="27" t="s">
        <v>7</v>
      </c>
      <c r="ES774" s="27" t="s">
        <v>8</v>
      </c>
      <c r="ET774" s="27" t="s">
        <v>7</v>
      </c>
      <c r="FC774" s="27" t="s">
        <v>8</v>
      </c>
      <c r="FE774" s="27" t="s">
        <v>8</v>
      </c>
      <c r="GL774" s="27" t="s">
        <v>7</v>
      </c>
      <c r="GN774" s="27" t="s">
        <v>7</v>
      </c>
      <c r="GS774" s="27" t="s">
        <v>8</v>
      </c>
      <c r="GT774" s="27" t="s">
        <v>7</v>
      </c>
      <c r="GU774" s="27" t="s">
        <v>8</v>
      </c>
      <c r="GV774" s="27" t="s">
        <v>7</v>
      </c>
      <c r="HA774" s="27" t="s">
        <v>8</v>
      </c>
      <c r="HB774" s="27" t="s">
        <v>7</v>
      </c>
      <c r="HU774" s="27" t="s">
        <v>8</v>
      </c>
      <c r="HV774" s="27" t="s">
        <v>7</v>
      </c>
      <c r="IG774" s="27" t="s">
        <v>8</v>
      </c>
      <c r="IJ774" s="27" t="s">
        <v>7</v>
      </c>
      <c r="IK774" s="27" t="s">
        <v>8</v>
      </c>
      <c r="IL774" s="27" t="s">
        <v>7</v>
      </c>
      <c r="IM774" s="27" t="s">
        <v>8</v>
      </c>
      <c r="IN774" s="27" t="s">
        <v>7</v>
      </c>
      <c r="IO774" s="27" t="s">
        <v>8</v>
      </c>
      <c r="IP774" s="27" t="s">
        <v>7</v>
      </c>
      <c r="IQ774" s="27" t="s">
        <v>8</v>
      </c>
      <c r="IR774" s="27" t="s">
        <v>7</v>
      </c>
      <c r="IS774" s="27" t="s">
        <v>8</v>
      </c>
      <c r="IT774" s="27" t="s">
        <v>7</v>
      </c>
      <c r="IU774" s="27" t="s">
        <v>8</v>
      </c>
      <c r="IV774" s="27" t="s">
        <v>7</v>
      </c>
    </row>
    <row r="775" spans="1:257" x14ac:dyDescent="0.25">
      <c r="A775" s="7">
        <v>2.4163937778356601E-2</v>
      </c>
      <c r="B775"/>
      <c r="C775"/>
      <c r="D775"/>
      <c r="E775"/>
      <c r="AT775" s="27" t="s">
        <v>7</v>
      </c>
      <c r="AU775" s="27" t="s">
        <v>8</v>
      </c>
      <c r="AV775" s="27" t="s">
        <v>7</v>
      </c>
      <c r="AY775" s="27" t="s">
        <v>8</v>
      </c>
      <c r="AZ775" s="27" t="s">
        <v>7</v>
      </c>
      <c r="BA775" s="27" t="s">
        <v>8</v>
      </c>
      <c r="BB775" s="27" t="s">
        <v>7</v>
      </c>
      <c r="BC775" s="27" t="s">
        <v>8</v>
      </c>
      <c r="BD775" s="27" t="s">
        <v>7</v>
      </c>
      <c r="BE775" s="27" t="s">
        <v>8</v>
      </c>
      <c r="BK775" s="27" t="s">
        <v>8</v>
      </c>
      <c r="BQ775" s="27" t="s">
        <v>8</v>
      </c>
      <c r="BR775" s="27" t="s">
        <v>7</v>
      </c>
      <c r="BW775" s="27" t="s">
        <v>8</v>
      </c>
      <c r="CX775" s="27" t="s">
        <v>7</v>
      </c>
      <c r="ES775" s="27" t="s">
        <v>8</v>
      </c>
      <c r="ET775" s="27" t="s">
        <v>7</v>
      </c>
      <c r="FC775" s="27" t="s">
        <v>8</v>
      </c>
      <c r="FD775" s="27" t="s">
        <v>7</v>
      </c>
      <c r="FE775" s="27" t="s">
        <v>8</v>
      </c>
      <c r="GN775" s="27" t="s">
        <v>7</v>
      </c>
      <c r="GQ775" s="27" t="s">
        <v>8</v>
      </c>
      <c r="GS775" s="27" t="s">
        <v>8</v>
      </c>
      <c r="GT775" s="27" t="s">
        <v>7</v>
      </c>
      <c r="GU775" s="27" t="s">
        <v>8</v>
      </c>
      <c r="GV775" s="27" t="s">
        <v>7</v>
      </c>
      <c r="GY775" s="27" t="s">
        <v>8</v>
      </c>
      <c r="HA775" s="27" t="s">
        <v>8</v>
      </c>
      <c r="HB775" s="27" t="s">
        <v>7</v>
      </c>
      <c r="HC775" s="27" t="s">
        <v>8</v>
      </c>
      <c r="HU775" s="27" t="s">
        <v>8</v>
      </c>
      <c r="HV775" s="27" t="s">
        <v>7</v>
      </c>
      <c r="IG775" s="27" t="s">
        <v>8</v>
      </c>
      <c r="IJ775" s="27" t="s">
        <v>7</v>
      </c>
      <c r="IL775" s="27" t="s">
        <v>7</v>
      </c>
      <c r="IM775" s="27" t="s">
        <v>8</v>
      </c>
      <c r="IN775" s="27" t="s">
        <v>7</v>
      </c>
      <c r="IO775" s="27" t="s">
        <v>8</v>
      </c>
      <c r="IP775" s="27" t="s">
        <v>7</v>
      </c>
      <c r="IQ775" s="27" t="s">
        <v>8</v>
      </c>
      <c r="IR775" s="27" t="s">
        <v>7</v>
      </c>
      <c r="IS775" s="27" t="s">
        <v>8</v>
      </c>
      <c r="IT775" s="27" t="s">
        <v>7</v>
      </c>
      <c r="IU775" s="27" t="s">
        <v>8</v>
      </c>
    </row>
    <row r="776" spans="1:257" x14ac:dyDescent="0.25">
      <c r="A776" s="7">
        <v>2.3690135076820197E-2</v>
      </c>
      <c r="B776"/>
      <c r="C776"/>
      <c r="D776"/>
      <c r="E776"/>
      <c r="AT776" s="27" t="s">
        <v>7</v>
      </c>
      <c r="AV776" s="27" t="s">
        <v>7</v>
      </c>
      <c r="AY776" s="27" t="s">
        <v>8</v>
      </c>
      <c r="AZ776" s="27" t="s">
        <v>7</v>
      </c>
      <c r="BA776" s="27" t="s">
        <v>8</v>
      </c>
      <c r="BB776" s="27" t="s">
        <v>7</v>
      </c>
      <c r="BC776" s="27" t="s">
        <v>8</v>
      </c>
      <c r="BD776" s="27" t="s">
        <v>7</v>
      </c>
      <c r="BE776" s="27" t="s">
        <v>8</v>
      </c>
      <c r="BF776" s="27" t="s">
        <v>7</v>
      </c>
      <c r="BK776" s="27" t="s">
        <v>8</v>
      </c>
      <c r="BL776" s="27" t="s">
        <v>7</v>
      </c>
      <c r="BQ776" s="27" t="s">
        <v>8</v>
      </c>
      <c r="BR776" s="27" t="s">
        <v>7</v>
      </c>
      <c r="BU776" s="27" t="s">
        <v>8</v>
      </c>
      <c r="BW776" s="27" t="s">
        <v>8</v>
      </c>
      <c r="CX776" s="27" t="s">
        <v>7</v>
      </c>
      <c r="EE776" s="27" t="s">
        <v>8</v>
      </c>
      <c r="ES776" s="27" t="s">
        <v>8</v>
      </c>
      <c r="ET776" s="27" t="s">
        <v>7</v>
      </c>
      <c r="FC776" s="27" t="s">
        <v>8</v>
      </c>
      <c r="FD776" s="27" t="s">
        <v>7</v>
      </c>
      <c r="FE776" s="27" t="s">
        <v>8</v>
      </c>
      <c r="GN776" s="27" t="s">
        <v>7</v>
      </c>
      <c r="GQ776" s="27" t="s">
        <v>8</v>
      </c>
      <c r="GR776" s="27" t="s">
        <v>7</v>
      </c>
      <c r="GS776" s="27" t="s">
        <v>8</v>
      </c>
      <c r="GT776" s="27" t="s">
        <v>7</v>
      </c>
      <c r="GU776" s="27" t="s">
        <v>8</v>
      </c>
      <c r="GV776" s="27" t="s">
        <v>7</v>
      </c>
      <c r="GY776" s="27" t="s">
        <v>8</v>
      </c>
      <c r="GZ776" s="27" t="s">
        <v>7</v>
      </c>
      <c r="HA776" s="27" t="s">
        <v>8</v>
      </c>
      <c r="HB776" s="27" t="s">
        <v>7</v>
      </c>
      <c r="HC776" s="27" t="s">
        <v>8</v>
      </c>
      <c r="HD776" s="27" t="s">
        <v>7</v>
      </c>
      <c r="HU776" s="27" t="s">
        <v>8</v>
      </c>
      <c r="HV776" s="27" t="s">
        <v>7</v>
      </c>
      <c r="IE776" s="27" t="s">
        <v>8</v>
      </c>
      <c r="IG776" s="27" t="s">
        <v>8</v>
      </c>
      <c r="IL776" s="27" t="s">
        <v>7</v>
      </c>
      <c r="IM776" s="27" t="s">
        <v>8</v>
      </c>
      <c r="IN776" s="27" t="s">
        <v>7</v>
      </c>
      <c r="IO776" s="27" t="s">
        <v>8</v>
      </c>
      <c r="IP776" s="27" t="s">
        <v>7</v>
      </c>
      <c r="IQ776" s="27" t="s">
        <v>8</v>
      </c>
      <c r="IR776" s="27" t="s">
        <v>7</v>
      </c>
      <c r="IT776" s="27" t="s">
        <v>7</v>
      </c>
      <c r="IU776" s="27" t="s">
        <v>8</v>
      </c>
    </row>
    <row r="777" spans="1:257" x14ac:dyDescent="0.25">
      <c r="A777" s="7">
        <v>2.3225622624333527E-2</v>
      </c>
      <c r="B777"/>
      <c r="C777"/>
      <c r="D777"/>
      <c r="E777"/>
      <c r="AV777" s="27" t="s">
        <v>7</v>
      </c>
      <c r="AY777" s="27" t="s">
        <v>8</v>
      </c>
      <c r="AZ777" s="27" t="s">
        <v>7</v>
      </c>
      <c r="BA777" s="27" t="s">
        <v>8</v>
      </c>
      <c r="BB777" s="27" t="s">
        <v>7</v>
      </c>
      <c r="BC777" s="27" t="s">
        <v>8</v>
      </c>
      <c r="BD777" s="27" t="s">
        <v>7</v>
      </c>
      <c r="BE777" s="27" t="s">
        <v>8</v>
      </c>
      <c r="BF777" s="27" t="s">
        <v>7</v>
      </c>
      <c r="BK777" s="27" t="s">
        <v>8</v>
      </c>
      <c r="BL777" s="27" t="s">
        <v>7</v>
      </c>
      <c r="BM777" s="27" t="s">
        <v>8</v>
      </c>
      <c r="BQ777" s="27" t="s">
        <v>8</v>
      </c>
      <c r="BR777" s="27" t="s">
        <v>7</v>
      </c>
      <c r="BU777" s="27" t="s">
        <v>8</v>
      </c>
      <c r="BV777" s="27" t="s">
        <v>7</v>
      </c>
      <c r="BW777" s="27" t="s">
        <v>8</v>
      </c>
      <c r="CX777" s="27" t="s">
        <v>7</v>
      </c>
      <c r="EE777" s="27" t="s">
        <v>8</v>
      </c>
      <c r="EF777" s="27" t="s">
        <v>7</v>
      </c>
      <c r="ES777" s="27" t="s">
        <v>8</v>
      </c>
      <c r="ET777" s="27" t="s">
        <v>7</v>
      </c>
      <c r="EU777" s="27" t="s">
        <v>8</v>
      </c>
      <c r="FC777" s="27" t="s">
        <v>8</v>
      </c>
      <c r="FD777" s="27" t="s">
        <v>7</v>
      </c>
      <c r="FE777" s="27" t="s">
        <v>8</v>
      </c>
      <c r="GN777" s="27" t="s">
        <v>7</v>
      </c>
      <c r="GQ777" s="27" t="s">
        <v>8</v>
      </c>
      <c r="GR777" s="27" t="s">
        <v>7</v>
      </c>
      <c r="GS777" s="27" t="s">
        <v>8</v>
      </c>
      <c r="GT777" s="27" t="s">
        <v>7</v>
      </c>
      <c r="GV777" s="27" t="s">
        <v>7</v>
      </c>
      <c r="GY777" s="27" t="s">
        <v>8</v>
      </c>
      <c r="GZ777" s="27" t="s">
        <v>7</v>
      </c>
      <c r="HA777" s="27" t="s">
        <v>8</v>
      </c>
      <c r="HB777" s="27" t="s">
        <v>7</v>
      </c>
      <c r="HC777" s="27" t="s">
        <v>8</v>
      </c>
      <c r="HD777" s="27" t="s">
        <v>7</v>
      </c>
      <c r="HM777" s="27" t="s">
        <v>8</v>
      </c>
      <c r="HS777" s="27" t="s">
        <v>8</v>
      </c>
      <c r="HU777" s="27" t="s">
        <v>8</v>
      </c>
      <c r="HV777" s="27" t="s">
        <v>7</v>
      </c>
      <c r="IC777" s="27" t="s">
        <v>8</v>
      </c>
      <c r="IE777" s="27" t="s">
        <v>8</v>
      </c>
      <c r="IF777" s="27" t="s">
        <v>7</v>
      </c>
      <c r="IG777" s="27" t="s">
        <v>8</v>
      </c>
      <c r="IL777" s="27" t="s">
        <v>7</v>
      </c>
      <c r="IM777" s="27" t="s">
        <v>8</v>
      </c>
      <c r="IN777" s="27" t="s">
        <v>7</v>
      </c>
      <c r="IP777" s="27" t="s">
        <v>7</v>
      </c>
      <c r="IT777" s="27" t="s">
        <v>7</v>
      </c>
    </row>
    <row r="778" spans="1:257" x14ac:dyDescent="0.25">
      <c r="A778" s="7">
        <v>2.2770218259150519E-2</v>
      </c>
      <c r="B778"/>
      <c r="C778"/>
      <c r="D778"/>
      <c r="E778"/>
      <c r="AV778" s="27" t="s">
        <v>7</v>
      </c>
      <c r="AY778" s="27" t="s">
        <v>8</v>
      </c>
      <c r="AZ778" s="27" t="s">
        <v>7</v>
      </c>
      <c r="BA778" s="27" t="s">
        <v>8</v>
      </c>
      <c r="BB778" s="27" t="s">
        <v>7</v>
      </c>
      <c r="BC778" s="27" t="s">
        <v>8</v>
      </c>
      <c r="BD778" s="27" t="s">
        <v>7</v>
      </c>
      <c r="BE778" s="27" t="s">
        <v>8</v>
      </c>
      <c r="BF778" s="27" t="s">
        <v>7</v>
      </c>
      <c r="BK778" s="27" t="s">
        <v>8</v>
      </c>
      <c r="BL778" s="27" t="s">
        <v>7</v>
      </c>
      <c r="BM778" s="27" t="s">
        <v>8</v>
      </c>
      <c r="BN778" s="27" t="s">
        <v>7</v>
      </c>
      <c r="BQ778" s="27" t="s">
        <v>8</v>
      </c>
      <c r="BR778" s="27" t="s">
        <v>7</v>
      </c>
      <c r="BS778" s="27" t="s">
        <v>8</v>
      </c>
      <c r="BU778" s="27" t="s">
        <v>8</v>
      </c>
      <c r="BV778" s="27" t="s">
        <v>7</v>
      </c>
      <c r="BW778" s="27" t="s">
        <v>8</v>
      </c>
      <c r="CX778" s="27" t="s">
        <v>7</v>
      </c>
      <c r="EE778" s="27" t="s">
        <v>8</v>
      </c>
      <c r="EF778" s="27" t="s">
        <v>7</v>
      </c>
      <c r="ES778" s="27" t="s">
        <v>8</v>
      </c>
      <c r="ET778" s="27" t="s">
        <v>7</v>
      </c>
      <c r="EU778" s="27" t="s">
        <v>8</v>
      </c>
      <c r="EV778" s="27" t="s">
        <v>7</v>
      </c>
      <c r="FC778" s="27" t="s">
        <v>8</v>
      </c>
      <c r="FD778" s="27" t="s">
        <v>7</v>
      </c>
      <c r="FE778" s="27" t="s">
        <v>8</v>
      </c>
      <c r="GN778" s="27" t="s">
        <v>7</v>
      </c>
      <c r="GO778" s="27" t="s">
        <v>8</v>
      </c>
      <c r="GQ778" s="27" t="s">
        <v>8</v>
      </c>
      <c r="GR778" s="27" t="s">
        <v>7</v>
      </c>
      <c r="GS778" s="27" t="s">
        <v>8</v>
      </c>
      <c r="GV778" s="27" t="s">
        <v>7</v>
      </c>
      <c r="GW778" s="27" t="s">
        <v>8</v>
      </c>
      <c r="GY778" s="27" t="s">
        <v>8</v>
      </c>
      <c r="GZ778" s="27" t="s">
        <v>7</v>
      </c>
      <c r="HA778" s="27" t="s">
        <v>8</v>
      </c>
      <c r="HB778" s="27" t="s">
        <v>7</v>
      </c>
      <c r="HC778" s="27" t="s">
        <v>8</v>
      </c>
      <c r="HD778" s="27" t="s">
        <v>7</v>
      </c>
      <c r="HM778" s="27" t="s">
        <v>8</v>
      </c>
      <c r="HN778" s="27" t="s">
        <v>7</v>
      </c>
      <c r="HS778" s="27" t="s">
        <v>8</v>
      </c>
      <c r="HT778" s="27" t="s">
        <v>7</v>
      </c>
      <c r="HU778" s="27" t="s">
        <v>8</v>
      </c>
      <c r="HV778" s="27" t="s">
        <v>7</v>
      </c>
      <c r="HY778" s="27" t="s">
        <v>8</v>
      </c>
      <c r="IC778" s="27" t="s">
        <v>8</v>
      </c>
      <c r="ID778" s="27" t="s">
        <v>7</v>
      </c>
      <c r="IE778" s="27" t="s">
        <v>8</v>
      </c>
      <c r="IF778" s="27" t="s">
        <v>7</v>
      </c>
      <c r="IG778" s="27" t="s">
        <v>8</v>
      </c>
      <c r="IL778" s="27" t="s">
        <v>7</v>
      </c>
      <c r="IM778" s="27" t="s">
        <v>8</v>
      </c>
    </row>
    <row r="779" spans="1:257" x14ac:dyDescent="0.25">
      <c r="A779" s="7">
        <v>2.2323743391324039E-2</v>
      </c>
      <c r="B779"/>
      <c r="C779"/>
      <c r="D779"/>
      <c r="E779"/>
      <c r="AV779" s="27" t="s">
        <v>7</v>
      </c>
      <c r="AY779" s="27" t="s">
        <v>8</v>
      </c>
      <c r="AZ779" s="27" t="s">
        <v>7</v>
      </c>
      <c r="BB779" s="27" t="s">
        <v>7</v>
      </c>
      <c r="BC779" s="27" t="s">
        <v>8</v>
      </c>
      <c r="BD779" s="27" t="s">
        <v>7</v>
      </c>
      <c r="BF779" s="27" t="s">
        <v>7</v>
      </c>
      <c r="BK779" s="27" t="s">
        <v>8</v>
      </c>
      <c r="BL779" s="27" t="s">
        <v>7</v>
      </c>
      <c r="BM779" s="27" t="s">
        <v>8</v>
      </c>
      <c r="BN779" s="27" t="s">
        <v>7</v>
      </c>
      <c r="BQ779" s="27" t="s">
        <v>8</v>
      </c>
      <c r="BR779" s="27" t="s">
        <v>7</v>
      </c>
      <c r="BS779" s="27" t="s">
        <v>8</v>
      </c>
      <c r="BT779" s="27" t="s">
        <v>7</v>
      </c>
      <c r="BU779" s="27" t="s">
        <v>8</v>
      </c>
      <c r="BV779" s="27" t="s">
        <v>7</v>
      </c>
      <c r="BW779" s="27" t="s">
        <v>8</v>
      </c>
      <c r="CX779" s="27" t="s">
        <v>7</v>
      </c>
      <c r="EE779" s="27" t="s">
        <v>8</v>
      </c>
      <c r="EF779" s="27" t="s">
        <v>7</v>
      </c>
      <c r="EO779" s="27" t="s">
        <v>8</v>
      </c>
      <c r="ES779" s="27" t="s">
        <v>8</v>
      </c>
      <c r="ET779" s="27" t="s">
        <v>7</v>
      </c>
      <c r="EU779" s="27" t="s">
        <v>8</v>
      </c>
      <c r="EV779" s="27" t="s">
        <v>7</v>
      </c>
      <c r="FC779" s="27" t="s">
        <v>8</v>
      </c>
      <c r="FD779" s="27" t="s">
        <v>7</v>
      </c>
      <c r="FE779" s="27" t="s">
        <v>8</v>
      </c>
      <c r="GN779" s="27" t="s">
        <v>7</v>
      </c>
      <c r="GO779" s="27" t="s">
        <v>8</v>
      </c>
      <c r="GP779" s="27" t="s">
        <v>7</v>
      </c>
      <c r="GQ779" s="27" t="s">
        <v>8</v>
      </c>
      <c r="GR779" s="27" t="s">
        <v>7</v>
      </c>
      <c r="GV779" s="27" t="s">
        <v>7</v>
      </c>
      <c r="GW779" s="27" t="s">
        <v>8</v>
      </c>
      <c r="GX779" s="27" t="s">
        <v>7</v>
      </c>
      <c r="GY779" s="27" t="s">
        <v>8</v>
      </c>
      <c r="GZ779" s="27" t="s">
        <v>7</v>
      </c>
      <c r="HA779" s="27" t="s">
        <v>8</v>
      </c>
      <c r="HB779" s="27" t="s">
        <v>7</v>
      </c>
      <c r="HC779" s="27" t="s">
        <v>8</v>
      </c>
      <c r="HD779" s="27" t="s">
        <v>7</v>
      </c>
      <c r="HE779" s="27" t="s">
        <v>8</v>
      </c>
      <c r="HG779" s="27" t="s">
        <v>8</v>
      </c>
      <c r="HM779" s="27" t="s">
        <v>8</v>
      </c>
      <c r="HN779" s="27" t="s">
        <v>7</v>
      </c>
      <c r="HS779" s="27" t="s">
        <v>8</v>
      </c>
      <c r="HT779" s="27" t="s">
        <v>7</v>
      </c>
      <c r="HU779" s="27" t="s">
        <v>8</v>
      </c>
      <c r="HV779" s="27" t="s">
        <v>7</v>
      </c>
      <c r="HY779" s="27" t="s">
        <v>8</v>
      </c>
      <c r="HZ779" s="27" t="s">
        <v>7</v>
      </c>
      <c r="IC779" s="27" t="s">
        <v>8</v>
      </c>
      <c r="ID779" s="27" t="s">
        <v>7</v>
      </c>
      <c r="IE779" s="27" t="s">
        <v>8</v>
      </c>
      <c r="IF779" s="27" t="s">
        <v>7</v>
      </c>
      <c r="IG779" s="27" t="s">
        <v>8</v>
      </c>
      <c r="IL779" s="27" t="s">
        <v>7</v>
      </c>
      <c r="IM779" s="27" t="s">
        <v>8</v>
      </c>
    </row>
    <row r="780" spans="1:257" x14ac:dyDescent="0.25">
      <c r="A780" s="7">
        <v>2.188602293267063E-2</v>
      </c>
      <c r="B780"/>
      <c r="C780"/>
      <c r="D780"/>
      <c r="E780"/>
      <c r="AV780" s="27" t="s">
        <v>7</v>
      </c>
      <c r="AY780" s="27" t="s">
        <v>8</v>
      </c>
      <c r="BB780" s="27" t="s">
        <v>7</v>
      </c>
      <c r="BF780" s="27" t="s">
        <v>7</v>
      </c>
      <c r="BI780" s="27" t="s">
        <v>8</v>
      </c>
      <c r="BK780" s="27" t="s">
        <v>8</v>
      </c>
      <c r="BL780" s="27" t="s">
        <v>7</v>
      </c>
      <c r="BM780" s="27" t="s">
        <v>8</v>
      </c>
      <c r="BN780" s="27" t="s">
        <v>7</v>
      </c>
      <c r="BQ780" s="27" t="s">
        <v>8</v>
      </c>
      <c r="BR780" s="27" t="s">
        <v>7</v>
      </c>
      <c r="BS780" s="27" t="s">
        <v>8</v>
      </c>
      <c r="BT780" s="27" t="s">
        <v>7</v>
      </c>
      <c r="BU780" s="27" t="s">
        <v>8</v>
      </c>
      <c r="BV780" s="27" t="s">
        <v>7</v>
      </c>
      <c r="BW780" s="27" t="s">
        <v>8</v>
      </c>
      <c r="CX780" s="27" t="s">
        <v>7</v>
      </c>
      <c r="EE780" s="27" t="s">
        <v>8</v>
      </c>
      <c r="EF780" s="27" t="s">
        <v>7</v>
      </c>
      <c r="EO780" s="27" t="s">
        <v>8</v>
      </c>
      <c r="EP780" s="27" t="s">
        <v>7</v>
      </c>
      <c r="EQ780" s="27" t="s">
        <v>8</v>
      </c>
      <c r="ES780" s="27" t="s">
        <v>8</v>
      </c>
      <c r="ET780" s="27" t="s">
        <v>7</v>
      </c>
      <c r="EV780" s="27" t="s">
        <v>7</v>
      </c>
      <c r="FA780" s="27" t="s">
        <v>8</v>
      </c>
      <c r="FC780" s="27" t="s">
        <v>8</v>
      </c>
      <c r="FD780" s="27" t="s">
        <v>7</v>
      </c>
      <c r="GN780" s="27" t="s">
        <v>7</v>
      </c>
      <c r="GO780" s="27" t="s">
        <v>8</v>
      </c>
      <c r="GP780" s="27" t="s">
        <v>7</v>
      </c>
      <c r="GQ780" s="27" t="s">
        <v>8</v>
      </c>
      <c r="GV780" s="27" t="s">
        <v>7</v>
      </c>
      <c r="GW780" s="27" t="s">
        <v>8</v>
      </c>
      <c r="GX780" s="27" t="s">
        <v>7</v>
      </c>
      <c r="GY780" s="27" t="s">
        <v>8</v>
      </c>
      <c r="GZ780" s="27" t="s">
        <v>7</v>
      </c>
      <c r="HA780" s="27" t="s">
        <v>8</v>
      </c>
      <c r="HB780" s="27" t="s">
        <v>7</v>
      </c>
      <c r="HC780" s="27" t="s">
        <v>8</v>
      </c>
      <c r="HD780" s="27" t="s">
        <v>7</v>
      </c>
      <c r="HE780" s="27" t="s">
        <v>8</v>
      </c>
      <c r="HF780" s="27" t="s">
        <v>7</v>
      </c>
      <c r="HG780" s="27" t="s">
        <v>8</v>
      </c>
      <c r="HH780" s="27" t="s">
        <v>7</v>
      </c>
      <c r="HM780" s="27" t="s">
        <v>8</v>
      </c>
      <c r="HN780" s="27" t="s">
        <v>7</v>
      </c>
      <c r="HS780" s="27" t="s">
        <v>8</v>
      </c>
      <c r="HT780" s="27" t="s">
        <v>7</v>
      </c>
      <c r="HU780" s="27" t="s">
        <v>8</v>
      </c>
      <c r="HV780" s="27" t="s">
        <v>7</v>
      </c>
      <c r="HY780" s="27" t="s">
        <v>8</v>
      </c>
      <c r="HZ780" s="27" t="s">
        <v>7</v>
      </c>
      <c r="IC780" s="27" t="s">
        <v>8</v>
      </c>
      <c r="ID780" s="27" t="s">
        <v>7</v>
      </c>
      <c r="IE780" s="27" t="s">
        <v>8</v>
      </c>
      <c r="IF780" s="27" t="s">
        <v>7</v>
      </c>
      <c r="IG780" s="27" t="s">
        <v>8</v>
      </c>
      <c r="IL780" s="27" t="s">
        <v>7</v>
      </c>
      <c r="IM780" s="27" t="s">
        <v>8</v>
      </c>
    </row>
    <row r="781" spans="1:257" x14ac:dyDescent="0.25">
      <c r="A781" s="7">
        <v>2.1456885228108461E-2</v>
      </c>
      <c r="B781"/>
      <c r="C781"/>
      <c r="D781"/>
      <c r="E781"/>
      <c r="AV781" s="27" t="s">
        <v>7</v>
      </c>
      <c r="AY781" s="27" t="s">
        <v>8</v>
      </c>
      <c r="BF781" s="27" t="s">
        <v>7</v>
      </c>
      <c r="BG781" s="27" t="s">
        <v>8</v>
      </c>
      <c r="BI781" s="27" t="s">
        <v>8</v>
      </c>
      <c r="BJ781" s="27" t="s">
        <v>7</v>
      </c>
      <c r="BK781" s="27" t="s">
        <v>8</v>
      </c>
      <c r="BL781" s="27" t="s">
        <v>7</v>
      </c>
      <c r="BM781" s="27" t="s">
        <v>8</v>
      </c>
      <c r="BN781" s="27" t="s">
        <v>7</v>
      </c>
      <c r="BO781" s="27" t="s">
        <v>8</v>
      </c>
      <c r="BQ781" s="27" t="s">
        <v>8</v>
      </c>
      <c r="BR781" s="27" t="s">
        <v>7</v>
      </c>
      <c r="BT781" s="27" t="s">
        <v>7</v>
      </c>
      <c r="BV781" s="27" t="s">
        <v>7</v>
      </c>
      <c r="BW781" s="27" t="s">
        <v>8</v>
      </c>
      <c r="CX781" s="27" t="s">
        <v>7</v>
      </c>
      <c r="EE781" s="27" t="s">
        <v>8</v>
      </c>
      <c r="EF781" s="27" t="s">
        <v>7</v>
      </c>
      <c r="EO781" s="27" t="s">
        <v>8</v>
      </c>
      <c r="EP781" s="27" t="s">
        <v>7</v>
      </c>
      <c r="EQ781" s="27" t="s">
        <v>8</v>
      </c>
      <c r="ER781" s="27" t="s">
        <v>7</v>
      </c>
      <c r="ES781" s="27" t="s">
        <v>8</v>
      </c>
      <c r="EV781" s="27" t="s">
        <v>7</v>
      </c>
      <c r="FA781" s="27" t="s">
        <v>8</v>
      </c>
      <c r="FB781" s="27" t="s">
        <v>7</v>
      </c>
      <c r="FC781" s="27" t="s">
        <v>8</v>
      </c>
      <c r="GN781" s="27" t="s">
        <v>7</v>
      </c>
      <c r="GO781" s="27" t="s">
        <v>8</v>
      </c>
      <c r="GP781" s="27" t="s">
        <v>7</v>
      </c>
      <c r="GQ781" s="27" t="s">
        <v>8</v>
      </c>
      <c r="GV781" s="27" t="s">
        <v>7</v>
      </c>
      <c r="GW781" s="27" t="s">
        <v>8</v>
      </c>
      <c r="GX781" s="27" t="s">
        <v>7</v>
      </c>
      <c r="GZ781" s="27" t="s">
        <v>7</v>
      </c>
      <c r="HA781" s="27" t="s">
        <v>8</v>
      </c>
      <c r="HB781" s="27" t="s">
        <v>7</v>
      </c>
      <c r="HC781" s="27" t="s">
        <v>8</v>
      </c>
      <c r="HD781" s="27" t="s">
        <v>7</v>
      </c>
      <c r="HE781" s="27" t="s">
        <v>8</v>
      </c>
      <c r="HF781" s="27" t="s">
        <v>7</v>
      </c>
      <c r="HG781" s="27" t="s">
        <v>8</v>
      </c>
      <c r="HH781" s="27" t="s">
        <v>7</v>
      </c>
      <c r="HM781" s="27" t="s">
        <v>8</v>
      </c>
      <c r="HN781" s="27" t="s">
        <v>7</v>
      </c>
      <c r="HO781" s="27" t="s">
        <v>8</v>
      </c>
      <c r="HS781" s="27" t="s">
        <v>8</v>
      </c>
      <c r="HT781" s="27" t="s">
        <v>7</v>
      </c>
      <c r="HU781" s="27" t="s">
        <v>8</v>
      </c>
      <c r="HV781" s="27" t="s">
        <v>7</v>
      </c>
      <c r="HY781" s="27" t="s">
        <v>8</v>
      </c>
      <c r="HZ781" s="27" t="s">
        <v>7</v>
      </c>
      <c r="IA781" s="27" t="s">
        <v>8</v>
      </c>
      <c r="IC781" s="27" t="s">
        <v>8</v>
      </c>
      <c r="ID781" s="27" t="s">
        <v>7</v>
      </c>
      <c r="IE781" s="27" t="s">
        <v>8</v>
      </c>
      <c r="IF781" s="27" t="s">
        <v>7</v>
      </c>
      <c r="IL781" s="27" t="s">
        <v>7</v>
      </c>
      <c r="IM781" s="27" t="s">
        <v>8</v>
      </c>
    </row>
    <row r="782" spans="1:257" x14ac:dyDescent="0.25">
      <c r="A782" s="7">
        <v>2.1036161988341632E-2</v>
      </c>
      <c r="B782"/>
      <c r="C782"/>
      <c r="D782"/>
      <c r="E782"/>
      <c r="AV782" s="27" t="s">
        <v>7</v>
      </c>
      <c r="AY782" s="27" t="s">
        <v>8</v>
      </c>
      <c r="BF782" s="27" t="s">
        <v>7</v>
      </c>
      <c r="BG782" s="27" t="s">
        <v>8</v>
      </c>
      <c r="BH782" s="27" t="s">
        <v>7</v>
      </c>
      <c r="BI782" s="27" t="s">
        <v>8</v>
      </c>
      <c r="BJ782" s="27" t="s">
        <v>7</v>
      </c>
      <c r="BK782" s="27" t="s">
        <v>8</v>
      </c>
      <c r="BL782" s="27" t="s">
        <v>7</v>
      </c>
      <c r="BM782" s="27" t="s">
        <v>8</v>
      </c>
      <c r="BN782" s="27" t="s">
        <v>7</v>
      </c>
      <c r="BO782" s="27" t="s">
        <v>8</v>
      </c>
      <c r="BP782" s="27" t="s">
        <v>7</v>
      </c>
      <c r="BQ782" s="27" t="s">
        <v>8</v>
      </c>
      <c r="BV782" s="27" t="s">
        <v>7</v>
      </c>
      <c r="BW782" s="27" t="s">
        <v>8</v>
      </c>
      <c r="CX782" s="27" t="s">
        <v>7</v>
      </c>
      <c r="EE782" s="27" t="s">
        <v>8</v>
      </c>
      <c r="EF782" s="27" t="s">
        <v>7</v>
      </c>
      <c r="EK782" s="27" t="s">
        <v>8</v>
      </c>
      <c r="EM782" s="27" t="s">
        <v>8</v>
      </c>
      <c r="EO782" s="27" t="s">
        <v>8</v>
      </c>
      <c r="EP782" s="27" t="s">
        <v>7</v>
      </c>
      <c r="EQ782" s="27" t="s">
        <v>8</v>
      </c>
      <c r="ER782" s="27" t="s">
        <v>7</v>
      </c>
      <c r="ES782" s="27" t="s">
        <v>8</v>
      </c>
      <c r="EV782" s="27" t="s">
        <v>7</v>
      </c>
      <c r="FA782" s="27" t="s">
        <v>8</v>
      </c>
      <c r="FB782" s="27" t="s">
        <v>7</v>
      </c>
      <c r="FC782" s="27" t="s">
        <v>8</v>
      </c>
      <c r="GN782" s="27" t="s">
        <v>7</v>
      </c>
      <c r="GO782" s="27" t="s">
        <v>8</v>
      </c>
      <c r="GP782" s="27" t="s">
        <v>7</v>
      </c>
      <c r="GQ782" s="27" t="s">
        <v>8</v>
      </c>
      <c r="GV782" s="27" t="s">
        <v>7</v>
      </c>
      <c r="GZ782" s="27" t="s">
        <v>7</v>
      </c>
      <c r="HA782" s="27" t="s">
        <v>8</v>
      </c>
      <c r="HB782" s="27" t="s">
        <v>7</v>
      </c>
      <c r="HD782" s="27" t="s">
        <v>7</v>
      </c>
      <c r="HE782" s="27" t="s">
        <v>8</v>
      </c>
      <c r="HF782" s="27" t="s">
        <v>7</v>
      </c>
      <c r="HH782" s="27" t="s">
        <v>7</v>
      </c>
      <c r="HM782" s="27" t="s">
        <v>8</v>
      </c>
      <c r="HN782" s="27" t="s">
        <v>7</v>
      </c>
      <c r="HO782" s="27" t="s">
        <v>8</v>
      </c>
      <c r="HP782" s="27" t="s">
        <v>7</v>
      </c>
      <c r="HS782" s="27" t="s">
        <v>8</v>
      </c>
      <c r="HT782" s="27" t="s">
        <v>7</v>
      </c>
      <c r="HU782" s="27" t="s">
        <v>8</v>
      </c>
      <c r="HV782" s="27" t="s">
        <v>7</v>
      </c>
      <c r="HW782" s="27" t="s">
        <v>8</v>
      </c>
      <c r="HY782" s="27" t="s">
        <v>8</v>
      </c>
      <c r="HZ782" s="27" t="s">
        <v>7</v>
      </c>
      <c r="IA782" s="27" t="s">
        <v>8</v>
      </c>
      <c r="IB782" s="27" t="s">
        <v>7</v>
      </c>
      <c r="IC782" s="27" t="s">
        <v>8</v>
      </c>
      <c r="ID782" s="27" t="s">
        <v>7</v>
      </c>
      <c r="IE782" s="27" t="s">
        <v>8</v>
      </c>
      <c r="IL782" s="27" t="s">
        <v>7</v>
      </c>
    </row>
    <row r="783" spans="1:257" x14ac:dyDescent="0.25">
      <c r="A783" s="7">
        <v>2.0623688223864345E-2</v>
      </c>
      <c r="B783"/>
      <c r="C783"/>
      <c r="D783"/>
      <c r="E783"/>
      <c r="AV783" s="27" t="s">
        <v>7</v>
      </c>
      <c r="AW783" s="27" t="s">
        <v>8</v>
      </c>
      <c r="AY783" s="27" t="s">
        <v>8</v>
      </c>
      <c r="BF783" s="27" t="s">
        <v>7</v>
      </c>
      <c r="BG783" s="27" t="s">
        <v>8</v>
      </c>
      <c r="BH783" s="27" t="s">
        <v>7</v>
      </c>
      <c r="BI783" s="27" t="s">
        <v>8</v>
      </c>
      <c r="BJ783" s="27" t="s">
        <v>7</v>
      </c>
      <c r="BK783" s="27" t="s">
        <v>8</v>
      </c>
      <c r="BL783" s="27" t="s">
        <v>7</v>
      </c>
      <c r="BN783" s="27" t="s">
        <v>7</v>
      </c>
      <c r="BO783" s="27" t="s">
        <v>8</v>
      </c>
      <c r="BP783" s="27" t="s">
        <v>7</v>
      </c>
      <c r="BQ783" s="27" t="s">
        <v>8</v>
      </c>
      <c r="BV783" s="27" t="s">
        <v>7</v>
      </c>
      <c r="BW783" s="27" t="s">
        <v>8</v>
      </c>
      <c r="CX783" s="27" t="s">
        <v>7</v>
      </c>
      <c r="EE783" s="27" t="s">
        <v>8</v>
      </c>
      <c r="EF783" s="27" t="s">
        <v>7</v>
      </c>
      <c r="EI783" s="27" t="s">
        <v>8</v>
      </c>
      <c r="EK783" s="27" t="s">
        <v>8</v>
      </c>
      <c r="EL783" s="27" t="s">
        <v>7</v>
      </c>
      <c r="EM783" s="27" t="s">
        <v>8</v>
      </c>
      <c r="EN783" s="27" t="s">
        <v>7</v>
      </c>
      <c r="EO783" s="27" t="s">
        <v>8</v>
      </c>
      <c r="EP783" s="27" t="s">
        <v>7</v>
      </c>
      <c r="EQ783" s="27" t="s">
        <v>8</v>
      </c>
      <c r="ER783" s="27" t="s">
        <v>7</v>
      </c>
      <c r="ES783" s="27" t="s">
        <v>8</v>
      </c>
      <c r="EV783" s="27" t="s">
        <v>7</v>
      </c>
      <c r="FA783" s="27" t="s">
        <v>8</v>
      </c>
      <c r="FB783" s="27" t="s">
        <v>7</v>
      </c>
      <c r="FC783" s="27" t="s">
        <v>8</v>
      </c>
      <c r="GN783" s="27" t="s">
        <v>7</v>
      </c>
      <c r="GO783" s="27" t="s">
        <v>8</v>
      </c>
      <c r="GP783" s="27" t="s">
        <v>7</v>
      </c>
      <c r="GQ783" s="27" t="s">
        <v>8</v>
      </c>
      <c r="GZ783" s="27" t="s">
        <v>7</v>
      </c>
      <c r="HA783" s="27" t="s">
        <v>8</v>
      </c>
      <c r="HD783" s="27" t="s">
        <v>7</v>
      </c>
      <c r="HE783" s="27" t="s">
        <v>8</v>
      </c>
      <c r="HH783" s="27" t="s">
        <v>7</v>
      </c>
      <c r="HM783" s="27" t="s">
        <v>8</v>
      </c>
      <c r="HN783" s="27" t="s">
        <v>7</v>
      </c>
      <c r="HO783" s="27" t="s">
        <v>8</v>
      </c>
      <c r="HP783" s="27" t="s">
        <v>7</v>
      </c>
      <c r="HQ783" s="27" t="s">
        <v>8</v>
      </c>
      <c r="HS783" s="27" t="s">
        <v>8</v>
      </c>
      <c r="HT783" s="27" t="s">
        <v>7</v>
      </c>
      <c r="HU783" s="27" t="s">
        <v>8</v>
      </c>
      <c r="HV783" s="27" t="s">
        <v>7</v>
      </c>
      <c r="HW783" s="27" t="s">
        <v>8</v>
      </c>
      <c r="HX783" s="27" t="s">
        <v>7</v>
      </c>
      <c r="HY783" s="27" t="s">
        <v>8</v>
      </c>
      <c r="HZ783" s="27" t="s">
        <v>7</v>
      </c>
      <c r="IA783" s="27" t="s">
        <v>8</v>
      </c>
      <c r="IB783" s="27" t="s">
        <v>7</v>
      </c>
      <c r="IC783" s="27" t="s">
        <v>8</v>
      </c>
      <c r="ID783" s="27" t="s">
        <v>7</v>
      </c>
      <c r="IE783" s="27" t="s">
        <v>8</v>
      </c>
    </row>
    <row r="784" spans="1:257" x14ac:dyDescent="0.25">
      <c r="A784" s="7">
        <v>2.021930218025916E-2</v>
      </c>
      <c r="B784"/>
      <c r="C784"/>
      <c r="D784"/>
      <c r="E784"/>
      <c r="AV784" s="27" t="s">
        <v>7</v>
      </c>
      <c r="AW784" s="27" t="s">
        <v>8</v>
      </c>
      <c r="AX784" s="27" t="s">
        <v>7</v>
      </c>
      <c r="AY784" s="27" t="s">
        <v>8</v>
      </c>
      <c r="BF784" s="27" t="s">
        <v>7</v>
      </c>
      <c r="BH784" s="27" t="s">
        <v>7</v>
      </c>
      <c r="BI784" s="27" t="s">
        <v>8</v>
      </c>
      <c r="BJ784" s="27" t="s">
        <v>7</v>
      </c>
      <c r="BN784" s="27" t="s">
        <v>7</v>
      </c>
      <c r="BP784" s="27" t="s">
        <v>7</v>
      </c>
      <c r="BV784" s="27" t="s">
        <v>7</v>
      </c>
      <c r="CX784" s="27" t="s">
        <v>7</v>
      </c>
      <c r="EE784" s="27" t="s">
        <v>8</v>
      </c>
      <c r="EF784" s="27" t="s">
        <v>7</v>
      </c>
      <c r="EG784" s="27" t="s">
        <v>8</v>
      </c>
      <c r="EI784" s="27" t="s">
        <v>8</v>
      </c>
      <c r="EJ784" s="27" t="s">
        <v>7</v>
      </c>
      <c r="EK784" s="27" t="s">
        <v>8</v>
      </c>
      <c r="EL784" s="27" t="s">
        <v>7</v>
      </c>
      <c r="EM784" s="27" t="s">
        <v>8</v>
      </c>
      <c r="EN784" s="27" t="s">
        <v>7</v>
      </c>
      <c r="EO784" s="27" t="s">
        <v>8</v>
      </c>
      <c r="EP784" s="27" t="s">
        <v>7</v>
      </c>
      <c r="EQ784" s="27" t="s">
        <v>8</v>
      </c>
      <c r="ER784" s="27" t="s">
        <v>7</v>
      </c>
      <c r="EV784" s="27" t="s">
        <v>7</v>
      </c>
      <c r="FA784" s="27" t="s">
        <v>8</v>
      </c>
      <c r="FB784" s="27" t="s">
        <v>7</v>
      </c>
      <c r="GN784" s="27" t="s">
        <v>7</v>
      </c>
      <c r="GO784" s="27" t="s">
        <v>8</v>
      </c>
      <c r="GP784" s="27" t="s">
        <v>7</v>
      </c>
      <c r="GQ784" s="27" t="s">
        <v>8</v>
      </c>
      <c r="GZ784" s="27" t="s">
        <v>7</v>
      </c>
      <c r="HA784" s="27" t="s">
        <v>8</v>
      </c>
      <c r="HD784" s="27" t="s">
        <v>7</v>
      </c>
      <c r="HE784" s="27" t="s">
        <v>8</v>
      </c>
      <c r="HH784" s="27" t="s">
        <v>7</v>
      </c>
      <c r="HK784" s="27" t="s">
        <v>8</v>
      </c>
      <c r="HM784" s="27" t="s">
        <v>8</v>
      </c>
      <c r="HN784" s="27" t="s">
        <v>7</v>
      </c>
      <c r="HO784" s="27" t="s">
        <v>8</v>
      </c>
      <c r="HP784" s="27" t="s">
        <v>7</v>
      </c>
      <c r="HQ784" s="27" t="s">
        <v>8</v>
      </c>
      <c r="HR784" s="27" t="s">
        <v>7</v>
      </c>
      <c r="HS784" s="27" t="s">
        <v>8</v>
      </c>
      <c r="HT784" s="27" t="s">
        <v>7</v>
      </c>
      <c r="HV784" s="27" t="s">
        <v>7</v>
      </c>
      <c r="HW784" s="27" t="s">
        <v>8</v>
      </c>
      <c r="HX784" s="27" t="s">
        <v>7</v>
      </c>
      <c r="HY784" s="27" t="s">
        <v>8</v>
      </c>
      <c r="HZ784" s="27" t="s">
        <v>7</v>
      </c>
      <c r="IA784" s="27" t="s">
        <v>8</v>
      </c>
      <c r="IB784" s="27" t="s">
        <v>7</v>
      </c>
      <c r="IC784" s="27" t="s">
        <v>8</v>
      </c>
      <c r="ID784" s="27" t="s">
        <v>7</v>
      </c>
      <c r="IE784" s="27" t="s">
        <v>8</v>
      </c>
    </row>
    <row r="785" spans="1:239" x14ac:dyDescent="0.25">
      <c r="A785" s="7">
        <v>1.9822845274763884E-2</v>
      </c>
      <c r="B785"/>
      <c r="C785"/>
      <c r="D785"/>
      <c r="E785"/>
      <c r="AV785" s="27" t="s">
        <v>7</v>
      </c>
      <c r="AW785" s="27" t="s">
        <v>8</v>
      </c>
      <c r="AX785" s="27" t="s">
        <v>7</v>
      </c>
      <c r="AY785" s="27" t="s">
        <v>8</v>
      </c>
      <c r="BH785" s="27" t="s">
        <v>7</v>
      </c>
      <c r="BI785" s="27" t="s">
        <v>8</v>
      </c>
      <c r="CX785" s="27" t="s">
        <v>7</v>
      </c>
      <c r="EE785" s="27" t="s">
        <v>8</v>
      </c>
      <c r="EF785" s="27" t="s">
        <v>7</v>
      </c>
      <c r="EG785" s="27" t="s">
        <v>8</v>
      </c>
      <c r="EH785" s="27" t="s">
        <v>7</v>
      </c>
      <c r="EI785" s="27" t="s">
        <v>8</v>
      </c>
      <c r="EJ785" s="27" t="s">
        <v>7</v>
      </c>
      <c r="EK785" s="27" t="s">
        <v>8</v>
      </c>
      <c r="EL785" s="27" t="s">
        <v>7</v>
      </c>
      <c r="EM785" s="27" t="s">
        <v>8</v>
      </c>
      <c r="EN785" s="27" t="s">
        <v>7</v>
      </c>
      <c r="EO785" s="27" t="s">
        <v>8</v>
      </c>
      <c r="EP785" s="27" t="s">
        <v>7</v>
      </c>
      <c r="EQ785" s="27" t="s">
        <v>8</v>
      </c>
      <c r="EV785" s="27" t="s">
        <v>7</v>
      </c>
      <c r="FA785" s="27" t="s">
        <v>8</v>
      </c>
      <c r="GN785" s="27" t="s">
        <v>7</v>
      </c>
      <c r="GO785" s="27" t="s">
        <v>8</v>
      </c>
      <c r="GP785" s="27" t="s">
        <v>7</v>
      </c>
      <c r="GQ785" s="27" t="s">
        <v>8</v>
      </c>
      <c r="GZ785" s="27" t="s">
        <v>7</v>
      </c>
      <c r="HA785" s="27" t="s">
        <v>8</v>
      </c>
      <c r="HD785" s="27" t="s">
        <v>7</v>
      </c>
      <c r="HH785" s="27" t="s">
        <v>7</v>
      </c>
      <c r="HK785" s="27" t="s">
        <v>8</v>
      </c>
      <c r="HL785" s="27" t="s">
        <v>7</v>
      </c>
      <c r="HM785" s="27" t="s">
        <v>8</v>
      </c>
      <c r="HN785" s="27" t="s">
        <v>7</v>
      </c>
      <c r="HO785" s="27" t="s">
        <v>8</v>
      </c>
      <c r="HP785" s="27" t="s">
        <v>7</v>
      </c>
      <c r="HQ785" s="27" t="s">
        <v>8</v>
      </c>
      <c r="HR785" s="27" t="s">
        <v>7</v>
      </c>
      <c r="HS785" s="27" t="s">
        <v>8</v>
      </c>
      <c r="HV785" s="27" t="s">
        <v>7</v>
      </c>
      <c r="HW785" s="27" t="s">
        <v>8</v>
      </c>
      <c r="HX785" s="27" t="s">
        <v>7</v>
      </c>
      <c r="HY785" s="27" t="s">
        <v>8</v>
      </c>
      <c r="HZ785" s="27" t="s">
        <v>7</v>
      </c>
      <c r="IA785" s="27" t="s">
        <v>8</v>
      </c>
      <c r="IB785" s="27" t="s">
        <v>7</v>
      </c>
      <c r="IC785" s="27" t="s">
        <v>8</v>
      </c>
      <c r="ID785" s="27" t="s">
        <v>7</v>
      </c>
      <c r="IE785" s="27" t="s">
        <v>8</v>
      </c>
    </row>
    <row r="786" spans="1:239" x14ac:dyDescent="0.25">
      <c r="A786" s="7">
        <v>1.9434162034082238E-2</v>
      </c>
      <c r="B786"/>
      <c r="C786"/>
      <c r="D786"/>
      <c r="E786"/>
      <c r="AV786" s="27" t="s">
        <v>7</v>
      </c>
      <c r="AW786" s="27" t="s">
        <v>8</v>
      </c>
      <c r="AX786" s="27" t="s">
        <v>7</v>
      </c>
      <c r="AY786" s="27" t="s">
        <v>8</v>
      </c>
      <c r="BH786" s="27" t="s">
        <v>7</v>
      </c>
      <c r="BI786" s="27" t="s">
        <v>8</v>
      </c>
      <c r="CX786" s="27" t="s">
        <v>7</v>
      </c>
      <c r="EE786" s="27" t="s">
        <v>8</v>
      </c>
      <c r="EF786" s="27" t="s">
        <v>7</v>
      </c>
      <c r="EG786" s="27" t="s">
        <v>8</v>
      </c>
      <c r="EH786" s="27" t="s">
        <v>7</v>
      </c>
      <c r="EI786" s="27" t="s">
        <v>8</v>
      </c>
      <c r="EJ786" s="27" t="s">
        <v>7</v>
      </c>
      <c r="EK786" s="27" t="s">
        <v>8</v>
      </c>
      <c r="EL786" s="27" t="s">
        <v>7</v>
      </c>
      <c r="EM786" s="27" t="s">
        <v>8</v>
      </c>
      <c r="EN786" s="27" t="s">
        <v>7</v>
      </c>
      <c r="EO786" s="27" t="s">
        <v>8</v>
      </c>
      <c r="EP786" s="27" t="s">
        <v>7</v>
      </c>
      <c r="EQ786" s="27" t="s">
        <v>8</v>
      </c>
      <c r="EV786" s="27" t="s">
        <v>7</v>
      </c>
      <c r="EY786" s="27" t="s">
        <v>8</v>
      </c>
      <c r="FA786" s="27" t="s">
        <v>8</v>
      </c>
      <c r="GN786" s="27" t="s">
        <v>7</v>
      </c>
      <c r="GO786" s="27" t="s">
        <v>8</v>
      </c>
      <c r="GP786" s="27" t="s">
        <v>7</v>
      </c>
      <c r="GZ786" s="27" t="s">
        <v>7</v>
      </c>
      <c r="HH786" s="27" t="s">
        <v>7</v>
      </c>
      <c r="HK786" s="27" t="s">
        <v>8</v>
      </c>
      <c r="HL786" s="27" t="s">
        <v>7</v>
      </c>
      <c r="HM786" s="27" t="s">
        <v>8</v>
      </c>
      <c r="HN786" s="27" t="s">
        <v>7</v>
      </c>
      <c r="HO786" s="27" t="s">
        <v>8</v>
      </c>
      <c r="HP786" s="27" t="s">
        <v>7</v>
      </c>
      <c r="HR786" s="27" t="s">
        <v>7</v>
      </c>
      <c r="HS786" s="27" t="s">
        <v>8</v>
      </c>
      <c r="HV786" s="27" t="s">
        <v>7</v>
      </c>
      <c r="HW786" s="27" t="s">
        <v>8</v>
      </c>
      <c r="HX786" s="27" t="s">
        <v>7</v>
      </c>
      <c r="HZ786" s="27" t="s">
        <v>7</v>
      </c>
      <c r="IA786" s="27" t="s">
        <v>8</v>
      </c>
      <c r="IB786" s="27" t="s">
        <v>7</v>
      </c>
      <c r="IC786" s="27" t="s">
        <v>8</v>
      </c>
      <c r="ID786" s="27" t="s">
        <v>7</v>
      </c>
    </row>
    <row r="787" spans="1:239" x14ac:dyDescent="0.25">
      <c r="A787" s="7">
        <v>1.9053100033413959E-2</v>
      </c>
      <c r="B787"/>
      <c r="C787"/>
      <c r="D787"/>
      <c r="E787"/>
      <c r="AV787" s="27" t="s">
        <v>7</v>
      </c>
      <c r="AW787" s="27" t="s">
        <v>8</v>
      </c>
      <c r="AX787" s="27" t="s">
        <v>7</v>
      </c>
      <c r="AY787" s="27" t="s">
        <v>8</v>
      </c>
      <c r="BH787" s="27" t="s">
        <v>7</v>
      </c>
      <c r="BI787" s="27" t="s">
        <v>8</v>
      </c>
      <c r="CX787" s="27" t="s">
        <v>7</v>
      </c>
      <c r="EE787" s="27" t="s">
        <v>8</v>
      </c>
      <c r="EF787" s="27" t="s">
        <v>7</v>
      </c>
      <c r="EG787" s="27" t="s">
        <v>8</v>
      </c>
      <c r="EH787" s="27" t="s">
        <v>7</v>
      </c>
      <c r="EI787" s="27" t="s">
        <v>8</v>
      </c>
      <c r="EJ787" s="27" t="s">
        <v>7</v>
      </c>
      <c r="EK787" s="27" t="s">
        <v>8</v>
      </c>
      <c r="EL787" s="27" t="s">
        <v>7</v>
      </c>
      <c r="EN787" s="27" t="s">
        <v>7</v>
      </c>
      <c r="EO787" s="27" t="s">
        <v>8</v>
      </c>
      <c r="EP787" s="27" t="s">
        <v>7</v>
      </c>
      <c r="EQ787" s="27" t="s">
        <v>8</v>
      </c>
      <c r="EV787" s="27" t="s">
        <v>7</v>
      </c>
      <c r="EW787" s="27" t="s">
        <v>8</v>
      </c>
      <c r="EY787" s="27" t="s">
        <v>8</v>
      </c>
      <c r="EZ787" s="27" t="s">
        <v>7</v>
      </c>
      <c r="FA787" s="27" t="s">
        <v>8</v>
      </c>
      <c r="GN787" s="27" t="s">
        <v>7</v>
      </c>
      <c r="GO787" s="27" t="s">
        <v>8</v>
      </c>
      <c r="HH787" s="27" t="s">
        <v>7</v>
      </c>
      <c r="HK787" s="27" t="s">
        <v>8</v>
      </c>
      <c r="HL787" s="27" t="s">
        <v>7</v>
      </c>
      <c r="HM787" s="27" t="s">
        <v>8</v>
      </c>
      <c r="HN787" s="27" t="s">
        <v>7</v>
      </c>
      <c r="HO787" s="27" t="s">
        <v>8</v>
      </c>
      <c r="HR787" s="27" t="s">
        <v>7</v>
      </c>
      <c r="HS787" s="27" t="s">
        <v>8</v>
      </c>
      <c r="HV787" s="27" t="s">
        <v>7</v>
      </c>
      <c r="HW787" s="27" t="s">
        <v>8</v>
      </c>
      <c r="HZ787" s="27" t="s">
        <v>7</v>
      </c>
      <c r="IB787" s="27" t="s">
        <v>7</v>
      </c>
      <c r="IC787" s="27" t="s">
        <v>8</v>
      </c>
    </row>
    <row r="788" spans="1:239" x14ac:dyDescent="0.25">
      <c r="A788" s="7">
        <v>1.867950983668035E-2</v>
      </c>
      <c r="B788"/>
      <c r="C788"/>
      <c r="D788"/>
      <c r="E788"/>
      <c r="AV788" s="27" t="s">
        <v>7</v>
      </c>
      <c r="AX788" s="27" t="s">
        <v>7</v>
      </c>
      <c r="AY788" s="27" t="s">
        <v>8</v>
      </c>
      <c r="BH788" s="27" t="s">
        <v>7</v>
      </c>
      <c r="BI788" s="27" t="s">
        <v>8</v>
      </c>
      <c r="CX788" s="27" t="s">
        <v>7</v>
      </c>
      <c r="EE788" s="27" t="s">
        <v>8</v>
      </c>
      <c r="EF788" s="27" t="s">
        <v>7</v>
      </c>
      <c r="EG788" s="27" t="s">
        <v>8</v>
      </c>
      <c r="EH788" s="27" t="s">
        <v>7</v>
      </c>
      <c r="EI788" s="27" t="s">
        <v>8</v>
      </c>
      <c r="EJ788" s="27" t="s">
        <v>7</v>
      </c>
      <c r="EK788" s="27" t="s">
        <v>8</v>
      </c>
      <c r="EN788" s="27" t="s">
        <v>7</v>
      </c>
      <c r="EO788" s="27" t="s">
        <v>8</v>
      </c>
      <c r="EP788" s="27" t="s">
        <v>7</v>
      </c>
      <c r="EQ788" s="27" t="s">
        <v>8</v>
      </c>
      <c r="EV788" s="27" t="s">
        <v>7</v>
      </c>
      <c r="EW788" s="27" t="s">
        <v>8</v>
      </c>
      <c r="EX788" s="27" t="s">
        <v>7</v>
      </c>
      <c r="EY788" s="27" t="s">
        <v>8</v>
      </c>
      <c r="EZ788" s="27" t="s">
        <v>7</v>
      </c>
      <c r="FA788" s="27" t="s">
        <v>8</v>
      </c>
      <c r="GN788" s="27" t="s">
        <v>7</v>
      </c>
      <c r="GO788" s="27" t="s">
        <v>8</v>
      </c>
      <c r="HH788" s="27" t="s">
        <v>7</v>
      </c>
      <c r="HI788" s="27" t="s">
        <v>8</v>
      </c>
      <c r="HK788" s="27" t="s">
        <v>8</v>
      </c>
      <c r="HL788" s="27" t="s">
        <v>7</v>
      </c>
      <c r="HM788" s="27" t="s">
        <v>8</v>
      </c>
      <c r="HN788" s="27" t="s">
        <v>7</v>
      </c>
      <c r="HR788" s="27" t="s">
        <v>7</v>
      </c>
      <c r="HS788" s="27" t="s">
        <v>8</v>
      </c>
      <c r="HV788" s="27" t="s">
        <v>7</v>
      </c>
      <c r="HW788" s="27" t="s">
        <v>8</v>
      </c>
      <c r="IB788" s="27" t="s">
        <v>7</v>
      </c>
    </row>
    <row r="789" spans="1:239" x14ac:dyDescent="0.25">
      <c r="A789" s="7">
        <v>1.8313244937921913E-2</v>
      </c>
      <c r="B789"/>
      <c r="C789"/>
      <c r="D789"/>
      <c r="E789"/>
      <c r="AX789" s="27" t="s">
        <v>7</v>
      </c>
      <c r="AY789" s="27" t="s">
        <v>8</v>
      </c>
      <c r="BH789" s="27" t="s">
        <v>7</v>
      </c>
      <c r="BI789" s="27" t="s">
        <v>8</v>
      </c>
      <c r="CX789" s="27" t="s">
        <v>7</v>
      </c>
      <c r="EE789" s="27" t="s">
        <v>8</v>
      </c>
      <c r="EF789" s="27" t="s">
        <v>7</v>
      </c>
      <c r="EG789" s="27" t="s">
        <v>8</v>
      </c>
      <c r="EH789" s="27" t="s">
        <v>7</v>
      </c>
      <c r="EI789" s="27" t="s">
        <v>8</v>
      </c>
      <c r="EJ789" s="27" t="s">
        <v>7</v>
      </c>
      <c r="EK789" s="27" t="s">
        <v>8</v>
      </c>
      <c r="EN789" s="27" t="s">
        <v>7</v>
      </c>
      <c r="EO789" s="27" t="s">
        <v>8</v>
      </c>
      <c r="EP789" s="27" t="s">
        <v>7</v>
      </c>
      <c r="EQ789" s="27" t="s">
        <v>8</v>
      </c>
      <c r="EV789" s="27" t="s">
        <v>7</v>
      </c>
      <c r="EW789" s="27" t="s">
        <v>8</v>
      </c>
      <c r="EX789" s="27" t="s">
        <v>7</v>
      </c>
      <c r="EY789" s="27" t="s">
        <v>8</v>
      </c>
      <c r="EZ789" s="27" t="s">
        <v>7</v>
      </c>
      <c r="FA789" s="27" t="s">
        <v>8</v>
      </c>
      <c r="GN789" s="27" t="s">
        <v>7</v>
      </c>
      <c r="GO789" s="27" t="s">
        <v>8</v>
      </c>
      <c r="HH789" s="27" t="s">
        <v>7</v>
      </c>
      <c r="HI789" s="27" t="s">
        <v>8</v>
      </c>
      <c r="HJ789" s="27" t="s">
        <v>7</v>
      </c>
      <c r="HK789" s="27" t="s">
        <v>8</v>
      </c>
      <c r="HL789" s="27" t="s">
        <v>7</v>
      </c>
      <c r="HM789" s="27" t="s">
        <v>8</v>
      </c>
      <c r="HR789" s="27" t="s">
        <v>7</v>
      </c>
      <c r="HV789" s="27" t="s">
        <v>7</v>
      </c>
      <c r="HW789" s="27" t="s">
        <v>8</v>
      </c>
    </row>
    <row r="790" spans="1:239" x14ac:dyDescent="0.25">
      <c r="A790" s="7">
        <v>1.7954161703845013E-2</v>
      </c>
      <c r="B790"/>
      <c r="C790"/>
      <c r="D790"/>
      <c r="E790"/>
      <c r="AX790" s="27" t="s">
        <v>7</v>
      </c>
      <c r="AY790" s="27" t="s">
        <v>8</v>
      </c>
      <c r="BH790" s="27" t="s">
        <v>7</v>
      </c>
      <c r="BI790" s="27" t="s">
        <v>8</v>
      </c>
      <c r="CX790" s="27" t="s">
        <v>7</v>
      </c>
      <c r="CY790" s="27" t="s">
        <v>8</v>
      </c>
      <c r="EE790" s="27" t="s">
        <v>8</v>
      </c>
      <c r="EF790" s="27" t="s">
        <v>7</v>
      </c>
      <c r="EG790" s="27" t="s">
        <v>8</v>
      </c>
      <c r="EH790" s="27" t="s">
        <v>7</v>
      </c>
      <c r="EI790" s="27" t="s">
        <v>8</v>
      </c>
      <c r="EJ790" s="27" t="s">
        <v>7</v>
      </c>
      <c r="EK790" s="27" t="s">
        <v>8</v>
      </c>
      <c r="EN790" s="27" t="s">
        <v>7</v>
      </c>
      <c r="EO790" s="27" t="s">
        <v>8</v>
      </c>
      <c r="EP790" s="27" t="s">
        <v>7</v>
      </c>
      <c r="EV790" s="27" t="s">
        <v>7</v>
      </c>
      <c r="EW790" s="27" t="s">
        <v>8</v>
      </c>
      <c r="EX790" s="27" t="s">
        <v>7</v>
      </c>
      <c r="EY790" s="27" t="s">
        <v>8</v>
      </c>
      <c r="EZ790" s="27" t="s">
        <v>7</v>
      </c>
      <c r="FA790" s="27" t="s">
        <v>8</v>
      </c>
      <c r="GN790" s="27" t="s">
        <v>7</v>
      </c>
      <c r="GO790" s="27" t="s">
        <v>8</v>
      </c>
      <c r="HH790" s="27" t="s">
        <v>7</v>
      </c>
      <c r="HI790" s="27" t="s">
        <v>8</v>
      </c>
      <c r="HJ790" s="27" t="s">
        <v>7</v>
      </c>
      <c r="HK790" s="27" t="s">
        <v>8</v>
      </c>
      <c r="HL790" s="27" t="s">
        <v>7</v>
      </c>
      <c r="HM790" s="27" t="s">
        <v>8</v>
      </c>
      <c r="HV790" s="27" t="s">
        <v>7</v>
      </c>
      <c r="HW790" s="27" t="s">
        <v>8</v>
      </c>
    </row>
    <row r="791" spans="1:239" x14ac:dyDescent="0.25">
      <c r="A791" s="7">
        <v>1.7602119317495109E-2</v>
      </c>
      <c r="B791"/>
      <c r="C791"/>
      <c r="D791"/>
      <c r="E791"/>
      <c r="AX791" s="27" t="s">
        <v>7</v>
      </c>
      <c r="AY791" s="27" t="s">
        <v>8</v>
      </c>
      <c r="BH791" s="27" t="s">
        <v>7</v>
      </c>
      <c r="BI791" s="27" t="s">
        <v>8</v>
      </c>
      <c r="CX791" s="27" t="s">
        <v>7</v>
      </c>
      <c r="CY791" s="27" t="s">
        <v>8</v>
      </c>
      <c r="CZ791" s="27" t="s">
        <v>7</v>
      </c>
      <c r="DC791" s="27" t="s">
        <v>8</v>
      </c>
      <c r="EE791" s="27" t="s">
        <v>8</v>
      </c>
      <c r="EF791" s="27" t="s">
        <v>7</v>
      </c>
      <c r="EG791" s="27" t="s">
        <v>8</v>
      </c>
      <c r="EH791" s="27" t="s">
        <v>7</v>
      </c>
      <c r="EI791" s="27" t="s">
        <v>8</v>
      </c>
      <c r="EJ791" s="27" t="s">
        <v>7</v>
      </c>
      <c r="EN791" s="27" t="s">
        <v>7</v>
      </c>
      <c r="EO791" s="27" t="s">
        <v>8</v>
      </c>
      <c r="EV791" s="27" t="s">
        <v>7</v>
      </c>
      <c r="EW791" s="27" t="s">
        <v>8</v>
      </c>
      <c r="EX791" s="27" t="s">
        <v>7</v>
      </c>
      <c r="EY791" s="27" t="s">
        <v>8</v>
      </c>
      <c r="EZ791" s="27" t="s">
        <v>7</v>
      </c>
      <c r="GN791" s="27" t="s">
        <v>7</v>
      </c>
      <c r="GO791" s="27" t="s">
        <v>8</v>
      </c>
      <c r="HH791" s="27" t="s">
        <v>7</v>
      </c>
      <c r="HI791" s="27" t="s">
        <v>8</v>
      </c>
      <c r="HJ791" s="27" t="s">
        <v>7</v>
      </c>
      <c r="HK791" s="27" t="s">
        <v>8</v>
      </c>
      <c r="HL791" s="27" t="s">
        <v>7</v>
      </c>
      <c r="HM791" s="27" t="s">
        <v>8</v>
      </c>
      <c r="HV791" s="27" t="s">
        <v>7</v>
      </c>
    </row>
    <row r="792" spans="1:239" x14ac:dyDescent="0.25">
      <c r="A792" s="7">
        <v>1.7256979723034419E-2</v>
      </c>
      <c r="B792"/>
      <c r="C792"/>
      <c r="D792"/>
      <c r="E792"/>
      <c r="AX792" s="27" t="s">
        <v>7</v>
      </c>
      <c r="BH792" s="27" t="s">
        <v>7</v>
      </c>
      <c r="CX792" s="27" t="s">
        <v>7</v>
      </c>
      <c r="CY792" s="27" t="s">
        <v>8</v>
      </c>
      <c r="CZ792" s="27" t="s">
        <v>7</v>
      </c>
      <c r="DC792" s="27" t="s">
        <v>8</v>
      </c>
      <c r="DD792" s="27" t="s">
        <v>7</v>
      </c>
      <c r="EE792" s="27" t="s">
        <v>8</v>
      </c>
      <c r="EF792" s="27" t="s">
        <v>7</v>
      </c>
      <c r="EG792" s="27" t="s">
        <v>8</v>
      </c>
      <c r="EH792" s="27" t="s">
        <v>7</v>
      </c>
      <c r="EI792" s="27" t="s">
        <v>8</v>
      </c>
      <c r="EN792" s="27" t="s">
        <v>7</v>
      </c>
      <c r="EV792" s="27" t="s">
        <v>7</v>
      </c>
      <c r="EW792" s="27" t="s">
        <v>8</v>
      </c>
      <c r="EX792" s="27" t="s">
        <v>7</v>
      </c>
      <c r="GN792" s="27" t="s">
        <v>7</v>
      </c>
      <c r="GO792" s="27" t="s">
        <v>8</v>
      </c>
      <c r="HH792" s="27" t="s">
        <v>7</v>
      </c>
      <c r="HI792" s="27" t="s">
        <v>8</v>
      </c>
      <c r="HJ792" s="27" t="s">
        <v>7</v>
      </c>
      <c r="HK792" s="27" t="s">
        <v>8</v>
      </c>
      <c r="HL792" s="27" t="s">
        <v>7</v>
      </c>
      <c r="HM792" s="27" t="s">
        <v>8</v>
      </c>
    </row>
    <row r="793" spans="1:239" x14ac:dyDescent="0.25">
      <c r="A793" s="7">
        <v>1.6918607571602372E-2</v>
      </c>
      <c r="B793"/>
      <c r="C793"/>
      <c r="D793"/>
      <c r="E793"/>
      <c r="CX793" s="27" t="s">
        <v>7</v>
      </c>
      <c r="CY793" s="27" t="s">
        <v>8</v>
      </c>
      <c r="CZ793" s="27" t="s">
        <v>7</v>
      </c>
      <c r="DC793" s="27" t="s">
        <v>8</v>
      </c>
      <c r="DD793" s="27" t="s">
        <v>7</v>
      </c>
      <c r="EE793" s="27" t="s">
        <v>8</v>
      </c>
      <c r="EF793" s="27" t="s">
        <v>7</v>
      </c>
      <c r="EH793" s="27" t="s">
        <v>7</v>
      </c>
      <c r="EI793" s="27" t="s">
        <v>8</v>
      </c>
      <c r="EV793" s="27" t="s">
        <v>7</v>
      </c>
      <c r="EW793" s="27" t="s">
        <v>8</v>
      </c>
      <c r="GN793" s="27" t="s">
        <v>7</v>
      </c>
      <c r="GO793" s="27" t="s">
        <v>8</v>
      </c>
      <c r="HH793" s="27" t="s">
        <v>7</v>
      </c>
      <c r="HI793" s="27" t="s">
        <v>8</v>
      </c>
      <c r="HJ793" s="27" t="s">
        <v>7</v>
      </c>
      <c r="HK793" s="27" t="s">
        <v>8</v>
      </c>
      <c r="HL793" s="27" t="s">
        <v>7</v>
      </c>
    </row>
    <row r="794" spans="1:239" x14ac:dyDescent="0.25">
      <c r="A794" s="7">
        <v>1.6586870168237622E-2</v>
      </c>
      <c r="B794"/>
      <c r="C794"/>
      <c r="D794"/>
      <c r="E794"/>
      <c r="CX794" s="27" t="s">
        <v>7</v>
      </c>
      <c r="CY794" s="27" t="s">
        <v>8</v>
      </c>
      <c r="CZ794" s="27" t="s">
        <v>7</v>
      </c>
      <c r="DC794" s="27" t="s">
        <v>8</v>
      </c>
      <c r="DD794" s="27" t="s">
        <v>7</v>
      </c>
      <c r="EE794" s="27" t="s">
        <v>8</v>
      </c>
      <c r="EH794" s="27" t="s">
        <v>7</v>
      </c>
      <c r="EI794" s="27" t="s">
        <v>8</v>
      </c>
      <c r="EV794" s="27" t="s">
        <v>7</v>
      </c>
      <c r="GN794" s="27" t="s">
        <v>7</v>
      </c>
      <c r="GO794" s="27" t="s">
        <v>8</v>
      </c>
      <c r="HH794" s="27" t="s">
        <v>7</v>
      </c>
      <c r="HI794" s="27" t="s">
        <v>8</v>
      </c>
      <c r="HJ794" s="27" t="s">
        <v>7</v>
      </c>
      <c r="HK794" s="27" t="s">
        <v>8</v>
      </c>
    </row>
    <row r="795" spans="1:239" x14ac:dyDescent="0.25">
      <c r="A795" s="7">
        <v>1.6261637419840807E-2</v>
      </c>
      <c r="B795"/>
      <c r="C795"/>
      <c r="D795"/>
      <c r="E795"/>
      <c r="CX795" s="27" t="s">
        <v>7</v>
      </c>
      <c r="CY795" s="27" t="s">
        <v>8</v>
      </c>
      <c r="CZ795" s="27" t="s">
        <v>7</v>
      </c>
      <c r="DC795" s="27" t="s">
        <v>8</v>
      </c>
      <c r="DD795" s="27" t="s">
        <v>7</v>
      </c>
      <c r="EC795" s="27" t="s">
        <v>8</v>
      </c>
      <c r="EE795" s="27" t="s">
        <v>8</v>
      </c>
      <c r="EH795" s="27" t="s">
        <v>7</v>
      </c>
      <c r="EI795" s="27" t="s">
        <v>8</v>
      </c>
      <c r="GN795" s="27" t="s">
        <v>7</v>
      </c>
      <c r="GO795" s="27" t="s">
        <v>8</v>
      </c>
      <c r="HH795" s="27" t="s">
        <v>7</v>
      </c>
      <c r="HI795" s="27" t="s">
        <v>8</v>
      </c>
      <c r="HJ795" s="27" t="s">
        <v>7</v>
      </c>
      <c r="HK795" s="27" t="s">
        <v>8</v>
      </c>
    </row>
    <row r="796" spans="1:239" x14ac:dyDescent="0.25">
      <c r="A796" s="7">
        <v>1.5942781784157655E-2</v>
      </c>
      <c r="B796"/>
      <c r="C796"/>
      <c r="D796"/>
      <c r="E796"/>
      <c r="CX796" s="27" t="s">
        <v>7</v>
      </c>
      <c r="CY796" s="27" t="s">
        <v>8</v>
      </c>
      <c r="CZ796" s="27" t="s">
        <v>7</v>
      </c>
      <c r="DC796" s="27" t="s">
        <v>8</v>
      </c>
      <c r="DD796" s="27" t="s">
        <v>7</v>
      </c>
      <c r="EC796" s="27" t="s">
        <v>8</v>
      </c>
      <c r="ED796" s="27" t="s">
        <v>7</v>
      </c>
      <c r="EE796" s="27" t="s">
        <v>8</v>
      </c>
      <c r="EH796" s="27" t="s">
        <v>7</v>
      </c>
      <c r="EI796" s="27" t="s">
        <v>8</v>
      </c>
      <c r="GN796" s="27" t="s">
        <v>7</v>
      </c>
      <c r="GO796" s="27" t="s">
        <v>8</v>
      </c>
      <c r="HH796" s="27" t="s">
        <v>7</v>
      </c>
      <c r="HJ796" s="27" t="s">
        <v>7</v>
      </c>
      <c r="HK796" s="27" t="s">
        <v>8</v>
      </c>
    </row>
    <row r="797" spans="1:239" x14ac:dyDescent="0.25">
      <c r="A797" s="7">
        <v>1.5630178219762408E-2</v>
      </c>
      <c r="B797"/>
      <c r="C797"/>
      <c r="D797"/>
      <c r="E797"/>
      <c r="CX797" s="27" t="s">
        <v>7</v>
      </c>
      <c r="CY797" s="27" t="s">
        <v>8</v>
      </c>
      <c r="CZ797" s="27" t="s">
        <v>7</v>
      </c>
      <c r="DC797" s="27" t="s">
        <v>8</v>
      </c>
      <c r="DD797" s="27" t="s">
        <v>7</v>
      </c>
      <c r="DM797" s="27" t="s">
        <v>8</v>
      </c>
      <c r="EC797" s="27" t="s">
        <v>8</v>
      </c>
      <c r="ED797" s="27" t="s">
        <v>7</v>
      </c>
      <c r="EE797" s="27" t="s">
        <v>8</v>
      </c>
      <c r="EH797" s="27" t="s">
        <v>7</v>
      </c>
      <c r="EI797" s="27" t="s">
        <v>8</v>
      </c>
      <c r="GN797" s="27" t="s">
        <v>7</v>
      </c>
      <c r="GO797" s="27" t="s">
        <v>8</v>
      </c>
      <c r="HJ797" s="27" t="s">
        <v>7</v>
      </c>
      <c r="HK797" s="27" t="s">
        <v>8</v>
      </c>
    </row>
    <row r="798" spans="1:239" x14ac:dyDescent="0.25">
      <c r="A798" s="7">
        <v>1.5323704137021967E-2</v>
      </c>
      <c r="B798"/>
      <c r="C798"/>
      <c r="D798"/>
      <c r="E798"/>
      <c r="CX798" s="27" t="s">
        <v>7</v>
      </c>
      <c r="CY798" s="27" t="s">
        <v>8</v>
      </c>
      <c r="CZ798" s="27" t="s">
        <v>7</v>
      </c>
      <c r="DC798" s="27" t="s">
        <v>8</v>
      </c>
      <c r="DD798" s="27" t="s">
        <v>7</v>
      </c>
      <c r="DM798" s="27" t="s">
        <v>8</v>
      </c>
      <c r="DN798" s="27" t="s">
        <v>7</v>
      </c>
      <c r="DU798" s="27" t="s">
        <v>8</v>
      </c>
      <c r="DW798" s="27" t="s">
        <v>8</v>
      </c>
      <c r="EC798" s="27" t="s">
        <v>8</v>
      </c>
      <c r="ED798" s="27" t="s">
        <v>7</v>
      </c>
      <c r="EE798" s="27" t="s">
        <v>8</v>
      </c>
      <c r="EH798" s="27" t="s">
        <v>7</v>
      </c>
      <c r="EI798" s="27" t="s">
        <v>8</v>
      </c>
      <c r="GN798" s="27" t="s">
        <v>7</v>
      </c>
      <c r="HJ798" s="27" t="s">
        <v>7</v>
      </c>
      <c r="HK798" s="27" t="s">
        <v>8</v>
      </c>
    </row>
    <row r="799" spans="1:239" x14ac:dyDescent="0.25">
      <c r="A799" s="7">
        <v>1.5023239350021535E-2</v>
      </c>
      <c r="B799"/>
      <c r="C799"/>
      <c r="D799"/>
      <c r="E799"/>
      <c r="CX799" s="27" t="s">
        <v>7</v>
      </c>
      <c r="CY799" s="27" t="s">
        <v>8</v>
      </c>
      <c r="CZ799" s="27" t="s">
        <v>7</v>
      </c>
      <c r="DC799" s="27" t="s">
        <v>8</v>
      </c>
      <c r="DD799" s="27" t="s">
        <v>7</v>
      </c>
      <c r="DM799" s="27" t="s">
        <v>8</v>
      </c>
      <c r="DN799" s="27" t="s">
        <v>7</v>
      </c>
      <c r="DU799" s="27" t="s">
        <v>8</v>
      </c>
      <c r="DV799" s="27" t="s">
        <v>7</v>
      </c>
      <c r="DW799" s="27" t="s">
        <v>8</v>
      </c>
      <c r="DX799" s="27" t="s">
        <v>7</v>
      </c>
      <c r="EC799" s="27" t="s">
        <v>8</v>
      </c>
      <c r="ED799" s="27" t="s">
        <v>7</v>
      </c>
      <c r="EE799" s="27" t="s">
        <v>8</v>
      </c>
      <c r="EH799" s="27" t="s">
        <v>7</v>
      </c>
      <c r="HJ799" s="27" t="s">
        <v>7</v>
      </c>
    </row>
    <row r="800" spans="1:239" x14ac:dyDescent="0.25">
      <c r="A800" s="7">
        <v>1.4728666029432878E-2</v>
      </c>
      <c r="B800"/>
      <c r="C800"/>
      <c r="D800"/>
      <c r="E800"/>
      <c r="CX800" s="27" t="s">
        <v>7</v>
      </c>
      <c r="CY800" s="27" t="s">
        <v>8</v>
      </c>
      <c r="CZ800" s="27" t="s">
        <v>7</v>
      </c>
      <c r="DA800" s="27" t="s">
        <v>8</v>
      </c>
      <c r="DC800" s="27" t="s">
        <v>8</v>
      </c>
      <c r="DD800" s="27" t="s">
        <v>7</v>
      </c>
      <c r="DM800" s="27" t="s">
        <v>8</v>
      </c>
      <c r="DN800" s="27" t="s">
        <v>7</v>
      </c>
      <c r="DU800" s="27" t="s">
        <v>8</v>
      </c>
      <c r="DV800" s="27" t="s">
        <v>7</v>
      </c>
      <c r="DW800" s="27" t="s">
        <v>8</v>
      </c>
      <c r="DX800" s="27" t="s">
        <v>7</v>
      </c>
      <c r="DY800" s="27" t="s">
        <v>8</v>
      </c>
      <c r="EC800" s="27" t="s">
        <v>8</v>
      </c>
      <c r="ED800" s="27" t="s">
        <v>7</v>
      </c>
      <c r="EE800" s="27" t="s">
        <v>8</v>
      </c>
    </row>
    <row r="801" spans="1:135" x14ac:dyDescent="0.25">
      <c r="A801" s="7">
        <v>1.4439868656306743E-2</v>
      </c>
      <c r="B801"/>
      <c r="C801"/>
      <c r="D801"/>
      <c r="E801"/>
      <c r="CX801" s="27" t="s">
        <v>7</v>
      </c>
      <c r="CY801" s="27" t="s">
        <v>8</v>
      </c>
      <c r="CZ801" s="27" t="s">
        <v>7</v>
      </c>
      <c r="DA801" s="27" t="s">
        <v>8</v>
      </c>
      <c r="DB801" s="27" t="s">
        <v>7</v>
      </c>
      <c r="DC801" s="27" t="s">
        <v>8</v>
      </c>
      <c r="DD801" s="27" t="s">
        <v>7</v>
      </c>
      <c r="DM801" s="27" t="s">
        <v>8</v>
      </c>
      <c r="DN801" s="27" t="s">
        <v>7</v>
      </c>
      <c r="DU801" s="27" t="s">
        <v>8</v>
      </c>
      <c r="DV801" s="27" t="s">
        <v>7</v>
      </c>
      <c r="DW801" s="27" t="s">
        <v>8</v>
      </c>
      <c r="DX801" s="27" t="s">
        <v>7</v>
      </c>
      <c r="DY801" s="27" t="s">
        <v>8</v>
      </c>
      <c r="DZ801" s="27" t="s">
        <v>7</v>
      </c>
      <c r="EA801" s="27" t="s">
        <v>8</v>
      </c>
      <c r="EC801" s="27" t="s">
        <v>8</v>
      </c>
      <c r="ED801" s="27" t="s">
        <v>7</v>
      </c>
      <c r="EE801" s="27" t="s">
        <v>8</v>
      </c>
    </row>
    <row r="802" spans="1:135" x14ac:dyDescent="0.25">
      <c r="A802" s="7">
        <v>1.4156733976771318E-2</v>
      </c>
      <c r="B802"/>
      <c r="C802"/>
      <c r="D802"/>
      <c r="E802"/>
      <c r="CX802" s="27" t="s">
        <v>7</v>
      </c>
      <c r="CY802" s="27" t="s">
        <v>8</v>
      </c>
      <c r="CZ802" s="27" t="s">
        <v>7</v>
      </c>
      <c r="DA802" s="27" t="s">
        <v>8</v>
      </c>
      <c r="DB802" s="27" t="s">
        <v>7</v>
      </c>
      <c r="DC802" s="27" t="s">
        <v>8</v>
      </c>
      <c r="DD802" s="27" t="s">
        <v>7</v>
      </c>
      <c r="DI802" s="27" t="s">
        <v>8</v>
      </c>
      <c r="DM802" s="27" t="s">
        <v>8</v>
      </c>
      <c r="DN802" s="27" t="s">
        <v>7</v>
      </c>
      <c r="DS802" s="27" t="s">
        <v>8</v>
      </c>
      <c r="DU802" s="27" t="s">
        <v>8</v>
      </c>
      <c r="DV802" s="27" t="s">
        <v>7</v>
      </c>
      <c r="DX802" s="27" t="s">
        <v>7</v>
      </c>
      <c r="DY802" s="27" t="s">
        <v>8</v>
      </c>
      <c r="DZ802" s="27" t="s">
        <v>7</v>
      </c>
      <c r="EA802" s="27" t="s">
        <v>8</v>
      </c>
      <c r="EB802" s="27" t="s">
        <v>7</v>
      </c>
      <c r="EC802" s="27" t="s">
        <v>8</v>
      </c>
      <c r="ED802" s="27" t="s">
        <v>7</v>
      </c>
      <c r="EE802" s="27" t="s">
        <v>8</v>
      </c>
    </row>
    <row r="803" spans="1:135" x14ac:dyDescent="0.25">
      <c r="A803" s="7">
        <v>1.3879150957618939E-2</v>
      </c>
      <c r="B803"/>
      <c r="C803"/>
      <c r="D803"/>
      <c r="E803"/>
      <c r="CX803" s="27" t="s">
        <v>7</v>
      </c>
      <c r="CY803" s="27" t="s">
        <v>8</v>
      </c>
      <c r="CZ803" s="27" t="s">
        <v>7</v>
      </c>
      <c r="DA803" s="27" t="s">
        <v>8</v>
      </c>
      <c r="DB803" s="27" t="s">
        <v>7</v>
      </c>
      <c r="DC803" s="27" t="s">
        <v>8</v>
      </c>
      <c r="DD803" s="27" t="s">
        <v>7</v>
      </c>
      <c r="DI803" s="27" t="s">
        <v>8</v>
      </c>
      <c r="DJ803" s="27" t="s">
        <v>7</v>
      </c>
      <c r="DK803" s="27" t="s">
        <v>8</v>
      </c>
      <c r="DM803" s="27" t="s">
        <v>8</v>
      </c>
      <c r="DN803" s="27" t="s">
        <v>7</v>
      </c>
      <c r="DS803" s="27" t="s">
        <v>8</v>
      </c>
      <c r="DT803" s="27" t="s">
        <v>7</v>
      </c>
      <c r="DU803" s="27" t="s">
        <v>8</v>
      </c>
      <c r="DX803" s="27" t="s">
        <v>7</v>
      </c>
      <c r="DZ803" s="27" t="s">
        <v>7</v>
      </c>
      <c r="EA803" s="27" t="s">
        <v>8</v>
      </c>
      <c r="EB803" s="27" t="s">
        <v>7</v>
      </c>
      <c r="EC803" s="27" t="s">
        <v>8</v>
      </c>
      <c r="ED803" s="27" t="s">
        <v>7</v>
      </c>
      <c r="EE803" s="27" t="s">
        <v>8</v>
      </c>
    </row>
    <row r="804" spans="1:135" x14ac:dyDescent="0.25">
      <c r="A804" s="7">
        <v>1.3607010742763666E-2</v>
      </c>
      <c r="B804"/>
      <c r="C804"/>
      <c r="D804"/>
      <c r="E804"/>
      <c r="CX804" s="27" t="s">
        <v>7</v>
      </c>
      <c r="CY804" s="27" t="s">
        <v>8</v>
      </c>
      <c r="CZ804" s="27" t="s">
        <v>7</v>
      </c>
      <c r="DA804" s="27" t="s">
        <v>8</v>
      </c>
      <c r="DB804" s="27" t="s">
        <v>7</v>
      </c>
      <c r="DC804" s="27" t="s">
        <v>8</v>
      </c>
      <c r="DD804" s="27" t="s">
        <v>7</v>
      </c>
      <c r="DE804" s="27" t="s">
        <v>8</v>
      </c>
      <c r="DI804" s="27" t="s">
        <v>8</v>
      </c>
      <c r="DJ804" s="27" t="s">
        <v>7</v>
      </c>
      <c r="DK804" s="27" t="s">
        <v>8</v>
      </c>
      <c r="DL804" s="27" t="s">
        <v>7</v>
      </c>
      <c r="DM804" s="27" t="s">
        <v>8</v>
      </c>
      <c r="DN804" s="27" t="s">
        <v>7</v>
      </c>
      <c r="DS804" s="27" t="s">
        <v>8</v>
      </c>
      <c r="DT804" s="27" t="s">
        <v>7</v>
      </c>
      <c r="DU804" s="27" t="s">
        <v>8</v>
      </c>
      <c r="DZ804" s="27" t="s">
        <v>7</v>
      </c>
      <c r="EA804" s="27" t="s">
        <v>8</v>
      </c>
      <c r="EB804" s="27" t="s">
        <v>7</v>
      </c>
      <c r="EC804" s="27" t="s">
        <v>8</v>
      </c>
      <c r="ED804" s="27" t="s">
        <v>7</v>
      </c>
      <c r="EE804" s="27" t="s">
        <v>8</v>
      </c>
    </row>
    <row r="805" spans="1:135" x14ac:dyDescent="0.25">
      <c r="A805" s="7">
        <v>1.3340206610552614E-2</v>
      </c>
      <c r="B805"/>
      <c r="C805"/>
      <c r="D805"/>
      <c r="E805"/>
      <c r="CX805" s="27" t="s">
        <v>7</v>
      </c>
      <c r="CY805" s="27" t="s">
        <v>8</v>
      </c>
      <c r="CZ805" s="27" t="s">
        <v>7</v>
      </c>
      <c r="DA805" s="27" t="s">
        <v>8</v>
      </c>
      <c r="DB805" s="27" t="s">
        <v>7</v>
      </c>
      <c r="DC805" s="27" t="s">
        <v>8</v>
      </c>
      <c r="DD805" s="27" t="s">
        <v>7</v>
      </c>
      <c r="DE805" s="27" t="s">
        <v>8</v>
      </c>
      <c r="DF805" s="27" t="s">
        <v>7</v>
      </c>
      <c r="DI805" s="27" t="s">
        <v>8</v>
      </c>
      <c r="DJ805" s="27" t="s">
        <v>7</v>
      </c>
      <c r="DK805" s="27" t="s">
        <v>8</v>
      </c>
      <c r="DL805" s="27" t="s">
        <v>7</v>
      </c>
      <c r="DM805" s="27" t="s">
        <v>8</v>
      </c>
      <c r="DN805" s="27" t="s">
        <v>7</v>
      </c>
      <c r="DS805" s="27" t="s">
        <v>8</v>
      </c>
      <c r="DT805" s="27" t="s">
        <v>7</v>
      </c>
      <c r="DU805" s="27" t="s">
        <v>8</v>
      </c>
      <c r="DZ805" s="27" t="s">
        <v>7</v>
      </c>
      <c r="EA805" s="27" t="s">
        <v>8</v>
      </c>
      <c r="EB805" s="27" t="s">
        <v>7</v>
      </c>
      <c r="EC805" s="27" t="s">
        <v>8</v>
      </c>
      <c r="ED805" s="27" t="s">
        <v>7</v>
      </c>
    </row>
    <row r="806" spans="1:135" x14ac:dyDescent="0.25">
      <c r="A806" s="7">
        <v>1.3078633931914328E-2</v>
      </c>
      <c r="B806"/>
      <c r="C806"/>
      <c r="D806"/>
      <c r="E806"/>
      <c r="CX806" s="27" t="s">
        <v>7</v>
      </c>
      <c r="CY806" s="27" t="s">
        <v>8</v>
      </c>
      <c r="CZ806" s="27" t="s">
        <v>7</v>
      </c>
      <c r="DA806" s="27" t="s">
        <v>8</v>
      </c>
      <c r="DB806" s="27" t="s">
        <v>7</v>
      </c>
      <c r="DC806" s="27" t="s">
        <v>8</v>
      </c>
      <c r="DD806" s="27" t="s">
        <v>7</v>
      </c>
      <c r="DE806" s="27" t="s">
        <v>8</v>
      </c>
      <c r="DF806" s="27" t="s">
        <v>7</v>
      </c>
      <c r="DI806" s="27" t="s">
        <v>8</v>
      </c>
      <c r="DJ806" s="27" t="s">
        <v>7</v>
      </c>
      <c r="DK806" s="27" t="s">
        <v>8</v>
      </c>
      <c r="DL806" s="27" t="s">
        <v>7</v>
      </c>
      <c r="DM806" s="27" t="s">
        <v>8</v>
      </c>
      <c r="DN806" s="27" t="s">
        <v>7</v>
      </c>
      <c r="DO806" s="27" t="s">
        <v>8</v>
      </c>
      <c r="DS806" s="27" t="s">
        <v>8</v>
      </c>
      <c r="DT806" s="27" t="s">
        <v>7</v>
      </c>
      <c r="DU806" s="27" t="s">
        <v>8</v>
      </c>
      <c r="DZ806" s="27" t="s">
        <v>7</v>
      </c>
      <c r="EB806" s="27" t="s">
        <v>7</v>
      </c>
      <c r="EC806" s="27" t="s">
        <v>8</v>
      </c>
    </row>
    <row r="807" spans="1:135" x14ac:dyDescent="0.25">
      <c r="A807" s="7">
        <v>1.2822190129327771E-2</v>
      </c>
      <c r="B807"/>
      <c r="C807"/>
      <c r="D807"/>
      <c r="E807"/>
      <c r="CX807" s="27" t="s">
        <v>7</v>
      </c>
      <c r="CY807" s="27" t="s">
        <v>8</v>
      </c>
      <c r="CZ807" s="27" t="s">
        <v>7</v>
      </c>
      <c r="DA807" s="27" t="s">
        <v>8</v>
      </c>
      <c r="DB807" s="27" t="s">
        <v>7</v>
      </c>
      <c r="DC807" s="27" t="s">
        <v>8</v>
      </c>
      <c r="DD807" s="27" t="s">
        <v>7</v>
      </c>
      <c r="DE807" s="27" t="s">
        <v>8</v>
      </c>
      <c r="DF807" s="27" t="s">
        <v>7</v>
      </c>
      <c r="DG807" s="27" t="s">
        <v>8</v>
      </c>
      <c r="DI807" s="27" t="s">
        <v>8</v>
      </c>
      <c r="DJ807" s="27" t="s">
        <v>7</v>
      </c>
      <c r="DK807" s="27" t="s">
        <v>8</v>
      </c>
      <c r="DL807" s="27" t="s">
        <v>7</v>
      </c>
      <c r="DM807" s="27" t="s">
        <v>8</v>
      </c>
      <c r="DN807" s="27" t="s">
        <v>7</v>
      </c>
      <c r="DO807" s="27" t="s">
        <v>8</v>
      </c>
      <c r="DP807" s="27" t="s">
        <v>7</v>
      </c>
      <c r="DQ807" s="27" t="s">
        <v>8</v>
      </c>
      <c r="DS807" s="27" t="s">
        <v>8</v>
      </c>
      <c r="DT807" s="27" t="s">
        <v>7</v>
      </c>
      <c r="DU807" s="27" t="s">
        <v>8</v>
      </c>
      <c r="EB807" s="27" t="s">
        <v>7</v>
      </c>
      <c r="EC807" s="27" t="s">
        <v>8</v>
      </c>
    </row>
    <row r="808" spans="1:135" x14ac:dyDescent="0.25">
      <c r="A808" s="7">
        <v>1.2570774636595854E-2</v>
      </c>
      <c r="B808"/>
      <c r="C808"/>
      <c r="D808"/>
      <c r="E808"/>
      <c r="CX808" s="27" t="s">
        <v>7</v>
      </c>
      <c r="CY808" s="27" t="s">
        <v>8</v>
      </c>
      <c r="CZ808" s="27" t="s">
        <v>7</v>
      </c>
      <c r="DA808" s="27" t="s">
        <v>8</v>
      </c>
      <c r="DB808" s="27" t="s">
        <v>7</v>
      </c>
      <c r="DC808" s="27" t="s">
        <v>8</v>
      </c>
      <c r="DD808" s="27" t="s">
        <v>7</v>
      </c>
      <c r="DE808" s="27" t="s">
        <v>8</v>
      </c>
      <c r="DF808" s="27" t="s">
        <v>7</v>
      </c>
      <c r="DG808" s="27" t="s">
        <v>8</v>
      </c>
      <c r="DH808" s="27" t="s">
        <v>7</v>
      </c>
      <c r="DI808" s="27" t="s">
        <v>8</v>
      </c>
      <c r="DJ808" s="27" t="s">
        <v>7</v>
      </c>
      <c r="DK808" s="27" t="s">
        <v>8</v>
      </c>
      <c r="DL808" s="27" t="s">
        <v>7</v>
      </c>
      <c r="DM808" s="27" t="s">
        <v>8</v>
      </c>
      <c r="DN808" s="27" t="s">
        <v>7</v>
      </c>
      <c r="DO808" s="27" t="s">
        <v>8</v>
      </c>
      <c r="DP808" s="27" t="s">
        <v>7</v>
      </c>
      <c r="DQ808" s="27" t="s">
        <v>8</v>
      </c>
      <c r="DR808" s="27" t="s">
        <v>7</v>
      </c>
      <c r="DS808" s="27" t="s">
        <v>8</v>
      </c>
      <c r="DT808" s="27" t="s">
        <v>7</v>
      </c>
      <c r="DU808" s="27" t="s">
        <v>8</v>
      </c>
      <c r="EB808" s="27" t="s">
        <v>7</v>
      </c>
      <c r="EC808" s="27" t="s">
        <v>8</v>
      </c>
    </row>
    <row r="809" spans="1:135" x14ac:dyDescent="0.25">
      <c r="A809" s="7">
        <v>1.23242888594077E-2</v>
      </c>
      <c r="B809"/>
      <c r="C809"/>
      <c r="D809"/>
      <c r="E809"/>
      <c r="CX809" s="27" t="s">
        <v>7</v>
      </c>
      <c r="CY809" s="27" t="s">
        <v>8</v>
      </c>
      <c r="CZ809" s="27" t="s">
        <v>7</v>
      </c>
      <c r="DA809" s="27" t="s">
        <v>8</v>
      </c>
      <c r="DB809" s="27" t="s">
        <v>7</v>
      </c>
      <c r="DC809" s="27" t="s">
        <v>8</v>
      </c>
      <c r="DD809" s="27" t="s">
        <v>7</v>
      </c>
      <c r="DE809" s="27" t="s">
        <v>8</v>
      </c>
      <c r="DF809" s="27" t="s">
        <v>7</v>
      </c>
      <c r="DG809" s="27" t="s">
        <v>8</v>
      </c>
      <c r="DH809" s="27" t="s">
        <v>7</v>
      </c>
      <c r="DI809" s="27" t="s">
        <v>8</v>
      </c>
      <c r="DJ809" s="27" t="s">
        <v>7</v>
      </c>
      <c r="DK809" s="27" t="s">
        <v>8</v>
      </c>
      <c r="DL809" s="27" t="s">
        <v>7</v>
      </c>
      <c r="DM809" s="27" t="s">
        <v>8</v>
      </c>
      <c r="DN809" s="27" t="s">
        <v>7</v>
      </c>
      <c r="DO809" s="27" t="s">
        <v>8</v>
      </c>
      <c r="DP809" s="27" t="s">
        <v>7</v>
      </c>
      <c r="DQ809" s="27" t="s">
        <v>8</v>
      </c>
      <c r="DR809" s="27" t="s">
        <v>7</v>
      </c>
      <c r="DS809" s="27" t="s">
        <v>8</v>
      </c>
      <c r="DT809" s="27" t="s">
        <v>7</v>
      </c>
      <c r="DU809" s="27" t="s">
        <v>8</v>
      </c>
      <c r="EB809" s="27" t="s">
        <v>7</v>
      </c>
      <c r="EC809" s="27" t="s">
        <v>8</v>
      </c>
    </row>
    <row r="810" spans="1:135" x14ac:dyDescent="0.25">
      <c r="A810" s="7">
        <v>1.2082636136674216E-2</v>
      </c>
      <c r="B810"/>
      <c r="C810"/>
      <c r="D810"/>
      <c r="E810"/>
      <c r="CX810" s="27" t="s">
        <v>7</v>
      </c>
      <c r="CY810" s="27" t="s">
        <v>8</v>
      </c>
      <c r="CZ810" s="27" t="s">
        <v>7</v>
      </c>
      <c r="DA810" s="27" t="s">
        <v>8</v>
      </c>
      <c r="DB810" s="27" t="s">
        <v>7</v>
      </c>
      <c r="DD810" s="27" t="s">
        <v>7</v>
      </c>
      <c r="DE810" s="27" t="s">
        <v>8</v>
      </c>
      <c r="DF810" s="27" t="s">
        <v>7</v>
      </c>
      <c r="DG810" s="27" t="s">
        <v>8</v>
      </c>
      <c r="DH810" s="27" t="s">
        <v>7</v>
      </c>
      <c r="DI810" s="27" t="s">
        <v>8</v>
      </c>
      <c r="DJ810" s="27" t="s">
        <v>7</v>
      </c>
      <c r="DL810" s="27" t="s">
        <v>7</v>
      </c>
      <c r="DN810" s="27" t="s">
        <v>7</v>
      </c>
      <c r="DP810" s="27" t="s">
        <v>7</v>
      </c>
      <c r="DR810" s="27" t="s">
        <v>7</v>
      </c>
      <c r="DS810" s="27" t="s">
        <v>8</v>
      </c>
      <c r="DT810" s="27" t="s">
        <v>7</v>
      </c>
      <c r="EB810" s="27" t="s">
        <v>7</v>
      </c>
      <c r="EC810" s="27" t="s">
        <v>8</v>
      </c>
    </row>
    <row r="811" spans="1:135" x14ac:dyDescent="0.25">
      <c r="A811" s="7">
        <v>1.184572170262178E-2</v>
      </c>
      <c r="B811"/>
      <c r="C811"/>
      <c r="D811"/>
      <c r="E811"/>
      <c r="CX811" s="27" t="s">
        <v>7</v>
      </c>
      <c r="CY811" s="27" t="s">
        <v>8</v>
      </c>
      <c r="CZ811" s="27" t="s">
        <v>7</v>
      </c>
      <c r="DA811" s="27" t="s">
        <v>8</v>
      </c>
      <c r="DD811" s="27" t="s">
        <v>7</v>
      </c>
      <c r="DE811" s="27" t="s">
        <v>8</v>
      </c>
      <c r="DF811" s="27" t="s">
        <v>7</v>
      </c>
      <c r="DG811" s="27" t="s">
        <v>8</v>
      </c>
      <c r="DH811" s="27" t="s">
        <v>7</v>
      </c>
      <c r="DI811" s="27" t="s">
        <v>8</v>
      </c>
      <c r="DR811" s="27" t="s">
        <v>7</v>
      </c>
      <c r="DS811" s="27" t="s">
        <v>8</v>
      </c>
      <c r="EB811" s="27" t="s">
        <v>7</v>
      </c>
      <c r="EC811" s="27" t="s">
        <v>8</v>
      </c>
    </row>
    <row r="812" spans="1:135" x14ac:dyDescent="0.25">
      <c r="A812" s="7">
        <v>1.1613452649629196E-2</v>
      </c>
      <c r="B812"/>
      <c r="C812"/>
      <c r="D812"/>
      <c r="E812"/>
      <c r="CX812" s="27" t="s">
        <v>7</v>
      </c>
      <c r="CY812" s="27" t="s">
        <v>8</v>
      </c>
      <c r="CZ812" s="27" t="s">
        <v>7</v>
      </c>
      <c r="DA812" s="27" t="s">
        <v>8</v>
      </c>
      <c r="DD812" s="27" t="s">
        <v>7</v>
      </c>
      <c r="DE812" s="27" t="s">
        <v>8</v>
      </c>
      <c r="DF812" s="27" t="s">
        <v>7</v>
      </c>
      <c r="DH812" s="27" t="s">
        <v>7</v>
      </c>
      <c r="DI812" s="27" t="s">
        <v>8</v>
      </c>
      <c r="DR812" s="27" t="s">
        <v>7</v>
      </c>
      <c r="DS812" s="27" t="s">
        <v>8</v>
      </c>
      <c r="EB812" s="27" t="s">
        <v>7</v>
      </c>
      <c r="EC812" s="27" t="s">
        <v>8</v>
      </c>
    </row>
    <row r="813" spans="1:135" x14ac:dyDescent="0.25">
      <c r="A813" s="7">
        <v>1.138573789179333E-2</v>
      </c>
      <c r="B813"/>
      <c r="C813"/>
      <c r="D813"/>
      <c r="E813"/>
      <c r="CX813" s="27" t="s">
        <v>7</v>
      </c>
      <c r="CY813" s="27" t="s">
        <v>8</v>
      </c>
      <c r="CZ813" s="27" t="s">
        <v>7</v>
      </c>
      <c r="DA813" s="27" t="s">
        <v>8</v>
      </c>
      <c r="DD813" s="27" t="s">
        <v>7</v>
      </c>
      <c r="DE813" s="27" t="s">
        <v>8</v>
      </c>
      <c r="DH813" s="27" t="s">
        <v>7</v>
      </c>
      <c r="DI813" s="27" t="s">
        <v>8</v>
      </c>
      <c r="DR813" s="27" t="s">
        <v>7</v>
      </c>
      <c r="DS813" s="27" t="s">
        <v>8</v>
      </c>
      <c r="EB813" s="27" t="s">
        <v>7</v>
      </c>
    </row>
    <row r="814" spans="1:135" x14ac:dyDescent="0.25">
      <c r="A814" s="7">
        <v>1.1162488129209149E-2</v>
      </c>
      <c r="B814"/>
      <c r="C814"/>
      <c r="D814"/>
      <c r="E814"/>
      <c r="CX814" s="27" t="s">
        <v>7</v>
      </c>
      <c r="CY814" s="27" t="s">
        <v>8</v>
      </c>
      <c r="CZ814" s="27" t="s">
        <v>7</v>
      </c>
      <c r="DA814" s="27" t="s">
        <v>8</v>
      </c>
      <c r="DD814" s="27" t="s">
        <v>7</v>
      </c>
      <c r="DE814" s="27" t="s">
        <v>8</v>
      </c>
      <c r="DH814" s="27" t="s">
        <v>7</v>
      </c>
      <c r="DI814" s="27" t="s">
        <v>8</v>
      </c>
      <c r="DR814" s="27" t="s">
        <v>7</v>
      </c>
      <c r="DS814" s="27" t="s">
        <v>8</v>
      </c>
    </row>
    <row r="815" spans="1:135" x14ac:dyDescent="0.25">
      <c r="A815" s="7">
        <v>1.0943615812950145E-2</v>
      </c>
      <c r="B815"/>
      <c r="C815"/>
      <c r="D815"/>
      <c r="E815"/>
      <c r="CX815" s="27" t="s">
        <v>7</v>
      </c>
      <c r="CY815" s="27" t="s">
        <v>8</v>
      </c>
      <c r="CZ815" s="27" t="s">
        <v>7</v>
      </c>
      <c r="DD815" s="27" t="s">
        <v>7</v>
      </c>
      <c r="DH815" s="27" t="s">
        <v>7</v>
      </c>
      <c r="DI815" s="27" t="s">
        <v>8</v>
      </c>
      <c r="DR815" s="27" t="s">
        <v>7</v>
      </c>
    </row>
    <row r="816" spans="1:135" x14ac:dyDescent="0.25">
      <c r="A816" s="7">
        <v>1.0729035110735436E-2</v>
      </c>
      <c r="B816"/>
      <c r="C816"/>
      <c r="D816"/>
      <c r="E816"/>
      <c r="CX816" s="27" t="s">
        <v>7</v>
      </c>
      <c r="CY816" s="27" t="s">
        <v>8</v>
      </c>
      <c r="DH816" s="27" t="s">
        <v>7</v>
      </c>
      <c r="DI816" s="27" t="s">
        <v>8</v>
      </c>
    </row>
    <row r="817" spans="1:113" x14ac:dyDescent="0.25">
      <c r="A817" s="7">
        <v>1.0518661873270036E-2</v>
      </c>
      <c r="B817"/>
      <c r="C817"/>
      <c r="D817"/>
      <c r="E817"/>
      <c r="CX817" s="27" t="s">
        <v>7</v>
      </c>
      <c r="CY817" s="27" t="s">
        <v>8</v>
      </c>
      <c r="DH817" s="27" t="s">
        <v>7</v>
      </c>
      <c r="DI817" s="27" t="s">
        <v>8</v>
      </c>
    </row>
    <row r="818" spans="1:113" x14ac:dyDescent="0.25">
      <c r="A818" s="7">
        <v>1.0312413601245135E-2</v>
      </c>
      <c r="B818"/>
      <c r="C818"/>
      <c r="D818"/>
      <c r="E818"/>
      <c r="CX818" s="27" t="s">
        <v>7</v>
      </c>
      <c r="DH818" s="27" t="s">
        <v>7</v>
      </c>
    </row>
    <row r="819" spans="1:113" x14ac:dyDescent="0.25">
      <c r="A819" s="7">
        <v>1.0110209412985426E-2</v>
      </c>
      <c r="B819"/>
      <c r="C819"/>
      <c r="D819"/>
      <c r="E819"/>
    </row>
    <row r="820" spans="1:113" x14ac:dyDescent="0.25">
      <c r="A820" s="7">
        <v>9.9119700127308103E-3</v>
      </c>
      <c r="B820"/>
      <c r="C820"/>
      <c r="D820"/>
      <c r="E820"/>
    </row>
    <row r="821" spans="1:113" x14ac:dyDescent="0.25">
      <c r="A821" s="7">
        <v>9.717617659540009E-3</v>
      </c>
      <c r="B821"/>
      <c r="C821"/>
      <c r="D821"/>
      <c r="E821"/>
    </row>
    <row r="822" spans="1:113" x14ac:dyDescent="0.25">
      <c r="A822" s="7">
        <v>9.5270761368039299E-3</v>
      </c>
      <c r="B822"/>
      <c r="C822"/>
      <c r="D822"/>
      <c r="E822"/>
    </row>
    <row r="823" spans="1:113" x14ac:dyDescent="0.25">
      <c r="A823" s="7">
        <v>9.3402707223567936E-3</v>
      </c>
      <c r="B823"/>
      <c r="C823"/>
      <c r="D823"/>
      <c r="E823"/>
    </row>
    <row r="824" spans="1:113" x14ac:dyDescent="0.25">
      <c r="A824" s="7">
        <v>9.1571281591733261E-3</v>
      </c>
      <c r="B824"/>
      <c r="C824"/>
      <c r="D824"/>
      <c r="E824"/>
    </row>
    <row r="825" spans="1:113" x14ac:dyDescent="0.25">
      <c r="A825" s="7">
        <v>8.9775766266405148E-3</v>
      </c>
      <c r="B825"/>
      <c r="C825"/>
      <c r="D825"/>
      <c r="E825"/>
    </row>
    <row r="826" spans="1:113" x14ac:dyDescent="0.25">
      <c r="A826" s="7">
        <v>8.8015457123926614E-3</v>
      </c>
      <c r="B826"/>
      <c r="C826"/>
      <c r="D826"/>
      <c r="E826"/>
    </row>
    <row r="827" spans="1:113" x14ac:dyDescent="0.25">
      <c r="A827" s="7">
        <v>8.6289663846986879E-3</v>
      </c>
      <c r="B827"/>
      <c r="C827"/>
      <c r="D827"/>
      <c r="E827"/>
    </row>
    <row r="828" spans="1:113" x14ac:dyDescent="0.25">
      <c r="A828" s="7">
        <v>8.4597709653908715E-3</v>
      </c>
      <c r="B828"/>
      <c r="C828"/>
      <c r="D828"/>
      <c r="E828"/>
    </row>
    <row r="829" spans="1:113" x14ac:dyDescent="0.25">
      <c r="A829" s="7">
        <v>8.2938931033243839E-3</v>
      </c>
      <c r="B829"/>
      <c r="C829"/>
      <c r="D829"/>
      <c r="E829"/>
    </row>
    <row r="830" spans="1:113" x14ac:dyDescent="0.25">
      <c r="A830" s="7">
        <v>8.1312677483572383E-3</v>
      </c>
      <c r="B830"/>
      <c r="C830"/>
      <c r="D830"/>
      <c r="E830"/>
    </row>
    <row r="831" spans="1:113" x14ac:dyDescent="0.25">
      <c r="A831" s="7">
        <v>7.9718311258404305E-3</v>
      </c>
      <c r="B831"/>
      <c r="C831"/>
      <c r="D831"/>
      <c r="E831"/>
    </row>
    <row r="832" spans="1:113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91" operator="equal">
      <formula>$U$1</formula>
    </cfRule>
    <cfRule type="cellIs" dxfId="89" priority="1292" operator="equal">
      <formula>$S$1</formula>
    </cfRule>
  </conditionalFormatting>
  <conditionalFormatting sqref="D27">
    <cfRule type="cellIs" dxfId="88" priority="1289" operator="equal">
      <formula>$S$1</formula>
    </cfRule>
    <cfRule type="cellIs" dxfId="87" priority="1290" operator="equal">
      <formula>$U$1</formula>
    </cfRule>
  </conditionalFormatting>
  <conditionalFormatting sqref="C164">
    <cfRule type="cellIs" dxfId="86" priority="1287" operator="equal">
      <formula>$U$1</formula>
    </cfRule>
    <cfRule type="cellIs" dxfId="85" priority="1288" operator="equal">
      <formula>$S$1</formula>
    </cfRule>
  </conditionalFormatting>
  <conditionalFormatting sqref="D164">
    <cfRule type="cellIs" dxfId="84" priority="1285" operator="equal">
      <formula>$S$1</formula>
    </cfRule>
    <cfRule type="cellIs" dxfId="83" priority="1286" operator="equal">
      <formula>$U$1</formula>
    </cfRule>
  </conditionalFormatting>
  <conditionalFormatting sqref="C55">
    <cfRule type="cellIs" dxfId="82" priority="1283" operator="equal">
      <formula>$U$1</formula>
    </cfRule>
    <cfRule type="cellIs" dxfId="81" priority="1284" operator="equal">
      <formula>$S$1</formula>
    </cfRule>
  </conditionalFormatting>
  <conditionalFormatting sqref="D55">
    <cfRule type="cellIs" dxfId="80" priority="1281" operator="equal">
      <formula>$S$1</formula>
    </cfRule>
    <cfRule type="cellIs" dxfId="79" priority="1282" operator="equal">
      <formula>$U$1</formula>
    </cfRule>
  </conditionalFormatting>
  <conditionalFormatting sqref="C89">
    <cfRule type="cellIs" dxfId="78" priority="1279" operator="equal">
      <formula>$U$1</formula>
    </cfRule>
    <cfRule type="cellIs" dxfId="77" priority="1280" operator="equal">
      <formula>$S$1</formula>
    </cfRule>
  </conditionalFormatting>
  <conditionalFormatting sqref="D89">
    <cfRule type="cellIs" dxfId="76" priority="1277" operator="equal">
      <formula>$S$1</formula>
    </cfRule>
    <cfRule type="cellIs" dxfId="75" priority="1278" operator="equal">
      <formula>$U$1</formula>
    </cfRule>
  </conditionalFormatting>
  <conditionalFormatting sqref="C136">
    <cfRule type="cellIs" dxfId="74" priority="1275" operator="equal">
      <formula>$U$1</formula>
    </cfRule>
    <cfRule type="cellIs" dxfId="73" priority="1276" operator="equal">
      <formula>$S$1</formula>
    </cfRule>
  </conditionalFormatting>
  <conditionalFormatting sqref="D136">
    <cfRule type="cellIs" dxfId="72" priority="1273" operator="equal">
      <formula>$S$1</formula>
    </cfRule>
    <cfRule type="cellIs" dxfId="71" priority="1274" operator="equal">
      <formula>$U$1</formula>
    </cfRule>
  </conditionalFormatting>
  <conditionalFormatting sqref="C1">
    <cfRule type="cellIs" dxfId="70" priority="127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64" zoomScale="90" zoomScaleNormal="90" workbookViewId="0">
      <pane xSplit="4" topLeftCell="EQ1" activePane="topRight" state="frozen"/>
      <selection activeCell="A109" sqref="A109"/>
      <selection pane="topRight" activeCell="IC301" sqref="IC30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$A$300</v>
      </c>
      <c r="D111" s="1" t="str">
        <f>ADDRESS(C121-1,D121,1,1)</f>
        <v>$IC$300</v>
      </c>
      <c r="E111"/>
    </row>
    <row r="112" spans="1:5" x14ac:dyDescent="0.25">
      <c r="A112" s="30">
        <v>515.50191262726139</v>
      </c>
      <c r="C112" s="1" t="str">
        <f>ADDRESS(C121,1,1,1)</f>
        <v>$A$301</v>
      </c>
      <c r="D112" s="1" t="str">
        <f>ADDRESS(C121,D121-1,1,1)</f>
        <v>$IB$301</v>
      </c>
      <c r="E112"/>
    </row>
    <row r="113" spans="1:5" x14ac:dyDescent="0.25">
      <c r="A113" s="30">
        <v>490.95420250215363</v>
      </c>
      <c r="C113" s="1" t="str">
        <f>ADDRESS(C121+1,1,1,1)</f>
        <v>$A$302</v>
      </c>
      <c r="D113" s="1" t="str">
        <f>ADDRESS(C121-1,D121+1,1,1)</f>
        <v>$ID$300</v>
      </c>
    </row>
    <row r="114" spans="1:5" x14ac:dyDescent="0.25">
      <c r="A114" s="30">
        <v>467.57543095443202</v>
      </c>
      <c r="C114" s="1" t="str">
        <f>ADDRESS(C121,D121,1,1)</f>
        <v>$IC$301</v>
      </c>
      <c r="D114" s="1" t="str">
        <f>ADDRESS(C121+1,D121+1,1,1)</f>
        <v>$ID$302</v>
      </c>
    </row>
    <row r="115" spans="1:5" x14ac:dyDescent="0.25">
      <c r="A115" s="30">
        <v>445.30993424231622</v>
      </c>
      <c r="C115" s="1" t="str">
        <f>ADDRESS(C121+1,D121,1,1)</f>
        <v>$IC$302</v>
      </c>
    </row>
    <row r="116" spans="1:5" x14ac:dyDescent="0.25">
      <c r="A116" s="30">
        <v>424.10469927839637</v>
      </c>
      <c r="C116" s="1">
        <f>C117-1</f>
        <v>300</v>
      </c>
    </row>
    <row r="117" spans="1:5" x14ac:dyDescent="0.25">
      <c r="A117" s="30">
        <v>403.9092374079965</v>
      </c>
      <c r="C117" s="1">
        <f>C121</f>
        <v>301</v>
      </c>
      <c r="D117" s="1">
        <f>D121</f>
        <v>237</v>
      </c>
    </row>
    <row r="118" spans="1:5" x14ac:dyDescent="0.25">
      <c r="A118" s="30">
        <v>384.6754641980919</v>
      </c>
      <c r="C118" s="1">
        <f>C117+1</f>
        <v>302</v>
      </c>
      <c r="D118" s="1">
        <f>D117+1</f>
        <v>238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301</v>
      </c>
      <c r="D121" s="19">
        <v>237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R301</v>
      </c>
      <c r="D123" s="1" t="str">
        <f>"C"&amp;D121</f>
        <v>C237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5.0986213091898068E-2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166" x14ac:dyDescent="0.25">
      <c r="A257" s="30">
        <v>0.43629668761085438</v>
      </c>
      <c r="B257"/>
      <c r="C257"/>
      <c r="D257"/>
      <c r="E257"/>
      <c r="F257" s="27" t="s">
        <v>7</v>
      </c>
    </row>
    <row r="258" spans="1:166" x14ac:dyDescent="0.25">
      <c r="A258" s="30">
        <v>0.41552065486748019</v>
      </c>
      <c r="B258"/>
      <c r="C258"/>
      <c r="D258"/>
      <c r="E258"/>
      <c r="F258" s="27" t="s">
        <v>7</v>
      </c>
    </row>
    <row r="259" spans="1:166" x14ac:dyDescent="0.25">
      <c r="A259" s="30">
        <v>0.39573395701664765</v>
      </c>
      <c r="B259"/>
      <c r="C259"/>
      <c r="D259"/>
      <c r="E259"/>
      <c r="F259" s="27" t="s">
        <v>7</v>
      </c>
    </row>
    <row r="260" spans="1:166" x14ac:dyDescent="0.25">
      <c r="A260" s="30">
        <v>0.37688948287299762</v>
      </c>
      <c r="B260"/>
      <c r="C260"/>
      <c r="D260"/>
      <c r="E260"/>
      <c r="F260" s="27" t="s">
        <v>7</v>
      </c>
    </row>
    <row r="261" spans="1:166" x14ac:dyDescent="0.25">
      <c r="A261" s="30">
        <v>0.35894236464094997</v>
      </c>
      <c r="B261"/>
      <c r="C261"/>
      <c r="D261"/>
      <c r="E261"/>
      <c r="F261" s="27" t="s">
        <v>7</v>
      </c>
    </row>
    <row r="262" spans="1:166" x14ac:dyDescent="0.25">
      <c r="A262" s="30">
        <v>0.34184987108661891</v>
      </c>
      <c r="B262"/>
      <c r="C262"/>
      <c r="D262"/>
      <c r="E262"/>
      <c r="F262" s="27" t="s">
        <v>7</v>
      </c>
    </row>
    <row r="263" spans="1:166" x14ac:dyDescent="0.25">
      <c r="A263" s="30">
        <v>0.32557130579677979</v>
      </c>
      <c r="B263"/>
      <c r="C263"/>
      <c r="D263"/>
      <c r="E263"/>
      <c r="F263" s="27" t="s">
        <v>7</v>
      </c>
    </row>
    <row r="264" spans="1:166" x14ac:dyDescent="0.25">
      <c r="A264" s="30">
        <v>0.3100679102826473</v>
      </c>
      <c r="B264"/>
      <c r="C264"/>
      <c r="D264"/>
      <c r="E264"/>
      <c r="F264" s="27" t="s">
        <v>7</v>
      </c>
    </row>
    <row r="265" spans="1:166" x14ac:dyDescent="0.25">
      <c r="A265" s="30">
        <v>0.2953027716977592</v>
      </c>
      <c r="B265"/>
      <c r="C265"/>
      <c r="D265"/>
      <c r="E265"/>
      <c r="F265" s="27" t="s">
        <v>7</v>
      </c>
      <c r="FC265" s="31" t="s">
        <v>8</v>
      </c>
    </row>
    <row r="266" spans="1:166" x14ac:dyDescent="0.25">
      <c r="A266" s="30">
        <v>0.28124073495024676</v>
      </c>
      <c r="B266"/>
      <c r="C266"/>
      <c r="D266"/>
      <c r="E266"/>
      <c r="F266" s="27" t="s">
        <v>7</v>
      </c>
      <c r="FC266" s="27" t="s">
        <v>8</v>
      </c>
      <c r="FD266" s="31" t="s">
        <v>7</v>
      </c>
    </row>
    <row r="267" spans="1:166" x14ac:dyDescent="0.25">
      <c r="A267" s="30">
        <v>0.26784831900023492</v>
      </c>
      <c r="B267"/>
      <c r="C267"/>
      <c r="D267"/>
      <c r="E267"/>
      <c r="F267" s="27" t="s">
        <v>7</v>
      </c>
      <c r="FC267" s="27" t="s">
        <v>8</v>
      </c>
      <c r="FD267" s="27" t="s">
        <v>7</v>
      </c>
      <c r="FE267" s="31"/>
    </row>
    <row r="268" spans="1:166" x14ac:dyDescent="0.25">
      <c r="A268" s="30">
        <v>0.25509363714308075</v>
      </c>
      <c r="B268"/>
      <c r="C268"/>
      <c r="D268"/>
      <c r="E268"/>
      <c r="F268" s="27" t="s">
        <v>7</v>
      </c>
      <c r="FC268" s="27" t="s">
        <v>8</v>
      </c>
      <c r="FD268" s="27" t="s">
        <v>7</v>
      </c>
      <c r="FF268" s="31"/>
    </row>
    <row r="269" spans="1:166" x14ac:dyDescent="0.25">
      <c r="A269" s="30">
        <v>0.24294632108864825</v>
      </c>
      <c r="B269"/>
      <c r="C269"/>
      <c r="D269"/>
      <c r="E269"/>
      <c r="F269" s="27" t="s">
        <v>7</v>
      </c>
      <c r="FC269" s="27" t="s">
        <v>8</v>
      </c>
      <c r="FD269" s="27" t="s">
        <v>7</v>
      </c>
      <c r="FE269" s="27" t="s">
        <v>8</v>
      </c>
      <c r="FG269" s="31"/>
    </row>
    <row r="270" spans="1:166" x14ac:dyDescent="0.25">
      <c r="A270" s="30">
        <v>0.23137744865585538</v>
      </c>
      <c r="B270"/>
      <c r="C270"/>
      <c r="D270"/>
      <c r="E270"/>
      <c r="F270" s="27" t="s">
        <v>7</v>
      </c>
      <c r="FC270" s="27" t="s">
        <v>8</v>
      </c>
      <c r="FD270" s="27" t="s">
        <v>7</v>
      </c>
      <c r="FE270" s="27" t="s">
        <v>8</v>
      </c>
      <c r="FF270" s="27" t="s">
        <v>7</v>
      </c>
      <c r="FH270" s="31"/>
    </row>
    <row r="271" spans="1:166" x14ac:dyDescent="0.25">
      <c r="A271" s="30">
        <v>0.22035947491033836</v>
      </c>
      <c r="B271"/>
      <c r="C271"/>
      <c r="D271"/>
      <c r="E271"/>
      <c r="F271" s="27" t="s">
        <v>7</v>
      </c>
      <c r="FC271" s="27" t="s">
        <v>8</v>
      </c>
      <c r="FD271" s="27" t="s">
        <v>7</v>
      </c>
      <c r="FE271" s="27" t="s">
        <v>8</v>
      </c>
      <c r="FF271" s="27" t="s">
        <v>7</v>
      </c>
      <c r="FI271" s="31"/>
    </row>
    <row r="272" spans="1:166" x14ac:dyDescent="0.25">
      <c r="A272" s="30">
        <v>0.20986616658127455</v>
      </c>
      <c r="B272"/>
      <c r="C272"/>
      <c r="D272"/>
      <c r="E272"/>
      <c r="F272" s="27" t="s">
        <v>7</v>
      </c>
      <c r="FA272" s="27" t="s">
        <v>8</v>
      </c>
      <c r="FC272" s="27" t="s">
        <v>8</v>
      </c>
      <c r="FD272" s="27" t="s">
        <v>7</v>
      </c>
      <c r="FE272" s="27" t="s">
        <v>8</v>
      </c>
      <c r="FF272" s="27" t="s">
        <v>7</v>
      </c>
      <c r="FJ272" s="31"/>
    </row>
    <row r="273" spans="1:232" x14ac:dyDescent="0.25">
      <c r="A273" s="30">
        <v>0.19987253960121379</v>
      </c>
      <c r="B273"/>
      <c r="C273"/>
      <c r="D273"/>
      <c r="E273"/>
      <c r="F273" s="27" t="s">
        <v>7</v>
      </c>
      <c r="FA273" s="27" t="s">
        <v>8</v>
      </c>
      <c r="FB273" s="27" t="s">
        <v>7</v>
      </c>
      <c r="FC273" s="27" t="s">
        <v>8</v>
      </c>
      <c r="FD273" s="27" t="s">
        <v>7</v>
      </c>
      <c r="FE273" s="27" t="s">
        <v>8</v>
      </c>
      <c r="FF273" s="27" t="s">
        <v>7</v>
      </c>
      <c r="FK273" s="31"/>
    </row>
    <row r="274" spans="1:232" x14ac:dyDescent="0.25">
      <c r="A274" s="30">
        <v>0.19035479962020352</v>
      </c>
      <c r="B274"/>
      <c r="C274"/>
      <c r="D274"/>
      <c r="E274"/>
      <c r="F274" s="27" t="s">
        <v>7</v>
      </c>
      <c r="EW274" s="27" t="s">
        <v>8</v>
      </c>
      <c r="FA274" s="27" t="s">
        <v>8</v>
      </c>
      <c r="FB274" s="27" t="s">
        <v>7</v>
      </c>
      <c r="FC274" s="27" t="s">
        <v>8</v>
      </c>
      <c r="FD274" s="27" t="s">
        <v>7</v>
      </c>
      <c r="FF274" s="27" t="s">
        <v>7</v>
      </c>
      <c r="FL274" s="31"/>
    </row>
    <row r="275" spans="1:232" x14ac:dyDescent="0.25">
      <c r="A275" s="30">
        <v>0.18129028535257471</v>
      </c>
      <c r="B275"/>
      <c r="C275"/>
      <c r="D275"/>
      <c r="E275"/>
      <c r="F275" s="27" t="s">
        <v>7</v>
      </c>
      <c r="EW275" s="27" t="s">
        <v>8</v>
      </c>
      <c r="EX275" s="27" t="s">
        <v>7</v>
      </c>
      <c r="FA275" s="27" t="s">
        <v>8</v>
      </c>
      <c r="FB275" s="27" t="s">
        <v>7</v>
      </c>
      <c r="FC275" s="27" t="s">
        <v>8</v>
      </c>
      <c r="FF275" s="32" t="s">
        <v>7</v>
      </c>
      <c r="FM275" s="31"/>
    </row>
    <row r="276" spans="1:232" x14ac:dyDescent="0.25">
      <c r="A276" s="30">
        <v>0.17265741462149967</v>
      </c>
      <c r="B276"/>
      <c r="C276"/>
      <c r="D276"/>
      <c r="E276"/>
      <c r="F276" s="27" t="s">
        <v>7</v>
      </c>
      <c r="EW276" s="27" t="s">
        <v>8</v>
      </c>
      <c r="EX276" s="27" t="s">
        <v>7</v>
      </c>
      <c r="FA276" s="27" t="s">
        <v>8</v>
      </c>
      <c r="FB276" s="27" t="s">
        <v>7</v>
      </c>
      <c r="FC276" s="27" t="s">
        <v>8</v>
      </c>
      <c r="FF276" s="27" t="s">
        <v>7</v>
      </c>
      <c r="FG276" s="27" t="s">
        <v>8</v>
      </c>
      <c r="FM276" s="27" t="s">
        <v>8</v>
      </c>
      <c r="FN276" s="31"/>
    </row>
    <row r="277" spans="1:232" x14ac:dyDescent="0.25">
      <c r="A277" s="30">
        <v>0.16443563297285677</v>
      </c>
      <c r="B277"/>
      <c r="C277"/>
      <c r="D277"/>
      <c r="E277"/>
      <c r="F277" s="27" t="s">
        <v>7</v>
      </c>
      <c r="EW277" s="27" t="s">
        <v>8</v>
      </c>
      <c r="EX277" s="27" t="s">
        <v>7</v>
      </c>
      <c r="EY277" s="27" t="s">
        <v>8</v>
      </c>
      <c r="FA277" s="27" t="s">
        <v>8</v>
      </c>
      <c r="FB277" s="27" t="s">
        <v>7</v>
      </c>
      <c r="FF277" s="27" t="s">
        <v>7</v>
      </c>
      <c r="FG277" s="27" t="s">
        <v>8</v>
      </c>
      <c r="FH277" s="27" t="s">
        <v>7</v>
      </c>
      <c r="FM277" s="27" t="s">
        <v>8</v>
      </c>
      <c r="FN277" s="27" t="s">
        <v>7</v>
      </c>
      <c r="FO277" s="31"/>
      <c r="HK277" s="27" t="s">
        <v>8</v>
      </c>
    </row>
    <row r="278" spans="1:232" x14ac:dyDescent="0.25">
      <c r="A278" s="30">
        <v>0.15660536473605399</v>
      </c>
      <c r="B278"/>
      <c r="C278"/>
      <c r="D278"/>
      <c r="E278"/>
      <c r="F278" s="27" t="s">
        <v>7</v>
      </c>
      <c r="EW278" s="27" t="s">
        <v>8</v>
      </c>
      <c r="EX278" s="27" t="s">
        <v>7</v>
      </c>
      <c r="EY278" s="27" t="s">
        <v>8</v>
      </c>
      <c r="EZ278" s="27" t="s">
        <v>7</v>
      </c>
      <c r="FA278" s="27" t="s">
        <v>8</v>
      </c>
      <c r="FF278" s="27" t="s">
        <v>7</v>
      </c>
      <c r="FG278" s="27" t="s">
        <v>8</v>
      </c>
      <c r="FH278" s="27" t="s">
        <v>7</v>
      </c>
      <c r="FK278" s="33" t="s">
        <v>8</v>
      </c>
      <c r="FM278" s="27" t="s">
        <v>8</v>
      </c>
      <c r="FN278" s="27" t="s">
        <v>7</v>
      </c>
      <c r="FO278" s="27" t="s">
        <v>8</v>
      </c>
      <c r="FP278" s="31"/>
      <c r="HK278" s="27" t="s">
        <v>8</v>
      </c>
      <c r="HL278" s="27" t="s">
        <v>7</v>
      </c>
      <c r="HO278" s="27" t="s">
        <v>8</v>
      </c>
    </row>
    <row r="279" spans="1:232" x14ac:dyDescent="0.25">
      <c r="A279" s="30">
        <v>0.14914796641528946</v>
      </c>
      <c r="B279"/>
      <c r="C279"/>
      <c r="D279"/>
      <c r="E279"/>
      <c r="F279" s="27" t="s">
        <v>7</v>
      </c>
      <c r="EW279" s="27" t="s">
        <v>8</v>
      </c>
      <c r="EX279" s="27" t="s">
        <v>7</v>
      </c>
      <c r="EY279" s="27" t="s">
        <v>8</v>
      </c>
      <c r="EZ279" s="27" t="s">
        <v>7</v>
      </c>
      <c r="FA279" s="27" t="s">
        <v>8</v>
      </c>
      <c r="FF279" s="27" t="s">
        <v>7</v>
      </c>
      <c r="FG279" s="27" t="s">
        <v>8</v>
      </c>
      <c r="FH279" s="27" t="s">
        <v>7</v>
      </c>
      <c r="FI279" s="27" t="s">
        <v>8</v>
      </c>
      <c r="FK279" s="27" t="s">
        <v>8</v>
      </c>
      <c r="FL279" s="27" t="s">
        <v>7</v>
      </c>
      <c r="FM279" s="27" t="s">
        <v>8</v>
      </c>
      <c r="FN279" s="27" t="s">
        <v>7</v>
      </c>
      <c r="FO279" s="27" t="s">
        <v>8</v>
      </c>
      <c r="FP279" s="27" t="s">
        <v>7</v>
      </c>
      <c r="FQ279" s="31"/>
      <c r="HK279" s="27" t="s">
        <v>8</v>
      </c>
      <c r="HL279" s="27" t="s">
        <v>7</v>
      </c>
      <c r="HO279" s="27" t="s">
        <v>8</v>
      </c>
      <c r="HP279" s="27" t="s">
        <v>7</v>
      </c>
    </row>
    <row r="280" spans="1:232" x14ac:dyDescent="0.25">
      <c r="A280" s="30">
        <v>0.14204568230027562</v>
      </c>
      <c r="B280"/>
      <c r="C280"/>
      <c r="D280"/>
      <c r="E280"/>
      <c r="F280" s="27" t="s">
        <v>7</v>
      </c>
      <c r="EU280" s="27" t="s">
        <v>8</v>
      </c>
      <c r="EW280" s="27" t="s">
        <v>8</v>
      </c>
      <c r="EX280" s="27" t="s">
        <v>7</v>
      </c>
      <c r="EY280" s="27" t="s">
        <v>8</v>
      </c>
      <c r="EZ280" s="27" t="s">
        <v>7</v>
      </c>
      <c r="FA280" s="27" t="s">
        <v>8</v>
      </c>
      <c r="FF280" s="27" t="s">
        <v>7</v>
      </c>
      <c r="FH280" s="27" t="s">
        <v>7</v>
      </c>
      <c r="FI280" s="27" t="s">
        <v>8</v>
      </c>
      <c r="FJ280" s="27" t="s">
        <v>7</v>
      </c>
      <c r="FK280" s="27" t="s">
        <v>8</v>
      </c>
      <c r="FL280" s="27" t="s">
        <v>7</v>
      </c>
      <c r="FM280" s="27" t="s">
        <v>8</v>
      </c>
      <c r="FN280" s="27" t="s">
        <v>7</v>
      </c>
      <c r="FO280" s="27" t="s">
        <v>8</v>
      </c>
      <c r="FP280" s="27" t="s">
        <v>7</v>
      </c>
      <c r="FR280" s="31"/>
      <c r="HK280" s="27" t="s">
        <v>8</v>
      </c>
      <c r="HL280" s="27" t="s">
        <v>7</v>
      </c>
      <c r="HO280" s="27" t="s">
        <v>8</v>
      </c>
      <c r="HP280" s="27" t="s">
        <v>7</v>
      </c>
    </row>
    <row r="281" spans="1:232" x14ac:dyDescent="0.25">
      <c r="A281" s="30">
        <v>0.13528160219073862</v>
      </c>
      <c r="B281"/>
      <c r="C281"/>
      <c r="D281"/>
      <c r="E281"/>
      <c r="F281" s="27" t="s">
        <v>7</v>
      </c>
      <c r="ES281" s="27" t="s">
        <v>8</v>
      </c>
      <c r="EU281" s="27" t="s">
        <v>8</v>
      </c>
      <c r="EV281" s="27" t="s">
        <v>7</v>
      </c>
      <c r="EW281" s="27" t="s">
        <v>8</v>
      </c>
      <c r="EX281" s="27" t="s">
        <v>7</v>
      </c>
      <c r="EY281" s="27" t="s">
        <v>8</v>
      </c>
      <c r="EZ281" s="27" t="s">
        <v>7</v>
      </c>
      <c r="FA281" s="27" t="s">
        <v>8</v>
      </c>
      <c r="FH281" s="27" t="s">
        <v>7</v>
      </c>
      <c r="FI281" s="27" t="s">
        <v>8</v>
      </c>
      <c r="FJ281" s="27" t="s">
        <v>7</v>
      </c>
      <c r="FK281" s="27" t="s">
        <v>8</v>
      </c>
      <c r="FL281" s="27" t="s">
        <v>7</v>
      </c>
      <c r="FM281" s="27" t="s">
        <v>8</v>
      </c>
      <c r="FN281" s="27" t="s">
        <v>7</v>
      </c>
      <c r="FO281" s="27" t="s">
        <v>8</v>
      </c>
      <c r="FP281" s="27" t="s">
        <v>7</v>
      </c>
      <c r="FS281" s="31"/>
      <c r="HK281" s="27" t="s">
        <v>8</v>
      </c>
      <c r="HL281" s="27" t="s">
        <v>7</v>
      </c>
      <c r="HO281" s="27" t="s">
        <v>8</v>
      </c>
      <c r="HP281" s="27" t="s">
        <v>7</v>
      </c>
    </row>
    <row r="282" spans="1:232" x14ac:dyDescent="0.25">
      <c r="A282" s="30">
        <v>0.12883962113403674</v>
      </c>
      <c r="B282"/>
      <c r="C282"/>
      <c r="D282"/>
      <c r="E282"/>
      <c r="F282" s="27" t="s">
        <v>7</v>
      </c>
      <c r="ES282" s="27" t="s">
        <v>8</v>
      </c>
      <c r="ET282" s="27" t="s">
        <v>7</v>
      </c>
      <c r="EU282" s="27" t="s">
        <v>8</v>
      </c>
      <c r="EV282" s="27" t="s">
        <v>7</v>
      </c>
      <c r="EW282" s="27" t="s">
        <v>8</v>
      </c>
      <c r="EX282" s="27" t="s">
        <v>7</v>
      </c>
      <c r="EY282" s="27" t="s">
        <v>8</v>
      </c>
      <c r="EZ282" s="27" t="s">
        <v>7</v>
      </c>
      <c r="FH282" s="27" t="s">
        <v>7</v>
      </c>
      <c r="FJ282" s="27" t="s">
        <v>7</v>
      </c>
      <c r="FK282" s="27" t="s">
        <v>8</v>
      </c>
      <c r="FL282" s="27" t="s">
        <v>7</v>
      </c>
      <c r="FN282" s="27" t="s">
        <v>7</v>
      </c>
      <c r="FP282" s="27" t="s">
        <v>7</v>
      </c>
      <c r="FT282" s="31"/>
      <c r="HK282" s="27" t="s">
        <v>8</v>
      </c>
      <c r="HL282" s="27" t="s">
        <v>7</v>
      </c>
      <c r="HO282" s="27" t="s">
        <v>8</v>
      </c>
      <c r="HP282" s="27" t="s">
        <v>7</v>
      </c>
    </row>
    <row r="283" spans="1:232" x14ac:dyDescent="0.25">
      <c r="A283" s="30">
        <v>0.12270440108003494</v>
      </c>
      <c r="B283"/>
      <c r="C283"/>
      <c r="D283"/>
      <c r="E283"/>
      <c r="F283" s="27" t="s">
        <v>7</v>
      </c>
      <c r="ES283" s="27" t="s">
        <v>8</v>
      </c>
      <c r="ET283" s="27" t="s">
        <v>7</v>
      </c>
      <c r="EU283" s="27" t="s">
        <v>8</v>
      </c>
      <c r="EV283" s="34" t="s">
        <v>7</v>
      </c>
      <c r="EX283" s="34" t="s">
        <v>7</v>
      </c>
      <c r="FJ283" s="27" t="s">
        <v>7</v>
      </c>
      <c r="FK283" s="27" t="s">
        <v>8</v>
      </c>
      <c r="FP283" s="32" t="s">
        <v>7</v>
      </c>
      <c r="FQ283" s="27" t="s">
        <v>8</v>
      </c>
      <c r="FU283" s="31"/>
      <c r="GA283" s="27" t="s">
        <v>8</v>
      </c>
      <c r="GG283" s="31" t="s">
        <v>8</v>
      </c>
      <c r="GS283" s="27" t="s">
        <v>8</v>
      </c>
      <c r="HK283" s="27" t="s">
        <v>8</v>
      </c>
      <c r="HL283" s="27" t="s">
        <v>7</v>
      </c>
      <c r="HO283" s="27" t="s">
        <v>8</v>
      </c>
      <c r="HP283" s="27" t="s">
        <v>7</v>
      </c>
    </row>
    <row r="284" spans="1:232" x14ac:dyDescent="0.25">
      <c r="A284" s="30">
        <v>0.11686133436193799</v>
      </c>
      <c r="B284"/>
      <c r="C284"/>
      <c r="D284"/>
      <c r="E284"/>
      <c r="F284" s="27" t="s">
        <v>7</v>
      </c>
      <c r="ES284" s="27" t="s">
        <v>8</v>
      </c>
      <c r="ET284" s="27" t="s">
        <v>7</v>
      </c>
      <c r="EU284" s="27" t="s">
        <v>8</v>
      </c>
      <c r="FJ284" s="27" t="s">
        <v>7</v>
      </c>
      <c r="FK284" s="27" t="s">
        <v>8</v>
      </c>
      <c r="FP284" s="27" t="s">
        <v>7</v>
      </c>
      <c r="FQ284" s="27" t="s">
        <v>8</v>
      </c>
      <c r="FR284" s="27" t="s">
        <v>7</v>
      </c>
      <c r="FS284" s="27" t="s">
        <v>8</v>
      </c>
      <c r="FV284" s="31"/>
      <c r="GA284" s="27" t="s">
        <v>8</v>
      </c>
      <c r="GB284" s="27" t="s">
        <v>7</v>
      </c>
      <c r="GG284" s="27" t="s">
        <v>8</v>
      </c>
      <c r="GH284" s="31" t="s">
        <v>7</v>
      </c>
      <c r="GS284" s="27" t="s">
        <v>8</v>
      </c>
      <c r="GT284" s="27" t="s">
        <v>7</v>
      </c>
      <c r="HK284" s="27" t="s">
        <v>8</v>
      </c>
      <c r="HL284" s="27" t="s">
        <v>7</v>
      </c>
      <c r="HO284" s="27" t="s">
        <v>8</v>
      </c>
      <c r="HP284" s="27" t="s">
        <v>7</v>
      </c>
    </row>
    <row r="285" spans="1:232" x14ac:dyDescent="0.25">
      <c r="A285" s="30">
        <v>0.11129650891613138</v>
      </c>
      <c r="B285"/>
      <c r="C285"/>
      <c r="D285"/>
      <c r="E285"/>
      <c r="F285" s="27" t="s">
        <v>7</v>
      </c>
      <c r="EQ285" s="27" t="s">
        <v>8</v>
      </c>
      <c r="ES285" s="27" t="s">
        <v>8</v>
      </c>
      <c r="ET285" s="27" t="s">
        <v>7</v>
      </c>
      <c r="FJ285" s="27" t="s">
        <v>7</v>
      </c>
      <c r="FK285" s="27" t="s">
        <v>8</v>
      </c>
      <c r="FP285" s="27" t="s">
        <v>7</v>
      </c>
      <c r="FQ285" s="27" t="s">
        <v>8</v>
      </c>
      <c r="FR285" s="27" t="s">
        <v>7</v>
      </c>
      <c r="FS285" s="27" t="s">
        <v>8</v>
      </c>
      <c r="FT285" s="27" t="s">
        <v>7</v>
      </c>
      <c r="FW285" s="31"/>
      <c r="GA285" s="27" t="s">
        <v>8</v>
      </c>
      <c r="GB285" s="27" t="s">
        <v>7</v>
      </c>
      <c r="GG285" s="27" t="s">
        <v>8</v>
      </c>
      <c r="GH285" s="27" t="s">
        <v>7</v>
      </c>
      <c r="GI285" s="31"/>
      <c r="GS285" s="27" t="s">
        <v>8</v>
      </c>
      <c r="GT285" s="27" t="s">
        <v>7</v>
      </c>
      <c r="GU285" s="27" t="s">
        <v>8</v>
      </c>
      <c r="HI285" s="27" t="s">
        <v>8</v>
      </c>
      <c r="HK285" s="27" t="s">
        <v>8</v>
      </c>
      <c r="HL285" s="27" t="s">
        <v>7</v>
      </c>
      <c r="HO285" s="27" t="s">
        <v>8</v>
      </c>
      <c r="HP285" s="27" t="s">
        <v>7</v>
      </c>
    </row>
    <row r="286" spans="1:232" x14ac:dyDescent="0.25">
      <c r="A286" s="30">
        <v>0.10599667515822032</v>
      </c>
      <c r="B286"/>
      <c r="C286"/>
      <c r="D286"/>
      <c r="E286"/>
      <c r="F286" s="27" t="s">
        <v>7</v>
      </c>
      <c r="EQ286" s="27" t="s">
        <v>8</v>
      </c>
      <c r="ER286" s="27" t="s">
        <v>7</v>
      </c>
      <c r="ES286" s="27" t="s">
        <v>8</v>
      </c>
      <c r="FJ286" s="27" t="s">
        <v>7</v>
      </c>
      <c r="FK286" s="27" t="s">
        <v>8</v>
      </c>
      <c r="FP286" s="27" t="s">
        <v>7</v>
      </c>
      <c r="FR286" s="27" t="s">
        <v>7</v>
      </c>
      <c r="FS286" s="27" t="s">
        <v>8</v>
      </c>
      <c r="FT286" s="27" t="s">
        <v>7</v>
      </c>
      <c r="FX286" s="31"/>
      <c r="GA286" s="27" t="s">
        <v>8</v>
      </c>
      <c r="GB286" s="27" t="s">
        <v>7</v>
      </c>
      <c r="GG286" s="27" t="s">
        <v>8</v>
      </c>
      <c r="GH286" s="27" t="s">
        <v>7</v>
      </c>
      <c r="GJ286" s="31"/>
      <c r="GQ286" s="27" t="s">
        <v>8</v>
      </c>
      <c r="GS286" s="27" t="s">
        <v>8</v>
      </c>
      <c r="GT286" s="27" t="s">
        <v>7</v>
      </c>
      <c r="GU286" s="27" t="s">
        <v>8</v>
      </c>
      <c r="GV286" s="27" t="s">
        <v>7</v>
      </c>
      <c r="GW286" s="27" t="s">
        <v>8</v>
      </c>
      <c r="HG286" s="27" t="s">
        <v>8</v>
      </c>
      <c r="HI286" s="27" t="s">
        <v>8</v>
      </c>
      <c r="HJ286" s="27" t="s">
        <v>7</v>
      </c>
      <c r="HK286" s="27" t="s">
        <v>8</v>
      </c>
      <c r="HL286" s="27" t="s">
        <v>7</v>
      </c>
      <c r="HM286" s="27" t="s">
        <v>8</v>
      </c>
      <c r="HO286" s="27" t="s">
        <v>8</v>
      </c>
      <c r="HP286" s="27" t="s">
        <v>7</v>
      </c>
      <c r="HW286" s="27" t="s">
        <v>8</v>
      </c>
    </row>
    <row r="287" spans="1:232" x14ac:dyDescent="0.25">
      <c r="A287" s="30">
        <v>0.10094921443640027</v>
      </c>
      <c r="B287"/>
      <c r="C287"/>
      <c r="D287"/>
      <c r="E287"/>
      <c r="F287" s="27" t="s">
        <v>7</v>
      </c>
      <c r="G287" s="27" t="s">
        <v>8</v>
      </c>
      <c r="EE287" s="27" t="s">
        <v>8</v>
      </c>
      <c r="EQ287" s="27" t="s">
        <v>8</v>
      </c>
      <c r="ER287" s="27" t="s">
        <v>7</v>
      </c>
      <c r="ES287" s="27" t="s">
        <v>8</v>
      </c>
      <c r="FJ287" s="27" t="s">
        <v>7</v>
      </c>
      <c r="FK287" s="27" t="s">
        <v>8</v>
      </c>
      <c r="FR287" s="27" t="s">
        <v>7</v>
      </c>
      <c r="FS287" s="27" t="s">
        <v>8</v>
      </c>
      <c r="FT287" s="27" t="s">
        <v>7</v>
      </c>
      <c r="FY287" s="31"/>
      <c r="GA287" s="27" t="s">
        <v>8</v>
      </c>
      <c r="GB287" s="27" t="s">
        <v>7</v>
      </c>
      <c r="GG287" s="27" t="s">
        <v>8</v>
      </c>
      <c r="GH287" s="27" t="s">
        <v>7</v>
      </c>
      <c r="GK287" s="31"/>
      <c r="GQ287" s="27" t="s">
        <v>8</v>
      </c>
      <c r="GR287" s="27" t="s">
        <v>7</v>
      </c>
      <c r="GS287" s="27" t="s">
        <v>8</v>
      </c>
      <c r="GT287" s="27" t="s">
        <v>7</v>
      </c>
      <c r="GU287" s="27" t="s">
        <v>8</v>
      </c>
      <c r="GV287" s="27" t="s">
        <v>7</v>
      </c>
      <c r="GW287" s="27" t="s">
        <v>8</v>
      </c>
      <c r="GX287" s="27" t="s">
        <v>7</v>
      </c>
      <c r="HG287" s="27" t="s">
        <v>8</v>
      </c>
      <c r="HH287" s="27" t="s">
        <v>7</v>
      </c>
      <c r="HI287" s="27" t="s">
        <v>8</v>
      </c>
      <c r="HJ287" s="27" t="s">
        <v>7</v>
      </c>
      <c r="HK287" s="27" t="s">
        <v>8</v>
      </c>
      <c r="HL287" s="27" t="s">
        <v>7</v>
      </c>
      <c r="HM287" s="27" t="s">
        <v>8</v>
      </c>
      <c r="HN287" s="27" t="s">
        <v>7</v>
      </c>
      <c r="HO287" s="27" t="s">
        <v>8</v>
      </c>
      <c r="HP287" s="27" t="s">
        <v>7</v>
      </c>
      <c r="HU287" s="27" t="s">
        <v>8</v>
      </c>
      <c r="HW287" s="27" t="s">
        <v>8</v>
      </c>
      <c r="HX287" s="27" t="s">
        <v>7</v>
      </c>
    </row>
    <row r="288" spans="1:232" x14ac:dyDescent="0.25">
      <c r="A288" s="30">
        <v>9.6142108987047836E-2</v>
      </c>
      <c r="B288"/>
      <c r="C288"/>
      <c r="D288"/>
      <c r="E288"/>
      <c r="F288" s="27" t="s">
        <v>7</v>
      </c>
      <c r="G288" s="27" t="s">
        <v>8</v>
      </c>
      <c r="H288" s="27" t="s">
        <v>7</v>
      </c>
      <c r="EE288" s="27" t="s">
        <v>8</v>
      </c>
      <c r="EF288" s="27" t="s">
        <v>7</v>
      </c>
      <c r="EQ288" s="27" t="s">
        <v>8</v>
      </c>
      <c r="ER288" s="27" t="s">
        <v>7</v>
      </c>
      <c r="ES288" s="27" t="s">
        <v>8</v>
      </c>
      <c r="FJ288" s="27" t="s">
        <v>7</v>
      </c>
      <c r="FR288" s="27" t="s">
        <v>7</v>
      </c>
      <c r="FT288" s="27" t="s">
        <v>7</v>
      </c>
      <c r="FZ288" s="31"/>
      <c r="GA288" s="27" t="s">
        <v>8</v>
      </c>
      <c r="GB288" s="27" t="s">
        <v>7</v>
      </c>
      <c r="GG288" s="27" t="s">
        <v>8</v>
      </c>
      <c r="GH288" s="27" t="s">
        <v>7</v>
      </c>
      <c r="GL288" s="31"/>
      <c r="GO288" s="27" t="s">
        <v>8</v>
      </c>
      <c r="GQ288" s="27" t="s">
        <v>8</v>
      </c>
      <c r="GR288" s="27" t="s">
        <v>7</v>
      </c>
      <c r="GS288" s="27" t="s">
        <v>8</v>
      </c>
      <c r="GT288" s="27" t="s">
        <v>7</v>
      </c>
      <c r="GU288" s="27" t="s">
        <v>8</v>
      </c>
      <c r="GV288" s="27" t="s">
        <v>7</v>
      </c>
      <c r="GW288" s="27" t="s">
        <v>8</v>
      </c>
      <c r="GX288" s="27" t="s">
        <v>7</v>
      </c>
      <c r="HC288" s="27" t="s">
        <v>8</v>
      </c>
      <c r="HE288" s="27" t="s">
        <v>8</v>
      </c>
      <c r="HG288" s="27" t="s">
        <v>8</v>
      </c>
      <c r="HH288" s="27" t="s">
        <v>7</v>
      </c>
      <c r="HI288" s="27" t="s">
        <v>8</v>
      </c>
      <c r="HJ288" s="27" t="s">
        <v>7</v>
      </c>
      <c r="HK288" s="27" t="s">
        <v>8</v>
      </c>
      <c r="HL288" s="27" t="s">
        <v>7</v>
      </c>
      <c r="HM288" s="27" t="s">
        <v>8</v>
      </c>
      <c r="HN288" s="27" t="s">
        <v>7</v>
      </c>
      <c r="HO288" s="27" t="s">
        <v>8</v>
      </c>
      <c r="HP288" s="27" t="s">
        <v>7</v>
      </c>
      <c r="HU288" s="27" t="s">
        <v>8</v>
      </c>
      <c r="HV288" s="27" t="s">
        <v>7</v>
      </c>
      <c r="HW288" s="27" t="s">
        <v>8</v>
      </c>
      <c r="HX288" s="27" t="s">
        <v>7</v>
      </c>
    </row>
    <row r="289" spans="1:237" x14ac:dyDescent="0.25">
      <c r="A289" s="30">
        <v>9.1563913320997906E-2</v>
      </c>
      <c r="B289"/>
      <c r="C289"/>
      <c r="D289"/>
      <c r="E289"/>
      <c r="F289" s="27" t="s">
        <v>7</v>
      </c>
      <c r="G289" s="27" t="s">
        <v>8</v>
      </c>
      <c r="H289" s="27" t="s">
        <v>7</v>
      </c>
      <c r="CE289" s="27" t="s">
        <v>8</v>
      </c>
      <c r="EE289" s="27" t="s">
        <v>8</v>
      </c>
      <c r="EF289" s="27" t="s">
        <v>7</v>
      </c>
      <c r="EQ289" s="27" t="s">
        <v>8</v>
      </c>
      <c r="ER289" s="27" t="s">
        <v>7</v>
      </c>
      <c r="ES289" s="27" t="s">
        <v>8</v>
      </c>
      <c r="FT289" s="27" t="s">
        <v>7</v>
      </c>
      <c r="GA289" s="31" t="s">
        <v>8</v>
      </c>
      <c r="GB289" s="27" t="s">
        <v>7</v>
      </c>
      <c r="GG289" s="27" t="s">
        <v>8</v>
      </c>
      <c r="GH289" s="27" t="s">
        <v>7</v>
      </c>
      <c r="GM289" s="31"/>
      <c r="GO289" s="27" t="s">
        <v>8</v>
      </c>
      <c r="GP289" s="27" t="s">
        <v>7</v>
      </c>
      <c r="GQ289" s="27" t="s">
        <v>8</v>
      </c>
      <c r="GR289" s="27" t="s">
        <v>7</v>
      </c>
      <c r="GT289" s="27" t="s">
        <v>7</v>
      </c>
      <c r="GU289" s="27" t="s">
        <v>8</v>
      </c>
      <c r="GV289" s="27" t="s">
        <v>7</v>
      </c>
      <c r="GW289" s="27" t="s">
        <v>8</v>
      </c>
      <c r="GX289" s="27" t="s">
        <v>7</v>
      </c>
      <c r="HC289" s="27" t="s">
        <v>8</v>
      </c>
      <c r="HD289" s="27" t="s">
        <v>7</v>
      </c>
      <c r="HE289" s="27" t="s">
        <v>8</v>
      </c>
      <c r="HF289" s="27" t="s">
        <v>7</v>
      </c>
      <c r="HG289" s="27" t="s">
        <v>8</v>
      </c>
      <c r="HH289" s="27" t="s">
        <v>7</v>
      </c>
      <c r="HI289" s="27" t="s">
        <v>8</v>
      </c>
      <c r="HJ289" s="27" t="s">
        <v>7</v>
      </c>
      <c r="HK289" s="27" t="s">
        <v>8</v>
      </c>
      <c r="HL289" s="27" t="s">
        <v>7</v>
      </c>
      <c r="HN289" s="27" t="s">
        <v>7</v>
      </c>
      <c r="HP289" s="27" t="s">
        <v>7</v>
      </c>
      <c r="HQ289" s="27" t="s">
        <v>8</v>
      </c>
      <c r="HS289" s="27" t="s">
        <v>8</v>
      </c>
      <c r="HU289" s="27" t="s">
        <v>8</v>
      </c>
      <c r="HV289" s="27" t="s">
        <v>7</v>
      </c>
      <c r="HW289" s="27" t="s">
        <v>8</v>
      </c>
      <c r="HX289" s="27" t="s">
        <v>7</v>
      </c>
    </row>
    <row r="290" spans="1:237" x14ac:dyDescent="0.25">
      <c r="A290" s="30">
        <v>8.7203726972378923E-2</v>
      </c>
      <c r="B290"/>
      <c r="C290"/>
      <c r="D290"/>
      <c r="E290"/>
      <c r="F290" s="27" t="s">
        <v>7</v>
      </c>
      <c r="G290" s="27" t="s">
        <v>8</v>
      </c>
      <c r="H290" s="27" t="s">
        <v>7</v>
      </c>
      <c r="CC290" s="27" t="s">
        <v>8</v>
      </c>
      <c r="CE290" s="27" t="s">
        <v>8</v>
      </c>
      <c r="CF290" s="27" t="s">
        <v>7</v>
      </c>
      <c r="EE290" s="27" t="s">
        <v>8</v>
      </c>
      <c r="EF290" s="27" t="s">
        <v>7</v>
      </c>
      <c r="EQ290" s="27" t="s">
        <v>8</v>
      </c>
      <c r="ER290" s="27" t="s">
        <v>7</v>
      </c>
      <c r="ES290" s="27" t="s">
        <v>8</v>
      </c>
      <c r="FT290" s="27" t="s">
        <v>7</v>
      </c>
      <c r="GA290" s="27" t="s">
        <v>8</v>
      </c>
      <c r="GB290" s="27" t="s">
        <v>7</v>
      </c>
      <c r="GG290" s="27" t="s">
        <v>8</v>
      </c>
      <c r="GH290" s="27" t="s">
        <v>7</v>
      </c>
      <c r="GM290" s="27" t="s">
        <v>8</v>
      </c>
      <c r="GN290" s="31"/>
      <c r="GO290" s="27" t="s">
        <v>8</v>
      </c>
      <c r="GP290" s="27" t="s">
        <v>7</v>
      </c>
      <c r="GQ290" s="27" t="s">
        <v>8</v>
      </c>
      <c r="GT290" s="27" t="s">
        <v>7</v>
      </c>
      <c r="GU290" s="27" t="s">
        <v>8</v>
      </c>
      <c r="GV290" s="27" t="s">
        <v>7</v>
      </c>
      <c r="GX290" s="27" t="s">
        <v>7</v>
      </c>
      <c r="GY290" s="27" t="s">
        <v>8</v>
      </c>
      <c r="HA290" s="27" t="s">
        <v>8</v>
      </c>
      <c r="HC290" s="27" t="s">
        <v>8</v>
      </c>
      <c r="HD290" s="27" t="s">
        <v>7</v>
      </c>
      <c r="HE290" s="27" t="s">
        <v>8</v>
      </c>
      <c r="HF290" s="27" t="s">
        <v>7</v>
      </c>
      <c r="HG290" s="27" t="s">
        <v>8</v>
      </c>
      <c r="HH290" s="27" t="s">
        <v>7</v>
      </c>
      <c r="HJ290" s="27" t="s">
        <v>7</v>
      </c>
      <c r="HK290" s="27" t="s">
        <v>8</v>
      </c>
      <c r="HP290" s="27" t="s">
        <v>7</v>
      </c>
      <c r="HQ290" s="27" t="s">
        <v>8</v>
      </c>
      <c r="HR290" s="27" t="s">
        <v>7</v>
      </c>
      <c r="HS290" s="27" t="s">
        <v>8</v>
      </c>
      <c r="HT290" s="27" t="s">
        <v>7</v>
      </c>
      <c r="HU290" s="27" t="s">
        <v>8</v>
      </c>
      <c r="HV290" s="27" t="s">
        <v>7</v>
      </c>
      <c r="HW290" s="27" t="s">
        <v>8</v>
      </c>
      <c r="HX290" s="27" t="s">
        <v>7</v>
      </c>
    </row>
    <row r="291" spans="1:237" x14ac:dyDescent="0.25">
      <c r="A291" s="30">
        <v>8.3051168545122747E-2</v>
      </c>
      <c r="B291"/>
      <c r="C291"/>
      <c r="D291"/>
      <c r="E291"/>
      <c r="F291" s="27" t="s">
        <v>7</v>
      </c>
      <c r="H291" s="27" t="s">
        <v>7</v>
      </c>
      <c r="CC291" s="27" t="s">
        <v>8</v>
      </c>
      <c r="CD291" s="27" t="s">
        <v>7</v>
      </c>
      <c r="CE291" s="27" t="s">
        <v>8</v>
      </c>
      <c r="CF291" s="27" t="s">
        <v>7</v>
      </c>
      <c r="EE291" s="27" t="s">
        <v>8</v>
      </c>
      <c r="EF291" s="27" t="s">
        <v>7</v>
      </c>
      <c r="EG291" s="27" t="s">
        <v>8</v>
      </c>
      <c r="EQ291" s="27" t="s">
        <v>8</v>
      </c>
      <c r="ER291" s="27" t="s">
        <v>7</v>
      </c>
      <c r="FT291" s="27" t="s">
        <v>7</v>
      </c>
      <c r="FU291" s="27" t="s">
        <v>8</v>
      </c>
      <c r="GA291" s="27" t="s">
        <v>8</v>
      </c>
      <c r="GB291" s="27" t="s">
        <v>7</v>
      </c>
      <c r="GG291" s="27" t="s">
        <v>8</v>
      </c>
      <c r="GH291" s="27" t="s">
        <v>7</v>
      </c>
      <c r="GK291" s="27" t="s">
        <v>8</v>
      </c>
      <c r="GM291" s="27" t="s">
        <v>8</v>
      </c>
      <c r="GN291" s="27" t="s">
        <v>7</v>
      </c>
      <c r="GO291" s="31" t="s">
        <v>8</v>
      </c>
      <c r="GP291" s="27" t="s">
        <v>7</v>
      </c>
      <c r="GT291" s="27" t="s">
        <v>7</v>
      </c>
      <c r="GU291" s="27" t="s">
        <v>8</v>
      </c>
      <c r="GX291" s="27" t="s">
        <v>7</v>
      </c>
      <c r="GY291" s="27" t="s">
        <v>8</v>
      </c>
      <c r="GZ291" s="27" t="s">
        <v>7</v>
      </c>
      <c r="HA291" s="27" t="s">
        <v>8</v>
      </c>
      <c r="HB291" s="27" t="s">
        <v>7</v>
      </c>
      <c r="HC291" s="27" t="s">
        <v>8</v>
      </c>
      <c r="HD291" s="27" t="s">
        <v>7</v>
      </c>
      <c r="HE291" s="27" t="s">
        <v>8</v>
      </c>
      <c r="HF291" s="27" t="s">
        <v>7</v>
      </c>
      <c r="HJ291" s="27" t="s">
        <v>7</v>
      </c>
      <c r="HK291" s="27" t="s">
        <v>8</v>
      </c>
      <c r="HP291" s="27" t="s">
        <v>7</v>
      </c>
      <c r="HQ291" s="27" t="s">
        <v>8</v>
      </c>
      <c r="HR291" s="27" t="s">
        <v>7</v>
      </c>
      <c r="HS291" s="27" t="s">
        <v>8</v>
      </c>
      <c r="HT291" s="27" t="s">
        <v>7</v>
      </c>
      <c r="HU291" s="27" t="s">
        <v>8</v>
      </c>
      <c r="HV291" s="27" t="s">
        <v>7</v>
      </c>
      <c r="HX291" s="27" t="s">
        <v>7</v>
      </c>
    </row>
    <row r="292" spans="1:237" x14ac:dyDescent="0.25">
      <c r="A292" s="30">
        <v>7.9096350995354961E-2</v>
      </c>
      <c r="B292"/>
      <c r="C292"/>
      <c r="D292"/>
      <c r="E292"/>
      <c r="H292" s="27" t="s">
        <v>7</v>
      </c>
      <c r="CC292" s="27" t="s">
        <v>8</v>
      </c>
      <c r="CD292" s="27" t="s">
        <v>7</v>
      </c>
      <c r="CE292" s="27" t="s">
        <v>8</v>
      </c>
      <c r="CF292" s="27" t="s">
        <v>7</v>
      </c>
      <c r="EE292" s="27" t="s">
        <v>8</v>
      </c>
      <c r="EF292" s="27" t="s">
        <v>7</v>
      </c>
      <c r="EG292" s="27" t="s">
        <v>8</v>
      </c>
      <c r="EH292" s="27" t="s">
        <v>7</v>
      </c>
      <c r="EI292" s="27" t="s">
        <v>8</v>
      </c>
      <c r="EQ292" s="27" t="s">
        <v>8</v>
      </c>
      <c r="FT292" s="27" t="s">
        <v>7</v>
      </c>
      <c r="FU292" s="27" t="s">
        <v>8</v>
      </c>
      <c r="FV292" s="27" t="s">
        <v>7</v>
      </c>
      <c r="GA292" s="27" t="s">
        <v>8</v>
      </c>
      <c r="GB292" s="27" t="s">
        <v>7</v>
      </c>
      <c r="GC292" s="27" t="s">
        <v>8</v>
      </c>
      <c r="GG292" s="27" t="s">
        <v>8</v>
      </c>
      <c r="GH292" s="27" t="s">
        <v>7</v>
      </c>
      <c r="GK292" s="27" t="s">
        <v>8</v>
      </c>
      <c r="GL292" s="27" t="s">
        <v>7</v>
      </c>
      <c r="GM292" s="27" t="s">
        <v>8</v>
      </c>
      <c r="GN292" s="27" t="s">
        <v>7</v>
      </c>
      <c r="GO292" s="27" t="s">
        <v>8</v>
      </c>
      <c r="GP292" s="31"/>
      <c r="GT292" s="27" t="s">
        <v>7</v>
      </c>
      <c r="GX292" s="27" t="s">
        <v>7</v>
      </c>
      <c r="GY292" s="27" t="s">
        <v>8</v>
      </c>
      <c r="GZ292" s="27" t="s">
        <v>7</v>
      </c>
      <c r="HA292" s="27" t="s">
        <v>8</v>
      </c>
      <c r="HB292" s="27" t="s">
        <v>7</v>
      </c>
      <c r="HC292" s="27" t="s">
        <v>8</v>
      </c>
      <c r="HD292" s="27" t="s">
        <v>7</v>
      </c>
      <c r="HJ292" s="27" t="s">
        <v>7</v>
      </c>
      <c r="HK292" s="27" t="s">
        <v>8</v>
      </c>
      <c r="HP292" s="27" t="s">
        <v>7</v>
      </c>
      <c r="HQ292" s="27" t="s">
        <v>8</v>
      </c>
      <c r="HR292" s="27" t="s">
        <v>7</v>
      </c>
      <c r="HS292" s="27" t="s">
        <v>8</v>
      </c>
      <c r="HT292" s="27" t="s">
        <v>7</v>
      </c>
      <c r="HU292" s="27" t="s">
        <v>8</v>
      </c>
      <c r="HX292" s="27" t="s">
        <v>7</v>
      </c>
      <c r="HY292" s="27" t="s">
        <v>8</v>
      </c>
    </row>
    <row r="293" spans="1:237" x14ac:dyDescent="0.25">
      <c r="A293" s="30">
        <v>7.5329858090814217E-2</v>
      </c>
      <c r="B293"/>
      <c r="C293"/>
      <c r="D293"/>
      <c r="E293"/>
      <c r="H293" s="27" t="s">
        <v>7</v>
      </c>
      <c r="CC293" s="27" t="s">
        <v>8</v>
      </c>
      <c r="CD293" s="27" t="s">
        <v>7</v>
      </c>
      <c r="CE293" s="27" t="s">
        <v>8</v>
      </c>
      <c r="CF293" s="27" t="s">
        <v>7</v>
      </c>
      <c r="EE293" s="27" t="s">
        <v>8</v>
      </c>
      <c r="EF293" s="27" t="s">
        <v>7</v>
      </c>
      <c r="EG293" s="27" t="s">
        <v>8</v>
      </c>
      <c r="EH293" s="27" t="s">
        <v>7</v>
      </c>
      <c r="EI293" s="27" t="s">
        <v>8</v>
      </c>
      <c r="EJ293" s="27" t="s">
        <v>7</v>
      </c>
      <c r="EQ293" s="27" t="s">
        <v>8</v>
      </c>
      <c r="FT293" s="27" t="s">
        <v>7</v>
      </c>
      <c r="FU293" s="27" t="s">
        <v>8</v>
      </c>
      <c r="FV293" s="27" t="s">
        <v>7</v>
      </c>
      <c r="GA293" s="27" t="s">
        <v>8</v>
      </c>
      <c r="GB293" s="27" t="s">
        <v>7</v>
      </c>
      <c r="GC293" s="27" t="s">
        <v>8</v>
      </c>
      <c r="GD293" s="27" t="s">
        <v>7</v>
      </c>
      <c r="GG293" s="33" t="s">
        <v>8</v>
      </c>
      <c r="GH293" s="27" t="s">
        <v>7</v>
      </c>
      <c r="GK293" s="27" t="s">
        <v>8</v>
      </c>
      <c r="GL293" s="27" t="s">
        <v>7</v>
      </c>
      <c r="GM293" s="27" t="s">
        <v>8</v>
      </c>
      <c r="GN293" s="27" t="s">
        <v>7</v>
      </c>
      <c r="GO293" s="27" t="s">
        <v>8</v>
      </c>
      <c r="GQ293" s="31"/>
      <c r="GX293" s="27" t="s">
        <v>7</v>
      </c>
      <c r="GZ293" s="27" t="s">
        <v>7</v>
      </c>
      <c r="HB293" s="27" t="s">
        <v>7</v>
      </c>
      <c r="HJ293" s="27" t="s">
        <v>7</v>
      </c>
      <c r="HP293" s="27" t="s">
        <v>7</v>
      </c>
      <c r="HR293" s="27" t="s">
        <v>7</v>
      </c>
      <c r="HT293" s="27" t="s">
        <v>7</v>
      </c>
      <c r="HU293" s="27" t="s">
        <v>8</v>
      </c>
      <c r="HX293" s="27" t="s">
        <v>7</v>
      </c>
      <c r="HY293" s="27" t="s">
        <v>8</v>
      </c>
      <c r="HZ293" s="27" t="s">
        <v>7</v>
      </c>
    </row>
    <row r="294" spans="1:237" x14ac:dyDescent="0.25">
      <c r="A294" s="30">
        <v>7.1742721991251604E-2</v>
      </c>
      <c r="B294"/>
      <c r="C294"/>
      <c r="D294"/>
      <c r="E294"/>
      <c r="H294" s="27" t="s">
        <v>7</v>
      </c>
      <c r="BY294" s="27" t="s">
        <v>8</v>
      </c>
      <c r="CA294" s="27" t="s">
        <v>8</v>
      </c>
      <c r="CC294" s="27" t="s">
        <v>8</v>
      </c>
      <c r="CD294" s="27" t="s">
        <v>7</v>
      </c>
      <c r="CE294" s="27" t="s">
        <v>8</v>
      </c>
      <c r="CF294" s="27" t="s">
        <v>7</v>
      </c>
      <c r="EE294" s="27" t="s">
        <v>8</v>
      </c>
      <c r="EF294" s="27" t="s">
        <v>7</v>
      </c>
      <c r="EG294" s="27" t="s">
        <v>8</v>
      </c>
      <c r="EH294" s="27" t="s">
        <v>7</v>
      </c>
      <c r="EI294" s="27" t="s">
        <v>8</v>
      </c>
      <c r="EJ294" s="27" t="s">
        <v>7</v>
      </c>
      <c r="EQ294" s="27" t="s">
        <v>8</v>
      </c>
      <c r="FT294" s="27" t="s">
        <v>7</v>
      </c>
      <c r="FU294" s="27" t="s">
        <v>8</v>
      </c>
      <c r="FV294" s="27" t="s">
        <v>7</v>
      </c>
      <c r="GA294" s="27" t="s">
        <v>8</v>
      </c>
      <c r="GB294" s="27" t="s">
        <v>7</v>
      </c>
      <c r="GC294" s="27" t="s">
        <v>8</v>
      </c>
      <c r="GD294" s="27" t="s">
        <v>7</v>
      </c>
      <c r="GE294" s="27" t="s">
        <v>8</v>
      </c>
      <c r="GG294" s="27" t="s">
        <v>8</v>
      </c>
      <c r="GH294" s="27" t="s">
        <v>7</v>
      </c>
      <c r="GK294" s="27" t="s">
        <v>8</v>
      </c>
      <c r="GL294" s="27" t="s">
        <v>7</v>
      </c>
      <c r="GM294" s="27" t="s">
        <v>8</v>
      </c>
      <c r="GN294" s="27" t="s">
        <v>7</v>
      </c>
      <c r="HT294" s="27" t="s">
        <v>7</v>
      </c>
      <c r="HU294" s="27" t="s">
        <v>8</v>
      </c>
      <c r="HX294" s="27" t="s">
        <v>7</v>
      </c>
      <c r="HY294" s="27" t="s">
        <v>8</v>
      </c>
      <c r="HZ294" s="27" t="s">
        <v>7</v>
      </c>
    </row>
    <row r="295" spans="1:237" x14ac:dyDescent="0.25">
      <c r="A295" s="30">
        <v>6.8326401896430078E-2</v>
      </c>
      <c r="B295"/>
      <c r="C295"/>
      <c r="D295"/>
      <c r="E295"/>
      <c r="H295" s="27" t="s">
        <v>7</v>
      </c>
      <c r="I295" s="27" t="s">
        <v>8</v>
      </c>
      <c r="BW295" s="27" t="s">
        <v>8</v>
      </c>
      <c r="BY295" s="27" t="s">
        <v>8</v>
      </c>
      <c r="BZ295" s="27" t="s">
        <v>7</v>
      </c>
      <c r="CA295" s="27" t="s">
        <v>8</v>
      </c>
      <c r="CB295" s="27" t="s">
        <v>7</v>
      </c>
      <c r="CC295" s="27" t="s">
        <v>8</v>
      </c>
      <c r="CD295" s="27" t="s">
        <v>7</v>
      </c>
      <c r="CF295" s="27" t="s">
        <v>7</v>
      </c>
      <c r="CG295" s="27" t="s">
        <v>8</v>
      </c>
      <c r="EE295" s="27" t="s">
        <v>8</v>
      </c>
      <c r="EF295" s="27" t="s">
        <v>7</v>
      </c>
      <c r="EG295" s="27" t="s">
        <v>8</v>
      </c>
      <c r="EH295" s="27" t="s">
        <v>7</v>
      </c>
      <c r="EI295" s="27" t="s">
        <v>8</v>
      </c>
      <c r="EJ295" s="27" t="s">
        <v>7</v>
      </c>
      <c r="EQ295" s="27" t="s">
        <v>8</v>
      </c>
      <c r="FT295" s="27" t="s">
        <v>7</v>
      </c>
      <c r="FU295" s="27" t="s">
        <v>8</v>
      </c>
      <c r="FV295" s="27" t="s">
        <v>7</v>
      </c>
      <c r="FW295" s="27" t="s">
        <v>8</v>
      </c>
      <c r="GA295" s="33" t="s">
        <v>8</v>
      </c>
      <c r="GB295" s="27" t="s">
        <v>7</v>
      </c>
      <c r="GC295" s="27" t="s">
        <v>8</v>
      </c>
      <c r="GD295" s="27" t="s">
        <v>7</v>
      </c>
      <c r="GE295" s="27" t="s">
        <v>8</v>
      </c>
      <c r="GF295" s="27" t="s">
        <v>7</v>
      </c>
      <c r="GG295" s="27" t="s">
        <v>8</v>
      </c>
      <c r="GH295" s="27" t="s">
        <v>7</v>
      </c>
      <c r="GI295" s="27" t="s">
        <v>8</v>
      </c>
      <c r="GK295" s="27" t="s">
        <v>8</v>
      </c>
      <c r="GL295" s="27" t="s">
        <v>7</v>
      </c>
      <c r="GM295" s="27" t="s">
        <v>8</v>
      </c>
      <c r="HT295" s="27" t="s">
        <v>7</v>
      </c>
      <c r="HX295" s="27" t="s">
        <v>7</v>
      </c>
      <c r="HY295" s="27" t="s">
        <v>8</v>
      </c>
      <c r="HZ295" s="27" t="s">
        <v>7</v>
      </c>
    </row>
    <row r="296" spans="1:237" x14ac:dyDescent="0.25">
      <c r="A296" s="30">
        <v>6.5072763710885759E-2</v>
      </c>
      <c r="B296"/>
      <c r="C296"/>
      <c r="D296"/>
      <c r="E296"/>
      <c r="H296" s="27" t="s">
        <v>7</v>
      </c>
      <c r="I296" s="27" t="s">
        <v>8</v>
      </c>
      <c r="J296" s="27" t="s">
        <v>7</v>
      </c>
      <c r="BW296" s="27" t="s">
        <v>8</v>
      </c>
      <c r="BX296" s="27" t="s">
        <v>7</v>
      </c>
      <c r="BY296" s="27" t="s">
        <v>8</v>
      </c>
      <c r="BZ296" s="27" t="s">
        <v>7</v>
      </c>
      <c r="CA296" s="27" t="s">
        <v>8</v>
      </c>
      <c r="CB296" s="27" t="s">
        <v>7</v>
      </c>
      <c r="CC296" s="27" t="s">
        <v>8</v>
      </c>
      <c r="CF296" s="27" t="s">
        <v>7</v>
      </c>
      <c r="CG296" s="27" t="s">
        <v>8</v>
      </c>
      <c r="CH296" s="27" t="s">
        <v>7</v>
      </c>
      <c r="EE296" s="27" t="s">
        <v>8</v>
      </c>
      <c r="EF296" s="27" t="s">
        <v>7</v>
      </c>
      <c r="EH296" s="27" t="s">
        <v>7</v>
      </c>
      <c r="EJ296" s="27" t="s">
        <v>7</v>
      </c>
      <c r="EK296" s="27" t="s">
        <v>8</v>
      </c>
      <c r="EO296" s="27" t="s">
        <v>8</v>
      </c>
      <c r="EQ296" s="27" t="s">
        <v>8</v>
      </c>
      <c r="FT296" s="27" t="s">
        <v>7</v>
      </c>
      <c r="FU296" s="27" t="s">
        <v>8</v>
      </c>
      <c r="FV296" s="27" t="s">
        <v>7</v>
      </c>
      <c r="FW296" s="27" t="s">
        <v>8</v>
      </c>
      <c r="FX296" s="27" t="s">
        <v>7</v>
      </c>
      <c r="FY296" s="27" t="s">
        <v>8</v>
      </c>
      <c r="GA296" s="27" t="s">
        <v>8</v>
      </c>
      <c r="GB296" s="27" t="s">
        <v>7</v>
      </c>
      <c r="GC296" s="27" t="s">
        <v>8</v>
      </c>
      <c r="GD296" s="27" t="s">
        <v>7</v>
      </c>
      <c r="GE296" s="27" t="s">
        <v>8</v>
      </c>
      <c r="GF296" s="27" t="s">
        <v>7</v>
      </c>
      <c r="GG296" s="27" t="s">
        <v>8</v>
      </c>
      <c r="GH296" s="27" t="s">
        <v>7</v>
      </c>
      <c r="GI296" s="27" t="s">
        <v>8</v>
      </c>
      <c r="GJ296" s="27" t="s">
        <v>7</v>
      </c>
      <c r="GK296" s="27" t="s">
        <v>8</v>
      </c>
      <c r="GL296" s="27" t="s">
        <v>7</v>
      </c>
      <c r="GM296" s="27" t="s">
        <v>8</v>
      </c>
      <c r="HX296" s="27" t="s">
        <v>7</v>
      </c>
      <c r="HY296" s="27" t="s">
        <v>8</v>
      </c>
      <c r="HZ296" s="27" t="s">
        <v>7</v>
      </c>
    </row>
    <row r="297" spans="1:237" x14ac:dyDescent="0.25">
      <c r="A297" s="30">
        <v>6.197406067703403E-2</v>
      </c>
      <c r="B297"/>
      <c r="C297"/>
      <c r="D297"/>
      <c r="E297"/>
      <c r="H297" s="27" t="s">
        <v>7</v>
      </c>
      <c r="I297" s="27" t="s">
        <v>8</v>
      </c>
      <c r="J297" s="27" t="s">
        <v>7</v>
      </c>
      <c r="BW297" s="27" t="s">
        <v>8</v>
      </c>
      <c r="BX297" s="27" t="s">
        <v>7</v>
      </c>
      <c r="BY297" s="27" t="s">
        <v>8</v>
      </c>
      <c r="BZ297" s="27" t="s">
        <v>7</v>
      </c>
      <c r="CA297" s="27" t="s">
        <v>8</v>
      </c>
      <c r="CB297" s="27" t="s">
        <v>7</v>
      </c>
      <c r="CC297" s="27" t="s">
        <v>8</v>
      </c>
      <c r="CF297" s="27" t="s">
        <v>7</v>
      </c>
      <c r="CG297" s="27" t="s">
        <v>8</v>
      </c>
      <c r="CH297" s="27" t="s">
        <v>7</v>
      </c>
      <c r="EE297" s="27" t="s">
        <v>8</v>
      </c>
      <c r="EJ297" s="27" t="s">
        <v>7</v>
      </c>
      <c r="EK297" s="27" t="s">
        <v>8</v>
      </c>
      <c r="EL297" s="27" t="s">
        <v>7</v>
      </c>
      <c r="EO297" s="27" t="s">
        <v>8</v>
      </c>
      <c r="EP297" s="27" t="s">
        <v>7</v>
      </c>
      <c r="EQ297" s="27" t="s">
        <v>8</v>
      </c>
      <c r="FT297" s="27" t="s">
        <v>7</v>
      </c>
      <c r="FV297" s="27" t="s">
        <v>7</v>
      </c>
      <c r="FW297" s="27" t="s">
        <v>8</v>
      </c>
      <c r="FX297" s="27" t="s">
        <v>7</v>
      </c>
      <c r="FY297" s="27" t="s">
        <v>8</v>
      </c>
      <c r="FZ297" s="27" t="s">
        <v>7</v>
      </c>
      <c r="GA297" s="27" t="s">
        <v>8</v>
      </c>
      <c r="GB297" s="27" t="s">
        <v>7</v>
      </c>
      <c r="GC297" s="27" t="s">
        <v>8</v>
      </c>
      <c r="GD297" s="27" t="s">
        <v>7</v>
      </c>
      <c r="GF297" s="27" t="s">
        <v>7</v>
      </c>
      <c r="GG297" s="27" t="s">
        <v>8</v>
      </c>
      <c r="GH297" s="27" t="s">
        <v>7</v>
      </c>
      <c r="GI297" s="27" t="s">
        <v>8</v>
      </c>
      <c r="GJ297" s="27" t="s">
        <v>7</v>
      </c>
      <c r="GK297" s="27" t="s">
        <v>8</v>
      </c>
      <c r="GL297" s="27" t="s">
        <v>7</v>
      </c>
      <c r="GM297" s="27" t="s">
        <v>8</v>
      </c>
      <c r="HX297" s="27" t="s">
        <v>7</v>
      </c>
      <c r="HZ297" s="27" t="s">
        <v>7</v>
      </c>
    </row>
    <row r="298" spans="1:237" x14ac:dyDescent="0.25">
      <c r="A298" s="30">
        <v>5.9022914930508576E-2</v>
      </c>
      <c r="B298"/>
      <c r="C298"/>
      <c r="D298"/>
      <c r="E298"/>
      <c r="H298" s="27" t="s">
        <v>7</v>
      </c>
      <c r="I298" s="27" t="s">
        <v>8</v>
      </c>
      <c r="J298" s="27" t="s">
        <v>7</v>
      </c>
      <c r="BW298" s="27" t="s">
        <v>8</v>
      </c>
      <c r="BX298" s="27" t="s">
        <v>7</v>
      </c>
      <c r="BY298" s="27" t="s">
        <v>8</v>
      </c>
      <c r="BZ298" s="27" t="s">
        <v>7</v>
      </c>
      <c r="CB298" s="27" t="s">
        <v>7</v>
      </c>
      <c r="CC298" s="27" t="s">
        <v>8</v>
      </c>
      <c r="CF298" s="27" t="s">
        <v>7</v>
      </c>
      <c r="CH298" s="27" t="s">
        <v>7</v>
      </c>
      <c r="CI298" s="27" t="s">
        <v>8</v>
      </c>
      <c r="EC298" s="27" t="s">
        <v>8</v>
      </c>
      <c r="EE298" s="27" t="s">
        <v>8</v>
      </c>
      <c r="EJ298" s="27" t="s">
        <v>7</v>
      </c>
      <c r="EK298" s="27" t="s">
        <v>8</v>
      </c>
      <c r="EL298" s="27" t="s">
        <v>7</v>
      </c>
      <c r="EO298" s="27" t="s">
        <v>8</v>
      </c>
      <c r="EP298" s="27" t="s">
        <v>7</v>
      </c>
      <c r="EQ298" s="27" t="s">
        <v>8</v>
      </c>
      <c r="FV298" s="27" t="s">
        <v>7</v>
      </c>
      <c r="FW298" s="27" t="s">
        <v>8</v>
      </c>
      <c r="FX298" s="27" t="s">
        <v>7</v>
      </c>
      <c r="FY298" s="27" t="s">
        <v>8</v>
      </c>
      <c r="FZ298" s="27" t="s">
        <v>7</v>
      </c>
      <c r="GA298" s="27" t="s">
        <v>8</v>
      </c>
      <c r="GB298" s="27" t="s">
        <v>7</v>
      </c>
      <c r="GC298" s="27" t="s">
        <v>8</v>
      </c>
      <c r="GF298" s="32" t="s">
        <v>7</v>
      </c>
      <c r="GH298" s="27" t="s">
        <v>7</v>
      </c>
      <c r="GI298" s="27" t="s">
        <v>8</v>
      </c>
      <c r="GJ298" s="27" t="s">
        <v>7</v>
      </c>
      <c r="GK298" s="27" t="s">
        <v>8</v>
      </c>
      <c r="GL298" s="27" t="s">
        <v>7</v>
      </c>
      <c r="GM298" s="27" t="s">
        <v>8</v>
      </c>
      <c r="HZ298" s="27" t="s">
        <v>7</v>
      </c>
    </row>
    <row r="299" spans="1:237" x14ac:dyDescent="0.25">
      <c r="A299" s="30">
        <v>5.6212299933817669E-2</v>
      </c>
      <c r="B299"/>
      <c r="C299"/>
      <c r="D299"/>
      <c r="E299"/>
      <c r="H299" s="27" t="s">
        <v>7</v>
      </c>
      <c r="I299" s="27" t="s">
        <v>8</v>
      </c>
      <c r="J299" s="27" t="s">
        <v>7</v>
      </c>
      <c r="AI299" s="27" t="s">
        <v>8</v>
      </c>
      <c r="BW299" s="27" t="s">
        <v>8</v>
      </c>
      <c r="BX299" s="27" t="s">
        <v>7</v>
      </c>
      <c r="BY299" s="27" t="s">
        <v>8</v>
      </c>
      <c r="CB299" s="27" t="s">
        <v>7</v>
      </c>
      <c r="CH299" s="27" t="s">
        <v>7</v>
      </c>
      <c r="CI299" s="27" t="s">
        <v>8</v>
      </c>
      <c r="CJ299" s="27" t="s">
        <v>7</v>
      </c>
      <c r="EC299" s="27" t="s">
        <v>8</v>
      </c>
      <c r="ED299" s="27" t="s">
        <v>7</v>
      </c>
      <c r="EE299" s="27" t="s">
        <v>8</v>
      </c>
      <c r="EJ299" s="27" t="s">
        <v>7</v>
      </c>
      <c r="EK299" s="27" t="s">
        <v>8</v>
      </c>
      <c r="EL299" s="27" t="s">
        <v>7</v>
      </c>
      <c r="EM299" s="27" t="s">
        <v>8</v>
      </c>
      <c r="EO299" s="27" t="s">
        <v>8</v>
      </c>
      <c r="EP299" s="27" t="s">
        <v>7</v>
      </c>
      <c r="FV299" s="27" t="s">
        <v>7</v>
      </c>
      <c r="FW299" s="27" t="s">
        <v>8</v>
      </c>
      <c r="FX299" s="27" t="s">
        <v>7</v>
      </c>
      <c r="FY299" s="27" t="s">
        <v>8</v>
      </c>
      <c r="FZ299" s="27" t="s">
        <v>7</v>
      </c>
      <c r="GA299" s="27" t="s">
        <v>8</v>
      </c>
      <c r="GB299" s="27" t="s">
        <v>7</v>
      </c>
      <c r="GC299" s="27" t="s">
        <v>8</v>
      </c>
      <c r="GH299" s="27" t="s">
        <v>7</v>
      </c>
      <c r="GI299" s="27" t="s">
        <v>8</v>
      </c>
      <c r="GJ299" s="27" t="s">
        <v>7</v>
      </c>
      <c r="GL299" s="27" t="s">
        <v>7</v>
      </c>
      <c r="GM299" s="27" t="s">
        <v>8</v>
      </c>
      <c r="GP299" s="31"/>
      <c r="HZ299" s="27" t="s">
        <v>7</v>
      </c>
    </row>
    <row r="300" spans="1:237" x14ac:dyDescent="0.25">
      <c r="A300" s="30">
        <v>5.3535523746492994E-2</v>
      </c>
      <c r="B300"/>
      <c r="C300"/>
      <c r="D300"/>
      <c r="E300"/>
      <c r="H300" s="27" t="s">
        <v>7</v>
      </c>
      <c r="J300" s="27" t="s">
        <v>7</v>
      </c>
      <c r="AI300" s="27" t="s">
        <v>8</v>
      </c>
      <c r="AJ300" s="27" t="s">
        <v>7</v>
      </c>
      <c r="BW300" s="27" t="s">
        <v>8</v>
      </c>
      <c r="BX300" s="27" t="s">
        <v>7</v>
      </c>
      <c r="BY300" s="27" t="s">
        <v>8</v>
      </c>
      <c r="CH300" s="27" t="s">
        <v>7</v>
      </c>
      <c r="CI300" s="27" t="s">
        <v>8</v>
      </c>
      <c r="CJ300" s="27" t="s">
        <v>7</v>
      </c>
      <c r="EC300" s="27" t="s">
        <v>8</v>
      </c>
      <c r="ED300" s="27" t="s">
        <v>7</v>
      </c>
      <c r="EE300" s="27" t="s">
        <v>8</v>
      </c>
      <c r="EJ300" s="27" t="s">
        <v>7</v>
      </c>
      <c r="EK300" s="27" t="s">
        <v>8</v>
      </c>
      <c r="EL300" s="27" t="s">
        <v>7</v>
      </c>
      <c r="EM300" s="27" t="s">
        <v>8</v>
      </c>
      <c r="EN300" s="27" t="s">
        <v>7</v>
      </c>
      <c r="EO300" s="27" t="s">
        <v>8</v>
      </c>
      <c r="FV300" s="27" t="s">
        <v>7</v>
      </c>
      <c r="FW300" s="27" t="s">
        <v>8</v>
      </c>
      <c r="FX300" s="27" t="s">
        <v>7</v>
      </c>
      <c r="FY300" s="27" t="s">
        <v>8</v>
      </c>
      <c r="FZ300" s="34" t="s">
        <v>7</v>
      </c>
      <c r="GB300" s="34" t="s">
        <v>7</v>
      </c>
      <c r="GH300" s="27" t="s">
        <v>7</v>
      </c>
      <c r="GI300" s="27" t="s">
        <v>8</v>
      </c>
      <c r="GL300" s="32" t="s">
        <v>7</v>
      </c>
      <c r="GM300" s="27" t="s">
        <v>8</v>
      </c>
      <c r="GO300" s="31"/>
      <c r="HZ300" s="27" t="s">
        <v>7</v>
      </c>
    </row>
    <row r="301" spans="1:237" x14ac:dyDescent="0.25">
      <c r="A301" s="30">
        <v>5.0986213091898068E-2</v>
      </c>
      <c r="B301"/>
      <c r="C301"/>
      <c r="D301"/>
      <c r="E301"/>
      <c r="J301" s="27" t="s">
        <v>7</v>
      </c>
      <c r="AI301" s="27" t="s">
        <v>8</v>
      </c>
      <c r="AJ301" s="27" t="s">
        <v>7</v>
      </c>
      <c r="AK301" s="27" t="s">
        <v>8</v>
      </c>
      <c r="BW301" s="27" t="s">
        <v>8</v>
      </c>
      <c r="BX301" s="27" t="s">
        <v>7</v>
      </c>
      <c r="BY301" s="27" t="s">
        <v>8</v>
      </c>
      <c r="CH301" s="27" t="s">
        <v>7</v>
      </c>
      <c r="CI301" s="27" t="s">
        <v>8</v>
      </c>
      <c r="CJ301" s="27" t="s">
        <v>7</v>
      </c>
      <c r="EC301" s="27" t="s">
        <v>8</v>
      </c>
      <c r="ED301" s="27" t="s">
        <v>7</v>
      </c>
      <c r="EE301" s="27" t="s">
        <v>8</v>
      </c>
      <c r="EJ301" s="27" t="s">
        <v>7</v>
      </c>
      <c r="EK301" s="27" t="s">
        <v>8</v>
      </c>
      <c r="EL301" s="27" t="s">
        <v>7</v>
      </c>
      <c r="EM301" s="27" t="s">
        <v>8</v>
      </c>
      <c r="EN301" s="27" t="s">
        <v>7</v>
      </c>
      <c r="EO301" s="27" t="s">
        <v>8</v>
      </c>
      <c r="FV301" s="27" t="s">
        <v>7</v>
      </c>
      <c r="FW301" s="27" t="s">
        <v>8</v>
      </c>
      <c r="FX301" s="27" t="s">
        <v>7</v>
      </c>
      <c r="GH301" s="27" t="s">
        <v>7</v>
      </c>
      <c r="GL301" s="18" t="s">
        <v>7</v>
      </c>
      <c r="GM301" s="27" t="s">
        <v>8</v>
      </c>
      <c r="GN301" s="31"/>
      <c r="HZ301" s="27" t="s">
        <v>7</v>
      </c>
      <c r="IC301" s="27" t="s">
        <v>8</v>
      </c>
    </row>
    <row r="302" spans="1:237" x14ac:dyDescent="0.25">
      <c r="A302" s="30">
        <v>4.8558298182760043E-2</v>
      </c>
      <c r="B302"/>
      <c r="C302"/>
      <c r="D302"/>
      <c r="E302"/>
      <c r="J302" s="27" t="s">
        <v>7</v>
      </c>
      <c r="AG302" s="27" t="s">
        <v>8</v>
      </c>
      <c r="AI302" s="27" t="s">
        <v>8</v>
      </c>
      <c r="AJ302" s="27" t="s">
        <v>7</v>
      </c>
      <c r="AK302" s="27" t="s">
        <v>8</v>
      </c>
      <c r="AL302" s="27" t="s">
        <v>7</v>
      </c>
      <c r="BW302" s="27" t="s">
        <v>8</v>
      </c>
      <c r="BX302" s="27" t="s">
        <v>7</v>
      </c>
      <c r="BY302" s="27" t="s">
        <v>8</v>
      </c>
      <c r="CH302" s="27" t="s">
        <v>7</v>
      </c>
      <c r="CJ302" s="27" t="s">
        <v>7</v>
      </c>
      <c r="EC302" s="27" t="s">
        <v>8</v>
      </c>
      <c r="ED302" s="27" t="s">
        <v>7</v>
      </c>
      <c r="EE302" s="27" t="s">
        <v>8</v>
      </c>
      <c r="EJ302" s="27" t="s">
        <v>7</v>
      </c>
      <c r="EK302" s="27" t="s">
        <v>8</v>
      </c>
      <c r="EL302" s="27" t="s">
        <v>7</v>
      </c>
      <c r="EN302" s="27" t="s">
        <v>7</v>
      </c>
      <c r="EO302" s="27" t="s">
        <v>8</v>
      </c>
      <c r="FV302" s="27" t="s">
        <v>7</v>
      </c>
      <c r="FW302" s="27" t="s">
        <v>8</v>
      </c>
      <c r="GL302" s="27" t="s">
        <v>7</v>
      </c>
      <c r="GM302" s="31" t="s">
        <v>8</v>
      </c>
      <c r="HZ302" s="27" t="s">
        <v>7</v>
      </c>
      <c r="IA302" s="27" t="s">
        <v>8</v>
      </c>
      <c r="IC302" s="27" t="s">
        <v>8</v>
      </c>
    </row>
    <row r="303" spans="1:237" x14ac:dyDescent="0.25">
      <c r="A303" s="30">
        <v>4.6245998269295263E-2</v>
      </c>
      <c r="B303"/>
      <c r="C303"/>
      <c r="D303"/>
      <c r="E303"/>
      <c r="J303" s="27" t="s">
        <v>7</v>
      </c>
      <c r="AG303" s="27" t="s">
        <v>8</v>
      </c>
      <c r="AH303" s="27" t="s">
        <v>7</v>
      </c>
      <c r="AI303" s="27" t="s">
        <v>8</v>
      </c>
      <c r="AJ303" s="27" t="s">
        <v>7</v>
      </c>
      <c r="AK303" s="27" t="s">
        <v>8</v>
      </c>
      <c r="AL303" s="27" t="s">
        <v>7</v>
      </c>
      <c r="BW303" s="27" t="s">
        <v>8</v>
      </c>
      <c r="BX303" s="27" t="s">
        <v>7</v>
      </c>
      <c r="BY303" s="27" t="s">
        <v>8</v>
      </c>
      <c r="CJ303" s="27" t="s">
        <v>7</v>
      </c>
      <c r="EC303" s="27" t="s">
        <v>8</v>
      </c>
      <c r="ED303" s="27" t="s">
        <v>7</v>
      </c>
      <c r="EJ303" s="27" t="s">
        <v>7</v>
      </c>
      <c r="EK303" s="27" t="s">
        <v>8</v>
      </c>
      <c r="EN303" s="27" t="s">
        <v>7</v>
      </c>
      <c r="FV303" s="27" t="s">
        <v>7</v>
      </c>
      <c r="FW303" s="27" t="s">
        <v>8</v>
      </c>
      <c r="GL303" s="31" t="s">
        <v>7</v>
      </c>
      <c r="HZ303" s="27" t="s">
        <v>7</v>
      </c>
      <c r="IA303" s="27" t="s">
        <v>8</v>
      </c>
      <c r="IB303" s="27" t="s">
        <v>7</v>
      </c>
      <c r="IC303" s="27" t="s">
        <v>8</v>
      </c>
    </row>
    <row r="304" spans="1:237" x14ac:dyDescent="0.25">
      <c r="A304" s="30">
        <v>4.4043807875519279E-2</v>
      </c>
      <c r="B304"/>
      <c r="C304"/>
      <c r="D304"/>
      <c r="E304"/>
      <c r="J304" s="27" t="s">
        <v>7</v>
      </c>
      <c r="AG304" s="27" t="s">
        <v>8</v>
      </c>
      <c r="AH304" s="27" t="s">
        <v>7</v>
      </c>
      <c r="AI304" s="27" t="s">
        <v>8</v>
      </c>
      <c r="AJ304" s="27" t="s">
        <v>7</v>
      </c>
      <c r="AL304" s="27" t="s">
        <v>7</v>
      </c>
      <c r="BW304" s="27" t="s">
        <v>8</v>
      </c>
      <c r="BX304" s="27" t="s">
        <v>7</v>
      </c>
      <c r="CJ304" s="27" t="s">
        <v>7</v>
      </c>
      <c r="DY304" s="27" t="s">
        <v>8</v>
      </c>
      <c r="EC304" s="27" t="s">
        <v>8</v>
      </c>
      <c r="EJ304" s="27" t="s">
        <v>7</v>
      </c>
      <c r="FV304" s="27" t="s">
        <v>7</v>
      </c>
      <c r="FW304" s="27" t="s">
        <v>8</v>
      </c>
      <c r="HZ304" s="27" t="s">
        <v>7</v>
      </c>
      <c r="IA304" s="27" t="s">
        <v>8</v>
      </c>
      <c r="IB304" s="27" t="s">
        <v>7</v>
      </c>
      <c r="IC304" s="27" t="s">
        <v>8</v>
      </c>
    </row>
    <row r="305" spans="1:237" x14ac:dyDescent="0.25">
      <c r="A305" s="30">
        <v>4.1946483690970725E-2</v>
      </c>
      <c r="B305"/>
      <c r="C305"/>
      <c r="D305"/>
      <c r="E305"/>
      <c r="J305" s="27" t="s">
        <v>7</v>
      </c>
      <c r="AG305" s="27" t="s">
        <v>8</v>
      </c>
      <c r="AH305" s="27" t="s">
        <v>7</v>
      </c>
      <c r="AL305" s="27" t="s">
        <v>7</v>
      </c>
      <c r="AM305" s="27" t="s">
        <v>8</v>
      </c>
      <c r="AO305" s="27" t="s">
        <v>8</v>
      </c>
      <c r="BW305" s="27" t="s">
        <v>8</v>
      </c>
      <c r="CJ305" s="27" t="s">
        <v>7</v>
      </c>
      <c r="DW305" s="27" t="s">
        <v>8</v>
      </c>
      <c r="DY305" s="27" t="s">
        <v>8</v>
      </c>
      <c r="DZ305" s="27" t="s">
        <v>7</v>
      </c>
      <c r="EA305" s="27" t="s">
        <v>8</v>
      </c>
      <c r="EC305" s="27" t="s">
        <v>8</v>
      </c>
      <c r="FV305" s="27" t="s">
        <v>7</v>
      </c>
      <c r="FW305" s="27" t="s">
        <v>8</v>
      </c>
      <c r="HZ305" s="27" t="s">
        <v>7</v>
      </c>
      <c r="IB305" s="27" t="s">
        <v>7</v>
      </c>
      <c r="IC305" s="27" t="s">
        <v>8</v>
      </c>
    </row>
    <row r="306" spans="1:237" x14ac:dyDescent="0.25">
      <c r="A306" s="30">
        <v>3.9949032086638768E-2</v>
      </c>
      <c r="B306"/>
      <c r="C306"/>
      <c r="D306"/>
      <c r="E306"/>
      <c r="J306" s="27" t="s">
        <v>7</v>
      </c>
      <c r="O306" s="27" t="s">
        <v>8</v>
      </c>
      <c r="AC306" s="27" t="s">
        <v>8</v>
      </c>
      <c r="AE306" s="27" t="s">
        <v>8</v>
      </c>
      <c r="AG306" s="27" t="s">
        <v>8</v>
      </c>
      <c r="AL306" s="27" t="s">
        <v>7</v>
      </c>
      <c r="AM306" s="27" t="s">
        <v>8</v>
      </c>
      <c r="AN306" s="27" t="s">
        <v>7</v>
      </c>
      <c r="AO306" s="27" t="s">
        <v>8</v>
      </c>
      <c r="AP306" s="27" t="s">
        <v>7</v>
      </c>
      <c r="AS306" s="27" t="s">
        <v>8</v>
      </c>
      <c r="AU306" s="27" t="s">
        <v>8</v>
      </c>
      <c r="BW306" s="27" t="s">
        <v>8</v>
      </c>
      <c r="CJ306" s="27" t="s">
        <v>7</v>
      </c>
      <c r="DW306" s="27" t="s">
        <v>8</v>
      </c>
      <c r="DX306" s="27" t="s">
        <v>7</v>
      </c>
      <c r="DY306" s="27" t="s">
        <v>8</v>
      </c>
      <c r="DZ306" s="27" t="s">
        <v>7</v>
      </c>
      <c r="EA306" s="27" t="s">
        <v>8</v>
      </c>
      <c r="EB306" s="27" t="s">
        <v>7</v>
      </c>
      <c r="EC306" s="27" t="s">
        <v>8</v>
      </c>
      <c r="FV306" s="27" t="s">
        <v>7</v>
      </c>
      <c r="FW306" s="27" t="s">
        <v>8</v>
      </c>
      <c r="IB306" s="27" t="s">
        <v>7</v>
      </c>
    </row>
    <row r="307" spans="1:237" x14ac:dyDescent="0.25">
      <c r="A307" s="30">
        <v>3.8046697225370241E-2</v>
      </c>
      <c r="B307"/>
      <c r="C307"/>
      <c r="D307"/>
      <c r="E307"/>
      <c r="J307" s="27" t="s">
        <v>7</v>
      </c>
      <c r="K307" s="27" t="s">
        <v>8</v>
      </c>
      <c r="O307" s="27" t="s">
        <v>8</v>
      </c>
      <c r="P307" s="27" t="s">
        <v>7</v>
      </c>
      <c r="AC307" s="27" t="s">
        <v>8</v>
      </c>
      <c r="AD307" s="27" t="s">
        <v>7</v>
      </c>
      <c r="AE307" s="27" t="s">
        <v>8</v>
      </c>
      <c r="AF307" s="27" t="s">
        <v>7</v>
      </c>
      <c r="AG307" s="27" t="s">
        <v>8</v>
      </c>
      <c r="AL307" s="27" t="s">
        <v>7</v>
      </c>
      <c r="AM307" s="27" t="s">
        <v>8</v>
      </c>
      <c r="AN307" s="27" t="s">
        <v>7</v>
      </c>
      <c r="AO307" s="27" t="s">
        <v>8</v>
      </c>
      <c r="AP307" s="27" t="s">
        <v>7</v>
      </c>
      <c r="AS307" s="27" t="s">
        <v>8</v>
      </c>
      <c r="AT307" s="27" t="s">
        <v>7</v>
      </c>
      <c r="AU307" s="27" t="s">
        <v>8</v>
      </c>
      <c r="AV307" s="27" t="s">
        <v>7</v>
      </c>
      <c r="BW307" s="27" t="s">
        <v>8</v>
      </c>
      <c r="CJ307" s="27" t="s">
        <v>7</v>
      </c>
      <c r="CK307" s="27" t="s">
        <v>8</v>
      </c>
      <c r="DU307" s="27" t="s">
        <v>8</v>
      </c>
      <c r="DW307" s="27" t="s">
        <v>8</v>
      </c>
      <c r="DX307" s="27" t="s">
        <v>7</v>
      </c>
      <c r="DY307" s="27" t="s">
        <v>8</v>
      </c>
      <c r="DZ307" s="27" t="s">
        <v>7</v>
      </c>
      <c r="EA307" s="27" t="s">
        <v>8</v>
      </c>
      <c r="EB307" s="27" t="s">
        <v>7</v>
      </c>
      <c r="EC307" s="27" t="s">
        <v>8</v>
      </c>
      <c r="FV307" s="27" t="s">
        <v>7</v>
      </c>
    </row>
    <row r="308" spans="1:237" x14ac:dyDescent="0.25">
      <c r="A308" s="30">
        <v>3.6234949738447833E-2</v>
      </c>
      <c r="B308"/>
      <c r="C308"/>
      <c r="D308"/>
      <c r="E308"/>
      <c r="J308" s="27" t="s">
        <v>7</v>
      </c>
      <c r="K308" s="27" t="s">
        <v>8</v>
      </c>
      <c r="L308" s="27" t="s">
        <v>7</v>
      </c>
      <c r="M308" s="27" t="s">
        <v>8</v>
      </c>
      <c r="O308" s="27" t="s">
        <v>8</v>
      </c>
      <c r="P308" s="27" t="s">
        <v>7</v>
      </c>
      <c r="AC308" s="27" t="s">
        <v>8</v>
      </c>
      <c r="AD308" s="27" t="s">
        <v>7</v>
      </c>
      <c r="AE308" s="27" t="s">
        <v>8</v>
      </c>
      <c r="AF308" s="27" t="s">
        <v>7</v>
      </c>
      <c r="AG308" s="27" t="s">
        <v>8</v>
      </c>
      <c r="AL308" s="27" t="s">
        <v>7</v>
      </c>
      <c r="AN308" s="27" t="s">
        <v>7</v>
      </c>
      <c r="AP308" s="27" t="s">
        <v>7</v>
      </c>
      <c r="AS308" s="27" t="s">
        <v>8</v>
      </c>
      <c r="AT308" s="27" t="s">
        <v>7</v>
      </c>
      <c r="AU308" s="27" t="s">
        <v>8</v>
      </c>
      <c r="AV308" s="27" t="s">
        <v>7</v>
      </c>
      <c r="BW308" s="27" t="s">
        <v>8</v>
      </c>
      <c r="CJ308" s="27" t="s">
        <v>7</v>
      </c>
      <c r="CK308" s="27" t="s">
        <v>8</v>
      </c>
      <c r="CL308" s="27" t="s">
        <v>7</v>
      </c>
      <c r="CO308" s="27" t="s">
        <v>8</v>
      </c>
      <c r="DI308" s="27" t="s">
        <v>8</v>
      </c>
      <c r="DU308" s="27" t="s">
        <v>8</v>
      </c>
      <c r="DV308" s="27" t="s">
        <v>7</v>
      </c>
      <c r="DW308" s="27" t="s">
        <v>8</v>
      </c>
      <c r="DX308" s="27" t="s">
        <v>7</v>
      </c>
      <c r="DZ308" s="27" t="s">
        <v>7</v>
      </c>
      <c r="EB308" s="27" t="s">
        <v>7</v>
      </c>
    </row>
    <row r="309" spans="1:237" x14ac:dyDescent="0.25">
      <c r="A309" s="30">
        <v>3.4509475941378875E-2</v>
      </c>
      <c r="B309"/>
      <c r="C309"/>
      <c r="D309"/>
      <c r="E309"/>
      <c r="J309" s="27" t="s">
        <v>7</v>
      </c>
      <c r="K309" s="27" t="s">
        <v>8</v>
      </c>
      <c r="L309" s="27" t="s">
        <v>7</v>
      </c>
      <c r="M309" s="27" t="s">
        <v>8</v>
      </c>
      <c r="N309" s="27" t="s">
        <v>7</v>
      </c>
      <c r="O309" s="27" t="s">
        <v>8</v>
      </c>
      <c r="P309" s="27" t="s">
        <v>7</v>
      </c>
      <c r="AC309" s="27" t="s">
        <v>8</v>
      </c>
      <c r="AD309" s="27" t="s">
        <v>7</v>
      </c>
      <c r="AE309" s="27" t="s">
        <v>8</v>
      </c>
      <c r="AF309" s="27" t="s">
        <v>7</v>
      </c>
      <c r="AG309" s="27" t="s">
        <v>8</v>
      </c>
      <c r="AP309" s="27" t="s">
        <v>7</v>
      </c>
      <c r="AS309" s="27" t="s">
        <v>8</v>
      </c>
      <c r="AT309" s="27" t="s">
        <v>7</v>
      </c>
      <c r="AU309" s="27" t="s">
        <v>8</v>
      </c>
      <c r="AV309" s="27" t="s">
        <v>7</v>
      </c>
      <c r="BW309" s="27" t="s">
        <v>8</v>
      </c>
      <c r="CJ309" s="27" t="s">
        <v>7</v>
      </c>
      <c r="CK309" s="27" t="s">
        <v>8</v>
      </c>
      <c r="CL309" s="27" t="s">
        <v>7</v>
      </c>
      <c r="CO309" s="27" t="s">
        <v>8</v>
      </c>
      <c r="CP309" s="27" t="s">
        <v>7</v>
      </c>
      <c r="DI309" s="27" t="s">
        <v>8</v>
      </c>
      <c r="DJ309" s="27" t="s">
        <v>7</v>
      </c>
      <c r="DQ309" s="27" t="s">
        <v>8</v>
      </c>
      <c r="DS309" s="27" t="s">
        <v>8</v>
      </c>
      <c r="DU309" s="27" t="s">
        <v>8</v>
      </c>
      <c r="DV309" s="27" t="s">
        <v>7</v>
      </c>
      <c r="DW309" s="27" t="s">
        <v>8</v>
      </c>
    </row>
    <row r="310" spans="1:237" x14ac:dyDescent="0.25">
      <c r="A310" s="30">
        <v>3.286616756321796E-2</v>
      </c>
      <c r="B310"/>
      <c r="C310"/>
      <c r="D310"/>
      <c r="E310"/>
      <c r="J310" s="27" t="s">
        <v>7</v>
      </c>
      <c r="L310" s="27" t="s">
        <v>7</v>
      </c>
      <c r="M310" s="27" t="s">
        <v>8</v>
      </c>
      <c r="N310" s="27" t="s">
        <v>7</v>
      </c>
      <c r="O310" s="27" t="s">
        <v>8</v>
      </c>
      <c r="P310" s="27" t="s">
        <v>7</v>
      </c>
      <c r="Q310" s="27" t="s">
        <v>8</v>
      </c>
      <c r="S310" s="27" t="s">
        <v>8</v>
      </c>
      <c r="AC310" s="27" t="s">
        <v>8</v>
      </c>
      <c r="AD310" s="27" t="s">
        <v>7</v>
      </c>
      <c r="AE310" s="27" t="s">
        <v>8</v>
      </c>
      <c r="AF310" s="27" t="s">
        <v>7</v>
      </c>
      <c r="AP310" s="27" t="s">
        <v>7</v>
      </c>
      <c r="AS310" s="27" t="s">
        <v>8</v>
      </c>
      <c r="AT310" s="27" t="s">
        <v>7</v>
      </c>
      <c r="AU310" s="27" t="s">
        <v>8</v>
      </c>
      <c r="AV310" s="27" t="s">
        <v>7</v>
      </c>
      <c r="BW310" s="27" t="s">
        <v>8</v>
      </c>
      <c r="CJ310" s="27" t="s">
        <v>7</v>
      </c>
      <c r="CL310" s="27" t="s">
        <v>7</v>
      </c>
      <c r="CO310" s="27" t="s">
        <v>8</v>
      </c>
      <c r="CP310" s="27" t="s">
        <v>7</v>
      </c>
      <c r="DI310" s="27" t="s">
        <v>8</v>
      </c>
      <c r="DJ310" s="27" t="s">
        <v>7</v>
      </c>
      <c r="DQ310" s="27" t="s">
        <v>8</v>
      </c>
      <c r="DR310" s="27" t="s">
        <v>7</v>
      </c>
      <c r="DS310" s="27" t="s">
        <v>8</v>
      </c>
      <c r="DT310" s="27" t="s">
        <v>7</v>
      </c>
      <c r="DU310" s="27" t="s">
        <v>8</v>
      </c>
      <c r="DV310" s="27" t="s">
        <v>7</v>
      </c>
    </row>
    <row r="311" spans="1:237" x14ac:dyDescent="0.25">
      <c r="A311" s="30">
        <v>3.1301111964969472E-2</v>
      </c>
      <c r="B311"/>
      <c r="C311"/>
      <c r="D311"/>
      <c r="E311"/>
      <c r="L311" s="27" t="s">
        <v>7</v>
      </c>
      <c r="N311" s="27" t="s">
        <v>7</v>
      </c>
      <c r="P311" s="27" t="s">
        <v>7</v>
      </c>
      <c r="Q311" s="27" t="s">
        <v>8</v>
      </c>
      <c r="R311" s="27" t="s">
        <v>7</v>
      </c>
      <c r="S311" s="27" t="s">
        <v>8</v>
      </c>
      <c r="T311" s="27" t="s">
        <v>7</v>
      </c>
      <c r="AC311" s="27" t="s">
        <v>8</v>
      </c>
      <c r="AD311" s="27" t="s">
        <v>7</v>
      </c>
      <c r="AP311" s="27" t="s">
        <v>7</v>
      </c>
      <c r="AQ311" s="27" t="s">
        <v>8</v>
      </c>
      <c r="AS311" s="27" t="s">
        <v>8</v>
      </c>
      <c r="AT311" s="27" t="s">
        <v>7</v>
      </c>
      <c r="AU311" s="27" t="s">
        <v>8</v>
      </c>
      <c r="AV311" s="27" t="s">
        <v>7</v>
      </c>
      <c r="BW311" s="27" t="s">
        <v>8</v>
      </c>
      <c r="CL311" s="27" t="s">
        <v>7</v>
      </c>
      <c r="CM311" s="27" t="s">
        <v>8</v>
      </c>
      <c r="CO311" s="27" t="s">
        <v>8</v>
      </c>
      <c r="CP311" s="27" t="s">
        <v>7</v>
      </c>
      <c r="DI311" s="27" t="s">
        <v>8</v>
      </c>
      <c r="DJ311" s="27" t="s">
        <v>7</v>
      </c>
      <c r="DK311" s="27" t="s">
        <v>8</v>
      </c>
      <c r="DQ311" s="27" t="s">
        <v>8</v>
      </c>
      <c r="DR311" s="27" t="s">
        <v>7</v>
      </c>
      <c r="DS311" s="27" t="s">
        <v>8</v>
      </c>
      <c r="DT311" s="27" t="s">
        <v>7</v>
      </c>
      <c r="DU311" s="27" t="s">
        <v>8</v>
      </c>
    </row>
    <row r="312" spans="1:237" x14ac:dyDescent="0.25">
      <c r="A312" s="30">
        <v>2.9810582823780438E-2</v>
      </c>
      <c r="B312"/>
      <c r="C312"/>
      <c r="D312"/>
      <c r="E312"/>
      <c r="P312" s="27" t="s">
        <v>7</v>
      </c>
      <c r="Q312" s="27" t="s">
        <v>8</v>
      </c>
      <c r="R312" s="27" t="s">
        <v>7</v>
      </c>
      <c r="S312" s="27" t="s">
        <v>8</v>
      </c>
      <c r="T312" s="27" t="s">
        <v>7</v>
      </c>
      <c r="W312" s="27" t="s">
        <v>8</v>
      </c>
      <c r="AC312" s="27" t="s">
        <v>8</v>
      </c>
      <c r="AP312" s="27" t="s">
        <v>7</v>
      </c>
      <c r="AQ312" s="27" t="s">
        <v>8</v>
      </c>
      <c r="AR312" s="27" t="s">
        <v>7</v>
      </c>
      <c r="AS312" s="27" t="s">
        <v>8</v>
      </c>
      <c r="AT312" s="27" t="s">
        <v>7</v>
      </c>
      <c r="AU312" s="27" t="s">
        <v>8</v>
      </c>
      <c r="AV312" s="27" t="s">
        <v>7</v>
      </c>
      <c r="BW312" s="27" t="s">
        <v>8</v>
      </c>
      <c r="CL312" s="27" t="s">
        <v>7</v>
      </c>
      <c r="CM312" s="27" t="s">
        <v>8</v>
      </c>
      <c r="CN312" s="27" t="s">
        <v>7</v>
      </c>
      <c r="CO312" s="27" t="s">
        <v>8</v>
      </c>
      <c r="CP312" s="27" t="s">
        <v>7</v>
      </c>
      <c r="DI312" s="27" t="s">
        <v>8</v>
      </c>
      <c r="DJ312" s="27" t="s">
        <v>7</v>
      </c>
      <c r="DK312" s="27" t="s">
        <v>8</v>
      </c>
      <c r="DL312" s="27" t="s">
        <v>7</v>
      </c>
      <c r="DQ312" s="27" t="s">
        <v>8</v>
      </c>
      <c r="DR312" s="27" t="s">
        <v>7</v>
      </c>
      <c r="DS312" s="27" t="s">
        <v>8</v>
      </c>
      <c r="DT312" s="27" t="s">
        <v>7</v>
      </c>
    </row>
    <row r="313" spans="1:237" x14ac:dyDescent="0.25">
      <c r="A313" s="30">
        <v>2.8391031260743264E-2</v>
      </c>
      <c r="B313"/>
      <c r="C313"/>
      <c r="D313"/>
      <c r="E313"/>
      <c r="P313" s="27" t="s">
        <v>7</v>
      </c>
      <c r="Q313" s="27" t="s">
        <v>8</v>
      </c>
      <c r="R313" s="27" t="s">
        <v>7</v>
      </c>
      <c r="T313" s="27" t="s">
        <v>7</v>
      </c>
      <c r="W313" s="27" t="s">
        <v>8</v>
      </c>
      <c r="X313" s="27" t="s">
        <v>7</v>
      </c>
      <c r="AC313" s="27" t="s">
        <v>8</v>
      </c>
      <c r="AP313" s="27" t="s">
        <v>7</v>
      </c>
      <c r="AQ313" s="27" t="s">
        <v>8</v>
      </c>
      <c r="AR313" s="27" t="s">
        <v>7</v>
      </c>
      <c r="AS313" s="27" t="s">
        <v>8</v>
      </c>
      <c r="AT313" s="27" t="s">
        <v>7</v>
      </c>
      <c r="AV313" s="27" t="s">
        <v>7</v>
      </c>
      <c r="BW313" s="27" t="s">
        <v>8</v>
      </c>
      <c r="CL313" s="27" t="s">
        <v>7</v>
      </c>
      <c r="CM313" s="27" t="s">
        <v>8</v>
      </c>
      <c r="CN313" s="27" t="s">
        <v>7</v>
      </c>
      <c r="CO313" s="27" t="s">
        <v>8</v>
      </c>
      <c r="CP313" s="27" t="s">
        <v>7</v>
      </c>
      <c r="DI313" s="27" t="s">
        <v>8</v>
      </c>
      <c r="DJ313" s="27" t="s">
        <v>7</v>
      </c>
      <c r="DK313" s="27" t="s">
        <v>8</v>
      </c>
      <c r="DL313" s="27" t="s">
        <v>7</v>
      </c>
      <c r="DM313" s="27" t="s">
        <v>8</v>
      </c>
      <c r="DQ313" s="27" t="s">
        <v>8</v>
      </c>
      <c r="DR313" s="27" t="s">
        <v>7</v>
      </c>
      <c r="DS313" s="27" t="s">
        <v>8</v>
      </c>
    </row>
    <row r="314" spans="1:237" x14ac:dyDescent="0.25">
      <c r="A314" s="30">
        <v>2.7039077391184052E-2</v>
      </c>
      <c r="B314"/>
      <c r="C314"/>
      <c r="D314"/>
      <c r="E314"/>
      <c r="P314" s="27" t="s">
        <v>7</v>
      </c>
      <c r="Q314" s="27" t="s">
        <v>8</v>
      </c>
      <c r="T314" s="27" t="s">
        <v>7</v>
      </c>
      <c r="W314" s="27" t="s">
        <v>8</v>
      </c>
      <c r="X314" s="27" t="s">
        <v>7</v>
      </c>
      <c r="AC314" s="27" t="s">
        <v>8</v>
      </c>
      <c r="AP314" s="27" t="s">
        <v>7</v>
      </c>
      <c r="AQ314" s="27" t="s">
        <v>8</v>
      </c>
      <c r="AR314" s="27" t="s">
        <v>7</v>
      </c>
      <c r="AS314" s="27" t="s">
        <v>8</v>
      </c>
      <c r="AV314" s="27" t="s">
        <v>7</v>
      </c>
      <c r="BW314" s="27" t="s">
        <v>8</v>
      </c>
      <c r="CL314" s="27" t="s">
        <v>7</v>
      </c>
      <c r="CN314" s="27" t="s">
        <v>7</v>
      </c>
      <c r="CP314" s="27" t="s">
        <v>7</v>
      </c>
      <c r="CS314" s="27" t="s">
        <v>8</v>
      </c>
      <c r="DE314" s="27" t="s">
        <v>8</v>
      </c>
      <c r="DI314" s="27" t="s">
        <v>8</v>
      </c>
      <c r="DJ314" s="27" t="s">
        <v>7</v>
      </c>
      <c r="DL314" s="27" t="s">
        <v>7</v>
      </c>
      <c r="DM314" s="27" t="s">
        <v>8</v>
      </c>
      <c r="DN314" s="27" t="s">
        <v>7</v>
      </c>
      <c r="DO314" s="27" t="s">
        <v>8</v>
      </c>
      <c r="DQ314" s="27" t="s">
        <v>8</v>
      </c>
      <c r="DR314" s="27" t="s">
        <v>7</v>
      </c>
      <c r="DS314" s="27" t="s">
        <v>8</v>
      </c>
    </row>
    <row r="315" spans="1:237" x14ac:dyDescent="0.25">
      <c r="A315" s="30">
        <v>2.5751502277318133E-2</v>
      </c>
      <c r="B315"/>
      <c r="C315"/>
      <c r="D315"/>
      <c r="E315"/>
      <c r="P315" s="27" t="s">
        <v>7</v>
      </c>
      <c r="T315" s="27" t="s">
        <v>7</v>
      </c>
      <c r="U315" s="27" t="s">
        <v>8</v>
      </c>
      <c r="W315" s="27" t="s">
        <v>8</v>
      </c>
      <c r="X315" s="27" t="s">
        <v>7</v>
      </c>
      <c r="AC315" s="27" t="s">
        <v>8</v>
      </c>
      <c r="AP315" s="27" t="s">
        <v>7</v>
      </c>
      <c r="AR315" s="27" t="s">
        <v>7</v>
      </c>
      <c r="AV315" s="27" t="s">
        <v>7</v>
      </c>
      <c r="BW315" s="27" t="s">
        <v>8</v>
      </c>
      <c r="CP315" s="27" t="s">
        <v>7</v>
      </c>
      <c r="CS315" s="27" t="s">
        <v>8</v>
      </c>
      <c r="CT315" s="27" t="s">
        <v>7</v>
      </c>
      <c r="CU315" s="27" t="s">
        <v>8</v>
      </c>
      <c r="DE315" s="27" t="s">
        <v>8</v>
      </c>
      <c r="DF315" s="27" t="s">
        <v>7</v>
      </c>
      <c r="DI315" s="27" t="s">
        <v>8</v>
      </c>
      <c r="DL315" s="27" t="s">
        <v>7</v>
      </c>
      <c r="DM315" s="27" t="s">
        <v>8</v>
      </c>
      <c r="DN315" s="27" t="s">
        <v>7</v>
      </c>
      <c r="DO315" s="27" t="s">
        <v>8</v>
      </c>
      <c r="DP315" s="27" t="s">
        <v>7</v>
      </c>
      <c r="DQ315" s="27" t="s">
        <v>8</v>
      </c>
      <c r="DR315" s="27" t="s">
        <v>7</v>
      </c>
      <c r="DS315" s="27" t="s">
        <v>8</v>
      </c>
    </row>
    <row r="316" spans="1:237" x14ac:dyDescent="0.25">
      <c r="A316" s="30">
        <v>2.4525240264112496E-2</v>
      </c>
      <c r="B316"/>
      <c r="C316"/>
      <c r="D316"/>
      <c r="E316"/>
      <c r="T316" s="27" t="s">
        <v>7</v>
      </c>
      <c r="U316" s="27" t="s">
        <v>8</v>
      </c>
      <c r="V316" s="27" t="s">
        <v>7</v>
      </c>
      <c r="W316" s="27" t="s">
        <v>8</v>
      </c>
      <c r="X316" s="27" t="s">
        <v>7</v>
      </c>
      <c r="Y316" s="27" t="s">
        <v>8</v>
      </c>
      <c r="AA316" s="27" t="s">
        <v>8</v>
      </c>
      <c r="AC316" s="27" t="s">
        <v>8</v>
      </c>
      <c r="AV316" s="27" t="s">
        <v>7</v>
      </c>
      <c r="BU316" s="27" t="s">
        <v>8</v>
      </c>
      <c r="BW316" s="27" t="s">
        <v>8</v>
      </c>
      <c r="CP316" s="27" t="s">
        <v>7</v>
      </c>
      <c r="CS316" s="27" t="s">
        <v>8</v>
      </c>
      <c r="CT316" s="27" t="s">
        <v>7</v>
      </c>
      <c r="CU316" s="27" t="s">
        <v>8</v>
      </c>
      <c r="CV316" s="27" t="s">
        <v>7</v>
      </c>
      <c r="DE316" s="27" t="s">
        <v>8</v>
      </c>
      <c r="DF316" s="27" t="s">
        <v>7</v>
      </c>
      <c r="DI316" s="27" t="s">
        <v>8</v>
      </c>
      <c r="DL316" s="27" t="s">
        <v>7</v>
      </c>
      <c r="DN316" s="27" t="s">
        <v>7</v>
      </c>
      <c r="DO316" s="27" t="s">
        <v>8</v>
      </c>
      <c r="DP316" s="27" t="s">
        <v>7</v>
      </c>
      <c r="DQ316" s="27" t="s">
        <v>8</v>
      </c>
      <c r="DR316" s="27" t="s">
        <v>7</v>
      </c>
      <c r="DS316" s="27" t="s">
        <v>8</v>
      </c>
    </row>
    <row r="317" spans="1:237" x14ac:dyDescent="0.25">
      <c r="A317" s="30">
        <v>2.3357371680107129E-2</v>
      </c>
      <c r="B317"/>
      <c r="C317"/>
      <c r="D317"/>
      <c r="E317"/>
      <c r="T317" s="27" t="s">
        <v>7</v>
      </c>
      <c r="U317" s="27" t="s">
        <v>8</v>
      </c>
      <c r="V317" s="27" t="s">
        <v>7</v>
      </c>
      <c r="W317" s="27" t="s">
        <v>8</v>
      </c>
      <c r="X317" s="27" t="s">
        <v>7</v>
      </c>
      <c r="Y317" s="27" t="s">
        <v>8</v>
      </c>
      <c r="Z317" s="27" t="s">
        <v>7</v>
      </c>
      <c r="AA317" s="27" t="s">
        <v>8</v>
      </c>
      <c r="AB317" s="27" t="s">
        <v>7</v>
      </c>
      <c r="AC317" s="27" t="s">
        <v>8</v>
      </c>
      <c r="AV317" s="27" t="s">
        <v>7</v>
      </c>
      <c r="BK317" s="27" t="s">
        <v>8</v>
      </c>
      <c r="BU317" s="27" t="s">
        <v>8</v>
      </c>
      <c r="BV317" s="27" t="s">
        <v>7</v>
      </c>
      <c r="BW317" s="27" t="s">
        <v>8</v>
      </c>
      <c r="CP317" s="27" t="s">
        <v>7</v>
      </c>
      <c r="CS317" s="27" t="s">
        <v>8</v>
      </c>
      <c r="CT317" s="27" t="s">
        <v>7</v>
      </c>
      <c r="CU317" s="27" t="s">
        <v>8</v>
      </c>
      <c r="CV317" s="27" t="s">
        <v>7</v>
      </c>
      <c r="DA317" s="27" t="s">
        <v>8</v>
      </c>
      <c r="DC317" s="27" t="s">
        <v>8</v>
      </c>
      <c r="DE317" s="27" t="s">
        <v>8</v>
      </c>
      <c r="DF317" s="27" t="s">
        <v>7</v>
      </c>
      <c r="DI317" s="27" t="s">
        <v>8</v>
      </c>
      <c r="DN317" s="27" t="s">
        <v>7</v>
      </c>
      <c r="DO317" s="27" t="s">
        <v>8</v>
      </c>
      <c r="DP317" s="27" t="s">
        <v>7</v>
      </c>
      <c r="DQ317" s="27" t="s">
        <v>8</v>
      </c>
      <c r="DR317" s="27" t="s">
        <v>7</v>
      </c>
    </row>
    <row r="318" spans="1:237" x14ac:dyDescent="0.25">
      <c r="A318" s="30">
        <v>2.2245115885816305E-2</v>
      </c>
      <c r="B318"/>
      <c r="C318"/>
      <c r="D318"/>
      <c r="E318"/>
      <c r="T318" s="27" t="s">
        <v>7</v>
      </c>
      <c r="U318" s="27" t="s">
        <v>8</v>
      </c>
      <c r="V318" s="27" t="s">
        <v>7</v>
      </c>
      <c r="X318" s="27" t="s">
        <v>7</v>
      </c>
      <c r="Y318" s="27" t="s">
        <v>8</v>
      </c>
      <c r="Z318" s="27" t="s">
        <v>7</v>
      </c>
      <c r="AA318" s="27" t="s">
        <v>8</v>
      </c>
      <c r="AB318" s="27" t="s">
        <v>7</v>
      </c>
      <c r="AC318" s="27" t="s">
        <v>8</v>
      </c>
      <c r="AV318" s="27" t="s">
        <v>7</v>
      </c>
      <c r="BK318" s="27" t="s">
        <v>8</v>
      </c>
      <c r="BL318" s="27" t="s">
        <v>7</v>
      </c>
      <c r="BS318" s="27" t="s">
        <v>8</v>
      </c>
      <c r="BU318" s="27" t="s">
        <v>8</v>
      </c>
      <c r="BV318" s="27" t="s">
        <v>7</v>
      </c>
      <c r="BW318" s="27" t="s">
        <v>8</v>
      </c>
      <c r="CP318" s="27" t="s">
        <v>7</v>
      </c>
      <c r="CQ318" s="27" t="s">
        <v>8</v>
      </c>
      <c r="CS318" s="27" t="s">
        <v>8</v>
      </c>
      <c r="CT318" s="27" t="s">
        <v>7</v>
      </c>
      <c r="CU318" s="27" t="s">
        <v>8</v>
      </c>
      <c r="CV318" s="27" t="s">
        <v>7</v>
      </c>
      <c r="DA318" s="27" t="s">
        <v>8</v>
      </c>
      <c r="DB318" s="27" t="s">
        <v>7</v>
      </c>
      <c r="DC318" s="27" t="s">
        <v>8</v>
      </c>
      <c r="DD318" s="27" t="s">
        <v>7</v>
      </c>
      <c r="DE318" s="27" t="s">
        <v>8</v>
      </c>
      <c r="DF318" s="27" t="s">
        <v>7</v>
      </c>
      <c r="DG318" s="27" t="s">
        <v>8</v>
      </c>
      <c r="DI318" s="27" t="s">
        <v>8</v>
      </c>
      <c r="DN318" s="27" t="s">
        <v>7</v>
      </c>
      <c r="DO318" s="27" t="s">
        <v>8</v>
      </c>
      <c r="DP318" s="27" t="s">
        <v>7</v>
      </c>
    </row>
    <row r="319" spans="1:237" x14ac:dyDescent="0.25">
      <c r="A319" s="30">
        <v>2.1185824653158377E-2</v>
      </c>
      <c r="B319"/>
      <c r="C319"/>
      <c r="D319"/>
      <c r="E319"/>
      <c r="T319" s="27" t="s">
        <v>7</v>
      </c>
      <c r="U319" s="27" t="s">
        <v>8</v>
      </c>
      <c r="X319" s="27" t="s">
        <v>7</v>
      </c>
      <c r="Y319" s="27" t="s">
        <v>8</v>
      </c>
      <c r="Z319" s="27" t="s">
        <v>7</v>
      </c>
      <c r="AA319" s="27" t="s">
        <v>8</v>
      </c>
      <c r="AB319" s="27" t="s">
        <v>7</v>
      </c>
      <c r="AC319" s="27" t="s">
        <v>8</v>
      </c>
      <c r="AV319" s="27" t="s">
        <v>7</v>
      </c>
      <c r="BK319" s="27" t="s">
        <v>8</v>
      </c>
      <c r="BL319" s="27" t="s">
        <v>7</v>
      </c>
      <c r="BQ319" s="27" t="s">
        <v>8</v>
      </c>
      <c r="BS319" s="27" t="s">
        <v>8</v>
      </c>
      <c r="BT319" s="27" t="s">
        <v>7</v>
      </c>
      <c r="BU319" s="27" t="s">
        <v>8</v>
      </c>
      <c r="BV319" s="27" t="s">
        <v>7</v>
      </c>
      <c r="BW319" s="27" t="s">
        <v>8</v>
      </c>
      <c r="CP319" s="27" t="s">
        <v>7</v>
      </c>
      <c r="CQ319" s="27" t="s">
        <v>8</v>
      </c>
      <c r="CR319" s="27" t="s">
        <v>7</v>
      </c>
      <c r="CS319" s="27" t="s">
        <v>8</v>
      </c>
      <c r="CT319" s="27" t="s">
        <v>7</v>
      </c>
      <c r="CU319" s="27" t="s">
        <v>8</v>
      </c>
      <c r="CV319" s="27" t="s">
        <v>7</v>
      </c>
      <c r="DA319" s="27" t="s">
        <v>8</v>
      </c>
      <c r="DB319" s="27" t="s">
        <v>7</v>
      </c>
      <c r="DC319" s="27" t="s">
        <v>8</v>
      </c>
      <c r="DD319" s="27" t="s">
        <v>7</v>
      </c>
      <c r="DE319" s="27" t="s">
        <v>8</v>
      </c>
      <c r="DF319" s="27" t="s">
        <v>7</v>
      </c>
      <c r="DG319" s="27" t="s">
        <v>8</v>
      </c>
      <c r="DH319" s="27" t="s">
        <v>7</v>
      </c>
      <c r="DI319" s="27" t="s">
        <v>8</v>
      </c>
      <c r="DN319" s="27" t="s">
        <v>7</v>
      </c>
    </row>
    <row r="320" spans="1:237" x14ac:dyDescent="0.25">
      <c r="A320" s="30">
        <v>2.0176975860150829E-2</v>
      </c>
      <c r="B320"/>
      <c r="C320"/>
      <c r="D320"/>
      <c r="E320"/>
      <c r="T320" s="27" t="s">
        <v>7</v>
      </c>
      <c r="U320" s="27" t="s">
        <v>8</v>
      </c>
      <c r="X320" s="27" t="s">
        <v>7</v>
      </c>
      <c r="Y320" s="27" t="s">
        <v>8</v>
      </c>
      <c r="Z320" s="27" t="s">
        <v>7</v>
      </c>
      <c r="AB320" s="27" t="s">
        <v>7</v>
      </c>
      <c r="AV320" s="27" t="s">
        <v>7</v>
      </c>
      <c r="BK320" s="27" t="s">
        <v>8</v>
      </c>
      <c r="BL320" s="27" t="s">
        <v>7</v>
      </c>
      <c r="BM320" s="27" t="s">
        <v>8</v>
      </c>
      <c r="BO320" s="27" t="s">
        <v>8</v>
      </c>
      <c r="BQ320" s="27" t="s">
        <v>8</v>
      </c>
      <c r="BR320" s="27" t="s">
        <v>7</v>
      </c>
      <c r="BS320" s="27" t="s">
        <v>8</v>
      </c>
      <c r="BT320" s="27" t="s">
        <v>7</v>
      </c>
      <c r="BU320" s="27" t="s">
        <v>8</v>
      </c>
      <c r="BV320" s="27" t="s">
        <v>7</v>
      </c>
      <c r="BW320" s="27" t="s">
        <v>8</v>
      </c>
      <c r="CP320" s="27" t="s">
        <v>7</v>
      </c>
      <c r="CQ320" s="27" t="s">
        <v>8</v>
      </c>
      <c r="CR320" s="27" t="s">
        <v>7</v>
      </c>
      <c r="CS320" s="27" t="s">
        <v>8</v>
      </c>
      <c r="CT320" s="27" t="s">
        <v>7</v>
      </c>
      <c r="CV320" s="27" t="s">
        <v>7</v>
      </c>
      <c r="CY320" s="27" t="s">
        <v>8</v>
      </c>
      <c r="DA320" s="27" t="s">
        <v>8</v>
      </c>
      <c r="DB320" s="27" t="s">
        <v>7</v>
      </c>
      <c r="DC320" s="27" t="s">
        <v>8</v>
      </c>
      <c r="DD320" s="27" t="s">
        <v>7</v>
      </c>
      <c r="DF320" s="27" t="s">
        <v>7</v>
      </c>
      <c r="DG320" s="27" t="s">
        <v>8</v>
      </c>
      <c r="DH320" s="27" t="s">
        <v>7</v>
      </c>
      <c r="DI320" s="27" t="s">
        <v>8</v>
      </c>
    </row>
    <row r="321" spans="1:112" x14ac:dyDescent="0.25">
      <c r="A321" s="30">
        <v>1.9216167485857926E-2</v>
      </c>
      <c r="B321"/>
      <c r="C321"/>
      <c r="D321"/>
      <c r="E321"/>
      <c r="T321" s="27" t="s">
        <v>7</v>
      </c>
      <c r="U321" s="27" t="s">
        <v>8</v>
      </c>
      <c r="X321" s="27" t="s">
        <v>7</v>
      </c>
      <c r="Y321" s="27" t="s">
        <v>8</v>
      </c>
      <c r="AV321" s="27" t="s">
        <v>7</v>
      </c>
      <c r="BK321" s="27" t="s">
        <v>8</v>
      </c>
      <c r="BL321" s="27" t="s">
        <v>7</v>
      </c>
      <c r="BM321" s="27" t="s">
        <v>8</v>
      </c>
      <c r="BN321" s="27" t="s">
        <v>7</v>
      </c>
      <c r="BO321" s="27" t="s">
        <v>8</v>
      </c>
      <c r="BP321" s="27" t="s">
        <v>7</v>
      </c>
      <c r="BQ321" s="27" t="s">
        <v>8</v>
      </c>
      <c r="BR321" s="27" t="s">
        <v>7</v>
      </c>
      <c r="BS321" s="27" t="s">
        <v>8</v>
      </c>
      <c r="BT321" s="27" t="s">
        <v>7</v>
      </c>
      <c r="BU321" s="27" t="s">
        <v>8</v>
      </c>
      <c r="BV321" s="27" t="s">
        <v>7</v>
      </c>
      <c r="BW321" s="27" t="s">
        <v>8</v>
      </c>
      <c r="CP321" s="27" t="s">
        <v>7</v>
      </c>
      <c r="CQ321" s="27" t="s">
        <v>8</v>
      </c>
      <c r="CR321" s="27" t="s">
        <v>7</v>
      </c>
      <c r="CV321" s="27" t="s">
        <v>7</v>
      </c>
      <c r="CY321" s="27" t="s">
        <v>8</v>
      </c>
      <c r="CZ321" s="27" t="s">
        <v>7</v>
      </c>
      <c r="DA321" s="27" t="s">
        <v>8</v>
      </c>
      <c r="DB321" s="27" t="s">
        <v>7</v>
      </c>
      <c r="DC321" s="27" t="s">
        <v>8</v>
      </c>
      <c r="DF321" s="27" t="s">
        <v>7</v>
      </c>
      <c r="DG321" s="27" t="s">
        <v>8</v>
      </c>
      <c r="DH321" s="27" t="s">
        <v>7</v>
      </c>
    </row>
    <row r="322" spans="1:112" x14ac:dyDescent="0.25">
      <c r="A322" s="30">
        <v>1.8301111891293256E-2</v>
      </c>
      <c r="B322"/>
      <c r="C322"/>
      <c r="D322"/>
      <c r="E322"/>
      <c r="T322" s="27" t="s">
        <v>7</v>
      </c>
      <c r="U322" s="27" t="s">
        <v>8</v>
      </c>
      <c r="X322" s="27" t="s">
        <v>7</v>
      </c>
      <c r="Y322" s="27" t="s">
        <v>8</v>
      </c>
      <c r="AV322" s="27" t="s">
        <v>7</v>
      </c>
      <c r="BK322" s="27" t="s">
        <v>8</v>
      </c>
      <c r="BL322" s="27" t="s">
        <v>7</v>
      </c>
      <c r="BM322" s="27" t="s">
        <v>8</v>
      </c>
      <c r="BN322" s="27" t="s">
        <v>7</v>
      </c>
      <c r="BO322" s="27" t="s">
        <v>8</v>
      </c>
      <c r="BP322" s="27" t="s">
        <v>7</v>
      </c>
      <c r="BQ322" s="27" t="s">
        <v>8</v>
      </c>
      <c r="BR322" s="27" t="s">
        <v>7</v>
      </c>
      <c r="BS322" s="27" t="s">
        <v>8</v>
      </c>
      <c r="BT322" s="27" t="s">
        <v>7</v>
      </c>
      <c r="BV322" s="27" t="s">
        <v>7</v>
      </c>
      <c r="BW322" s="27" t="s">
        <v>8</v>
      </c>
      <c r="CP322" s="27" t="s">
        <v>7</v>
      </c>
      <c r="CQ322" s="27" t="s">
        <v>8</v>
      </c>
      <c r="CV322" s="27" t="s">
        <v>7</v>
      </c>
      <c r="CW322" s="27" t="s">
        <v>8</v>
      </c>
      <c r="CY322" s="27" t="s">
        <v>8</v>
      </c>
      <c r="CZ322" s="27" t="s">
        <v>7</v>
      </c>
      <c r="DA322" s="27" t="s">
        <v>8</v>
      </c>
      <c r="DB322" s="27" t="s">
        <v>7</v>
      </c>
      <c r="DF322" s="27" t="s">
        <v>7</v>
      </c>
    </row>
    <row r="323" spans="1:112" x14ac:dyDescent="0.25">
      <c r="A323" s="30">
        <v>1.7429630372660238E-2</v>
      </c>
      <c r="B323"/>
      <c r="C323"/>
      <c r="D323"/>
      <c r="E323"/>
      <c r="T323" s="27" t="s">
        <v>7</v>
      </c>
      <c r="X323" s="27" t="s">
        <v>7</v>
      </c>
      <c r="AV323" s="27" t="s">
        <v>7</v>
      </c>
      <c r="AW323" s="27" t="s">
        <v>8</v>
      </c>
      <c r="BA323" s="27" t="s">
        <v>8</v>
      </c>
      <c r="BK323" s="27" t="s">
        <v>8</v>
      </c>
      <c r="BL323" s="27" t="s">
        <v>7</v>
      </c>
      <c r="BN323" s="27" t="s">
        <v>7</v>
      </c>
      <c r="BO323" s="27" t="s">
        <v>8</v>
      </c>
      <c r="BP323" s="27" t="s">
        <v>7</v>
      </c>
      <c r="BR323" s="27" t="s">
        <v>7</v>
      </c>
      <c r="BV323" s="27" t="s">
        <v>7</v>
      </c>
      <c r="BW323" s="27" t="s">
        <v>8</v>
      </c>
      <c r="CP323" s="27" t="s">
        <v>7</v>
      </c>
      <c r="CQ323" s="27" t="s">
        <v>8</v>
      </c>
      <c r="CV323" s="27" t="s">
        <v>7</v>
      </c>
      <c r="CW323" s="27" t="s">
        <v>8</v>
      </c>
      <c r="CX323" s="27" t="s">
        <v>7</v>
      </c>
      <c r="CY323" s="27" t="s">
        <v>8</v>
      </c>
      <c r="CZ323" s="27" t="s">
        <v>7</v>
      </c>
    </row>
    <row r="324" spans="1:112" x14ac:dyDescent="0.25">
      <c r="A324" s="30">
        <v>1.6599647973962125E-2</v>
      </c>
      <c r="B324"/>
      <c r="C324"/>
      <c r="D324"/>
      <c r="E324"/>
      <c r="AV324" s="27" t="s">
        <v>7</v>
      </c>
      <c r="AW324" s="27" t="s">
        <v>8</v>
      </c>
      <c r="AX324" s="27" t="s">
        <v>7</v>
      </c>
      <c r="BA324" s="27" t="s">
        <v>8</v>
      </c>
      <c r="BB324" s="27" t="s">
        <v>7</v>
      </c>
      <c r="BK324" s="27" t="s">
        <v>8</v>
      </c>
      <c r="BN324" s="27" t="s">
        <v>7</v>
      </c>
      <c r="BO324" s="27" t="s">
        <v>8</v>
      </c>
      <c r="BV324" s="27" t="s">
        <v>7</v>
      </c>
      <c r="CP324" s="27" t="s">
        <v>7</v>
      </c>
      <c r="CQ324" s="27" t="s">
        <v>8</v>
      </c>
      <c r="CV324" s="27" t="s">
        <v>7</v>
      </c>
      <c r="CW324" s="27" t="s">
        <v>8</v>
      </c>
      <c r="CX324" s="27" t="s">
        <v>7</v>
      </c>
      <c r="CY324" s="27" t="s">
        <v>8</v>
      </c>
    </row>
    <row r="325" spans="1:112" x14ac:dyDescent="0.25">
      <c r="A325" s="30">
        <v>1.580918854663059E-2</v>
      </c>
      <c r="B325"/>
      <c r="C325"/>
      <c r="D325"/>
      <c r="E325"/>
      <c r="AV325" s="27" t="s">
        <v>7</v>
      </c>
      <c r="AW325" s="27" t="s">
        <v>8</v>
      </c>
      <c r="AX325" s="27" t="s">
        <v>7</v>
      </c>
      <c r="BA325" s="27" t="s">
        <v>8</v>
      </c>
      <c r="BB325" s="27" t="s">
        <v>7</v>
      </c>
      <c r="BI325" s="27" t="s">
        <v>8</v>
      </c>
      <c r="BK325" s="27" t="s">
        <v>8</v>
      </c>
      <c r="BN325" s="27" t="s">
        <v>7</v>
      </c>
      <c r="BO325" s="27" t="s">
        <v>8</v>
      </c>
      <c r="CP325" s="27" t="s">
        <v>7</v>
      </c>
      <c r="CV325" s="27" t="s">
        <v>7</v>
      </c>
      <c r="CX325" s="27" t="s">
        <v>7</v>
      </c>
      <c r="CY325" s="27" t="s">
        <v>8</v>
      </c>
    </row>
    <row r="326" spans="1:112" x14ac:dyDescent="0.25">
      <c r="A326" s="30">
        <v>1.5056370044410079E-2</v>
      </c>
      <c r="B326"/>
      <c r="C326"/>
      <c r="D326"/>
      <c r="E326"/>
      <c r="AV326" s="27" t="s">
        <v>7</v>
      </c>
      <c r="AW326" s="27" t="s">
        <v>8</v>
      </c>
      <c r="AX326" s="27" t="s">
        <v>7</v>
      </c>
      <c r="BA326" s="27" t="s">
        <v>8</v>
      </c>
      <c r="BB326" s="27" t="s">
        <v>7</v>
      </c>
      <c r="BE326" s="27" t="s">
        <v>8</v>
      </c>
      <c r="BG326" s="27" t="s">
        <v>8</v>
      </c>
      <c r="BI326" s="27" t="s">
        <v>8</v>
      </c>
      <c r="BJ326" s="27" t="s">
        <v>7</v>
      </c>
      <c r="BK326" s="27" t="s">
        <v>8</v>
      </c>
      <c r="BN326" s="27" t="s">
        <v>7</v>
      </c>
      <c r="CX326" s="27" t="s">
        <v>7</v>
      </c>
    </row>
    <row r="327" spans="1:112" x14ac:dyDescent="0.25">
      <c r="A327" s="30">
        <v>1.4339400042295308E-2</v>
      </c>
      <c r="B327"/>
      <c r="C327"/>
      <c r="D327"/>
      <c r="E327"/>
      <c r="AV327" s="27" t="s">
        <v>7</v>
      </c>
      <c r="AW327" s="27" t="s">
        <v>8</v>
      </c>
      <c r="AX327" s="27" t="s">
        <v>7</v>
      </c>
      <c r="AY327" s="27" t="s">
        <v>8</v>
      </c>
      <c r="BA327" s="27" t="s">
        <v>8</v>
      </c>
      <c r="BB327" s="27" t="s">
        <v>7</v>
      </c>
      <c r="BE327" s="27" t="s">
        <v>8</v>
      </c>
      <c r="BF327" s="27" t="s">
        <v>7</v>
      </c>
      <c r="BG327" s="27" t="s">
        <v>8</v>
      </c>
      <c r="BH327" s="27" t="s">
        <v>7</v>
      </c>
      <c r="BI327" s="27" t="s">
        <v>8</v>
      </c>
      <c r="BJ327" s="27" t="s">
        <v>7</v>
      </c>
      <c r="BK327" s="27" t="s">
        <v>8</v>
      </c>
    </row>
    <row r="328" spans="1:112" x14ac:dyDescent="0.25">
      <c r="A328" s="30">
        <v>1.365657146885267E-2</v>
      </c>
      <c r="B328"/>
      <c r="C328"/>
      <c r="D328"/>
      <c r="E328"/>
      <c r="AV328" s="27" t="s">
        <v>7</v>
      </c>
      <c r="AW328" s="27" t="s">
        <v>8</v>
      </c>
      <c r="AX328" s="27" t="s">
        <v>7</v>
      </c>
      <c r="AY328" s="27" t="s">
        <v>8</v>
      </c>
      <c r="AZ328" s="27" t="s">
        <v>7</v>
      </c>
      <c r="BA328" s="27" t="s">
        <v>8</v>
      </c>
      <c r="BB328" s="27" t="s">
        <v>7</v>
      </c>
      <c r="BC328" s="27" t="s">
        <v>8</v>
      </c>
      <c r="BE328" s="27" t="s">
        <v>8</v>
      </c>
      <c r="BF328" s="27" t="s">
        <v>7</v>
      </c>
      <c r="BG328" s="27" t="s">
        <v>8</v>
      </c>
      <c r="BH328" s="27" t="s">
        <v>7</v>
      </c>
      <c r="BI328" s="27" t="s">
        <v>8</v>
      </c>
      <c r="BJ328" s="27" t="s">
        <v>7</v>
      </c>
    </row>
    <row r="329" spans="1:112" x14ac:dyDescent="0.25">
      <c r="A329" s="30">
        <v>1.3006258541764442E-2</v>
      </c>
      <c r="B329"/>
      <c r="C329"/>
      <c r="D329"/>
      <c r="E329"/>
      <c r="AV329" s="27" t="s">
        <v>7</v>
      </c>
      <c r="AW329" s="27" t="s">
        <v>8</v>
      </c>
      <c r="AX329" s="27" t="s">
        <v>7</v>
      </c>
      <c r="AY329" s="27" t="s">
        <v>8</v>
      </c>
      <c r="AZ329" s="27" t="s">
        <v>7</v>
      </c>
      <c r="BA329" s="27" t="s">
        <v>8</v>
      </c>
      <c r="BB329" s="27" t="s">
        <v>7</v>
      </c>
      <c r="BC329" s="27" t="s">
        <v>8</v>
      </c>
      <c r="BD329" s="27" t="s">
        <v>7</v>
      </c>
      <c r="BE329" s="27" t="s">
        <v>8</v>
      </c>
      <c r="BF329" s="27" t="s">
        <v>7</v>
      </c>
      <c r="BG329" s="27" t="s">
        <v>8</v>
      </c>
      <c r="BH329" s="27" t="s">
        <v>7</v>
      </c>
      <c r="BI329" s="27" t="s">
        <v>8</v>
      </c>
    </row>
    <row r="330" spans="1:112" x14ac:dyDescent="0.25">
      <c r="A330" s="30">
        <v>1.2386912896918512E-2</v>
      </c>
      <c r="B330"/>
      <c r="C330"/>
      <c r="D330"/>
      <c r="E330"/>
      <c r="AV330" s="27" t="s">
        <v>7</v>
      </c>
      <c r="AW330" s="27" t="s">
        <v>8</v>
      </c>
      <c r="AX330" s="27" t="s">
        <v>7</v>
      </c>
      <c r="AY330" s="27" t="s">
        <v>8</v>
      </c>
      <c r="AZ330" s="27" t="s">
        <v>7</v>
      </c>
      <c r="BB330" s="27" t="s">
        <v>7</v>
      </c>
      <c r="BC330" s="27" t="s">
        <v>8</v>
      </c>
      <c r="BD330" s="27" t="s">
        <v>7</v>
      </c>
      <c r="BE330" s="27" t="s">
        <v>8</v>
      </c>
      <c r="BF330" s="27" t="s">
        <v>7</v>
      </c>
      <c r="BG330" s="27" t="s">
        <v>8</v>
      </c>
      <c r="BH330" s="27" t="s">
        <v>7</v>
      </c>
      <c r="BI330" s="27" t="s">
        <v>8</v>
      </c>
    </row>
    <row r="331" spans="1:112" x14ac:dyDescent="0.25">
      <c r="A331" s="30">
        <v>1.179705990182715E-2</v>
      </c>
      <c r="B331"/>
      <c r="C331"/>
      <c r="D331"/>
      <c r="E331"/>
      <c r="AV331" s="27" t="s">
        <v>7</v>
      </c>
      <c r="AW331" s="27" t="s">
        <v>8</v>
      </c>
      <c r="AX331" s="27" t="s">
        <v>7</v>
      </c>
      <c r="AY331" s="27" t="s">
        <v>8</v>
      </c>
      <c r="BB331" s="27" t="s">
        <v>7</v>
      </c>
      <c r="BC331" s="27" t="s">
        <v>8</v>
      </c>
      <c r="BD331" s="27" t="s">
        <v>7</v>
      </c>
      <c r="BE331" s="27" t="s">
        <v>8</v>
      </c>
      <c r="BF331" s="27" t="s">
        <v>7</v>
      </c>
      <c r="BG331" s="27" t="s">
        <v>8</v>
      </c>
      <c r="BH331" s="27" t="s">
        <v>7</v>
      </c>
    </row>
    <row r="332" spans="1:112" x14ac:dyDescent="0.25">
      <c r="A332" s="30">
        <v>1.1235295144597281E-2</v>
      </c>
      <c r="B332"/>
      <c r="C332"/>
      <c r="D332"/>
      <c r="E332"/>
      <c r="AV332" s="27" t="s">
        <v>7</v>
      </c>
      <c r="AW332" s="27" t="s">
        <v>8</v>
      </c>
      <c r="AX332" s="27" t="s">
        <v>7</v>
      </c>
      <c r="BB332" s="27" t="s">
        <v>7</v>
      </c>
      <c r="BD332" s="27" t="s">
        <v>7</v>
      </c>
      <c r="BE332" s="27" t="s">
        <v>8</v>
      </c>
      <c r="BF332" s="27" t="s">
        <v>7</v>
      </c>
    </row>
    <row r="333" spans="1:112" x14ac:dyDescent="0.25">
      <c r="A333" s="30">
        <v>1.0700281090092644E-2</v>
      </c>
      <c r="B333"/>
      <c r="C333"/>
      <c r="D333"/>
      <c r="E333"/>
      <c r="AV333" s="27" t="s">
        <v>7</v>
      </c>
      <c r="AW333" s="27" t="s">
        <v>8</v>
      </c>
      <c r="BD333" s="27" t="s">
        <v>7</v>
      </c>
    </row>
    <row r="334" spans="1:112" x14ac:dyDescent="0.25">
      <c r="A334" s="30">
        <v>1.0190743895326324E-2</v>
      </c>
      <c r="B334"/>
      <c r="C334"/>
      <c r="D334"/>
      <c r="E334"/>
      <c r="AV334" s="27" t="s">
        <v>7</v>
      </c>
    </row>
    <row r="335" spans="1:112" x14ac:dyDescent="0.25">
      <c r="A335" s="30">
        <v>9.7054703765012563E-3</v>
      </c>
      <c r="B335"/>
      <c r="C335"/>
      <c r="D335"/>
      <c r="E335"/>
    </row>
    <row r="336" spans="1:112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06" operator="equal">
      <formula>$U$1</formula>
    </cfRule>
    <cfRule type="cellIs" dxfId="67" priority="1307" operator="equal">
      <formula>$S$1</formula>
    </cfRule>
  </conditionalFormatting>
  <conditionalFormatting sqref="D136">
    <cfRule type="cellIs" dxfId="66" priority="1304" operator="equal">
      <formula>$S$1</formula>
    </cfRule>
    <cfRule type="cellIs" dxfId="65" priority="1305" operator="equal">
      <formula>$U$1</formula>
    </cfRule>
  </conditionalFormatting>
  <conditionalFormatting sqref="C162">
    <cfRule type="cellIs" dxfId="64" priority="1302" operator="equal">
      <formula>$U$1</formula>
    </cfRule>
    <cfRule type="cellIs" dxfId="63" priority="1303" operator="equal">
      <formula>$S$1</formula>
    </cfRule>
  </conditionalFormatting>
  <conditionalFormatting sqref="D162">
    <cfRule type="cellIs" dxfId="62" priority="1300" operator="equal">
      <formula>$S$1</formula>
    </cfRule>
    <cfRule type="cellIs" dxfId="61" priority="1301" operator="equal">
      <formula>$U$1</formula>
    </cfRule>
  </conditionalFormatting>
  <conditionalFormatting sqref="C187">
    <cfRule type="cellIs" dxfId="60" priority="1298" operator="equal">
      <formula>$U$1</formula>
    </cfRule>
    <cfRule type="cellIs" dxfId="59" priority="1299" operator="equal">
      <formula>$S$1</formula>
    </cfRule>
  </conditionalFormatting>
  <conditionalFormatting sqref="D187">
    <cfRule type="cellIs" dxfId="58" priority="1296" operator="equal">
      <formula>$S$1</formula>
    </cfRule>
    <cfRule type="cellIs" dxfId="57" priority="1297" operator="equal">
      <formula>$U$1</formula>
    </cfRule>
  </conditionalFormatting>
  <conditionalFormatting sqref="C212">
    <cfRule type="cellIs" dxfId="56" priority="1294" operator="equal">
      <formula>$U$1</formula>
    </cfRule>
    <cfRule type="cellIs" dxfId="55" priority="1295" operator="equal">
      <formula>$S$1</formula>
    </cfRule>
  </conditionalFormatting>
  <conditionalFormatting sqref="D212">
    <cfRule type="cellIs" dxfId="54" priority="1292" operator="equal">
      <formula>$S$1</formula>
    </cfRule>
    <cfRule type="cellIs" dxfId="53" priority="1293" operator="equal">
      <formula>$U$1</formula>
    </cfRule>
  </conditionalFormatting>
  <conditionalFormatting sqref="C237">
    <cfRule type="cellIs" dxfId="52" priority="1290" operator="equal">
      <formula>$U$1</formula>
    </cfRule>
    <cfRule type="cellIs" dxfId="51" priority="1291" operator="equal">
      <formula>$S$1</formula>
    </cfRule>
  </conditionalFormatting>
  <conditionalFormatting sqref="D237">
    <cfRule type="cellIs" dxfId="50" priority="1288" operator="equal">
      <formula>$S$1</formula>
    </cfRule>
    <cfRule type="cellIs" dxfId="49" priority="1289" operator="equal">
      <formula>$U$1</formula>
    </cfRule>
  </conditionalFormatting>
  <conditionalFormatting sqref="C106">
    <cfRule type="cellIs" dxfId="48" priority="1286" operator="equal">
      <formula>$U$1</formula>
    </cfRule>
    <cfRule type="cellIs" dxfId="47" priority="1287" operator="equal">
      <formula>$S$1</formula>
    </cfRule>
  </conditionalFormatting>
  <conditionalFormatting sqref="D106">
    <cfRule type="cellIs" dxfId="46" priority="1284" operator="equal">
      <formula>$S$1</formula>
    </cfRule>
    <cfRule type="cellIs" dxfId="45" priority="1285" operator="equal">
      <formula>$U$1</formula>
    </cfRule>
  </conditionalFormatting>
  <conditionalFormatting sqref="C81">
    <cfRule type="cellIs" dxfId="44" priority="1282" operator="equal">
      <formula>$U$1</formula>
    </cfRule>
    <cfRule type="cellIs" dxfId="43" priority="1283" operator="equal">
      <formula>$S$1</formula>
    </cfRule>
  </conditionalFormatting>
  <conditionalFormatting sqref="D81">
    <cfRule type="cellIs" dxfId="42" priority="1280" operator="equal">
      <formula>$S$1</formula>
    </cfRule>
    <cfRule type="cellIs" dxfId="41" priority="1281" operator="equal">
      <formula>$U$1</formula>
    </cfRule>
  </conditionalFormatting>
  <conditionalFormatting sqref="C56">
    <cfRule type="cellIs" dxfId="40" priority="1278" operator="equal">
      <formula>$U$1</formula>
    </cfRule>
    <cfRule type="cellIs" dxfId="39" priority="1279" operator="equal">
      <formula>$S$1</formula>
    </cfRule>
  </conditionalFormatting>
  <conditionalFormatting sqref="D56">
    <cfRule type="cellIs" dxfId="38" priority="1276" operator="equal">
      <formula>$S$1</formula>
    </cfRule>
    <cfRule type="cellIs" dxfId="37" priority="1277" operator="equal">
      <formula>$U$1</formula>
    </cfRule>
  </conditionalFormatting>
  <conditionalFormatting sqref="C31">
    <cfRule type="cellIs" dxfId="36" priority="1274" operator="equal">
      <formula>$U$1</formula>
    </cfRule>
    <cfRule type="cellIs" dxfId="35" priority="1275" operator="equal">
      <formula>$S$1</formula>
    </cfRule>
  </conditionalFormatting>
  <conditionalFormatting sqref="D31">
    <cfRule type="cellIs" dxfId="34" priority="1272" operator="equal">
      <formula>$S$1</formula>
    </cfRule>
    <cfRule type="cellIs" dxfId="33" priority="127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25" zoomScale="90" zoomScaleNormal="90" workbookViewId="0">
      <pane xSplit="4" topLeftCell="G1" activePane="topRight" state="frozen"/>
      <selection activeCell="A109" sqref="A109"/>
      <selection pane="topRight" activeCell="BX154" sqref="BX15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$A$153</v>
      </c>
      <c r="D111" s="1" t="str">
        <f>ADDRESS(C121-1,D121,1,1)</f>
        <v>$BX$153</v>
      </c>
      <c r="E111"/>
    </row>
    <row r="112" spans="1:5" x14ac:dyDescent="0.25">
      <c r="A112" s="30">
        <v>2.3579476910000019</v>
      </c>
      <c r="C112" s="1" t="str">
        <f>ADDRESS(C121,1,1,1)</f>
        <v>$A$154</v>
      </c>
      <c r="D112" s="1" t="str">
        <f>ADDRESS(C121,D121-1,1,1)</f>
        <v>$BW$154</v>
      </c>
      <c r="E112"/>
    </row>
    <row r="113" spans="1:6" x14ac:dyDescent="0.25">
      <c r="A113" s="30">
        <v>2.1435888100000016</v>
      </c>
      <c r="C113" s="1" t="str">
        <f>ADDRESS(C121+1,1,1,1)</f>
        <v>$A$155</v>
      </c>
      <c r="D113" s="1" t="str">
        <f>ADDRESS(C121-1,D121+1,1,1)</f>
        <v>$BY$153</v>
      </c>
    </row>
    <row r="114" spans="1:6" x14ac:dyDescent="0.25">
      <c r="A114" s="30">
        <v>1.9487171000000014</v>
      </c>
      <c r="C114" s="1" t="str">
        <f>ADDRESS(C121,D121,1,1)</f>
        <v>$BX$154</v>
      </c>
      <c r="D114" s="1" t="str">
        <f>ADDRESS(C121+1,D121+1,1,1)</f>
        <v>$BY$155</v>
      </c>
    </row>
    <row r="115" spans="1:6" x14ac:dyDescent="0.25">
      <c r="A115" s="30">
        <v>1.7715610000000011</v>
      </c>
      <c r="C115" s="1" t="str">
        <f>ADDRESS(C121+1,D121,1,1)</f>
        <v>$BX$155</v>
      </c>
    </row>
    <row r="116" spans="1:6" x14ac:dyDescent="0.25">
      <c r="A116" s="30">
        <v>1.6105100000000008</v>
      </c>
      <c r="C116" s="1">
        <f>C117-1</f>
        <v>153</v>
      </c>
    </row>
    <row r="117" spans="1:6" x14ac:dyDescent="0.25">
      <c r="A117" s="30">
        <v>1.4641000000000006</v>
      </c>
      <c r="C117" s="1">
        <f>C121</f>
        <v>154</v>
      </c>
      <c r="D117" s="1">
        <f>D121</f>
        <v>76</v>
      </c>
    </row>
    <row r="118" spans="1:6" x14ac:dyDescent="0.25">
      <c r="A118" s="30">
        <v>1.3310000000000004</v>
      </c>
      <c r="C118" s="1">
        <f>C117+1</f>
        <v>155</v>
      </c>
      <c r="D118" s="1">
        <f>D117+1</f>
        <v>77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154</v>
      </c>
      <c r="D121" s="19">
        <v>76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R154</v>
      </c>
      <c r="D123" s="1" t="str">
        <f>"C"&amp;D121</f>
        <v>C76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4.3056764313424332E-2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7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74" x14ac:dyDescent="0.25">
      <c r="A130" s="30">
        <v>0.42409761837248428</v>
      </c>
      <c r="C130" s="6"/>
      <c r="D130" s="6"/>
      <c r="E130"/>
      <c r="F130" s="27" t="s">
        <v>7</v>
      </c>
    </row>
    <row r="131" spans="1:74" x14ac:dyDescent="0.25">
      <c r="A131" s="30">
        <v>0.38554328942953109</v>
      </c>
      <c r="E131"/>
      <c r="F131" s="27" t="s">
        <v>7</v>
      </c>
    </row>
    <row r="132" spans="1:74" x14ac:dyDescent="0.25">
      <c r="A132" s="30">
        <v>0.35049389948139187</v>
      </c>
      <c r="C132" s="1" t="s">
        <v>13</v>
      </c>
      <c r="E132"/>
      <c r="F132" s="27" t="s">
        <v>7</v>
      </c>
    </row>
    <row r="133" spans="1:74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74" x14ac:dyDescent="0.25">
      <c r="A134" s="30">
        <v>0.28966437973668741</v>
      </c>
      <c r="C134"/>
      <c r="D134"/>
      <c r="E134"/>
      <c r="F134" s="27" t="s">
        <v>7</v>
      </c>
      <c r="AY134" s="31" t="s">
        <v>8</v>
      </c>
    </row>
    <row r="135" spans="1:74" x14ac:dyDescent="0.25">
      <c r="A135" s="30">
        <v>0.2633312543060794</v>
      </c>
      <c r="C135" s="1" t="s">
        <v>14</v>
      </c>
      <c r="E135"/>
      <c r="F135" s="27" t="s">
        <v>7</v>
      </c>
      <c r="AY135" s="27" t="s">
        <v>8</v>
      </c>
      <c r="AZ135" s="31" t="s">
        <v>7</v>
      </c>
    </row>
    <row r="136" spans="1:7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Y136" s="27" t="s">
        <v>8</v>
      </c>
      <c r="AZ136" s="27" t="s">
        <v>7</v>
      </c>
      <c r="BA136" s="31"/>
    </row>
    <row r="137" spans="1:74" x14ac:dyDescent="0.25">
      <c r="A137" s="30">
        <v>0.2176291357901482</v>
      </c>
      <c r="E137"/>
      <c r="F137" s="27" t="s">
        <v>7</v>
      </c>
      <c r="AY137" s="27" t="s">
        <v>8</v>
      </c>
      <c r="AZ137" s="27" t="s">
        <v>7</v>
      </c>
      <c r="BB137" s="31"/>
    </row>
    <row r="138" spans="1:7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Y138" s="27" t="s">
        <v>8</v>
      </c>
      <c r="AZ138" s="27" t="s">
        <v>7</v>
      </c>
      <c r="BC138" s="31"/>
    </row>
    <row r="139" spans="1:74" x14ac:dyDescent="0.25">
      <c r="A139" s="30">
        <v>0.17985878990921333</v>
      </c>
      <c r="E139"/>
      <c r="F139" s="27" t="s">
        <v>7</v>
      </c>
      <c r="AW139" s="27" t="s">
        <v>8</v>
      </c>
      <c r="AY139" s="27" t="s">
        <v>8</v>
      </c>
      <c r="AZ139" s="27" t="s">
        <v>7</v>
      </c>
      <c r="BD139" s="31"/>
    </row>
    <row r="140" spans="1:74" x14ac:dyDescent="0.25">
      <c r="A140" s="30">
        <v>0.16350799082655756</v>
      </c>
      <c r="C140" s="1">
        <v>0</v>
      </c>
      <c r="E140"/>
      <c r="F140" s="27" t="s">
        <v>7</v>
      </c>
      <c r="AW140" s="27" t="s">
        <v>8</v>
      </c>
      <c r="AX140" s="27" t="s">
        <v>7</v>
      </c>
      <c r="AY140" s="27" t="s">
        <v>8</v>
      </c>
      <c r="AZ140" s="27" t="s">
        <v>7</v>
      </c>
      <c r="BA140" s="27" t="s">
        <v>8</v>
      </c>
      <c r="BE140" s="31"/>
      <c r="BS140" s="27" t="s">
        <v>8</v>
      </c>
    </row>
    <row r="141" spans="1:74" x14ac:dyDescent="0.25">
      <c r="A141" s="30">
        <v>0.14864362802414322</v>
      </c>
      <c r="C141" s="1">
        <v>1</v>
      </c>
      <c r="E141"/>
      <c r="F141" s="27" t="s">
        <v>7</v>
      </c>
      <c r="AW141" s="27" t="s">
        <v>8</v>
      </c>
      <c r="AX141" s="27" t="s">
        <v>7</v>
      </c>
      <c r="AY141" s="27" t="s">
        <v>8</v>
      </c>
      <c r="AZ141" s="27" t="s">
        <v>7</v>
      </c>
      <c r="BA141" s="27" t="s">
        <v>8</v>
      </c>
      <c r="BB141" s="27" t="s">
        <v>7</v>
      </c>
      <c r="BF141" s="31"/>
      <c r="BS141" s="27" t="s">
        <v>8</v>
      </c>
      <c r="BT141" s="27" t="s">
        <v>7</v>
      </c>
      <c r="BU141" s="27" t="s">
        <v>8</v>
      </c>
    </row>
    <row r="142" spans="1:74" x14ac:dyDescent="0.25">
      <c r="A142" s="30">
        <v>0.13513057093103928</v>
      </c>
      <c r="C142" s="1">
        <v>2</v>
      </c>
      <c r="E142"/>
      <c r="F142" s="27" t="s">
        <v>7</v>
      </c>
      <c r="AW142" s="27" t="s">
        <v>8</v>
      </c>
      <c r="AX142" s="27" t="s">
        <v>7</v>
      </c>
      <c r="AY142" s="27" t="s">
        <v>8</v>
      </c>
      <c r="AZ142" s="27" t="s">
        <v>7</v>
      </c>
      <c r="BA142" s="27" t="s">
        <v>8</v>
      </c>
      <c r="BB142" s="27" t="s">
        <v>7</v>
      </c>
      <c r="BG142" s="31"/>
      <c r="BS142" s="27" t="s">
        <v>8</v>
      </c>
      <c r="BT142" s="27" t="s">
        <v>7</v>
      </c>
      <c r="BU142" s="27" t="s">
        <v>8</v>
      </c>
      <c r="BV142" s="27" t="s">
        <v>7</v>
      </c>
    </row>
    <row r="143" spans="1:74" x14ac:dyDescent="0.25">
      <c r="A143" s="30">
        <v>0.12284597357367205</v>
      </c>
      <c r="C143" s="1">
        <v>3</v>
      </c>
      <c r="E143"/>
      <c r="F143" s="27" t="s">
        <v>7</v>
      </c>
      <c r="AW143" s="27" t="s">
        <v>8</v>
      </c>
      <c r="AX143" s="27" t="s">
        <v>7</v>
      </c>
      <c r="AZ143" s="27" t="s">
        <v>7</v>
      </c>
      <c r="BA143" s="27" t="s">
        <v>8</v>
      </c>
      <c r="BB143" s="27" t="s">
        <v>7</v>
      </c>
      <c r="BE143" s="27" t="s">
        <v>8</v>
      </c>
      <c r="BH143" s="31"/>
      <c r="BI143" s="27" t="s">
        <v>8</v>
      </c>
      <c r="BM143" s="27" t="s">
        <v>8</v>
      </c>
      <c r="BS143" s="27" t="s">
        <v>8</v>
      </c>
      <c r="BT143" s="27" t="s">
        <v>7</v>
      </c>
      <c r="BU143" s="27" t="s">
        <v>8</v>
      </c>
      <c r="BV143" s="27" t="s">
        <v>7</v>
      </c>
    </row>
    <row r="144" spans="1:74" x14ac:dyDescent="0.25">
      <c r="A144" s="30">
        <v>0.11167815779424731</v>
      </c>
      <c r="C144" s="1">
        <v>4</v>
      </c>
      <c r="E144"/>
      <c r="F144" s="27" t="s">
        <v>7</v>
      </c>
      <c r="AU144" s="27" t="s">
        <v>8</v>
      </c>
      <c r="AW144" s="27" t="s">
        <v>8</v>
      </c>
      <c r="AZ144" s="32" t="s">
        <v>7</v>
      </c>
      <c r="BA144" s="27" t="s">
        <v>8</v>
      </c>
      <c r="BB144" s="27" t="s">
        <v>7</v>
      </c>
      <c r="BE144" s="27" t="s">
        <v>8</v>
      </c>
      <c r="BF144" s="27" t="s">
        <v>7</v>
      </c>
      <c r="BI144" s="31" t="s">
        <v>8</v>
      </c>
      <c r="BJ144" s="31" t="s">
        <v>7</v>
      </c>
      <c r="BM144" s="27" t="s">
        <v>8</v>
      </c>
      <c r="BN144" s="27" t="s">
        <v>7</v>
      </c>
      <c r="BO144" s="27" t="s">
        <v>8</v>
      </c>
      <c r="BQ144" s="27" t="s">
        <v>8</v>
      </c>
      <c r="BS144" s="27" t="s">
        <v>8</v>
      </c>
      <c r="BT144" s="27" t="s">
        <v>7</v>
      </c>
      <c r="BU144" s="27" t="s">
        <v>8</v>
      </c>
      <c r="BV144" s="27" t="s">
        <v>7</v>
      </c>
    </row>
    <row r="145" spans="1:76" x14ac:dyDescent="0.25">
      <c r="A145" s="30">
        <v>0.10152559799477026</v>
      </c>
      <c r="B145"/>
      <c r="C145"/>
      <c r="D145"/>
      <c r="E145"/>
      <c r="F145" s="27" t="s">
        <v>7</v>
      </c>
      <c r="AQ145" s="27" t="s">
        <v>8</v>
      </c>
      <c r="AU145" s="27" t="s">
        <v>8</v>
      </c>
      <c r="AV145" s="27" t="s">
        <v>7</v>
      </c>
      <c r="AW145" s="27" t="s">
        <v>8</v>
      </c>
      <c r="AZ145" s="27" t="s">
        <v>7</v>
      </c>
      <c r="BB145" s="27" t="s">
        <v>7</v>
      </c>
      <c r="BE145" s="27" t="s">
        <v>8</v>
      </c>
      <c r="BF145" s="27" t="s">
        <v>7</v>
      </c>
      <c r="BI145" s="27" t="s">
        <v>8</v>
      </c>
      <c r="BJ145" s="27" t="s">
        <v>7</v>
      </c>
      <c r="BK145" s="31"/>
      <c r="BM145" s="27" t="s">
        <v>8</v>
      </c>
      <c r="BN145" s="27" t="s">
        <v>7</v>
      </c>
      <c r="BO145" s="27" t="s">
        <v>8</v>
      </c>
      <c r="BP145" s="27" t="s">
        <v>7</v>
      </c>
      <c r="BQ145" s="27" t="s">
        <v>8</v>
      </c>
      <c r="BR145" s="27" t="s">
        <v>7</v>
      </c>
      <c r="BS145" s="27" t="s">
        <v>8</v>
      </c>
      <c r="BT145" s="27" t="s">
        <v>7</v>
      </c>
      <c r="BU145" s="27" t="s">
        <v>8</v>
      </c>
      <c r="BV145" s="27" t="s">
        <v>7</v>
      </c>
      <c r="BW145" s="27" t="s">
        <v>8</v>
      </c>
    </row>
    <row r="146" spans="1:76" x14ac:dyDescent="0.25">
      <c r="A146" s="30">
        <v>9.2295998177063854E-2</v>
      </c>
      <c r="B146"/>
      <c r="C146"/>
      <c r="D146"/>
      <c r="E146"/>
      <c r="F146" s="27" t="s">
        <v>7</v>
      </c>
      <c r="AC146" s="27" t="s">
        <v>8</v>
      </c>
      <c r="AQ146" s="27" t="s">
        <v>8</v>
      </c>
      <c r="AR146" s="27" t="s">
        <v>7</v>
      </c>
      <c r="AU146" s="27" t="s">
        <v>8</v>
      </c>
      <c r="AV146" s="27" t="s">
        <v>7</v>
      </c>
      <c r="AW146" s="27" t="s">
        <v>8</v>
      </c>
      <c r="BB146" s="27" t="s">
        <v>7</v>
      </c>
      <c r="BE146" s="27" t="s">
        <v>8</v>
      </c>
      <c r="BF146" s="27" t="s">
        <v>7</v>
      </c>
      <c r="BI146" s="27" t="s">
        <v>8</v>
      </c>
      <c r="BJ146" s="27" t="s">
        <v>7</v>
      </c>
      <c r="BL146" s="31"/>
      <c r="BM146" s="27" t="s">
        <v>8</v>
      </c>
      <c r="BN146" s="27" t="s">
        <v>7</v>
      </c>
      <c r="BO146" s="27" t="s">
        <v>8</v>
      </c>
      <c r="BP146" s="27" t="s">
        <v>7</v>
      </c>
      <c r="BQ146" s="27" t="s">
        <v>8</v>
      </c>
      <c r="BR146" s="27" t="s">
        <v>7</v>
      </c>
      <c r="BS146" s="27" t="s">
        <v>8</v>
      </c>
      <c r="BT146" s="27" t="s">
        <v>7</v>
      </c>
      <c r="BV146" s="27" t="s">
        <v>7</v>
      </c>
      <c r="BW146" s="27" t="s">
        <v>8</v>
      </c>
      <c r="BX146" s="27" t="s">
        <v>7</v>
      </c>
    </row>
    <row r="147" spans="1:76" x14ac:dyDescent="0.25">
      <c r="A147" s="30">
        <v>8.3905452888239848E-2</v>
      </c>
      <c r="B147"/>
      <c r="C147"/>
      <c r="D147"/>
      <c r="E147"/>
      <c r="F147" s="27" t="s">
        <v>7</v>
      </c>
      <c r="AC147" s="27" t="s">
        <v>8</v>
      </c>
      <c r="AD147" s="27" t="s">
        <v>7</v>
      </c>
      <c r="AQ147" s="27" t="s">
        <v>8</v>
      </c>
      <c r="AR147" s="27" t="s">
        <v>7</v>
      </c>
      <c r="AU147" s="27" t="s">
        <v>8</v>
      </c>
      <c r="AV147" s="27" t="s">
        <v>7</v>
      </c>
      <c r="BB147" s="27" t="s">
        <v>7</v>
      </c>
      <c r="BE147" s="27" t="s">
        <v>8</v>
      </c>
      <c r="BF147" s="27" t="s">
        <v>7</v>
      </c>
      <c r="BI147" s="27" t="s">
        <v>8</v>
      </c>
      <c r="BJ147" s="27" t="s">
        <v>7</v>
      </c>
      <c r="BK147" s="27" t="s">
        <v>8</v>
      </c>
      <c r="BM147" s="31" t="s">
        <v>8</v>
      </c>
      <c r="BN147" s="27" t="s">
        <v>7</v>
      </c>
      <c r="BP147" s="27" t="s">
        <v>7</v>
      </c>
      <c r="BQ147" s="27" t="s">
        <v>8</v>
      </c>
      <c r="BR147" s="27" t="s">
        <v>7</v>
      </c>
      <c r="BS147" s="27" t="s">
        <v>8</v>
      </c>
      <c r="BV147" s="27" t="s">
        <v>7</v>
      </c>
      <c r="BW147" s="27" t="s">
        <v>8</v>
      </c>
      <c r="BX147" s="27" t="s">
        <v>7</v>
      </c>
    </row>
    <row r="148" spans="1:76" x14ac:dyDescent="0.25">
      <c r="A148" s="30">
        <v>7.6277684443854396E-2</v>
      </c>
      <c r="B148"/>
      <c r="C148"/>
      <c r="D148"/>
      <c r="E148"/>
      <c r="F148" s="27" t="s">
        <v>7</v>
      </c>
      <c r="AC148" s="27" t="s">
        <v>8</v>
      </c>
      <c r="AD148" s="27" t="s">
        <v>7</v>
      </c>
      <c r="AQ148" s="27" t="s">
        <v>8</v>
      </c>
      <c r="AR148" s="27" t="s">
        <v>7</v>
      </c>
      <c r="AU148" s="27" t="s">
        <v>8</v>
      </c>
      <c r="BB148" s="31" t="s">
        <v>7</v>
      </c>
      <c r="BE148" s="33" t="s">
        <v>8</v>
      </c>
      <c r="BF148" s="27" t="s">
        <v>7</v>
      </c>
      <c r="BG148" s="27" t="s">
        <v>8</v>
      </c>
      <c r="BI148" s="27" t="s">
        <v>8</v>
      </c>
      <c r="BJ148" s="27" t="s">
        <v>7</v>
      </c>
      <c r="BK148" s="27" t="s">
        <v>8</v>
      </c>
      <c r="BL148" s="27" t="s">
        <v>7</v>
      </c>
      <c r="BM148" s="27" t="s">
        <v>8</v>
      </c>
      <c r="BN148" s="31"/>
      <c r="BP148" s="27" t="s">
        <v>7</v>
      </c>
      <c r="BR148" s="27" t="s">
        <v>7</v>
      </c>
      <c r="BV148" s="27" t="s">
        <v>7</v>
      </c>
      <c r="BW148" s="27" t="s">
        <v>8</v>
      </c>
      <c r="BX148" s="27" t="s">
        <v>7</v>
      </c>
    </row>
    <row r="149" spans="1:76" x14ac:dyDescent="0.25">
      <c r="A149" s="30">
        <v>6.9343349494413078E-2</v>
      </c>
      <c r="B149"/>
      <c r="C149"/>
      <c r="D149"/>
      <c r="E149"/>
      <c r="F149" s="27" t="s">
        <v>7</v>
      </c>
      <c r="AA149" s="27" t="s">
        <v>8</v>
      </c>
      <c r="AC149" s="27" t="s">
        <v>8</v>
      </c>
      <c r="AD149" s="27" t="s">
        <v>7</v>
      </c>
      <c r="AQ149" s="27" t="s">
        <v>8</v>
      </c>
      <c r="AR149" s="27" t="s">
        <v>7</v>
      </c>
      <c r="AU149" s="27" t="s">
        <v>8</v>
      </c>
      <c r="BA149" s="31"/>
      <c r="BB149" s="27" t="s">
        <v>7</v>
      </c>
      <c r="BC149" s="27" t="s">
        <v>8</v>
      </c>
      <c r="BE149" s="27" t="s">
        <v>8</v>
      </c>
      <c r="BF149" s="27" t="s">
        <v>7</v>
      </c>
      <c r="BG149" s="27" t="s">
        <v>8</v>
      </c>
      <c r="BH149" s="27" t="s">
        <v>7</v>
      </c>
      <c r="BI149" s="27" t="s">
        <v>8</v>
      </c>
      <c r="BJ149" s="27" t="s">
        <v>7</v>
      </c>
      <c r="BK149" s="27" t="s">
        <v>8</v>
      </c>
      <c r="BL149" s="27" t="s">
        <v>7</v>
      </c>
      <c r="BM149" s="27" t="s">
        <v>8</v>
      </c>
      <c r="BO149" s="31"/>
      <c r="BV149" s="27" t="s">
        <v>7</v>
      </c>
      <c r="BX149" s="27" t="s">
        <v>7</v>
      </c>
    </row>
    <row r="150" spans="1:76" x14ac:dyDescent="0.25">
      <c r="A150" s="30">
        <v>6.3039408631284613E-2</v>
      </c>
      <c r="B150"/>
      <c r="C150"/>
      <c r="D150"/>
      <c r="E150"/>
      <c r="F150" s="27" t="s">
        <v>7</v>
      </c>
      <c r="AA150" s="27" t="s">
        <v>8</v>
      </c>
      <c r="AB150" s="27" t="s">
        <v>7</v>
      </c>
      <c r="AC150" s="27" t="s">
        <v>8</v>
      </c>
      <c r="AD150" s="27" t="s">
        <v>7</v>
      </c>
      <c r="AQ150" s="27" t="s">
        <v>8</v>
      </c>
      <c r="AR150" s="27" t="s">
        <v>7</v>
      </c>
      <c r="AS150" s="27" t="s">
        <v>8</v>
      </c>
      <c r="AU150" s="27" t="s">
        <v>8</v>
      </c>
      <c r="AZ150" s="31"/>
      <c r="BB150" s="27" t="s">
        <v>7</v>
      </c>
      <c r="BC150" s="27" t="s">
        <v>8</v>
      </c>
      <c r="BD150" s="27" t="s">
        <v>7</v>
      </c>
      <c r="BE150" s="27" t="s">
        <v>8</v>
      </c>
      <c r="BF150" s="27" t="s">
        <v>7</v>
      </c>
      <c r="BG150" s="27" t="s">
        <v>8</v>
      </c>
      <c r="BH150" s="27" t="s">
        <v>7</v>
      </c>
      <c r="BI150" s="27" t="s">
        <v>8</v>
      </c>
      <c r="BJ150" s="27" t="s">
        <v>7</v>
      </c>
      <c r="BK150" s="27" t="s">
        <v>8</v>
      </c>
      <c r="BL150" s="27" t="s">
        <v>7</v>
      </c>
      <c r="BM150" s="27" t="s">
        <v>8</v>
      </c>
      <c r="BX150" s="27" t="s">
        <v>7</v>
      </c>
    </row>
    <row r="151" spans="1:76" x14ac:dyDescent="0.25">
      <c r="A151" s="30">
        <v>5.7308553301167818E-2</v>
      </c>
      <c r="B151"/>
      <c r="C151"/>
      <c r="D151"/>
      <c r="E151"/>
      <c r="F151" s="27" t="s">
        <v>7</v>
      </c>
      <c r="AA151" s="27" t="s">
        <v>8</v>
      </c>
      <c r="AB151" s="27" t="s">
        <v>7</v>
      </c>
      <c r="AC151" s="27" t="s">
        <v>8</v>
      </c>
      <c r="AD151" s="27" t="s">
        <v>7</v>
      </c>
      <c r="AQ151" s="27" t="s">
        <v>8</v>
      </c>
      <c r="AR151" s="27" t="s">
        <v>7</v>
      </c>
      <c r="AS151" s="27" t="s">
        <v>8</v>
      </c>
      <c r="AT151" s="27" t="s">
        <v>7</v>
      </c>
      <c r="AU151" s="27" t="s">
        <v>8</v>
      </c>
      <c r="AY151" s="31"/>
      <c r="BB151" s="27" t="s">
        <v>7</v>
      </c>
      <c r="BC151" s="27" t="s">
        <v>8</v>
      </c>
      <c r="BD151" s="27" t="s">
        <v>7</v>
      </c>
      <c r="BE151" s="27" t="s">
        <v>8</v>
      </c>
      <c r="BF151" s="34" t="s">
        <v>7</v>
      </c>
      <c r="BH151" s="34" t="s">
        <v>7</v>
      </c>
      <c r="BJ151" s="27" t="s">
        <v>7</v>
      </c>
      <c r="BK151" s="27" t="s">
        <v>8</v>
      </c>
      <c r="BL151" s="27" t="s">
        <v>7</v>
      </c>
      <c r="BM151" s="27" t="s">
        <v>8</v>
      </c>
      <c r="BX151" s="27" t="s">
        <v>7</v>
      </c>
    </row>
    <row r="152" spans="1:76" x14ac:dyDescent="0.25">
      <c r="A152" s="30">
        <v>5.2098684819243464E-2</v>
      </c>
      <c r="B152"/>
      <c r="C152"/>
      <c r="D152"/>
      <c r="E152"/>
      <c r="F152" s="27" t="s">
        <v>7</v>
      </c>
      <c r="I152" s="27" t="s">
        <v>8</v>
      </c>
      <c r="AA152" s="27" t="s">
        <v>8</v>
      </c>
      <c r="AB152" s="27" t="s">
        <v>7</v>
      </c>
      <c r="AC152" s="27" t="s">
        <v>8</v>
      </c>
      <c r="AD152" s="27" t="s">
        <v>7</v>
      </c>
      <c r="AQ152" s="27" t="s">
        <v>8</v>
      </c>
      <c r="AR152" s="27" t="s">
        <v>7</v>
      </c>
      <c r="AS152" s="27" t="s">
        <v>8</v>
      </c>
      <c r="AT152" s="27" t="s">
        <v>7</v>
      </c>
      <c r="AU152" s="27" t="s">
        <v>8</v>
      </c>
      <c r="AX152" s="31"/>
      <c r="BB152" s="27" t="s">
        <v>7</v>
      </c>
      <c r="BC152" s="27" t="s">
        <v>8</v>
      </c>
      <c r="BD152" s="27" t="s">
        <v>7</v>
      </c>
      <c r="BJ152" s="32" t="s">
        <v>7</v>
      </c>
      <c r="BL152" s="18" t="s">
        <v>7</v>
      </c>
      <c r="BM152" s="27" t="s">
        <v>8</v>
      </c>
      <c r="BX152" s="27" t="s">
        <v>7</v>
      </c>
    </row>
    <row r="153" spans="1:76" x14ac:dyDescent="0.25">
      <c r="A153" s="30">
        <v>4.7362440744766775E-2</v>
      </c>
      <c r="B153"/>
      <c r="C153"/>
      <c r="D153"/>
      <c r="E153"/>
      <c r="F153" s="27" t="s">
        <v>7</v>
      </c>
      <c r="I153" s="27" t="s">
        <v>8</v>
      </c>
      <c r="J153" s="27" t="s">
        <v>7</v>
      </c>
      <c r="AA153" s="27" t="s">
        <v>8</v>
      </c>
      <c r="AB153" s="27" t="s">
        <v>7</v>
      </c>
      <c r="AD153" s="27" t="s">
        <v>7</v>
      </c>
      <c r="AQ153" s="27" t="s">
        <v>8</v>
      </c>
      <c r="AR153" s="34" t="s">
        <v>7</v>
      </c>
      <c r="AT153" s="34" t="s">
        <v>7</v>
      </c>
      <c r="AW153" s="31"/>
      <c r="BB153" s="27" t="s">
        <v>7</v>
      </c>
      <c r="BC153" s="27" t="s">
        <v>8</v>
      </c>
      <c r="BL153" s="27" t="s">
        <v>7</v>
      </c>
      <c r="BX153" s="27" t="s">
        <v>7</v>
      </c>
    </row>
    <row r="154" spans="1:76" x14ac:dyDescent="0.25">
      <c r="A154" s="30">
        <v>4.3056764313424332E-2</v>
      </c>
      <c r="B154"/>
      <c r="C154"/>
      <c r="D154"/>
      <c r="E154"/>
      <c r="F154" s="27" t="s">
        <v>7</v>
      </c>
      <c r="I154" s="27" t="s">
        <v>8</v>
      </c>
      <c r="J154" s="27" t="s">
        <v>7</v>
      </c>
      <c r="AA154" s="27" t="s">
        <v>8</v>
      </c>
      <c r="AD154" s="27" t="s">
        <v>7</v>
      </c>
      <c r="AQ154" s="27" t="s">
        <v>8</v>
      </c>
      <c r="AV154" s="31"/>
      <c r="BB154" s="27" t="s">
        <v>7</v>
      </c>
      <c r="BC154" s="27" t="s">
        <v>8</v>
      </c>
      <c r="BX154" s="27" t="s">
        <v>7</v>
      </c>
    </row>
    <row r="155" spans="1:76" x14ac:dyDescent="0.25">
      <c r="A155" s="30">
        <v>3.9142513012203929E-2</v>
      </c>
      <c r="B155"/>
      <c r="C155"/>
      <c r="D155"/>
      <c r="E155"/>
      <c r="F155" s="27" t="s">
        <v>7</v>
      </c>
      <c r="I155" s="27" t="s">
        <v>8</v>
      </c>
      <c r="J155" s="27" t="s">
        <v>7</v>
      </c>
      <c r="K155" s="34" t="s">
        <v>8</v>
      </c>
      <c r="M155" s="34" t="s">
        <v>8</v>
      </c>
      <c r="AA155" s="27" t="s">
        <v>8</v>
      </c>
      <c r="AD155" s="27" t="s">
        <v>7</v>
      </c>
      <c r="AQ155" s="27" t="s">
        <v>8</v>
      </c>
      <c r="AU155" s="31"/>
      <c r="BB155" s="27" t="s">
        <v>7</v>
      </c>
    </row>
    <row r="156" spans="1:76" x14ac:dyDescent="0.25">
      <c r="A156" s="30">
        <v>3.55841027383672E-2</v>
      </c>
      <c r="B156"/>
      <c r="C156"/>
      <c r="D156"/>
      <c r="E156"/>
      <c r="F156" s="27" t="s">
        <v>7</v>
      </c>
      <c r="I156" s="27" t="s">
        <v>8</v>
      </c>
      <c r="J156" s="27" t="s">
        <v>7</v>
      </c>
      <c r="K156" s="27" t="s">
        <v>8</v>
      </c>
      <c r="L156" s="27" t="s">
        <v>7</v>
      </c>
      <c r="M156" s="27" t="s">
        <v>8</v>
      </c>
      <c r="N156" s="27" t="s">
        <v>7</v>
      </c>
      <c r="AA156" s="27" t="s">
        <v>8</v>
      </c>
      <c r="AD156" s="27" t="s">
        <v>7</v>
      </c>
      <c r="AE156" s="27" t="s">
        <v>8</v>
      </c>
      <c r="AM156" s="27" t="s">
        <v>8</v>
      </c>
      <c r="AQ156" s="27" t="s">
        <v>8</v>
      </c>
      <c r="AT156" s="31"/>
    </row>
    <row r="157" spans="1:76" x14ac:dyDescent="0.25">
      <c r="A157" s="30">
        <v>3.2349184307606541E-2</v>
      </c>
      <c r="B157"/>
      <c r="C157"/>
      <c r="D157"/>
      <c r="E157"/>
      <c r="F157" s="27" t="s">
        <v>7</v>
      </c>
      <c r="I157" s="27" t="s">
        <v>8</v>
      </c>
      <c r="J157" s="27" t="s">
        <v>7</v>
      </c>
      <c r="K157" s="27" t="s">
        <v>8</v>
      </c>
      <c r="L157" s="27" t="s">
        <v>7</v>
      </c>
      <c r="M157" s="27" t="s">
        <v>8</v>
      </c>
      <c r="N157" s="27" t="s">
        <v>7</v>
      </c>
      <c r="AA157" s="27" t="s">
        <v>8</v>
      </c>
      <c r="AD157" s="27" t="s">
        <v>7</v>
      </c>
      <c r="AE157" s="27" t="s">
        <v>8</v>
      </c>
      <c r="AF157" s="27" t="s">
        <v>7</v>
      </c>
      <c r="AM157" s="27" t="s">
        <v>8</v>
      </c>
      <c r="AN157" s="27" t="s">
        <v>7</v>
      </c>
      <c r="AO157" s="27" t="s">
        <v>8</v>
      </c>
      <c r="AQ157" s="27" t="s">
        <v>8</v>
      </c>
      <c r="AS157" s="31"/>
    </row>
    <row r="158" spans="1:76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I158" s="27" t="s">
        <v>8</v>
      </c>
      <c r="J158" s="27" t="s">
        <v>7</v>
      </c>
      <c r="K158" s="27" t="s">
        <v>8</v>
      </c>
      <c r="L158" s="27" t="s">
        <v>7</v>
      </c>
      <c r="N158" s="27" t="s">
        <v>7</v>
      </c>
      <c r="AA158" s="27" t="s">
        <v>8</v>
      </c>
      <c r="AD158" s="27" t="s">
        <v>7</v>
      </c>
      <c r="AE158" s="27" t="s">
        <v>8</v>
      </c>
      <c r="AF158" s="27" t="s">
        <v>7</v>
      </c>
      <c r="AM158" s="33" t="s">
        <v>8</v>
      </c>
      <c r="AN158" s="27" t="s">
        <v>7</v>
      </c>
      <c r="AO158" s="27" t="s">
        <v>8</v>
      </c>
      <c r="AP158" s="27" t="s">
        <v>7</v>
      </c>
      <c r="AQ158" s="27" t="s">
        <v>8</v>
      </c>
      <c r="AR158" s="31"/>
    </row>
    <row r="159" spans="1:76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  <c r="H159" s="27" t="s">
        <v>7</v>
      </c>
      <c r="I159" s="27" t="s">
        <v>8</v>
      </c>
      <c r="J159" s="27" t="s">
        <v>7</v>
      </c>
      <c r="N159" s="27" t="s">
        <v>7</v>
      </c>
      <c r="AA159" s="27" t="s">
        <v>8</v>
      </c>
      <c r="AD159" s="27" t="s">
        <v>7</v>
      </c>
      <c r="AF159" s="27" t="s">
        <v>7</v>
      </c>
      <c r="AG159" s="34" t="s">
        <v>8</v>
      </c>
      <c r="AI159" s="34" t="s">
        <v>8</v>
      </c>
      <c r="AK159" s="34" t="s">
        <v>8</v>
      </c>
      <c r="AM159" s="27" t="s">
        <v>8</v>
      </c>
      <c r="AN159" s="27" t="s">
        <v>7</v>
      </c>
      <c r="AO159" s="27" t="s">
        <v>8</v>
      </c>
      <c r="AP159" s="31" t="s">
        <v>7</v>
      </c>
      <c r="AQ159" s="31" t="s">
        <v>8</v>
      </c>
    </row>
    <row r="160" spans="1:76" x14ac:dyDescent="0.25">
      <c r="A160" s="30">
        <v>2.4304420967397839E-2</v>
      </c>
      <c r="B160"/>
      <c r="C160"/>
      <c r="D160"/>
      <c r="E160"/>
      <c r="F160" s="27" t="s">
        <v>7</v>
      </c>
      <c r="G160" s="27" t="s">
        <v>8</v>
      </c>
      <c r="H160" s="27" t="s">
        <v>7</v>
      </c>
      <c r="I160" s="27" t="s">
        <v>8</v>
      </c>
      <c r="N160" s="27" t="s">
        <v>7</v>
      </c>
      <c r="Y160" s="27" t="s">
        <v>8</v>
      </c>
      <c r="AA160" s="27" t="s">
        <v>8</v>
      </c>
      <c r="AF160" s="27" t="s">
        <v>7</v>
      </c>
      <c r="AG160" s="27" t="s">
        <v>8</v>
      </c>
      <c r="AH160" s="27" t="s">
        <v>7</v>
      </c>
      <c r="AI160" s="27" t="s">
        <v>8</v>
      </c>
      <c r="AJ160" s="27" t="s">
        <v>7</v>
      </c>
      <c r="AK160" s="27" t="s">
        <v>8</v>
      </c>
      <c r="AL160" s="27" t="s">
        <v>7</v>
      </c>
      <c r="AM160" s="27" t="s">
        <v>8</v>
      </c>
      <c r="AN160" s="27" t="s">
        <v>7</v>
      </c>
      <c r="AO160" s="31" t="s">
        <v>8</v>
      </c>
      <c r="AP160" s="27" t="s">
        <v>7</v>
      </c>
    </row>
    <row r="161" spans="1:40" x14ac:dyDescent="0.25">
      <c r="A161" s="30">
        <v>2.2094928152179852E-2</v>
      </c>
      <c r="B161"/>
      <c r="C161"/>
      <c r="D161"/>
      <c r="E161"/>
      <c r="F161" s="27" t="s">
        <v>7</v>
      </c>
      <c r="G161" s="27" t="s">
        <v>8</v>
      </c>
      <c r="H161" s="27" t="s">
        <v>7</v>
      </c>
      <c r="I161" s="27" t="s">
        <v>8</v>
      </c>
      <c r="N161" s="27" t="s">
        <v>7</v>
      </c>
      <c r="W161" s="27" t="s">
        <v>8</v>
      </c>
      <c r="Y161" s="27" t="s">
        <v>8</v>
      </c>
      <c r="Z161" s="27" t="s">
        <v>7</v>
      </c>
      <c r="AA161" s="27" t="s">
        <v>8</v>
      </c>
      <c r="AF161" s="27" t="s">
        <v>7</v>
      </c>
      <c r="AG161" s="27" t="s">
        <v>8</v>
      </c>
      <c r="AH161" s="27" t="s">
        <v>7</v>
      </c>
      <c r="AI161" s="27" t="s">
        <v>8</v>
      </c>
      <c r="AJ161" s="27" t="s">
        <v>7</v>
      </c>
      <c r="AK161" s="27" t="s">
        <v>8</v>
      </c>
      <c r="AL161" s="27" t="s">
        <v>7</v>
      </c>
      <c r="AM161" s="27" t="s">
        <v>8</v>
      </c>
      <c r="AN161" s="31" t="s">
        <v>7</v>
      </c>
    </row>
    <row r="162" spans="1:40" x14ac:dyDescent="0.25">
      <c r="A162" s="30">
        <v>2.0086298320163499E-2</v>
      </c>
      <c r="B162"/>
      <c r="C162"/>
      <c r="D162"/>
      <c r="E162"/>
      <c r="F162" s="27" t="s">
        <v>7</v>
      </c>
      <c r="G162" s="27" t="s">
        <v>8</v>
      </c>
      <c r="H162" s="27" t="s">
        <v>7</v>
      </c>
      <c r="I162" s="27" t="s">
        <v>8</v>
      </c>
      <c r="N162" s="27" t="s">
        <v>7</v>
      </c>
      <c r="W162" s="27" t="s">
        <v>8</v>
      </c>
      <c r="X162" s="27" t="s">
        <v>7</v>
      </c>
      <c r="Y162" s="27" t="s">
        <v>8</v>
      </c>
      <c r="Z162" s="27" t="s">
        <v>7</v>
      </c>
      <c r="AA162" s="27" t="s">
        <v>8</v>
      </c>
      <c r="AF162" s="27" t="s">
        <v>7</v>
      </c>
      <c r="AG162" s="27" t="s">
        <v>8</v>
      </c>
      <c r="AH162" s="27" t="s">
        <v>7</v>
      </c>
      <c r="AJ162" s="27" t="s">
        <v>7</v>
      </c>
      <c r="AK162" s="27" t="s">
        <v>8</v>
      </c>
      <c r="AL162" s="27" t="s">
        <v>7</v>
      </c>
      <c r="AM162" s="31" t="s">
        <v>8</v>
      </c>
    </row>
    <row r="163" spans="1:40" x14ac:dyDescent="0.25">
      <c r="A163" s="30">
        <v>1.8260271200148632E-2</v>
      </c>
      <c r="B163"/>
      <c r="C163"/>
      <c r="D163"/>
      <c r="E163"/>
      <c r="F163" s="27" t="s">
        <v>7</v>
      </c>
      <c r="H163" s="27" t="s">
        <v>7</v>
      </c>
      <c r="N163" s="27" t="s">
        <v>7</v>
      </c>
      <c r="W163" s="27" t="s">
        <v>8</v>
      </c>
      <c r="X163" s="27" t="s">
        <v>7</v>
      </c>
      <c r="Y163" s="27" t="s">
        <v>8</v>
      </c>
      <c r="Z163" s="27" t="s">
        <v>7</v>
      </c>
      <c r="AA163" s="27" t="s">
        <v>8</v>
      </c>
      <c r="AF163" s="27" t="s">
        <v>7</v>
      </c>
      <c r="AG163" s="27" t="s">
        <v>8</v>
      </c>
      <c r="AJ163" s="27" t="s">
        <v>7</v>
      </c>
      <c r="AK163" s="27" t="s">
        <v>8</v>
      </c>
      <c r="AL163" s="31" t="s">
        <v>7</v>
      </c>
    </row>
    <row r="164" spans="1:40" x14ac:dyDescent="0.25">
      <c r="A164" s="30">
        <v>1.6600246545589663E-2</v>
      </c>
      <c r="B164"/>
      <c r="C164"/>
      <c r="D164"/>
      <c r="E164"/>
      <c r="N164" s="27" t="s">
        <v>7</v>
      </c>
      <c r="O164" s="34" t="s">
        <v>8</v>
      </c>
      <c r="Q164" s="34" t="s">
        <v>8</v>
      </c>
      <c r="W164" s="27" t="s">
        <v>8</v>
      </c>
      <c r="X164" s="27" t="s">
        <v>7</v>
      </c>
      <c r="Y164" s="27" t="s">
        <v>8</v>
      </c>
      <c r="Z164" s="27" t="s">
        <v>7</v>
      </c>
      <c r="AF164" s="27" t="s">
        <v>7</v>
      </c>
      <c r="AJ164" s="27" t="s">
        <v>7</v>
      </c>
      <c r="AK164" s="31" t="s">
        <v>8</v>
      </c>
    </row>
    <row r="165" spans="1:40" x14ac:dyDescent="0.25">
      <c r="A165" s="30">
        <v>1.5091133223263328E-2</v>
      </c>
      <c r="B165"/>
      <c r="C165"/>
      <c r="D165"/>
      <c r="E165"/>
      <c r="N165" s="27" t="s">
        <v>7</v>
      </c>
      <c r="O165" s="27" t="s">
        <v>8</v>
      </c>
      <c r="P165" s="27" t="s">
        <v>7</v>
      </c>
      <c r="Q165" s="27" t="s">
        <v>8</v>
      </c>
      <c r="R165" s="27" t="s">
        <v>7</v>
      </c>
      <c r="S165" s="34" t="s">
        <v>8</v>
      </c>
      <c r="U165" s="34" t="s">
        <v>8</v>
      </c>
      <c r="W165" s="27" t="s">
        <v>8</v>
      </c>
      <c r="X165" s="27" t="s">
        <v>7</v>
      </c>
      <c r="AJ165" s="31" t="s">
        <v>7</v>
      </c>
    </row>
    <row r="166" spans="1:40" x14ac:dyDescent="0.25">
      <c r="A166" s="30">
        <v>1.3719212021148477E-2</v>
      </c>
      <c r="B166"/>
      <c r="C166"/>
      <c r="D166"/>
      <c r="E166"/>
      <c r="N166" s="27" t="s">
        <v>7</v>
      </c>
      <c r="O166" s="27" t="s">
        <v>8</v>
      </c>
      <c r="P166" s="27" t="s">
        <v>7</v>
      </c>
      <c r="Q166" s="27" t="s">
        <v>8</v>
      </c>
      <c r="R166" s="27" t="s">
        <v>7</v>
      </c>
      <c r="S166" s="27" t="s">
        <v>8</v>
      </c>
      <c r="T166" s="27" t="s">
        <v>7</v>
      </c>
      <c r="U166" s="27" t="s">
        <v>8</v>
      </c>
      <c r="V166" s="27" t="s">
        <v>7</v>
      </c>
      <c r="W166" s="27" t="s">
        <v>8</v>
      </c>
    </row>
    <row r="167" spans="1:40" x14ac:dyDescent="0.25">
      <c r="A167" s="30">
        <v>1.2472010928316795E-2</v>
      </c>
      <c r="B167"/>
      <c r="C167"/>
      <c r="D167"/>
      <c r="E167"/>
      <c r="N167" s="27" t="s">
        <v>7</v>
      </c>
      <c r="O167" s="27" t="s">
        <v>8</v>
      </c>
      <c r="P167" s="27" t="s">
        <v>7</v>
      </c>
      <c r="Q167" s="27" t="s">
        <v>8</v>
      </c>
      <c r="R167" s="27" t="s">
        <v>7</v>
      </c>
      <c r="S167" s="27" t="s">
        <v>8</v>
      </c>
      <c r="T167" s="27" t="s">
        <v>7</v>
      </c>
      <c r="U167" s="27" t="s">
        <v>8</v>
      </c>
      <c r="V167" s="27" t="s">
        <v>7</v>
      </c>
      <c r="W167" s="27" t="s">
        <v>8</v>
      </c>
    </row>
    <row r="168" spans="1:40" x14ac:dyDescent="0.25">
      <c r="A168" s="30">
        <v>1.1338191753015267E-2</v>
      </c>
      <c r="B168"/>
      <c r="C168"/>
      <c r="D168"/>
      <c r="E168"/>
      <c r="N168" s="27" t="s">
        <v>7</v>
      </c>
      <c r="O168" s="27" t="s">
        <v>8</v>
      </c>
      <c r="P168" s="27" t="s">
        <v>7</v>
      </c>
      <c r="R168" s="34" t="s">
        <v>7</v>
      </c>
      <c r="T168" s="34" t="s">
        <v>7</v>
      </c>
      <c r="V168" s="34" t="s">
        <v>7</v>
      </c>
    </row>
    <row r="169" spans="1:40" x14ac:dyDescent="0.25">
      <c r="A169" s="30">
        <v>1.0307447048195697E-2</v>
      </c>
      <c r="B169"/>
      <c r="C169"/>
      <c r="D169"/>
      <c r="E169"/>
      <c r="N169" s="27" t="s">
        <v>7</v>
      </c>
    </row>
    <row r="170" spans="1:40" x14ac:dyDescent="0.25">
      <c r="A170" s="30">
        <v>9.3704064074506318E-3</v>
      </c>
      <c r="B170"/>
      <c r="C170"/>
      <c r="D170"/>
      <c r="E170"/>
    </row>
    <row r="171" spans="1:40" x14ac:dyDescent="0.25">
      <c r="A171" s="30">
        <v>8.5185512795005747E-3</v>
      </c>
    </row>
    <row r="172" spans="1:40" x14ac:dyDescent="0.25">
      <c r="A172" s="30">
        <v>7.744137526818704E-3</v>
      </c>
    </row>
    <row r="173" spans="1:40" x14ac:dyDescent="0.25">
      <c r="A173" s="30">
        <v>7.0401250243806394E-3</v>
      </c>
    </row>
    <row r="174" spans="1:40" x14ac:dyDescent="0.25">
      <c r="A174" s="30">
        <v>6.4001136585278536E-3</v>
      </c>
    </row>
    <row r="175" spans="1:40" x14ac:dyDescent="0.25">
      <c r="A175" s="30">
        <v>5.8182851441162305E-3</v>
      </c>
    </row>
    <row r="176" spans="1:40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90" operator="equal">
      <formula>$U$1</formula>
    </cfRule>
    <cfRule type="cellIs" dxfId="30" priority="1291" operator="equal">
      <formula>$S$1</formula>
    </cfRule>
  </conditionalFormatting>
  <conditionalFormatting sqref="D136">
    <cfRule type="cellIs" dxfId="29" priority="1288" operator="equal">
      <formula>$S$1</formula>
    </cfRule>
    <cfRule type="cellIs" dxfId="28" priority="1289" operator="equal">
      <formula>$U$1</formula>
    </cfRule>
  </conditionalFormatting>
  <conditionalFormatting sqref="C102">
    <cfRule type="cellIs" dxfId="27" priority="1286" operator="equal">
      <formula>$U$1</formula>
    </cfRule>
    <cfRule type="cellIs" dxfId="26" priority="1287" operator="equal">
      <formula>$S$1</formula>
    </cfRule>
  </conditionalFormatting>
  <conditionalFormatting sqref="D102">
    <cfRule type="cellIs" dxfId="25" priority="1284" operator="equal">
      <formula>$S$1</formula>
    </cfRule>
    <cfRule type="cellIs" dxfId="24" priority="1285" operator="equal">
      <formula>$U$1</formula>
    </cfRule>
  </conditionalFormatting>
  <conditionalFormatting sqref="C77">
    <cfRule type="cellIs" dxfId="23" priority="1282" operator="equal">
      <formula>$U$1</formula>
    </cfRule>
    <cfRule type="cellIs" dxfId="22" priority="1283" operator="equal">
      <formula>$S$1</formula>
    </cfRule>
  </conditionalFormatting>
  <conditionalFormatting sqref="D77">
    <cfRule type="cellIs" dxfId="21" priority="1280" operator="equal">
      <formula>$S$1</formula>
    </cfRule>
    <cfRule type="cellIs" dxfId="20" priority="1281" operator="equal">
      <formula>$U$1</formula>
    </cfRule>
  </conditionalFormatting>
  <conditionalFormatting sqref="C52">
    <cfRule type="cellIs" dxfId="19" priority="1278" operator="equal">
      <formula>$U$1</formula>
    </cfRule>
    <cfRule type="cellIs" dxfId="18" priority="1279" operator="equal">
      <formula>$S$1</formula>
    </cfRule>
  </conditionalFormatting>
  <conditionalFormatting sqref="D52">
    <cfRule type="cellIs" dxfId="17" priority="1276" operator="equal">
      <formula>$S$1</formula>
    </cfRule>
    <cfRule type="cellIs" dxfId="16" priority="1277" operator="equal">
      <formula>$U$1</formula>
    </cfRule>
  </conditionalFormatting>
  <conditionalFormatting sqref="C26">
    <cfRule type="cellIs" dxfId="15" priority="1274" operator="equal">
      <formula>$U$1</formula>
    </cfRule>
    <cfRule type="cellIs" dxfId="14" priority="1275" operator="equal">
      <formula>$S$1</formula>
    </cfRule>
  </conditionalFormatting>
  <conditionalFormatting sqref="D26">
    <cfRule type="cellIs" dxfId="13" priority="1272" operator="equal">
      <formula>$S$1</formula>
    </cfRule>
    <cfRule type="cellIs" dxfId="12" priority="127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2022-01-28T01:20:03Z</dcterms:modified>
</cp:coreProperties>
</file>