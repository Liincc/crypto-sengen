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C092CC0-FF09-467A-9757-9D916466253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7" i="1"/>
  <c r="Q767" i="1" s="1"/>
  <c r="R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7" i="1"/>
  <c r="T767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6" i="5"/>
  <c r="C118" i="4"/>
  <c r="C116" i="4"/>
  <c r="C116" i="3"/>
  <c r="C122" i="3"/>
  <c r="C133" i="3" s="1"/>
  <c r="D136" i="3" s="1"/>
  <c r="R766" i="1"/>
  <c r="D136" i="4" l="1"/>
  <c r="C138" i="4" s="1"/>
  <c r="C136" i="5"/>
  <c r="C138" i="5" s="1"/>
  <c r="C136" i="3"/>
  <c r="C138" i="3" s="1"/>
  <c r="R765" i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<sst xmlns="http://schemas.openxmlformats.org/spreadsheetml/2006/main" count="7104" uniqueCount="34">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</sst>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44413</c:v>
                </c:pt>
                <c:pt idx="177">
                  <c:v>44412</c:v>
                </c:pt>
                <c:pt idx="178">
                  <c:v>44411</c:v>
                </c:pt>
                <c:pt idx="179">
                  <c:v>44410</c:v>
                </c:pt>
                <c:pt idx="180">
                  <c:v>44409</c:v>
                </c:pt>
                <c:pt idx="181">
                  <c:v>44408</c:v>
                </c:pt>
                <c:pt idx="182">
                  <c:v>44407</c:v>
                </c:pt>
                <c:pt idx="183">
                  <c:v>44406</c:v>
                </c:pt>
                <c:pt idx="184">
                  <c:v>44405</c:v>
                </c:pt>
                <c:pt idx="185">
                  <c:v>44404</c:v>
                </c:pt>
                <c:pt idx="186">
                  <c:v>44403</c:v>
                </c:pt>
                <c:pt idx="187">
                  <c:v>44402</c:v>
                </c:pt>
                <c:pt idx="188">
                  <c:v>44401</c:v>
                </c:pt>
                <c:pt idx="189">
                  <c:v>44400</c:v>
                </c:pt>
                <c:pt idx="190">
                  <c:v>44399</c:v>
                </c:pt>
                <c:pt idx="191">
                  <c:v>44398</c:v>
                </c:pt>
                <c:pt idx="192">
                  <c:v>44397</c:v>
                </c:pt>
                <c:pt idx="193">
                  <c:v>44396</c:v>
                </c:pt>
                <c:pt idx="194">
                  <c:v>44395</c:v>
                </c:pt>
                <c:pt idx="195">
                  <c:v>44394</c:v>
                </c:pt>
                <c:pt idx="196">
                  <c:v>44393</c:v>
                </c:pt>
                <c:pt idx="197">
                  <c:v>44392</c:v>
                </c:pt>
                <c:pt idx="198">
                  <c:v>44391</c:v>
                </c:pt>
                <c:pt idx="199">
                  <c:v>44390</c:v>
                </c:pt>
                <c:pt idx="200">
                  <c:v>44389</c:v>
                </c:pt>
                <c:pt idx="201">
                  <c:v>44388</c:v>
                </c:pt>
                <c:pt idx="202">
                  <c:v>44387</c:v>
                </c:pt>
                <c:pt idx="203">
                  <c:v>44386</c:v>
                </c:pt>
                <c:pt idx="204">
                  <c:v>44385</c:v>
                </c:pt>
                <c:pt idx="205">
                  <c:v>44384</c:v>
                </c:pt>
                <c:pt idx="206">
                  <c:v>44383</c:v>
                </c:pt>
                <c:pt idx="207">
                  <c:v>44382</c:v>
                </c:pt>
                <c:pt idx="208">
                  <c:v>44381</c:v>
                </c:pt>
                <c:pt idx="209">
                  <c:v>44380</c:v>
                </c:pt>
                <c:pt idx="210">
                  <c:v>44379</c:v>
                </c:pt>
                <c:pt idx="211">
                  <c:v>44378</c:v>
                </c:pt>
                <c:pt idx="212">
                  <c:v>44377</c:v>
                </c:pt>
                <c:pt idx="213">
                  <c:v>44376</c:v>
                </c:pt>
                <c:pt idx="214">
                  <c:v>44375</c:v>
                </c:pt>
                <c:pt idx="215">
                  <c:v>44374</c:v>
                </c:pt>
                <c:pt idx="216">
                  <c:v>44373</c:v>
                </c:pt>
                <c:pt idx="217">
                  <c:v>44372</c:v>
                </c:pt>
                <c:pt idx="218">
                  <c:v>44371</c:v>
                </c:pt>
                <c:pt idx="219">
                  <c:v>44370</c:v>
                </c:pt>
                <c:pt idx="220">
                  <c:v>44369</c:v>
                </c:pt>
                <c:pt idx="221">
                  <c:v>44368</c:v>
                </c:pt>
                <c:pt idx="222">
                  <c:v>44367</c:v>
                </c:pt>
                <c:pt idx="223">
                  <c:v>44366</c:v>
                </c:pt>
                <c:pt idx="224">
                  <c:v>44365</c:v>
                </c:pt>
                <c:pt idx="225">
                  <c:v>44364</c:v>
                </c:pt>
                <c:pt idx="226">
                  <c:v>44363</c:v>
                </c:pt>
                <c:pt idx="227">
                  <c:v>44362</c:v>
                </c:pt>
                <c:pt idx="228">
                  <c:v>44361</c:v>
                </c:pt>
                <c:pt idx="229">
                  <c:v>44360</c:v>
                </c:pt>
                <c:pt idx="230">
                  <c:v>44359</c:v>
                </c:pt>
                <c:pt idx="231">
                  <c:v>44358</c:v>
                </c:pt>
                <c:pt idx="232">
                  <c:v>44357</c:v>
                </c:pt>
                <c:pt idx="233">
                  <c:v>44356</c:v>
                </c:pt>
                <c:pt idx="234">
                  <c:v>44355</c:v>
                </c:pt>
                <c:pt idx="235">
                  <c:v>44354</c:v>
                </c:pt>
                <c:pt idx="236">
                  <c:v>44353</c:v>
                </c:pt>
                <c:pt idx="237">
                  <c:v>44352</c:v>
                </c:pt>
                <c:pt idx="238">
                  <c:v>44351</c:v>
                </c:pt>
                <c:pt idx="239">
                  <c:v>44350</c:v>
                </c:pt>
                <c:pt idx="240">
                  <c:v>44349</c:v>
                </c:pt>
                <c:pt idx="241">
                  <c:v>44348</c:v>
                </c:pt>
                <c:pt idx="242">
                  <c:v>44347</c:v>
                </c:pt>
                <c:pt idx="243">
                  <c:v>44346</c:v>
                </c:pt>
                <c:pt idx="244">
                  <c:v>44345</c:v>
                </c:pt>
                <c:pt idx="245">
                  <c:v>44344</c:v>
                </c:pt>
                <c:pt idx="246">
                  <c:v>44343</c:v>
                </c:pt>
                <c:pt idx="247">
                  <c:v>44342</c:v>
                </c:pt>
                <c:pt idx="248">
                  <c:v>44341</c:v>
                </c:pt>
                <c:pt idx="249">
                  <c:v>44340</c:v>
                </c:pt>
                <c:pt idx="250">
                  <c:v>44339</c:v>
                </c:pt>
                <c:pt idx="251">
                  <c:v>44338</c:v>
                </c:pt>
                <c:pt idx="252">
                  <c:v>44337</c:v>
                </c:pt>
                <c:pt idx="253">
                  <c:v>44336</c:v>
                </c:pt>
                <c:pt idx="254">
                  <c:v>44335</c:v>
                </c:pt>
                <c:pt idx="255">
                  <c:v>44334</c:v>
                </c:pt>
                <c:pt idx="256">
                  <c:v>44333</c:v>
                </c:pt>
                <c:pt idx="257">
                  <c:v>44332</c:v>
                </c:pt>
                <c:pt idx="258">
                  <c:v>44331</c:v>
                </c:pt>
                <c:pt idx="259">
                  <c:v>44330</c:v>
                </c:pt>
                <c:pt idx="260">
                  <c:v>44329</c:v>
                </c:pt>
                <c:pt idx="261">
                  <c:v>44328</c:v>
                </c:pt>
                <c:pt idx="262">
                  <c:v>44327</c:v>
                </c:pt>
                <c:pt idx="263">
                  <c:v>44326</c:v>
                </c:pt>
                <c:pt idx="264">
                  <c:v>44325</c:v>
                </c:pt>
                <c:pt idx="265">
                  <c:v>44324</c:v>
                </c:pt>
                <c:pt idx="266">
                  <c:v>44323</c:v>
                </c:pt>
                <c:pt idx="267">
                  <c:v>44322</c:v>
                </c:pt>
                <c:pt idx="268">
                  <c:v>44321</c:v>
                </c:pt>
                <c:pt idx="269">
                  <c:v>44320</c:v>
                </c:pt>
                <c:pt idx="270">
                  <c:v>44319</c:v>
                </c:pt>
                <c:pt idx="271">
                  <c:v>44318</c:v>
                </c:pt>
                <c:pt idx="272">
                  <c:v>44317</c:v>
                </c:pt>
                <c:pt idx="273">
                  <c:v>44316</c:v>
                </c:pt>
                <c:pt idx="274">
                  <c:v>44315</c:v>
                </c:pt>
                <c:pt idx="275">
                  <c:v>44314</c:v>
                </c:pt>
                <c:pt idx="276">
                  <c:v>44313</c:v>
                </c:pt>
                <c:pt idx="277">
                  <c:v>44312</c:v>
                </c:pt>
                <c:pt idx="278">
                  <c:v>44311</c:v>
                </c:pt>
                <c:pt idx="279">
                  <c:v>44310</c:v>
                </c:pt>
                <c:pt idx="280">
                  <c:v>44309</c:v>
                </c:pt>
                <c:pt idx="281">
                  <c:v>44308</c:v>
                </c:pt>
                <c:pt idx="282">
                  <c:v>44307</c:v>
                </c:pt>
                <c:pt idx="283">
                  <c:v>44306</c:v>
                </c:pt>
                <c:pt idx="284">
                  <c:v>44305</c:v>
                </c:pt>
                <c:pt idx="285">
                  <c:v>44304</c:v>
                </c:pt>
                <c:pt idx="286">
                  <c:v>44303</c:v>
                </c:pt>
                <c:pt idx="287">
                  <c:v>44302</c:v>
                </c:pt>
                <c:pt idx="288">
                  <c:v>44301</c:v>
                </c:pt>
                <c:pt idx="289">
                  <c:v>44300</c:v>
                </c:pt>
                <c:pt idx="290">
                  <c:v>44299</c:v>
                </c:pt>
                <c:pt idx="291">
                  <c:v>44298</c:v>
                </c:pt>
                <c:pt idx="292">
                  <c:v>44297</c:v>
                </c:pt>
                <c:pt idx="293">
                  <c:v>44296</c:v>
                </c:pt>
                <c:pt idx="294">
                  <c:v>44295</c:v>
                </c:pt>
                <c:pt idx="295">
                  <c:v>44294</c:v>
                </c:pt>
                <c:pt idx="296">
                  <c:v>44293</c:v>
                </c:pt>
                <c:pt idx="297">
                  <c:v>44292</c:v>
                </c:pt>
                <c:pt idx="298">
                  <c:v>44291</c:v>
                </c:pt>
                <c:pt idx="299">
                  <c:v>44290</c:v>
                </c:pt>
                <c:pt idx="300">
                  <c:v>44289</c:v>
                </c:pt>
                <c:pt idx="301">
                  <c:v>44288</c:v>
                </c:pt>
                <c:pt idx="302">
                  <c:v>44287</c:v>
                </c:pt>
                <c:pt idx="303">
                  <c:v>44286</c:v>
                </c:pt>
                <c:pt idx="304">
                  <c:v>44285</c:v>
                </c:pt>
                <c:pt idx="305">
                  <c:v>44284</c:v>
                </c:pt>
                <c:pt idx="306">
                  <c:v>44283</c:v>
                </c:pt>
                <c:pt idx="307">
                  <c:v>44282</c:v>
                </c:pt>
                <c:pt idx="308">
                  <c:v>44281</c:v>
                </c:pt>
                <c:pt idx="309">
                  <c:v>44280</c:v>
                </c:pt>
                <c:pt idx="310">
                  <c:v>44279</c:v>
                </c:pt>
                <c:pt idx="311">
                  <c:v>44278</c:v>
                </c:pt>
                <c:pt idx="312">
                  <c:v>44277</c:v>
                </c:pt>
                <c:pt idx="313">
                  <c:v>44276</c:v>
                </c:pt>
                <c:pt idx="314">
                  <c:v>44275</c:v>
                </c:pt>
                <c:pt idx="315">
                  <c:v>44274</c:v>
                </c:pt>
                <c:pt idx="316">
                  <c:v>44273</c:v>
                </c:pt>
                <c:pt idx="317">
                  <c:v>44272</c:v>
                </c:pt>
                <c:pt idx="318">
                  <c:v>44271</c:v>
                </c:pt>
                <c:pt idx="319">
                  <c:v>44270</c:v>
                </c:pt>
                <c:pt idx="320">
                  <c:v>44269</c:v>
                </c:pt>
                <c:pt idx="321">
                  <c:v>44268</c:v>
                </c:pt>
                <c:pt idx="322">
                  <c:v>44267</c:v>
                </c:pt>
                <c:pt idx="323">
                  <c:v>44266</c:v>
                </c:pt>
                <c:pt idx="324">
                  <c:v>44265</c:v>
                </c:pt>
                <c:pt idx="325">
                  <c:v>44264</c:v>
                </c:pt>
                <c:pt idx="326">
                  <c:v>44263</c:v>
                </c:pt>
                <c:pt idx="327">
                  <c:v>44262</c:v>
                </c:pt>
                <c:pt idx="328">
                  <c:v>44261</c:v>
                </c:pt>
                <c:pt idx="329">
                  <c:v>44260</c:v>
                </c:pt>
                <c:pt idx="330">
                  <c:v>44259</c:v>
                </c:pt>
                <c:pt idx="331">
                  <c:v>44258</c:v>
                </c:pt>
                <c:pt idx="332">
                  <c:v>44257</c:v>
                </c:pt>
                <c:pt idx="333">
                  <c:v>44256</c:v>
                </c:pt>
                <c:pt idx="334">
                  <c:v>44255</c:v>
                </c:pt>
                <c:pt idx="335">
                  <c:v>44254</c:v>
                </c:pt>
                <c:pt idx="336">
                  <c:v>44253</c:v>
                </c:pt>
                <c:pt idx="337">
                  <c:v>44252</c:v>
                </c:pt>
                <c:pt idx="338">
                  <c:v>44251</c:v>
                </c:pt>
                <c:pt idx="339">
                  <c:v>44250</c:v>
                </c:pt>
                <c:pt idx="340">
                  <c:v>44249</c:v>
                </c:pt>
                <c:pt idx="341">
                  <c:v>44248</c:v>
                </c:pt>
                <c:pt idx="342">
                  <c:v>44247</c:v>
                </c:pt>
                <c:pt idx="343">
                  <c:v>44246</c:v>
                </c:pt>
                <c:pt idx="344">
                  <c:v>44245</c:v>
                </c:pt>
                <c:pt idx="345">
                  <c:v>44244</c:v>
                </c:pt>
                <c:pt idx="346">
                  <c:v>44243</c:v>
                </c:pt>
                <c:pt idx="347">
                  <c:v>44242</c:v>
                </c:pt>
                <c:pt idx="348">
                  <c:v>44241</c:v>
                </c:pt>
                <c:pt idx="349">
                  <c:v>44240</c:v>
                </c:pt>
                <c:pt idx="350">
                  <c:v>44239</c:v>
                </c:pt>
                <c:pt idx="351">
                  <c:v>44238</c:v>
                </c:pt>
                <c:pt idx="352">
                  <c:v>44237</c:v>
                </c:pt>
                <c:pt idx="353">
                  <c:v>44236</c:v>
                </c:pt>
                <c:pt idx="354">
                  <c:v>44235</c:v>
                </c:pt>
                <c:pt idx="355">
                  <c:v>44234</c:v>
                </c:pt>
                <c:pt idx="356">
                  <c:v>44233</c:v>
                </c:pt>
                <c:pt idx="357">
                  <c:v>44232</c:v>
                </c:pt>
                <c:pt idx="358">
                  <c:v>44231</c:v>
                </c:pt>
                <c:pt idx="359">
                  <c:v>44230</c:v>
                </c:pt>
                <c:pt idx="360">
                  <c:v>44229</c:v>
                </c:pt>
                <c:pt idx="361">
                  <c:v>44228</c:v>
                </c:pt>
                <c:pt idx="362">
                  <c:v>44227</c:v>
                </c:pt>
                <c:pt idx="363">
                  <c:v>44226</c:v>
                </c:pt>
                <c:pt idx="364">
                  <c:v>44225</c:v>
                </c:pt>
                <c:pt idx="365">
                  <c:v>44224</c:v>
                </c:pt>
                <c:pt idx="366">
                  <c:v>44223</c:v>
                </c:pt>
                <c:pt idx="367">
                  <c:v>44222</c:v>
                </c:pt>
                <c:pt idx="368">
                  <c:v>44221</c:v>
                </c:pt>
                <c:pt idx="369">
                  <c:v>44220</c:v>
                </c:pt>
                <c:pt idx="370">
                  <c:v>44219</c:v>
                </c:pt>
                <c:pt idx="371">
                  <c:v>44218</c:v>
                </c:pt>
                <c:pt idx="372">
                  <c:v>44217</c:v>
                </c:pt>
                <c:pt idx="373">
                  <c:v>44216</c:v>
                </c:pt>
                <c:pt idx="374">
                  <c:v>44215</c:v>
                </c:pt>
                <c:pt idx="375">
                  <c:v>44214</c:v>
                </c:pt>
                <c:pt idx="376">
                  <c:v>44213</c:v>
                </c:pt>
                <c:pt idx="377">
                  <c:v>44212</c:v>
                </c:pt>
                <c:pt idx="378">
                  <c:v>44211</c:v>
                </c:pt>
                <c:pt idx="379">
                  <c:v>44210</c:v>
                </c:pt>
                <c:pt idx="380">
                  <c:v>44209</c:v>
                </c:pt>
                <c:pt idx="381">
                  <c:v>44208</c:v>
                </c:pt>
                <c:pt idx="382">
                  <c:v>44207</c:v>
                </c:pt>
                <c:pt idx="383">
                  <c:v>44206</c:v>
                </c:pt>
                <c:pt idx="384">
                  <c:v>44205</c:v>
                </c:pt>
                <c:pt idx="385">
                  <c:v>44204</c:v>
                </c:pt>
                <c:pt idx="386">
                  <c:v>44203</c:v>
                </c:pt>
                <c:pt idx="387">
                  <c:v>44202</c:v>
                </c:pt>
                <c:pt idx="388">
                  <c:v>44201</c:v>
                </c:pt>
                <c:pt idx="389">
                  <c:v>44200</c:v>
                </c:pt>
                <c:pt idx="390">
                  <c:v>44199</c:v>
                </c:pt>
                <c:pt idx="391">
                  <c:v>44198</c:v>
                </c:pt>
                <c:pt idx="392">
                  <c:v>44197</c:v>
                </c:pt>
                <c:pt idx="393">
                  <c:v>44196</c:v>
                </c:pt>
                <c:pt idx="394">
                  <c:v>44195</c:v>
                </c:pt>
                <c:pt idx="395">
                  <c:v>44194</c:v>
                </c:pt>
                <c:pt idx="396">
                  <c:v>44193</c:v>
                </c:pt>
                <c:pt idx="397">
                  <c:v>44192</c:v>
                </c:pt>
                <c:pt idx="398">
                  <c:v>44191</c:v>
                </c:pt>
                <c:pt idx="399">
                  <c:v>44190</c:v>
                </c:pt>
                <c:pt idx="400">
                  <c:v>44189</c:v>
                </c:pt>
                <c:pt idx="401">
                  <c:v>44188</c:v>
                </c:pt>
                <c:pt idx="402">
                  <c:v>44187</c:v>
                </c:pt>
                <c:pt idx="403">
                  <c:v>44186</c:v>
                </c:pt>
                <c:pt idx="404">
                  <c:v>44185</c:v>
                </c:pt>
                <c:pt idx="405">
                  <c:v>44184</c:v>
                </c:pt>
                <c:pt idx="406">
                  <c:v>44183</c:v>
                </c:pt>
                <c:pt idx="407">
                  <c:v>44182</c:v>
                </c:pt>
                <c:pt idx="408">
                  <c:v>44181</c:v>
                </c:pt>
                <c:pt idx="409">
                  <c:v>44180</c:v>
                </c:pt>
                <c:pt idx="410">
                  <c:v>44179</c:v>
                </c:pt>
                <c:pt idx="411">
                  <c:v>44178</c:v>
                </c:pt>
                <c:pt idx="412">
                  <c:v>44177</c:v>
                </c:pt>
                <c:pt idx="413">
                  <c:v>44176</c:v>
                </c:pt>
                <c:pt idx="414">
                  <c:v>44175</c:v>
                </c:pt>
                <c:pt idx="415">
                  <c:v>44174</c:v>
                </c:pt>
                <c:pt idx="416">
                  <c:v>44173</c:v>
                </c:pt>
                <c:pt idx="417">
                  <c:v>44172</c:v>
                </c:pt>
                <c:pt idx="418">
                  <c:v>44171</c:v>
                </c:pt>
                <c:pt idx="419">
                  <c:v>44170</c:v>
                </c:pt>
                <c:pt idx="420">
                  <c:v>44169</c:v>
                </c:pt>
                <c:pt idx="421">
                  <c:v>44168</c:v>
                </c:pt>
                <c:pt idx="422">
                  <c:v>44167</c:v>
                </c:pt>
                <c:pt idx="423">
                  <c:v>44166</c:v>
                </c:pt>
                <c:pt idx="424">
                  <c:v>44165</c:v>
                </c:pt>
                <c:pt idx="425">
                  <c:v>44164</c:v>
                </c:pt>
                <c:pt idx="426">
                  <c:v>44163</c:v>
                </c:pt>
                <c:pt idx="427">
                  <c:v>44162</c:v>
                </c:pt>
                <c:pt idx="428">
                  <c:v>44161</c:v>
                </c:pt>
                <c:pt idx="429">
                  <c:v>44160</c:v>
                </c:pt>
                <c:pt idx="430">
                  <c:v>44159</c:v>
                </c:pt>
                <c:pt idx="431">
                  <c:v>44158</c:v>
                </c:pt>
                <c:pt idx="432">
                  <c:v>44157</c:v>
                </c:pt>
                <c:pt idx="433">
                  <c:v>44156</c:v>
                </c:pt>
                <c:pt idx="434">
                  <c:v>44155</c:v>
                </c:pt>
                <c:pt idx="435">
                  <c:v>44154</c:v>
                </c:pt>
                <c:pt idx="436">
                  <c:v>44153</c:v>
                </c:pt>
                <c:pt idx="437">
                  <c:v>44152</c:v>
                </c:pt>
                <c:pt idx="438">
                  <c:v>44151</c:v>
                </c:pt>
                <c:pt idx="439">
                  <c:v>44150</c:v>
                </c:pt>
                <c:pt idx="440">
                  <c:v>44149</c:v>
                </c:pt>
                <c:pt idx="441">
                  <c:v>44148</c:v>
                </c:pt>
                <c:pt idx="442">
                  <c:v>44147</c:v>
                </c:pt>
                <c:pt idx="443">
                  <c:v>44146</c:v>
                </c:pt>
                <c:pt idx="444">
                  <c:v>44145</c:v>
                </c:pt>
                <c:pt idx="445">
                  <c:v>44144</c:v>
                </c:pt>
                <c:pt idx="446">
                  <c:v>44143</c:v>
                </c:pt>
                <c:pt idx="447">
                  <c:v>44142</c:v>
                </c:pt>
                <c:pt idx="448">
                  <c:v>44141</c:v>
                </c:pt>
                <c:pt idx="449">
                  <c:v>44140</c:v>
                </c:pt>
                <c:pt idx="450">
                  <c:v>44139</c:v>
                </c:pt>
                <c:pt idx="451">
                  <c:v>44138</c:v>
                </c:pt>
                <c:pt idx="452">
                  <c:v>44137</c:v>
                </c:pt>
                <c:pt idx="453">
                  <c:v>44136</c:v>
                </c:pt>
                <c:pt idx="454">
                  <c:v>44135</c:v>
                </c:pt>
                <c:pt idx="455">
                  <c:v>44134</c:v>
                </c:pt>
                <c:pt idx="456">
                  <c:v>44133</c:v>
                </c:pt>
                <c:pt idx="457">
                  <c:v>44132</c:v>
                </c:pt>
                <c:pt idx="458">
                  <c:v>44131</c:v>
                </c:pt>
                <c:pt idx="459">
                  <c:v>44130</c:v>
                </c:pt>
                <c:pt idx="460">
                  <c:v>44129</c:v>
                </c:pt>
                <c:pt idx="461">
                  <c:v>44128</c:v>
                </c:pt>
                <c:pt idx="462">
                  <c:v>44127</c:v>
                </c:pt>
                <c:pt idx="463">
                  <c:v>44126</c:v>
                </c:pt>
                <c:pt idx="464">
                  <c:v>44125</c:v>
                </c:pt>
                <c:pt idx="465">
                  <c:v>44124</c:v>
                </c:pt>
                <c:pt idx="466">
                  <c:v>44123</c:v>
                </c:pt>
                <c:pt idx="467">
                  <c:v>44122</c:v>
                </c:pt>
                <c:pt idx="468">
                  <c:v>44121</c:v>
                </c:pt>
                <c:pt idx="469">
                  <c:v>44120</c:v>
                </c:pt>
                <c:pt idx="470">
                  <c:v>44119</c:v>
                </c:pt>
                <c:pt idx="471">
                  <c:v>44118</c:v>
                </c:pt>
                <c:pt idx="472">
                  <c:v>44117</c:v>
                </c:pt>
                <c:pt idx="473">
                  <c:v>44116</c:v>
                </c:pt>
                <c:pt idx="474">
                  <c:v>44115</c:v>
                </c:pt>
                <c:pt idx="475">
                  <c:v>44114</c:v>
                </c:pt>
                <c:pt idx="476">
                  <c:v>44113</c:v>
                </c:pt>
                <c:pt idx="477">
                  <c:v>44112</c:v>
                </c:pt>
                <c:pt idx="478">
                  <c:v>44111</c:v>
                </c:pt>
                <c:pt idx="479">
                  <c:v>44110</c:v>
                </c:pt>
                <c:pt idx="480">
                  <c:v>44109</c:v>
                </c:pt>
                <c:pt idx="481">
                  <c:v>44108</c:v>
                </c:pt>
                <c:pt idx="482">
                  <c:v>44107</c:v>
                </c:pt>
                <c:pt idx="483">
                  <c:v>44106</c:v>
                </c:pt>
                <c:pt idx="484">
                  <c:v>44105</c:v>
                </c:pt>
                <c:pt idx="485">
                  <c:v>44104</c:v>
                </c:pt>
                <c:pt idx="486">
                  <c:v>44103</c:v>
                </c:pt>
                <c:pt idx="487">
                  <c:v>44102</c:v>
                </c:pt>
                <c:pt idx="488">
                  <c:v>44101</c:v>
                </c:pt>
                <c:pt idx="489">
                  <c:v>44100</c:v>
                </c:pt>
                <c:pt idx="490">
                  <c:v>44099</c:v>
                </c:pt>
                <c:pt idx="491">
                  <c:v>44098</c:v>
                </c:pt>
                <c:pt idx="492">
                  <c:v>44097</c:v>
                </c:pt>
                <c:pt idx="493">
                  <c:v>44096</c:v>
                </c:pt>
                <c:pt idx="494">
                  <c:v>44095</c:v>
                </c:pt>
                <c:pt idx="495">
                  <c:v>44094</c:v>
                </c:pt>
                <c:pt idx="496">
                  <c:v>44093</c:v>
                </c:pt>
                <c:pt idx="497">
                  <c:v>44092</c:v>
                </c:pt>
                <c:pt idx="498">
                  <c:v>44091</c:v>
                </c:pt>
                <c:pt idx="499">
                  <c:v>44090</c:v>
                </c:pt>
                <c:pt idx="500">
                  <c:v>44089</c:v>
                </c:pt>
                <c:pt idx="501">
                  <c:v>44088</c:v>
                </c:pt>
                <c:pt idx="502">
                  <c:v>44087</c:v>
                </c:pt>
                <c:pt idx="503">
                  <c:v>44086</c:v>
                </c:pt>
                <c:pt idx="504">
                  <c:v>44085</c:v>
                </c:pt>
                <c:pt idx="505">
                  <c:v>44084</c:v>
                </c:pt>
                <c:pt idx="506">
                  <c:v>44083</c:v>
                </c:pt>
                <c:pt idx="507">
                  <c:v>44082</c:v>
                </c:pt>
                <c:pt idx="508">
                  <c:v>44081</c:v>
                </c:pt>
                <c:pt idx="509">
                  <c:v>44080</c:v>
                </c:pt>
                <c:pt idx="510">
                  <c:v>44079</c:v>
                </c:pt>
                <c:pt idx="511">
                  <c:v>44078</c:v>
                </c:pt>
                <c:pt idx="512">
                  <c:v>44077</c:v>
                </c:pt>
                <c:pt idx="513">
                  <c:v>44076</c:v>
                </c:pt>
                <c:pt idx="514">
                  <c:v>44075</c:v>
                </c:pt>
                <c:pt idx="515">
                  <c:v>44074</c:v>
                </c:pt>
                <c:pt idx="516">
                  <c:v>44073</c:v>
                </c:pt>
                <c:pt idx="517">
                  <c:v>44072</c:v>
                </c:pt>
                <c:pt idx="518">
                  <c:v>44071</c:v>
                </c:pt>
                <c:pt idx="519">
                  <c:v>44070</c:v>
                </c:pt>
                <c:pt idx="520">
                  <c:v>44069</c:v>
                </c:pt>
                <c:pt idx="521">
                  <c:v>44068</c:v>
                </c:pt>
                <c:pt idx="522">
                  <c:v>44067</c:v>
                </c:pt>
                <c:pt idx="523">
                  <c:v>44066</c:v>
                </c:pt>
                <c:pt idx="524">
                  <c:v>44065</c:v>
                </c:pt>
                <c:pt idx="525">
                  <c:v>44064</c:v>
                </c:pt>
                <c:pt idx="526">
                  <c:v>44063</c:v>
                </c:pt>
                <c:pt idx="527">
                  <c:v>44062</c:v>
                </c:pt>
                <c:pt idx="528">
                  <c:v>44061</c:v>
                </c:pt>
                <c:pt idx="529">
                  <c:v>44060</c:v>
                </c:pt>
                <c:pt idx="530">
                  <c:v>44059</c:v>
                </c:pt>
                <c:pt idx="531">
                  <c:v>44058</c:v>
                </c:pt>
                <c:pt idx="532">
                  <c:v>44057</c:v>
                </c:pt>
                <c:pt idx="533">
                  <c:v>44056</c:v>
                </c:pt>
                <c:pt idx="534">
                  <c:v>44055</c:v>
                </c:pt>
                <c:pt idx="535">
                  <c:v>44054</c:v>
                </c:pt>
                <c:pt idx="536">
                  <c:v>44053</c:v>
                </c:pt>
                <c:pt idx="537">
                  <c:v>44052</c:v>
                </c:pt>
                <c:pt idx="538">
                  <c:v>44051</c:v>
                </c:pt>
                <c:pt idx="539">
                  <c:v>44050</c:v>
                </c:pt>
                <c:pt idx="540">
                  <c:v>44049</c:v>
                </c:pt>
                <c:pt idx="541">
                  <c:v>44048</c:v>
                </c:pt>
                <c:pt idx="542">
                  <c:v>44047</c:v>
                </c:pt>
                <c:pt idx="543">
                  <c:v>44046</c:v>
                </c:pt>
                <c:pt idx="544">
                  <c:v>44045</c:v>
                </c:pt>
                <c:pt idx="545">
                  <c:v>44044</c:v>
                </c:pt>
                <c:pt idx="546">
                  <c:v>44043</c:v>
                </c:pt>
                <c:pt idx="547">
                  <c:v>44042</c:v>
                </c:pt>
                <c:pt idx="548">
                  <c:v>44041</c:v>
                </c:pt>
                <c:pt idx="549">
                  <c:v>44040</c:v>
                </c:pt>
                <c:pt idx="550">
                  <c:v>44039</c:v>
                </c:pt>
                <c:pt idx="551">
                  <c:v>44038</c:v>
                </c:pt>
                <c:pt idx="552">
                  <c:v>44037</c:v>
                </c:pt>
                <c:pt idx="553">
                  <c:v>44036</c:v>
                </c:pt>
                <c:pt idx="554">
                  <c:v>44035</c:v>
                </c:pt>
                <c:pt idx="555">
                  <c:v>44034</c:v>
                </c:pt>
                <c:pt idx="556">
                  <c:v>44033</c:v>
                </c:pt>
                <c:pt idx="557">
                  <c:v>44032</c:v>
                </c:pt>
                <c:pt idx="558">
                  <c:v>44031</c:v>
                </c:pt>
                <c:pt idx="559">
                  <c:v>44030</c:v>
                </c:pt>
                <c:pt idx="560">
                  <c:v>44029</c:v>
                </c:pt>
                <c:pt idx="561">
                  <c:v>44028</c:v>
                </c:pt>
                <c:pt idx="562">
                  <c:v>44027</c:v>
                </c:pt>
                <c:pt idx="563">
                  <c:v>44026</c:v>
                </c:pt>
                <c:pt idx="564">
                  <c:v>44025</c:v>
                </c:pt>
                <c:pt idx="565">
                  <c:v>44024</c:v>
                </c:pt>
                <c:pt idx="566">
                  <c:v>44023</c:v>
                </c:pt>
                <c:pt idx="567">
                  <c:v>44022</c:v>
                </c:pt>
                <c:pt idx="568">
                  <c:v>44021</c:v>
                </c:pt>
                <c:pt idx="569">
                  <c:v>44020</c:v>
                </c:pt>
                <c:pt idx="570">
                  <c:v>44019</c:v>
                </c:pt>
                <c:pt idx="571">
                  <c:v>44018</c:v>
                </c:pt>
                <c:pt idx="572">
                  <c:v>44017</c:v>
                </c:pt>
                <c:pt idx="573">
                  <c:v>44016</c:v>
                </c:pt>
                <c:pt idx="574">
                  <c:v>44015</c:v>
                </c:pt>
                <c:pt idx="575">
                  <c:v>44014</c:v>
                </c:pt>
                <c:pt idx="576">
                  <c:v>44013</c:v>
                </c:pt>
                <c:pt idx="577">
                  <c:v>44012</c:v>
                </c:pt>
                <c:pt idx="578">
                  <c:v>44011</c:v>
                </c:pt>
                <c:pt idx="579">
                  <c:v>44010</c:v>
                </c:pt>
                <c:pt idx="580">
                  <c:v>44009</c:v>
                </c:pt>
                <c:pt idx="581">
                  <c:v>44008</c:v>
                </c:pt>
                <c:pt idx="582">
                  <c:v>44007</c:v>
                </c:pt>
                <c:pt idx="583">
                  <c:v>44006</c:v>
                </c:pt>
                <c:pt idx="584">
                  <c:v>44005</c:v>
                </c:pt>
                <c:pt idx="585">
                  <c:v>44004</c:v>
                </c:pt>
                <c:pt idx="586">
                  <c:v>44003</c:v>
                </c:pt>
                <c:pt idx="587">
                  <c:v>44002</c:v>
                </c:pt>
                <c:pt idx="588">
                  <c:v>44001</c:v>
                </c:pt>
                <c:pt idx="589">
                  <c:v>44000</c:v>
                </c:pt>
                <c:pt idx="590">
                  <c:v>43999</c:v>
                </c:pt>
                <c:pt idx="591">
                  <c:v>43998</c:v>
                </c:pt>
                <c:pt idx="592">
                  <c:v>43997</c:v>
                </c:pt>
                <c:pt idx="593">
                  <c:v>43996</c:v>
                </c:pt>
                <c:pt idx="594">
                  <c:v>43995</c:v>
                </c:pt>
                <c:pt idx="595">
                  <c:v>43994</c:v>
                </c:pt>
                <c:pt idx="596">
                  <c:v>43993</c:v>
                </c:pt>
                <c:pt idx="597">
                  <c:v>43992</c:v>
                </c:pt>
                <c:pt idx="598">
                  <c:v>43991</c:v>
                </c:pt>
                <c:pt idx="599">
                  <c:v>43990</c:v>
                </c:pt>
                <c:pt idx="600">
                  <c:v>43989</c:v>
                </c:pt>
                <c:pt idx="601">
                  <c:v>43988</c:v>
                </c:pt>
                <c:pt idx="602">
                  <c:v>43987</c:v>
                </c:pt>
                <c:pt idx="603">
                  <c:v>43986</c:v>
                </c:pt>
                <c:pt idx="604">
                  <c:v>43985</c:v>
                </c:pt>
                <c:pt idx="605">
                  <c:v>43984</c:v>
                </c:pt>
                <c:pt idx="606">
                  <c:v>43983</c:v>
                </c:pt>
                <c:pt idx="607">
                  <c:v>43982</c:v>
                </c:pt>
                <c:pt idx="608">
                  <c:v>43981</c:v>
                </c:pt>
                <c:pt idx="609">
                  <c:v>43980</c:v>
                </c:pt>
                <c:pt idx="610">
                  <c:v>43979</c:v>
                </c:pt>
                <c:pt idx="611">
                  <c:v>43978</c:v>
                </c:pt>
                <c:pt idx="612">
                  <c:v>43977</c:v>
                </c:pt>
                <c:pt idx="613">
                  <c:v>43976</c:v>
                </c:pt>
                <c:pt idx="614">
                  <c:v>43975</c:v>
                </c:pt>
                <c:pt idx="615">
                  <c:v>43974</c:v>
                </c:pt>
                <c:pt idx="616">
                  <c:v>43973</c:v>
                </c:pt>
                <c:pt idx="617">
                  <c:v>43972</c:v>
                </c:pt>
                <c:pt idx="618">
                  <c:v>43971</c:v>
                </c:pt>
                <c:pt idx="619">
                  <c:v>43970</c:v>
                </c:pt>
                <c:pt idx="620">
                  <c:v>43969</c:v>
                </c:pt>
                <c:pt idx="621">
                  <c:v>43968</c:v>
                </c:pt>
                <c:pt idx="622">
                  <c:v>43967</c:v>
                </c:pt>
                <c:pt idx="623">
                  <c:v>43966</c:v>
                </c:pt>
                <c:pt idx="624">
                  <c:v>43965</c:v>
                </c:pt>
                <c:pt idx="625">
                  <c:v>43964</c:v>
                </c:pt>
                <c:pt idx="626">
                  <c:v>43963</c:v>
                </c:pt>
                <c:pt idx="627">
                  <c:v>43962</c:v>
                </c:pt>
                <c:pt idx="628">
                  <c:v>43961</c:v>
                </c:pt>
                <c:pt idx="629">
                  <c:v>43960</c:v>
                </c:pt>
                <c:pt idx="630">
                  <c:v>43959</c:v>
                </c:pt>
                <c:pt idx="631">
                  <c:v>43958</c:v>
                </c:pt>
                <c:pt idx="632">
                  <c:v>43957</c:v>
                </c:pt>
                <c:pt idx="633">
                  <c:v>43956</c:v>
                </c:pt>
                <c:pt idx="634">
                  <c:v>43955</c:v>
                </c:pt>
                <c:pt idx="635">
                  <c:v>43954</c:v>
                </c:pt>
                <c:pt idx="636">
                  <c:v>43953</c:v>
                </c:pt>
                <c:pt idx="637">
                  <c:v>43952</c:v>
                </c:pt>
                <c:pt idx="638">
                  <c:v>43951</c:v>
                </c:pt>
                <c:pt idx="639">
                  <c:v>43950</c:v>
                </c:pt>
                <c:pt idx="640">
                  <c:v>43949</c:v>
                </c:pt>
                <c:pt idx="641">
                  <c:v>43948</c:v>
                </c:pt>
                <c:pt idx="642">
                  <c:v>43947</c:v>
                </c:pt>
                <c:pt idx="643">
                  <c:v>43946</c:v>
                </c:pt>
                <c:pt idx="644">
                  <c:v>43945</c:v>
                </c:pt>
                <c:pt idx="645">
                  <c:v>43944</c:v>
                </c:pt>
                <c:pt idx="646">
                  <c:v>43943</c:v>
                </c:pt>
                <c:pt idx="647">
                  <c:v>43942</c:v>
                </c:pt>
                <c:pt idx="648">
                  <c:v>43941</c:v>
                </c:pt>
                <c:pt idx="649">
                  <c:v>43940</c:v>
                </c:pt>
                <c:pt idx="650">
                  <c:v>43939</c:v>
                </c:pt>
                <c:pt idx="651">
                  <c:v>43938</c:v>
                </c:pt>
                <c:pt idx="652">
                  <c:v>43937</c:v>
                </c:pt>
                <c:pt idx="653">
                  <c:v>43936</c:v>
                </c:pt>
                <c:pt idx="654">
                  <c:v>43935</c:v>
                </c:pt>
                <c:pt idx="655">
                  <c:v>43934</c:v>
                </c:pt>
                <c:pt idx="656">
                  <c:v>43933</c:v>
                </c:pt>
                <c:pt idx="657">
                  <c:v>43932</c:v>
                </c:pt>
                <c:pt idx="658">
                  <c:v>43931</c:v>
                </c:pt>
                <c:pt idx="659">
                  <c:v>43930</c:v>
                </c:pt>
                <c:pt idx="660">
                  <c:v>43929</c:v>
                </c:pt>
                <c:pt idx="661">
                  <c:v>43928</c:v>
                </c:pt>
                <c:pt idx="662">
                  <c:v>43927</c:v>
                </c:pt>
                <c:pt idx="663">
                  <c:v>43926</c:v>
                </c:pt>
                <c:pt idx="664">
                  <c:v>43925</c:v>
                </c:pt>
                <c:pt idx="665">
                  <c:v>43924</c:v>
                </c:pt>
                <c:pt idx="666">
                  <c:v>43923</c:v>
                </c:pt>
                <c:pt idx="667">
                  <c:v>43922</c:v>
                </c:pt>
                <c:pt idx="668">
                  <c:v>43921</c:v>
                </c:pt>
                <c:pt idx="669">
                  <c:v>43920</c:v>
                </c:pt>
                <c:pt idx="670">
                  <c:v>43919</c:v>
                </c:pt>
                <c:pt idx="671">
                  <c:v>43918</c:v>
                </c:pt>
                <c:pt idx="672">
                  <c:v>43917</c:v>
                </c:pt>
                <c:pt idx="673">
                  <c:v>43916</c:v>
                </c:pt>
                <c:pt idx="674">
                  <c:v>43915</c:v>
                </c:pt>
                <c:pt idx="675">
                  <c:v>43914</c:v>
                </c:pt>
                <c:pt idx="676">
                  <c:v>43913</c:v>
                </c:pt>
                <c:pt idx="677">
                  <c:v>43912</c:v>
                </c:pt>
                <c:pt idx="678">
                  <c:v>43911</c:v>
                </c:pt>
                <c:pt idx="679">
                  <c:v>43910</c:v>
                </c:pt>
                <c:pt idx="680">
                  <c:v>43909</c:v>
                </c:pt>
                <c:pt idx="681">
                  <c:v>43908</c:v>
                </c:pt>
                <c:pt idx="682">
                  <c:v>43907</c:v>
                </c:pt>
                <c:pt idx="683">
                  <c:v>43906</c:v>
                </c:pt>
                <c:pt idx="684">
                  <c:v>43905</c:v>
                </c:pt>
                <c:pt idx="685">
                  <c:v>43904</c:v>
                </c:pt>
                <c:pt idx="686">
                  <c:v>43903</c:v>
                </c:pt>
                <c:pt idx="687">
                  <c:v>43902</c:v>
                </c:pt>
                <c:pt idx="688">
                  <c:v>43901</c:v>
                </c:pt>
                <c:pt idx="689">
                  <c:v>43900</c:v>
                </c:pt>
                <c:pt idx="690">
                  <c:v>43899</c:v>
                </c:pt>
                <c:pt idx="691">
                  <c:v>43898</c:v>
                </c:pt>
                <c:pt idx="692">
                  <c:v>43897</c:v>
                </c:pt>
                <c:pt idx="693">
                  <c:v>43896</c:v>
                </c:pt>
                <c:pt idx="694">
                  <c:v>43895</c:v>
                </c:pt>
                <c:pt idx="695">
                  <c:v>43894</c:v>
                </c:pt>
                <c:pt idx="696">
                  <c:v>43893</c:v>
                </c:pt>
                <c:pt idx="697">
                  <c:v>43892</c:v>
                </c:pt>
                <c:pt idx="698">
                  <c:v>43891</c:v>
                </c:pt>
                <c:pt idx="699">
                  <c:v>43890</c:v>
                </c:pt>
                <c:pt idx="700">
                  <c:v>43889</c:v>
                </c:pt>
                <c:pt idx="701">
                  <c:v>43888</c:v>
                </c:pt>
                <c:pt idx="702">
                  <c:v>43887</c:v>
                </c:pt>
                <c:pt idx="703">
                  <c:v>43886</c:v>
                </c:pt>
                <c:pt idx="704">
                  <c:v>43885</c:v>
                </c:pt>
                <c:pt idx="705">
                  <c:v>43884</c:v>
                </c:pt>
                <c:pt idx="706">
                  <c:v>43883</c:v>
                </c:pt>
                <c:pt idx="707">
                  <c:v>43882</c:v>
                </c:pt>
                <c:pt idx="708">
                  <c:v>43881</c:v>
                </c:pt>
                <c:pt idx="709">
                  <c:v>43880</c:v>
                </c:pt>
                <c:pt idx="710">
                  <c:v>43879</c:v>
                </c:pt>
                <c:pt idx="711">
                  <c:v>43878</c:v>
                </c:pt>
                <c:pt idx="712">
                  <c:v>43877</c:v>
                </c:pt>
                <c:pt idx="713">
                  <c:v>43876</c:v>
                </c:pt>
                <c:pt idx="714">
                  <c:v>43875</c:v>
                </c:pt>
                <c:pt idx="715">
                  <c:v>43874</c:v>
                </c:pt>
                <c:pt idx="716">
                  <c:v>43873</c:v>
                </c:pt>
                <c:pt idx="717">
                  <c:v>43872</c:v>
                </c:pt>
                <c:pt idx="718">
                  <c:v>43871</c:v>
                </c:pt>
                <c:pt idx="719">
                  <c:v>43870</c:v>
                </c:pt>
                <c:pt idx="720">
                  <c:v>43869</c:v>
                </c:pt>
                <c:pt idx="721">
                  <c:v>43868</c:v>
                </c:pt>
                <c:pt idx="722">
                  <c:v>43867</c:v>
                </c:pt>
                <c:pt idx="723">
                  <c:v>43866</c:v>
                </c:pt>
                <c:pt idx="724">
                  <c:v>43865</c:v>
                </c:pt>
                <c:pt idx="725">
                  <c:v>43864</c:v>
                </c:pt>
                <c:pt idx="726">
                  <c:v>43863</c:v>
                </c:pt>
                <c:pt idx="727">
                  <c:v>43862</c:v>
                </c:pt>
                <c:pt idx="728">
                  <c:v>43861</c:v>
                </c:pt>
                <c:pt idx="729">
                  <c:v>43860</c:v>
                </c:pt>
                <c:pt idx="730">
                  <c:v>43859</c:v>
                </c:pt>
                <c:pt idx="731">
                  <c:v>43858</c:v>
                </c:pt>
                <c:pt idx="732">
                  <c:v>43857</c:v>
                </c:pt>
                <c:pt idx="733">
                  <c:v>43856</c:v>
                </c:pt>
                <c:pt idx="734">
                  <c:v>43855</c:v>
                </c:pt>
                <c:pt idx="735">
                  <c:v>43854</c:v>
                </c:pt>
                <c:pt idx="736">
                  <c:v>43853</c:v>
                </c:pt>
                <c:pt idx="737">
                  <c:v>43852</c:v>
                </c:pt>
                <c:pt idx="738">
                  <c:v>43851</c:v>
                </c:pt>
                <c:pt idx="739">
                  <c:v>43850</c:v>
                </c:pt>
                <c:pt idx="740">
                  <c:v>43849</c:v>
                </c:pt>
                <c:pt idx="741">
                  <c:v>43848</c:v>
                </c:pt>
                <c:pt idx="742">
                  <c:v>43847</c:v>
                </c:pt>
                <c:pt idx="743">
                  <c:v>43846</c:v>
                </c:pt>
                <c:pt idx="744">
                  <c:v>43845</c:v>
                </c:pt>
                <c:pt idx="745">
                  <c:v>43844</c:v>
                </c:pt>
                <c:pt idx="746">
                  <c:v>43843</c:v>
                </c:pt>
                <c:pt idx="747">
                  <c:v>43842</c:v>
                </c:pt>
                <c:pt idx="748">
                  <c:v>43841</c:v>
                </c:pt>
                <c:pt idx="749">
                  <c:v>43840</c:v>
                </c:pt>
                <c:pt idx="750">
                  <c:v>43839</c:v>
                </c:pt>
                <c:pt idx="751">
                  <c:v>43838</c:v>
                </c:pt>
                <c:pt idx="752">
                  <c:v>43837</c:v>
                </c:pt>
                <c:pt idx="753">
                  <c:v>43836</c:v>
                </c:pt>
                <c:pt idx="754">
                  <c:v>43835</c:v>
                </c:pt>
                <c:pt idx="755">
                  <c:v>43834</c:v>
                </c:pt>
                <c:pt idx="756">
                  <c:v>43833</c:v>
                </c:pt>
                <c:pt idx="757">
                  <c:v>43832</c:v>
                </c:pt>
                <c:pt idx="758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0.89859999999999995</c:v>
                </c:pt>
                <c:pt idx="1">
                  <c:v>0.92310000000000003</c:v>
                </c:pt>
                <c:pt idx="2">
                  <c:v>0.9224</c:v>
                </c:pt>
                <c:pt idx="3">
                  <c:v>0.91249999999999998</c:v>
                </c:pt>
                <c:pt idx="4">
                  <c:v>0.98899999999999999</c:v>
                </c:pt>
                <c:pt idx="5">
                  <c:v>0.95140000000000002</c:v>
                </c:pt>
                <c:pt idx="6">
                  <c:v>1.0306999999999999</c:v>
                </c:pt>
                <c:pt idx="7">
                  <c:v>1.1616</c:v>
                </c:pt>
                <c:pt idx="8">
                  <c:v>1.2655000000000001</c:v>
                </c:pt>
                <c:pt idx="9">
                  <c:v>1.3168</c:v>
                </c:pt>
                <c:pt idx="10">
                  <c:v>1.3412999999999999</c:v>
                </c:pt>
                <c:pt idx="11">
                  <c:v>1.429</c:v>
                </c:pt>
                <c:pt idx="12">
                  <c:v>1.3785000000000001</c:v>
                </c:pt>
                <c:pt idx="13">
                  <c:v>1.3816999999999999</c:v>
                </c:pt>
                <c:pt idx="14">
                  <c:v>1.3614999999999999</c:v>
                </c:pt>
                <c:pt idx="15">
                  <c:v>1.4991000000000001</c:v>
                </c:pt>
                <c:pt idx="16">
                  <c:v>1.446</c:v>
                </c:pt>
                <c:pt idx="17">
                  <c:v>1.3623000000000001</c:v>
                </c:pt>
                <c:pt idx="18">
                  <c:v>1.4004000000000001</c:v>
                </c:pt>
                <c:pt idx="19">
                  <c:v>1.385</c:v>
                </c:pt>
                <c:pt idx="20">
                  <c:v>1.4458</c:v>
                </c:pt>
                <c:pt idx="21">
                  <c:v>1.5632999999999999</c:v>
                </c:pt>
                <c:pt idx="22">
                  <c:v>1.5553999999999999</c:v>
                </c:pt>
                <c:pt idx="23">
                  <c:v>1.6725000000000001</c:v>
                </c:pt>
                <c:pt idx="24">
                  <c:v>1.7948999999999999</c:v>
                </c:pt>
                <c:pt idx="25">
                  <c:v>1.6734</c:v>
                </c:pt>
                <c:pt idx="26">
                  <c:v>1.7414000000000001</c:v>
                </c:pt>
                <c:pt idx="27">
                  <c:v>1.6591</c:v>
                </c:pt>
                <c:pt idx="28">
                  <c:v>1.7302</c:v>
                </c:pt>
                <c:pt idx="29">
                  <c:v>1.5827</c:v>
                </c:pt>
                <c:pt idx="30">
                  <c:v>1.4654</c:v>
                </c:pt>
                <c:pt idx="31">
                  <c:v>1.6625000000000001</c:v>
                </c:pt>
                <c:pt idx="32">
                  <c:v>1.6064000000000001</c:v>
                </c:pt>
                <c:pt idx="33">
                  <c:v>1.5750999999999999</c:v>
                </c:pt>
                <c:pt idx="34">
                  <c:v>1.5753999999999999</c:v>
                </c:pt>
                <c:pt idx="35">
                  <c:v>1.4698</c:v>
                </c:pt>
                <c:pt idx="36">
                  <c:v>1.3642000000000001</c:v>
                </c:pt>
                <c:pt idx="37">
                  <c:v>1.3573</c:v>
                </c:pt>
                <c:pt idx="38">
                  <c:v>1.2964</c:v>
                </c:pt>
                <c:pt idx="39">
                  <c:v>1.3555999999999999</c:v>
                </c:pt>
                <c:pt idx="40">
                  <c:v>1.3781000000000001</c:v>
                </c:pt>
                <c:pt idx="41">
                  <c:v>1.3468</c:v>
                </c:pt>
                <c:pt idx="42">
                  <c:v>1.3877999999999999</c:v>
                </c:pt>
                <c:pt idx="43">
                  <c:v>1.4261999999999999</c:v>
                </c:pt>
                <c:pt idx="44">
                  <c:v>1.3803000000000001</c:v>
                </c:pt>
                <c:pt idx="45">
                  <c:v>1.3223</c:v>
                </c:pt>
                <c:pt idx="46">
                  <c:v>1.5391999999999999</c:v>
                </c:pt>
                <c:pt idx="47">
                  <c:v>1.4677</c:v>
                </c:pt>
                <c:pt idx="48">
                  <c:v>1.4590000000000001</c:v>
                </c:pt>
                <c:pt idx="49">
                  <c:v>1.548</c:v>
                </c:pt>
                <c:pt idx="50">
                  <c:v>1.7015</c:v>
                </c:pt>
                <c:pt idx="51">
                  <c:v>1.6852</c:v>
                </c:pt>
                <c:pt idx="52">
                  <c:v>1.7628999999999999</c:v>
                </c:pt>
                <c:pt idx="53">
                  <c:v>1.7649999999999999</c:v>
                </c:pt>
                <c:pt idx="54">
                  <c:v>1.6491</c:v>
                </c:pt>
                <c:pt idx="55">
                  <c:v>1.7467999999999999</c:v>
                </c:pt>
                <c:pt idx="56">
                  <c:v>1.8869</c:v>
                </c:pt>
                <c:pt idx="57">
                  <c:v>1.9609000000000001</c:v>
                </c:pt>
                <c:pt idx="58">
                  <c:v>1.8119000000000001</c:v>
                </c:pt>
                <c:pt idx="59">
                  <c:v>1.7725</c:v>
                </c:pt>
                <c:pt idx="60">
                  <c:v>1.7124999999999999</c:v>
                </c:pt>
                <c:pt idx="61">
                  <c:v>1.6741999999999999</c:v>
                </c:pt>
                <c:pt idx="62">
                  <c:v>1.6045</c:v>
                </c:pt>
                <c:pt idx="63">
                  <c:v>1.8213999999999999</c:v>
                </c:pt>
                <c:pt idx="64">
                  <c:v>1.8095000000000001</c:v>
                </c:pt>
                <c:pt idx="65">
                  <c:v>1.8357000000000001</c:v>
                </c:pt>
                <c:pt idx="66">
                  <c:v>1.7383999999999999</c:v>
                </c:pt>
                <c:pt idx="67">
                  <c:v>1.8281000000000001</c:v>
                </c:pt>
                <c:pt idx="68">
                  <c:v>1.8384</c:v>
                </c:pt>
                <c:pt idx="69">
                  <c:v>1.8779999999999999</c:v>
                </c:pt>
                <c:pt idx="70">
                  <c:v>1.8499000000000001</c:v>
                </c:pt>
                <c:pt idx="71">
                  <c:v>1.6588000000000001</c:v>
                </c:pt>
                <c:pt idx="72">
                  <c:v>1.7229000000000001</c:v>
                </c:pt>
                <c:pt idx="73">
                  <c:v>1.8911</c:v>
                </c:pt>
                <c:pt idx="74">
                  <c:v>1.9844999999999999</c:v>
                </c:pt>
                <c:pt idx="75">
                  <c:v>2.0743</c:v>
                </c:pt>
                <c:pt idx="76">
                  <c:v>2.1452</c:v>
                </c:pt>
                <c:pt idx="77">
                  <c:v>2.02</c:v>
                </c:pt>
                <c:pt idx="78">
                  <c:v>1.9320999999999999</c:v>
                </c:pt>
                <c:pt idx="79">
                  <c:v>1.9460999999999999</c:v>
                </c:pt>
                <c:pt idx="80">
                  <c:v>2.0468000000000002</c:v>
                </c:pt>
                <c:pt idx="81">
                  <c:v>1.8664000000000001</c:v>
                </c:pt>
                <c:pt idx="82">
                  <c:v>1.8362000000000001</c:v>
                </c:pt>
                <c:pt idx="83">
                  <c:v>1.8421000000000001</c:v>
                </c:pt>
                <c:pt idx="84">
                  <c:v>1.8587</c:v>
                </c:pt>
                <c:pt idx="85">
                  <c:v>1.9341999999999999</c:v>
                </c:pt>
                <c:pt idx="86">
                  <c:v>1.8647</c:v>
                </c:pt>
                <c:pt idx="87">
                  <c:v>1.8322000000000001</c:v>
                </c:pt>
                <c:pt idx="88">
                  <c:v>1.8284</c:v>
                </c:pt>
                <c:pt idx="89">
                  <c:v>1.8199000000000001</c:v>
                </c:pt>
                <c:pt idx="90">
                  <c:v>1.8755999999999999</c:v>
                </c:pt>
                <c:pt idx="91">
                  <c:v>1.8447</c:v>
                </c:pt>
                <c:pt idx="92">
                  <c:v>1.7948</c:v>
                </c:pt>
                <c:pt idx="93">
                  <c:v>2.0445000000000002</c:v>
                </c:pt>
                <c:pt idx="94">
                  <c:v>2.0495999999999999</c:v>
                </c:pt>
                <c:pt idx="95">
                  <c:v>1.8150999999999999</c:v>
                </c:pt>
                <c:pt idx="96">
                  <c:v>1.9076</c:v>
                </c:pt>
                <c:pt idx="97">
                  <c:v>1.8609</c:v>
                </c:pt>
                <c:pt idx="98">
                  <c:v>1.7845</c:v>
                </c:pt>
                <c:pt idx="99">
                  <c:v>1.7909999999999999</c:v>
                </c:pt>
                <c:pt idx="100">
                  <c:v>1.7104999999999999</c:v>
                </c:pt>
                <c:pt idx="101">
                  <c:v>1.7369000000000001</c:v>
                </c:pt>
                <c:pt idx="102">
                  <c:v>1.7692000000000001</c:v>
                </c:pt>
                <c:pt idx="103">
                  <c:v>1.7983</c:v>
                </c:pt>
                <c:pt idx="104">
                  <c:v>1.7543</c:v>
                </c:pt>
                <c:pt idx="105">
                  <c:v>1.8106</c:v>
                </c:pt>
                <c:pt idx="106">
                  <c:v>1.837</c:v>
                </c:pt>
                <c:pt idx="107">
                  <c:v>1.7474000000000001</c:v>
                </c:pt>
                <c:pt idx="108">
                  <c:v>1.7158</c:v>
                </c:pt>
                <c:pt idx="109">
                  <c:v>1.7649999999999999</c:v>
                </c:pt>
                <c:pt idx="110">
                  <c:v>1.8927</c:v>
                </c:pt>
                <c:pt idx="111">
                  <c:v>1.8979999999999999</c:v>
                </c:pt>
                <c:pt idx="112">
                  <c:v>1.8902000000000001</c:v>
                </c:pt>
                <c:pt idx="113">
                  <c:v>1.8141</c:v>
                </c:pt>
                <c:pt idx="114">
                  <c:v>1.9510000000000001</c:v>
                </c:pt>
                <c:pt idx="115">
                  <c:v>1.9547000000000001</c:v>
                </c:pt>
                <c:pt idx="116">
                  <c:v>1.982</c:v>
                </c:pt>
                <c:pt idx="117">
                  <c:v>1.7692000000000001</c:v>
                </c:pt>
                <c:pt idx="118">
                  <c:v>1.7736000000000001</c:v>
                </c:pt>
                <c:pt idx="119">
                  <c:v>1.6273</c:v>
                </c:pt>
                <c:pt idx="120">
                  <c:v>1.6067</c:v>
                </c:pt>
                <c:pt idx="121">
                  <c:v>1.5649</c:v>
                </c:pt>
                <c:pt idx="122">
                  <c:v>1.6733</c:v>
                </c:pt>
                <c:pt idx="123">
                  <c:v>1.7749999999999999</c:v>
                </c:pt>
                <c:pt idx="124">
                  <c:v>1.7310000000000001</c:v>
                </c:pt>
                <c:pt idx="125">
                  <c:v>1.7864</c:v>
                </c:pt>
                <c:pt idx="126">
                  <c:v>2.0030999999999999</c:v>
                </c:pt>
                <c:pt idx="127">
                  <c:v>1.8456999999999999</c:v>
                </c:pt>
                <c:pt idx="128">
                  <c:v>1.5763</c:v>
                </c:pt>
                <c:pt idx="129">
                  <c:v>1.7704</c:v>
                </c:pt>
                <c:pt idx="130">
                  <c:v>1.9729000000000001</c:v>
                </c:pt>
                <c:pt idx="131">
                  <c:v>2.0722</c:v>
                </c:pt>
                <c:pt idx="132">
                  <c:v>1.9236</c:v>
                </c:pt>
                <c:pt idx="133">
                  <c:v>2.0377999999999998</c:v>
                </c:pt>
                <c:pt idx="134">
                  <c:v>2.0150000000000001</c:v>
                </c:pt>
                <c:pt idx="135">
                  <c:v>2.0396000000000001</c:v>
                </c:pt>
                <c:pt idx="136">
                  <c:v>2.1652</c:v>
                </c:pt>
                <c:pt idx="137">
                  <c:v>2.3793000000000002</c:v>
                </c:pt>
                <c:pt idx="138">
                  <c:v>1.9943</c:v>
                </c:pt>
                <c:pt idx="139">
                  <c:v>2.0125999999999999</c:v>
                </c:pt>
                <c:pt idx="140">
                  <c:v>2.3035999999999999</c:v>
                </c:pt>
                <c:pt idx="141">
                  <c:v>1.9162999999999999</c:v>
                </c:pt>
                <c:pt idx="142">
                  <c:v>1.2774000000000001</c:v>
                </c:pt>
                <c:pt idx="143">
                  <c:v>1.4579</c:v>
                </c:pt>
                <c:pt idx="144">
                  <c:v>1.3147</c:v>
                </c:pt>
                <c:pt idx="145">
                  <c:v>1.2079</c:v>
                </c:pt>
                <c:pt idx="146">
                  <c:v>1.2178</c:v>
                </c:pt>
                <c:pt idx="147">
                  <c:v>1.1420999999999999</c:v>
                </c:pt>
                <c:pt idx="148">
                  <c:v>1.1614</c:v>
                </c:pt>
                <c:pt idx="149">
                  <c:v>1.1133999999999999</c:v>
                </c:pt>
                <c:pt idx="150">
                  <c:v>1.0206999999999999</c:v>
                </c:pt>
                <c:pt idx="151">
                  <c:v>1.0217000000000001</c:v>
                </c:pt>
                <c:pt idx="152">
                  <c:v>1.0387999999999999</c:v>
                </c:pt>
                <c:pt idx="153">
                  <c:v>1.0649999999999999</c:v>
                </c:pt>
                <c:pt idx="154">
                  <c:v>0.98870000000000002</c:v>
                </c:pt>
                <c:pt idx="155">
                  <c:v>1.0650999999999999</c:v>
                </c:pt>
                <c:pt idx="156">
                  <c:v>1.0367999999999999</c:v>
                </c:pt>
                <c:pt idx="157">
                  <c:v>1.1587000000000001</c:v>
                </c:pt>
                <c:pt idx="158">
                  <c:v>1.2110000000000001</c:v>
                </c:pt>
                <c:pt idx="159">
                  <c:v>1.1488</c:v>
                </c:pt>
                <c:pt idx="160">
                  <c:v>1.1385000000000001</c:v>
                </c:pt>
                <c:pt idx="161">
                  <c:v>1.0441</c:v>
                </c:pt>
                <c:pt idx="162">
                  <c:v>0.9224</c:v>
                </c:pt>
                <c:pt idx="163">
                  <c:v>0.88349999999999995</c:v>
                </c:pt>
                <c:pt idx="164">
                  <c:v>0.94610000000000005</c:v>
                </c:pt>
                <c:pt idx="165">
                  <c:v>0.99509999999999998</c:v>
                </c:pt>
                <c:pt idx="166">
                  <c:v>0.93200000000000005</c:v>
                </c:pt>
                <c:pt idx="167">
                  <c:v>0.95440000000000003</c:v>
                </c:pt>
                <c:pt idx="168">
                  <c:v>0.8841</c:v>
                </c:pt>
                <c:pt idx="169">
                  <c:v>0.91159999999999997</c:v>
                </c:pt>
                <c:pt idx="170">
                  <c:v>0.88290000000000002</c:v>
                </c:pt>
                <c:pt idx="171">
                  <c:v>0.85499999999999998</c:v>
                </c:pt>
                <c:pt idx="172">
                  <c:v>0.82530000000000003</c:v>
                </c:pt>
                <c:pt idx="173">
                  <c:v>0.87549999999999994</c:v>
                </c:pt>
                <c:pt idx="174">
                  <c:v>0.85509999999999997</c:v>
                </c:pt>
                <c:pt idx="175">
                  <c:v>0.85070000000000001</c:v>
                </c:pt>
                <c:pt idx="176">
                  <c:v>0.85070000000000001</c:v>
                </c:pt>
                <c:pt idx="177">
                  <c:v>0.82820000000000005</c:v>
                </c:pt>
                <c:pt idx="178">
                  <c:v>0.81869999999999998</c:v>
                </c:pt>
                <c:pt idx="179">
                  <c:v>0.81669999999999998</c:v>
                </c:pt>
                <c:pt idx="180">
                  <c:v>0.81169999999999998</c:v>
                </c:pt>
                <c:pt idx="181">
                  <c:v>0.83950000000000002</c:v>
                </c:pt>
                <c:pt idx="182">
                  <c:v>0.85289999999999999</c:v>
                </c:pt>
                <c:pt idx="183">
                  <c:v>0.84619999999999995</c:v>
                </c:pt>
                <c:pt idx="184">
                  <c:v>0.84809999999999997</c:v>
                </c:pt>
                <c:pt idx="185">
                  <c:v>0.8569</c:v>
                </c:pt>
                <c:pt idx="186">
                  <c:v>0.84760000000000002</c:v>
                </c:pt>
                <c:pt idx="187">
                  <c:v>0.89049999999999996</c:v>
                </c:pt>
                <c:pt idx="188">
                  <c:v>0.82620000000000005</c:v>
                </c:pt>
                <c:pt idx="189">
                  <c:v>0.80779999999999996</c:v>
                </c:pt>
                <c:pt idx="190">
                  <c:v>0.79610000000000003</c:v>
                </c:pt>
                <c:pt idx="191">
                  <c:v>0.77010000000000001</c:v>
                </c:pt>
                <c:pt idx="192">
                  <c:v>0.69610000000000005</c:v>
                </c:pt>
                <c:pt idx="193">
                  <c:v>0.75049999999999994</c:v>
                </c:pt>
                <c:pt idx="194">
                  <c:v>0.79810000000000003</c:v>
                </c:pt>
                <c:pt idx="195">
                  <c:v>0.7843</c:v>
                </c:pt>
                <c:pt idx="196">
                  <c:v>0.78420000000000001</c:v>
                </c:pt>
                <c:pt idx="197">
                  <c:v>0.8347</c:v>
                </c:pt>
                <c:pt idx="198">
                  <c:v>0.85870000000000002</c:v>
                </c:pt>
                <c:pt idx="199">
                  <c:v>0.87529999999999997</c:v>
                </c:pt>
                <c:pt idx="200">
                  <c:v>0.86750000000000005</c:v>
                </c:pt>
                <c:pt idx="201">
                  <c:v>0.8952</c:v>
                </c:pt>
                <c:pt idx="202">
                  <c:v>0.89180000000000004</c:v>
                </c:pt>
                <c:pt idx="203">
                  <c:v>0.90580000000000005</c:v>
                </c:pt>
                <c:pt idx="204">
                  <c:v>0.86829999999999996</c:v>
                </c:pt>
                <c:pt idx="205">
                  <c:v>0.90620000000000001</c:v>
                </c:pt>
                <c:pt idx="206">
                  <c:v>0.91320000000000001</c:v>
                </c:pt>
                <c:pt idx="207">
                  <c:v>0.87280000000000002</c:v>
                </c:pt>
                <c:pt idx="208">
                  <c:v>0.88</c:v>
                </c:pt>
                <c:pt idx="209">
                  <c:v>0.87639999999999996</c:v>
                </c:pt>
                <c:pt idx="210">
                  <c:v>0.84560000000000002</c:v>
                </c:pt>
                <c:pt idx="211">
                  <c:v>0.83399999999999996</c:v>
                </c:pt>
                <c:pt idx="212">
                  <c:v>0.88329999999999997</c:v>
                </c:pt>
                <c:pt idx="213">
                  <c:v>0.88890000000000002</c:v>
                </c:pt>
                <c:pt idx="214">
                  <c:v>0.84260000000000002</c:v>
                </c:pt>
                <c:pt idx="215">
                  <c:v>0.83579999999999999</c:v>
                </c:pt>
                <c:pt idx="216">
                  <c:v>0.80940000000000001</c:v>
                </c:pt>
                <c:pt idx="217">
                  <c:v>0.79039999999999999</c:v>
                </c:pt>
                <c:pt idx="218">
                  <c:v>0.87429999999999997</c:v>
                </c:pt>
                <c:pt idx="219">
                  <c:v>0.83230000000000004</c:v>
                </c:pt>
                <c:pt idx="220">
                  <c:v>0.74360000000000004</c:v>
                </c:pt>
                <c:pt idx="221">
                  <c:v>0.75390000000000001</c:v>
                </c:pt>
                <c:pt idx="222">
                  <c:v>0.93389999999999995</c:v>
                </c:pt>
                <c:pt idx="223">
                  <c:v>0.93400000000000005</c:v>
                </c:pt>
                <c:pt idx="224">
                  <c:v>0.99199999999999999</c:v>
                </c:pt>
                <c:pt idx="225">
                  <c:v>1.0646</c:v>
                </c:pt>
                <c:pt idx="226">
                  <c:v>1.0178</c:v>
                </c:pt>
                <c:pt idx="227">
                  <c:v>1.0323</c:v>
                </c:pt>
                <c:pt idx="228">
                  <c:v>1.0551999999999999</c:v>
                </c:pt>
                <c:pt idx="229">
                  <c:v>1.0406</c:v>
                </c:pt>
                <c:pt idx="230">
                  <c:v>0.99099999999999999</c:v>
                </c:pt>
                <c:pt idx="231">
                  <c:v>0.97319999999999995</c:v>
                </c:pt>
                <c:pt idx="232">
                  <c:v>1.0496000000000001</c:v>
                </c:pt>
                <c:pt idx="233">
                  <c:v>1.0415000000000001</c:v>
                </c:pt>
                <c:pt idx="234">
                  <c:v>0.94059999999999999</c:v>
                </c:pt>
                <c:pt idx="235">
                  <c:v>0.96330000000000005</c:v>
                </c:pt>
                <c:pt idx="236">
                  <c:v>1.0246999999999999</c:v>
                </c:pt>
                <c:pt idx="237">
                  <c:v>0.97629999999999995</c:v>
                </c:pt>
                <c:pt idx="238">
                  <c:v>1.0284</c:v>
                </c:pt>
                <c:pt idx="239">
                  <c:v>1.1113</c:v>
                </c:pt>
                <c:pt idx="240">
                  <c:v>1.0186999999999999</c:v>
                </c:pt>
                <c:pt idx="241">
                  <c:v>0.8952</c:v>
                </c:pt>
                <c:pt idx="242">
                  <c:v>0.93589999999999995</c:v>
                </c:pt>
                <c:pt idx="243">
                  <c:v>0.84909999999999997</c:v>
                </c:pt>
                <c:pt idx="244">
                  <c:v>0.83150000000000002</c:v>
                </c:pt>
                <c:pt idx="245">
                  <c:v>0.89990000000000003</c:v>
                </c:pt>
                <c:pt idx="246">
                  <c:v>0.97519999999999996</c:v>
                </c:pt>
                <c:pt idx="247">
                  <c:v>1.0237000000000001</c:v>
                </c:pt>
                <c:pt idx="248">
                  <c:v>0.97540000000000004</c:v>
                </c:pt>
                <c:pt idx="249">
                  <c:v>0.98109999999999997</c:v>
                </c:pt>
                <c:pt idx="250">
                  <c:v>0.81779999999999997</c:v>
                </c:pt>
                <c:pt idx="251">
                  <c:v>0.97389999999999999</c:v>
                </c:pt>
                <c:pt idx="252">
                  <c:v>0.97360000000000002</c:v>
                </c:pt>
                <c:pt idx="253">
                  <c:v>1.1089</c:v>
                </c:pt>
                <c:pt idx="254">
                  <c:v>0.93089999999999995</c:v>
                </c:pt>
                <c:pt idx="255">
                  <c:v>1.365</c:v>
                </c:pt>
                <c:pt idx="256">
                  <c:v>1.2842</c:v>
                </c:pt>
                <c:pt idx="257">
                  <c:v>1.3956</c:v>
                </c:pt>
                <c:pt idx="258">
                  <c:v>1.3888</c:v>
                </c:pt>
                <c:pt idx="259">
                  <c:v>1.4775</c:v>
                </c:pt>
                <c:pt idx="260">
                  <c:v>1.3526</c:v>
                </c:pt>
                <c:pt idx="261">
                  <c:v>1.2734000000000001</c:v>
                </c:pt>
                <c:pt idx="262">
                  <c:v>1.474</c:v>
                </c:pt>
                <c:pt idx="263">
                  <c:v>1.3707</c:v>
                </c:pt>
                <c:pt idx="264">
                  <c:v>1.5150999999999999</c:v>
                </c:pt>
                <c:pt idx="265">
                  <c:v>1.5182</c:v>
                </c:pt>
                <c:pt idx="266">
                  <c:v>1.5769</c:v>
                </c:pt>
                <c:pt idx="267">
                  <c:v>1.5444</c:v>
                </c:pt>
                <c:pt idx="268">
                  <c:v>1.4424999999999999</c:v>
                </c:pt>
                <c:pt idx="269">
                  <c:v>1.2742</c:v>
                </c:pt>
                <c:pt idx="270">
                  <c:v>1.4346000000000001</c:v>
                </c:pt>
                <c:pt idx="271">
                  <c:v>1.3876999999999999</c:v>
                </c:pt>
                <c:pt idx="272">
                  <c:v>1.3934</c:v>
                </c:pt>
                <c:pt idx="273">
                  <c:v>1.4029</c:v>
                </c:pt>
                <c:pt idx="274">
                  <c:v>1.3222</c:v>
                </c:pt>
                <c:pt idx="275">
                  <c:v>1.288</c:v>
                </c:pt>
                <c:pt idx="276">
                  <c:v>1.3097000000000001</c:v>
                </c:pt>
                <c:pt idx="277">
                  <c:v>1.2363999999999999</c:v>
                </c:pt>
                <c:pt idx="278">
                  <c:v>1.0939000000000001</c:v>
                </c:pt>
                <c:pt idx="279">
                  <c:v>1.0884</c:v>
                </c:pt>
                <c:pt idx="280">
                  <c:v>1.1667000000000001</c:v>
                </c:pt>
                <c:pt idx="281">
                  <c:v>1.1617999999999999</c:v>
                </c:pt>
                <c:pt idx="282">
                  <c:v>1.2103999999999999</c:v>
                </c:pt>
                <c:pt idx="283">
                  <c:v>1.2907</c:v>
                </c:pt>
                <c:pt idx="284">
                  <c:v>1.2923</c:v>
                </c:pt>
                <c:pt idx="285">
                  <c:v>1.4573</c:v>
                </c:pt>
                <c:pt idx="286">
                  <c:v>1.6998</c:v>
                </c:pt>
                <c:pt idx="287">
                  <c:v>1.5044</c:v>
                </c:pt>
                <c:pt idx="288">
                  <c:v>1.5686</c:v>
                </c:pt>
                <c:pt idx="289">
                  <c:v>1.4631000000000001</c:v>
                </c:pt>
                <c:pt idx="290">
                  <c:v>1.5156000000000001</c:v>
                </c:pt>
                <c:pt idx="291">
                  <c:v>1.482</c:v>
                </c:pt>
                <c:pt idx="292">
                  <c:v>1.5212000000000001</c:v>
                </c:pt>
                <c:pt idx="293">
                  <c:v>1.3900999999999999</c:v>
                </c:pt>
                <c:pt idx="294">
                  <c:v>1.3935999999999999</c:v>
                </c:pt>
                <c:pt idx="295">
                  <c:v>1.3508</c:v>
                </c:pt>
                <c:pt idx="296">
                  <c:v>1.3024</c:v>
                </c:pt>
                <c:pt idx="297">
                  <c:v>1.3984000000000001</c:v>
                </c:pt>
                <c:pt idx="298">
                  <c:v>1.4013</c:v>
                </c:pt>
                <c:pt idx="299">
                  <c:v>1.3093999999999999</c:v>
                </c:pt>
                <c:pt idx="300">
                  <c:v>1.2622</c:v>
                </c:pt>
                <c:pt idx="301">
                  <c:v>1.3589</c:v>
                </c:pt>
                <c:pt idx="302">
                  <c:v>1.3214999999999999</c:v>
                </c:pt>
                <c:pt idx="303">
                  <c:v>1.3667</c:v>
                </c:pt>
                <c:pt idx="304">
                  <c:v>1.3245</c:v>
                </c:pt>
                <c:pt idx="305">
                  <c:v>1.4018999999999999</c:v>
                </c:pt>
                <c:pt idx="306">
                  <c:v>1.2354000000000001</c:v>
                </c:pt>
                <c:pt idx="307">
                  <c:v>1.1597</c:v>
                </c:pt>
                <c:pt idx="308">
                  <c:v>1.1173999999999999</c:v>
                </c:pt>
                <c:pt idx="309">
                  <c:v>1.0424</c:v>
                </c:pt>
                <c:pt idx="310">
                  <c:v>1.0274000000000001</c:v>
                </c:pt>
                <c:pt idx="311">
                  <c:v>1.1102000000000001</c:v>
                </c:pt>
                <c:pt idx="312">
                  <c:v>1.1013999999999999</c:v>
                </c:pt>
                <c:pt idx="313">
                  <c:v>1.1794</c:v>
                </c:pt>
                <c:pt idx="314">
                  <c:v>1.2097</c:v>
                </c:pt>
                <c:pt idx="315">
                  <c:v>1.2493000000000001</c:v>
                </c:pt>
                <c:pt idx="316">
                  <c:v>1.2569999999999999</c:v>
                </c:pt>
                <c:pt idx="317">
                  <c:v>1.2886</c:v>
                </c:pt>
                <c:pt idx="318">
                  <c:v>1.2007000000000001</c:v>
                </c:pt>
                <c:pt idx="319">
                  <c:v>1.1942999999999999</c:v>
                </c:pt>
                <c:pt idx="320">
                  <c:v>1.1168</c:v>
                </c:pt>
                <c:pt idx="321">
                  <c:v>1.1392</c:v>
                </c:pt>
                <c:pt idx="322">
                  <c:v>1.0501</c:v>
                </c:pt>
                <c:pt idx="323">
                  <c:v>1.0838000000000001</c:v>
                </c:pt>
                <c:pt idx="324">
                  <c:v>1.1077999999999999</c:v>
                </c:pt>
                <c:pt idx="325">
                  <c:v>1.1808000000000001</c:v>
                </c:pt>
                <c:pt idx="326">
                  <c:v>1.157</c:v>
                </c:pt>
                <c:pt idx="327">
                  <c:v>1.1069</c:v>
                </c:pt>
                <c:pt idx="328">
                  <c:v>1.0494000000000001</c:v>
                </c:pt>
                <c:pt idx="329">
                  <c:v>1.0526</c:v>
                </c:pt>
                <c:pt idx="330">
                  <c:v>1.0894999999999999</c:v>
                </c:pt>
                <c:pt idx="331">
                  <c:v>1.1787000000000001</c:v>
                </c:pt>
                <c:pt idx="332">
                  <c:v>1.0825</c:v>
                </c:pt>
                <c:pt idx="333">
                  <c:v>1.0892999999999999</c:v>
                </c:pt>
                <c:pt idx="334">
                  <c:v>1.0218</c:v>
                </c:pt>
                <c:pt idx="335">
                  <c:v>1.0988</c:v>
                </c:pt>
                <c:pt idx="336">
                  <c:v>0.97250000000000003</c:v>
                </c:pt>
                <c:pt idx="337">
                  <c:v>0.98119999999999996</c:v>
                </c:pt>
                <c:pt idx="338">
                  <c:v>1.06</c:v>
                </c:pt>
                <c:pt idx="339">
                  <c:v>1.0051000000000001</c:v>
                </c:pt>
                <c:pt idx="340">
                  <c:v>1.143</c:v>
                </c:pt>
                <c:pt idx="341">
                  <c:v>1.3055000000000001</c:v>
                </c:pt>
                <c:pt idx="342">
                  <c:v>1.3101</c:v>
                </c:pt>
                <c:pt idx="343">
                  <c:v>1.371</c:v>
                </c:pt>
                <c:pt idx="344">
                  <c:v>1.3965000000000001</c:v>
                </c:pt>
                <c:pt idx="345">
                  <c:v>1.3662000000000001</c:v>
                </c:pt>
                <c:pt idx="346">
                  <c:v>1.3127</c:v>
                </c:pt>
                <c:pt idx="347">
                  <c:v>1.3557999999999999</c:v>
                </c:pt>
                <c:pt idx="348">
                  <c:v>1.4705999999999999</c:v>
                </c:pt>
                <c:pt idx="349">
                  <c:v>1.6716</c:v>
                </c:pt>
                <c:pt idx="350">
                  <c:v>1.7178</c:v>
                </c:pt>
                <c:pt idx="351">
                  <c:v>1.238</c:v>
                </c:pt>
                <c:pt idx="352">
                  <c:v>1.0311999999999999</c:v>
                </c:pt>
                <c:pt idx="353">
                  <c:v>1.0289999999999999</c:v>
                </c:pt>
                <c:pt idx="354">
                  <c:v>1.0027999999999999</c:v>
                </c:pt>
                <c:pt idx="355">
                  <c:v>0.8448</c:v>
                </c:pt>
                <c:pt idx="356">
                  <c:v>0.80920000000000003</c:v>
                </c:pt>
                <c:pt idx="357">
                  <c:v>0.83379999999999999</c:v>
                </c:pt>
                <c:pt idx="358">
                  <c:v>0.70569999999999999</c:v>
                </c:pt>
                <c:pt idx="359">
                  <c:v>0.74539999999999995</c:v>
                </c:pt>
                <c:pt idx="360">
                  <c:v>0.65069999999999995</c:v>
                </c:pt>
                <c:pt idx="361">
                  <c:v>0.64419999999999999</c:v>
                </c:pt>
                <c:pt idx="362">
                  <c:v>0.65159999999999996</c:v>
                </c:pt>
                <c:pt idx="363">
                  <c:v>0.6653</c:v>
                </c:pt>
                <c:pt idx="364">
                  <c:v>0.63619999999999999</c:v>
                </c:pt>
                <c:pt idx="365">
                  <c:v>0.55859999999999999</c:v>
                </c:pt>
                <c:pt idx="366">
                  <c:v>0.54100000000000004</c:v>
                </c:pt>
                <c:pt idx="367">
                  <c:v>0.60099999999999998</c:v>
                </c:pt>
                <c:pt idx="368">
                  <c:v>0.55600000000000005</c:v>
                </c:pt>
                <c:pt idx="369">
                  <c:v>0.56230000000000002</c:v>
                </c:pt>
                <c:pt idx="370">
                  <c:v>0.55610000000000004</c:v>
                </c:pt>
                <c:pt idx="371">
                  <c:v>0.50880000000000003</c:v>
                </c:pt>
                <c:pt idx="372">
                  <c:v>0.46100000000000002</c:v>
                </c:pt>
                <c:pt idx="373">
                  <c:v>0.54720000000000002</c:v>
                </c:pt>
                <c:pt idx="374">
                  <c:v>0.52129999999999999</c:v>
                </c:pt>
                <c:pt idx="375">
                  <c:v>0.56679999999999997</c:v>
                </c:pt>
                <c:pt idx="376">
                  <c:v>0.58589999999999998</c:v>
                </c:pt>
                <c:pt idx="377">
                  <c:v>0.51829999999999998</c:v>
                </c:pt>
                <c:pt idx="378">
                  <c:v>0.4864</c:v>
                </c:pt>
                <c:pt idx="379">
                  <c:v>0.45590000000000003</c:v>
                </c:pt>
                <c:pt idx="380">
                  <c:v>0.4501</c:v>
                </c:pt>
                <c:pt idx="381">
                  <c:v>0.39910000000000001</c:v>
                </c:pt>
                <c:pt idx="382">
                  <c:v>0.41710000000000003</c:v>
                </c:pt>
                <c:pt idx="383">
                  <c:v>0.45779999999999998</c:v>
                </c:pt>
                <c:pt idx="384">
                  <c:v>0.48470000000000002</c:v>
                </c:pt>
                <c:pt idx="385">
                  <c:v>0.45500000000000002</c:v>
                </c:pt>
                <c:pt idx="386">
                  <c:v>0.46110000000000001</c:v>
                </c:pt>
                <c:pt idx="387">
                  <c:v>0.5111</c:v>
                </c:pt>
                <c:pt idx="388">
                  <c:v>0.47939999999999999</c:v>
                </c:pt>
                <c:pt idx="389">
                  <c:v>0.44629999999999997</c:v>
                </c:pt>
                <c:pt idx="390">
                  <c:v>0.42530000000000001</c:v>
                </c:pt>
                <c:pt idx="391">
                  <c:v>0.40749999999999997</c:v>
                </c:pt>
                <c:pt idx="392">
                  <c:v>0.39779999999999999</c:v>
                </c:pt>
                <c:pt idx="393">
                  <c:v>0.33529999999999999</c:v>
                </c:pt>
                <c:pt idx="394">
                  <c:v>0.33550000000000002</c:v>
                </c:pt>
                <c:pt idx="395">
                  <c:v>0.34610000000000002</c:v>
                </c:pt>
                <c:pt idx="396">
                  <c:v>0.35780000000000001</c:v>
                </c:pt>
                <c:pt idx="397">
                  <c:v>0.31900000000000001</c:v>
                </c:pt>
                <c:pt idx="398">
                  <c:v>0.30940000000000001</c:v>
                </c:pt>
                <c:pt idx="399">
                  <c:v>0.30880000000000002</c:v>
                </c:pt>
                <c:pt idx="400">
                  <c:v>0.31419999999999998</c:v>
                </c:pt>
                <c:pt idx="401">
                  <c:v>0.28910000000000002</c:v>
                </c:pt>
                <c:pt idx="402">
                  <c:v>0.3367</c:v>
                </c:pt>
                <c:pt idx="403">
                  <c:v>0.32479999999999998</c:v>
                </c:pt>
                <c:pt idx="404">
                  <c:v>0.3397</c:v>
                </c:pt>
                <c:pt idx="405">
                  <c:v>0.35560000000000003</c:v>
                </c:pt>
                <c:pt idx="406">
                  <c:v>0.35299999999999998</c:v>
                </c:pt>
                <c:pt idx="407">
                  <c:v>0.33239999999999997</c:v>
                </c:pt>
                <c:pt idx="408">
                  <c:v>0.33960000000000001</c:v>
                </c:pt>
                <c:pt idx="409">
                  <c:v>0.32500000000000001</c:v>
                </c:pt>
                <c:pt idx="410">
                  <c:v>0.31290000000000001</c:v>
                </c:pt>
                <c:pt idx="411">
                  <c:v>0.30919999999999997</c:v>
                </c:pt>
                <c:pt idx="412">
                  <c:v>0.30909999999999999</c:v>
                </c:pt>
                <c:pt idx="413">
                  <c:v>0.28870000000000001</c:v>
                </c:pt>
                <c:pt idx="414">
                  <c:v>0.29360000000000003</c:v>
                </c:pt>
                <c:pt idx="415">
                  <c:v>0.30559999999999998</c:v>
                </c:pt>
                <c:pt idx="416">
                  <c:v>0.30109999999999998</c:v>
                </c:pt>
                <c:pt idx="417">
                  <c:v>0.33110000000000001</c:v>
                </c:pt>
                <c:pt idx="418">
                  <c:v>0.3367</c:v>
                </c:pt>
                <c:pt idx="419">
                  <c:v>0.34310000000000002</c:v>
                </c:pt>
                <c:pt idx="420">
                  <c:v>0.32569999999999999</c:v>
                </c:pt>
                <c:pt idx="421">
                  <c:v>0.34039999999999998</c:v>
                </c:pt>
                <c:pt idx="422">
                  <c:v>0.34110000000000001</c:v>
                </c:pt>
                <c:pt idx="423">
                  <c:v>0.30819999999999997</c:v>
                </c:pt>
                <c:pt idx="424">
                  <c:v>0.32890000000000003</c:v>
                </c:pt>
                <c:pt idx="425">
                  <c:v>0.31709999999999999</c:v>
                </c:pt>
                <c:pt idx="426">
                  <c:v>0.31269999999999998</c:v>
                </c:pt>
                <c:pt idx="427">
                  <c:v>0.30020000000000002</c:v>
                </c:pt>
                <c:pt idx="428">
                  <c:v>0.30159999999999998</c:v>
                </c:pt>
                <c:pt idx="429">
                  <c:v>0.34289999999999998</c:v>
                </c:pt>
                <c:pt idx="430">
                  <c:v>0.35759999999999997</c:v>
                </c:pt>
                <c:pt idx="431">
                  <c:v>0.3357</c:v>
                </c:pt>
                <c:pt idx="432">
                  <c:v>0.29799999999999999</c:v>
                </c:pt>
                <c:pt idx="433">
                  <c:v>0.317</c:v>
                </c:pt>
                <c:pt idx="434">
                  <c:v>0.28460000000000002</c:v>
                </c:pt>
                <c:pt idx="435">
                  <c:v>0.26529999999999998</c:v>
                </c:pt>
                <c:pt idx="436">
                  <c:v>0.26729999999999998</c:v>
                </c:pt>
                <c:pt idx="437">
                  <c:v>0.27439999999999998</c:v>
                </c:pt>
                <c:pt idx="438">
                  <c:v>0.27110000000000001</c:v>
                </c:pt>
                <c:pt idx="439">
                  <c:v>0.25690000000000002</c:v>
                </c:pt>
                <c:pt idx="440">
                  <c:v>0.2661</c:v>
                </c:pt>
                <c:pt idx="441">
                  <c:v>0.2802</c:v>
                </c:pt>
                <c:pt idx="442">
                  <c:v>0.26650000000000001</c:v>
                </c:pt>
                <c:pt idx="443">
                  <c:v>0.27850000000000003</c:v>
                </c:pt>
                <c:pt idx="444">
                  <c:v>0.28889999999999999</c:v>
                </c:pt>
                <c:pt idx="445">
                  <c:v>0.26050000000000001</c:v>
                </c:pt>
                <c:pt idx="446">
                  <c:v>0.26669999999999999</c:v>
                </c:pt>
                <c:pt idx="447">
                  <c:v>0.25790000000000002</c:v>
                </c:pt>
                <c:pt idx="448">
                  <c:v>0.2767</c:v>
                </c:pt>
                <c:pt idx="449">
                  <c:v>0.24809999999999999</c:v>
                </c:pt>
                <c:pt idx="450">
                  <c:v>0.23830000000000001</c:v>
                </c:pt>
                <c:pt idx="451">
                  <c:v>0.23369999999999999</c:v>
                </c:pt>
                <c:pt idx="452">
                  <c:v>0.247</c:v>
                </c:pt>
                <c:pt idx="453">
                  <c:v>0.25890000000000002</c:v>
                </c:pt>
                <c:pt idx="454">
                  <c:v>0.24879999999999999</c:v>
                </c:pt>
                <c:pt idx="455">
                  <c:v>0.25390000000000001</c:v>
                </c:pt>
                <c:pt idx="456">
                  <c:v>0.25690000000000002</c:v>
                </c:pt>
                <c:pt idx="457">
                  <c:v>0.27629999999999999</c:v>
                </c:pt>
                <c:pt idx="458">
                  <c:v>0.2878</c:v>
                </c:pt>
                <c:pt idx="459">
                  <c:v>0.29070000000000001</c:v>
                </c:pt>
                <c:pt idx="460">
                  <c:v>0.30209999999999998</c:v>
                </c:pt>
                <c:pt idx="461">
                  <c:v>0.30780000000000002</c:v>
                </c:pt>
                <c:pt idx="462">
                  <c:v>0.30930000000000002</c:v>
                </c:pt>
                <c:pt idx="463">
                  <c:v>0.316</c:v>
                </c:pt>
                <c:pt idx="464">
                  <c:v>0.30120000000000002</c:v>
                </c:pt>
                <c:pt idx="465">
                  <c:v>0.28660000000000002</c:v>
                </c:pt>
                <c:pt idx="466">
                  <c:v>0.30330000000000001</c:v>
                </c:pt>
                <c:pt idx="467">
                  <c:v>0.3155</c:v>
                </c:pt>
                <c:pt idx="468">
                  <c:v>0.31359999999999999</c:v>
                </c:pt>
                <c:pt idx="469">
                  <c:v>0.30009999999999998</c:v>
                </c:pt>
                <c:pt idx="470">
                  <c:v>0.31480000000000002</c:v>
                </c:pt>
                <c:pt idx="471">
                  <c:v>0.32769999999999999</c:v>
                </c:pt>
                <c:pt idx="472">
                  <c:v>0.34279999999999999</c:v>
                </c:pt>
                <c:pt idx="473">
                  <c:v>0.34449999999999997</c:v>
                </c:pt>
                <c:pt idx="474">
                  <c:v>0.33189999999999997</c:v>
                </c:pt>
                <c:pt idx="475">
                  <c:v>0.32619999999999999</c:v>
                </c:pt>
                <c:pt idx="476">
                  <c:v>0.3286</c:v>
                </c:pt>
                <c:pt idx="477">
                  <c:v>0.30869999999999997</c:v>
                </c:pt>
                <c:pt idx="478">
                  <c:v>0.30630000000000002</c:v>
                </c:pt>
                <c:pt idx="479">
                  <c:v>0.28589999999999999</c:v>
                </c:pt>
                <c:pt idx="480">
                  <c:v>0.31840000000000002</c:v>
                </c:pt>
                <c:pt idx="481">
                  <c:v>0.312</c:v>
                </c:pt>
                <c:pt idx="482">
                  <c:v>0.31540000000000001</c:v>
                </c:pt>
                <c:pt idx="483">
                  <c:v>0.31580000000000003</c:v>
                </c:pt>
                <c:pt idx="484">
                  <c:v>0.33500000000000002</c:v>
                </c:pt>
                <c:pt idx="485">
                  <c:v>0.34689999999999999</c:v>
                </c:pt>
                <c:pt idx="486">
                  <c:v>0.3392</c:v>
                </c:pt>
                <c:pt idx="487">
                  <c:v>0.32700000000000001</c:v>
                </c:pt>
                <c:pt idx="488">
                  <c:v>0.32090000000000002</c:v>
                </c:pt>
                <c:pt idx="489">
                  <c:v>0.32529999999999998</c:v>
                </c:pt>
                <c:pt idx="490">
                  <c:v>0.31740000000000002</c:v>
                </c:pt>
                <c:pt idx="491">
                  <c:v>0.29409999999999997</c:v>
                </c:pt>
                <c:pt idx="492">
                  <c:v>0.26900000000000002</c:v>
                </c:pt>
                <c:pt idx="493">
                  <c:v>0.30620000000000003</c:v>
                </c:pt>
                <c:pt idx="494">
                  <c:v>0.2873</c:v>
                </c:pt>
                <c:pt idx="495">
                  <c:v>0.32729999999999998</c:v>
                </c:pt>
                <c:pt idx="496">
                  <c:v>0.34229999999999999</c:v>
                </c:pt>
                <c:pt idx="497">
                  <c:v>0.33689999999999998</c:v>
                </c:pt>
                <c:pt idx="498">
                  <c:v>0.35649999999999998</c:v>
                </c:pt>
                <c:pt idx="499">
                  <c:v>0.35980000000000001</c:v>
                </c:pt>
                <c:pt idx="500">
                  <c:v>0.35389999999999999</c:v>
                </c:pt>
                <c:pt idx="501">
                  <c:v>0.38190000000000002</c:v>
                </c:pt>
                <c:pt idx="502">
                  <c:v>0.37740000000000001</c:v>
                </c:pt>
                <c:pt idx="503">
                  <c:v>0.40899999999999997</c:v>
                </c:pt>
                <c:pt idx="504">
                  <c:v>0.41099999999999998</c:v>
                </c:pt>
                <c:pt idx="505">
                  <c:v>0.41310000000000002</c:v>
                </c:pt>
                <c:pt idx="506">
                  <c:v>0.41299999999999998</c:v>
                </c:pt>
                <c:pt idx="507">
                  <c:v>0.34899999999999998</c:v>
                </c:pt>
                <c:pt idx="508">
                  <c:v>0.37219999999999998</c:v>
                </c:pt>
                <c:pt idx="509">
                  <c:v>0.37569999999999998</c:v>
                </c:pt>
                <c:pt idx="510">
                  <c:v>0.34150000000000003</c:v>
                </c:pt>
                <c:pt idx="511">
                  <c:v>0.374</c:v>
                </c:pt>
                <c:pt idx="512">
                  <c:v>0.34860000000000002</c:v>
                </c:pt>
                <c:pt idx="513">
                  <c:v>0.46379999999999999</c:v>
                </c:pt>
                <c:pt idx="514">
                  <c:v>0.51680000000000004</c:v>
                </c:pt>
                <c:pt idx="515">
                  <c:v>0.50209999999999999</c:v>
                </c:pt>
                <c:pt idx="516">
                  <c:v>0.5181</c:v>
                </c:pt>
                <c:pt idx="517">
                  <c:v>0.53339999999999999</c:v>
                </c:pt>
                <c:pt idx="518">
                  <c:v>0.53369999999999995</c:v>
                </c:pt>
                <c:pt idx="519">
                  <c:v>0.52249999999999996</c:v>
                </c:pt>
                <c:pt idx="520">
                  <c:v>0.55000000000000004</c:v>
                </c:pt>
                <c:pt idx="521">
                  <c:v>0.56089999999999995</c:v>
                </c:pt>
                <c:pt idx="522">
                  <c:v>0.62929999999999997</c:v>
                </c:pt>
                <c:pt idx="523">
                  <c:v>0.61319999999999997</c:v>
                </c:pt>
                <c:pt idx="524">
                  <c:v>0.56359999999999999</c:v>
                </c:pt>
                <c:pt idx="525">
                  <c:v>0.5323</c:v>
                </c:pt>
                <c:pt idx="526">
                  <c:v>0.62639999999999996</c:v>
                </c:pt>
                <c:pt idx="527">
                  <c:v>0.59650000000000003</c:v>
                </c:pt>
                <c:pt idx="528">
                  <c:v>0.55669999999999997</c:v>
                </c:pt>
                <c:pt idx="529">
                  <c:v>0.58720000000000006</c:v>
                </c:pt>
                <c:pt idx="530">
                  <c:v>0.62909999999999999</c:v>
                </c:pt>
                <c:pt idx="531">
                  <c:v>0.63419999999999999</c:v>
                </c:pt>
                <c:pt idx="532">
                  <c:v>0.63880000000000003</c:v>
                </c:pt>
                <c:pt idx="533">
                  <c:v>0.66990000000000005</c:v>
                </c:pt>
                <c:pt idx="534">
                  <c:v>0.52329999999999999</c:v>
                </c:pt>
                <c:pt idx="535">
                  <c:v>0.43659999999999999</c:v>
                </c:pt>
                <c:pt idx="536">
                  <c:v>0.46860000000000002</c:v>
                </c:pt>
                <c:pt idx="537">
                  <c:v>0.42449999999999999</c:v>
                </c:pt>
                <c:pt idx="538">
                  <c:v>0.45240000000000002</c:v>
                </c:pt>
                <c:pt idx="539">
                  <c:v>0.36890000000000001</c:v>
                </c:pt>
                <c:pt idx="540">
                  <c:v>0.36380000000000001</c:v>
                </c:pt>
                <c:pt idx="541">
                  <c:v>0.33550000000000002</c:v>
                </c:pt>
                <c:pt idx="542">
                  <c:v>0.3266</c:v>
                </c:pt>
                <c:pt idx="543">
                  <c:v>0.30959999999999999</c:v>
                </c:pt>
                <c:pt idx="544">
                  <c:v>0.30159999999999998</c:v>
                </c:pt>
                <c:pt idx="545">
                  <c:v>0.32790000000000002</c:v>
                </c:pt>
                <c:pt idx="546">
                  <c:v>0.3271</c:v>
                </c:pt>
                <c:pt idx="547">
                  <c:v>0.3347</c:v>
                </c:pt>
                <c:pt idx="548">
                  <c:v>0.308</c:v>
                </c:pt>
                <c:pt idx="549">
                  <c:v>0.31430000000000002</c:v>
                </c:pt>
                <c:pt idx="550">
                  <c:v>0.2873</c:v>
                </c:pt>
                <c:pt idx="551">
                  <c:v>0.3211</c:v>
                </c:pt>
                <c:pt idx="552">
                  <c:v>0.31900000000000001</c:v>
                </c:pt>
                <c:pt idx="553">
                  <c:v>0.31230000000000002</c:v>
                </c:pt>
                <c:pt idx="554">
                  <c:v>0.3291</c:v>
                </c:pt>
                <c:pt idx="555">
                  <c:v>0.34560000000000002</c:v>
                </c:pt>
                <c:pt idx="556">
                  <c:v>0.3463</c:v>
                </c:pt>
                <c:pt idx="557">
                  <c:v>0.35670000000000002</c:v>
                </c:pt>
                <c:pt idx="558">
                  <c:v>0.38829999999999998</c:v>
                </c:pt>
                <c:pt idx="559">
                  <c:v>0.35580000000000001</c:v>
                </c:pt>
                <c:pt idx="560">
                  <c:v>0.34599999999999997</c:v>
                </c:pt>
                <c:pt idx="561">
                  <c:v>0.35460000000000003</c:v>
                </c:pt>
                <c:pt idx="562">
                  <c:v>0.28810000000000002</c:v>
                </c:pt>
                <c:pt idx="563">
                  <c:v>0.2722</c:v>
                </c:pt>
                <c:pt idx="564">
                  <c:v>0.26529999999999998</c:v>
                </c:pt>
                <c:pt idx="565">
                  <c:v>0.27900000000000003</c:v>
                </c:pt>
                <c:pt idx="566">
                  <c:v>0.27939999999999998</c:v>
                </c:pt>
                <c:pt idx="567">
                  <c:v>0.25009999999999999</c:v>
                </c:pt>
                <c:pt idx="568">
                  <c:v>0.2417</c:v>
                </c:pt>
                <c:pt idx="569">
                  <c:v>0.24679999999999999</c:v>
                </c:pt>
                <c:pt idx="570">
                  <c:v>0.2329</c:v>
                </c:pt>
                <c:pt idx="571">
                  <c:v>0.22900000000000001</c:v>
                </c:pt>
                <c:pt idx="572">
                  <c:v>0.21540000000000001</c:v>
                </c:pt>
                <c:pt idx="573">
                  <c:v>0.2177</c:v>
                </c:pt>
                <c:pt idx="574">
                  <c:v>0.2034</c:v>
                </c:pt>
                <c:pt idx="575">
                  <c:v>0.2046</c:v>
                </c:pt>
                <c:pt idx="576">
                  <c:v>0.2142</c:v>
                </c:pt>
                <c:pt idx="577">
                  <c:v>0.2082</c:v>
                </c:pt>
                <c:pt idx="578">
                  <c:v>0.214</c:v>
                </c:pt>
                <c:pt idx="579">
                  <c:v>0.20799999999999999</c:v>
                </c:pt>
                <c:pt idx="580">
                  <c:v>0.20519999999999999</c:v>
                </c:pt>
                <c:pt idx="581">
                  <c:v>0.22270000000000001</c:v>
                </c:pt>
                <c:pt idx="582">
                  <c:v>0.23430000000000001</c:v>
                </c:pt>
                <c:pt idx="583">
                  <c:v>0.23910000000000001</c:v>
                </c:pt>
                <c:pt idx="584">
                  <c:v>0.25</c:v>
                </c:pt>
                <c:pt idx="585">
                  <c:v>0.24149999999999999</c:v>
                </c:pt>
                <c:pt idx="586">
                  <c:v>0.2321</c:v>
                </c:pt>
                <c:pt idx="587">
                  <c:v>0.2306</c:v>
                </c:pt>
                <c:pt idx="588">
                  <c:v>0.23169999999999999</c:v>
                </c:pt>
                <c:pt idx="589">
                  <c:v>0.24030000000000001</c:v>
                </c:pt>
                <c:pt idx="590">
                  <c:v>0.24460000000000001</c:v>
                </c:pt>
                <c:pt idx="591">
                  <c:v>0.23569999999999999</c:v>
                </c:pt>
                <c:pt idx="592">
                  <c:v>0.22670000000000001</c:v>
                </c:pt>
                <c:pt idx="593">
                  <c:v>0.2329</c:v>
                </c:pt>
                <c:pt idx="594">
                  <c:v>0.23469999999999999</c:v>
                </c:pt>
                <c:pt idx="595">
                  <c:v>0.23169999999999999</c:v>
                </c:pt>
                <c:pt idx="596">
                  <c:v>0.23050000000000001</c:v>
                </c:pt>
                <c:pt idx="597">
                  <c:v>0.247</c:v>
                </c:pt>
                <c:pt idx="598">
                  <c:v>0.24229999999999999</c:v>
                </c:pt>
                <c:pt idx="599">
                  <c:v>0.2339</c:v>
                </c:pt>
                <c:pt idx="600">
                  <c:v>0.23200000000000001</c:v>
                </c:pt>
                <c:pt idx="601">
                  <c:v>0.23730000000000001</c:v>
                </c:pt>
                <c:pt idx="602">
                  <c:v>0.2321</c:v>
                </c:pt>
                <c:pt idx="603">
                  <c:v>0.24210000000000001</c:v>
                </c:pt>
                <c:pt idx="604">
                  <c:v>0.24210000000000001</c:v>
                </c:pt>
                <c:pt idx="605">
                  <c:v>0.24579999999999999</c:v>
                </c:pt>
                <c:pt idx="606">
                  <c:v>0.24990000000000001</c:v>
                </c:pt>
                <c:pt idx="607">
                  <c:v>0.23319999999999999</c:v>
                </c:pt>
                <c:pt idx="608">
                  <c:v>0.24379999999999999</c:v>
                </c:pt>
                <c:pt idx="609">
                  <c:v>0.2281</c:v>
                </c:pt>
                <c:pt idx="610">
                  <c:v>0.22700000000000001</c:v>
                </c:pt>
                <c:pt idx="611">
                  <c:v>0.22</c:v>
                </c:pt>
                <c:pt idx="612">
                  <c:v>0.21859999999999999</c:v>
                </c:pt>
                <c:pt idx="613">
                  <c:v>0.21179999999999999</c:v>
                </c:pt>
                <c:pt idx="614">
                  <c:v>0.19719999999999999</c:v>
                </c:pt>
                <c:pt idx="615">
                  <c:v>0.2014</c:v>
                </c:pt>
                <c:pt idx="616">
                  <c:v>0.2044</c:v>
                </c:pt>
                <c:pt idx="617">
                  <c:v>0.1915</c:v>
                </c:pt>
                <c:pt idx="618">
                  <c:v>0.20910000000000001</c:v>
                </c:pt>
                <c:pt idx="619">
                  <c:v>0.20080000000000001</c:v>
                </c:pt>
                <c:pt idx="620">
                  <c:v>0.2014</c:v>
                </c:pt>
                <c:pt idx="621">
                  <c:v>0.19789999999999999</c:v>
                </c:pt>
                <c:pt idx="622">
                  <c:v>0.19800000000000001</c:v>
                </c:pt>
                <c:pt idx="623">
                  <c:v>0.192</c:v>
                </c:pt>
                <c:pt idx="624">
                  <c:v>0.19700000000000001</c:v>
                </c:pt>
                <c:pt idx="625">
                  <c:v>0.19539999999999999</c:v>
                </c:pt>
                <c:pt idx="626">
                  <c:v>0.1933</c:v>
                </c:pt>
                <c:pt idx="627">
                  <c:v>0.1865</c:v>
                </c:pt>
                <c:pt idx="628">
                  <c:v>0.19189999999999999</c:v>
                </c:pt>
                <c:pt idx="629">
                  <c:v>0.21360000000000001</c:v>
                </c:pt>
                <c:pt idx="630">
                  <c:v>0.21809999999999999</c:v>
                </c:pt>
                <c:pt idx="631">
                  <c:v>0.20399999999999999</c:v>
                </c:pt>
                <c:pt idx="632">
                  <c:v>0.1976</c:v>
                </c:pt>
                <c:pt idx="633">
                  <c:v>0.20849999999999999</c:v>
                </c:pt>
                <c:pt idx="634">
                  <c:v>0.20549999999999999</c:v>
                </c:pt>
                <c:pt idx="635">
                  <c:v>0.20549999999999999</c:v>
                </c:pt>
                <c:pt idx="636">
                  <c:v>0.21879999999999999</c:v>
                </c:pt>
                <c:pt idx="637">
                  <c:v>0.21390000000000001</c:v>
                </c:pt>
                <c:pt idx="638">
                  <c:v>0.20930000000000001</c:v>
                </c:pt>
                <c:pt idx="639">
                  <c:v>0.23019999999999999</c:v>
                </c:pt>
                <c:pt idx="640">
                  <c:v>0.21540000000000001</c:v>
                </c:pt>
                <c:pt idx="641">
                  <c:v>0.21679999999999999</c:v>
                </c:pt>
                <c:pt idx="642">
                  <c:v>0.22570000000000001</c:v>
                </c:pt>
                <c:pt idx="643">
                  <c:v>0.21079999999999999</c:v>
                </c:pt>
                <c:pt idx="644">
                  <c:v>0.20899999999999999</c:v>
                </c:pt>
                <c:pt idx="645">
                  <c:v>0.19520000000000001</c:v>
                </c:pt>
                <c:pt idx="646">
                  <c:v>0.18720000000000001</c:v>
                </c:pt>
                <c:pt idx="647">
                  <c:v>0.17760000000000001</c:v>
                </c:pt>
                <c:pt idx="648">
                  <c:v>0.17649999999999999</c:v>
                </c:pt>
                <c:pt idx="649">
                  <c:v>0.1875</c:v>
                </c:pt>
                <c:pt idx="650">
                  <c:v>0.19869999999999999</c:v>
                </c:pt>
                <c:pt idx="651">
                  <c:v>0.18779999999999999</c:v>
                </c:pt>
                <c:pt idx="652">
                  <c:v>0.1857</c:v>
                </c:pt>
                <c:pt idx="653">
                  <c:v>0.16869999999999999</c:v>
                </c:pt>
                <c:pt idx="654">
                  <c:v>0.17829999999999999</c:v>
                </c:pt>
                <c:pt idx="655">
                  <c:v>0.17549999999999999</c:v>
                </c:pt>
                <c:pt idx="656">
                  <c:v>0.17730000000000001</c:v>
                </c:pt>
                <c:pt idx="657">
                  <c:v>0.17949999999999999</c:v>
                </c:pt>
                <c:pt idx="658">
                  <c:v>0.17860000000000001</c:v>
                </c:pt>
                <c:pt idx="659">
                  <c:v>0.2</c:v>
                </c:pt>
                <c:pt idx="660">
                  <c:v>0.2039</c:v>
                </c:pt>
                <c:pt idx="661">
                  <c:v>0.18559999999999999</c:v>
                </c:pt>
                <c:pt idx="662">
                  <c:v>0.18759999999999999</c:v>
                </c:pt>
                <c:pt idx="663">
                  <c:v>0.17180000000000001</c:v>
                </c:pt>
                <c:pt idx="664">
                  <c:v>0.1772</c:v>
                </c:pt>
                <c:pt idx="665">
                  <c:v>0.15859999999999999</c:v>
                </c:pt>
                <c:pt idx="666">
                  <c:v>0.158</c:v>
                </c:pt>
                <c:pt idx="667">
                  <c:v>0.154</c:v>
                </c:pt>
                <c:pt idx="668">
                  <c:v>0.154</c:v>
                </c:pt>
                <c:pt idx="669">
                  <c:v>0.1547</c:v>
                </c:pt>
                <c:pt idx="670">
                  <c:v>0.14410000000000001</c:v>
                </c:pt>
                <c:pt idx="671">
                  <c:v>0.14990000000000001</c:v>
                </c:pt>
                <c:pt idx="672">
                  <c:v>0.15379999999999999</c:v>
                </c:pt>
                <c:pt idx="673">
                  <c:v>0.159</c:v>
                </c:pt>
                <c:pt idx="674">
                  <c:v>0.15359999999999999</c:v>
                </c:pt>
                <c:pt idx="675">
                  <c:v>0.1598</c:v>
                </c:pt>
                <c:pt idx="676">
                  <c:v>0.1595</c:v>
                </c:pt>
                <c:pt idx="677">
                  <c:v>0.14549999999999999</c:v>
                </c:pt>
                <c:pt idx="678">
                  <c:v>0.153</c:v>
                </c:pt>
                <c:pt idx="679">
                  <c:v>0.1578</c:v>
                </c:pt>
                <c:pt idx="680">
                  <c:v>0.15740000000000001</c:v>
                </c:pt>
                <c:pt idx="681">
                  <c:v>0.1409</c:v>
                </c:pt>
                <c:pt idx="682">
                  <c:v>0.13900000000000001</c:v>
                </c:pt>
                <c:pt idx="683">
                  <c:v>0.12659999999999999</c:v>
                </c:pt>
                <c:pt idx="684">
                  <c:v>0.14710000000000001</c:v>
                </c:pt>
                <c:pt idx="685">
                  <c:v>0.14729999999999999</c:v>
                </c:pt>
                <c:pt idx="686">
                  <c:v>0.1527</c:v>
                </c:pt>
                <c:pt idx="687">
                  <c:v>0.1343</c:v>
                </c:pt>
                <c:pt idx="688">
                  <c:v>0.27060000000000001</c:v>
                </c:pt>
                <c:pt idx="689">
                  <c:v>0.28199999999999997</c:v>
                </c:pt>
                <c:pt idx="690">
                  <c:v>0.2787</c:v>
                </c:pt>
                <c:pt idx="691">
                  <c:v>0.29039999999999999</c:v>
                </c:pt>
                <c:pt idx="692">
                  <c:v>0.33750000000000002</c:v>
                </c:pt>
                <c:pt idx="693">
                  <c:v>0.37319999999999998</c:v>
                </c:pt>
                <c:pt idx="694">
                  <c:v>0.379</c:v>
                </c:pt>
                <c:pt idx="695">
                  <c:v>0.39290000000000003</c:v>
                </c:pt>
                <c:pt idx="696">
                  <c:v>0.36890000000000001</c:v>
                </c:pt>
                <c:pt idx="697">
                  <c:v>0.37419999999999998</c:v>
                </c:pt>
                <c:pt idx="698">
                  <c:v>0.31969999999999998</c:v>
                </c:pt>
                <c:pt idx="699">
                  <c:v>0.3236</c:v>
                </c:pt>
                <c:pt idx="700">
                  <c:v>0.34899999999999998</c:v>
                </c:pt>
                <c:pt idx="701">
                  <c:v>0.37640000000000001</c:v>
                </c:pt>
                <c:pt idx="702">
                  <c:v>0.3629</c:v>
                </c:pt>
                <c:pt idx="703">
                  <c:v>0.39379999999999998</c:v>
                </c:pt>
                <c:pt idx="704">
                  <c:v>0.49459999999999998</c:v>
                </c:pt>
                <c:pt idx="705">
                  <c:v>0.45939999999999998</c:v>
                </c:pt>
                <c:pt idx="706">
                  <c:v>0.44950000000000001</c:v>
                </c:pt>
                <c:pt idx="707">
                  <c:v>0.41799999999999998</c:v>
                </c:pt>
                <c:pt idx="708">
                  <c:v>0.43419999999999997</c:v>
                </c:pt>
                <c:pt idx="709">
                  <c:v>0.34760000000000002</c:v>
                </c:pt>
                <c:pt idx="710">
                  <c:v>0.34949999999999998</c:v>
                </c:pt>
                <c:pt idx="711">
                  <c:v>0.32990000000000003</c:v>
                </c:pt>
                <c:pt idx="712">
                  <c:v>0.34499999999999997</c:v>
                </c:pt>
                <c:pt idx="713">
                  <c:v>0.33489999999999998</c:v>
                </c:pt>
                <c:pt idx="714">
                  <c:v>0.3664</c:v>
                </c:pt>
                <c:pt idx="715">
                  <c:v>0.34939999999999999</c:v>
                </c:pt>
                <c:pt idx="716">
                  <c:v>0.3876</c:v>
                </c:pt>
                <c:pt idx="717">
                  <c:v>0.36899999999999999</c:v>
                </c:pt>
                <c:pt idx="718">
                  <c:v>0.35849999999999999</c:v>
                </c:pt>
                <c:pt idx="719">
                  <c:v>0.34110000000000001</c:v>
                </c:pt>
                <c:pt idx="720">
                  <c:v>0.30740000000000001</c:v>
                </c:pt>
                <c:pt idx="721">
                  <c:v>0.31240000000000001</c:v>
                </c:pt>
                <c:pt idx="722">
                  <c:v>0.28839999999999999</c:v>
                </c:pt>
                <c:pt idx="723">
                  <c:v>0.27529999999999999</c:v>
                </c:pt>
                <c:pt idx="724">
                  <c:v>0.28039999999999998</c:v>
                </c:pt>
                <c:pt idx="725">
                  <c:v>0.26300000000000001</c:v>
                </c:pt>
                <c:pt idx="726">
                  <c:v>0.25280000000000002</c:v>
                </c:pt>
                <c:pt idx="727">
                  <c:v>0.2475</c:v>
                </c:pt>
                <c:pt idx="728">
                  <c:v>0.24740000000000001</c:v>
                </c:pt>
                <c:pt idx="729">
                  <c:v>0.24149999999999999</c:v>
                </c:pt>
                <c:pt idx="730">
                  <c:v>0.24049999999999999</c:v>
                </c:pt>
                <c:pt idx="731">
                  <c:v>0.2437</c:v>
                </c:pt>
                <c:pt idx="732">
                  <c:v>0.24</c:v>
                </c:pt>
                <c:pt idx="733">
                  <c:v>0.23780000000000001</c:v>
                </c:pt>
                <c:pt idx="734">
                  <c:v>0.23400000000000001</c:v>
                </c:pt>
                <c:pt idx="735">
                  <c:v>0.2316</c:v>
                </c:pt>
                <c:pt idx="736">
                  <c:v>0.2356</c:v>
                </c:pt>
                <c:pt idx="737">
                  <c:v>0.247</c:v>
                </c:pt>
                <c:pt idx="738">
                  <c:v>0.2482</c:v>
                </c:pt>
                <c:pt idx="739">
                  <c:v>0.23699999999999999</c:v>
                </c:pt>
                <c:pt idx="740">
                  <c:v>0.24</c:v>
                </c:pt>
                <c:pt idx="741">
                  <c:v>0.25850000000000001</c:v>
                </c:pt>
                <c:pt idx="742">
                  <c:v>0.26200000000000001</c:v>
                </c:pt>
                <c:pt idx="743">
                  <c:v>0.2414</c:v>
                </c:pt>
                <c:pt idx="744">
                  <c:v>0.24740000000000001</c:v>
                </c:pt>
                <c:pt idx="745">
                  <c:v>0.2296</c:v>
                </c:pt>
                <c:pt idx="746">
                  <c:v>0.22700000000000001</c:v>
                </c:pt>
                <c:pt idx="747">
                  <c:v>0.2283</c:v>
                </c:pt>
                <c:pt idx="748">
                  <c:v>0.22639999999999999</c:v>
                </c:pt>
                <c:pt idx="749">
                  <c:v>0.22600000000000001</c:v>
                </c:pt>
                <c:pt idx="750">
                  <c:v>0.22220000000000001</c:v>
                </c:pt>
                <c:pt idx="751">
                  <c:v>0.22839999999999999</c:v>
                </c:pt>
                <c:pt idx="752">
                  <c:v>0.2303</c:v>
                </c:pt>
                <c:pt idx="753">
                  <c:v>0.2427</c:v>
                </c:pt>
                <c:pt idx="754">
                  <c:v>0.22939999999999999</c:v>
                </c:pt>
                <c:pt idx="755">
                  <c:v>0.23519999999999999</c:v>
                </c:pt>
                <c:pt idx="756">
                  <c:v>0.22720000000000001</c:v>
                </c:pt>
                <c:pt idx="757">
                  <c:v>0.21390000000000001</c:v>
                </c:pt>
                <c:pt idx="758">
                  <c:v>0.22009999999999999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AC-4F30-B54E-F82C3C8B09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44413</c:v>
                </c:pt>
                <c:pt idx="177">
                  <c:v>44412</c:v>
                </c:pt>
                <c:pt idx="178">
                  <c:v>44411</c:v>
                </c:pt>
                <c:pt idx="179">
                  <c:v>44410</c:v>
                </c:pt>
                <c:pt idx="180">
                  <c:v>44409</c:v>
                </c:pt>
                <c:pt idx="181">
                  <c:v>44408</c:v>
                </c:pt>
                <c:pt idx="182">
                  <c:v>44407</c:v>
                </c:pt>
                <c:pt idx="183">
                  <c:v>44406</c:v>
                </c:pt>
                <c:pt idx="184">
                  <c:v>44405</c:v>
                </c:pt>
                <c:pt idx="185">
                  <c:v>44404</c:v>
                </c:pt>
                <c:pt idx="186">
                  <c:v>44403</c:v>
                </c:pt>
                <c:pt idx="187">
                  <c:v>44402</c:v>
                </c:pt>
                <c:pt idx="188">
                  <c:v>44401</c:v>
                </c:pt>
                <c:pt idx="189">
                  <c:v>44400</c:v>
                </c:pt>
                <c:pt idx="190">
                  <c:v>44399</c:v>
                </c:pt>
                <c:pt idx="191">
                  <c:v>44398</c:v>
                </c:pt>
                <c:pt idx="192">
                  <c:v>44397</c:v>
                </c:pt>
                <c:pt idx="193">
                  <c:v>44396</c:v>
                </c:pt>
                <c:pt idx="194">
                  <c:v>44395</c:v>
                </c:pt>
                <c:pt idx="195">
                  <c:v>44394</c:v>
                </c:pt>
                <c:pt idx="196">
                  <c:v>44393</c:v>
                </c:pt>
                <c:pt idx="197">
                  <c:v>44392</c:v>
                </c:pt>
                <c:pt idx="198">
                  <c:v>44391</c:v>
                </c:pt>
                <c:pt idx="199">
                  <c:v>44390</c:v>
                </c:pt>
                <c:pt idx="200">
                  <c:v>44389</c:v>
                </c:pt>
                <c:pt idx="201">
                  <c:v>44388</c:v>
                </c:pt>
                <c:pt idx="202">
                  <c:v>44387</c:v>
                </c:pt>
                <c:pt idx="203">
                  <c:v>44386</c:v>
                </c:pt>
                <c:pt idx="204">
                  <c:v>44385</c:v>
                </c:pt>
                <c:pt idx="205">
                  <c:v>44384</c:v>
                </c:pt>
                <c:pt idx="206">
                  <c:v>44383</c:v>
                </c:pt>
                <c:pt idx="207">
                  <c:v>44382</c:v>
                </c:pt>
                <c:pt idx="208">
                  <c:v>44381</c:v>
                </c:pt>
                <c:pt idx="209">
                  <c:v>44380</c:v>
                </c:pt>
                <c:pt idx="210">
                  <c:v>44379</c:v>
                </c:pt>
                <c:pt idx="211">
                  <c:v>44378</c:v>
                </c:pt>
                <c:pt idx="212">
                  <c:v>44377</c:v>
                </c:pt>
                <c:pt idx="213">
                  <c:v>44376</c:v>
                </c:pt>
                <c:pt idx="214">
                  <c:v>44375</c:v>
                </c:pt>
                <c:pt idx="215">
                  <c:v>44374</c:v>
                </c:pt>
                <c:pt idx="216">
                  <c:v>44373</c:v>
                </c:pt>
                <c:pt idx="217">
                  <c:v>44372</c:v>
                </c:pt>
                <c:pt idx="218">
                  <c:v>44371</c:v>
                </c:pt>
                <c:pt idx="219">
                  <c:v>44370</c:v>
                </c:pt>
                <c:pt idx="220">
                  <c:v>44369</c:v>
                </c:pt>
                <c:pt idx="221">
                  <c:v>44368</c:v>
                </c:pt>
                <c:pt idx="222">
                  <c:v>44367</c:v>
                </c:pt>
                <c:pt idx="223">
                  <c:v>44366</c:v>
                </c:pt>
                <c:pt idx="224">
                  <c:v>44365</c:v>
                </c:pt>
                <c:pt idx="225">
                  <c:v>44364</c:v>
                </c:pt>
                <c:pt idx="226">
                  <c:v>44363</c:v>
                </c:pt>
                <c:pt idx="227">
                  <c:v>44362</c:v>
                </c:pt>
                <c:pt idx="228">
                  <c:v>44361</c:v>
                </c:pt>
                <c:pt idx="229">
                  <c:v>44360</c:v>
                </c:pt>
                <c:pt idx="230">
                  <c:v>44359</c:v>
                </c:pt>
                <c:pt idx="231">
                  <c:v>44358</c:v>
                </c:pt>
                <c:pt idx="232">
                  <c:v>44357</c:v>
                </c:pt>
                <c:pt idx="233">
                  <c:v>44356</c:v>
                </c:pt>
                <c:pt idx="234">
                  <c:v>44355</c:v>
                </c:pt>
                <c:pt idx="235">
                  <c:v>44354</c:v>
                </c:pt>
                <c:pt idx="236">
                  <c:v>44353</c:v>
                </c:pt>
                <c:pt idx="237">
                  <c:v>44352</c:v>
                </c:pt>
                <c:pt idx="238">
                  <c:v>44351</c:v>
                </c:pt>
                <c:pt idx="239">
                  <c:v>44350</c:v>
                </c:pt>
                <c:pt idx="240">
                  <c:v>44349</c:v>
                </c:pt>
                <c:pt idx="241">
                  <c:v>44348</c:v>
                </c:pt>
                <c:pt idx="242">
                  <c:v>44347</c:v>
                </c:pt>
                <c:pt idx="243">
                  <c:v>44346</c:v>
                </c:pt>
                <c:pt idx="244">
                  <c:v>44345</c:v>
                </c:pt>
                <c:pt idx="245">
                  <c:v>44344</c:v>
                </c:pt>
                <c:pt idx="246">
                  <c:v>44343</c:v>
                </c:pt>
                <c:pt idx="247">
                  <c:v>44342</c:v>
                </c:pt>
                <c:pt idx="248">
                  <c:v>44341</c:v>
                </c:pt>
                <c:pt idx="249">
                  <c:v>44340</c:v>
                </c:pt>
                <c:pt idx="250">
                  <c:v>44339</c:v>
                </c:pt>
                <c:pt idx="251">
                  <c:v>44338</c:v>
                </c:pt>
                <c:pt idx="252">
                  <c:v>44337</c:v>
                </c:pt>
                <c:pt idx="253">
                  <c:v>44336</c:v>
                </c:pt>
                <c:pt idx="254">
                  <c:v>44335</c:v>
                </c:pt>
                <c:pt idx="255">
                  <c:v>44334</c:v>
                </c:pt>
                <c:pt idx="256">
                  <c:v>44333</c:v>
                </c:pt>
                <c:pt idx="257">
                  <c:v>44332</c:v>
                </c:pt>
                <c:pt idx="258">
                  <c:v>44331</c:v>
                </c:pt>
                <c:pt idx="259">
                  <c:v>44330</c:v>
                </c:pt>
                <c:pt idx="260">
                  <c:v>44329</c:v>
                </c:pt>
                <c:pt idx="261">
                  <c:v>44328</c:v>
                </c:pt>
                <c:pt idx="262">
                  <c:v>44327</c:v>
                </c:pt>
                <c:pt idx="263">
                  <c:v>44326</c:v>
                </c:pt>
                <c:pt idx="264">
                  <c:v>44325</c:v>
                </c:pt>
                <c:pt idx="265">
                  <c:v>44324</c:v>
                </c:pt>
                <c:pt idx="266">
                  <c:v>44323</c:v>
                </c:pt>
                <c:pt idx="267">
                  <c:v>44322</c:v>
                </c:pt>
                <c:pt idx="268">
                  <c:v>44321</c:v>
                </c:pt>
                <c:pt idx="269">
                  <c:v>44320</c:v>
                </c:pt>
                <c:pt idx="270">
                  <c:v>44319</c:v>
                </c:pt>
                <c:pt idx="271">
                  <c:v>44318</c:v>
                </c:pt>
                <c:pt idx="272">
                  <c:v>44317</c:v>
                </c:pt>
                <c:pt idx="273">
                  <c:v>44316</c:v>
                </c:pt>
                <c:pt idx="274">
                  <c:v>44315</c:v>
                </c:pt>
                <c:pt idx="275">
                  <c:v>44314</c:v>
                </c:pt>
                <c:pt idx="276">
                  <c:v>44313</c:v>
                </c:pt>
                <c:pt idx="277">
                  <c:v>44312</c:v>
                </c:pt>
                <c:pt idx="278">
                  <c:v>44311</c:v>
                </c:pt>
                <c:pt idx="279">
                  <c:v>44310</c:v>
                </c:pt>
                <c:pt idx="280">
                  <c:v>44309</c:v>
                </c:pt>
                <c:pt idx="281">
                  <c:v>44308</c:v>
                </c:pt>
                <c:pt idx="282">
                  <c:v>44307</c:v>
                </c:pt>
                <c:pt idx="283">
                  <c:v>44306</c:v>
                </c:pt>
                <c:pt idx="284">
                  <c:v>44305</c:v>
                </c:pt>
                <c:pt idx="285">
                  <c:v>44304</c:v>
                </c:pt>
                <c:pt idx="286">
                  <c:v>44303</c:v>
                </c:pt>
                <c:pt idx="287">
                  <c:v>44302</c:v>
                </c:pt>
                <c:pt idx="288">
                  <c:v>44301</c:v>
                </c:pt>
                <c:pt idx="289">
                  <c:v>44300</c:v>
                </c:pt>
                <c:pt idx="290">
                  <c:v>44299</c:v>
                </c:pt>
                <c:pt idx="291">
                  <c:v>44298</c:v>
                </c:pt>
                <c:pt idx="292">
                  <c:v>44297</c:v>
                </c:pt>
                <c:pt idx="293">
                  <c:v>44296</c:v>
                </c:pt>
                <c:pt idx="294">
                  <c:v>44295</c:v>
                </c:pt>
                <c:pt idx="295">
                  <c:v>44294</c:v>
                </c:pt>
                <c:pt idx="296">
                  <c:v>44293</c:v>
                </c:pt>
                <c:pt idx="297">
                  <c:v>44292</c:v>
                </c:pt>
                <c:pt idx="298">
                  <c:v>44291</c:v>
                </c:pt>
                <c:pt idx="299">
                  <c:v>44290</c:v>
                </c:pt>
                <c:pt idx="300">
                  <c:v>44289</c:v>
                </c:pt>
                <c:pt idx="301">
                  <c:v>44288</c:v>
                </c:pt>
                <c:pt idx="302">
                  <c:v>44287</c:v>
                </c:pt>
                <c:pt idx="303">
                  <c:v>44286</c:v>
                </c:pt>
                <c:pt idx="304">
                  <c:v>44285</c:v>
                </c:pt>
                <c:pt idx="305">
                  <c:v>44284</c:v>
                </c:pt>
                <c:pt idx="306">
                  <c:v>44283</c:v>
                </c:pt>
                <c:pt idx="307">
                  <c:v>44282</c:v>
                </c:pt>
                <c:pt idx="308">
                  <c:v>44281</c:v>
                </c:pt>
                <c:pt idx="309">
                  <c:v>44280</c:v>
                </c:pt>
                <c:pt idx="310">
                  <c:v>44279</c:v>
                </c:pt>
                <c:pt idx="311">
                  <c:v>44278</c:v>
                </c:pt>
                <c:pt idx="312">
                  <c:v>44277</c:v>
                </c:pt>
                <c:pt idx="313">
                  <c:v>44276</c:v>
                </c:pt>
                <c:pt idx="314">
                  <c:v>44275</c:v>
                </c:pt>
                <c:pt idx="315">
                  <c:v>44274</c:v>
                </c:pt>
                <c:pt idx="316">
                  <c:v>44273</c:v>
                </c:pt>
                <c:pt idx="317">
                  <c:v>44272</c:v>
                </c:pt>
                <c:pt idx="318">
                  <c:v>44271</c:v>
                </c:pt>
                <c:pt idx="319">
                  <c:v>44270</c:v>
                </c:pt>
                <c:pt idx="320">
                  <c:v>44269</c:v>
                </c:pt>
                <c:pt idx="321">
                  <c:v>44268</c:v>
                </c:pt>
                <c:pt idx="322">
                  <c:v>44267</c:v>
                </c:pt>
                <c:pt idx="323">
                  <c:v>44266</c:v>
                </c:pt>
                <c:pt idx="324">
                  <c:v>44265</c:v>
                </c:pt>
                <c:pt idx="325">
                  <c:v>44264</c:v>
                </c:pt>
                <c:pt idx="326">
                  <c:v>44263</c:v>
                </c:pt>
                <c:pt idx="327">
                  <c:v>44262</c:v>
                </c:pt>
                <c:pt idx="328">
                  <c:v>44261</c:v>
                </c:pt>
                <c:pt idx="329">
                  <c:v>44260</c:v>
                </c:pt>
                <c:pt idx="330">
                  <c:v>44259</c:v>
                </c:pt>
                <c:pt idx="331">
                  <c:v>44258</c:v>
                </c:pt>
                <c:pt idx="332">
                  <c:v>44257</c:v>
                </c:pt>
                <c:pt idx="333">
                  <c:v>44256</c:v>
                </c:pt>
                <c:pt idx="334">
                  <c:v>44255</c:v>
                </c:pt>
                <c:pt idx="335">
                  <c:v>44254</c:v>
                </c:pt>
                <c:pt idx="336">
                  <c:v>44253</c:v>
                </c:pt>
                <c:pt idx="337">
                  <c:v>44252</c:v>
                </c:pt>
                <c:pt idx="338">
                  <c:v>44251</c:v>
                </c:pt>
                <c:pt idx="339">
                  <c:v>44250</c:v>
                </c:pt>
                <c:pt idx="340">
                  <c:v>44249</c:v>
                </c:pt>
                <c:pt idx="341">
                  <c:v>44248</c:v>
                </c:pt>
                <c:pt idx="342">
                  <c:v>44247</c:v>
                </c:pt>
                <c:pt idx="343">
                  <c:v>44246</c:v>
                </c:pt>
                <c:pt idx="344">
                  <c:v>44245</c:v>
                </c:pt>
                <c:pt idx="345">
                  <c:v>44244</c:v>
                </c:pt>
                <c:pt idx="346">
                  <c:v>44243</c:v>
                </c:pt>
                <c:pt idx="347">
                  <c:v>44242</c:v>
                </c:pt>
                <c:pt idx="348">
                  <c:v>44241</c:v>
                </c:pt>
                <c:pt idx="349">
                  <c:v>44240</c:v>
                </c:pt>
                <c:pt idx="350">
                  <c:v>44239</c:v>
                </c:pt>
                <c:pt idx="351">
                  <c:v>44238</c:v>
                </c:pt>
                <c:pt idx="352">
                  <c:v>44237</c:v>
                </c:pt>
                <c:pt idx="353">
                  <c:v>44236</c:v>
                </c:pt>
                <c:pt idx="354">
                  <c:v>44235</c:v>
                </c:pt>
                <c:pt idx="355">
                  <c:v>44234</c:v>
                </c:pt>
                <c:pt idx="356">
                  <c:v>44233</c:v>
                </c:pt>
                <c:pt idx="357">
                  <c:v>44232</c:v>
                </c:pt>
                <c:pt idx="358">
                  <c:v>44231</c:v>
                </c:pt>
                <c:pt idx="359">
                  <c:v>44230</c:v>
                </c:pt>
                <c:pt idx="360">
                  <c:v>44229</c:v>
                </c:pt>
                <c:pt idx="361">
                  <c:v>44228</c:v>
                </c:pt>
                <c:pt idx="362">
                  <c:v>44227</c:v>
                </c:pt>
                <c:pt idx="363">
                  <c:v>44226</c:v>
                </c:pt>
                <c:pt idx="364">
                  <c:v>44225</c:v>
                </c:pt>
                <c:pt idx="365">
                  <c:v>44224</c:v>
                </c:pt>
                <c:pt idx="366">
                  <c:v>44223</c:v>
                </c:pt>
                <c:pt idx="367">
                  <c:v>44222</c:v>
                </c:pt>
                <c:pt idx="368">
                  <c:v>44221</c:v>
                </c:pt>
                <c:pt idx="369">
                  <c:v>44220</c:v>
                </c:pt>
                <c:pt idx="370">
                  <c:v>44219</c:v>
                </c:pt>
                <c:pt idx="371">
                  <c:v>44218</c:v>
                </c:pt>
                <c:pt idx="372">
                  <c:v>44217</c:v>
                </c:pt>
                <c:pt idx="373">
                  <c:v>44216</c:v>
                </c:pt>
                <c:pt idx="374">
                  <c:v>44215</c:v>
                </c:pt>
                <c:pt idx="375">
                  <c:v>44214</c:v>
                </c:pt>
                <c:pt idx="376">
                  <c:v>44213</c:v>
                </c:pt>
                <c:pt idx="377">
                  <c:v>44212</c:v>
                </c:pt>
                <c:pt idx="378">
                  <c:v>44211</c:v>
                </c:pt>
                <c:pt idx="379">
                  <c:v>44210</c:v>
                </c:pt>
                <c:pt idx="380">
                  <c:v>44209</c:v>
                </c:pt>
                <c:pt idx="381">
                  <c:v>44208</c:v>
                </c:pt>
                <c:pt idx="382">
                  <c:v>44207</c:v>
                </c:pt>
                <c:pt idx="383">
                  <c:v>44206</c:v>
                </c:pt>
                <c:pt idx="384">
                  <c:v>44205</c:v>
                </c:pt>
                <c:pt idx="385">
                  <c:v>44204</c:v>
                </c:pt>
                <c:pt idx="386">
                  <c:v>44203</c:v>
                </c:pt>
                <c:pt idx="387">
                  <c:v>44202</c:v>
                </c:pt>
                <c:pt idx="388">
                  <c:v>44201</c:v>
                </c:pt>
                <c:pt idx="389">
                  <c:v>44200</c:v>
                </c:pt>
                <c:pt idx="390">
                  <c:v>44199</c:v>
                </c:pt>
                <c:pt idx="391">
                  <c:v>44198</c:v>
                </c:pt>
                <c:pt idx="392">
                  <c:v>44197</c:v>
                </c:pt>
                <c:pt idx="393">
                  <c:v>44196</c:v>
                </c:pt>
                <c:pt idx="394">
                  <c:v>44195</c:v>
                </c:pt>
                <c:pt idx="395">
                  <c:v>44194</c:v>
                </c:pt>
                <c:pt idx="396">
                  <c:v>44193</c:v>
                </c:pt>
                <c:pt idx="397">
                  <c:v>44192</c:v>
                </c:pt>
                <c:pt idx="398">
                  <c:v>44191</c:v>
                </c:pt>
                <c:pt idx="399">
                  <c:v>44190</c:v>
                </c:pt>
                <c:pt idx="400">
                  <c:v>44189</c:v>
                </c:pt>
                <c:pt idx="401">
                  <c:v>44188</c:v>
                </c:pt>
                <c:pt idx="402">
                  <c:v>44187</c:v>
                </c:pt>
                <c:pt idx="403">
                  <c:v>44186</c:v>
                </c:pt>
                <c:pt idx="404">
                  <c:v>44185</c:v>
                </c:pt>
                <c:pt idx="405">
                  <c:v>44184</c:v>
                </c:pt>
                <c:pt idx="406">
                  <c:v>44183</c:v>
                </c:pt>
                <c:pt idx="407">
                  <c:v>44182</c:v>
                </c:pt>
                <c:pt idx="408">
                  <c:v>44181</c:v>
                </c:pt>
                <c:pt idx="409">
                  <c:v>44180</c:v>
                </c:pt>
                <c:pt idx="410">
                  <c:v>44179</c:v>
                </c:pt>
                <c:pt idx="411">
                  <c:v>44178</c:v>
                </c:pt>
                <c:pt idx="412">
                  <c:v>44177</c:v>
                </c:pt>
                <c:pt idx="413">
                  <c:v>44176</c:v>
                </c:pt>
                <c:pt idx="414">
                  <c:v>44175</c:v>
                </c:pt>
                <c:pt idx="415">
                  <c:v>44174</c:v>
                </c:pt>
                <c:pt idx="416">
                  <c:v>44173</c:v>
                </c:pt>
                <c:pt idx="417">
                  <c:v>44172</c:v>
                </c:pt>
                <c:pt idx="418">
                  <c:v>44171</c:v>
                </c:pt>
                <c:pt idx="419">
                  <c:v>44170</c:v>
                </c:pt>
                <c:pt idx="420">
                  <c:v>44169</c:v>
                </c:pt>
                <c:pt idx="421">
                  <c:v>44168</c:v>
                </c:pt>
                <c:pt idx="422">
                  <c:v>44167</c:v>
                </c:pt>
                <c:pt idx="423">
                  <c:v>44166</c:v>
                </c:pt>
                <c:pt idx="424">
                  <c:v>44165</c:v>
                </c:pt>
                <c:pt idx="425">
                  <c:v>44164</c:v>
                </c:pt>
                <c:pt idx="426">
                  <c:v>44163</c:v>
                </c:pt>
                <c:pt idx="427">
                  <c:v>44162</c:v>
                </c:pt>
                <c:pt idx="428">
                  <c:v>44161</c:v>
                </c:pt>
                <c:pt idx="429">
                  <c:v>44160</c:v>
                </c:pt>
                <c:pt idx="430">
                  <c:v>44159</c:v>
                </c:pt>
                <c:pt idx="431">
                  <c:v>44158</c:v>
                </c:pt>
                <c:pt idx="432">
                  <c:v>44157</c:v>
                </c:pt>
                <c:pt idx="433">
                  <c:v>44156</c:v>
                </c:pt>
                <c:pt idx="434">
                  <c:v>44155</c:v>
                </c:pt>
                <c:pt idx="435">
                  <c:v>44154</c:v>
                </c:pt>
                <c:pt idx="436">
                  <c:v>44153</c:v>
                </c:pt>
                <c:pt idx="437">
                  <c:v>44152</c:v>
                </c:pt>
                <c:pt idx="438">
                  <c:v>44151</c:v>
                </c:pt>
                <c:pt idx="439">
                  <c:v>44150</c:v>
                </c:pt>
                <c:pt idx="440">
                  <c:v>44149</c:v>
                </c:pt>
                <c:pt idx="441">
                  <c:v>44148</c:v>
                </c:pt>
                <c:pt idx="442">
                  <c:v>44147</c:v>
                </c:pt>
                <c:pt idx="443">
                  <c:v>44146</c:v>
                </c:pt>
                <c:pt idx="444">
                  <c:v>44145</c:v>
                </c:pt>
                <c:pt idx="445">
                  <c:v>44144</c:v>
                </c:pt>
                <c:pt idx="446">
                  <c:v>44143</c:v>
                </c:pt>
                <c:pt idx="447">
                  <c:v>44142</c:v>
                </c:pt>
                <c:pt idx="448">
                  <c:v>44141</c:v>
                </c:pt>
                <c:pt idx="449">
                  <c:v>44140</c:v>
                </c:pt>
                <c:pt idx="450">
                  <c:v>44139</c:v>
                </c:pt>
                <c:pt idx="451">
                  <c:v>44138</c:v>
                </c:pt>
                <c:pt idx="452">
                  <c:v>44137</c:v>
                </c:pt>
                <c:pt idx="453">
                  <c:v>44136</c:v>
                </c:pt>
                <c:pt idx="454">
                  <c:v>44135</c:v>
                </c:pt>
                <c:pt idx="455">
                  <c:v>44134</c:v>
                </c:pt>
                <c:pt idx="456">
                  <c:v>44133</c:v>
                </c:pt>
                <c:pt idx="457">
                  <c:v>44132</c:v>
                </c:pt>
                <c:pt idx="458">
                  <c:v>44131</c:v>
                </c:pt>
                <c:pt idx="459">
                  <c:v>44130</c:v>
                </c:pt>
                <c:pt idx="460">
                  <c:v>44129</c:v>
                </c:pt>
                <c:pt idx="461">
                  <c:v>44128</c:v>
                </c:pt>
                <c:pt idx="462">
                  <c:v>44127</c:v>
                </c:pt>
                <c:pt idx="463">
                  <c:v>44126</c:v>
                </c:pt>
                <c:pt idx="464">
                  <c:v>44125</c:v>
                </c:pt>
                <c:pt idx="465">
                  <c:v>44124</c:v>
                </c:pt>
                <c:pt idx="466">
                  <c:v>44123</c:v>
                </c:pt>
                <c:pt idx="467">
                  <c:v>44122</c:v>
                </c:pt>
                <c:pt idx="468">
                  <c:v>44121</c:v>
                </c:pt>
                <c:pt idx="469">
                  <c:v>44120</c:v>
                </c:pt>
                <c:pt idx="470">
                  <c:v>44119</c:v>
                </c:pt>
                <c:pt idx="471">
                  <c:v>44118</c:v>
                </c:pt>
                <c:pt idx="472">
                  <c:v>44117</c:v>
                </c:pt>
                <c:pt idx="473">
                  <c:v>44116</c:v>
                </c:pt>
                <c:pt idx="474">
                  <c:v>44115</c:v>
                </c:pt>
                <c:pt idx="475">
                  <c:v>44114</c:v>
                </c:pt>
                <c:pt idx="476">
                  <c:v>44113</c:v>
                </c:pt>
                <c:pt idx="477">
                  <c:v>44112</c:v>
                </c:pt>
                <c:pt idx="478">
                  <c:v>44111</c:v>
                </c:pt>
                <c:pt idx="479">
                  <c:v>44110</c:v>
                </c:pt>
                <c:pt idx="480">
                  <c:v>44109</c:v>
                </c:pt>
                <c:pt idx="481">
                  <c:v>44108</c:v>
                </c:pt>
                <c:pt idx="482">
                  <c:v>44107</c:v>
                </c:pt>
                <c:pt idx="483">
                  <c:v>44106</c:v>
                </c:pt>
                <c:pt idx="484">
                  <c:v>44105</c:v>
                </c:pt>
                <c:pt idx="485">
                  <c:v>44104</c:v>
                </c:pt>
                <c:pt idx="486">
                  <c:v>44103</c:v>
                </c:pt>
                <c:pt idx="487">
                  <c:v>44102</c:v>
                </c:pt>
                <c:pt idx="488">
                  <c:v>44101</c:v>
                </c:pt>
                <c:pt idx="489">
                  <c:v>44100</c:v>
                </c:pt>
                <c:pt idx="490">
                  <c:v>44099</c:v>
                </c:pt>
                <c:pt idx="491">
                  <c:v>44098</c:v>
                </c:pt>
                <c:pt idx="492">
                  <c:v>44097</c:v>
                </c:pt>
                <c:pt idx="493">
                  <c:v>44096</c:v>
                </c:pt>
                <c:pt idx="494">
                  <c:v>44095</c:v>
                </c:pt>
                <c:pt idx="495">
                  <c:v>44094</c:v>
                </c:pt>
                <c:pt idx="496">
                  <c:v>44093</c:v>
                </c:pt>
                <c:pt idx="497">
                  <c:v>44092</c:v>
                </c:pt>
                <c:pt idx="498">
                  <c:v>44091</c:v>
                </c:pt>
                <c:pt idx="499">
                  <c:v>44090</c:v>
                </c:pt>
                <c:pt idx="500">
                  <c:v>44089</c:v>
                </c:pt>
                <c:pt idx="501">
                  <c:v>44088</c:v>
                </c:pt>
                <c:pt idx="502">
                  <c:v>44087</c:v>
                </c:pt>
                <c:pt idx="503">
                  <c:v>44086</c:v>
                </c:pt>
                <c:pt idx="504">
                  <c:v>44085</c:v>
                </c:pt>
                <c:pt idx="505">
                  <c:v>44084</c:v>
                </c:pt>
                <c:pt idx="506">
                  <c:v>44083</c:v>
                </c:pt>
                <c:pt idx="507">
                  <c:v>44082</c:v>
                </c:pt>
                <c:pt idx="508">
                  <c:v>44081</c:v>
                </c:pt>
                <c:pt idx="509">
                  <c:v>44080</c:v>
                </c:pt>
                <c:pt idx="510">
                  <c:v>44079</c:v>
                </c:pt>
                <c:pt idx="511">
                  <c:v>44078</c:v>
                </c:pt>
                <c:pt idx="512">
                  <c:v>44077</c:v>
                </c:pt>
                <c:pt idx="513">
                  <c:v>44076</c:v>
                </c:pt>
                <c:pt idx="514">
                  <c:v>44075</c:v>
                </c:pt>
                <c:pt idx="515">
                  <c:v>44074</c:v>
                </c:pt>
                <c:pt idx="516">
                  <c:v>44073</c:v>
                </c:pt>
                <c:pt idx="517">
                  <c:v>44072</c:v>
                </c:pt>
                <c:pt idx="518">
                  <c:v>44071</c:v>
                </c:pt>
                <c:pt idx="519">
                  <c:v>44070</c:v>
                </c:pt>
                <c:pt idx="520">
                  <c:v>44069</c:v>
                </c:pt>
                <c:pt idx="521">
                  <c:v>44068</c:v>
                </c:pt>
                <c:pt idx="522">
                  <c:v>44067</c:v>
                </c:pt>
                <c:pt idx="523">
                  <c:v>44066</c:v>
                </c:pt>
                <c:pt idx="524">
                  <c:v>44065</c:v>
                </c:pt>
                <c:pt idx="525">
                  <c:v>44064</c:v>
                </c:pt>
                <c:pt idx="526">
                  <c:v>44063</c:v>
                </c:pt>
                <c:pt idx="527">
                  <c:v>44062</c:v>
                </c:pt>
                <c:pt idx="528">
                  <c:v>44061</c:v>
                </c:pt>
                <c:pt idx="529">
                  <c:v>44060</c:v>
                </c:pt>
                <c:pt idx="530">
                  <c:v>44059</c:v>
                </c:pt>
                <c:pt idx="531">
                  <c:v>44058</c:v>
                </c:pt>
                <c:pt idx="532">
                  <c:v>44057</c:v>
                </c:pt>
                <c:pt idx="533">
                  <c:v>44056</c:v>
                </c:pt>
                <c:pt idx="534">
                  <c:v>44055</c:v>
                </c:pt>
                <c:pt idx="535">
                  <c:v>44054</c:v>
                </c:pt>
                <c:pt idx="536">
                  <c:v>44053</c:v>
                </c:pt>
                <c:pt idx="537">
                  <c:v>44052</c:v>
                </c:pt>
                <c:pt idx="538">
                  <c:v>44051</c:v>
                </c:pt>
                <c:pt idx="539">
                  <c:v>44050</c:v>
                </c:pt>
                <c:pt idx="540">
                  <c:v>44049</c:v>
                </c:pt>
                <c:pt idx="541">
                  <c:v>44048</c:v>
                </c:pt>
                <c:pt idx="542">
                  <c:v>44047</c:v>
                </c:pt>
                <c:pt idx="543">
                  <c:v>44046</c:v>
                </c:pt>
                <c:pt idx="544">
                  <c:v>44045</c:v>
                </c:pt>
                <c:pt idx="545">
                  <c:v>44044</c:v>
                </c:pt>
                <c:pt idx="546">
                  <c:v>44043</c:v>
                </c:pt>
                <c:pt idx="547">
                  <c:v>44042</c:v>
                </c:pt>
                <c:pt idx="548">
                  <c:v>44041</c:v>
                </c:pt>
                <c:pt idx="549">
                  <c:v>44040</c:v>
                </c:pt>
                <c:pt idx="550">
                  <c:v>44039</c:v>
                </c:pt>
                <c:pt idx="551">
                  <c:v>44038</c:v>
                </c:pt>
                <c:pt idx="552">
                  <c:v>44037</c:v>
                </c:pt>
                <c:pt idx="553">
                  <c:v>44036</c:v>
                </c:pt>
                <c:pt idx="554">
                  <c:v>44035</c:v>
                </c:pt>
                <c:pt idx="555">
                  <c:v>44034</c:v>
                </c:pt>
                <c:pt idx="556">
                  <c:v>44033</c:v>
                </c:pt>
                <c:pt idx="557">
                  <c:v>44032</c:v>
                </c:pt>
                <c:pt idx="558">
                  <c:v>44031</c:v>
                </c:pt>
                <c:pt idx="559">
                  <c:v>44030</c:v>
                </c:pt>
                <c:pt idx="560">
                  <c:v>44029</c:v>
                </c:pt>
                <c:pt idx="561">
                  <c:v>44028</c:v>
                </c:pt>
                <c:pt idx="562">
                  <c:v>44027</c:v>
                </c:pt>
                <c:pt idx="563">
                  <c:v>44026</c:v>
                </c:pt>
                <c:pt idx="564">
                  <c:v>44025</c:v>
                </c:pt>
                <c:pt idx="565">
                  <c:v>44024</c:v>
                </c:pt>
                <c:pt idx="566">
                  <c:v>44023</c:v>
                </c:pt>
                <c:pt idx="567">
                  <c:v>44022</c:v>
                </c:pt>
                <c:pt idx="568">
                  <c:v>44021</c:v>
                </c:pt>
                <c:pt idx="569">
                  <c:v>44020</c:v>
                </c:pt>
                <c:pt idx="570">
                  <c:v>44019</c:v>
                </c:pt>
                <c:pt idx="571">
                  <c:v>44018</c:v>
                </c:pt>
                <c:pt idx="572">
                  <c:v>44017</c:v>
                </c:pt>
                <c:pt idx="573">
                  <c:v>44016</c:v>
                </c:pt>
                <c:pt idx="574">
                  <c:v>44015</c:v>
                </c:pt>
                <c:pt idx="575">
                  <c:v>44014</c:v>
                </c:pt>
                <c:pt idx="576">
                  <c:v>44013</c:v>
                </c:pt>
                <c:pt idx="577">
                  <c:v>44012</c:v>
                </c:pt>
                <c:pt idx="578">
                  <c:v>44011</c:v>
                </c:pt>
                <c:pt idx="579">
                  <c:v>44010</c:v>
                </c:pt>
                <c:pt idx="580">
                  <c:v>44009</c:v>
                </c:pt>
                <c:pt idx="581">
                  <c:v>44008</c:v>
                </c:pt>
                <c:pt idx="582">
                  <c:v>44007</c:v>
                </c:pt>
                <c:pt idx="583">
                  <c:v>44006</c:v>
                </c:pt>
                <c:pt idx="584">
                  <c:v>44005</c:v>
                </c:pt>
                <c:pt idx="585">
                  <c:v>44004</c:v>
                </c:pt>
                <c:pt idx="586">
                  <c:v>44003</c:v>
                </c:pt>
                <c:pt idx="587">
                  <c:v>44002</c:v>
                </c:pt>
                <c:pt idx="588">
                  <c:v>44001</c:v>
                </c:pt>
                <c:pt idx="589">
                  <c:v>44000</c:v>
                </c:pt>
                <c:pt idx="590">
                  <c:v>43999</c:v>
                </c:pt>
                <c:pt idx="591">
                  <c:v>43998</c:v>
                </c:pt>
                <c:pt idx="592">
                  <c:v>43997</c:v>
                </c:pt>
                <c:pt idx="593">
                  <c:v>43996</c:v>
                </c:pt>
                <c:pt idx="594">
                  <c:v>43995</c:v>
                </c:pt>
                <c:pt idx="595">
                  <c:v>43994</c:v>
                </c:pt>
                <c:pt idx="596">
                  <c:v>43993</c:v>
                </c:pt>
                <c:pt idx="597">
                  <c:v>43992</c:v>
                </c:pt>
                <c:pt idx="598">
                  <c:v>43991</c:v>
                </c:pt>
                <c:pt idx="599">
                  <c:v>43990</c:v>
                </c:pt>
                <c:pt idx="600">
                  <c:v>43989</c:v>
                </c:pt>
                <c:pt idx="601">
                  <c:v>43988</c:v>
                </c:pt>
                <c:pt idx="602">
                  <c:v>43987</c:v>
                </c:pt>
                <c:pt idx="603">
                  <c:v>43986</c:v>
                </c:pt>
                <c:pt idx="604">
                  <c:v>43985</c:v>
                </c:pt>
                <c:pt idx="605">
                  <c:v>43984</c:v>
                </c:pt>
                <c:pt idx="606">
                  <c:v>43983</c:v>
                </c:pt>
                <c:pt idx="607">
                  <c:v>43982</c:v>
                </c:pt>
                <c:pt idx="608">
                  <c:v>43981</c:v>
                </c:pt>
                <c:pt idx="609">
                  <c:v>43980</c:v>
                </c:pt>
                <c:pt idx="610">
                  <c:v>43979</c:v>
                </c:pt>
                <c:pt idx="611">
                  <c:v>43978</c:v>
                </c:pt>
                <c:pt idx="612">
                  <c:v>43977</c:v>
                </c:pt>
                <c:pt idx="613">
                  <c:v>43976</c:v>
                </c:pt>
                <c:pt idx="614">
                  <c:v>43975</c:v>
                </c:pt>
                <c:pt idx="615">
                  <c:v>43974</c:v>
                </c:pt>
                <c:pt idx="616">
                  <c:v>43973</c:v>
                </c:pt>
                <c:pt idx="617">
                  <c:v>43972</c:v>
                </c:pt>
                <c:pt idx="618">
                  <c:v>43971</c:v>
                </c:pt>
                <c:pt idx="619">
                  <c:v>43970</c:v>
                </c:pt>
                <c:pt idx="620">
                  <c:v>43969</c:v>
                </c:pt>
                <c:pt idx="621">
                  <c:v>43968</c:v>
                </c:pt>
                <c:pt idx="622">
                  <c:v>43967</c:v>
                </c:pt>
                <c:pt idx="623">
                  <c:v>43966</c:v>
                </c:pt>
                <c:pt idx="624">
                  <c:v>43965</c:v>
                </c:pt>
                <c:pt idx="625">
                  <c:v>43964</c:v>
                </c:pt>
                <c:pt idx="626">
                  <c:v>43963</c:v>
                </c:pt>
                <c:pt idx="627">
                  <c:v>43962</c:v>
                </c:pt>
                <c:pt idx="628">
                  <c:v>43961</c:v>
                </c:pt>
                <c:pt idx="629">
                  <c:v>43960</c:v>
                </c:pt>
                <c:pt idx="630">
                  <c:v>43959</c:v>
                </c:pt>
                <c:pt idx="631">
                  <c:v>43958</c:v>
                </c:pt>
                <c:pt idx="632">
                  <c:v>43957</c:v>
                </c:pt>
                <c:pt idx="633">
                  <c:v>43956</c:v>
                </c:pt>
                <c:pt idx="634">
                  <c:v>43955</c:v>
                </c:pt>
                <c:pt idx="635">
                  <c:v>43954</c:v>
                </c:pt>
                <c:pt idx="636">
                  <c:v>43953</c:v>
                </c:pt>
                <c:pt idx="637">
                  <c:v>43952</c:v>
                </c:pt>
                <c:pt idx="638">
                  <c:v>43951</c:v>
                </c:pt>
                <c:pt idx="639">
                  <c:v>43950</c:v>
                </c:pt>
                <c:pt idx="640">
                  <c:v>43949</c:v>
                </c:pt>
                <c:pt idx="641">
                  <c:v>43948</c:v>
                </c:pt>
                <c:pt idx="642">
                  <c:v>43947</c:v>
                </c:pt>
                <c:pt idx="643">
                  <c:v>43946</c:v>
                </c:pt>
                <c:pt idx="644">
                  <c:v>43945</c:v>
                </c:pt>
                <c:pt idx="645">
                  <c:v>43944</c:v>
                </c:pt>
                <c:pt idx="646">
                  <c:v>43943</c:v>
                </c:pt>
                <c:pt idx="647">
                  <c:v>43942</c:v>
                </c:pt>
                <c:pt idx="648">
                  <c:v>43941</c:v>
                </c:pt>
                <c:pt idx="649">
                  <c:v>43940</c:v>
                </c:pt>
                <c:pt idx="650">
                  <c:v>43939</c:v>
                </c:pt>
                <c:pt idx="651">
                  <c:v>43938</c:v>
                </c:pt>
                <c:pt idx="652">
                  <c:v>43937</c:v>
                </c:pt>
                <c:pt idx="653">
                  <c:v>43936</c:v>
                </c:pt>
                <c:pt idx="654">
                  <c:v>43935</c:v>
                </c:pt>
                <c:pt idx="655">
                  <c:v>43934</c:v>
                </c:pt>
                <c:pt idx="656">
                  <c:v>43933</c:v>
                </c:pt>
                <c:pt idx="657">
                  <c:v>43932</c:v>
                </c:pt>
                <c:pt idx="658">
                  <c:v>43931</c:v>
                </c:pt>
                <c:pt idx="659">
                  <c:v>43930</c:v>
                </c:pt>
                <c:pt idx="660">
                  <c:v>43929</c:v>
                </c:pt>
                <c:pt idx="661">
                  <c:v>43928</c:v>
                </c:pt>
                <c:pt idx="662">
                  <c:v>43927</c:v>
                </c:pt>
                <c:pt idx="663">
                  <c:v>43926</c:v>
                </c:pt>
                <c:pt idx="664">
                  <c:v>43925</c:v>
                </c:pt>
                <c:pt idx="665">
                  <c:v>43924</c:v>
                </c:pt>
                <c:pt idx="666">
                  <c:v>43923</c:v>
                </c:pt>
                <c:pt idx="667">
                  <c:v>43922</c:v>
                </c:pt>
                <c:pt idx="668">
                  <c:v>43921</c:v>
                </c:pt>
                <c:pt idx="669">
                  <c:v>43920</c:v>
                </c:pt>
                <c:pt idx="670">
                  <c:v>43919</c:v>
                </c:pt>
                <c:pt idx="671">
                  <c:v>43918</c:v>
                </c:pt>
                <c:pt idx="672">
                  <c:v>43917</c:v>
                </c:pt>
                <c:pt idx="673">
                  <c:v>43916</c:v>
                </c:pt>
                <c:pt idx="674">
                  <c:v>43915</c:v>
                </c:pt>
                <c:pt idx="675">
                  <c:v>43914</c:v>
                </c:pt>
                <c:pt idx="676">
                  <c:v>43913</c:v>
                </c:pt>
                <c:pt idx="677">
                  <c:v>43912</c:v>
                </c:pt>
                <c:pt idx="678">
                  <c:v>43911</c:v>
                </c:pt>
                <c:pt idx="679">
                  <c:v>43910</c:v>
                </c:pt>
                <c:pt idx="680">
                  <c:v>43909</c:v>
                </c:pt>
                <c:pt idx="681">
                  <c:v>43908</c:v>
                </c:pt>
                <c:pt idx="682">
                  <c:v>43907</c:v>
                </c:pt>
                <c:pt idx="683">
                  <c:v>43906</c:v>
                </c:pt>
                <c:pt idx="684">
                  <c:v>43905</c:v>
                </c:pt>
                <c:pt idx="685">
                  <c:v>43904</c:v>
                </c:pt>
                <c:pt idx="686">
                  <c:v>43903</c:v>
                </c:pt>
                <c:pt idx="687">
                  <c:v>43902</c:v>
                </c:pt>
                <c:pt idx="688">
                  <c:v>43901</c:v>
                </c:pt>
                <c:pt idx="689">
                  <c:v>43900</c:v>
                </c:pt>
                <c:pt idx="690">
                  <c:v>43899</c:v>
                </c:pt>
                <c:pt idx="691">
                  <c:v>43898</c:v>
                </c:pt>
                <c:pt idx="692">
                  <c:v>43897</c:v>
                </c:pt>
                <c:pt idx="693">
                  <c:v>43896</c:v>
                </c:pt>
                <c:pt idx="694">
                  <c:v>43895</c:v>
                </c:pt>
                <c:pt idx="695">
                  <c:v>43894</c:v>
                </c:pt>
                <c:pt idx="696">
                  <c:v>43893</c:v>
                </c:pt>
                <c:pt idx="697">
                  <c:v>43892</c:v>
                </c:pt>
                <c:pt idx="698">
                  <c:v>43891</c:v>
                </c:pt>
                <c:pt idx="699">
                  <c:v>43890</c:v>
                </c:pt>
                <c:pt idx="700">
                  <c:v>43889</c:v>
                </c:pt>
                <c:pt idx="701">
                  <c:v>43888</c:v>
                </c:pt>
                <c:pt idx="702">
                  <c:v>43887</c:v>
                </c:pt>
                <c:pt idx="703">
                  <c:v>43886</c:v>
                </c:pt>
                <c:pt idx="704">
                  <c:v>43885</c:v>
                </c:pt>
                <c:pt idx="705">
                  <c:v>43884</c:v>
                </c:pt>
                <c:pt idx="706">
                  <c:v>43883</c:v>
                </c:pt>
                <c:pt idx="707">
                  <c:v>43882</c:v>
                </c:pt>
                <c:pt idx="708">
                  <c:v>43881</c:v>
                </c:pt>
                <c:pt idx="709">
                  <c:v>43880</c:v>
                </c:pt>
                <c:pt idx="710">
                  <c:v>43879</c:v>
                </c:pt>
                <c:pt idx="711">
                  <c:v>43878</c:v>
                </c:pt>
                <c:pt idx="712">
                  <c:v>43877</c:v>
                </c:pt>
                <c:pt idx="713">
                  <c:v>43876</c:v>
                </c:pt>
                <c:pt idx="714">
                  <c:v>43875</c:v>
                </c:pt>
                <c:pt idx="715">
                  <c:v>43874</c:v>
                </c:pt>
                <c:pt idx="716">
                  <c:v>43873</c:v>
                </c:pt>
                <c:pt idx="717">
                  <c:v>43872</c:v>
                </c:pt>
                <c:pt idx="718">
                  <c:v>43871</c:v>
                </c:pt>
                <c:pt idx="719">
                  <c:v>43870</c:v>
                </c:pt>
                <c:pt idx="720">
                  <c:v>43869</c:v>
                </c:pt>
                <c:pt idx="721">
                  <c:v>43868</c:v>
                </c:pt>
                <c:pt idx="722">
                  <c:v>43867</c:v>
                </c:pt>
                <c:pt idx="723">
                  <c:v>43866</c:v>
                </c:pt>
                <c:pt idx="724">
                  <c:v>43865</c:v>
                </c:pt>
                <c:pt idx="725">
                  <c:v>43864</c:v>
                </c:pt>
                <c:pt idx="726">
                  <c:v>43863</c:v>
                </c:pt>
                <c:pt idx="727">
                  <c:v>43862</c:v>
                </c:pt>
                <c:pt idx="728">
                  <c:v>43861</c:v>
                </c:pt>
                <c:pt idx="729">
                  <c:v>43860</c:v>
                </c:pt>
                <c:pt idx="730">
                  <c:v>43859</c:v>
                </c:pt>
                <c:pt idx="731">
                  <c:v>43858</c:v>
                </c:pt>
                <c:pt idx="732">
                  <c:v>43857</c:v>
                </c:pt>
                <c:pt idx="733">
                  <c:v>43856</c:v>
                </c:pt>
                <c:pt idx="734">
                  <c:v>43855</c:v>
                </c:pt>
                <c:pt idx="735">
                  <c:v>43854</c:v>
                </c:pt>
                <c:pt idx="736">
                  <c:v>43853</c:v>
                </c:pt>
                <c:pt idx="737">
                  <c:v>43852</c:v>
                </c:pt>
                <c:pt idx="738">
                  <c:v>43851</c:v>
                </c:pt>
                <c:pt idx="739">
                  <c:v>43850</c:v>
                </c:pt>
                <c:pt idx="740">
                  <c:v>43849</c:v>
                </c:pt>
                <c:pt idx="741">
                  <c:v>43848</c:v>
                </c:pt>
                <c:pt idx="742">
                  <c:v>43847</c:v>
                </c:pt>
                <c:pt idx="743">
                  <c:v>43846</c:v>
                </c:pt>
                <c:pt idx="744">
                  <c:v>43845</c:v>
                </c:pt>
                <c:pt idx="745">
                  <c:v>43844</c:v>
                </c:pt>
                <c:pt idx="746">
                  <c:v>43843</c:v>
                </c:pt>
                <c:pt idx="747">
                  <c:v>43842</c:v>
                </c:pt>
                <c:pt idx="748">
                  <c:v>43841</c:v>
                </c:pt>
                <c:pt idx="749">
                  <c:v>43840</c:v>
                </c:pt>
                <c:pt idx="750">
                  <c:v>43839</c:v>
                </c:pt>
                <c:pt idx="751">
                  <c:v>43838</c:v>
                </c:pt>
                <c:pt idx="752">
                  <c:v>43837</c:v>
                </c:pt>
                <c:pt idx="753">
                  <c:v>43836</c:v>
                </c:pt>
                <c:pt idx="754">
                  <c:v>43835</c:v>
                </c:pt>
                <c:pt idx="755">
                  <c:v>43834</c:v>
                </c:pt>
                <c:pt idx="756">
                  <c:v>43833</c:v>
                </c:pt>
                <c:pt idx="757">
                  <c:v>43832</c:v>
                </c:pt>
                <c:pt idx="758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5.4831460747340905</c:v>
                </c:pt>
                <c:pt idx="1">
                  <c:v>5.51264009985037</c:v>
                </c:pt>
                <c:pt idx="2">
                  <c:v>5.7297812927185872</c:v>
                </c:pt>
                <c:pt idx="3">
                  <c:v>5.6066244356824422</c:v>
                </c:pt>
                <c:pt idx="4">
                  <c:v>5.547933966832268</c:v>
                </c:pt>
                <c:pt idx="5">
                  <c:v>5.231473964950351</c:v>
                </c:pt>
                <c:pt idx="6">
                  <c:v>5.0177791669485456</c:v>
                </c:pt>
                <c:pt idx="7">
                  <c:v>5.5638809318019335</c:v>
                </c:pt>
                <c:pt idx="8">
                  <c:v>5.8882516431120804</c:v>
                </c:pt>
                <c:pt idx="9">
                  <c:v>5.9316776216412022</c:v>
                </c:pt>
                <c:pt idx="10">
                  <c:v>5.9490285101253377</c:v>
                </c:pt>
                <c:pt idx="11">
                  <c:v>6.2378970874287099</c:v>
                </c:pt>
                <c:pt idx="12">
                  <c:v>6.1118192998354477</c:v>
                </c:pt>
                <c:pt idx="13">
                  <c:v>6.1599496765598838</c:v>
                </c:pt>
                <c:pt idx="14">
                  <c:v>6.053236550134546</c:v>
                </c:pt>
                <c:pt idx="15">
                  <c:v>6.3707498203775366</c:v>
                </c:pt>
                <c:pt idx="16">
                  <c:v>6.0762643254225805</c:v>
                </c:pt>
                <c:pt idx="17">
                  <c:v>5.7953550404655605</c:v>
                </c:pt>
                <c:pt idx="18">
                  <c:v>5.8585488891855615</c:v>
                </c:pt>
                <c:pt idx="19">
                  <c:v>5.8794616812865153</c:v>
                </c:pt>
                <c:pt idx="20">
                  <c:v>5.9076976585944561</c:v>
                </c:pt>
                <c:pt idx="21">
                  <c:v>6.1195840883226547</c:v>
                </c:pt>
                <c:pt idx="22">
                  <c:v>5.9728242062671919</c:v>
                </c:pt>
                <c:pt idx="23">
                  <c:v>6.2236189910140984</c:v>
                </c:pt>
                <c:pt idx="24">
                  <c:v>6.7539757584967264</c:v>
                </c:pt>
                <c:pt idx="25">
                  <c:v>6.4048925376812766</c:v>
                </c:pt>
                <c:pt idx="26">
                  <c:v>6.6131408170231696</c:v>
                </c:pt>
                <c:pt idx="27">
                  <c:v>6.4775960453696264</c:v>
                </c:pt>
                <c:pt idx="28">
                  <c:v>6.7762135655194387</c:v>
                </c:pt>
                <c:pt idx="29">
                  <c:v>6.2739520193938283</c:v>
                </c:pt>
                <c:pt idx="30">
                  <c:v>6.0575497788476094</c:v>
                </c:pt>
                <c:pt idx="31">
                  <c:v>6.4096837868934253</c:v>
                </c:pt>
                <c:pt idx="32">
                  <c:v>6.3645415766454905</c:v>
                </c:pt>
                <c:pt idx="33">
                  <c:v>6.2766530265442757</c:v>
                </c:pt>
                <c:pt idx="34">
                  <c:v>6.2098381025588747</c:v>
                </c:pt>
                <c:pt idx="35">
                  <c:v>6.0815725379163688</c:v>
                </c:pt>
                <c:pt idx="36">
                  <c:v>5.8442036452073145</c:v>
                </c:pt>
                <c:pt idx="37">
                  <c:v>5.9686871897429805</c:v>
                </c:pt>
                <c:pt idx="38">
                  <c:v>5.7528995414973663</c:v>
                </c:pt>
                <c:pt idx="39">
                  <c:v>5.8059872878084322</c:v>
                </c:pt>
                <c:pt idx="40">
                  <c:v>5.9629380475185769</c:v>
                </c:pt>
                <c:pt idx="41">
                  <c:v>5.8948937381172168</c:v>
                </c:pt>
                <c:pt idx="42">
                  <c:v>5.9538937440568915</c:v>
                </c:pt>
                <c:pt idx="43">
                  <c:v>6.117284989593883</c:v>
                </c:pt>
                <c:pt idx="44">
                  <c:v>5.9397010834461259</c:v>
                </c:pt>
                <c:pt idx="45">
                  <c:v>5.7572371133032672</c:v>
                </c:pt>
                <c:pt idx="46">
                  <c:v>6.1183151945808376</c:v>
                </c:pt>
                <c:pt idx="47">
                  <c:v>6.1047619789317142</c:v>
                </c:pt>
                <c:pt idx="48">
                  <c:v>6.0906404026337455</c:v>
                </c:pt>
                <c:pt idx="49">
                  <c:v>6.3508745271400029</c:v>
                </c:pt>
                <c:pt idx="50">
                  <c:v>6.6577057846282663</c:v>
                </c:pt>
                <c:pt idx="51">
                  <c:v>6.4007170167935845</c:v>
                </c:pt>
                <c:pt idx="52">
                  <c:v>6.6893223384091263</c:v>
                </c:pt>
                <c:pt idx="53">
                  <c:v>6.4887806585354095</c:v>
                </c:pt>
                <c:pt idx="54">
                  <c:v>5.6431014285354086</c:v>
                </c:pt>
                <c:pt idx="55">
                  <c:v>5.1604671862551568</c:v>
                </c:pt>
                <c:pt idx="56">
                  <c:v>5.4251391063190537</c:v>
                </c:pt>
                <c:pt idx="57">
                  <c:v>5.7952989792554002</c:v>
                </c:pt>
                <c:pt idx="58">
                  <c:v>5.4606895500191648</c:v>
                </c:pt>
                <c:pt idx="59">
                  <c:v>5.4055834804909253</c:v>
                </c:pt>
                <c:pt idx="60">
                  <c:v>5.3378953109022724</c:v>
                </c:pt>
                <c:pt idx="61">
                  <c:v>5.0011720295799584</c:v>
                </c:pt>
                <c:pt idx="62">
                  <c:v>4.9237850224831856</c:v>
                </c:pt>
                <c:pt idx="63">
                  <c:v>5.4148825657115314</c:v>
                </c:pt>
                <c:pt idx="64">
                  <c:v>5.1600091787090143</c:v>
                </c:pt>
                <c:pt idx="65">
                  <c:v>5.2298125519991974</c:v>
                </c:pt>
                <c:pt idx="66">
                  <c:v>4.8860013127905644</c:v>
                </c:pt>
                <c:pt idx="67">
                  <c:v>5.1436872045759925</c:v>
                </c:pt>
                <c:pt idx="68">
                  <c:v>5.2152306662260379</c:v>
                </c:pt>
                <c:pt idx="69">
                  <c:v>5.1768071875715416</c:v>
                </c:pt>
                <c:pt idx="70">
                  <c:v>4.7394433186939917</c:v>
                </c:pt>
                <c:pt idx="71">
                  <c:v>8.3272092745670214</c:v>
                </c:pt>
                <c:pt idx="72">
                  <c:v>8.4679490046273322</c:v>
                </c:pt>
                <c:pt idx="73">
                  <c:v>8.4854666293323255</c:v>
                </c:pt>
                <c:pt idx="74">
                  <c:v>8.7701228176351975</c:v>
                </c:pt>
                <c:pt idx="75">
                  <c:v>8.9313121820831469</c:v>
                </c:pt>
                <c:pt idx="76">
                  <c:v>9.0928644068159716</c:v>
                </c:pt>
                <c:pt idx="77">
                  <c:v>9.4673692328631276</c:v>
                </c:pt>
                <c:pt idx="78">
                  <c:v>9.1222887126579728</c:v>
                </c:pt>
                <c:pt idx="79">
                  <c:v>9.8490485652620734</c:v>
                </c:pt>
                <c:pt idx="80">
                  <c:v>10.134345942404931</c:v>
                </c:pt>
                <c:pt idx="81">
                  <c:v>9.7189519969104214</c:v>
                </c:pt>
                <c:pt idx="82">
                  <c:v>9.5853228196914877</c:v>
                </c:pt>
                <c:pt idx="83">
                  <c:v>9.5296676689032012</c:v>
                </c:pt>
                <c:pt idx="84">
                  <c:v>9.6824622347345812</c:v>
                </c:pt>
                <c:pt idx="85">
                  <c:v>9.8115124380169174</c:v>
                </c:pt>
                <c:pt idx="86">
                  <c:v>9.6223762653116047</c:v>
                </c:pt>
                <c:pt idx="87">
                  <c:v>9.6710885905543229</c:v>
                </c:pt>
                <c:pt idx="88">
                  <c:v>9.6103961337034942</c:v>
                </c:pt>
                <c:pt idx="89">
                  <c:v>9.462344404505842</c:v>
                </c:pt>
                <c:pt idx="90">
                  <c:v>9.4862932095058419</c:v>
                </c:pt>
                <c:pt idx="91">
                  <c:v>9.4922537755178187</c:v>
                </c:pt>
                <c:pt idx="92">
                  <c:v>9.2462639698342564</c:v>
                </c:pt>
                <c:pt idx="93">
                  <c:v>9.6439091937699999</c:v>
                </c:pt>
                <c:pt idx="94">
                  <c:v>9.4715319826712427</c:v>
                </c:pt>
                <c:pt idx="95">
                  <c:v>8.9547126611296246</c:v>
                </c:pt>
                <c:pt idx="96">
                  <c:v>9.1048716509936192</c:v>
                </c:pt>
                <c:pt idx="97">
                  <c:v>9.0017590682663471</c:v>
                </c:pt>
                <c:pt idx="98">
                  <c:v>8.9678304196545824</c:v>
                </c:pt>
                <c:pt idx="99">
                  <c:v>9.0187433723996797</c:v>
                </c:pt>
                <c:pt idx="100">
                  <c:v>8.8637951595739128</c:v>
                </c:pt>
                <c:pt idx="101">
                  <c:v>8.9502457944478611</c:v>
                </c:pt>
                <c:pt idx="102">
                  <c:v>8.9690855183071356</c:v>
                </c:pt>
                <c:pt idx="103">
                  <c:v>9.1651407741685933</c:v>
                </c:pt>
                <c:pt idx="104">
                  <c:v>9.1261122223819502</c:v>
                </c:pt>
                <c:pt idx="105">
                  <c:v>9.2360710606397056</c:v>
                </c:pt>
                <c:pt idx="106">
                  <c:v>9.3573180173572652</c:v>
                </c:pt>
                <c:pt idx="107">
                  <c:v>9.0953528523226961</c:v>
                </c:pt>
                <c:pt idx="108">
                  <c:v>8.7202016604449657</c:v>
                </c:pt>
                <c:pt idx="109">
                  <c:v>8.8774293775841393</c:v>
                </c:pt>
                <c:pt idx="110">
                  <c:v>9.1330689062646453</c:v>
                </c:pt>
                <c:pt idx="111">
                  <c:v>9.2174229458646462</c:v>
                </c:pt>
                <c:pt idx="112">
                  <c:v>9.6489819817479532</c:v>
                </c:pt>
                <c:pt idx="113">
                  <c:v>9.3132174533492229</c:v>
                </c:pt>
                <c:pt idx="114">
                  <c:v>9.8042151103792978</c:v>
                </c:pt>
                <c:pt idx="115">
                  <c:v>10.135538242507254</c:v>
                </c:pt>
                <c:pt idx="116">
                  <c:v>10.568936832881354</c:v>
                </c:pt>
                <c:pt idx="117">
                  <c:v>9.8724947865726307</c:v>
                </c:pt>
                <c:pt idx="118">
                  <c:v>10.069242946578381</c:v>
                </c:pt>
                <c:pt idx="119">
                  <c:v>9.6563327228272371</c:v>
                </c:pt>
                <c:pt idx="120">
                  <c:v>9.5517203768449939</c:v>
                </c:pt>
                <c:pt idx="121">
                  <c:v>9.8250195681963461</c:v>
                </c:pt>
                <c:pt idx="122">
                  <c:v>10.36150063092362</c:v>
                </c:pt>
                <c:pt idx="123">
                  <c:v>11.084823585297638</c:v>
                </c:pt>
                <c:pt idx="124">
                  <c:v>10.407500386756746</c:v>
                </c:pt>
                <c:pt idx="125">
                  <c:v>10.619487676756746</c:v>
                </c:pt>
                <c:pt idx="126">
                  <c:v>11.008251513529151</c:v>
                </c:pt>
                <c:pt idx="127">
                  <c:v>10.392885980163186</c:v>
                </c:pt>
                <c:pt idx="128">
                  <c:v>9.7940658074266143</c:v>
                </c:pt>
                <c:pt idx="129">
                  <c:v>10.390968547837975</c:v>
                </c:pt>
                <c:pt idx="130">
                  <c:v>10.727463600394705</c:v>
                </c:pt>
                <c:pt idx="131">
                  <c:v>11.261212846022868</c:v>
                </c:pt>
                <c:pt idx="132">
                  <c:v>10.840423984484405</c:v>
                </c:pt>
                <c:pt idx="133">
                  <c:v>11.501198613278834</c:v>
                </c:pt>
                <c:pt idx="134">
                  <c:v>11.549868071937439</c:v>
                </c:pt>
                <c:pt idx="135">
                  <c:v>11.927972239598727</c:v>
                </c:pt>
                <c:pt idx="136">
                  <c:v>12.598870938855967</c:v>
                </c:pt>
                <c:pt idx="137">
                  <c:v>13.462166264250927</c:v>
                </c:pt>
                <c:pt idx="138">
                  <c:v>12.010533705492305</c:v>
                </c:pt>
                <c:pt idx="139">
                  <c:v>13.558022328723403</c:v>
                </c:pt>
                <c:pt idx="140">
                  <c:v>14.747360773862697</c:v>
                </c:pt>
                <c:pt idx="141">
                  <c:v>13.192356224434253</c:v>
                </c:pt>
                <c:pt idx="142">
                  <c:v>9.636258237955996</c:v>
                </c:pt>
                <c:pt idx="143">
                  <c:v>9.5945796549258837</c:v>
                </c:pt>
                <c:pt idx="144">
                  <c:v>9.1061372341126869</c:v>
                </c:pt>
                <c:pt idx="145">
                  <c:v>8.8213713554987834</c:v>
                </c:pt>
                <c:pt idx="146">
                  <c:v>8.8930738705865018</c:v>
                </c:pt>
                <c:pt idx="147">
                  <c:v>8.674805889751827</c:v>
                </c:pt>
                <c:pt idx="148">
                  <c:v>8.7399771925296061</c:v>
                </c:pt>
                <c:pt idx="149">
                  <c:v>8.4993562197994184</c:v>
                </c:pt>
                <c:pt idx="150">
                  <c:v>8.3030557738088628</c:v>
                </c:pt>
                <c:pt idx="151">
                  <c:v>8.3964831118917154</c:v>
                </c:pt>
                <c:pt idx="152">
                  <c:v>8.4778843393731975</c:v>
                </c:pt>
                <c:pt idx="153">
                  <c:v>8.5525814681749104</c:v>
                </c:pt>
                <c:pt idx="154">
                  <c:v>8.285379176914855</c:v>
                </c:pt>
                <c:pt idx="155">
                  <c:v>8.4650246274206467</c:v>
                </c:pt>
                <c:pt idx="156">
                  <c:v>8.2810781538656482</c:v>
                </c:pt>
                <c:pt idx="157">
                  <c:v>8.5899757194695123</c:v>
                </c:pt>
                <c:pt idx="158">
                  <c:v>8.5120843588145316</c:v>
                </c:pt>
                <c:pt idx="159">
                  <c:v>8.4597283929552773</c:v>
                </c:pt>
                <c:pt idx="160">
                  <c:v>8.5369920513166928</c:v>
                </c:pt>
                <c:pt idx="161">
                  <c:v>8.029828981201014</c:v>
                </c:pt>
                <c:pt idx="162">
                  <c:v>7.4677790928412611</c:v>
                </c:pt>
                <c:pt idx="163">
                  <c:v>7.3360962172528099</c:v>
                </c:pt>
                <c:pt idx="164">
                  <c:v>7.7906815608947291</c:v>
                </c:pt>
                <c:pt idx="165">
                  <c:v>8.2204769587299875</c:v>
                </c:pt>
                <c:pt idx="166">
                  <c:v>7.9760670466429255</c:v>
                </c:pt>
                <c:pt idx="167">
                  <c:v>8.1650388811645929</c:v>
                </c:pt>
                <c:pt idx="168">
                  <c:v>7.810749055943651</c:v>
                </c:pt>
                <c:pt idx="169">
                  <c:v>8.0707244324133374</c:v>
                </c:pt>
                <c:pt idx="170">
                  <c:v>8.2291535554033572</c:v>
                </c:pt>
                <c:pt idx="171">
                  <c:v>8.1409125595944474</c:v>
                </c:pt>
                <c:pt idx="172">
                  <c:v>8.0143175692050601</c:v>
                </c:pt>
                <c:pt idx="173">
                  <c:v>8.219918676274423</c:v>
                </c:pt>
                <c:pt idx="174">
                  <c:v>8.1392633189193777</c:v>
                </c:pt>
                <c:pt idx="175">
                  <c:v>8.0513185143437838</c:v>
                </c:pt>
                <c:pt idx="176">
                  <c:v>7.900117541856968</c:v>
                </c:pt>
                <c:pt idx="177">
                  <c:v>7.7489165693701523</c:v>
                </c:pt>
                <c:pt idx="178">
                  <c:v>7.6925710178517859</c:v>
                </c:pt>
                <c:pt idx="179">
                  <c:v>7.6637254239374091</c:v>
                </c:pt>
                <c:pt idx="180">
                  <c:v>7.6863364755374084</c:v>
                </c:pt>
                <c:pt idx="181">
                  <c:v>7.844821315829301</c:v>
                </c:pt>
                <c:pt idx="182">
                  <c:v>7.8486261390314285</c:v>
                </c:pt>
                <c:pt idx="183">
                  <c:v>7.7191861594040416</c:v>
                </c:pt>
                <c:pt idx="184">
                  <c:v>7.6852164673190426</c:v>
                </c:pt>
                <c:pt idx="185">
                  <c:v>7.6948270735333288</c:v>
                </c:pt>
                <c:pt idx="186">
                  <c:v>7.6305751552961025</c:v>
                </c:pt>
                <c:pt idx="187">
                  <c:v>7.8718942092422148</c:v>
                </c:pt>
                <c:pt idx="188">
                  <c:v>7.739010448927341</c:v>
                </c:pt>
                <c:pt idx="189">
                  <c:v>7.7296934175822702</c:v>
                </c:pt>
                <c:pt idx="190">
                  <c:v>7.6517155252397533</c:v>
                </c:pt>
                <c:pt idx="191">
                  <c:v>7.5357314074725759</c:v>
                </c:pt>
                <c:pt idx="192">
                  <c:v>7.4150442291966865</c:v>
                </c:pt>
                <c:pt idx="193">
                  <c:v>7.5308494678839777</c:v>
                </c:pt>
                <c:pt idx="194">
                  <c:v>7.6217073920370719</c:v>
                </c:pt>
                <c:pt idx="195">
                  <c:v>7.6037808061501151</c:v>
                </c:pt>
                <c:pt idx="196">
                  <c:v>7.6337686263341169</c:v>
                </c:pt>
                <c:pt idx="197">
                  <c:v>7.742907867152427</c:v>
                </c:pt>
                <c:pt idx="198">
                  <c:v>7.7926593691503987</c:v>
                </c:pt>
                <c:pt idx="199">
                  <c:v>7.7631676073868858</c:v>
                </c:pt>
                <c:pt idx="200">
                  <c:v>7.754178941968779</c:v>
                </c:pt>
                <c:pt idx="201">
                  <c:v>7.7838149409621131</c:v>
                </c:pt>
                <c:pt idx="202">
                  <c:v>7.811228353570125</c:v>
                </c:pt>
                <c:pt idx="203">
                  <c:v>7.8194528427168386</c:v>
                </c:pt>
                <c:pt idx="204">
                  <c:v>7.7296880364969924</c:v>
                </c:pt>
                <c:pt idx="205">
                  <c:v>7.7710800493076242</c:v>
                </c:pt>
                <c:pt idx="206">
                  <c:v>7.8660489067185653</c:v>
                </c:pt>
                <c:pt idx="207">
                  <c:v>7.8130995348156667</c:v>
                </c:pt>
                <c:pt idx="208">
                  <c:v>7.7833642356009003</c:v>
                </c:pt>
                <c:pt idx="209">
                  <c:v>7.7969934398326242</c:v>
                </c:pt>
                <c:pt idx="210">
                  <c:v>7.7465161976690773</c:v>
                </c:pt>
                <c:pt idx="211">
                  <c:v>7.6487231014682253</c:v>
                </c:pt>
                <c:pt idx="212">
                  <c:v>7.6995923728954363</c:v>
                </c:pt>
                <c:pt idx="213">
                  <c:v>7.6580813900359912</c:v>
                </c:pt>
                <c:pt idx="214">
                  <c:v>7.6268946130510322</c:v>
                </c:pt>
                <c:pt idx="215">
                  <c:v>7.6316075618379475</c:v>
                </c:pt>
                <c:pt idx="216">
                  <c:v>7.5177227403117932</c:v>
                </c:pt>
                <c:pt idx="217">
                  <c:v>7.4163545296745976</c:v>
                </c:pt>
                <c:pt idx="218">
                  <c:v>7.6016742254927419</c:v>
                </c:pt>
                <c:pt idx="219">
                  <c:v>7.5038814697836234</c:v>
                </c:pt>
                <c:pt idx="220">
                  <c:v>7.3226437529385029</c:v>
                </c:pt>
                <c:pt idx="221">
                  <c:v>7.4473033179719623</c:v>
                </c:pt>
                <c:pt idx="222">
                  <c:v>7.8192623862634845</c:v>
                </c:pt>
                <c:pt idx="223">
                  <c:v>7.7224762206946771</c:v>
                </c:pt>
                <c:pt idx="224">
                  <c:v>7.8922219582946767</c:v>
                </c:pt>
                <c:pt idx="225">
                  <c:v>7.9965998986838844</c:v>
                </c:pt>
                <c:pt idx="226">
                  <c:v>7.9099685255438841</c:v>
                </c:pt>
                <c:pt idx="227">
                  <c:v>7.9620861328496471</c:v>
                </c:pt>
                <c:pt idx="228">
                  <c:v>8.108191856132132</c:v>
                </c:pt>
                <c:pt idx="229">
                  <c:v>8.1088346734651466</c:v>
                </c:pt>
                <c:pt idx="230">
                  <c:v>8.0135243393616715</c:v>
                </c:pt>
                <c:pt idx="231">
                  <c:v>7.9027154100798791</c:v>
                </c:pt>
                <c:pt idx="232">
                  <c:v>8.1917317791693431</c:v>
                </c:pt>
                <c:pt idx="233">
                  <c:v>7.8505760230815067</c:v>
                </c:pt>
                <c:pt idx="234">
                  <c:v>7.7857195131211476</c:v>
                </c:pt>
                <c:pt idx="235">
                  <c:v>7.6777172029689078</c:v>
                </c:pt>
                <c:pt idx="236">
                  <c:v>7.8360101131031801</c:v>
                </c:pt>
                <c:pt idx="237">
                  <c:v>7.6969274944041617</c:v>
                </c:pt>
                <c:pt idx="238">
                  <c:v>7.8456680904987275</c:v>
                </c:pt>
                <c:pt idx="239">
                  <c:v>7.9361736976840787</c:v>
                </c:pt>
                <c:pt idx="240">
                  <c:v>7.7872607578131099</c:v>
                </c:pt>
                <c:pt idx="241">
                  <c:v>7.6242642635498221</c:v>
                </c:pt>
                <c:pt idx="242">
                  <c:v>7.7253498151877036</c:v>
                </c:pt>
                <c:pt idx="243">
                  <c:v>7.5013267671413146</c:v>
                </c:pt>
                <c:pt idx="244">
                  <c:v>7.4597149398449289</c:v>
                </c:pt>
                <c:pt idx="245">
                  <c:v>7.5476188079975675</c:v>
                </c:pt>
                <c:pt idx="246">
                  <c:v>7.6156234547440267</c:v>
                </c:pt>
                <c:pt idx="247">
                  <c:v>7.659518143111991</c:v>
                </c:pt>
                <c:pt idx="248">
                  <c:v>7.544260184277678</c:v>
                </c:pt>
                <c:pt idx="249">
                  <c:v>7.3830746830014329</c:v>
                </c:pt>
                <c:pt idx="250">
                  <c:v>7.139660055874903</c:v>
                </c:pt>
                <c:pt idx="251">
                  <c:v>7.2881189224537239</c:v>
                </c:pt>
                <c:pt idx="252">
                  <c:v>7.1010223022386718</c:v>
                </c:pt>
                <c:pt idx="253">
                  <c:v>7.1742504151077249</c:v>
                </c:pt>
                <c:pt idx="254">
                  <c:v>6.5794697049528894</c:v>
                </c:pt>
                <c:pt idx="255">
                  <c:v>7.0782787631743647</c:v>
                </c:pt>
                <c:pt idx="256">
                  <c:v>6.9004346275018031</c:v>
                </c:pt>
                <c:pt idx="257">
                  <c:v>7.1501770420473978</c:v>
                </c:pt>
                <c:pt idx="258">
                  <c:v>7.3517609808307807</c:v>
                </c:pt>
                <c:pt idx="259">
                  <c:v>7.7904944382002919</c:v>
                </c:pt>
                <c:pt idx="260">
                  <c:v>7.4588626820801247</c:v>
                </c:pt>
                <c:pt idx="261">
                  <c:v>7.3404219201347276</c:v>
                </c:pt>
                <c:pt idx="262">
                  <c:v>7.646419223182594</c:v>
                </c:pt>
                <c:pt idx="263">
                  <c:v>7.3684195324251558</c:v>
                </c:pt>
                <c:pt idx="264">
                  <c:v>7.5476109357595398</c:v>
                </c:pt>
                <c:pt idx="265">
                  <c:v>7.3129245001452956</c:v>
                </c:pt>
                <c:pt idx="266">
                  <c:v>7.4982413533447101</c:v>
                </c:pt>
                <c:pt idx="267">
                  <c:v>7.5378139626535337</c:v>
                </c:pt>
                <c:pt idx="268">
                  <c:v>7.1624262268471606</c:v>
                </c:pt>
                <c:pt idx="269">
                  <c:v>6.870543770866437</c:v>
                </c:pt>
                <c:pt idx="270">
                  <c:v>7.2891409711065167</c:v>
                </c:pt>
                <c:pt idx="271">
                  <c:v>7.2630675719834565</c:v>
                </c:pt>
                <c:pt idx="272">
                  <c:v>7.1342559004924899</c:v>
                </c:pt>
                <c:pt idx="273">
                  <c:v>7.0630826439179382</c:v>
                </c:pt>
                <c:pt idx="274">
                  <c:v>6.8725252505229584</c:v>
                </c:pt>
                <c:pt idx="275">
                  <c:v>6.8099364599355647</c:v>
                </c:pt>
                <c:pt idx="276">
                  <c:v>6.7320802173705774</c:v>
                </c:pt>
                <c:pt idx="277">
                  <c:v>6.4872477077468274</c:v>
                </c:pt>
                <c:pt idx="278">
                  <c:v>6.116546715680844</c:v>
                </c:pt>
                <c:pt idx="279">
                  <c:v>6.2146542708368271</c:v>
                </c:pt>
                <c:pt idx="280">
                  <c:v>6.4216275873034228</c:v>
                </c:pt>
                <c:pt idx="281">
                  <c:v>5.7404546648221073</c:v>
                </c:pt>
                <c:pt idx="282">
                  <c:v>6.129356166288102</c:v>
                </c:pt>
                <c:pt idx="283">
                  <c:v>6.5887978763589636</c:v>
                </c:pt>
                <c:pt idx="284">
                  <c:v>6.3794795967991753</c:v>
                </c:pt>
                <c:pt idx="285">
                  <c:v>6.9947908709968427</c:v>
                </c:pt>
                <c:pt idx="286">
                  <c:v>7.0231062252335823</c:v>
                </c:pt>
                <c:pt idx="287">
                  <c:v>6.6774825964412257</c:v>
                </c:pt>
                <c:pt idx="288">
                  <c:v>6.6596702000456656</c:v>
                </c:pt>
                <c:pt idx="289">
                  <c:v>6.4862136977889087</c:v>
                </c:pt>
                <c:pt idx="290">
                  <c:v>6.4386229773625283</c:v>
                </c:pt>
                <c:pt idx="291">
                  <c:v>6.243509131555081</c:v>
                </c:pt>
                <c:pt idx="292">
                  <c:v>6.4496730575589831</c:v>
                </c:pt>
                <c:pt idx="293">
                  <c:v>6.1074072698476174</c:v>
                </c:pt>
                <c:pt idx="294">
                  <c:v>6.2829339156343176</c:v>
                </c:pt>
                <c:pt idx="295">
                  <c:v>6.1488132591461362</c:v>
                </c:pt>
                <c:pt idx="296">
                  <c:v>6.0648747060461368</c:v>
                </c:pt>
                <c:pt idx="297">
                  <c:v>6.4086949856878892</c:v>
                </c:pt>
                <c:pt idx="298">
                  <c:v>6.5563570029324891</c:v>
                </c:pt>
                <c:pt idx="299">
                  <c:v>6.2689396763875829</c:v>
                </c:pt>
                <c:pt idx="300">
                  <c:v>6.1648363259406258</c:v>
                </c:pt>
                <c:pt idx="301">
                  <c:v>6.7561107770398712</c:v>
                </c:pt>
                <c:pt idx="302">
                  <c:v>6.5560777334933249</c:v>
                </c:pt>
                <c:pt idx="303">
                  <c:v>6.7126985854538415</c:v>
                </c:pt>
                <c:pt idx="304">
                  <c:v>6.3313295183524554</c:v>
                </c:pt>
                <c:pt idx="305">
                  <c:v>6.6338653656687239</c:v>
                </c:pt>
                <c:pt idx="306">
                  <c:v>6.2643089037931929</c:v>
                </c:pt>
                <c:pt idx="307">
                  <c:v>6.0330274292667561</c:v>
                </c:pt>
                <c:pt idx="308">
                  <c:v>5.9894522616918957</c:v>
                </c:pt>
                <c:pt idx="309">
                  <c:v>5.7554263138107986</c:v>
                </c:pt>
                <c:pt idx="310">
                  <c:v>5.5988140237553532</c:v>
                </c:pt>
                <c:pt idx="311">
                  <c:v>5.8537819490887522</c:v>
                </c:pt>
                <c:pt idx="312">
                  <c:v>5.8326376671772096</c:v>
                </c:pt>
                <c:pt idx="313">
                  <c:v>6.0720368508332783</c:v>
                </c:pt>
                <c:pt idx="314">
                  <c:v>6.163639138696146</c:v>
                </c:pt>
                <c:pt idx="315">
                  <c:v>6.4189661229407751</c:v>
                </c:pt>
                <c:pt idx="316">
                  <c:v>6.4868608127014893</c:v>
                </c:pt>
                <c:pt idx="317">
                  <c:v>6.9433934924613547</c:v>
                </c:pt>
                <c:pt idx="318">
                  <c:v>6.5175864193785493</c:v>
                </c:pt>
                <c:pt idx="319">
                  <c:v>6.3314132753011991</c:v>
                </c:pt>
                <c:pt idx="320">
                  <c:v>6.8238263386784128</c:v>
                </c:pt>
                <c:pt idx="321">
                  <c:v>6.9947102952670628</c:v>
                </c:pt>
                <c:pt idx="322">
                  <c:v>6.6785141701220629</c:v>
                </c:pt>
                <c:pt idx="323">
                  <c:v>7.0965941455418324</c:v>
                </c:pt>
                <c:pt idx="324">
                  <c:v>7.1238651747376709</c:v>
                </c:pt>
                <c:pt idx="325">
                  <c:v>7.4658063543049646</c:v>
                </c:pt>
                <c:pt idx="326">
                  <c:v>7.0062566455900201</c:v>
                </c:pt>
                <c:pt idx="327">
                  <c:v>6.6256895732798826</c:v>
                </c:pt>
                <c:pt idx="328">
                  <c:v>6.5059876398778487</c:v>
                </c:pt>
                <c:pt idx="329">
                  <c:v>6.3883435913492352</c:v>
                </c:pt>
                <c:pt idx="330">
                  <c:v>6.3612484355182008</c:v>
                </c:pt>
                <c:pt idx="331">
                  <c:v>6.8005470296317014</c:v>
                </c:pt>
                <c:pt idx="332">
                  <c:v>6.4449408216082924</c:v>
                </c:pt>
                <c:pt idx="333">
                  <c:v>6.6792027698525427</c:v>
                </c:pt>
                <c:pt idx="334">
                  <c:v>6.3576161902676436</c:v>
                </c:pt>
                <c:pt idx="335">
                  <c:v>6.4713830180391172</c:v>
                </c:pt>
                <c:pt idx="336">
                  <c:v>6.4014709527960276</c:v>
                </c:pt>
                <c:pt idx="337">
                  <c:v>6.4195146104232537</c:v>
                </c:pt>
                <c:pt idx="338">
                  <c:v>6.992972361413595</c:v>
                </c:pt>
                <c:pt idx="339">
                  <c:v>7.0442168846525162</c:v>
                </c:pt>
                <c:pt idx="340">
                  <c:v>6.9560768704230842</c:v>
                </c:pt>
                <c:pt idx="341">
                  <c:v>6.8903963953033562</c:v>
                </c:pt>
                <c:pt idx="342">
                  <c:v>6.9154357826825184</c:v>
                </c:pt>
                <c:pt idx="343">
                  <c:v>7.2436562775446776</c:v>
                </c:pt>
                <c:pt idx="344">
                  <c:v>7.1956512384771347</c:v>
                </c:pt>
                <c:pt idx="345">
                  <c:v>7.2893663525671339</c:v>
                </c:pt>
                <c:pt idx="346">
                  <c:v>6.9786138120769028</c:v>
                </c:pt>
                <c:pt idx="347">
                  <c:v>7.2575038751581742</c:v>
                </c:pt>
                <c:pt idx="348">
                  <c:v>7.3345350720224527</c:v>
                </c:pt>
                <c:pt idx="349">
                  <c:v>7.6039423311558902</c:v>
                </c:pt>
                <c:pt idx="350">
                  <c:v>7.1790133870422101</c:v>
                </c:pt>
                <c:pt idx="351">
                  <c:v>6.2484498807647251</c:v>
                </c:pt>
                <c:pt idx="352">
                  <c:v>5.7458776902852708</c:v>
                </c:pt>
                <c:pt idx="353">
                  <c:v>5.3072386049774289</c:v>
                </c:pt>
                <c:pt idx="354">
                  <c:v>5.1924353029343191</c:v>
                </c:pt>
                <c:pt idx="355">
                  <c:v>4.8805052383105183</c:v>
                </c:pt>
                <c:pt idx="356">
                  <c:v>4.6512100316189979</c:v>
                </c:pt>
                <c:pt idx="357">
                  <c:v>4.56503262940201</c:v>
                </c:pt>
                <c:pt idx="358">
                  <c:v>4.2729187369614152</c:v>
                </c:pt>
                <c:pt idx="359">
                  <c:v>4.3777098587074157</c:v>
                </c:pt>
                <c:pt idx="360">
                  <c:v>3.9857633663059815</c:v>
                </c:pt>
                <c:pt idx="361">
                  <c:v>3.961492325071696</c:v>
                </c:pt>
                <c:pt idx="362">
                  <c:v>3.9214398916899129</c:v>
                </c:pt>
                <c:pt idx="363">
                  <c:v>4.0459953337740986</c:v>
                </c:pt>
                <c:pt idx="364">
                  <c:v>3.9500335292313689</c:v>
                </c:pt>
                <c:pt idx="365">
                  <c:v>3.7493805500025923</c:v>
                </c:pt>
                <c:pt idx="366">
                  <c:v>3.6669872317658956</c:v>
                </c:pt>
                <c:pt idx="367">
                  <c:v>3.8824493043994024</c:v>
                </c:pt>
                <c:pt idx="368">
                  <c:v>3.6789313067688147</c:v>
                </c:pt>
                <c:pt idx="369">
                  <c:v>4.1766016788248397</c:v>
                </c:pt>
                <c:pt idx="370">
                  <c:v>4.2401010458536073</c:v>
                </c:pt>
                <c:pt idx="371">
                  <c:v>4.0085283996190748</c:v>
                </c:pt>
                <c:pt idx="372">
                  <c:v>3.8377495963757626</c:v>
                </c:pt>
                <c:pt idx="373">
                  <c:v>4.1390098280716687</c:v>
                </c:pt>
                <c:pt idx="374">
                  <c:v>3.7745833343205382</c:v>
                </c:pt>
                <c:pt idx="375">
                  <c:v>4.0505269153636858</c:v>
                </c:pt>
                <c:pt idx="376">
                  <c:v>4.1577291669586414</c:v>
                </c:pt>
                <c:pt idx="377">
                  <c:v>3.5763689014060689</c:v>
                </c:pt>
                <c:pt idx="378">
                  <c:v>3.5477586456229884</c:v>
                </c:pt>
                <c:pt idx="379">
                  <c:v>3.1298304231550742</c:v>
                </c:pt>
                <c:pt idx="380">
                  <c:v>3.0150022039985753</c:v>
                </c:pt>
                <c:pt idx="381">
                  <c:v>2.7008175003664423</c:v>
                </c:pt>
                <c:pt idx="382">
                  <c:v>2.9156949847831508</c:v>
                </c:pt>
                <c:pt idx="383">
                  <c:v>2.8993867853975805</c:v>
                </c:pt>
                <c:pt idx="384">
                  <c:v>2.986248243402907</c:v>
                </c:pt>
                <c:pt idx="385">
                  <c:v>2.6705946848927202</c:v>
                </c:pt>
                <c:pt idx="386">
                  <c:v>2.5864411868620287</c:v>
                </c:pt>
                <c:pt idx="387">
                  <c:v>2.8004457595813905</c:v>
                </c:pt>
                <c:pt idx="388">
                  <c:v>2.4086896271089628</c:v>
                </c:pt>
                <c:pt idx="389">
                  <c:v>1.7787894027522004</c:v>
                </c:pt>
                <c:pt idx="390">
                  <c:v>1.3094444013615427</c:v>
                </c:pt>
                <c:pt idx="391">
                  <c:v>1.0685736733455422</c:v>
                </c:pt>
                <c:pt idx="392">
                  <c:v>1.4749573606455428</c:v>
                </c:pt>
                <c:pt idx="393">
                  <c:v>1.1422504670055824</c:v>
                </c:pt>
                <c:pt idx="394">
                  <c:v>0.97831363801458704</c:v>
                </c:pt>
                <c:pt idx="395">
                  <c:v>1.0987086510970865</c:v>
                </c:pt>
                <c:pt idx="396">
                  <c:v>1.0028452128613718</c:v>
                </c:pt>
                <c:pt idx="397">
                  <c:v>0.74593428316137178</c:v>
                </c:pt>
                <c:pt idx="398">
                  <c:v>0.75183099219880489</c:v>
                </c:pt>
                <c:pt idx="399">
                  <c:v>0.77440732431826176</c:v>
                </c:pt>
                <c:pt idx="400">
                  <c:v>0.88318625517104954</c:v>
                </c:pt>
                <c:pt idx="401">
                  <c:v>0.67481697529736573</c:v>
                </c:pt>
                <c:pt idx="402">
                  <c:v>0.84868476108456303</c:v>
                </c:pt>
                <c:pt idx="403">
                  <c:v>0.78081784827948375</c:v>
                </c:pt>
                <c:pt idx="404">
                  <c:v>0.9589168227983248</c:v>
                </c:pt>
                <c:pt idx="405">
                  <c:v>1.022920199290325</c:v>
                </c:pt>
                <c:pt idx="406">
                  <c:v>1.2932907115695755</c:v>
                </c:pt>
                <c:pt idx="407">
                  <c:v>1.0848449828259656</c:v>
                </c:pt>
                <c:pt idx="408">
                  <c:v>1.2999332262338981</c:v>
                </c:pt>
                <c:pt idx="409">
                  <c:v>1.108420458102511</c:v>
                </c:pt>
                <c:pt idx="410">
                  <c:v>1.134768283702142</c:v>
                </c:pt>
                <c:pt idx="411">
                  <c:v>1.098334134863288</c:v>
                </c:pt>
                <c:pt idx="412">
                  <c:v>1.1651362087044654</c:v>
                </c:pt>
                <c:pt idx="413">
                  <c:v>1.068765616797799</c:v>
                </c:pt>
                <c:pt idx="414">
                  <c:v>1.0181129436161662</c:v>
                </c:pt>
                <c:pt idx="415">
                  <c:v>1.1042981381743056</c:v>
                </c:pt>
                <c:pt idx="416">
                  <c:v>0.92316606708246896</c:v>
                </c:pt>
                <c:pt idx="417">
                  <c:v>1.0861731603841809</c:v>
                </c:pt>
                <c:pt idx="418">
                  <c:v>1.1412328234171905</c:v>
                </c:pt>
                <c:pt idx="419">
                  <c:v>1.1747126909512711</c:v>
                </c:pt>
                <c:pt idx="420">
                  <c:v>1.048637927929627</c:v>
                </c:pt>
                <c:pt idx="421">
                  <c:v>1.4486489534737956</c:v>
                </c:pt>
                <c:pt idx="422">
                  <c:v>1.6643902824758476</c:v>
                </c:pt>
                <c:pt idx="423">
                  <c:v>1.4016279824113684</c:v>
                </c:pt>
                <c:pt idx="424">
                  <c:v>1.6654424670100265</c:v>
                </c:pt>
                <c:pt idx="425">
                  <c:v>1.5224661119540261</c:v>
                </c:pt>
                <c:pt idx="426">
                  <c:v>1.4507219179799837</c:v>
                </c:pt>
                <c:pt idx="427">
                  <c:v>1.4099705759752059</c:v>
                </c:pt>
                <c:pt idx="428">
                  <c:v>1.4176737261277057</c:v>
                </c:pt>
                <c:pt idx="429">
                  <c:v>1.6562610441096421</c:v>
                </c:pt>
                <c:pt idx="430">
                  <c:v>2.1187834098304714</c:v>
                </c:pt>
                <c:pt idx="431">
                  <c:v>1.9462952839812917</c:v>
                </c:pt>
                <c:pt idx="432">
                  <c:v>1.6114599285063946</c:v>
                </c:pt>
                <c:pt idx="433">
                  <c:v>1.6813201350602067</c:v>
                </c:pt>
                <c:pt idx="434">
                  <c:v>1.3930353940411708</c:v>
                </c:pt>
                <c:pt idx="435">
                  <c:v>1.2279363752435606</c:v>
                </c:pt>
                <c:pt idx="436">
                  <c:v>1.1911931987755606</c:v>
                </c:pt>
                <c:pt idx="437">
                  <c:v>1.1711162444937426</c:v>
                </c:pt>
                <c:pt idx="438">
                  <c:v>1.1470094038165504</c:v>
                </c:pt>
                <c:pt idx="439">
                  <c:v>1.0095787990365506</c:v>
                </c:pt>
                <c:pt idx="440">
                  <c:v>1.0718311146460333</c:v>
                </c:pt>
                <c:pt idx="441">
                  <c:v>1.1632400576309796</c:v>
                </c:pt>
                <c:pt idx="442">
                  <c:v>1.0329468206796977</c:v>
                </c:pt>
                <c:pt idx="443">
                  <c:v>1.0761669466045622</c:v>
                </c:pt>
                <c:pt idx="444">
                  <c:v>1.1980407190089573</c:v>
                </c:pt>
                <c:pt idx="445">
                  <c:v>1.0131583887002855</c:v>
                </c:pt>
                <c:pt idx="446">
                  <c:v>1.0549127655982855</c:v>
                </c:pt>
                <c:pt idx="447">
                  <c:v>1.0326692010797012</c:v>
                </c:pt>
                <c:pt idx="448">
                  <c:v>1.2201740167119588</c:v>
                </c:pt>
                <c:pt idx="449">
                  <c:v>1.0771622547751163</c:v>
                </c:pt>
                <c:pt idx="450">
                  <c:v>1.0168613668073441</c:v>
                </c:pt>
                <c:pt idx="451">
                  <c:v>0.96294646413268337</c:v>
                </c:pt>
                <c:pt idx="452">
                  <c:v>0.99417412556226092</c:v>
                </c:pt>
                <c:pt idx="453">
                  <c:v>1.0548655350166654</c:v>
                </c:pt>
                <c:pt idx="454">
                  <c:v>1.0068551218003858</c:v>
                </c:pt>
                <c:pt idx="455">
                  <c:v>1.1067787306525332</c:v>
                </c:pt>
                <c:pt idx="456">
                  <c:v>0.97720764903054125</c:v>
                </c:pt>
                <c:pt idx="457">
                  <c:v>1.1189320846305411</c:v>
                </c:pt>
                <c:pt idx="458">
                  <c:v>1.1732893224434446</c:v>
                </c:pt>
                <c:pt idx="459">
                  <c:v>1.2395991501750236</c:v>
                </c:pt>
                <c:pt idx="460">
                  <c:v>1.2854280182960998</c:v>
                </c:pt>
                <c:pt idx="461">
                  <c:v>1.3069613990320996</c:v>
                </c:pt>
                <c:pt idx="462">
                  <c:v>1.3151015427160997</c:v>
                </c:pt>
                <c:pt idx="463">
                  <c:v>1.3471160358296366</c:v>
                </c:pt>
                <c:pt idx="464">
                  <c:v>1.3153415617280173</c:v>
                </c:pt>
                <c:pt idx="465">
                  <c:v>1.290052262325843</c:v>
                </c:pt>
                <c:pt idx="466">
                  <c:v>1.353954550547176</c:v>
                </c:pt>
                <c:pt idx="467">
                  <c:v>1.407750824800188</c:v>
                </c:pt>
                <c:pt idx="468">
                  <c:v>1.368365266900188</c:v>
                </c:pt>
                <c:pt idx="469">
                  <c:v>1.3129266814279368</c:v>
                </c:pt>
                <c:pt idx="470">
                  <c:v>1.3852455311397551</c:v>
                </c:pt>
                <c:pt idx="471">
                  <c:v>1.4384009856957114</c:v>
                </c:pt>
                <c:pt idx="472">
                  <c:v>1.5160930559354275</c:v>
                </c:pt>
                <c:pt idx="473">
                  <c:v>1.5363081722432463</c:v>
                </c:pt>
                <c:pt idx="474">
                  <c:v>1.5554510086188287</c:v>
                </c:pt>
                <c:pt idx="475">
                  <c:v>1.496018126018829</c:v>
                </c:pt>
                <c:pt idx="476">
                  <c:v>1.5470233618893052</c:v>
                </c:pt>
                <c:pt idx="477">
                  <c:v>1.4335029636296781</c:v>
                </c:pt>
                <c:pt idx="478">
                  <c:v>1.3307731824678808</c:v>
                </c:pt>
                <c:pt idx="479">
                  <c:v>1.2075476459912726</c:v>
                </c:pt>
                <c:pt idx="480">
                  <c:v>1.3213101366792726</c:v>
                </c:pt>
                <c:pt idx="481">
                  <c:v>1.2871462094395463</c:v>
                </c:pt>
                <c:pt idx="482">
                  <c:v>1.2961356689756753</c:v>
                </c:pt>
                <c:pt idx="483">
                  <c:v>1.354119149925971</c:v>
                </c:pt>
                <c:pt idx="484">
                  <c:v>1.3525793602676885</c:v>
                </c:pt>
                <c:pt idx="485">
                  <c:v>1.4969956773443684</c:v>
                </c:pt>
                <c:pt idx="486">
                  <c:v>1.3971480628749469</c:v>
                </c:pt>
                <c:pt idx="487">
                  <c:v>1.2687833844161232</c:v>
                </c:pt>
                <c:pt idx="488">
                  <c:v>1.3632266172154843</c:v>
                </c:pt>
                <c:pt idx="489">
                  <c:v>1.3117700921316133</c:v>
                </c:pt>
                <c:pt idx="490">
                  <c:v>1.3410878533766839</c:v>
                </c:pt>
                <c:pt idx="491">
                  <c:v>1.2410973075525631</c:v>
                </c:pt>
                <c:pt idx="492">
                  <c:v>1.1450403984645223</c:v>
                </c:pt>
                <c:pt idx="493">
                  <c:v>1.2800136840921819</c:v>
                </c:pt>
                <c:pt idx="494">
                  <c:v>1.155033308009707</c:v>
                </c:pt>
                <c:pt idx="495">
                  <c:v>1.3163545672430998</c:v>
                </c:pt>
                <c:pt idx="496">
                  <c:v>1.3726067390097667</c:v>
                </c:pt>
                <c:pt idx="497">
                  <c:v>1.3034022047393443</c:v>
                </c:pt>
                <c:pt idx="498">
                  <c:v>1.3909520327735327</c:v>
                </c:pt>
                <c:pt idx="499">
                  <c:v>1.440026340029162</c:v>
                </c:pt>
                <c:pt idx="500">
                  <c:v>1.3384687031467191</c:v>
                </c:pt>
                <c:pt idx="501">
                  <c:v>1.4644963007467193</c:v>
                </c:pt>
                <c:pt idx="502">
                  <c:v>1.4192588055431048</c:v>
                </c:pt>
                <c:pt idx="503">
                  <c:v>1.4696941026431045</c:v>
                </c:pt>
                <c:pt idx="504">
                  <c:v>1.4484445653931053</c:v>
                </c:pt>
                <c:pt idx="505">
                  <c:v>1.3130874777385242</c:v>
                </c:pt>
                <c:pt idx="506">
                  <c:v>1.4737040628307372</c:v>
                </c:pt>
                <c:pt idx="507">
                  <c:v>1.2638818769167741</c:v>
                </c:pt>
                <c:pt idx="508">
                  <c:v>1.3326385528220377</c:v>
                </c:pt>
                <c:pt idx="509">
                  <c:v>1.2057185880598316</c:v>
                </c:pt>
                <c:pt idx="510">
                  <c:v>1.0403151420249412</c:v>
                </c:pt>
                <c:pt idx="511">
                  <c:v>1.1635462225652753</c:v>
                </c:pt>
                <c:pt idx="512">
                  <c:v>0.97544710358011621</c:v>
                </c:pt>
                <c:pt idx="513">
                  <c:v>1.3085665068674044</c:v>
                </c:pt>
                <c:pt idx="514">
                  <c:v>1.3765828922898928</c:v>
                </c:pt>
                <c:pt idx="515">
                  <c:v>1.4311072623827719</c:v>
                </c:pt>
                <c:pt idx="516">
                  <c:v>1.5788389998945822</c:v>
                </c:pt>
                <c:pt idx="517">
                  <c:v>1.6721589688934277</c:v>
                </c:pt>
                <c:pt idx="518">
                  <c:v>1.6997874687107513</c:v>
                </c:pt>
                <c:pt idx="519">
                  <c:v>1.7345395539242707</c:v>
                </c:pt>
                <c:pt idx="520">
                  <c:v>1.7490458314334016</c:v>
                </c:pt>
                <c:pt idx="521">
                  <c:v>1.8425877472725969</c:v>
                </c:pt>
                <c:pt idx="522">
                  <c:v>2.0394315306955768</c:v>
                </c:pt>
                <c:pt idx="523">
                  <c:v>2.0346456201113075</c:v>
                </c:pt>
                <c:pt idx="524">
                  <c:v>1.8275411278036153</c:v>
                </c:pt>
                <c:pt idx="525">
                  <c:v>1.6401468976706375</c:v>
                </c:pt>
                <c:pt idx="526">
                  <c:v>2.1450677165409751</c:v>
                </c:pt>
                <c:pt idx="527">
                  <c:v>2.1891368327321281</c:v>
                </c:pt>
                <c:pt idx="528">
                  <c:v>1.7790084906968056</c:v>
                </c:pt>
                <c:pt idx="529">
                  <c:v>1.7986583281281137</c:v>
                </c:pt>
                <c:pt idx="530">
                  <c:v>2.2868228262816017</c:v>
                </c:pt>
                <c:pt idx="531">
                  <c:v>2.4855221477631653</c:v>
                </c:pt>
                <c:pt idx="532">
                  <c:v>2.6086943121084287</c:v>
                </c:pt>
                <c:pt idx="533">
                  <c:v>3.2617080976989183</c:v>
                </c:pt>
                <c:pt idx="534">
                  <c:v>2.3635250802364447</c:v>
                </c:pt>
                <c:pt idx="535">
                  <c:v>1.9495387514485503</c:v>
                </c:pt>
                <c:pt idx="536">
                  <c:v>2.0078224316017672</c:v>
                </c:pt>
                <c:pt idx="537">
                  <c:v>1.7284426691446069</c:v>
                </c:pt>
                <c:pt idx="538">
                  <c:v>1.9744976362013233</c:v>
                </c:pt>
                <c:pt idx="539">
                  <c:v>1.5507866766509448</c:v>
                </c:pt>
                <c:pt idx="540">
                  <c:v>1.4042498645002843</c:v>
                </c:pt>
                <c:pt idx="541">
                  <c:v>1.2469984638077904</c:v>
                </c:pt>
                <c:pt idx="542">
                  <c:v>1.2180637975560256</c:v>
                </c:pt>
                <c:pt idx="543">
                  <c:v>1.1458200401506202</c:v>
                </c:pt>
                <c:pt idx="544">
                  <c:v>1.1618234294167493</c:v>
                </c:pt>
                <c:pt idx="545">
                  <c:v>1.1432107791898216</c:v>
                </c:pt>
                <c:pt idx="546">
                  <c:v>1.1701316413998213</c:v>
                </c:pt>
                <c:pt idx="547">
                  <c:v>1.2310488106442301</c:v>
                </c:pt>
                <c:pt idx="548">
                  <c:v>1.0362322239497219</c:v>
                </c:pt>
                <c:pt idx="549">
                  <c:v>1.2080670972483649</c:v>
                </c:pt>
                <c:pt idx="550">
                  <c:v>0.98158774556314321</c:v>
                </c:pt>
                <c:pt idx="551">
                  <c:v>1.115049976002042</c:v>
                </c:pt>
                <c:pt idx="552">
                  <c:v>1.0610786123318292</c:v>
                </c:pt>
                <c:pt idx="553">
                  <c:v>1.1392880437788877</c:v>
                </c:pt>
                <c:pt idx="554">
                  <c:v>1.2980850744011092</c:v>
                </c:pt>
                <c:pt idx="555">
                  <c:v>1.4294781515492005</c:v>
                </c:pt>
                <c:pt idx="556">
                  <c:v>1.5586836192786118</c:v>
                </c:pt>
                <c:pt idx="557">
                  <c:v>1.6872831988616626</c:v>
                </c:pt>
                <c:pt idx="558">
                  <c:v>1.8914897217353468</c:v>
                </c:pt>
                <c:pt idx="559">
                  <c:v>1.7064697216183053</c:v>
                </c:pt>
                <c:pt idx="560">
                  <c:v>1.574742260421732</c:v>
                </c:pt>
                <c:pt idx="561">
                  <c:v>1.9889254682623234</c:v>
                </c:pt>
                <c:pt idx="562">
                  <c:v>0.92730796253784153</c:v>
                </c:pt>
                <c:pt idx="563">
                  <c:v>0.73891117400576589</c:v>
                </c:pt>
                <c:pt idx="564">
                  <c:v>0.58816793485191976</c:v>
                </c:pt>
                <c:pt idx="565">
                  <c:v>0.78090466235160061</c:v>
                </c:pt>
                <c:pt idx="566">
                  <c:v>0.69625866517994672</c:v>
                </c:pt>
                <c:pt idx="567">
                  <c:v>0.51314644410413002</c:v>
                </c:pt>
                <c:pt idx="568">
                  <c:v>0.39124856000656955</c:v>
                </c:pt>
                <c:pt idx="569">
                  <c:v>0.439047642470206</c:v>
                </c:pt>
                <c:pt idx="570">
                  <c:v>0.34354574442108349</c:v>
                </c:pt>
                <c:pt idx="571">
                  <c:v>0.28121197153045868</c:v>
                </c:pt>
                <c:pt idx="572">
                  <c:v>0.1866128695204585</c:v>
                </c:pt>
                <c:pt idx="573">
                  <c:v>0.15997505487798055</c:v>
                </c:pt>
                <c:pt idx="574">
                  <c:v>9.6967560860973676E-2</c:v>
                </c:pt>
                <c:pt idx="575">
                  <c:v>0.13251906341097391</c:v>
                </c:pt>
                <c:pt idx="576">
                  <c:v>0.19264295957649097</c:v>
                </c:pt>
                <c:pt idx="577">
                  <c:v>0.18634227782649096</c:v>
                </c:pt>
                <c:pt idx="578">
                  <c:v>0.21765913356363392</c:v>
                </c:pt>
                <c:pt idx="579">
                  <c:v>0.16960072847727023</c:v>
                </c:pt>
                <c:pt idx="580">
                  <c:v>0.14371047009897583</c:v>
                </c:pt>
                <c:pt idx="581">
                  <c:v>0.1878740295613375</c:v>
                </c:pt>
                <c:pt idx="582">
                  <c:v>0.26205500927562314</c:v>
                </c:pt>
                <c:pt idx="583">
                  <c:v>0.23444777373878092</c:v>
                </c:pt>
                <c:pt idx="584">
                  <c:v>0.32751598928141629</c:v>
                </c:pt>
                <c:pt idx="585">
                  <c:v>0.22933162178141661</c:v>
                </c:pt>
                <c:pt idx="586">
                  <c:v>0.14466237418141661</c:v>
                </c:pt>
                <c:pt idx="587">
                  <c:v>0.20181294007077846</c:v>
                </c:pt>
                <c:pt idx="588">
                  <c:v>0.20105957246503142</c:v>
                </c:pt>
                <c:pt idx="589">
                  <c:v>0.27421590150850988</c:v>
                </c:pt>
                <c:pt idx="590">
                  <c:v>0.37271356939656941</c:v>
                </c:pt>
                <c:pt idx="591">
                  <c:v>0.25802715618566008</c:v>
                </c:pt>
                <c:pt idx="592">
                  <c:v>0.21948545089345245</c:v>
                </c:pt>
                <c:pt idx="593">
                  <c:v>0.14541507192869468</c:v>
                </c:pt>
                <c:pt idx="594">
                  <c:v>0.21838194469302216</c:v>
                </c:pt>
                <c:pt idx="595">
                  <c:v>0.19500890327587947</c:v>
                </c:pt>
                <c:pt idx="596">
                  <c:v>0.17710052210087959</c:v>
                </c:pt>
                <c:pt idx="597">
                  <c:v>0.25879179968624527</c:v>
                </c:pt>
                <c:pt idx="598">
                  <c:v>0.21577855323275683</c:v>
                </c:pt>
                <c:pt idx="599">
                  <c:v>0.16298855764942363</c:v>
                </c:pt>
                <c:pt idx="600">
                  <c:v>0.14209812012883527</c:v>
                </c:pt>
                <c:pt idx="601">
                  <c:v>0.13483725648268127</c:v>
                </c:pt>
                <c:pt idx="602">
                  <c:v>9.9985474876798874E-2</c:v>
                </c:pt>
                <c:pt idx="603">
                  <c:v>0.16407073413316237</c:v>
                </c:pt>
                <c:pt idx="604">
                  <c:v>0.18619019541467477</c:v>
                </c:pt>
                <c:pt idx="605">
                  <c:v>0.18434623302807671</c:v>
                </c:pt>
                <c:pt idx="606">
                  <c:v>0.19172377566222326</c:v>
                </c:pt>
                <c:pt idx="607">
                  <c:v>0.14529981014993079</c:v>
                </c:pt>
                <c:pt idx="608">
                  <c:v>0.33011472750088633</c:v>
                </c:pt>
                <c:pt idx="609">
                  <c:v>0.17391637451338643</c:v>
                </c:pt>
                <c:pt idx="610">
                  <c:v>0.18444051210088647</c:v>
                </c:pt>
                <c:pt idx="611">
                  <c:v>8.502762581199759E-2</c:v>
                </c:pt>
                <c:pt idx="612">
                  <c:v>9.6796923096480372E-2</c:v>
                </c:pt>
                <c:pt idx="613">
                  <c:v>-1.7574345369401556E-2</c:v>
                </c:pt>
                <c:pt idx="614">
                  <c:v>-0.14223490505194089</c:v>
                </c:pt>
                <c:pt idx="615">
                  <c:v>-2.4638717251940789E-2</c:v>
                </c:pt>
                <c:pt idx="616">
                  <c:v>4.7653495802746887E-2</c:v>
                </c:pt>
                <c:pt idx="617">
                  <c:v>-3.0932632779777421E-2</c:v>
                </c:pt>
                <c:pt idx="618">
                  <c:v>3.9059521750640924E-2</c:v>
                </c:pt>
                <c:pt idx="619">
                  <c:v>-2.431449024935908E-2</c:v>
                </c:pt>
                <c:pt idx="620">
                  <c:v>-9.5673399955810728E-2</c:v>
                </c:pt>
                <c:pt idx="621">
                  <c:v>-0.1078123504065801</c:v>
                </c:pt>
                <c:pt idx="622">
                  <c:v>-4.099836684493581E-2</c:v>
                </c:pt>
                <c:pt idx="623">
                  <c:v>-8.7555991392358617E-2</c:v>
                </c:pt>
                <c:pt idx="624">
                  <c:v>-1.8985536238512481E-2</c:v>
                </c:pt>
                <c:pt idx="625">
                  <c:v>3.2139743701487228E-2</c:v>
                </c:pt>
                <c:pt idx="626">
                  <c:v>-1.143997855948811E-2</c:v>
                </c:pt>
                <c:pt idx="627">
                  <c:v>-2.2458433383730478E-2</c:v>
                </c:pt>
                <c:pt idx="628">
                  <c:v>-1.7560285654596646E-2</c:v>
                </c:pt>
                <c:pt idx="629">
                  <c:v>3.7556534411213546E-3</c:v>
                </c:pt>
                <c:pt idx="630">
                  <c:v>8.2827129028890764E-2</c:v>
                </c:pt>
                <c:pt idx="631">
                  <c:v>3.1585427059492094E-4</c:v>
                </c:pt>
                <c:pt idx="632">
                  <c:v>-9.8367377670274314E-2</c:v>
                </c:pt>
                <c:pt idx="633">
                  <c:v>-1.5607276009764727E-2</c:v>
                </c:pt>
                <c:pt idx="634">
                  <c:v>-6.6804994118012093E-2</c:v>
                </c:pt>
                <c:pt idx="635">
                  <c:v>-0.14384575391352766</c:v>
                </c:pt>
                <c:pt idx="636">
                  <c:v>1.2832167917540549E-2</c:v>
                </c:pt>
                <c:pt idx="637">
                  <c:v>-1.9179474335090919E-2</c:v>
                </c:pt>
                <c:pt idx="638">
                  <c:v>1.5857549141831993E-2</c:v>
                </c:pt>
                <c:pt idx="639">
                  <c:v>0.16665681288579459</c:v>
                </c:pt>
                <c:pt idx="640">
                  <c:v>1.2067479436259762E-3</c:v>
                </c:pt>
                <c:pt idx="641">
                  <c:v>1.6098813609867819E-2</c:v>
                </c:pt>
                <c:pt idx="642">
                  <c:v>1.2429255814413339E-2</c:v>
                </c:pt>
                <c:pt idx="643">
                  <c:v>-3.8662487730484835E-2</c:v>
                </c:pt>
                <c:pt idx="644">
                  <c:v>-1.337195905828964E-2</c:v>
                </c:pt>
                <c:pt idx="645">
                  <c:v>-0.10096316628905877</c:v>
                </c:pt>
                <c:pt idx="646">
                  <c:v>-0.16085463816626092</c:v>
                </c:pt>
                <c:pt idx="647">
                  <c:v>-0.22135699499959435</c:v>
                </c:pt>
                <c:pt idx="648">
                  <c:v>-0.22638440910626101</c:v>
                </c:pt>
                <c:pt idx="649">
                  <c:v>-0.1271033900167873</c:v>
                </c:pt>
                <c:pt idx="650">
                  <c:v>-5.4752697495048082E-2</c:v>
                </c:pt>
                <c:pt idx="651">
                  <c:v>-0.12348762052270754</c:v>
                </c:pt>
                <c:pt idx="652">
                  <c:v>-0.11670387375800147</c:v>
                </c:pt>
                <c:pt idx="653">
                  <c:v>-0.24382784984834899</c:v>
                </c:pt>
                <c:pt idx="654">
                  <c:v>-0.21801412862659147</c:v>
                </c:pt>
                <c:pt idx="655">
                  <c:v>-0.2501554963373348</c:v>
                </c:pt>
                <c:pt idx="656">
                  <c:v>-0.30935399844642542</c:v>
                </c:pt>
                <c:pt idx="657">
                  <c:v>-0.23910326613156083</c:v>
                </c:pt>
                <c:pt idx="658">
                  <c:v>-0.2398514699262172</c:v>
                </c:pt>
                <c:pt idx="659">
                  <c:v>-0.14289665087139997</c:v>
                </c:pt>
                <c:pt idx="660">
                  <c:v>-8.3133042668868534E-2</c:v>
                </c:pt>
                <c:pt idx="661">
                  <c:v>-0.18298921593553522</c:v>
                </c:pt>
                <c:pt idx="662">
                  <c:v>-0.10590899483449315</c:v>
                </c:pt>
                <c:pt idx="663">
                  <c:v>-0.24108708477326854</c:v>
                </c:pt>
                <c:pt idx="664">
                  <c:v>-0.14776402455735951</c:v>
                </c:pt>
                <c:pt idx="665">
                  <c:v>-0.30995475560497854</c:v>
                </c:pt>
                <c:pt idx="666">
                  <c:v>-0.31636112606497852</c:v>
                </c:pt>
                <c:pt idx="667">
                  <c:v>-0.29982138935743136</c:v>
                </c:pt>
                <c:pt idx="668">
                  <c:v>-0.36146963861743153</c:v>
                </c:pt>
                <c:pt idx="669">
                  <c:v>-0.34823371682955273</c:v>
                </c:pt>
                <c:pt idx="670">
                  <c:v>-0.45131203129223924</c:v>
                </c:pt>
                <c:pt idx="671">
                  <c:v>-0.40421447828831775</c:v>
                </c:pt>
                <c:pt idx="672">
                  <c:v>-0.43287267500299681</c:v>
                </c:pt>
                <c:pt idx="673">
                  <c:v>-0.28480466839811841</c:v>
                </c:pt>
                <c:pt idx="674">
                  <c:v>-0.38326259184338168</c:v>
                </c:pt>
                <c:pt idx="675">
                  <c:v>-0.3283384816709678</c:v>
                </c:pt>
                <c:pt idx="676">
                  <c:v>-0.37441215570037922</c:v>
                </c:pt>
                <c:pt idx="677">
                  <c:v>-0.45513405863079415</c:v>
                </c:pt>
                <c:pt idx="678">
                  <c:v>-0.24509012471585145</c:v>
                </c:pt>
                <c:pt idx="679">
                  <c:v>-0.22633464494181296</c:v>
                </c:pt>
                <c:pt idx="680">
                  <c:v>-0.15155951428769526</c:v>
                </c:pt>
                <c:pt idx="681">
                  <c:v>-0.1875550425876954</c:v>
                </c:pt>
                <c:pt idx="682">
                  <c:v>-0.25798085510637669</c:v>
                </c:pt>
                <c:pt idx="683">
                  <c:v>-0.28784725031253083</c:v>
                </c:pt>
                <c:pt idx="684">
                  <c:v>-0.22880539899488367</c:v>
                </c:pt>
                <c:pt idx="685">
                  <c:v>-0.14442527289389867</c:v>
                </c:pt>
                <c:pt idx="686">
                  <c:v>-5.4458808605586835E-2</c:v>
                </c:pt>
                <c:pt idx="687">
                  <c:v>-0.19498226983851663</c:v>
                </c:pt>
                <c:pt idx="688">
                  <c:v>9.0091397250592301E-2</c:v>
                </c:pt>
                <c:pt idx="689">
                  <c:v>8.1189431419436547E-2</c:v>
                </c:pt>
                <c:pt idx="690">
                  <c:v>0.10178484418747816</c:v>
                </c:pt>
                <c:pt idx="691">
                  <c:v>6.9057681329478177E-2</c:v>
                </c:pt>
                <c:pt idx="692">
                  <c:v>0.24552697161084719</c:v>
                </c:pt>
                <c:pt idx="693">
                  <c:v>0.36259096305975524</c:v>
                </c:pt>
                <c:pt idx="694">
                  <c:v>0.36520854357255544</c:v>
                </c:pt>
                <c:pt idx="695">
                  <c:v>0.45673183759429459</c:v>
                </c:pt>
                <c:pt idx="696">
                  <c:v>0.42676994134270879</c:v>
                </c:pt>
                <c:pt idx="697">
                  <c:v>0.45199199223664821</c:v>
                </c:pt>
                <c:pt idx="698">
                  <c:v>0.36259344950428424</c:v>
                </c:pt>
                <c:pt idx="699">
                  <c:v>0.40945162712748023</c:v>
                </c:pt>
                <c:pt idx="700">
                  <c:v>0.53249700890670104</c:v>
                </c:pt>
                <c:pt idx="701">
                  <c:v>0.59392169487246005</c:v>
                </c:pt>
                <c:pt idx="702">
                  <c:v>0.54601049453314965</c:v>
                </c:pt>
                <c:pt idx="703">
                  <c:v>0.63466628732603658</c:v>
                </c:pt>
                <c:pt idx="704">
                  <c:v>0.89106751872144929</c:v>
                </c:pt>
                <c:pt idx="705">
                  <c:v>0.63864490766520876</c:v>
                </c:pt>
                <c:pt idx="706">
                  <c:v>0.56126593994711127</c:v>
                </c:pt>
                <c:pt idx="707">
                  <c:v>0.49783470322395507</c:v>
                </c:pt>
                <c:pt idx="708">
                  <c:v>0.73811764238760436</c:v>
                </c:pt>
                <c:pt idx="709">
                  <c:v>0.51367322894413392</c:v>
                </c:pt>
                <c:pt idx="710">
                  <c:v>0.58308224616951976</c:v>
                </c:pt>
                <c:pt idx="711">
                  <c:v>0.52463270483763857</c:v>
                </c:pt>
                <c:pt idx="712">
                  <c:v>0.48456251996937394</c:v>
                </c:pt>
                <c:pt idx="713">
                  <c:v>0.37391947656052726</c:v>
                </c:pt>
                <c:pt idx="714">
                  <c:v>0.46473886770750406</c:v>
                </c:pt>
                <c:pt idx="715">
                  <c:v>0.44916794672346644</c:v>
                </c:pt>
                <c:pt idx="716">
                  <c:v>0.56279824715169613</c:v>
                </c:pt>
                <c:pt idx="717">
                  <c:v>0.56103463696774269</c:v>
                </c:pt>
                <c:pt idx="718">
                  <c:v>0.50944650167985761</c:v>
                </c:pt>
                <c:pt idx="719">
                  <c:v>0.39680612792688386</c:v>
                </c:pt>
                <c:pt idx="720">
                  <c:v>0.31594080783361012</c:v>
                </c:pt>
                <c:pt idx="721">
                  <c:v>0.30368364883106236</c:v>
                </c:pt>
                <c:pt idx="722">
                  <c:v>0.22506656403779293</c:v>
                </c:pt>
                <c:pt idx="723">
                  <c:v>0.17433369704023211</c:v>
                </c:pt>
                <c:pt idx="724">
                  <c:v>0.17045461781253995</c:v>
                </c:pt>
                <c:pt idx="725">
                  <c:v>0.10136726449398331</c:v>
                </c:pt>
                <c:pt idx="726">
                  <c:v>7.2400367548822009E-2</c:v>
                </c:pt>
                <c:pt idx="727">
                  <c:v>5.7542304236462373E-2</c:v>
                </c:pt>
                <c:pt idx="728">
                  <c:v>6.1783349445986152E-2</c:v>
                </c:pt>
                <c:pt idx="729">
                  <c:v>8.9848449573216069E-2</c:v>
                </c:pt>
                <c:pt idx="730">
                  <c:v>8.489339815367597E-2</c:v>
                </c:pt>
                <c:pt idx="731">
                  <c:v>0.10625915219812049</c:v>
                </c:pt>
                <c:pt idx="732">
                  <c:v>8.7418492931453678E-2</c:v>
                </c:pt>
                <c:pt idx="733">
                  <c:v>8.5777273799453865E-2</c:v>
                </c:pt>
                <c:pt idx="734">
                  <c:v>5.7024816182786917E-2</c:v>
                </c:pt>
                <c:pt idx="735">
                  <c:v>5.0596438934006366E-2</c:v>
                </c:pt>
                <c:pt idx="736">
                  <c:v>8.9147222184986788E-2</c:v>
                </c:pt>
                <c:pt idx="737">
                  <c:v>0.10877897102608267</c:v>
                </c:pt>
                <c:pt idx="738">
                  <c:v>0.11078662301029327</c:v>
                </c:pt>
                <c:pt idx="739">
                  <c:v>9.026910094583819E-2</c:v>
                </c:pt>
                <c:pt idx="740">
                  <c:v>9.1298547380926007E-2</c:v>
                </c:pt>
                <c:pt idx="741">
                  <c:v>0.11661119107879085</c:v>
                </c:pt>
                <c:pt idx="742">
                  <c:v>0.11332080075007797</c:v>
                </c:pt>
                <c:pt idx="743">
                  <c:v>6.3092939252213223E-2</c:v>
                </c:pt>
                <c:pt idx="744">
                  <c:v>6.2608882849120417E-2</c:v>
                </c:pt>
                <c:pt idx="745">
                  <c:v>2.7460330309868115E-2</c:v>
                </c:pt>
                <c:pt idx="746">
                  <c:v>2.5893591335322614E-2</c:v>
                </c:pt>
                <c:pt idx="747">
                  <c:v>2.7879391523557895E-2</c:v>
                </c:pt>
                <c:pt idx="748">
                  <c:v>2.1655466510443137E-2</c:v>
                </c:pt>
                <c:pt idx="749">
                  <c:v>3.141824547710987E-2</c:v>
                </c:pt>
                <c:pt idx="750">
                  <c:v>1.5042150697109867E-2</c:v>
                </c:pt>
                <c:pt idx="751">
                  <c:v>3.2491215355730532E-2</c:v>
                </c:pt>
                <c:pt idx="752">
                  <c:v>3.7523059063604605E-2</c:v>
                </c:pt>
                <c:pt idx="753">
                  <c:v>6.3174660628021739E-2</c:v>
                </c:pt>
                <c:pt idx="754">
                  <c:v>3.8431904719524977E-2</c:v>
                </c:pt>
                <c:pt idx="755">
                  <c:v>5.5264112792720831E-2</c:v>
                </c:pt>
                <c:pt idx="756">
                  <c:v>2.5937506992720832E-2</c:v>
                </c:pt>
                <c:pt idx="757">
                  <c:v>-6.5142577270396896E-3</c:v>
                </c:pt>
                <c:pt idx="758">
                  <c:v>1.1724892575756944E-3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AC-4F30-B54E-F82C3C8B0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60671"/>
        <c:axId val="836046943"/>
      </c:lineChart>
      <c:dateAx>
        <c:axId val="836060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46943"/>
        <c:crosses val="autoZero"/>
        <c:auto val="1"/>
        <c:lblOffset val="100"/>
        <c:baseTimeUnit val="days"/>
      </c:dateAx>
      <c:valAx>
        <c:axId val="83604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6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E3BE27-24AB-444B-A56D-53BC3BE8A8EA}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945B9F-5167-4820-98BA-B45E7DC47F8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MAX(C3:C1913)</f>
        <v>2.99</v>
      </c>
      <c r="D2" s="4">
        <f>MIN(D3:D1913)</f>
        <v>9.5799999999999996E-2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0.92269999999999996</v>
      </c>
      <c r="C5">
        <v>0.93459999999999999</v>
      </c>
      <c r="D5">
        <v>0.89590000000000003</v>
      </c>
      <c r="E5">
        <v>0.89859999999999995</v>
      </c>
      <c r="F5">
        <v>3427684</v>
      </c>
      <c r="G5">
        <v>0.89859999999999995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-0.86046511627907352</v>
      </c>
      <c r="Q5">
        <f t="shared" ref="Q5" si="1">F5*P5</f>
        <v>-2949402.51162792</v>
      </c>
      <c r="R5">
        <f t="shared" ref="R5" si="2">R6+Q5</f>
        <v>548314607.47340906</v>
      </c>
      <c r="S5">
        <f t="shared" ref="S5" si="3">R5/100000</f>
        <v>5483.1460747340907</v>
      </c>
      <c r="T5">
        <f t="shared" ref="T5" si="4">S5/1000</f>
        <v>5.4831460747340905</v>
      </c>
    </row>
    <row r="6" spans="1:20" x14ac:dyDescent="0.25">
      <c r="A6" s="5">
        <v>44587</v>
      </c>
      <c r="B6">
        <v>0.92230000000000001</v>
      </c>
      <c r="C6">
        <v>0.99550000000000005</v>
      </c>
      <c r="D6">
        <v>0.89229999999999998</v>
      </c>
      <c r="E6">
        <v>0.92310000000000003</v>
      </c>
      <c r="F6">
        <v>53867719</v>
      </c>
      <c r="G6">
        <v>0.92310000000000003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-0.40310077519379789</v>
      </c>
      <c r="Q6">
        <f t="shared" ref="Q6" si="6">F6*P6</f>
        <v>-21714119.286821675</v>
      </c>
      <c r="R6">
        <f t="shared" ref="R6" si="7">R7+Q6</f>
        <v>551264009.98503697</v>
      </c>
      <c r="S6">
        <f t="shared" ref="S6" si="8">R6/100000</f>
        <v>5512.6400998503696</v>
      </c>
      <c r="T6">
        <f t="shared" ref="T6" si="9">S6/1000</f>
        <v>5.51264009985037</v>
      </c>
    </row>
    <row r="7" spans="1:20" x14ac:dyDescent="0.25">
      <c r="A7" s="5">
        <v>44586</v>
      </c>
      <c r="B7">
        <v>0.91249999999999998</v>
      </c>
      <c r="C7">
        <v>0.95</v>
      </c>
      <c r="D7">
        <v>0.86699999999999999</v>
      </c>
      <c r="E7">
        <v>0.9224</v>
      </c>
      <c r="F7">
        <v>36769853</v>
      </c>
      <c r="G7">
        <v>0.9224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0.33493975903614531</v>
      </c>
      <c r="Q7">
        <f t="shared" ref="Q7" si="11">F7*P7</f>
        <v>12315685.703614485</v>
      </c>
      <c r="R7">
        <f t="shared" ref="R7" si="12">R8+Q7</f>
        <v>572978129.27185869</v>
      </c>
      <c r="S7">
        <f t="shared" ref="S7" si="13">R7/100000</f>
        <v>5729.7812927185869</v>
      </c>
      <c r="T7">
        <f t="shared" ref="T7" si="14">S7/1000</f>
        <v>5.7297812927185872</v>
      </c>
    </row>
    <row r="8" spans="1:20" x14ac:dyDescent="0.25">
      <c r="A8" s="5">
        <v>44585</v>
      </c>
      <c r="B8">
        <v>0.98850000000000005</v>
      </c>
      <c r="C8">
        <v>0.98919999999999997</v>
      </c>
      <c r="D8">
        <v>0.81699999999999995</v>
      </c>
      <c r="E8">
        <v>0.91249999999999998</v>
      </c>
      <c r="F8">
        <v>53757972</v>
      </c>
      <c r="G8">
        <v>0.91249999999999998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0.10917537746806061</v>
      </c>
      <c r="Q8">
        <f t="shared" ref="Q8" si="16">F8*P8</f>
        <v>5869046.8850174332</v>
      </c>
      <c r="R8">
        <f t="shared" ref="R8" si="17">R9+Q8</f>
        <v>560662443.56824422</v>
      </c>
      <c r="S8">
        <f t="shared" ref="S8" si="18">R8/100000</f>
        <v>5606.6244356824418</v>
      </c>
      <c r="T8">
        <f t="shared" ref="T8" si="19">S8/1000</f>
        <v>5.6066244356824422</v>
      </c>
    </row>
    <row r="9" spans="1:20" x14ac:dyDescent="0.25">
      <c r="A9" s="5">
        <v>44584</v>
      </c>
      <c r="B9">
        <v>0.9506</v>
      </c>
      <c r="C9">
        <v>1.0055000000000001</v>
      </c>
      <c r="D9">
        <v>0.92420000000000002</v>
      </c>
      <c r="E9">
        <v>0.98899999999999999</v>
      </c>
      <c r="F9">
        <v>53267491</v>
      </c>
      <c r="G9">
        <v>0.98899999999999999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0.5940959409594081</v>
      </c>
      <c r="Q9">
        <f t="shared" ref="Q9" si="21">F9*P9</f>
        <v>31646000.188191801</v>
      </c>
      <c r="R9">
        <f t="shared" ref="R9" si="22">R10+Q9</f>
        <v>554793396.68322682</v>
      </c>
      <c r="S9">
        <f t="shared" ref="S9" si="23">R9/100000</f>
        <v>5547.9339668322682</v>
      </c>
      <c r="T9">
        <f t="shared" ref="T9" si="24">S9/1000</f>
        <v>5.547933966832268</v>
      </c>
    </row>
    <row r="10" spans="1:20" x14ac:dyDescent="0.25">
      <c r="A10" s="5">
        <v>44583</v>
      </c>
      <c r="B10">
        <v>1.0305</v>
      </c>
      <c r="C10">
        <v>1.0617000000000001</v>
      </c>
      <c r="D10">
        <v>0.79569999999999996</v>
      </c>
      <c r="E10">
        <v>0.95140000000000002</v>
      </c>
      <c r="F10">
        <v>125204441.12</v>
      </c>
      <c r="G10">
        <v>0.95140000000000002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0.1706766917293232</v>
      </c>
      <c r="Q10">
        <f t="shared" ref="Q10" si="26">F10*P10</f>
        <v>21369479.800180439</v>
      </c>
      <c r="R10">
        <f t="shared" ref="R10" si="27">R11+Q10</f>
        <v>523147396.49503505</v>
      </c>
      <c r="S10">
        <f t="shared" ref="S10" si="28">R10/100000</f>
        <v>5231.4739649503508</v>
      </c>
      <c r="T10">
        <f t="shared" ref="T10" si="29">S10/1000</f>
        <v>5.231473964950351</v>
      </c>
    </row>
    <row r="11" spans="1:20" x14ac:dyDescent="0.25">
      <c r="A11" s="5">
        <v>44582</v>
      </c>
      <c r="B11">
        <v>1.161</v>
      </c>
      <c r="C11">
        <v>1.1968000000000001</v>
      </c>
      <c r="D11">
        <v>0.999</v>
      </c>
      <c r="E11">
        <v>1.0306999999999999</v>
      </c>
      <c r="F11">
        <v>80371227</v>
      </c>
      <c r="G11">
        <v>1.0306999999999999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-0.67947421638018268</v>
      </c>
      <c r="Q11">
        <f t="shared" ref="Q11" si="31">F11*P11</f>
        <v>-54610176.485338777</v>
      </c>
      <c r="R11">
        <f t="shared" ref="R11" si="32">R12+Q11</f>
        <v>501777916.69485462</v>
      </c>
      <c r="S11">
        <f t="shared" ref="S11" si="33">R11/100000</f>
        <v>5017.7791669485459</v>
      </c>
      <c r="T11">
        <f t="shared" ref="T11" si="34">S11/1000</f>
        <v>5.0177791669485456</v>
      </c>
    </row>
    <row r="12" spans="1:20" x14ac:dyDescent="0.25">
      <c r="A12" s="5">
        <v>44581</v>
      </c>
      <c r="B12">
        <v>1.2649999999999999</v>
      </c>
      <c r="C12">
        <v>1.3268</v>
      </c>
      <c r="D12">
        <v>1.1543000000000001</v>
      </c>
      <c r="E12">
        <v>1.1616</v>
      </c>
      <c r="F12">
        <v>35436319</v>
      </c>
      <c r="G12">
        <v>1.1616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-0.91536231884058128</v>
      </c>
      <c r="Q12">
        <f t="shared" ref="Q12" si="36">F12*P12</f>
        <v>-32437071.131014548</v>
      </c>
      <c r="R12">
        <f t="shared" ref="R12" si="37">R13+Q12</f>
        <v>556388093.18019342</v>
      </c>
      <c r="S12">
        <f t="shared" ref="S12" si="38">R12/100000</f>
        <v>5563.8809318019339</v>
      </c>
      <c r="T12">
        <f t="shared" ref="T12" si="39">S12/1000</f>
        <v>5.5638809318019335</v>
      </c>
    </row>
    <row r="13" spans="1:20" x14ac:dyDescent="0.25">
      <c r="A13" s="5">
        <v>44580</v>
      </c>
      <c r="B13">
        <v>1.3170999999999999</v>
      </c>
      <c r="C13">
        <v>1.3224</v>
      </c>
      <c r="D13">
        <v>1.2211000000000001</v>
      </c>
      <c r="E13">
        <v>1.2655000000000001</v>
      </c>
      <c r="F13">
        <v>35192413</v>
      </c>
      <c r="G13">
        <v>1.2655000000000001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-0.12339585389930861</v>
      </c>
      <c r="Q13">
        <f t="shared" ref="Q13" si="41">F13*P13</f>
        <v>-4342597.8529121289</v>
      </c>
      <c r="R13">
        <f t="shared" ref="R13" si="42">R14+Q13</f>
        <v>588825164.31120801</v>
      </c>
      <c r="S13">
        <f t="shared" ref="S13" si="43">R13/100000</f>
        <v>5888.2516431120803</v>
      </c>
      <c r="T13">
        <f t="shared" ref="T13" si="44">S13/1000</f>
        <v>5.8882516431120804</v>
      </c>
    </row>
    <row r="14" spans="1:20" x14ac:dyDescent="0.25">
      <c r="A14" s="5">
        <v>44579</v>
      </c>
      <c r="B14">
        <v>1.3412999999999999</v>
      </c>
      <c r="C14">
        <v>1.3617999999999999</v>
      </c>
      <c r="D14">
        <v>1.2766999999999999</v>
      </c>
      <c r="E14">
        <v>1.3168</v>
      </c>
      <c r="F14">
        <v>30133890</v>
      </c>
      <c r="G14">
        <v>1.3168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-5.7579318448882574E-2</v>
      </c>
      <c r="Q14">
        <f t="shared" ref="Q14" si="46">F14*P14</f>
        <v>-1735088.848413598</v>
      </c>
      <c r="R14">
        <f t="shared" ref="R14" si="47">R15+Q14</f>
        <v>593167762.1641202</v>
      </c>
      <c r="S14">
        <f t="shared" ref="S14" si="48">R14/100000</f>
        <v>5931.6776216412018</v>
      </c>
      <c r="T14">
        <f t="shared" ref="T14" si="49">S14/1000</f>
        <v>5.9316776216412022</v>
      </c>
    </row>
    <row r="15" spans="1:20" x14ac:dyDescent="0.25">
      <c r="A15" s="5">
        <v>44578</v>
      </c>
      <c r="B15">
        <v>1.4293</v>
      </c>
      <c r="C15">
        <v>1.4439</v>
      </c>
      <c r="D15">
        <v>1.3371</v>
      </c>
      <c r="E15">
        <v>1.3412999999999999</v>
      </c>
      <c r="F15">
        <v>31352809</v>
      </c>
      <c r="G15">
        <v>1.3412999999999999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-0.92134831460674194</v>
      </c>
      <c r="Q15">
        <f t="shared" ref="Q15" si="51">F15*P15</f>
        <v>-28886857.730337091</v>
      </c>
      <c r="R15">
        <f t="shared" ref="R15" si="52">R16+Q15</f>
        <v>594902851.01253378</v>
      </c>
      <c r="S15">
        <f t="shared" ref="S15" si="53">R15/100000</f>
        <v>5949.0285101253376</v>
      </c>
      <c r="T15">
        <f t="shared" ref="T15" si="54">S15/1000</f>
        <v>5.9490285101253377</v>
      </c>
    </row>
    <row r="16" spans="1:20" x14ac:dyDescent="0.25">
      <c r="A16" s="5">
        <v>44577</v>
      </c>
      <c r="B16">
        <v>1.3774999999999999</v>
      </c>
      <c r="C16">
        <v>1.4489000000000001</v>
      </c>
      <c r="D16">
        <v>1.3657999999999999</v>
      </c>
      <c r="E16">
        <v>1.429</v>
      </c>
      <c r="F16">
        <v>24196453</v>
      </c>
      <c r="G16">
        <v>1.429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0.52105896510228666</v>
      </c>
      <c r="Q16">
        <f t="shared" ref="Q16" si="56">F16*P16</f>
        <v>12607778.759326119</v>
      </c>
      <c r="R16">
        <f t="shared" ref="R16" si="57">R17+Q16</f>
        <v>623789708.74287093</v>
      </c>
      <c r="S16">
        <f t="shared" ref="S16" si="58">R16/100000</f>
        <v>6237.8970874287097</v>
      </c>
      <c r="T16">
        <f t="shared" ref="T16" si="59">S16/1000</f>
        <v>6.2378970874287099</v>
      </c>
    </row>
    <row r="17" spans="1:20" x14ac:dyDescent="0.25">
      <c r="A17" s="5">
        <v>44576</v>
      </c>
      <c r="B17">
        <v>1.3815</v>
      </c>
      <c r="C17">
        <v>1.415</v>
      </c>
      <c r="D17">
        <v>1.3573</v>
      </c>
      <c r="E17">
        <v>1.3785000000000001</v>
      </c>
      <c r="F17">
        <v>18151129</v>
      </c>
      <c r="G17">
        <v>1.3785000000000001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-0.26516464471403545</v>
      </c>
      <c r="Q17">
        <f t="shared" ref="Q17" si="61">F17*P17</f>
        <v>-4813037.6724436255</v>
      </c>
      <c r="R17">
        <f t="shared" ref="R17" si="62">R18+Q17</f>
        <v>611181929.98354483</v>
      </c>
      <c r="S17">
        <f t="shared" ref="S17" si="63">R17/100000</f>
        <v>6111.819299835448</v>
      </c>
      <c r="T17">
        <f t="shared" ref="T17" si="64">S17/1000</f>
        <v>6.1118192998354477</v>
      </c>
    </row>
    <row r="18" spans="1:20" x14ac:dyDescent="0.25">
      <c r="A18" s="5">
        <v>44575</v>
      </c>
      <c r="B18">
        <v>1.3613</v>
      </c>
      <c r="C18">
        <v>1.4111</v>
      </c>
      <c r="D18">
        <v>1.3227</v>
      </c>
      <c r="E18">
        <v>1.3816999999999999</v>
      </c>
      <c r="F18">
        <v>31869731</v>
      </c>
      <c r="G18">
        <v>1.3816999999999999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0.33484162895927416</v>
      </c>
      <c r="Q18">
        <f t="shared" ref="Q18" si="66">F18*P18</f>
        <v>10671312.642533878</v>
      </c>
      <c r="R18">
        <f t="shared" ref="R18" si="67">R19+Q18</f>
        <v>615994967.65598845</v>
      </c>
      <c r="S18">
        <f t="shared" ref="S18" si="68">R18/100000</f>
        <v>6159.9496765598842</v>
      </c>
      <c r="T18">
        <f t="shared" ref="T18" si="69">S18/1000</f>
        <v>6.1599496765598838</v>
      </c>
    </row>
    <row r="19" spans="1:20" x14ac:dyDescent="0.25">
      <c r="A19" s="5">
        <v>44574</v>
      </c>
      <c r="B19">
        <v>1.4985999999999999</v>
      </c>
      <c r="C19">
        <v>1.5011000000000001</v>
      </c>
      <c r="D19">
        <v>1.3406</v>
      </c>
      <c r="E19">
        <v>1.3614999999999999</v>
      </c>
      <c r="F19">
        <v>42932502</v>
      </c>
      <c r="G19">
        <v>1.3614999999999999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-0.73956386292835008</v>
      </c>
      <c r="Q19">
        <f t="shared" ref="Q19" si="71">F19*P19</f>
        <v>-31751327.024299115</v>
      </c>
      <c r="R19">
        <f t="shared" ref="R19" si="72">R20+Q19</f>
        <v>605323655.01345456</v>
      </c>
      <c r="S19">
        <f t="shared" ref="S19" si="73">R19/100000</f>
        <v>6053.2365501345457</v>
      </c>
      <c r="T19">
        <f t="shared" ref="T19" si="74">S19/1000</f>
        <v>6.053236550134546</v>
      </c>
    </row>
    <row r="20" spans="1:20" x14ac:dyDescent="0.25">
      <c r="A20" s="5">
        <v>44573</v>
      </c>
      <c r="B20">
        <v>1.4456</v>
      </c>
      <c r="C20">
        <v>1.5042</v>
      </c>
      <c r="D20">
        <v>1.4376</v>
      </c>
      <c r="E20">
        <v>1.4991000000000001</v>
      </c>
      <c r="F20">
        <v>34774351</v>
      </c>
      <c r="G20">
        <v>1.4991000000000001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0.84684684684685041</v>
      </c>
      <c r="Q20">
        <f t="shared" ref="Q20" si="76">F20*P20</f>
        <v>29448549.495495621</v>
      </c>
      <c r="R20">
        <f t="shared" ref="R20" si="77">R21+Q20</f>
        <v>637074982.0377537</v>
      </c>
      <c r="S20">
        <f t="shared" ref="S20" si="78">R20/100000</f>
        <v>6370.7498203775367</v>
      </c>
      <c r="T20">
        <f t="shared" ref="T20" si="79">S20/1000</f>
        <v>6.3707498203775366</v>
      </c>
    </row>
    <row r="21" spans="1:20" x14ac:dyDescent="0.25">
      <c r="A21" s="5">
        <v>44572</v>
      </c>
      <c r="B21">
        <v>1.3619000000000001</v>
      </c>
      <c r="C21">
        <v>1.4532</v>
      </c>
      <c r="D21">
        <v>1.3485</v>
      </c>
      <c r="E21">
        <v>1.446</v>
      </c>
      <c r="F21">
        <v>32570545</v>
      </c>
      <c r="G21">
        <v>1.446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0.86246418338108699</v>
      </c>
      <c r="Q21">
        <f t="shared" ref="Q21" si="81">F21*P21</f>
        <v>28090928.495701946</v>
      </c>
      <c r="R21">
        <f t="shared" ref="R21" si="82">R22+Q21</f>
        <v>607626432.54225802</v>
      </c>
      <c r="S21">
        <f t="shared" ref="S21" si="83">R21/100000</f>
        <v>6076.2643254225804</v>
      </c>
      <c r="T21">
        <f t="shared" ref="T21" si="84">S21/1000</f>
        <v>6.0762643254225805</v>
      </c>
    </row>
    <row r="22" spans="1:20" x14ac:dyDescent="0.25">
      <c r="A22" s="5">
        <v>44571</v>
      </c>
      <c r="B22">
        <v>1.4003000000000001</v>
      </c>
      <c r="C22">
        <v>1.45</v>
      </c>
      <c r="D22">
        <v>1.3</v>
      </c>
      <c r="E22">
        <v>1.3623000000000001</v>
      </c>
      <c r="F22">
        <v>37319202</v>
      </c>
      <c r="G22">
        <v>1.3623000000000001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-0.16933333333333256</v>
      </c>
      <c r="Q22">
        <f t="shared" ref="Q22" si="86">F22*P22</f>
        <v>-6319384.8719999706</v>
      </c>
      <c r="R22">
        <f t="shared" ref="R22" si="87">R23+Q22</f>
        <v>579535504.04655612</v>
      </c>
      <c r="S22">
        <f t="shared" ref="S22" si="88">R22/100000</f>
        <v>5795.3550404655607</v>
      </c>
      <c r="T22">
        <f t="shared" ref="T22" si="89">S22/1000</f>
        <v>5.7953550404655605</v>
      </c>
    </row>
    <row r="23" spans="1:20" x14ac:dyDescent="0.25">
      <c r="A23" s="5">
        <v>44570</v>
      </c>
      <c r="B23">
        <v>1.3844000000000001</v>
      </c>
      <c r="C23">
        <v>1.4412</v>
      </c>
      <c r="D23">
        <v>1.3678999999999999</v>
      </c>
      <c r="E23">
        <v>1.4004000000000001</v>
      </c>
      <c r="F23">
        <v>18468767</v>
      </c>
      <c r="G23">
        <v>1.4004000000000001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-0.11323328785811372</v>
      </c>
      <c r="Q23">
        <f t="shared" ref="Q23" si="91">F23*P23</f>
        <v>-2091279.2100954314</v>
      </c>
      <c r="R23">
        <f t="shared" ref="R23" si="92">R24+Q23</f>
        <v>585854888.91855609</v>
      </c>
      <c r="S23">
        <f t="shared" ref="S23" si="93">R23/100000</f>
        <v>5858.5488891855612</v>
      </c>
      <c r="T23">
        <f t="shared" ref="T23" si="94">S23/1000</f>
        <v>5.8585488891855615</v>
      </c>
    </row>
    <row r="24" spans="1:20" x14ac:dyDescent="0.25">
      <c r="A24" s="5">
        <v>44569</v>
      </c>
      <c r="B24">
        <v>1.4459</v>
      </c>
      <c r="C24">
        <v>1.4697</v>
      </c>
      <c r="D24">
        <v>1.3148</v>
      </c>
      <c r="E24">
        <v>1.385</v>
      </c>
      <c r="F24">
        <v>30163813</v>
      </c>
      <c r="G24">
        <v>1.385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-9.3608779857972585E-2</v>
      </c>
      <c r="Q24">
        <f t="shared" ref="Q24" si="96">F24*P24</f>
        <v>-2823597.7307940517</v>
      </c>
      <c r="R24">
        <f t="shared" ref="R24" si="97">R25+Q24</f>
        <v>587946168.1286515</v>
      </c>
      <c r="S24">
        <f t="shared" ref="S24" si="98">R24/100000</f>
        <v>5879.4616812865152</v>
      </c>
      <c r="T24">
        <f t="shared" ref="T24" si="99">S24/1000</f>
        <v>5.8794616812865153</v>
      </c>
    </row>
    <row r="25" spans="1:20" x14ac:dyDescent="0.25">
      <c r="A25" s="5">
        <v>44568</v>
      </c>
      <c r="B25">
        <v>1.5628</v>
      </c>
      <c r="C25">
        <v>1.5696000000000001</v>
      </c>
      <c r="D25">
        <v>1.393</v>
      </c>
      <c r="E25">
        <v>1.4458</v>
      </c>
      <c r="F25">
        <v>52703019</v>
      </c>
      <c r="G25">
        <v>1.4458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-0.40203850509626354</v>
      </c>
      <c r="Q25">
        <f t="shared" ref="Q25" si="101">F25*P25</f>
        <v>-21188642.972819973</v>
      </c>
      <c r="R25">
        <f t="shared" ref="R25" si="102">R26+Q25</f>
        <v>590769765.85944557</v>
      </c>
      <c r="S25">
        <f t="shared" ref="S25" si="103">R25/100000</f>
        <v>5907.6976585944558</v>
      </c>
      <c r="T25">
        <f t="shared" ref="T25" si="104">S25/1000</f>
        <v>5.9076976585944561</v>
      </c>
    </row>
    <row r="26" spans="1:20" x14ac:dyDescent="0.25">
      <c r="A26" s="5">
        <v>44567</v>
      </c>
      <c r="B26">
        <v>1.5557000000000001</v>
      </c>
      <c r="C26">
        <v>1.6054999999999999</v>
      </c>
      <c r="D26">
        <v>1.4829000000000001</v>
      </c>
      <c r="E26">
        <v>1.5632999999999999</v>
      </c>
      <c r="F26">
        <v>47101470</v>
      </c>
      <c r="G26">
        <v>1.5632999999999999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0.31158238172919939</v>
      </c>
      <c r="Q26">
        <f t="shared" ref="Q26" si="106">F26*P26</f>
        <v>14675988.205546433</v>
      </c>
      <c r="R26">
        <f t="shared" ref="R26" si="107">R27+Q26</f>
        <v>611958408.8322655</v>
      </c>
      <c r="S26">
        <f t="shared" ref="S26" si="108">R26/100000</f>
        <v>6119.5840883226547</v>
      </c>
      <c r="T26">
        <f t="shared" ref="T26" si="109">S26/1000</f>
        <v>6.1195840883226547</v>
      </c>
    </row>
    <row r="27" spans="1:20" x14ac:dyDescent="0.25">
      <c r="A27" s="5">
        <v>44566</v>
      </c>
      <c r="B27">
        <v>1.6724000000000001</v>
      </c>
      <c r="C27">
        <v>1.8026</v>
      </c>
      <c r="D27">
        <v>1.4470000000000001</v>
      </c>
      <c r="E27">
        <v>1.5553999999999999</v>
      </c>
      <c r="F27">
        <v>64252612</v>
      </c>
      <c r="G27">
        <v>1.5553999999999999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-0.39032620922384781</v>
      </c>
      <c r="Q27">
        <f t="shared" ref="Q27" si="111">F27*P27</f>
        <v>-25079478.474690713</v>
      </c>
      <c r="R27">
        <f t="shared" ref="R27" si="112">R28+Q27</f>
        <v>597282420.62671912</v>
      </c>
      <c r="S27">
        <f t="shared" ref="S27" si="113">R27/100000</f>
        <v>5972.8242062671916</v>
      </c>
      <c r="T27">
        <f t="shared" ref="T27" si="114">S27/1000</f>
        <v>5.9728242062671919</v>
      </c>
    </row>
    <row r="28" spans="1:20" x14ac:dyDescent="0.25">
      <c r="A28" s="5">
        <v>44565</v>
      </c>
      <c r="B28">
        <v>1.7948999999999999</v>
      </c>
      <c r="C28">
        <v>1.8451</v>
      </c>
      <c r="D28">
        <v>1.6579999999999999</v>
      </c>
      <c r="E28">
        <v>1.6725000000000001</v>
      </c>
      <c r="F28">
        <v>62763916</v>
      </c>
      <c r="G28">
        <v>1.6725000000000001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-0.84500267236771587</v>
      </c>
      <c r="Q28">
        <f t="shared" ref="Q28" si="116">F28*P28</f>
        <v>-53035676.748262838</v>
      </c>
      <c r="R28">
        <f t="shared" ref="R28" si="117">R29+Q28</f>
        <v>622361899.10140979</v>
      </c>
      <c r="S28">
        <f t="shared" ref="S28" si="118">R28/100000</f>
        <v>6223.6189910140984</v>
      </c>
      <c r="T28">
        <f t="shared" ref="T28" si="119">S28/1000</f>
        <v>6.2236189910140984</v>
      </c>
    </row>
    <row r="29" spans="1:20" x14ac:dyDescent="0.25">
      <c r="A29" s="5">
        <v>44564</v>
      </c>
      <c r="B29">
        <v>1.6731</v>
      </c>
      <c r="C29">
        <v>1.8357000000000001</v>
      </c>
      <c r="D29">
        <v>1.6259999999999999</v>
      </c>
      <c r="E29">
        <v>1.7948999999999999</v>
      </c>
      <c r="F29">
        <v>57145005</v>
      </c>
      <c r="G29">
        <v>1.7948999999999999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0.61087267525035649</v>
      </c>
      <c r="Q29">
        <f t="shared" ref="Q29" si="121">F29*P29</f>
        <v>34908322.081544995</v>
      </c>
      <c r="R29">
        <f t="shared" ref="R29" si="122">R30+Q29</f>
        <v>675397575.84967268</v>
      </c>
      <c r="S29">
        <f t="shared" ref="S29" si="123">R29/100000</f>
        <v>6753.9757584967265</v>
      </c>
      <c r="T29">
        <f t="shared" ref="T29" si="124">S29/1000</f>
        <v>6.7539757584967264</v>
      </c>
    </row>
    <row r="30" spans="1:20" x14ac:dyDescent="0.25">
      <c r="A30" s="5">
        <v>44563</v>
      </c>
      <c r="B30">
        <v>1.7415</v>
      </c>
      <c r="C30">
        <v>1.7846</v>
      </c>
      <c r="D30">
        <v>1.66</v>
      </c>
      <c r="E30">
        <v>1.6734</v>
      </c>
      <c r="F30">
        <v>26531427</v>
      </c>
      <c r="G30">
        <v>1.6734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-0.78491171749598598</v>
      </c>
      <c r="Q30">
        <f t="shared" ref="Q30" si="126">F30*P30</f>
        <v>-20824827.934189375</v>
      </c>
      <c r="R30">
        <f t="shared" ref="R30" si="127">R31+Q30</f>
        <v>640489253.76812768</v>
      </c>
      <c r="S30">
        <f t="shared" ref="S30" si="128">R30/100000</f>
        <v>6404.8925376812767</v>
      </c>
      <c r="T30">
        <f t="shared" ref="T30" si="129">S30/1000</f>
        <v>6.4048925376812766</v>
      </c>
    </row>
    <row r="31" spans="1:20" x14ac:dyDescent="0.25">
      <c r="A31" s="5">
        <v>44562</v>
      </c>
      <c r="B31">
        <v>1.6585000000000001</v>
      </c>
      <c r="C31">
        <v>1.77</v>
      </c>
      <c r="D31">
        <v>1.6303000000000001</v>
      </c>
      <c r="E31">
        <v>1.7414000000000001</v>
      </c>
      <c r="F31">
        <v>22952248</v>
      </c>
      <c r="G31">
        <v>1.7414000000000001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0.5905511811023626</v>
      </c>
      <c r="Q31">
        <f t="shared" ref="Q31" si="131">F31*P31</f>
        <v>13554477.165354339</v>
      </c>
      <c r="R31">
        <f t="shared" ref="R31" si="132">R32+Q31</f>
        <v>661314081.702317</v>
      </c>
      <c r="S31">
        <f t="shared" ref="S31" si="133">R31/100000</f>
        <v>6613.1408170231698</v>
      </c>
      <c r="T31">
        <f t="shared" ref="T31" si="134">S31/1000</f>
        <v>6.6131408170231696</v>
      </c>
    </row>
    <row r="32" spans="1:20" x14ac:dyDescent="0.25">
      <c r="A32" s="5">
        <v>44561</v>
      </c>
      <c r="B32">
        <v>1.7302</v>
      </c>
      <c r="C32">
        <v>1.7883</v>
      </c>
      <c r="D32">
        <v>1.6281000000000001</v>
      </c>
      <c r="E32">
        <v>1.6591</v>
      </c>
      <c r="F32">
        <v>48715404</v>
      </c>
      <c r="G32">
        <v>1.6591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-0.6129837702871419</v>
      </c>
      <c r="Q32">
        <f t="shared" ref="Q32" si="136">F32*P32</f>
        <v>-29861752.014981315</v>
      </c>
      <c r="R32">
        <f t="shared" ref="R32" si="137">R33+Q32</f>
        <v>647759604.53696263</v>
      </c>
      <c r="S32">
        <f t="shared" ref="S32" si="138">R32/100000</f>
        <v>6477.5960453696262</v>
      </c>
      <c r="T32">
        <f t="shared" ref="T32" si="139">S32/1000</f>
        <v>6.4775960453696264</v>
      </c>
    </row>
    <row r="33" spans="1:20" x14ac:dyDescent="0.25">
      <c r="A33" s="5">
        <v>44560</v>
      </c>
      <c r="B33">
        <v>1.5827</v>
      </c>
      <c r="C33">
        <v>1.7657</v>
      </c>
      <c r="D33">
        <v>1.5205</v>
      </c>
      <c r="E33">
        <v>1.7302</v>
      </c>
      <c r="F33">
        <v>70697205</v>
      </c>
      <c r="G33">
        <v>1.7302</v>
      </c>
      <c r="L33" t="s">
        <v>8</v>
      </c>
      <c r="M33" t="s">
        <v>8</v>
      </c>
      <c r="N33" t="s">
        <v>7</v>
      </c>
      <c r="P33">
        <f t="shared" ref="P33" si="140">IF(C33=D33,0,((E33-D33)-(C33-E33))/(C33-D33))</f>
        <v>0.71044045676998313</v>
      </c>
      <c r="Q33">
        <f t="shared" ref="Q33" si="141">F33*P33</f>
        <v>50226154.612561136</v>
      </c>
      <c r="R33">
        <f t="shared" ref="R33" si="142">R34+Q33</f>
        <v>677621356.5519439</v>
      </c>
      <c r="S33">
        <f t="shared" ref="S33" si="143">R33/100000</f>
        <v>6776.2135655194388</v>
      </c>
      <c r="T33">
        <f t="shared" ref="T33" si="144">S33/1000</f>
        <v>6.7762135655194387</v>
      </c>
    </row>
    <row r="34" spans="1:20" x14ac:dyDescent="0.25">
      <c r="A34" s="5">
        <v>44559</v>
      </c>
      <c r="B34">
        <v>1.4661</v>
      </c>
      <c r="C34">
        <v>1.6442000000000001</v>
      </c>
      <c r="D34">
        <v>1.4061999999999999</v>
      </c>
      <c r="E34">
        <v>1.5827</v>
      </c>
      <c r="F34">
        <v>44785855</v>
      </c>
      <c r="G34">
        <v>1.5827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0.48319327731092393</v>
      </c>
      <c r="Q34">
        <f t="shared" ref="Q34" si="146">F34*P34</f>
        <v>21640224.054621831</v>
      </c>
      <c r="R34">
        <f t="shared" ref="R34" si="147">R35+Q34</f>
        <v>627395201.93938279</v>
      </c>
      <c r="S34">
        <f t="shared" ref="S34" si="148">R34/100000</f>
        <v>6273.9520193938279</v>
      </c>
      <c r="T34">
        <f t="shared" ref="T34" si="149">S34/1000</f>
        <v>6.2739520193938283</v>
      </c>
    </row>
    <row r="35" spans="1:20" x14ac:dyDescent="0.25">
      <c r="A35" s="5">
        <v>44558</v>
      </c>
      <c r="B35">
        <v>1.663</v>
      </c>
      <c r="C35">
        <v>1.6638999999999999</v>
      </c>
      <c r="D35">
        <v>1.45</v>
      </c>
      <c r="E35">
        <v>1.4654</v>
      </c>
      <c r="F35">
        <v>41136791</v>
      </c>
      <c r="G35">
        <v>1.4654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-0.85600748013090155</v>
      </c>
      <c r="Q35">
        <f t="shared" ref="Q35" si="151">F35*P35</f>
        <v>-35213400.804581553</v>
      </c>
      <c r="R35">
        <f t="shared" ref="R35" si="152">R36+Q35</f>
        <v>605754977.88476098</v>
      </c>
      <c r="S35">
        <f t="shared" ref="S35" si="153">R35/100000</f>
        <v>6057.5497788476096</v>
      </c>
      <c r="T35">
        <f t="shared" ref="T35" si="154">S35/1000</f>
        <v>6.0575497788476094</v>
      </c>
    </row>
    <row r="36" spans="1:20" x14ac:dyDescent="0.25">
      <c r="A36" s="5">
        <v>44557</v>
      </c>
      <c r="B36">
        <v>1.6073</v>
      </c>
      <c r="C36">
        <v>1.7249000000000001</v>
      </c>
      <c r="D36">
        <v>1.5797000000000001</v>
      </c>
      <c r="E36">
        <v>1.6625000000000001</v>
      </c>
      <c r="F36">
        <v>32130632</v>
      </c>
      <c r="G36">
        <v>1.6625000000000001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0.14049586776859485</v>
      </c>
      <c r="Q36">
        <f t="shared" ref="Q36" si="156">F36*P36</f>
        <v>4514221.0247933827</v>
      </c>
      <c r="R36">
        <f t="shared" ref="R36" si="157">R37+Q36</f>
        <v>640968378.6893425</v>
      </c>
      <c r="S36">
        <f t="shared" ref="S36" si="158">R36/100000</f>
        <v>6409.6837868934253</v>
      </c>
      <c r="T36">
        <f t="shared" ref="T36" si="159">S36/1000</f>
        <v>6.4096837868934253</v>
      </c>
    </row>
    <row r="37" spans="1:20" x14ac:dyDescent="0.25">
      <c r="A37" s="5">
        <v>44556</v>
      </c>
      <c r="B37">
        <v>1.5745</v>
      </c>
      <c r="C37">
        <v>1.6433</v>
      </c>
      <c r="D37">
        <v>1.5445</v>
      </c>
      <c r="E37">
        <v>1.6064000000000001</v>
      </c>
      <c r="F37">
        <v>34733555</v>
      </c>
      <c r="G37">
        <v>1.6064000000000001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0.2530364372469649</v>
      </c>
      <c r="Q37">
        <f t="shared" ref="Q37" si="161">F37*P37</f>
        <v>8788855.0101215038</v>
      </c>
      <c r="R37">
        <f t="shared" ref="R37" si="162">R38+Q37</f>
        <v>636454157.66454911</v>
      </c>
      <c r="S37">
        <f t="shared" ref="S37" si="163">R37/100000</f>
        <v>6364.5415766454907</v>
      </c>
      <c r="T37">
        <f t="shared" ref="T37" si="164">S37/1000</f>
        <v>6.3645415766454905</v>
      </c>
    </row>
    <row r="38" spans="1:20" x14ac:dyDescent="0.25">
      <c r="A38" s="5">
        <v>44555</v>
      </c>
      <c r="B38">
        <v>1.5748</v>
      </c>
      <c r="C38">
        <v>1.5993999999999999</v>
      </c>
      <c r="D38">
        <v>1.5308999999999999</v>
      </c>
      <c r="E38">
        <v>1.5750999999999999</v>
      </c>
      <c r="F38">
        <v>22999107</v>
      </c>
      <c r="G38">
        <v>1.5750999999999999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0.29051094890510987</v>
      </c>
      <c r="Q38">
        <f t="shared" ref="Q38" si="166">F38*P38</f>
        <v>6681492.398540155</v>
      </c>
      <c r="R38">
        <f t="shared" ref="R38" si="167">R39+Q38</f>
        <v>627665302.65442765</v>
      </c>
      <c r="S38">
        <f t="shared" ref="S38" si="168">R38/100000</f>
        <v>6276.6530265442761</v>
      </c>
      <c r="T38">
        <f t="shared" ref="T38" si="169">S38/1000</f>
        <v>6.2766530265442757</v>
      </c>
    </row>
    <row r="39" spans="1:20" x14ac:dyDescent="0.25">
      <c r="A39" s="5">
        <v>44554</v>
      </c>
      <c r="B39">
        <v>1.4698</v>
      </c>
      <c r="C39">
        <v>1.65</v>
      </c>
      <c r="D39">
        <v>1.4458</v>
      </c>
      <c r="E39">
        <v>1.5753999999999999</v>
      </c>
      <c r="F39">
        <v>47621506</v>
      </c>
      <c r="G39">
        <v>1.5753999999999999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0.26934378060724756</v>
      </c>
      <c r="Q39">
        <f t="shared" ref="Q39" si="171">F39*P39</f>
        <v>12826556.464250723</v>
      </c>
      <c r="R39">
        <f t="shared" ref="R39" si="172">R40+Q39</f>
        <v>620983810.25588751</v>
      </c>
      <c r="S39">
        <f t="shared" ref="S39" si="173">R39/100000</f>
        <v>6209.8381025588751</v>
      </c>
      <c r="T39">
        <f t="shared" ref="T39" si="174">S39/1000</f>
        <v>6.2098381025588747</v>
      </c>
    </row>
    <row r="40" spans="1:20" x14ac:dyDescent="0.25">
      <c r="A40" s="5">
        <v>44553</v>
      </c>
      <c r="B40">
        <v>1.3642000000000001</v>
      </c>
      <c r="C40">
        <v>1.4883999999999999</v>
      </c>
      <c r="D40">
        <v>1.3436999999999999</v>
      </c>
      <c r="E40">
        <v>1.4698</v>
      </c>
      <c r="F40">
        <v>31950957</v>
      </c>
      <c r="G40">
        <v>1.4698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0.74291637871458271</v>
      </c>
      <c r="Q40">
        <f t="shared" ref="Q40" si="176">F40*P40</f>
        <v>23736889.270905349</v>
      </c>
      <c r="R40">
        <f t="shared" ref="R40" si="177">R41+Q40</f>
        <v>608157253.79163682</v>
      </c>
      <c r="S40">
        <f t="shared" ref="S40" si="178">R40/100000</f>
        <v>6081.5725379163687</v>
      </c>
      <c r="T40">
        <f t="shared" ref="T40" si="179">S40/1000</f>
        <v>6.0815725379163688</v>
      </c>
    </row>
    <row r="41" spans="1:20" x14ac:dyDescent="0.25">
      <c r="A41" s="5">
        <v>44552</v>
      </c>
      <c r="B41">
        <v>1.3573</v>
      </c>
      <c r="C41">
        <v>1.4168000000000001</v>
      </c>
      <c r="D41">
        <v>1.3425</v>
      </c>
      <c r="E41">
        <v>1.3642000000000001</v>
      </c>
      <c r="F41">
        <v>29932451</v>
      </c>
      <c r="G41">
        <v>1.3642000000000001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-0.41588156123822229</v>
      </c>
      <c r="Q41">
        <f t="shared" ref="Q41" si="181">F41*P41</f>
        <v>-12448354.453566588</v>
      </c>
      <c r="R41">
        <f t="shared" ref="R41" si="182">R42+Q41</f>
        <v>584420364.52073145</v>
      </c>
      <c r="S41">
        <f t="shared" ref="S41" si="183">R41/100000</f>
        <v>5844.2036452073144</v>
      </c>
      <c r="T41">
        <f t="shared" ref="T41" si="184">S41/1000</f>
        <v>5.8442036452073145</v>
      </c>
    </row>
    <row r="42" spans="1:20" x14ac:dyDescent="0.25">
      <c r="A42" s="5">
        <v>44551</v>
      </c>
      <c r="B42">
        <v>1.2966</v>
      </c>
      <c r="C42">
        <v>1.3644000000000001</v>
      </c>
      <c r="D42">
        <v>1.2903</v>
      </c>
      <c r="E42">
        <v>1.3573</v>
      </c>
      <c r="F42">
        <v>26694265</v>
      </c>
      <c r="G42">
        <v>1.3573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0.80836707152496357</v>
      </c>
      <c r="Q42">
        <f t="shared" ref="Q42" si="186">F42*P42</f>
        <v>21578764.824561331</v>
      </c>
      <c r="R42">
        <f t="shared" ref="R42" si="187">R43+Q42</f>
        <v>596868718.974298</v>
      </c>
      <c r="S42">
        <f t="shared" ref="S42" si="188">R42/100000</f>
        <v>5968.6871897429801</v>
      </c>
      <c r="T42">
        <f t="shared" ref="T42" si="189">S42/1000</f>
        <v>5.9686871897429805</v>
      </c>
    </row>
    <row r="43" spans="1:20" x14ac:dyDescent="0.25">
      <c r="A43" s="5">
        <v>44550</v>
      </c>
      <c r="B43">
        <v>1.3562000000000001</v>
      </c>
      <c r="C43">
        <v>1.3568</v>
      </c>
      <c r="D43">
        <v>1.2565</v>
      </c>
      <c r="E43">
        <v>1.2964</v>
      </c>
      <c r="F43">
        <v>25974151</v>
      </c>
      <c r="G43">
        <v>1.2964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-0.20438683948155484</v>
      </c>
      <c r="Q43">
        <f t="shared" ref="Q43" si="191">F43*P43</f>
        <v>-5308774.6311066672</v>
      </c>
      <c r="R43">
        <f t="shared" ref="R43" si="192">R44+Q43</f>
        <v>575289954.14973664</v>
      </c>
      <c r="S43">
        <f t="shared" ref="S43" si="193">R43/100000</f>
        <v>5752.899541497366</v>
      </c>
      <c r="T43">
        <f t="shared" ref="T43" si="194">S43/1000</f>
        <v>5.7528995414973663</v>
      </c>
    </row>
    <row r="44" spans="1:20" x14ac:dyDescent="0.25">
      <c r="A44" s="5">
        <v>44549</v>
      </c>
      <c r="B44">
        <v>1.3781000000000001</v>
      </c>
      <c r="C44">
        <v>1.4351</v>
      </c>
      <c r="D44">
        <v>1.3523000000000001</v>
      </c>
      <c r="E44">
        <v>1.3555999999999999</v>
      </c>
      <c r="F44">
        <v>17054492</v>
      </c>
      <c r="G44">
        <v>1.3555999999999999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-0.92028985507246719</v>
      </c>
      <c r="Q44">
        <f t="shared" ref="Q44" si="196">F44*P44</f>
        <v>-15695075.971014552</v>
      </c>
      <c r="R44">
        <f t="shared" ref="R44" si="197">R45+Q44</f>
        <v>580598728.78084326</v>
      </c>
      <c r="S44">
        <f t="shared" ref="S44" si="198">R44/100000</f>
        <v>5805.9872878084325</v>
      </c>
      <c r="T44">
        <f t="shared" ref="T44" si="199">S44/1000</f>
        <v>5.8059872878084322</v>
      </c>
    </row>
    <row r="45" spans="1:20" x14ac:dyDescent="0.25">
      <c r="A45" s="5">
        <v>44548</v>
      </c>
      <c r="B45">
        <v>1.347</v>
      </c>
      <c r="C45">
        <v>1.3987000000000001</v>
      </c>
      <c r="D45">
        <v>1.3251999999999999</v>
      </c>
      <c r="E45">
        <v>1.3781000000000001</v>
      </c>
      <c r="F45">
        <v>15483767</v>
      </c>
      <c r="G45">
        <v>1.3781000000000001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0.43945578231292742</v>
      </c>
      <c r="Q45">
        <f t="shared" ref="Q45" si="201">F45*P45</f>
        <v>6804430.940136089</v>
      </c>
      <c r="R45">
        <f t="shared" ref="R45" si="202">R46+Q45</f>
        <v>596293804.75185776</v>
      </c>
      <c r="S45">
        <f t="shared" ref="S45" si="203">R45/100000</f>
        <v>5962.9380475185772</v>
      </c>
      <c r="T45">
        <f t="shared" ref="T45" si="204">S45/1000</f>
        <v>5.9629380475185769</v>
      </c>
    </row>
    <row r="46" spans="1:20" x14ac:dyDescent="0.25">
      <c r="A46" s="5">
        <v>44547</v>
      </c>
      <c r="B46">
        <v>1.3875</v>
      </c>
      <c r="C46">
        <v>1.4035</v>
      </c>
      <c r="D46">
        <v>1.3172999999999999</v>
      </c>
      <c r="E46">
        <v>1.3468</v>
      </c>
      <c r="F46">
        <v>18697796</v>
      </c>
      <c r="G46">
        <v>1.3468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-0.3155452436194881</v>
      </c>
      <c r="Q46">
        <f t="shared" ref="Q46" si="206">F46*P46</f>
        <v>-5900000.5939674899</v>
      </c>
      <c r="R46">
        <f t="shared" ref="R46" si="207">R47+Q46</f>
        <v>589489373.81172168</v>
      </c>
      <c r="S46">
        <f t="shared" ref="S46" si="208">R46/100000</f>
        <v>5894.8937381172173</v>
      </c>
      <c r="T46">
        <f t="shared" ref="T46" si="209">S46/1000</f>
        <v>5.8948937381172168</v>
      </c>
    </row>
    <row r="47" spans="1:20" x14ac:dyDescent="0.25">
      <c r="A47" s="5">
        <v>44546</v>
      </c>
      <c r="B47">
        <v>1.4261999999999999</v>
      </c>
      <c r="C47">
        <v>1.4671000000000001</v>
      </c>
      <c r="D47">
        <v>1.3833</v>
      </c>
      <c r="E47">
        <v>1.3877999999999999</v>
      </c>
      <c r="F47">
        <v>18305062</v>
      </c>
      <c r="G47">
        <v>1.3877999999999999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-0.89260143198090824</v>
      </c>
      <c r="Q47">
        <f t="shared" ref="Q47" si="211">F47*P47</f>
        <v>-16339124.553699309</v>
      </c>
      <c r="R47">
        <f t="shared" ref="R47" si="212">R48+Q47</f>
        <v>595389374.40568912</v>
      </c>
      <c r="S47">
        <f t="shared" ref="S47" si="213">R47/100000</f>
        <v>5953.8937440568916</v>
      </c>
      <c r="T47">
        <f t="shared" ref="T47" si="214">S47/1000</f>
        <v>5.9538937440568915</v>
      </c>
    </row>
    <row r="48" spans="1:20" x14ac:dyDescent="0.25">
      <c r="A48" s="5">
        <v>44545</v>
      </c>
      <c r="B48">
        <v>1.3801000000000001</v>
      </c>
      <c r="C48">
        <v>1.4545999999999999</v>
      </c>
      <c r="D48">
        <v>1.3029999999999999</v>
      </c>
      <c r="E48">
        <v>1.4261999999999999</v>
      </c>
      <c r="F48">
        <v>28398439</v>
      </c>
      <c r="G48">
        <v>1.4261999999999999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0.62532981530343024</v>
      </c>
      <c r="Q48">
        <f t="shared" ref="Q48" si="216">F48*P48</f>
        <v>17758390.614775728</v>
      </c>
      <c r="R48">
        <f t="shared" ref="R48" si="217">R49+Q48</f>
        <v>611728498.95938838</v>
      </c>
      <c r="S48">
        <f t="shared" ref="S48" si="218">R48/100000</f>
        <v>6117.2849895938834</v>
      </c>
      <c r="T48">
        <f t="shared" ref="T48" si="219">S48/1000</f>
        <v>6.117284989593883</v>
      </c>
    </row>
    <row r="49" spans="1:20" x14ac:dyDescent="0.25">
      <c r="A49" s="5">
        <v>44544</v>
      </c>
      <c r="B49">
        <v>1.3219000000000001</v>
      </c>
      <c r="C49">
        <v>1.3932</v>
      </c>
      <c r="D49">
        <v>1.3091999999999999</v>
      </c>
      <c r="E49">
        <v>1.3803000000000001</v>
      </c>
      <c r="F49">
        <v>26335006</v>
      </c>
      <c r="G49">
        <v>1.3803000000000001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0.69285714285714528</v>
      </c>
      <c r="Q49">
        <f t="shared" ref="Q49" si="221">F49*P49</f>
        <v>18246397.014285777</v>
      </c>
      <c r="R49">
        <f t="shared" ref="R49" si="222">R50+Q49</f>
        <v>593970108.3446126</v>
      </c>
      <c r="S49">
        <f t="shared" ref="S49" si="223">R49/100000</f>
        <v>5939.7010834461262</v>
      </c>
      <c r="T49">
        <f t="shared" ref="T49" si="224">S49/1000</f>
        <v>5.9397010834461259</v>
      </c>
    </row>
    <row r="50" spans="1:20" x14ac:dyDescent="0.25">
      <c r="A50" s="5">
        <v>44543</v>
      </c>
      <c r="B50">
        <v>1.5389999999999999</v>
      </c>
      <c r="C50">
        <v>1.5586</v>
      </c>
      <c r="D50">
        <v>1.3183</v>
      </c>
      <c r="E50">
        <v>1.3223</v>
      </c>
      <c r="F50">
        <v>37351297</v>
      </c>
      <c r="G50">
        <v>1.3223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-0.96670828131502284</v>
      </c>
      <c r="Q50">
        <f t="shared" ref="Q50" si="226">F50*P50</f>
        <v>-36107808.127756968</v>
      </c>
      <c r="R50">
        <f t="shared" ref="R50" si="227">R51+Q50</f>
        <v>575723711.3303268</v>
      </c>
      <c r="S50">
        <f t="shared" ref="S50" si="228">R50/100000</f>
        <v>5757.2371133032675</v>
      </c>
      <c r="T50">
        <f t="shared" ref="T50" si="229">S50/1000</f>
        <v>5.7572371133032672</v>
      </c>
    </row>
    <row r="51" spans="1:20" x14ac:dyDescent="0.25">
      <c r="A51" s="5">
        <v>44542</v>
      </c>
      <c r="B51">
        <v>1.5284</v>
      </c>
      <c r="C51">
        <v>1.5653999999999999</v>
      </c>
      <c r="D51">
        <v>1.5084</v>
      </c>
      <c r="E51">
        <v>1.5391999999999999</v>
      </c>
      <c r="F51">
        <v>16794202</v>
      </c>
      <c r="G51">
        <v>1.5391999999999999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8.07017543859639E-2</v>
      </c>
      <c r="Q51">
        <f t="shared" ref="Q51" si="231">F51*P51</f>
        <v>1355321.5649122638</v>
      </c>
      <c r="R51">
        <f t="shared" ref="R51" si="232">R52+Q51</f>
        <v>611831519.45808375</v>
      </c>
      <c r="S51">
        <f t="shared" ref="S51" si="233">R51/100000</f>
        <v>6118.3151945808377</v>
      </c>
      <c r="T51">
        <f t="shared" ref="T51" si="234">S51/1000</f>
        <v>6.1183151945808376</v>
      </c>
    </row>
    <row r="52" spans="1:20" x14ac:dyDescent="0.25">
      <c r="A52" s="5">
        <v>44541</v>
      </c>
      <c r="B52">
        <v>1.4587000000000001</v>
      </c>
      <c r="C52">
        <v>1.4742999999999999</v>
      </c>
      <c r="D52">
        <v>1.43</v>
      </c>
      <c r="E52">
        <v>1.4677</v>
      </c>
      <c r="F52">
        <v>2011530</v>
      </c>
      <c r="G52">
        <v>1.4677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0.70203160270880638</v>
      </c>
      <c r="Q52">
        <f t="shared" ref="Q52" si="236">F52*P52</f>
        <v>1412157.6297968454</v>
      </c>
      <c r="R52">
        <f t="shared" ref="R52" si="237">R53+Q52</f>
        <v>610476197.89317143</v>
      </c>
      <c r="S52">
        <f t="shared" ref="S52" si="238">R52/100000</f>
        <v>6104.7619789317141</v>
      </c>
      <c r="T52">
        <f t="shared" ref="T52" si="239">S52/1000</f>
        <v>6.1047619789317142</v>
      </c>
    </row>
    <row r="53" spans="1:20" x14ac:dyDescent="0.25">
      <c r="A53" s="5">
        <v>44540</v>
      </c>
      <c r="B53">
        <v>1.548</v>
      </c>
      <c r="C53">
        <v>1.5996999999999999</v>
      </c>
      <c r="D53">
        <v>1.4559</v>
      </c>
      <c r="E53">
        <v>1.4590000000000001</v>
      </c>
      <c r="F53">
        <v>27195979</v>
      </c>
      <c r="G53">
        <v>1.4590000000000001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-0.9568845618915145</v>
      </c>
      <c r="Q53">
        <f t="shared" ref="Q53" si="241">F53*P53</f>
        <v>-26023412.450625829</v>
      </c>
      <c r="R53">
        <f t="shared" ref="R53" si="242">R54+Q53</f>
        <v>609064040.26337457</v>
      </c>
      <c r="S53">
        <f t="shared" ref="S53" si="243">R53/100000</f>
        <v>6090.6404026337459</v>
      </c>
      <c r="T53">
        <f t="shared" ref="T53" si="244">S53/1000</f>
        <v>6.0906404026337455</v>
      </c>
    </row>
    <row r="54" spans="1:20" x14ac:dyDescent="0.25">
      <c r="A54" s="5">
        <v>44539</v>
      </c>
      <c r="B54">
        <v>1.7010000000000001</v>
      </c>
      <c r="C54">
        <v>1.7135</v>
      </c>
      <c r="D54">
        <v>1.5430999999999999</v>
      </c>
      <c r="E54">
        <v>1.548</v>
      </c>
      <c r="F54">
        <v>32555446</v>
      </c>
      <c r="G54">
        <v>1.548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-0.94248826291079668</v>
      </c>
      <c r="Q54">
        <f t="shared" ref="Q54" si="246">F54*P54</f>
        <v>-30683125.748826243</v>
      </c>
      <c r="R54">
        <f t="shared" ref="R54" si="247">R55+Q54</f>
        <v>635087452.71400034</v>
      </c>
      <c r="S54">
        <f t="shared" ref="S54" si="248">R54/100000</f>
        <v>6350.874527140003</v>
      </c>
      <c r="T54">
        <f t="shared" ref="T54" si="249">S54/1000</f>
        <v>6.3508745271400029</v>
      </c>
    </row>
    <row r="55" spans="1:20" x14ac:dyDescent="0.25">
      <c r="A55" s="5">
        <v>44538</v>
      </c>
      <c r="B55">
        <v>1.6850000000000001</v>
      </c>
      <c r="C55">
        <v>1.7019</v>
      </c>
      <c r="D55">
        <v>1.5906</v>
      </c>
      <c r="E55">
        <v>1.7015</v>
      </c>
      <c r="F55">
        <v>25884932</v>
      </c>
      <c r="G55">
        <v>1.7015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0.99281221922731433</v>
      </c>
      <c r="Q55">
        <f t="shared" ref="Q55" si="251">F55*P55</f>
        <v>25698876.783468124</v>
      </c>
      <c r="R55">
        <f t="shared" ref="R55" si="252">R56+Q55</f>
        <v>665770578.46282661</v>
      </c>
      <c r="S55">
        <f t="shared" ref="S55" si="253">R55/100000</f>
        <v>6657.705784628266</v>
      </c>
      <c r="T55">
        <f t="shared" ref="T55" si="254">S55/1000</f>
        <v>6.6577057846282663</v>
      </c>
    </row>
    <row r="56" spans="1:20" x14ac:dyDescent="0.25">
      <c r="A56" s="5">
        <v>44537</v>
      </c>
      <c r="B56">
        <v>1.7621</v>
      </c>
      <c r="C56">
        <v>1.8109</v>
      </c>
      <c r="D56">
        <v>1.6641999999999999</v>
      </c>
      <c r="E56">
        <v>1.6852</v>
      </c>
      <c r="F56">
        <v>40437823</v>
      </c>
      <c r="G56">
        <v>1.6852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-0.71370143149284082</v>
      </c>
      <c r="Q56">
        <f t="shared" ref="Q56" si="256">F56*P56</f>
        <v>-28860532.161554124</v>
      </c>
      <c r="R56">
        <f t="shared" ref="R56" si="257">R57+Q56</f>
        <v>640071701.67935848</v>
      </c>
      <c r="S56">
        <f t="shared" ref="S56" si="258">R56/100000</f>
        <v>6400.7170167935847</v>
      </c>
      <c r="T56">
        <f t="shared" ref="T56" si="259">S56/1000</f>
        <v>6.4007170167935845</v>
      </c>
    </row>
    <row r="57" spans="1:20" x14ac:dyDescent="0.25">
      <c r="A57" s="5">
        <v>44536</v>
      </c>
      <c r="B57">
        <v>1.7647999999999999</v>
      </c>
      <c r="C57">
        <v>1.8666</v>
      </c>
      <c r="D57">
        <v>1.6132</v>
      </c>
      <c r="E57">
        <v>1.7628999999999999</v>
      </c>
      <c r="F57">
        <v>110472308</v>
      </c>
      <c r="G57">
        <v>1.7628999999999999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0.18153117600631336</v>
      </c>
      <c r="Q57">
        <f t="shared" ref="Q57" si="261">F57*P57</f>
        <v>20054167.987371657</v>
      </c>
      <c r="R57">
        <f t="shared" ref="R57" si="262">R58+Q57</f>
        <v>668932233.84091258</v>
      </c>
      <c r="S57">
        <f t="shared" ref="S57" si="263">R57/100000</f>
        <v>6689.3223384091261</v>
      </c>
      <c r="T57">
        <f t="shared" ref="T57" si="264">S57/1000</f>
        <v>6.6893223384091263</v>
      </c>
    </row>
    <row r="58" spans="1:20" x14ac:dyDescent="0.25">
      <c r="A58" s="5">
        <v>44535</v>
      </c>
      <c r="B58">
        <v>1.6491</v>
      </c>
      <c r="C58">
        <v>1.7649999999999999</v>
      </c>
      <c r="D58">
        <v>1.5852999999999999</v>
      </c>
      <c r="E58">
        <v>1.7649999999999999</v>
      </c>
      <c r="F58">
        <v>84567923</v>
      </c>
      <c r="G58">
        <v>1.7649999999999999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1</v>
      </c>
      <c r="Q58">
        <f t="shared" ref="Q58" si="266">F58*P58</f>
        <v>84567923</v>
      </c>
      <c r="R58">
        <f t="shared" ref="R58" si="267">R59+Q58</f>
        <v>648878065.8535409</v>
      </c>
      <c r="S58">
        <f t="shared" ref="S58" si="268">R58/100000</f>
        <v>6488.7806585354092</v>
      </c>
      <c r="T58">
        <f t="shared" ref="T58" si="269">S58/1000</f>
        <v>6.4887806585354095</v>
      </c>
    </row>
    <row r="59" spans="1:20" x14ac:dyDescent="0.25">
      <c r="A59" s="5">
        <v>44534</v>
      </c>
      <c r="B59">
        <v>1.7465999999999999</v>
      </c>
      <c r="C59">
        <v>1.7526999999999999</v>
      </c>
      <c r="D59">
        <v>1.3238000000000001</v>
      </c>
      <c r="E59">
        <v>1.6491</v>
      </c>
      <c r="F59">
        <v>93370242</v>
      </c>
      <c r="G59">
        <v>1.6491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0.51690370715784584</v>
      </c>
      <c r="Q59">
        <f t="shared" ref="Q59" si="271">F59*P59</f>
        <v>48263424.228025198</v>
      </c>
      <c r="R59">
        <f t="shared" ref="R59" si="272">R60+Q59</f>
        <v>564310142.8535409</v>
      </c>
      <c r="S59">
        <f t="shared" ref="S59" si="273">R59/100000</f>
        <v>5643.1014285354086</v>
      </c>
      <c r="T59">
        <f t="shared" ref="T59" si="274">S59/1000</f>
        <v>5.6431014285354086</v>
      </c>
    </row>
    <row r="60" spans="1:20" x14ac:dyDescent="0.25">
      <c r="A60" s="5">
        <v>44533</v>
      </c>
      <c r="B60">
        <v>1.8876999999999999</v>
      </c>
      <c r="C60">
        <v>1.9421999999999999</v>
      </c>
      <c r="D60">
        <v>1.6918</v>
      </c>
      <c r="E60">
        <v>1.7467999999999999</v>
      </c>
      <c r="F60">
        <v>47203596</v>
      </c>
      <c r="G60">
        <v>1.7467999999999999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-0.56070287539936148</v>
      </c>
      <c r="Q60">
        <f t="shared" ref="Q60" si="276">F60*P60</f>
        <v>-26467192.006389797</v>
      </c>
      <c r="R60">
        <f t="shared" ref="R60" si="277">R61+Q60</f>
        <v>516046718.62551564</v>
      </c>
      <c r="S60">
        <f t="shared" ref="S60" si="278">R60/100000</f>
        <v>5160.4671862551568</v>
      </c>
      <c r="T60">
        <f t="shared" ref="T60" si="279">S60/1000</f>
        <v>5.1604671862551568</v>
      </c>
    </row>
    <row r="61" spans="1:20" x14ac:dyDescent="0.25">
      <c r="A61" s="5">
        <v>44532</v>
      </c>
      <c r="B61">
        <v>1.9608000000000001</v>
      </c>
      <c r="C61">
        <v>2.0430999999999999</v>
      </c>
      <c r="D61">
        <v>1.8483000000000001</v>
      </c>
      <c r="E61">
        <v>1.8869</v>
      </c>
      <c r="F61">
        <v>61315598</v>
      </c>
      <c r="G61">
        <v>1.8869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-0.6036960985626284</v>
      </c>
      <c r="Q61">
        <f t="shared" ref="Q61" si="281">F61*P61</f>
        <v>-37015987.293634504</v>
      </c>
      <c r="R61">
        <f t="shared" ref="R61" si="282">R62+Q61</f>
        <v>542513910.63190544</v>
      </c>
      <c r="S61">
        <f t="shared" ref="S61" si="283">R61/100000</f>
        <v>5425.139106319054</v>
      </c>
      <c r="T61">
        <f t="shared" ref="T61" si="284">S61/1000</f>
        <v>5.4251391063190537</v>
      </c>
    </row>
    <row r="62" spans="1:20" x14ac:dyDescent="0.25">
      <c r="A62" s="5">
        <v>44531</v>
      </c>
      <c r="B62">
        <v>1.8120000000000001</v>
      </c>
      <c r="C62">
        <v>2.0259</v>
      </c>
      <c r="D62">
        <v>1.8007</v>
      </c>
      <c r="E62">
        <v>1.9609000000000001</v>
      </c>
      <c r="F62">
        <v>79153407</v>
      </c>
      <c r="G62">
        <v>1.9609000000000001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0.42273534635879284</v>
      </c>
      <c r="Q62">
        <f t="shared" ref="Q62" si="286">F62*P62</f>
        <v>33460942.923623499</v>
      </c>
      <c r="R62">
        <f t="shared" ref="R62" si="287">R63+Q62</f>
        <v>579529897.92553997</v>
      </c>
      <c r="S62">
        <f t="shared" ref="S62" si="288">R62/100000</f>
        <v>5795.2989792553999</v>
      </c>
      <c r="T62">
        <f t="shared" ref="T62" si="289">S62/1000</f>
        <v>5.7952989792554002</v>
      </c>
    </row>
    <row r="63" spans="1:20" x14ac:dyDescent="0.25">
      <c r="A63" s="5">
        <v>44530</v>
      </c>
      <c r="B63">
        <v>1.7715000000000001</v>
      </c>
      <c r="C63">
        <v>1.88</v>
      </c>
      <c r="D63">
        <v>1.7295</v>
      </c>
      <c r="E63">
        <v>1.8119000000000001</v>
      </c>
      <c r="F63">
        <v>57996248</v>
      </c>
      <c r="G63">
        <v>1.8119000000000001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9.5016611295682493E-2</v>
      </c>
      <c r="Q63">
        <f t="shared" ref="Q63" si="291">F63*P63</f>
        <v>5510606.9528240031</v>
      </c>
      <c r="R63">
        <f t="shared" ref="R63" si="292">R64+Q63</f>
        <v>546068955.00191653</v>
      </c>
      <c r="S63">
        <f t="shared" ref="S63" si="293">R63/100000</f>
        <v>5460.6895500191649</v>
      </c>
      <c r="T63">
        <f t="shared" ref="T63" si="294">S63/1000</f>
        <v>5.4606895500191648</v>
      </c>
    </row>
    <row r="64" spans="1:20" x14ac:dyDescent="0.25">
      <c r="A64" s="5">
        <v>44529</v>
      </c>
      <c r="B64">
        <v>1.712</v>
      </c>
      <c r="C64">
        <v>1.8327</v>
      </c>
      <c r="D64">
        <v>1.6917</v>
      </c>
      <c r="E64">
        <v>1.7725</v>
      </c>
      <c r="F64">
        <v>46330252</v>
      </c>
      <c r="G64">
        <v>1.7725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0.1460992907801415</v>
      </c>
      <c r="Q64">
        <f t="shared" ref="Q64" si="296">F64*P64</f>
        <v>6768816.9588652318</v>
      </c>
      <c r="R64">
        <f t="shared" ref="R64" si="297">R65+Q64</f>
        <v>540558348.04909253</v>
      </c>
      <c r="S64">
        <f t="shared" ref="S64" si="298">R64/100000</f>
        <v>5405.5834804909255</v>
      </c>
      <c r="T64">
        <f t="shared" ref="T64" si="299">S64/1000</f>
        <v>5.4055834804909253</v>
      </c>
    </row>
    <row r="65" spans="1:20" x14ac:dyDescent="0.25">
      <c r="A65" s="5">
        <v>44528</v>
      </c>
      <c r="B65">
        <v>1.6748000000000001</v>
      </c>
      <c r="C65">
        <v>1.7152000000000001</v>
      </c>
      <c r="D65">
        <v>1.57</v>
      </c>
      <c r="E65">
        <v>1.7124999999999999</v>
      </c>
      <c r="F65">
        <v>34972976</v>
      </c>
      <c r="G65">
        <v>1.7124999999999999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0.96280991735536992</v>
      </c>
      <c r="Q65">
        <f t="shared" ref="Q65" si="301">F65*P65</f>
        <v>33672328.132231332</v>
      </c>
      <c r="R65">
        <f t="shared" ref="R65" si="302">R66+Q65</f>
        <v>533789531.09022725</v>
      </c>
      <c r="S65">
        <f t="shared" ref="S65" si="303">R65/100000</f>
        <v>5337.8953109022723</v>
      </c>
      <c r="T65">
        <f t="shared" ref="T65" si="304">S65/1000</f>
        <v>5.3378953109022724</v>
      </c>
    </row>
    <row r="66" spans="1:20" x14ac:dyDescent="0.25">
      <c r="A66" s="5">
        <v>44527</v>
      </c>
      <c r="B66">
        <v>1.6044</v>
      </c>
      <c r="C66">
        <v>1.7242</v>
      </c>
      <c r="D66">
        <v>1.6002000000000001</v>
      </c>
      <c r="E66">
        <v>1.6741999999999999</v>
      </c>
      <c r="F66">
        <v>39983287</v>
      </c>
      <c r="G66">
        <v>1.6741999999999999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0.19354838709677274</v>
      </c>
      <c r="Q66">
        <f t="shared" ref="Q66" si="306">F66*P66</f>
        <v>7738700.7096773619</v>
      </c>
      <c r="R66">
        <f t="shared" ref="R66" si="307">R67+Q66</f>
        <v>500117202.95799589</v>
      </c>
      <c r="S66">
        <f t="shared" ref="S66" si="308">R66/100000</f>
        <v>5001.1720295799587</v>
      </c>
      <c r="T66">
        <f t="shared" ref="T66" si="309">S66/1000</f>
        <v>5.0011720295799584</v>
      </c>
    </row>
    <row r="67" spans="1:20" x14ac:dyDescent="0.25">
      <c r="A67" s="5">
        <v>44526</v>
      </c>
      <c r="B67">
        <v>1.8213999999999999</v>
      </c>
      <c r="C67">
        <v>1.8242</v>
      </c>
      <c r="D67">
        <v>1.5829</v>
      </c>
      <c r="E67">
        <v>1.6045</v>
      </c>
      <c r="F67">
        <v>59819201</v>
      </c>
      <c r="G67">
        <v>1.6045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-0.82096974720265181</v>
      </c>
      <c r="Q67">
        <f t="shared" ref="Q67" si="311">F67*P67</f>
        <v>-49109754.322834618</v>
      </c>
      <c r="R67">
        <f t="shared" ref="R67" si="312">R68+Q67</f>
        <v>492378502.24831855</v>
      </c>
      <c r="S67">
        <f t="shared" ref="S67" si="313">R67/100000</f>
        <v>4923.7850224831855</v>
      </c>
      <c r="T67">
        <f t="shared" ref="T67" si="314">S67/1000</f>
        <v>4.9237850224831856</v>
      </c>
    </row>
    <row r="68" spans="1:20" x14ac:dyDescent="0.25">
      <c r="A68" s="5">
        <v>44525</v>
      </c>
      <c r="B68">
        <v>1.7416</v>
      </c>
      <c r="C68">
        <v>1.8441000000000001</v>
      </c>
      <c r="D68">
        <v>1.7250000000000001</v>
      </c>
      <c r="E68">
        <v>1.8213999999999999</v>
      </c>
      <c r="F68">
        <v>41187816</v>
      </c>
      <c r="G68">
        <v>1.8213999999999999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0.61880772460117262</v>
      </c>
      <c r="Q68">
        <f t="shared" ref="Q68" si="316">F68*P68</f>
        <v>25487338.700251769</v>
      </c>
      <c r="R68">
        <f t="shared" ref="R68" si="317">R69+Q68</f>
        <v>541488256.57115316</v>
      </c>
      <c r="S68">
        <f t="shared" ref="S68" si="318">R68/100000</f>
        <v>5414.8825657115312</v>
      </c>
      <c r="T68">
        <f t="shared" ref="T68" si="319">S68/1000</f>
        <v>5.4148825657115314</v>
      </c>
    </row>
    <row r="69" spans="1:20" x14ac:dyDescent="0.25">
      <c r="A69" s="5">
        <v>44524</v>
      </c>
      <c r="B69">
        <v>1.8355999999999999</v>
      </c>
      <c r="C69">
        <v>1.8733</v>
      </c>
      <c r="D69">
        <v>1.7806</v>
      </c>
      <c r="E69">
        <v>1.8095000000000001</v>
      </c>
      <c r="F69">
        <v>18540896</v>
      </c>
      <c r="G69">
        <v>1.8095000000000001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-0.3764832793958976</v>
      </c>
      <c r="Q69">
        <f t="shared" ref="Q69" si="321">F69*P69</f>
        <v>-6980337.3290182799</v>
      </c>
      <c r="R69">
        <f t="shared" ref="R69" si="322">R70+Q69</f>
        <v>516000917.87090141</v>
      </c>
      <c r="S69">
        <f t="shared" ref="S69" si="323">R69/100000</f>
        <v>5160.0091787090141</v>
      </c>
      <c r="T69">
        <f t="shared" ref="T69" si="324">S69/1000</f>
        <v>5.1600091787090143</v>
      </c>
    </row>
    <row r="70" spans="1:20" x14ac:dyDescent="0.25">
      <c r="A70" s="5">
        <v>44523</v>
      </c>
      <c r="B70">
        <v>1.7381</v>
      </c>
      <c r="C70">
        <v>1.85</v>
      </c>
      <c r="D70">
        <v>1.6971000000000001</v>
      </c>
      <c r="E70">
        <v>1.8357000000000001</v>
      </c>
      <c r="F70">
        <v>42291825</v>
      </c>
      <c r="G70">
        <v>1.8357000000000001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0.81294964028777006</v>
      </c>
      <c r="Q70">
        <f t="shared" ref="Q70" si="326">F70*P70</f>
        <v>34381123.920863323</v>
      </c>
      <c r="R70">
        <f t="shared" ref="R70" si="327">R71+Q70</f>
        <v>522981255.1999197</v>
      </c>
      <c r="S70">
        <f t="shared" ref="S70" si="328">R70/100000</f>
        <v>5229.8125519991972</v>
      </c>
      <c r="T70">
        <f t="shared" ref="T70" si="329">S70/1000</f>
        <v>5.2298125519991974</v>
      </c>
    </row>
    <row r="71" spans="1:20" x14ac:dyDescent="0.25">
      <c r="A71" s="5">
        <v>44522</v>
      </c>
      <c r="B71">
        <v>1.8281000000000001</v>
      </c>
      <c r="C71">
        <v>1.8380000000000001</v>
      </c>
      <c r="D71">
        <v>1.7131000000000001</v>
      </c>
      <c r="E71">
        <v>1.7383999999999999</v>
      </c>
      <c r="F71">
        <v>43317588</v>
      </c>
      <c r="G71">
        <v>1.7383999999999999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-0.5948759007205785</v>
      </c>
      <c r="Q71">
        <f t="shared" ref="Q71" si="331">F71*P71</f>
        <v>-25768589.178542923</v>
      </c>
      <c r="R71">
        <f t="shared" ref="R71" si="332">R72+Q71</f>
        <v>488600131.27905637</v>
      </c>
      <c r="S71">
        <f t="shared" ref="S71" si="333">R71/100000</f>
        <v>4886.001312790564</v>
      </c>
      <c r="T71">
        <f t="shared" ref="T71" si="334">S71/1000</f>
        <v>4.8860013127905644</v>
      </c>
    </row>
    <row r="72" spans="1:20" x14ac:dyDescent="0.25">
      <c r="A72" s="5">
        <v>44521</v>
      </c>
      <c r="B72">
        <v>1.8376999999999999</v>
      </c>
      <c r="C72">
        <v>1.8925000000000001</v>
      </c>
      <c r="D72">
        <v>1.7822</v>
      </c>
      <c r="E72">
        <v>1.8281000000000001</v>
      </c>
      <c r="F72">
        <v>42655372</v>
      </c>
      <c r="G72">
        <v>1.8281000000000001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-0.16772438803263781</v>
      </c>
      <c r="Q72">
        <f t="shared" ref="Q72" si="336">F72*P72</f>
        <v>-7154346.1650045142</v>
      </c>
      <c r="R72">
        <f t="shared" ref="R72" si="337">R73+Q72</f>
        <v>514368720.45759928</v>
      </c>
      <c r="S72">
        <f t="shared" ref="S72" si="338">R72/100000</f>
        <v>5143.6872045759928</v>
      </c>
      <c r="T72">
        <f t="shared" ref="T72" si="339">S72/1000</f>
        <v>5.1436872045759925</v>
      </c>
    </row>
    <row r="73" spans="1:20" x14ac:dyDescent="0.25">
      <c r="A73" s="5">
        <v>44520</v>
      </c>
      <c r="B73">
        <v>1.8785000000000001</v>
      </c>
      <c r="C73">
        <v>1.9054</v>
      </c>
      <c r="D73">
        <v>1.7575000000000001</v>
      </c>
      <c r="E73">
        <v>1.8384</v>
      </c>
      <c r="F73">
        <v>40883687</v>
      </c>
      <c r="G73">
        <v>1.8384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9.3982420554428875E-2</v>
      </c>
      <c r="Q73">
        <f t="shared" ref="Q73" si="341">F73*P73</f>
        <v>3842347.8654496367</v>
      </c>
      <c r="R73">
        <f t="shared" ref="R73" si="342">R74+Q73</f>
        <v>521523066.62260377</v>
      </c>
      <c r="S73">
        <f t="shared" ref="S73" si="343">R73/100000</f>
        <v>5215.230666226038</v>
      </c>
      <c r="T73">
        <f t="shared" ref="T73" si="344">S73/1000</f>
        <v>5.2152306662260379</v>
      </c>
    </row>
    <row r="74" spans="1:20" x14ac:dyDescent="0.25">
      <c r="A74" s="5">
        <v>44519</v>
      </c>
      <c r="B74">
        <v>1.8498000000000001</v>
      </c>
      <c r="C74">
        <v>1.9076</v>
      </c>
      <c r="D74">
        <v>1.7507999999999999</v>
      </c>
      <c r="E74">
        <v>1.8779999999999999</v>
      </c>
      <c r="F74">
        <v>70265015</v>
      </c>
      <c r="G74">
        <v>1.8779999999999999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0.62244897959183598</v>
      </c>
      <c r="Q74">
        <f t="shared" ref="Q74" si="346">F74*P74</f>
        <v>43736386.887755051</v>
      </c>
      <c r="R74">
        <f t="shared" ref="R74" si="347">R75+Q74</f>
        <v>517680718.75715417</v>
      </c>
      <c r="S74">
        <f t="shared" ref="S74" si="348">R74/100000</f>
        <v>5176.8071875715414</v>
      </c>
      <c r="T74">
        <f t="shared" ref="T74" si="349">S74/1000</f>
        <v>5.1768071875715416</v>
      </c>
    </row>
    <row r="75" spans="1:20" x14ac:dyDescent="0.25">
      <c r="A75" s="5">
        <v>44518</v>
      </c>
      <c r="B75">
        <v>1.6585000000000001</v>
      </c>
      <c r="C75">
        <v>2.99</v>
      </c>
      <c r="D75">
        <v>1.6471</v>
      </c>
      <c r="E75">
        <v>1.8499000000000001</v>
      </c>
      <c r="F75">
        <v>514030822.80400002</v>
      </c>
      <c r="G75">
        <v>1.8499000000000001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-0.69796708615682468</v>
      </c>
      <c r="Q75">
        <f t="shared" ref="Q75" si="351">F75*P75</f>
        <v>-358776595.58730298</v>
      </c>
      <c r="R75">
        <f t="shared" ref="R75" si="352">R76+Q75</f>
        <v>473944331.86939913</v>
      </c>
      <c r="S75">
        <f t="shared" ref="S75" si="353">R75/100000</f>
        <v>4739.4433186939914</v>
      </c>
      <c r="T75">
        <f t="shared" ref="T75" si="354">S75/1000</f>
        <v>4.7394433186939917</v>
      </c>
    </row>
    <row r="76" spans="1:20" x14ac:dyDescent="0.25">
      <c r="A76" s="5">
        <v>44517</v>
      </c>
      <c r="B76">
        <v>1.7211000000000001</v>
      </c>
      <c r="C76">
        <v>1.7609999999999999</v>
      </c>
      <c r="D76">
        <v>1.5952</v>
      </c>
      <c r="E76">
        <v>1.6588000000000001</v>
      </c>
      <c r="F76">
        <v>60452454</v>
      </c>
      <c r="G76">
        <v>1.6588000000000001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-0.23281061519903351</v>
      </c>
      <c r="Q76">
        <f t="shared" ref="Q76" si="356">F76*P76</f>
        <v>-14073973.006031275</v>
      </c>
      <c r="R76">
        <f t="shared" ref="R76" si="357">R77+Q76</f>
        <v>832720927.45670211</v>
      </c>
      <c r="S76">
        <f t="shared" ref="S76" si="358">R76/100000</f>
        <v>8327.2092745670216</v>
      </c>
      <c r="T76">
        <f t="shared" ref="T76" si="359">S76/1000</f>
        <v>8.3272092745670214</v>
      </c>
    </row>
    <row r="77" spans="1:20" x14ac:dyDescent="0.25">
      <c r="A77" s="5">
        <v>44516</v>
      </c>
      <c r="B77">
        <v>1.8912</v>
      </c>
      <c r="C77">
        <v>1.8912</v>
      </c>
      <c r="D77">
        <v>1.5607</v>
      </c>
      <c r="E77">
        <v>1.7229000000000001</v>
      </c>
      <c r="F77">
        <v>94911065</v>
      </c>
      <c r="G77">
        <v>1.7229000000000001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-1.8456883509832895E-2</v>
      </c>
      <c r="Q77">
        <f t="shared" ref="Q77" si="361">F77*P77</f>
        <v>-1751762.4704991779</v>
      </c>
      <c r="R77">
        <f t="shared" ref="R77" si="362">R78+Q77</f>
        <v>846794900.46273339</v>
      </c>
      <c r="S77">
        <f t="shared" ref="S77" si="363">R77/100000</f>
        <v>8467.9490046273331</v>
      </c>
      <c r="T77">
        <f t="shared" ref="T77" si="364">S77/1000</f>
        <v>8.4679490046273322</v>
      </c>
    </row>
    <row r="78" spans="1:20" x14ac:dyDescent="0.25">
      <c r="A78" s="5">
        <v>44515</v>
      </c>
      <c r="B78">
        <v>1.9843999999999999</v>
      </c>
      <c r="C78">
        <v>2.0095000000000001</v>
      </c>
      <c r="D78">
        <v>1.8563000000000001</v>
      </c>
      <c r="E78">
        <v>1.8911</v>
      </c>
      <c r="F78">
        <v>52164268</v>
      </c>
      <c r="G78">
        <v>1.8911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-0.54569190600522266</v>
      </c>
      <c r="Q78">
        <f t="shared" ref="Q78" si="366">F78*P78</f>
        <v>-28465618.830287244</v>
      </c>
      <c r="R78">
        <f t="shared" ref="R78" si="367">R79+Q78</f>
        <v>848546662.93323255</v>
      </c>
      <c r="S78">
        <f t="shared" ref="S78" si="368">R78/100000</f>
        <v>8485.4666293323262</v>
      </c>
      <c r="T78">
        <f t="shared" ref="T78" si="369">S78/1000</f>
        <v>8.4854666293323255</v>
      </c>
    </row>
    <row r="79" spans="1:20" x14ac:dyDescent="0.25">
      <c r="A79" s="5">
        <v>44514</v>
      </c>
      <c r="B79">
        <v>2.0739999999999998</v>
      </c>
      <c r="C79">
        <v>2.1086999999999998</v>
      </c>
      <c r="D79">
        <v>1.9185000000000001</v>
      </c>
      <c r="E79">
        <v>1.9844999999999999</v>
      </c>
      <c r="F79">
        <v>52677349</v>
      </c>
      <c r="G79">
        <v>1.9844999999999999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-0.30599369085173567</v>
      </c>
      <c r="Q79">
        <f t="shared" ref="Q79" si="371">F79*P79</f>
        <v>-16118936.444794986</v>
      </c>
      <c r="R79">
        <f t="shared" ref="R79" si="372">R80+Q79</f>
        <v>877012281.76351976</v>
      </c>
      <c r="S79">
        <f t="shared" ref="S79" si="373">R79/100000</f>
        <v>8770.1228176351979</v>
      </c>
      <c r="T79">
        <f t="shared" ref="T79" si="374">S79/1000</f>
        <v>8.7701228176351975</v>
      </c>
    </row>
    <row r="80" spans="1:20" x14ac:dyDescent="0.25">
      <c r="A80" s="5">
        <v>44513</v>
      </c>
      <c r="B80">
        <v>2.1440999999999999</v>
      </c>
      <c r="C80">
        <v>2.1627999999999998</v>
      </c>
      <c r="D80">
        <v>2.0318000000000001</v>
      </c>
      <c r="E80">
        <v>2.0743</v>
      </c>
      <c r="F80">
        <v>46007264</v>
      </c>
      <c r="G80">
        <v>2.0743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-0.35114503816793813</v>
      </c>
      <c r="Q80">
        <f t="shared" ref="Q80" si="376">F80*P80</f>
        <v>-16155222.473282406</v>
      </c>
      <c r="R80">
        <f t="shared" ref="R80" si="377">R81+Q80</f>
        <v>893131218.20831478</v>
      </c>
      <c r="S80">
        <f t="shared" ref="S80" si="378">R80/100000</f>
        <v>8931.3121820831475</v>
      </c>
      <c r="T80">
        <f t="shared" ref="T80" si="379">S80/1000</f>
        <v>8.9313121820831469</v>
      </c>
    </row>
    <row r="81" spans="1:20" x14ac:dyDescent="0.25">
      <c r="A81" s="5">
        <v>44512</v>
      </c>
      <c r="B81">
        <v>2.0200999999999998</v>
      </c>
      <c r="C81">
        <v>2.363</v>
      </c>
      <c r="D81">
        <v>2.0024999999999999</v>
      </c>
      <c r="E81">
        <v>2.1452</v>
      </c>
      <c r="F81">
        <v>179772290</v>
      </c>
      <c r="G81">
        <v>2.1452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-0.20832177531206639</v>
      </c>
      <c r="Q81">
        <f t="shared" ref="Q81" si="381">F81*P81</f>
        <v>-37450482.604715638</v>
      </c>
      <c r="R81">
        <f t="shared" ref="R81" si="382">R82+Q81</f>
        <v>909286440.68159723</v>
      </c>
      <c r="S81">
        <f t="shared" ref="S81" si="383">R81/100000</f>
        <v>9092.864406815972</v>
      </c>
      <c r="T81">
        <f t="shared" ref="T81" si="384">S81/1000</f>
        <v>9.0928644068159716</v>
      </c>
    </row>
    <row r="82" spans="1:20" x14ac:dyDescent="0.25">
      <c r="A82" s="5">
        <v>44511</v>
      </c>
      <c r="B82">
        <v>1.9319</v>
      </c>
      <c r="C82">
        <v>2.0621</v>
      </c>
      <c r="D82">
        <v>1.8720000000000001</v>
      </c>
      <c r="E82">
        <v>2.02</v>
      </c>
      <c r="F82">
        <v>61945049</v>
      </c>
      <c r="G82">
        <v>2.02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0.55707522356654349</v>
      </c>
      <c r="Q82">
        <f t="shared" ref="Q82" si="386">F82*P82</f>
        <v>34508052.020515494</v>
      </c>
      <c r="R82">
        <f t="shared" ref="R82" si="387">R83+Q82</f>
        <v>946736923.28631282</v>
      </c>
      <c r="S82">
        <f t="shared" ref="S82" si="388">R82/100000</f>
        <v>9467.3692328631278</v>
      </c>
      <c r="T82">
        <f t="shared" ref="T82" si="389">S82/1000</f>
        <v>9.4673692328631276</v>
      </c>
    </row>
    <row r="83" spans="1:20" x14ac:dyDescent="0.25">
      <c r="A83" s="5">
        <v>44510</v>
      </c>
      <c r="B83">
        <v>1.9455</v>
      </c>
      <c r="C83">
        <v>2.2934999999999999</v>
      </c>
      <c r="D83">
        <v>1.83</v>
      </c>
      <c r="E83">
        <v>1.9320999999999999</v>
      </c>
      <c r="F83">
        <v>129908674</v>
      </c>
      <c r="G83">
        <v>1.9320999999999999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-0.55943905070118705</v>
      </c>
      <c r="Q83">
        <f t="shared" ref="Q83" si="391">F83*P83</f>
        <v>-72675985.260409981</v>
      </c>
      <c r="R83">
        <f t="shared" ref="R83" si="392">R84+Q83</f>
        <v>912228871.26579738</v>
      </c>
      <c r="S83">
        <f t="shared" ref="S83" si="393">R83/100000</f>
        <v>9122.2887126579735</v>
      </c>
      <c r="T83">
        <f t="shared" ref="T83" si="394">S83/1000</f>
        <v>9.1222887126579728</v>
      </c>
    </row>
    <row r="84" spans="1:20" x14ac:dyDescent="0.25">
      <c r="A84" s="5">
        <v>44509</v>
      </c>
      <c r="B84">
        <v>2.0464000000000002</v>
      </c>
      <c r="C84">
        <v>2.0566</v>
      </c>
      <c r="D84">
        <v>1.9292</v>
      </c>
      <c r="E84">
        <v>1.9460999999999999</v>
      </c>
      <c r="F84">
        <v>38832143</v>
      </c>
      <c r="G84">
        <v>1.9460999999999999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-0.73469387755102167</v>
      </c>
      <c r="Q84">
        <f t="shared" ref="Q84" si="396">F84*P84</f>
        <v>-28529737.714285765</v>
      </c>
      <c r="R84">
        <f t="shared" ref="R84" si="397">R85+Q84</f>
        <v>984904856.52620733</v>
      </c>
      <c r="S84">
        <f t="shared" ref="S84" si="398">R84/100000</f>
        <v>9849.0485652620737</v>
      </c>
      <c r="T84">
        <f t="shared" ref="T84" si="399">S84/1000</f>
        <v>9.8490485652620734</v>
      </c>
    </row>
    <row r="85" spans="1:20" x14ac:dyDescent="0.25">
      <c r="A85" s="5">
        <v>44508</v>
      </c>
      <c r="B85">
        <v>1.8663000000000001</v>
      </c>
      <c r="C85">
        <v>2.09</v>
      </c>
      <c r="D85">
        <v>1.8351999999999999</v>
      </c>
      <c r="E85">
        <v>2.0468000000000002</v>
      </c>
      <c r="F85">
        <v>62851768</v>
      </c>
      <c r="G85">
        <v>2.0468000000000002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0.66091051805337753</v>
      </c>
      <c r="Q85">
        <f t="shared" ref="Q85" si="401">F85*P85</f>
        <v>41539394.549450696</v>
      </c>
      <c r="R85">
        <f t="shared" ref="R85" si="402">R86+Q85</f>
        <v>1013434594.2404931</v>
      </c>
      <c r="S85">
        <f t="shared" ref="S85" si="403">R85/100000</f>
        <v>10134.345942404931</v>
      </c>
      <c r="T85">
        <f t="shared" ref="T85" si="404">S85/1000</f>
        <v>10.134345942404931</v>
      </c>
    </row>
    <row r="86" spans="1:20" x14ac:dyDescent="0.25">
      <c r="A86" s="5">
        <v>44507</v>
      </c>
      <c r="B86">
        <v>1.8359000000000001</v>
      </c>
      <c r="C86">
        <v>1.87</v>
      </c>
      <c r="D86">
        <v>1.8192999999999999</v>
      </c>
      <c r="E86">
        <v>1.8664000000000001</v>
      </c>
      <c r="F86">
        <v>15574711</v>
      </c>
      <c r="G86">
        <v>1.8664000000000001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0.85798816568047198</v>
      </c>
      <c r="Q86">
        <f t="shared" ref="Q86" si="406">F86*P86</f>
        <v>13362917.721893469</v>
      </c>
      <c r="R86">
        <f t="shared" ref="R86" si="407">R87+Q86</f>
        <v>971895199.6910423</v>
      </c>
      <c r="S86">
        <f t="shared" ref="S86" si="408">R86/100000</f>
        <v>9718.9519969104222</v>
      </c>
      <c r="T86">
        <f t="shared" ref="T86" si="409">S86/1000</f>
        <v>9.7189519969104214</v>
      </c>
    </row>
    <row r="87" spans="1:20" x14ac:dyDescent="0.25">
      <c r="A87" s="5">
        <v>44506</v>
      </c>
      <c r="B87">
        <v>1.8424</v>
      </c>
      <c r="C87">
        <v>1.8661000000000001</v>
      </c>
      <c r="D87">
        <v>1.7773000000000001</v>
      </c>
      <c r="E87">
        <v>1.8362000000000001</v>
      </c>
      <c r="F87">
        <v>17041991</v>
      </c>
      <c r="G87">
        <v>1.8362000000000001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0.32657657657657563</v>
      </c>
      <c r="Q87">
        <f t="shared" ref="Q87" si="411">F87*P87</f>
        <v>5565515.0788288126</v>
      </c>
      <c r="R87">
        <f t="shared" ref="R87" si="412">R88+Q87</f>
        <v>958532281.96914887</v>
      </c>
      <c r="S87">
        <f t="shared" ref="S87" si="413">R87/100000</f>
        <v>9585.3228196914879</v>
      </c>
      <c r="T87">
        <f t="shared" ref="T87" si="414">S87/1000</f>
        <v>9.5853228196914877</v>
      </c>
    </row>
    <row r="88" spans="1:20" x14ac:dyDescent="0.25">
      <c r="A88" s="5">
        <v>44505</v>
      </c>
      <c r="B88">
        <v>1.8586</v>
      </c>
      <c r="C88">
        <v>1.9138999999999999</v>
      </c>
      <c r="D88">
        <v>1.8285</v>
      </c>
      <c r="E88">
        <v>1.8421000000000001</v>
      </c>
      <c r="F88">
        <v>22420371</v>
      </c>
      <c r="G88">
        <v>1.8421000000000001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-0.68149882903981107</v>
      </c>
      <c r="Q88">
        <f t="shared" ref="Q88" si="416">F88*P88</f>
        <v>-15279456.583138138</v>
      </c>
      <c r="R88">
        <f t="shared" ref="R88" si="417">R89+Q88</f>
        <v>952966766.89032006</v>
      </c>
      <c r="S88">
        <f t="shared" ref="S88" si="418">R88/100000</f>
        <v>9529.667668903201</v>
      </c>
      <c r="T88">
        <f t="shared" ref="T88" si="419">S88/1000</f>
        <v>9.5296676689032012</v>
      </c>
    </row>
    <row r="89" spans="1:20" x14ac:dyDescent="0.25">
      <c r="A89" s="5">
        <v>44504</v>
      </c>
      <c r="B89">
        <v>1.9341999999999999</v>
      </c>
      <c r="C89">
        <v>1.9624999999999999</v>
      </c>
      <c r="D89">
        <v>1.8187</v>
      </c>
      <c r="E89">
        <v>1.8587</v>
      </c>
      <c r="F89">
        <v>29086864</v>
      </c>
      <c r="G89">
        <v>1.8587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-0.44367176634214112</v>
      </c>
      <c r="Q89">
        <f t="shared" ref="Q89" si="421">F89*P89</f>
        <v>-12905020.328233637</v>
      </c>
      <c r="R89">
        <f t="shared" ref="R89" si="422">R90+Q89</f>
        <v>968246223.47345817</v>
      </c>
      <c r="S89">
        <f t="shared" ref="S89" si="423">R89/100000</f>
        <v>9682.4622347345812</v>
      </c>
      <c r="T89">
        <f t="shared" ref="T89" si="424">S89/1000</f>
        <v>9.6824622347345812</v>
      </c>
    </row>
    <row r="90" spans="1:20" x14ac:dyDescent="0.25">
      <c r="A90" s="5">
        <v>44503</v>
      </c>
      <c r="B90">
        <v>1.8647</v>
      </c>
      <c r="C90">
        <v>1.9836</v>
      </c>
      <c r="D90">
        <v>1.8180000000000001</v>
      </c>
      <c r="E90">
        <v>1.9341999999999999</v>
      </c>
      <c r="F90">
        <v>46887650</v>
      </c>
      <c r="G90">
        <v>1.9341999999999999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0.40338164251207587</v>
      </c>
      <c r="Q90">
        <f t="shared" ref="Q90" si="426">F90*P90</f>
        <v>18913617.270531334</v>
      </c>
      <c r="R90">
        <f t="shared" ref="R90" si="427">R91+Q90</f>
        <v>981151243.80169177</v>
      </c>
      <c r="S90">
        <f t="shared" ref="S90" si="428">R90/100000</f>
        <v>9811.5124380169182</v>
      </c>
      <c r="T90">
        <f t="shared" ref="T90" si="429">S90/1000</f>
        <v>9.8115124380169174</v>
      </c>
    </row>
    <row r="91" spans="1:20" x14ac:dyDescent="0.25">
      <c r="A91" s="5">
        <v>44502</v>
      </c>
      <c r="B91">
        <v>1.8329</v>
      </c>
      <c r="C91">
        <v>1.9125000000000001</v>
      </c>
      <c r="D91">
        <v>1.8301000000000001</v>
      </c>
      <c r="E91">
        <v>1.8647</v>
      </c>
      <c r="F91">
        <v>30408300</v>
      </c>
      <c r="G91">
        <v>1.8647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-0.16019417475728273</v>
      </c>
      <c r="Q91">
        <f t="shared" ref="Q91" si="431">F91*P91</f>
        <v>-4871232.5242718803</v>
      </c>
      <c r="R91">
        <f t="shared" ref="R91" si="432">R92+Q91</f>
        <v>962237626.53116047</v>
      </c>
      <c r="S91">
        <f t="shared" ref="S91" si="433">R91/100000</f>
        <v>9622.3762653116046</v>
      </c>
      <c r="T91">
        <f t="shared" ref="T91" si="434">S91/1000</f>
        <v>9.6223762653116047</v>
      </c>
    </row>
    <row r="92" spans="1:20" x14ac:dyDescent="0.25">
      <c r="A92" s="5">
        <v>44501</v>
      </c>
      <c r="B92">
        <v>1.8281000000000001</v>
      </c>
      <c r="C92">
        <v>1.867</v>
      </c>
      <c r="D92">
        <v>1.7765</v>
      </c>
      <c r="E92">
        <v>1.8322000000000001</v>
      </c>
      <c r="F92">
        <v>26280705</v>
      </c>
      <c r="G92">
        <v>1.8322000000000001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0.23093922651933851</v>
      </c>
      <c r="Q92">
        <f t="shared" ref="Q92" si="436">F92*P92</f>
        <v>6069245.6850829124</v>
      </c>
      <c r="R92">
        <f t="shared" ref="R92" si="437">R93+Q92</f>
        <v>967108859.05543232</v>
      </c>
      <c r="S92">
        <f t="shared" ref="S92" si="438">R92/100000</f>
        <v>9671.0885905543237</v>
      </c>
      <c r="T92">
        <f t="shared" ref="T92" si="439">S92/1000</f>
        <v>9.6710885905543229</v>
      </c>
    </row>
    <row r="93" spans="1:20" x14ac:dyDescent="0.25">
      <c r="A93" s="5">
        <v>44500</v>
      </c>
      <c r="B93">
        <v>1.8209</v>
      </c>
      <c r="C93">
        <v>1.8562000000000001</v>
      </c>
      <c r="D93">
        <v>1.754</v>
      </c>
      <c r="E93">
        <v>1.8284</v>
      </c>
      <c r="F93">
        <v>32469714</v>
      </c>
      <c r="G93">
        <v>1.8284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0.45596868884540059</v>
      </c>
      <c r="Q93">
        <f t="shared" ref="Q93" si="441">F93*P93</f>
        <v>14805172.919765148</v>
      </c>
      <c r="R93">
        <f t="shared" ref="R93" si="442">R94+Q93</f>
        <v>961039613.37034941</v>
      </c>
      <c r="S93">
        <f t="shared" ref="S93" si="443">R93/100000</f>
        <v>9610.3961337034943</v>
      </c>
      <c r="T93">
        <f t="shared" ref="T93" si="444">S93/1000</f>
        <v>9.6103961337034942</v>
      </c>
    </row>
    <row r="94" spans="1:20" x14ac:dyDescent="0.25">
      <c r="A94" s="5">
        <v>44499</v>
      </c>
      <c r="B94">
        <v>1.8761000000000001</v>
      </c>
      <c r="C94">
        <v>1.8782000000000001</v>
      </c>
      <c r="D94">
        <v>1.7722</v>
      </c>
      <c r="E94">
        <v>1.8199000000000001</v>
      </c>
      <c r="F94">
        <v>23948805</v>
      </c>
      <c r="G94">
        <v>1.8199000000000001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-9.9999999999999367E-2</v>
      </c>
      <c r="Q94">
        <f t="shared" ref="Q94" si="446">F94*P94</f>
        <v>-2394880.4999999846</v>
      </c>
      <c r="R94">
        <f t="shared" ref="R94" si="447">R95+Q94</f>
        <v>946234440.45058429</v>
      </c>
      <c r="S94">
        <f t="shared" ref="S94" si="448">R94/100000</f>
        <v>9462.3444045058422</v>
      </c>
      <c r="T94">
        <f t="shared" ref="T94" si="449">S94/1000</f>
        <v>9.462344404505842</v>
      </c>
    </row>
    <row r="95" spans="1:20" x14ac:dyDescent="0.25">
      <c r="A95" s="5">
        <v>44498</v>
      </c>
      <c r="B95">
        <v>1.8440000000000001</v>
      </c>
      <c r="C95">
        <v>1.9179999999999999</v>
      </c>
      <c r="D95">
        <v>1.8345</v>
      </c>
      <c r="E95">
        <v>1.8755999999999999</v>
      </c>
      <c r="F95">
        <v>38285174</v>
      </c>
      <c r="G95">
        <v>1.8755999999999999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-1.5568862275450063E-2</v>
      </c>
      <c r="Q95">
        <f t="shared" ref="Q95" si="451">F95*P95</f>
        <v>-596056.60119764158</v>
      </c>
      <c r="R95">
        <f t="shared" ref="R95" si="452">R96+Q95</f>
        <v>948629320.95058429</v>
      </c>
      <c r="S95">
        <f t="shared" ref="S95" si="453">R95/100000</f>
        <v>9486.2932095058422</v>
      </c>
      <c r="T95">
        <f t="shared" ref="T95" si="454">S95/1000</f>
        <v>9.4862932095058419</v>
      </c>
    </row>
    <row r="96" spans="1:20" x14ac:dyDescent="0.25">
      <c r="A96" s="5">
        <v>44497</v>
      </c>
      <c r="B96">
        <v>1.7931999999999999</v>
      </c>
      <c r="C96">
        <v>1.8803000000000001</v>
      </c>
      <c r="D96">
        <v>1.7501</v>
      </c>
      <c r="E96">
        <v>1.8447</v>
      </c>
      <c r="F96">
        <v>54284530</v>
      </c>
      <c r="G96">
        <v>1.8447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0.45314900153609755</v>
      </c>
      <c r="Q96">
        <f t="shared" ref="Q96" si="456">F96*P96</f>
        <v>24598980.568356335</v>
      </c>
      <c r="R96">
        <f t="shared" ref="R96" si="457">R97+Q96</f>
        <v>949225377.55178189</v>
      </c>
      <c r="S96">
        <f t="shared" ref="S96" si="458">R96/100000</f>
        <v>9492.2537755178182</v>
      </c>
      <c r="T96">
        <f t="shared" ref="T96" si="459">S96/1000</f>
        <v>9.4922537755178187</v>
      </c>
    </row>
    <row r="97" spans="1:20" x14ac:dyDescent="0.25">
      <c r="A97" s="5">
        <v>44496</v>
      </c>
      <c r="B97">
        <v>2.0434000000000001</v>
      </c>
      <c r="C97">
        <v>2.0884</v>
      </c>
      <c r="D97">
        <v>1.69</v>
      </c>
      <c r="E97">
        <v>1.7948</v>
      </c>
      <c r="F97">
        <v>83909882</v>
      </c>
      <c r="G97">
        <v>1.7948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-0.47389558232931739</v>
      </c>
      <c r="Q97">
        <f t="shared" ref="Q97" si="461">F97*P97</f>
        <v>-39764522.393574305</v>
      </c>
      <c r="R97">
        <f t="shared" ref="R97" si="462">R98+Q97</f>
        <v>924626396.98342562</v>
      </c>
      <c r="S97">
        <f t="shared" ref="S97" si="463">R97/100000</f>
        <v>9246.2639698342555</v>
      </c>
      <c r="T97">
        <f t="shared" ref="T97" si="464">S97/1000</f>
        <v>9.2462639698342564</v>
      </c>
    </row>
    <row r="98" spans="1:20" x14ac:dyDescent="0.25">
      <c r="A98" s="5">
        <v>44495</v>
      </c>
      <c r="B98">
        <v>2.0493999999999999</v>
      </c>
      <c r="C98">
        <v>2.1</v>
      </c>
      <c r="D98">
        <v>1.9471000000000001</v>
      </c>
      <c r="E98">
        <v>2.0445000000000002</v>
      </c>
      <c r="F98">
        <v>62903283</v>
      </c>
      <c r="G98">
        <v>2.0445000000000002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0.27403531720078655</v>
      </c>
      <c r="Q98">
        <f t="shared" ref="Q98" si="466">F98*P98</f>
        <v>17237721.109875843</v>
      </c>
      <c r="R98">
        <f t="shared" ref="R98" si="467">R99+Q98</f>
        <v>964390919.37699997</v>
      </c>
      <c r="S98">
        <f t="shared" ref="S98" si="468">R98/100000</f>
        <v>9643.9091937699995</v>
      </c>
      <c r="T98">
        <f t="shared" ref="T98" si="469">S98/1000</f>
        <v>9.6439091937699999</v>
      </c>
    </row>
    <row r="99" spans="1:20" x14ac:dyDescent="0.25">
      <c r="A99" s="5">
        <v>44494</v>
      </c>
      <c r="B99">
        <v>1.8151999999999999</v>
      </c>
      <c r="C99">
        <v>2.0750000000000002</v>
      </c>
      <c r="D99">
        <v>1.8070999999999999</v>
      </c>
      <c r="E99">
        <v>2.0495999999999999</v>
      </c>
      <c r="F99">
        <v>63775171</v>
      </c>
      <c r="G99">
        <v>2.0495999999999999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0.81037700634564924</v>
      </c>
      <c r="Q99">
        <f t="shared" ref="Q99" si="471">F99*P99</f>
        <v>51681932.154161863</v>
      </c>
      <c r="R99">
        <f t="shared" ref="R99" si="472">R100+Q99</f>
        <v>947153198.26712418</v>
      </c>
      <c r="S99">
        <f t="shared" ref="S99" si="473">R99/100000</f>
        <v>9471.5319826712421</v>
      </c>
      <c r="T99">
        <f t="shared" ref="T99" si="474">S99/1000</f>
        <v>9.4715319826712427</v>
      </c>
    </row>
    <row r="100" spans="1:20" x14ac:dyDescent="0.25">
      <c r="A100" s="5">
        <v>44493</v>
      </c>
      <c r="B100">
        <v>1.9077</v>
      </c>
      <c r="C100">
        <v>1.9198999999999999</v>
      </c>
      <c r="D100">
        <v>1.7802</v>
      </c>
      <c r="E100">
        <v>1.8150999999999999</v>
      </c>
      <c r="F100">
        <v>30010316</v>
      </c>
      <c r="G100">
        <v>1.8150999999999999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-0.50035790980672945</v>
      </c>
      <c r="Q100">
        <f t="shared" ref="Q100" si="476">F100*P100</f>
        <v>-15015898.986399449</v>
      </c>
      <c r="R100">
        <f t="shared" ref="R100" si="477">R101+Q100</f>
        <v>895471266.11296237</v>
      </c>
      <c r="S100">
        <f t="shared" ref="S100" si="478">R100/100000</f>
        <v>8954.7126611296244</v>
      </c>
      <c r="T100">
        <f t="shared" ref="T100" si="479">S100/1000</f>
        <v>8.9547126611296246</v>
      </c>
    </row>
    <row r="101" spans="1:20" x14ac:dyDescent="0.25">
      <c r="A101" s="5">
        <v>44492</v>
      </c>
      <c r="B101">
        <v>1.861</v>
      </c>
      <c r="C101">
        <v>1.9428000000000001</v>
      </c>
      <c r="D101">
        <v>1.8460000000000001</v>
      </c>
      <c r="E101">
        <v>1.9076</v>
      </c>
      <c r="F101">
        <v>37807947</v>
      </c>
      <c r="G101">
        <v>1.9076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0.27272727272727021</v>
      </c>
      <c r="Q101">
        <f t="shared" ref="Q101" si="481">F101*P101</f>
        <v>10311258.272727178</v>
      </c>
      <c r="R101">
        <f t="shared" ref="R101" si="482">R102+Q101</f>
        <v>910487165.09936178</v>
      </c>
      <c r="S101">
        <f t="shared" ref="S101" si="483">R101/100000</f>
        <v>9104.8716509936185</v>
      </c>
      <c r="T101">
        <f t="shared" ref="T101" si="484">S101/1000</f>
        <v>9.1048716509936192</v>
      </c>
    </row>
    <row r="102" spans="1:20" x14ac:dyDescent="0.25">
      <c r="A102" s="5">
        <v>44491</v>
      </c>
      <c r="B102">
        <v>1.7836000000000001</v>
      </c>
      <c r="C102">
        <v>1.9413</v>
      </c>
      <c r="D102">
        <v>1.7713000000000001</v>
      </c>
      <c r="E102">
        <v>1.8609</v>
      </c>
      <c r="F102">
        <v>62694242</v>
      </c>
      <c r="G102">
        <v>1.8609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5.411764705882282E-2</v>
      </c>
      <c r="Q102">
        <f t="shared" ref="Q102" si="486">F102*P102</f>
        <v>3392864.8611764261</v>
      </c>
      <c r="R102">
        <f t="shared" ref="R102" si="487">R103+Q102</f>
        <v>900175906.82663465</v>
      </c>
      <c r="S102">
        <f t="shared" ref="S102" si="488">R102/100000</f>
        <v>9001.7590682663467</v>
      </c>
      <c r="T102">
        <f t="shared" ref="T102" si="489">S102/1000</f>
        <v>9.0017590682663471</v>
      </c>
    </row>
    <row r="103" spans="1:20" x14ac:dyDescent="0.25">
      <c r="A103" s="5">
        <v>44490</v>
      </c>
      <c r="B103">
        <v>1.7914000000000001</v>
      </c>
      <c r="C103">
        <v>1.8849</v>
      </c>
      <c r="D103">
        <v>1.7013</v>
      </c>
      <c r="E103">
        <v>1.7845</v>
      </c>
      <c r="F103">
        <v>54346617</v>
      </c>
      <c r="G103">
        <v>1.7845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-9.3681917211329555E-2</v>
      </c>
      <c r="Q103">
        <f t="shared" ref="Q103" si="491">F103*P103</f>
        <v>-5091295.2745098351</v>
      </c>
      <c r="R103">
        <f t="shared" ref="R103" si="492">R104+Q103</f>
        <v>896783041.96545827</v>
      </c>
      <c r="S103">
        <f t="shared" ref="S103" si="493">R103/100000</f>
        <v>8967.8304196545832</v>
      </c>
      <c r="T103">
        <f t="shared" ref="T103" si="494">S103/1000</f>
        <v>8.9678304196545824</v>
      </c>
    </row>
    <row r="104" spans="1:20" x14ac:dyDescent="0.25">
      <c r="A104" s="5">
        <v>44489</v>
      </c>
      <c r="B104">
        <v>1.7104999999999999</v>
      </c>
      <c r="C104">
        <v>1.8229</v>
      </c>
      <c r="D104">
        <v>1.6862999999999999</v>
      </c>
      <c r="E104">
        <v>1.7909999999999999</v>
      </c>
      <c r="F104">
        <v>29074074</v>
      </c>
      <c r="G104">
        <v>1.7909999999999999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0.53294289897510938</v>
      </c>
      <c r="Q104">
        <f t="shared" ref="Q104" si="496">F104*P104</f>
        <v>15494821.282576853</v>
      </c>
      <c r="R104">
        <f t="shared" ref="R104" si="497">R105+Q104</f>
        <v>901874337.23996806</v>
      </c>
      <c r="S104">
        <f t="shared" ref="S104" si="498">R104/100000</f>
        <v>9018.7433723996801</v>
      </c>
      <c r="T104">
        <f t="shared" ref="T104" si="499">S104/1000</f>
        <v>9.0187433723996797</v>
      </c>
    </row>
    <row r="105" spans="1:20" x14ac:dyDescent="0.25">
      <c r="A105" s="5">
        <v>44488</v>
      </c>
      <c r="B105">
        <v>1.7365999999999999</v>
      </c>
      <c r="C105">
        <v>1.7688999999999999</v>
      </c>
      <c r="D105">
        <v>1.6856</v>
      </c>
      <c r="E105">
        <v>1.7104999999999999</v>
      </c>
      <c r="F105">
        <v>21496531</v>
      </c>
      <c r="G105">
        <v>1.7104999999999999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-0.40216086434573967</v>
      </c>
      <c r="Q105">
        <f t="shared" ref="Q105" si="501">F105*P105</f>
        <v>-8645063.4873949867</v>
      </c>
      <c r="R105">
        <f t="shared" ref="R105" si="502">R106+Q105</f>
        <v>886379515.95739126</v>
      </c>
      <c r="S105">
        <f t="shared" ref="S105" si="503">R105/100000</f>
        <v>8863.7951595739123</v>
      </c>
      <c r="T105">
        <f t="shared" ref="T105" si="504">S105/1000</f>
        <v>8.8637951595739128</v>
      </c>
    </row>
    <row r="106" spans="1:20" x14ac:dyDescent="0.25">
      <c r="A106" s="5">
        <v>44487</v>
      </c>
      <c r="B106">
        <v>1.7693000000000001</v>
      </c>
      <c r="C106">
        <v>1.7881</v>
      </c>
      <c r="D106">
        <v>1.6942999999999999</v>
      </c>
      <c r="E106">
        <v>1.7369000000000001</v>
      </c>
      <c r="F106">
        <v>20548443</v>
      </c>
      <c r="G106">
        <v>1.7369000000000001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-9.1684434968013956E-2</v>
      </c>
      <c r="Q106">
        <f t="shared" ref="Q106" si="506">F106*P106</f>
        <v>-1883972.3859274415</v>
      </c>
      <c r="R106">
        <f t="shared" ref="R106" si="507">R107+Q106</f>
        <v>895024579.44478619</v>
      </c>
      <c r="S106">
        <f t="shared" ref="S106" si="508">R106/100000</f>
        <v>8950.245794447861</v>
      </c>
      <c r="T106">
        <f t="shared" ref="T106" si="509">S106/1000</f>
        <v>8.9502457944478611</v>
      </c>
    </row>
    <row r="107" spans="1:20" x14ac:dyDescent="0.25">
      <c r="A107" s="5">
        <v>44486</v>
      </c>
      <c r="B107">
        <v>1.7988</v>
      </c>
      <c r="C107">
        <v>1.8929</v>
      </c>
      <c r="D107">
        <v>1.724</v>
      </c>
      <c r="E107">
        <v>1.7692000000000001</v>
      </c>
      <c r="F107">
        <v>42183099</v>
      </c>
      <c r="G107">
        <v>1.7692000000000001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-0.46477205447009928</v>
      </c>
      <c r="Q107">
        <f t="shared" ref="Q107" si="511">F107*P107</f>
        <v>-19605525.586145591</v>
      </c>
      <c r="R107">
        <f t="shared" ref="R107" si="512">R108+Q107</f>
        <v>896908551.83071363</v>
      </c>
      <c r="S107">
        <f t="shared" ref="S107" si="513">R107/100000</f>
        <v>8969.0855183071362</v>
      </c>
      <c r="T107">
        <f t="shared" ref="T107" si="514">S107/1000</f>
        <v>8.9690855183071356</v>
      </c>
    </row>
    <row r="108" spans="1:20" x14ac:dyDescent="0.25">
      <c r="A108" s="5">
        <v>44485</v>
      </c>
      <c r="B108">
        <v>1.7544</v>
      </c>
      <c r="C108">
        <v>1.85</v>
      </c>
      <c r="D108">
        <v>1.7346999999999999</v>
      </c>
      <c r="E108">
        <v>1.7983</v>
      </c>
      <c r="F108">
        <v>37815059</v>
      </c>
      <c r="G108">
        <v>1.7983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0.10320901994796186</v>
      </c>
      <c r="Q108">
        <f t="shared" ref="Q108" si="516">F108*P108</f>
        <v>3902855.1786643546</v>
      </c>
      <c r="R108">
        <f t="shared" ref="R108" si="517">R109+Q108</f>
        <v>916514077.41685927</v>
      </c>
      <c r="S108">
        <f t="shared" ref="S108" si="518">R108/100000</f>
        <v>9165.1407741685925</v>
      </c>
      <c r="T108">
        <f t="shared" ref="T108" si="519">S108/1000</f>
        <v>9.1651407741685933</v>
      </c>
    </row>
    <row r="109" spans="1:20" x14ac:dyDescent="0.25">
      <c r="A109" s="5">
        <v>44484</v>
      </c>
      <c r="B109">
        <v>1.8107</v>
      </c>
      <c r="C109">
        <v>1.8109</v>
      </c>
      <c r="D109">
        <v>1.7271000000000001</v>
      </c>
      <c r="E109">
        <v>1.7543</v>
      </c>
      <c r="F109">
        <v>31342009</v>
      </c>
      <c r="G109">
        <v>1.7543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-0.35083532219570568</v>
      </c>
      <c r="Q109">
        <f t="shared" ref="Q109" si="521">F109*P109</f>
        <v>-10995883.825775707</v>
      </c>
      <c r="R109">
        <f t="shared" ref="R109" si="522">R110+Q109</f>
        <v>912611222.23819494</v>
      </c>
      <c r="S109">
        <f t="shared" ref="S109" si="523">R109/100000</f>
        <v>9126.1122223819493</v>
      </c>
      <c r="T109">
        <f t="shared" ref="T109" si="524">S109/1000</f>
        <v>9.1261122223819502</v>
      </c>
    </row>
    <row r="110" spans="1:20" x14ac:dyDescent="0.25">
      <c r="A110" s="5">
        <v>44483</v>
      </c>
      <c r="B110">
        <v>1.8369</v>
      </c>
      <c r="C110">
        <v>1.8824000000000001</v>
      </c>
      <c r="D110">
        <v>1.7776000000000001</v>
      </c>
      <c r="E110">
        <v>1.8106</v>
      </c>
      <c r="F110">
        <v>32749178</v>
      </c>
      <c r="G110">
        <v>1.8106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-0.37022900763358935</v>
      </c>
      <c r="Q110">
        <f t="shared" ref="Q110" si="526">F110*P110</f>
        <v>-12124695.671755776</v>
      </c>
      <c r="R110">
        <f t="shared" ref="R110" si="527">R111+Q110</f>
        <v>923607106.06397069</v>
      </c>
      <c r="S110">
        <f t="shared" ref="S110" si="528">R110/100000</f>
        <v>9236.071060639706</v>
      </c>
      <c r="T110">
        <f t="shared" ref="T110" si="529">S110/1000</f>
        <v>9.2360710606397056</v>
      </c>
    </row>
    <row r="111" spans="1:20" x14ac:dyDescent="0.25">
      <c r="A111" s="5">
        <v>44482</v>
      </c>
      <c r="B111">
        <v>1.7471000000000001</v>
      </c>
      <c r="C111">
        <v>1.845</v>
      </c>
      <c r="D111">
        <v>1.6859</v>
      </c>
      <c r="E111">
        <v>1.837</v>
      </c>
      <c r="F111">
        <v>29125547</v>
      </c>
      <c r="G111">
        <v>1.837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0.89943431803896912</v>
      </c>
      <c r="Q111">
        <f t="shared" ref="Q111" si="531">F111*P111</f>
        <v>26196516.503456943</v>
      </c>
      <c r="R111">
        <f t="shared" ref="R111" si="532">R112+Q111</f>
        <v>935731801.73572648</v>
      </c>
      <c r="S111">
        <f t="shared" ref="S111" si="533">R111/100000</f>
        <v>9357.3180173572655</v>
      </c>
      <c r="T111">
        <f t="shared" ref="T111" si="534">S111/1000</f>
        <v>9.3573180173572652</v>
      </c>
    </row>
    <row r="112" spans="1:20" x14ac:dyDescent="0.25">
      <c r="A112" s="5">
        <v>44481</v>
      </c>
      <c r="B112">
        <v>1.7161</v>
      </c>
      <c r="C112">
        <v>1.76</v>
      </c>
      <c r="D112">
        <v>1.5996999999999999</v>
      </c>
      <c r="E112">
        <v>1.7474000000000001</v>
      </c>
      <c r="F112">
        <v>44512758</v>
      </c>
      <c r="G112">
        <v>1.7474000000000001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0.84279475982532825</v>
      </c>
      <c r="Q112">
        <f t="shared" ref="Q112" si="536">F112*P112</f>
        <v>37515119.187772959</v>
      </c>
      <c r="R112">
        <f t="shared" ref="R112" si="537">R113+Q112</f>
        <v>909535285.23226953</v>
      </c>
      <c r="S112">
        <f t="shared" ref="S112" si="538">R112/100000</f>
        <v>9095.352852322696</v>
      </c>
      <c r="T112">
        <f t="shared" ref="T112" si="539">S112/1000</f>
        <v>9.0953528523226961</v>
      </c>
    </row>
    <row r="113" spans="1:20" x14ac:dyDescent="0.25">
      <c r="A113" s="5">
        <v>44480</v>
      </c>
      <c r="B113">
        <v>1.7649999999999999</v>
      </c>
      <c r="C113">
        <v>1.8335999999999999</v>
      </c>
      <c r="D113">
        <v>1.6783999999999999</v>
      </c>
      <c r="E113">
        <v>1.7158</v>
      </c>
      <c r="F113">
        <v>30350425</v>
      </c>
      <c r="G113">
        <v>1.7158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-0.51804123711340078</v>
      </c>
      <c r="Q113">
        <f t="shared" ref="Q113" si="541">F113*P113</f>
        <v>-15722771.713917486</v>
      </c>
      <c r="R113">
        <f t="shared" ref="R113" si="542">R114+Q113</f>
        <v>872020166.04449654</v>
      </c>
      <c r="S113">
        <f t="shared" ref="S113" si="543">R113/100000</f>
        <v>8720.2016604449655</v>
      </c>
      <c r="T113">
        <f t="shared" ref="T113" si="544">S113/1000</f>
        <v>8.7202016604449657</v>
      </c>
    </row>
    <row r="114" spans="1:20" x14ac:dyDescent="0.25">
      <c r="A114" s="5">
        <v>44479</v>
      </c>
      <c r="B114">
        <v>1.8933</v>
      </c>
      <c r="C114">
        <v>1.8933</v>
      </c>
      <c r="D114">
        <v>1.7584</v>
      </c>
      <c r="E114">
        <v>1.7649999999999999</v>
      </c>
      <c r="F114">
        <v>28336707</v>
      </c>
      <c r="G114">
        <v>1.7649999999999999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-0.90214974054855535</v>
      </c>
      <c r="Q114">
        <f t="shared" ref="Q114" si="546">F114*P114</f>
        <v>-25563952.868050434</v>
      </c>
      <c r="R114">
        <f t="shared" ref="R114" si="547">R115+Q114</f>
        <v>887742937.75841403</v>
      </c>
      <c r="S114">
        <f t="shared" ref="S114" si="548">R114/100000</f>
        <v>8877.4293775841397</v>
      </c>
      <c r="T114">
        <f t="shared" ref="T114" si="549">S114/1000</f>
        <v>8.8774293775841393</v>
      </c>
    </row>
    <row r="115" spans="1:20" x14ac:dyDescent="0.25">
      <c r="A115" s="5">
        <v>44478</v>
      </c>
      <c r="B115">
        <v>1.8988</v>
      </c>
      <c r="C115">
        <v>1.95</v>
      </c>
      <c r="D115">
        <v>1.86</v>
      </c>
      <c r="E115">
        <v>1.8927</v>
      </c>
      <c r="F115">
        <v>30861234</v>
      </c>
      <c r="G115">
        <v>1.8927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-0.27333333333333326</v>
      </c>
      <c r="Q115">
        <f t="shared" ref="Q115" si="551">F115*P115</f>
        <v>-8435403.9599999972</v>
      </c>
      <c r="R115">
        <f t="shared" ref="R115" si="552">R116+Q115</f>
        <v>913306890.62646449</v>
      </c>
      <c r="S115">
        <f t="shared" ref="S115" si="553">R115/100000</f>
        <v>9133.0689062646452</v>
      </c>
      <c r="T115">
        <f t="shared" ref="T115" si="554">S115/1000</f>
        <v>9.1330689062646453</v>
      </c>
    </row>
    <row r="116" spans="1:20" x14ac:dyDescent="0.25">
      <c r="A116" s="5">
        <v>44477</v>
      </c>
      <c r="B116">
        <v>1.8909</v>
      </c>
      <c r="C116">
        <v>2</v>
      </c>
      <c r="D116">
        <v>1.8766</v>
      </c>
      <c r="E116">
        <v>1.8979999999999999</v>
      </c>
      <c r="F116">
        <v>66072438</v>
      </c>
      <c r="G116">
        <v>1.8979999999999999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-0.65316045380875409</v>
      </c>
      <c r="Q116">
        <f t="shared" ref="Q116" si="556">F116*P116</f>
        <v>-43155903.588330768</v>
      </c>
      <c r="R116">
        <f t="shared" ref="R116" si="557">R117+Q116</f>
        <v>921742294.58646452</v>
      </c>
      <c r="S116">
        <f t="shared" ref="S116" si="558">R116/100000</f>
        <v>9217.422945864646</v>
      </c>
      <c r="T116">
        <f t="shared" ref="T116" si="559">S116/1000</f>
        <v>9.2174229458646462</v>
      </c>
    </row>
    <row r="117" spans="1:20" x14ac:dyDescent="0.25">
      <c r="A117" s="5">
        <v>44476</v>
      </c>
      <c r="B117">
        <v>1.8141</v>
      </c>
      <c r="C117">
        <v>1.9393</v>
      </c>
      <c r="D117">
        <v>1.7506999999999999</v>
      </c>
      <c r="E117">
        <v>1.8902000000000001</v>
      </c>
      <c r="F117">
        <v>70049989</v>
      </c>
      <c r="G117">
        <v>1.8902000000000001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0.47932131495228109</v>
      </c>
      <c r="Q117">
        <f t="shared" ref="Q117" si="561">F117*P117</f>
        <v>33576452.839872822</v>
      </c>
      <c r="R117">
        <f t="shared" ref="R117" si="562">R118+Q117</f>
        <v>964898198.17479527</v>
      </c>
      <c r="S117">
        <f t="shared" ref="S117" si="563">R117/100000</f>
        <v>9648.9819817479529</v>
      </c>
      <c r="T117">
        <f t="shared" ref="T117" si="564">S117/1000</f>
        <v>9.6489819817479532</v>
      </c>
    </row>
    <row r="118" spans="1:20" x14ac:dyDescent="0.25">
      <c r="A118" s="5">
        <v>44475</v>
      </c>
      <c r="B118">
        <v>1.9516</v>
      </c>
      <c r="C118">
        <v>1.9886999999999999</v>
      </c>
      <c r="D118">
        <v>1.7759</v>
      </c>
      <c r="E118">
        <v>1.8141</v>
      </c>
      <c r="F118">
        <v>76601394</v>
      </c>
      <c r="G118">
        <v>1.8141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-0.6409774436090222</v>
      </c>
      <c r="Q118">
        <f t="shared" ref="Q118" si="566">F118*P118</f>
        <v>-49099765.703007489</v>
      </c>
      <c r="R118">
        <f t="shared" ref="R118" si="567">R119+Q118</f>
        <v>931321745.33492243</v>
      </c>
      <c r="S118">
        <f t="shared" ref="S118" si="568">R118/100000</f>
        <v>9313.2174533492234</v>
      </c>
      <c r="T118">
        <f t="shared" ref="T118" si="569">S118/1000</f>
        <v>9.3132174533492229</v>
      </c>
    </row>
    <row r="119" spans="1:20" x14ac:dyDescent="0.25">
      <c r="A119" s="5">
        <v>44474</v>
      </c>
      <c r="B119">
        <v>1.9389000000000001</v>
      </c>
      <c r="C119">
        <v>2.0629</v>
      </c>
      <c r="D119">
        <v>1.9191</v>
      </c>
      <c r="E119">
        <v>1.9510000000000001</v>
      </c>
      <c r="F119">
        <v>59555333</v>
      </c>
      <c r="G119">
        <v>1.9510000000000001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-0.55632823365785733</v>
      </c>
      <c r="Q119">
        <f t="shared" ref="Q119" si="571">F119*P119</f>
        <v>-33132313.2127955</v>
      </c>
      <c r="R119">
        <f t="shared" ref="R119" si="572">R120+Q119</f>
        <v>980421511.03792989</v>
      </c>
      <c r="S119">
        <f t="shared" ref="S119" si="573">R119/100000</f>
        <v>9804.2151103792985</v>
      </c>
      <c r="T119">
        <f t="shared" ref="T119" si="574">S119/1000</f>
        <v>9.8042151103792978</v>
      </c>
    </row>
    <row r="120" spans="1:20" x14ac:dyDescent="0.25">
      <c r="A120" s="5">
        <v>44473</v>
      </c>
      <c r="B120">
        <v>1.9839</v>
      </c>
      <c r="C120">
        <v>2.0935000000000001</v>
      </c>
      <c r="D120">
        <v>1.885</v>
      </c>
      <c r="E120">
        <v>1.9547000000000001</v>
      </c>
      <c r="F120">
        <v>130772223</v>
      </c>
      <c r="G120">
        <v>1.9547000000000001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-0.33141486810551507</v>
      </c>
      <c r="Q120">
        <f t="shared" ref="Q120" si="576">F120*P120</f>
        <v>-43339859.037410006</v>
      </c>
      <c r="R120">
        <f t="shared" ref="R120" si="577">R121+Q120</f>
        <v>1013553824.2507254</v>
      </c>
      <c r="S120">
        <f t="shared" ref="S120" si="578">R120/100000</f>
        <v>10135.538242507253</v>
      </c>
      <c r="T120">
        <f t="shared" ref="T120" si="579">S120/1000</f>
        <v>10.135538242507254</v>
      </c>
    </row>
    <row r="121" spans="1:20" x14ac:dyDescent="0.25">
      <c r="A121" s="5">
        <v>44472</v>
      </c>
      <c r="B121">
        <v>1.7704</v>
      </c>
      <c r="C121">
        <v>1.9991000000000001</v>
      </c>
      <c r="D121">
        <v>1.7309000000000001</v>
      </c>
      <c r="E121">
        <v>1.982</v>
      </c>
      <c r="F121">
        <v>79822973</v>
      </c>
      <c r="G121">
        <v>1.982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0.87248322147650925</v>
      </c>
      <c r="Q121">
        <f t="shared" ref="Q121" si="581">F121*P121</f>
        <v>69644204.630872414</v>
      </c>
      <c r="R121">
        <f t="shared" ref="R121" si="582">R122+Q121</f>
        <v>1056893683.2881354</v>
      </c>
      <c r="S121">
        <f t="shared" ref="S121" si="583">R121/100000</f>
        <v>10568.936832881354</v>
      </c>
      <c r="T121">
        <f t="shared" ref="T121" si="584">S121/1000</f>
        <v>10.568936832881354</v>
      </c>
    </row>
    <row r="122" spans="1:20" x14ac:dyDescent="0.25">
      <c r="A122" s="5">
        <v>44471</v>
      </c>
      <c r="B122">
        <v>1.7725</v>
      </c>
      <c r="C122">
        <v>1.8849</v>
      </c>
      <c r="D122">
        <v>1.7110000000000001</v>
      </c>
      <c r="E122">
        <v>1.7692000000000001</v>
      </c>
      <c r="F122">
        <v>59503487</v>
      </c>
      <c r="G122">
        <v>1.7692000000000001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-0.33064979873490458</v>
      </c>
      <c r="Q122">
        <f t="shared" ref="Q122" si="586">F122*P122</f>
        <v>-19674816.00057501</v>
      </c>
      <c r="R122">
        <f t="shared" ref="R122" si="587">R123+Q122</f>
        <v>987249478.65726304</v>
      </c>
      <c r="S122">
        <f t="shared" ref="S122" si="588">R122/100000</f>
        <v>9872.4947865726299</v>
      </c>
      <c r="T122">
        <f t="shared" ref="T122" si="589">S122/1000</f>
        <v>9.8724947865726307</v>
      </c>
    </row>
    <row r="123" spans="1:20" x14ac:dyDescent="0.25">
      <c r="A123" s="5">
        <v>44470</v>
      </c>
      <c r="B123">
        <v>1.6274</v>
      </c>
      <c r="C123">
        <v>1.8140000000000001</v>
      </c>
      <c r="D123">
        <v>1.5953999999999999</v>
      </c>
      <c r="E123">
        <v>1.7736000000000001</v>
      </c>
      <c r="F123">
        <v>65502304</v>
      </c>
      <c r="G123">
        <v>1.7736000000000001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0.63037511436413574</v>
      </c>
      <c r="Q123">
        <f t="shared" ref="Q123" si="591">F123*P123</f>
        <v>41291022.375114389</v>
      </c>
      <c r="R123">
        <f t="shared" ref="R123" si="592">R124+Q123</f>
        <v>1006924294.6578381</v>
      </c>
      <c r="S123">
        <f t="shared" ref="S123" si="593">R123/100000</f>
        <v>10069.242946578381</v>
      </c>
      <c r="T123">
        <f t="shared" ref="T123" si="594">S123/1000</f>
        <v>10.069242946578381</v>
      </c>
    </row>
    <row r="124" spans="1:20" x14ac:dyDescent="0.25">
      <c r="A124" s="5">
        <v>44469</v>
      </c>
      <c r="B124">
        <v>1.6067</v>
      </c>
      <c r="C124">
        <v>1.6621999999999999</v>
      </c>
      <c r="D124">
        <v>1.5721000000000001</v>
      </c>
      <c r="E124">
        <v>1.6273</v>
      </c>
      <c r="F124">
        <v>46431391</v>
      </c>
      <c r="G124">
        <v>1.6273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0.22530521642619333</v>
      </c>
      <c r="Q124">
        <f t="shared" ref="Q124" si="596">F124*P124</f>
        <v>10461234.598224206</v>
      </c>
      <c r="R124">
        <f t="shared" ref="R124" si="597">R125+Q124</f>
        <v>965633272.28272367</v>
      </c>
      <c r="S124">
        <f t="shared" ref="S124" si="598">R124/100000</f>
        <v>9656.3327228272374</v>
      </c>
      <c r="T124">
        <f t="shared" ref="T124" si="599">S124/1000</f>
        <v>9.6563327228272371</v>
      </c>
    </row>
    <row r="125" spans="1:20" x14ac:dyDescent="0.25">
      <c r="A125" s="5">
        <v>44468</v>
      </c>
      <c r="B125">
        <v>1.5641</v>
      </c>
      <c r="C125">
        <v>1.7498</v>
      </c>
      <c r="D125">
        <v>1.55</v>
      </c>
      <c r="E125">
        <v>1.6067</v>
      </c>
      <c r="F125">
        <v>63200438</v>
      </c>
      <c r="G125">
        <v>1.6067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-0.43243243243243262</v>
      </c>
      <c r="Q125">
        <f t="shared" ref="Q125" si="601">F125*P125</f>
        <v>-27329919.135135148</v>
      </c>
      <c r="R125">
        <f t="shared" ref="R125" si="602">R126+Q125</f>
        <v>955172037.6844995</v>
      </c>
      <c r="S125">
        <f t="shared" ref="S125" si="603">R125/100000</f>
        <v>9551.7203768449945</v>
      </c>
      <c r="T125">
        <f t="shared" ref="T125" si="604">S125/1000</f>
        <v>9.5517203768449939</v>
      </c>
    </row>
    <row r="126" spans="1:20" x14ac:dyDescent="0.25">
      <c r="A126" s="5">
        <v>44467</v>
      </c>
      <c r="B126">
        <v>1.6739999999999999</v>
      </c>
      <c r="C126">
        <v>1.7201</v>
      </c>
      <c r="D126">
        <v>1.5528999999999999</v>
      </c>
      <c r="E126">
        <v>1.5649</v>
      </c>
      <c r="F126">
        <v>62639409</v>
      </c>
      <c r="G126">
        <v>1.5649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-0.85645933014354059</v>
      </c>
      <c r="Q126">
        <f t="shared" ref="Q126" si="606">F126*P126</f>
        <v>-53648106.272727266</v>
      </c>
      <c r="R126">
        <f t="shared" ref="R126" si="607">R127+Q126</f>
        <v>982501956.81963468</v>
      </c>
      <c r="S126">
        <f t="shared" ref="S126" si="608">R126/100000</f>
        <v>9825.0195681963469</v>
      </c>
      <c r="T126">
        <f t="shared" ref="T126" si="609">S126/1000</f>
        <v>9.8250195681963461</v>
      </c>
    </row>
    <row r="127" spans="1:20" x14ac:dyDescent="0.25">
      <c r="A127" s="5">
        <v>44466</v>
      </c>
      <c r="B127">
        <v>1.7743</v>
      </c>
      <c r="C127">
        <v>1.859</v>
      </c>
      <c r="D127">
        <v>1.6680999999999999</v>
      </c>
      <c r="E127">
        <v>1.6733</v>
      </c>
      <c r="F127">
        <v>76499918</v>
      </c>
      <c r="G127">
        <v>1.6733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-0.94552121529596556</v>
      </c>
      <c r="Q127">
        <f t="shared" ref="Q127" si="611">F127*P127</f>
        <v>-72332295.437401712</v>
      </c>
      <c r="R127">
        <f t="shared" ref="R127" si="612">R128+Q127</f>
        <v>1036150063.0923619</v>
      </c>
      <c r="S127">
        <f t="shared" ref="S127" si="613">R127/100000</f>
        <v>10361.50063092362</v>
      </c>
      <c r="T127">
        <f t="shared" ref="T127" si="614">S127/1000</f>
        <v>10.36150063092362</v>
      </c>
    </row>
    <row r="128" spans="1:20" x14ac:dyDescent="0.25">
      <c r="A128" s="5">
        <v>44465</v>
      </c>
      <c r="B128">
        <v>1.7302999999999999</v>
      </c>
      <c r="C128">
        <v>1.7817000000000001</v>
      </c>
      <c r="D128">
        <v>1.5665</v>
      </c>
      <c r="E128">
        <v>1.7749999999999999</v>
      </c>
      <c r="F128">
        <v>72229907</v>
      </c>
      <c r="G128">
        <v>1.7749999999999999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0.93773234200743361</v>
      </c>
      <c r="Q128">
        <f t="shared" ref="Q128" si="616">F128*P128</f>
        <v>67732319.854089126</v>
      </c>
      <c r="R128">
        <f t="shared" ref="R128" si="617">R129+Q128</f>
        <v>1108482358.5297637</v>
      </c>
      <c r="S128">
        <f t="shared" ref="S128" si="618">R128/100000</f>
        <v>11084.823585297638</v>
      </c>
      <c r="T128">
        <f t="shared" ref="T128" si="619">S128/1000</f>
        <v>11.084823585297638</v>
      </c>
    </row>
    <row r="129" spans="1:20" x14ac:dyDescent="0.25">
      <c r="A129" s="5">
        <v>44464</v>
      </c>
      <c r="B129">
        <v>1.7865</v>
      </c>
      <c r="C129">
        <v>1.8168</v>
      </c>
      <c r="D129">
        <v>1.6919999999999999</v>
      </c>
      <c r="E129">
        <v>1.7310000000000001</v>
      </c>
      <c r="F129">
        <v>56529944</v>
      </c>
      <c r="G129">
        <v>1.7310000000000001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-0.37499999999999778</v>
      </c>
      <c r="Q129">
        <f t="shared" ref="Q129" si="621">F129*P129</f>
        <v>-21198728.999999873</v>
      </c>
      <c r="R129">
        <f t="shared" ref="R129" si="622">R130+Q129</f>
        <v>1040750038.6756747</v>
      </c>
      <c r="S129">
        <f t="shared" ref="S129" si="623">R129/100000</f>
        <v>10407.500386756747</v>
      </c>
      <c r="T129">
        <f t="shared" ref="T129" si="624">S129/1000</f>
        <v>10.407500386756746</v>
      </c>
    </row>
    <row r="130" spans="1:20" x14ac:dyDescent="0.25">
      <c r="A130" s="5">
        <v>44463</v>
      </c>
      <c r="B130">
        <v>2.0030999999999999</v>
      </c>
      <c r="C130">
        <v>2.0070000000000001</v>
      </c>
      <c r="D130">
        <v>1.6822999999999999</v>
      </c>
      <c r="E130">
        <v>1.7864</v>
      </c>
      <c r="F130">
        <v>108353320</v>
      </c>
      <c r="G130">
        <v>1.7864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-0.35879273175238674</v>
      </c>
      <c r="Q130">
        <f t="shared" ref="Q130" si="626">F130*P130</f>
        <v>-38876383.677240521</v>
      </c>
      <c r="R130">
        <f t="shared" ref="R130" si="627">R131+Q130</f>
        <v>1061948767.6756746</v>
      </c>
      <c r="S130">
        <f t="shared" ref="S130" si="628">R130/100000</f>
        <v>10619.487676756746</v>
      </c>
      <c r="T130">
        <f t="shared" ref="T130" si="629">S130/1000</f>
        <v>10.619487676756746</v>
      </c>
    </row>
    <row r="131" spans="1:20" x14ac:dyDescent="0.25">
      <c r="A131" s="5">
        <v>44462</v>
      </c>
      <c r="B131">
        <v>1.8443000000000001</v>
      </c>
      <c r="C131">
        <v>2.0537999999999998</v>
      </c>
      <c r="D131">
        <v>1.7882</v>
      </c>
      <c r="E131">
        <v>2.0030999999999999</v>
      </c>
      <c r="F131">
        <v>99537811</v>
      </c>
      <c r="G131">
        <v>2.0030999999999999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0.61822289156626509</v>
      </c>
      <c r="Q131">
        <f t="shared" ref="Q131" si="631">F131*P131</f>
        <v>61536553.336596385</v>
      </c>
      <c r="R131">
        <f t="shared" ref="R131" si="632">R132+Q131</f>
        <v>1100825151.352915</v>
      </c>
      <c r="S131">
        <f t="shared" ref="S131" si="633">R131/100000</f>
        <v>11008.251513529151</v>
      </c>
      <c r="T131">
        <f t="shared" ref="T131" si="634">S131/1000</f>
        <v>11.008251513529151</v>
      </c>
    </row>
    <row r="132" spans="1:20" x14ac:dyDescent="0.25">
      <c r="A132" s="5">
        <v>44461</v>
      </c>
      <c r="B132">
        <v>1.5760000000000001</v>
      </c>
      <c r="C132">
        <v>1.897</v>
      </c>
      <c r="D132">
        <v>1.5450999999999999</v>
      </c>
      <c r="E132">
        <v>1.8456999999999999</v>
      </c>
      <c r="F132">
        <v>84526602</v>
      </c>
      <c r="G132">
        <v>1.8456999999999999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0.70843989769820914</v>
      </c>
      <c r="Q132">
        <f t="shared" ref="Q132" si="636">F132*P132</f>
        <v>59882017.27365724</v>
      </c>
      <c r="R132">
        <f t="shared" ref="R132" si="637">R133+Q132</f>
        <v>1039288598.0163186</v>
      </c>
      <c r="S132">
        <f t="shared" ref="S132" si="638">R132/100000</f>
        <v>10392.885980163186</v>
      </c>
      <c r="T132">
        <f t="shared" ref="T132" si="639">S132/1000</f>
        <v>10.392885980163186</v>
      </c>
    </row>
    <row r="133" spans="1:20" x14ac:dyDescent="0.25">
      <c r="A133" s="5">
        <v>44460</v>
      </c>
      <c r="B133">
        <v>1.6731</v>
      </c>
      <c r="C133">
        <v>1.825</v>
      </c>
      <c r="D133">
        <v>1.5186999999999999</v>
      </c>
      <c r="E133">
        <v>1.5763</v>
      </c>
      <c r="F133">
        <v>95673108</v>
      </c>
      <c r="G133">
        <v>1.5763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-0.62389813907933334</v>
      </c>
      <c r="Q133">
        <f t="shared" ref="Q133" si="641">F133*P133</f>
        <v>-59690274.041136079</v>
      </c>
      <c r="R133">
        <f t="shared" ref="R133" si="642">R134+Q133</f>
        <v>979406580.74266136</v>
      </c>
      <c r="S133">
        <f t="shared" ref="S133" si="643">R133/100000</f>
        <v>9794.0658074266139</v>
      </c>
      <c r="T133">
        <f t="shared" ref="T133" si="644">S133/1000</f>
        <v>9.7940658074266143</v>
      </c>
    </row>
    <row r="134" spans="1:20" x14ac:dyDescent="0.25">
      <c r="A134" s="5">
        <v>44459</v>
      </c>
      <c r="B134">
        <v>1.9733000000000001</v>
      </c>
      <c r="C134">
        <v>1.9764999999999999</v>
      </c>
      <c r="D134">
        <v>1.7121</v>
      </c>
      <c r="E134">
        <v>1.7704</v>
      </c>
      <c r="F134">
        <v>60195732</v>
      </c>
      <c r="G134">
        <v>1.7704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-0.55900151285930388</v>
      </c>
      <c r="Q134">
        <f t="shared" ref="Q134" si="646">F134*P134</f>
        <v>-33649505.255673207</v>
      </c>
      <c r="R134">
        <f t="shared" ref="R134" si="647">R135+Q134</f>
        <v>1039096854.7837974</v>
      </c>
      <c r="S134">
        <f t="shared" ref="S134" si="648">R134/100000</f>
        <v>10390.968547837974</v>
      </c>
      <c r="T134">
        <f t="shared" ref="T134" si="649">S134/1000</f>
        <v>10.390968547837975</v>
      </c>
    </row>
    <row r="135" spans="1:20" x14ac:dyDescent="0.25">
      <c r="A135" s="5">
        <v>44458</v>
      </c>
      <c r="B135">
        <v>2.0720999999999998</v>
      </c>
      <c r="C135">
        <v>2.1573000000000002</v>
      </c>
      <c r="D135">
        <v>1.94</v>
      </c>
      <c r="E135">
        <v>1.9729000000000001</v>
      </c>
      <c r="F135">
        <v>76556905</v>
      </c>
      <c r="G135">
        <v>1.9729000000000001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-0.69719282098481261</v>
      </c>
      <c r="Q135">
        <f t="shared" ref="Q135" si="651">F135*P135</f>
        <v>-53374924.562816307</v>
      </c>
      <c r="R135">
        <f t="shared" ref="R135" si="652">R136+Q135</f>
        <v>1072746360.0394706</v>
      </c>
      <c r="S135">
        <f t="shared" ref="S135" si="653">R135/100000</f>
        <v>10727.463600394705</v>
      </c>
      <c r="T135">
        <f t="shared" ref="T135" si="654">S135/1000</f>
        <v>10.727463600394705</v>
      </c>
    </row>
    <row r="136" spans="1:20" x14ac:dyDescent="0.25">
      <c r="A136" s="5">
        <v>44457</v>
      </c>
      <c r="B136">
        <v>1.9237</v>
      </c>
      <c r="C136">
        <v>2.1288999999999998</v>
      </c>
      <c r="D136">
        <v>1.8949</v>
      </c>
      <c r="E136">
        <v>2.0722</v>
      </c>
      <c r="F136">
        <v>81645600</v>
      </c>
      <c r="G136">
        <v>2.0722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0.515384615384617</v>
      </c>
      <c r="Q136">
        <f t="shared" ref="Q136" si="656">F136*P136</f>
        <v>42078886.153846286</v>
      </c>
      <c r="R136">
        <f t="shared" ref="R136" si="657">R137+Q136</f>
        <v>1126121284.6022868</v>
      </c>
      <c r="S136">
        <f t="shared" ref="S136" si="658">R136/100000</f>
        <v>11261.212846022869</v>
      </c>
      <c r="T136">
        <f t="shared" ref="T136" si="659">S136/1000</f>
        <v>11.261212846022868</v>
      </c>
    </row>
    <row r="137" spans="1:20" x14ac:dyDescent="0.25">
      <c r="A137" s="5">
        <v>44456</v>
      </c>
      <c r="B137">
        <v>2.0377000000000001</v>
      </c>
      <c r="C137">
        <v>2.16</v>
      </c>
      <c r="D137">
        <v>1.8871</v>
      </c>
      <c r="E137">
        <v>1.9236</v>
      </c>
      <c r="F137">
        <v>90207802</v>
      </c>
      <c r="G137">
        <v>1.9236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-0.73250274825943595</v>
      </c>
      <c r="Q137">
        <f t="shared" ref="Q137" si="661">F137*P137</f>
        <v>-66077462.879443042</v>
      </c>
      <c r="R137">
        <f t="shared" ref="R137" si="662">R138+Q137</f>
        <v>1084042398.4484406</v>
      </c>
      <c r="S137">
        <f t="shared" ref="S137" si="663">R137/100000</f>
        <v>10840.423984484405</v>
      </c>
      <c r="T137">
        <f t="shared" ref="T137" si="664">S137/1000</f>
        <v>10.840423984484405</v>
      </c>
    </row>
    <row r="138" spans="1:20" x14ac:dyDescent="0.25">
      <c r="A138" s="5">
        <v>44455</v>
      </c>
      <c r="B138">
        <v>2.0144000000000002</v>
      </c>
      <c r="C138">
        <v>2.2258</v>
      </c>
      <c r="D138">
        <v>1.8620000000000001</v>
      </c>
      <c r="E138">
        <v>2.0377999999999998</v>
      </c>
      <c r="F138">
        <v>145130730</v>
      </c>
      <c r="G138">
        <v>2.0377999999999998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-3.3534909290820328E-2</v>
      </c>
      <c r="Q138">
        <f t="shared" ref="Q138" si="666">F138*P138</f>
        <v>-4866945.8658605367</v>
      </c>
      <c r="R138">
        <f t="shared" ref="R138" si="667">R139+Q138</f>
        <v>1150119861.3278835</v>
      </c>
      <c r="S138">
        <f t="shared" ref="S138" si="668">R138/100000</f>
        <v>11501.198613278835</v>
      </c>
      <c r="T138">
        <f t="shared" ref="T138" si="669">S138/1000</f>
        <v>11.501198613278834</v>
      </c>
    </row>
    <row r="139" spans="1:20" x14ac:dyDescent="0.25">
      <c r="A139" s="5">
        <v>44454</v>
      </c>
      <c r="B139">
        <v>2.0394999999999999</v>
      </c>
      <c r="C139">
        <v>2.0920000000000001</v>
      </c>
      <c r="D139">
        <v>1.9927999999999999</v>
      </c>
      <c r="E139">
        <v>2.0150000000000001</v>
      </c>
      <c r="F139">
        <v>68445134</v>
      </c>
      <c r="G139">
        <v>2.0150000000000001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-0.55241935483870608</v>
      </c>
      <c r="Q139">
        <f t="shared" ref="Q139" si="671">F139*P139</f>
        <v>-37810416.766128786</v>
      </c>
      <c r="R139">
        <f t="shared" ref="R139" si="672">R140+Q139</f>
        <v>1154986807.1937439</v>
      </c>
      <c r="S139">
        <f t="shared" ref="S139" si="673">R139/100000</f>
        <v>11549.868071937439</v>
      </c>
      <c r="T139">
        <f t="shared" ref="T139" si="674">S139/1000</f>
        <v>11.549868071937439</v>
      </c>
    </row>
    <row r="140" spans="1:20" x14ac:dyDescent="0.25">
      <c r="A140" s="5">
        <v>44453</v>
      </c>
      <c r="B140">
        <v>2.1644999999999999</v>
      </c>
      <c r="C140">
        <v>2.2726999999999999</v>
      </c>
      <c r="D140">
        <v>1.9792000000000001</v>
      </c>
      <c r="E140">
        <v>2.0396000000000001</v>
      </c>
      <c r="F140">
        <v>114017816</v>
      </c>
      <c r="G140">
        <v>2.0396000000000001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-0.58841567291311725</v>
      </c>
      <c r="Q140">
        <f t="shared" ref="Q140" si="676">F140*P140</f>
        <v>-67089869.925723985</v>
      </c>
      <c r="R140">
        <f t="shared" ref="R140" si="677">R141+Q140</f>
        <v>1192797223.9598727</v>
      </c>
      <c r="S140">
        <f t="shared" ref="S140" si="678">R140/100000</f>
        <v>11927.972239598726</v>
      </c>
      <c r="T140">
        <f t="shared" ref="T140" si="679">S140/1000</f>
        <v>11.927972239598727</v>
      </c>
    </row>
    <row r="141" spans="1:20" x14ac:dyDescent="0.25">
      <c r="A141" s="5">
        <v>44452</v>
      </c>
      <c r="B141">
        <v>2.3780000000000001</v>
      </c>
      <c r="C141">
        <v>2.5573999999999999</v>
      </c>
      <c r="D141">
        <v>1.97</v>
      </c>
      <c r="E141">
        <v>2.1652</v>
      </c>
      <c r="F141">
        <v>257411002.09999999</v>
      </c>
      <c r="G141">
        <v>2.1652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-0.33537623425263852</v>
      </c>
      <c r="Q141">
        <f t="shared" ref="Q141" si="681">F141*P141</f>
        <v>-86329532.539496019</v>
      </c>
      <c r="R141">
        <f t="shared" ref="R141" si="682">R142+Q141</f>
        <v>1259887093.8855968</v>
      </c>
      <c r="S141">
        <f t="shared" ref="S141" si="683">R141/100000</f>
        <v>12598.870938855967</v>
      </c>
      <c r="T141">
        <f t="shared" ref="T141" si="684">S141/1000</f>
        <v>12.598870938855967</v>
      </c>
    </row>
    <row r="142" spans="1:20" x14ac:dyDescent="0.25">
      <c r="A142" s="5">
        <v>44451</v>
      </c>
      <c r="B142">
        <v>1.9946999999999999</v>
      </c>
      <c r="C142">
        <v>2.48</v>
      </c>
      <c r="D142">
        <v>1.9</v>
      </c>
      <c r="E142">
        <v>2.3793000000000002</v>
      </c>
      <c r="F142">
        <v>222384280</v>
      </c>
      <c r="G142">
        <v>2.3793000000000002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0.65275862068965596</v>
      </c>
      <c r="Q142">
        <f t="shared" ref="Q142" si="686">F142*P142</f>
        <v>145163255.87586224</v>
      </c>
      <c r="R142">
        <f t="shared" ref="R142" si="687">R143+Q142</f>
        <v>1346216626.4250927</v>
      </c>
      <c r="S142">
        <f t="shared" ref="S142" si="688">R142/100000</f>
        <v>13462.166264250927</v>
      </c>
      <c r="T142">
        <f t="shared" ref="T142" si="689">S142/1000</f>
        <v>13.462166264250927</v>
      </c>
    </row>
    <row r="143" spans="1:20" x14ac:dyDescent="0.25">
      <c r="A143" s="5">
        <v>44450</v>
      </c>
      <c r="B143">
        <v>2.0118</v>
      </c>
      <c r="C143">
        <v>2.29</v>
      </c>
      <c r="D143">
        <v>1.9607000000000001</v>
      </c>
      <c r="E143">
        <v>1.9943</v>
      </c>
      <c r="F143">
        <v>194425030</v>
      </c>
      <c r="G143">
        <v>1.9943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-0.79593076222289794</v>
      </c>
      <c r="Q143">
        <f t="shared" ref="Q143" si="691">F143*P143</f>
        <v>-154748862.32310981</v>
      </c>
      <c r="R143">
        <f t="shared" ref="R143" si="692">R144+Q143</f>
        <v>1201053370.5492306</v>
      </c>
      <c r="S143">
        <f t="shared" ref="S143" si="693">R143/100000</f>
        <v>12010.533705492306</v>
      </c>
      <c r="T143">
        <f t="shared" ref="T143" si="694">S143/1000</f>
        <v>12.010533705492305</v>
      </c>
    </row>
    <row r="144" spans="1:20" x14ac:dyDescent="0.25">
      <c r="A144" s="5">
        <v>44449</v>
      </c>
      <c r="B144">
        <v>2.3020999999999998</v>
      </c>
      <c r="C144">
        <v>2.4283000000000001</v>
      </c>
      <c r="D144">
        <v>1.8431999999999999</v>
      </c>
      <c r="E144">
        <v>2.0125999999999999</v>
      </c>
      <c r="F144">
        <v>282534277</v>
      </c>
      <c r="G144">
        <v>2.0125999999999999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-0.42095368313108888</v>
      </c>
      <c r="Q144">
        <f t="shared" ref="Q144" si="696">F144*P144</f>
        <v>-118933844.51392929</v>
      </c>
      <c r="R144">
        <f t="shared" ref="R144" si="697">R145+Q144</f>
        <v>1355802232.8723404</v>
      </c>
      <c r="S144">
        <f t="shared" ref="S144" si="698">R144/100000</f>
        <v>13558.022328723404</v>
      </c>
      <c r="T144">
        <f t="shared" ref="T144" si="699">S144/1000</f>
        <v>13.558022328723403</v>
      </c>
    </row>
    <row r="145" spans="1:20" x14ac:dyDescent="0.25">
      <c r="A145" s="5">
        <v>44448</v>
      </c>
      <c r="B145">
        <v>1.9152</v>
      </c>
      <c r="C145">
        <v>2.4903</v>
      </c>
      <c r="D145">
        <v>1.9019999999999999</v>
      </c>
      <c r="E145">
        <v>2.3035999999999999</v>
      </c>
      <c r="F145">
        <v>425690635.84399998</v>
      </c>
      <c r="G145">
        <v>2.3035999999999999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0.36528981812000655</v>
      </c>
      <c r="Q145">
        <f t="shared" ref="Q145" si="701">F145*P145</f>
        <v>155500454.94284469</v>
      </c>
      <c r="R145">
        <f t="shared" ref="R145" si="702">R146+Q145</f>
        <v>1474736077.3862698</v>
      </c>
      <c r="S145">
        <f t="shared" ref="S145" si="703">R145/100000</f>
        <v>14747.360773862698</v>
      </c>
      <c r="T145">
        <f t="shared" ref="T145" si="704">S145/1000</f>
        <v>14.747360773862697</v>
      </c>
    </row>
    <row r="146" spans="1:20" x14ac:dyDescent="0.25">
      <c r="A146" s="5">
        <v>44447</v>
      </c>
      <c r="B146">
        <v>1.2773000000000001</v>
      </c>
      <c r="C146">
        <v>1.966</v>
      </c>
      <c r="D146">
        <v>1.2332000000000001</v>
      </c>
      <c r="E146">
        <v>1.9162999999999999</v>
      </c>
      <c r="F146">
        <v>411415946.39899999</v>
      </c>
      <c r="G146">
        <v>1.9162999999999999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0.86435589519650635</v>
      </c>
      <c r="Q146">
        <f t="shared" ref="Q146" si="706">F146*P146</f>
        <v>355609798.64782554</v>
      </c>
      <c r="R146">
        <f t="shared" ref="R146" si="707">R147+Q146</f>
        <v>1319235622.4434252</v>
      </c>
      <c r="S146">
        <f t="shared" ref="S146" si="708">R146/100000</f>
        <v>13192.356224434252</v>
      </c>
      <c r="T146">
        <f t="shared" ref="T146" si="709">S146/1000</f>
        <v>13.192356224434253</v>
      </c>
    </row>
    <row r="147" spans="1:20" x14ac:dyDescent="0.25">
      <c r="A147" s="5">
        <v>44446</v>
      </c>
      <c r="B147">
        <v>1.458</v>
      </c>
      <c r="C147">
        <v>1.5166999999999999</v>
      </c>
      <c r="D147">
        <v>1.0199</v>
      </c>
      <c r="E147">
        <v>1.2774000000000001</v>
      </c>
      <c r="F147">
        <v>113768791.48</v>
      </c>
      <c r="G147">
        <v>1.2774000000000001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3.6634460547504466E-2</v>
      </c>
      <c r="Q147">
        <f t="shared" ref="Q147" si="711">F147*P147</f>
        <v>4167858.3030113224</v>
      </c>
      <c r="R147">
        <f t="shared" ref="R147" si="712">R148+Q147</f>
        <v>963625823.79559958</v>
      </c>
      <c r="S147">
        <f t="shared" ref="S147" si="713">R147/100000</f>
        <v>9636.2582379559954</v>
      </c>
      <c r="T147">
        <f t="shared" ref="T147" si="714">S147/1000</f>
        <v>9.636258237955996</v>
      </c>
    </row>
    <row r="148" spans="1:20" x14ac:dyDescent="0.25">
      <c r="A148" s="5">
        <v>44445</v>
      </c>
      <c r="B148">
        <v>1.3146</v>
      </c>
      <c r="C148">
        <v>1.4874000000000001</v>
      </c>
      <c r="D148">
        <v>1.2904</v>
      </c>
      <c r="E148">
        <v>1.4579</v>
      </c>
      <c r="F148">
        <v>69726925.290000007</v>
      </c>
      <c r="G148">
        <v>1.4579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0.70050761421319718</v>
      </c>
      <c r="Q148">
        <f t="shared" ref="Q148" si="716">F148*P148</f>
        <v>48844242.081319749</v>
      </c>
      <c r="R148">
        <f t="shared" ref="R148" si="717">R149+Q148</f>
        <v>959457965.49258828</v>
      </c>
      <c r="S148">
        <f t="shared" ref="S148" si="718">R148/100000</f>
        <v>9594.579654925883</v>
      </c>
      <c r="T148">
        <f t="shared" ref="T148" si="719">S148/1000</f>
        <v>9.5945796549258837</v>
      </c>
    </row>
    <row r="149" spans="1:20" x14ac:dyDescent="0.25">
      <c r="A149" s="5">
        <v>44444</v>
      </c>
      <c r="B149">
        <v>1.2081</v>
      </c>
      <c r="C149">
        <v>1.35</v>
      </c>
      <c r="D149">
        <v>1.1817</v>
      </c>
      <c r="E149">
        <v>1.3147</v>
      </c>
      <c r="F149">
        <v>49054347.359999999</v>
      </c>
      <c r="G149">
        <v>1.3147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0.58051099227569714</v>
      </c>
      <c r="Q149">
        <f t="shared" ref="Q149" si="721">F149*P149</f>
        <v>28476587.861390322</v>
      </c>
      <c r="R149">
        <f t="shared" ref="R149" si="722">R150+Q149</f>
        <v>910613723.41126859</v>
      </c>
      <c r="S149">
        <f t="shared" ref="S149" si="723">R149/100000</f>
        <v>9106.1372341126862</v>
      </c>
      <c r="T149">
        <f t="shared" ref="T149" si="724">S149/1000</f>
        <v>9.1061372341126869</v>
      </c>
    </row>
    <row r="150" spans="1:20" x14ac:dyDescent="0.25">
      <c r="A150" s="5">
        <v>44443</v>
      </c>
      <c r="B150">
        <v>1.2175</v>
      </c>
      <c r="C150">
        <v>1.24</v>
      </c>
      <c r="D150">
        <v>1.1887000000000001</v>
      </c>
      <c r="E150">
        <v>1.2079</v>
      </c>
      <c r="F150">
        <v>28514256</v>
      </c>
      <c r="G150">
        <v>1.2079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-0.25146198830409666</v>
      </c>
      <c r="Q150">
        <f t="shared" ref="Q150" si="726">F150*P150</f>
        <v>-7170251.5087720184</v>
      </c>
      <c r="R150">
        <f t="shared" ref="R150" si="727">R151+Q150</f>
        <v>882137135.54987824</v>
      </c>
      <c r="S150">
        <f t="shared" ref="S150" si="728">R150/100000</f>
        <v>8821.3713554987826</v>
      </c>
      <c r="T150">
        <f t="shared" ref="T150" si="729">S150/1000</f>
        <v>8.8213713554987834</v>
      </c>
    </row>
    <row r="151" spans="1:20" x14ac:dyDescent="0.25">
      <c r="A151" s="5">
        <v>44442</v>
      </c>
      <c r="B151">
        <v>1.1423000000000001</v>
      </c>
      <c r="C151">
        <v>1.27</v>
      </c>
      <c r="D151">
        <v>1.1085</v>
      </c>
      <c r="E151">
        <v>1.2178</v>
      </c>
      <c r="F151">
        <v>61734288.799999997</v>
      </c>
      <c r="G151">
        <v>1.2178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0.35356037151702746</v>
      </c>
      <c r="Q151">
        <f t="shared" ref="Q151" si="731">F151*P151</f>
        <v>21826798.083467465</v>
      </c>
      <c r="R151">
        <f t="shared" ref="R151" si="732">R152+Q151</f>
        <v>889307387.05865026</v>
      </c>
      <c r="S151">
        <f t="shared" ref="S151" si="733">R151/100000</f>
        <v>8893.0738705865024</v>
      </c>
      <c r="T151">
        <f t="shared" ref="T151" si="734">S151/1000</f>
        <v>8.8930738705865018</v>
      </c>
    </row>
    <row r="152" spans="1:20" x14ac:dyDescent="0.25">
      <c r="A152" s="5">
        <v>44441</v>
      </c>
      <c r="B152">
        <v>1.1615</v>
      </c>
      <c r="C152">
        <v>1.1789000000000001</v>
      </c>
      <c r="D152">
        <v>1.1213</v>
      </c>
      <c r="E152">
        <v>1.1420999999999999</v>
      </c>
      <c r="F152">
        <v>23461669</v>
      </c>
      <c r="G152">
        <v>1.1420999999999999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-0.2777777777777814</v>
      </c>
      <c r="Q152">
        <f t="shared" ref="Q152" si="736">F152*P152</f>
        <v>-6517130.2777778627</v>
      </c>
      <c r="R152">
        <f t="shared" ref="R152" si="737">R153+Q152</f>
        <v>867480588.97518277</v>
      </c>
      <c r="S152">
        <f t="shared" ref="S152" si="738">R152/100000</f>
        <v>8674.8058897518276</v>
      </c>
      <c r="T152">
        <f t="shared" ref="T152" si="739">S152/1000</f>
        <v>8.674805889751827</v>
      </c>
    </row>
    <row r="153" spans="1:20" x14ac:dyDescent="0.25">
      <c r="A153" s="5">
        <v>44440</v>
      </c>
      <c r="B153">
        <v>1.1134999999999999</v>
      </c>
      <c r="C153">
        <v>1.1849000000000001</v>
      </c>
      <c r="D153">
        <v>1.0789</v>
      </c>
      <c r="E153">
        <v>1.1614</v>
      </c>
      <c r="F153">
        <v>43230208.659999996</v>
      </c>
      <c r="G153">
        <v>1.1614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0.55660377358490465</v>
      </c>
      <c r="Q153">
        <f t="shared" ref="Q153" si="741">F153*P153</f>
        <v>24062097.273018822</v>
      </c>
      <c r="R153">
        <f t="shared" ref="R153" si="742">R154+Q153</f>
        <v>873997719.25296068</v>
      </c>
      <c r="S153">
        <f t="shared" ref="S153" si="743">R153/100000</f>
        <v>8739.9771925296063</v>
      </c>
      <c r="T153">
        <f t="shared" ref="T153" si="744">S153/1000</f>
        <v>8.7399771925296061</v>
      </c>
    </row>
    <row r="154" spans="1:20" x14ac:dyDescent="0.25">
      <c r="A154" s="5">
        <v>44439</v>
      </c>
      <c r="B154">
        <v>1.0201</v>
      </c>
      <c r="C154">
        <v>1.1720999999999999</v>
      </c>
      <c r="D154">
        <v>1.0026999999999999</v>
      </c>
      <c r="E154">
        <v>1.1133999999999999</v>
      </c>
      <c r="F154">
        <v>63948645.289999999</v>
      </c>
      <c r="G154">
        <v>1.1133999999999999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0.30696576151121635</v>
      </c>
      <c r="Q154">
        <f t="shared" ref="Q154" si="746">F154*P154</f>
        <v>19630044.59905551</v>
      </c>
      <c r="R154">
        <f t="shared" ref="R154" si="747">R155+Q154</f>
        <v>849935621.97994184</v>
      </c>
      <c r="S154">
        <f t="shared" ref="S154" si="748">R154/100000</f>
        <v>8499.3562197994179</v>
      </c>
      <c r="T154">
        <f t="shared" ref="T154" si="749">S154/1000</f>
        <v>8.4993562197994184</v>
      </c>
    </row>
    <row r="155" spans="1:20" x14ac:dyDescent="0.25">
      <c r="A155" s="5">
        <v>44438</v>
      </c>
      <c r="B155">
        <v>1.0217000000000001</v>
      </c>
      <c r="C155">
        <v>1.0976999999999999</v>
      </c>
      <c r="D155">
        <v>0.97640000000000005</v>
      </c>
      <c r="E155">
        <v>1.0206999999999999</v>
      </c>
      <c r="F155">
        <v>34656685.350000001</v>
      </c>
      <c r="G155">
        <v>1.0206999999999999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-0.26957955482275436</v>
      </c>
      <c r="Q155">
        <f t="shared" ref="Q155" si="751">F155*P155</f>
        <v>-9342733.8082852736</v>
      </c>
      <c r="R155">
        <f t="shared" ref="R155" si="752">R156+Q155</f>
        <v>830305577.38088632</v>
      </c>
      <c r="S155">
        <f t="shared" ref="S155" si="753">R155/100000</f>
        <v>8303.0557738088628</v>
      </c>
      <c r="T155">
        <f t="shared" ref="T155" si="754">S155/1000</f>
        <v>8.3030557738088628</v>
      </c>
    </row>
    <row r="156" spans="1:20" x14ac:dyDescent="0.25">
      <c r="A156" s="5">
        <v>44437</v>
      </c>
      <c r="B156">
        <v>1.0388999999999999</v>
      </c>
      <c r="C156">
        <v>1.0666</v>
      </c>
      <c r="D156">
        <v>0.99909999999999999</v>
      </c>
      <c r="E156">
        <v>1.0217000000000001</v>
      </c>
      <c r="F156">
        <v>24639385</v>
      </c>
      <c r="G156">
        <v>1.0217000000000001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-0.33037037037036848</v>
      </c>
      <c r="Q156">
        <f t="shared" ref="Q156" si="756">F156*P156</f>
        <v>-8140122.7481481014</v>
      </c>
      <c r="R156">
        <f t="shared" ref="R156" si="757">R157+Q156</f>
        <v>839648311.18917155</v>
      </c>
      <c r="S156">
        <f t="shared" ref="S156" si="758">R156/100000</f>
        <v>8396.4831118917155</v>
      </c>
      <c r="T156">
        <f t="shared" ref="T156" si="759">S156/1000</f>
        <v>8.3964831118917154</v>
      </c>
    </row>
    <row r="157" spans="1:20" x14ac:dyDescent="0.25">
      <c r="A157" s="5">
        <v>44436</v>
      </c>
      <c r="B157">
        <v>1.0649999999999999</v>
      </c>
      <c r="C157">
        <v>1.0750999999999999</v>
      </c>
      <c r="D157">
        <v>1.0226</v>
      </c>
      <c r="E157">
        <v>1.0387999999999999</v>
      </c>
      <c r="F157">
        <v>19510444.09</v>
      </c>
      <c r="G157">
        <v>1.0387999999999999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-0.38285714285714306</v>
      </c>
      <c r="Q157">
        <f t="shared" ref="Q157" si="761">F157*P157</f>
        <v>-7469712.8801714322</v>
      </c>
      <c r="R157">
        <f t="shared" ref="R157" si="762">R158+Q157</f>
        <v>847788433.93731964</v>
      </c>
      <c r="S157">
        <f t="shared" ref="S157" si="763">R157/100000</f>
        <v>8477.8843393731968</v>
      </c>
      <c r="T157">
        <f t="shared" ref="T157" si="764">S157/1000</f>
        <v>8.4778843393731975</v>
      </c>
    </row>
    <row r="158" spans="1:20" x14ac:dyDescent="0.25">
      <c r="A158" s="5">
        <v>44435</v>
      </c>
      <c r="B158">
        <v>0.98809999999999998</v>
      </c>
      <c r="C158">
        <v>1.0662</v>
      </c>
      <c r="D158">
        <v>0.95930000000000004</v>
      </c>
      <c r="E158">
        <v>1.0649999999999999</v>
      </c>
      <c r="F158">
        <v>27333899.460000001</v>
      </c>
      <c r="G158">
        <v>1.0649999999999999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0.97754911131898803</v>
      </c>
      <c r="Q158">
        <f t="shared" ref="Q158" si="766">F158*P158</f>
        <v>26720229.126005568</v>
      </c>
      <c r="R158">
        <f t="shared" ref="R158" si="767">R159+Q158</f>
        <v>855258146.81749105</v>
      </c>
      <c r="S158">
        <f t="shared" ref="S158" si="768">R158/100000</f>
        <v>8552.5814681749107</v>
      </c>
      <c r="T158">
        <f t="shared" ref="T158" si="769">S158/1000</f>
        <v>8.5525814681749104</v>
      </c>
    </row>
    <row r="159" spans="1:20" x14ac:dyDescent="0.25">
      <c r="A159" s="5">
        <v>44434</v>
      </c>
      <c r="B159">
        <v>1.0642</v>
      </c>
      <c r="C159">
        <v>1.0754999999999999</v>
      </c>
      <c r="D159">
        <v>0.97019999999999995</v>
      </c>
      <c r="E159">
        <v>0.98870000000000002</v>
      </c>
      <c r="F159">
        <v>27696436.219999999</v>
      </c>
      <c r="G159">
        <v>0.98870000000000002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-0.64862298195631374</v>
      </c>
      <c r="Q159">
        <f t="shared" ref="Q159" si="771">F159*P159</f>
        <v>-17964545.050579254</v>
      </c>
      <c r="R159">
        <f t="shared" ref="R159" si="772">R160+Q159</f>
        <v>828537917.69148552</v>
      </c>
      <c r="S159">
        <f t="shared" ref="S159" si="773">R159/100000</f>
        <v>8285.3791769148556</v>
      </c>
      <c r="T159">
        <f t="shared" ref="T159" si="774">S159/1000</f>
        <v>8.285379176914855</v>
      </c>
    </row>
    <row r="160" spans="1:20" x14ac:dyDescent="0.25">
      <c r="A160" s="5">
        <v>44433</v>
      </c>
      <c r="B160">
        <v>1.0367999999999999</v>
      </c>
      <c r="C160">
        <v>1.0804</v>
      </c>
      <c r="D160">
        <v>1.0004</v>
      </c>
      <c r="E160">
        <v>1.0650999999999999</v>
      </c>
      <c r="F160">
        <v>29788902.600000001</v>
      </c>
      <c r="G160">
        <v>1.0650999999999999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0.61749999999999805</v>
      </c>
      <c r="Q160">
        <f t="shared" ref="Q160" si="776">F160*P160</f>
        <v>18394647.355499942</v>
      </c>
      <c r="R160">
        <f t="shared" ref="R160" si="777">R161+Q160</f>
        <v>846502462.74206483</v>
      </c>
      <c r="S160">
        <f t="shared" ref="S160" si="778">R160/100000</f>
        <v>8465.0246274206474</v>
      </c>
      <c r="T160">
        <f t="shared" ref="T160" si="779">S160/1000</f>
        <v>8.4650246274206467</v>
      </c>
    </row>
    <row r="161" spans="1:20" x14ac:dyDescent="0.25">
      <c r="A161" s="5">
        <v>44432</v>
      </c>
      <c r="B161">
        <v>1.159</v>
      </c>
      <c r="C161">
        <v>1.1599999999999999</v>
      </c>
      <c r="D161">
        <v>1.0150999999999999</v>
      </c>
      <c r="E161">
        <v>1.0367999999999999</v>
      </c>
      <c r="F161">
        <v>44097790.399999999</v>
      </c>
      <c r="G161">
        <v>1.0367999999999999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-0.70048309178743895</v>
      </c>
      <c r="Q161">
        <f t="shared" ref="Q161" si="781">F161*P161</f>
        <v>-30889756.560386442</v>
      </c>
      <c r="R161">
        <f t="shared" ref="R161" si="782">R162+Q161</f>
        <v>828107815.38656485</v>
      </c>
      <c r="S161">
        <f t="shared" ref="S161" si="783">R161/100000</f>
        <v>8281.0781538656483</v>
      </c>
      <c r="T161">
        <f t="shared" ref="T161" si="784">S161/1000</f>
        <v>8.2810781538656482</v>
      </c>
    </row>
    <row r="162" spans="1:20" x14ac:dyDescent="0.25">
      <c r="A162" s="5">
        <v>44431</v>
      </c>
      <c r="B162">
        <v>1.1573</v>
      </c>
      <c r="C162">
        <v>1.1900999999999999</v>
      </c>
      <c r="D162">
        <v>1.1088</v>
      </c>
      <c r="E162">
        <v>1.1587000000000001</v>
      </c>
      <c r="F162">
        <v>34230095.25</v>
      </c>
      <c r="G162">
        <v>1.1587000000000001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0.22755227552275767</v>
      </c>
      <c r="Q162">
        <f t="shared" ref="Q162" si="786">F162*P162</f>
        <v>7789136.0654982384</v>
      </c>
      <c r="R162">
        <f t="shared" ref="R162" si="787">R163+Q162</f>
        <v>858997571.94695127</v>
      </c>
      <c r="S162">
        <f t="shared" ref="S162" si="788">R162/100000</f>
        <v>8589.9757194695121</v>
      </c>
      <c r="T162">
        <f t="shared" ref="T162" si="789">S162/1000</f>
        <v>8.5899757194695123</v>
      </c>
    </row>
    <row r="163" spans="1:20" x14ac:dyDescent="0.25">
      <c r="A163" s="5">
        <v>44430</v>
      </c>
      <c r="B163">
        <v>1.1489</v>
      </c>
      <c r="C163">
        <v>1.2444</v>
      </c>
      <c r="D163">
        <v>1.1482000000000001</v>
      </c>
      <c r="E163">
        <v>1.2110000000000001</v>
      </c>
      <c r="F163">
        <v>17131441.890000001</v>
      </c>
      <c r="G163">
        <v>1.2110000000000001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0.30561330561330707</v>
      </c>
      <c r="Q163">
        <f t="shared" ref="Q163" si="791">F163*P163</f>
        <v>5235596.5859251814</v>
      </c>
      <c r="R163">
        <f t="shared" ref="R163" si="792">R164+Q163</f>
        <v>851208435.88145304</v>
      </c>
      <c r="S163">
        <f t="shared" ref="S163" si="793">R163/100000</f>
        <v>8512.0843588145308</v>
      </c>
      <c r="T163">
        <f t="shared" ref="T163" si="794">S163/1000</f>
        <v>8.5120843588145316</v>
      </c>
    </row>
    <row r="164" spans="1:20" x14ac:dyDescent="0.25">
      <c r="A164" s="5">
        <v>44429</v>
      </c>
      <c r="B164">
        <v>1.1372</v>
      </c>
      <c r="C164">
        <v>1.2222</v>
      </c>
      <c r="D164">
        <v>1.0921000000000001</v>
      </c>
      <c r="E164">
        <v>1.1488</v>
      </c>
      <c r="F164">
        <v>60191628.460000001</v>
      </c>
      <c r="G164">
        <v>1.1488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-0.12836279784780902</v>
      </c>
      <c r="Q164">
        <f t="shared" ref="Q164" si="796">F164*P164</f>
        <v>-7726365.8361414084</v>
      </c>
      <c r="R164">
        <f t="shared" ref="R164" si="797">R165+Q164</f>
        <v>845972839.29552782</v>
      </c>
      <c r="S164">
        <f t="shared" ref="S164" si="798">R164/100000</f>
        <v>8459.7283929552777</v>
      </c>
      <c r="T164">
        <f t="shared" ref="T164" si="799">S164/1000</f>
        <v>8.4597283929552773</v>
      </c>
    </row>
    <row r="165" spans="1:20" x14ac:dyDescent="0.25">
      <c r="A165" s="5">
        <v>44428</v>
      </c>
      <c r="B165">
        <v>1.0444</v>
      </c>
      <c r="C165">
        <v>1.1543000000000001</v>
      </c>
      <c r="D165">
        <v>1.0395000000000001</v>
      </c>
      <c r="E165">
        <v>1.1385000000000001</v>
      </c>
      <c r="F165">
        <v>69978750.540000007</v>
      </c>
      <c r="G165">
        <v>1.1385000000000001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0.72473867595818753</v>
      </c>
      <c r="Q165">
        <f t="shared" ref="Q165" si="801">F165*P165</f>
        <v>50716307.011567906</v>
      </c>
      <c r="R165">
        <f t="shared" ref="R165" si="802">R166+Q165</f>
        <v>853699205.13166928</v>
      </c>
      <c r="S165">
        <f t="shared" ref="S165" si="803">R165/100000</f>
        <v>8536.9920513166926</v>
      </c>
      <c r="T165">
        <f t="shared" ref="T165" si="804">S165/1000</f>
        <v>8.5369920513166928</v>
      </c>
    </row>
    <row r="166" spans="1:20" x14ac:dyDescent="0.25">
      <c r="A166" s="5">
        <v>44427</v>
      </c>
      <c r="B166">
        <v>0.92249999999999999</v>
      </c>
      <c r="C166">
        <v>1.073</v>
      </c>
      <c r="D166">
        <v>0.91200000000000003</v>
      </c>
      <c r="E166">
        <v>1.0441</v>
      </c>
      <c r="F166">
        <v>87684139.560000002</v>
      </c>
      <c r="G166">
        <v>1.0441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0.64099378881987656</v>
      </c>
      <c r="Q166">
        <f t="shared" ref="Q166" si="806">F166*P166</f>
        <v>56204988.835975222</v>
      </c>
      <c r="R166">
        <f t="shared" ref="R166" si="807">R167+Q166</f>
        <v>802982898.12010133</v>
      </c>
      <c r="S166">
        <f t="shared" ref="S166" si="808">R166/100000</f>
        <v>8029.8289812010134</v>
      </c>
      <c r="T166">
        <f t="shared" ref="T166" si="809">S166/1000</f>
        <v>8.029828981201014</v>
      </c>
    </row>
    <row r="167" spans="1:20" x14ac:dyDescent="0.25">
      <c r="A167" s="5">
        <v>44426</v>
      </c>
      <c r="B167">
        <v>0.88419999999999999</v>
      </c>
      <c r="C167">
        <v>0.96430000000000005</v>
      </c>
      <c r="D167">
        <v>0.84740000000000004</v>
      </c>
      <c r="E167">
        <v>0.9224</v>
      </c>
      <c r="F167">
        <v>46506731.590000004</v>
      </c>
      <c r="G167">
        <v>0.9224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0.28314798973481525</v>
      </c>
      <c r="Q167">
        <f t="shared" ref="Q167" si="811">F167*P167</f>
        <v>13168287.558845129</v>
      </c>
      <c r="R167">
        <f t="shared" ref="R167" si="812">R168+Q167</f>
        <v>746777909.28412616</v>
      </c>
      <c r="S167">
        <f t="shared" ref="S167" si="813">R167/100000</f>
        <v>7467.7790928412614</v>
      </c>
      <c r="T167">
        <f t="shared" ref="T167" si="814">S167/1000</f>
        <v>7.4677790928412611</v>
      </c>
    </row>
    <row r="168" spans="1:20" x14ac:dyDescent="0.25">
      <c r="A168" s="5">
        <v>44425</v>
      </c>
      <c r="B168">
        <v>0.9456</v>
      </c>
      <c r="C168">
        <v>0.99260000000000004</v>
      </c>
      <c r="D168">
        <v>0.88</v>
      </c>
      <c r="E168">
        <v>0.88349999999999995</v>
      </c>
      <c r="F168">
        <v>48471884.18</v>
      </c>
      <c r="G168">
        <v>0.88349999999999995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-0.93783303730017853</v>
      </c>
      <c r="Q168">
        <f t="shared" ref="Q168" si="816">F168*P168</f>
        <v>-45458534.364191875</v>
      </c>
      <c r="R168">
        <f t="shared" ref="R168" si="817">R169+Q168</f>
        <v>733609621.725281</v>
      </c>
      <c r="S168">
        <f t="shared" ref="S168" si="818">R168/100000</f>
        <v>7336.0962172528098</v>
      </c>
      <c r="T168">
        <f t="shared" ref="T168" si="819">S168/1000</f>
        <v>7.3360962172528099</v>
      </c>
    </row>
    <row r="169" spans="1:20" x14ac:dyDescent="0.25">
      <c r="A169" s="5">
        <v>44424</v>
      </c>
      <c r="B169">
        <v>0.99470000000000003</v>
      </c>
      <c r="C169">
        <v>1.0353000000000001</v>
      </c>
      <c r="D169">
        <v>0.93659999999999999</v>
      </c>
      <c r="E169">
        <v>0.94610000000000005</v>
      </c>
      <c r="F169">
        <v>53225603.219999999</v>
      </c>
      <c r="G169">
        <v>0.94610000000000005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-0.80749746707193415</v>
      </c>
      <c r="Q169">
        <f t="shared" ref="Q169" si="821">F169*P169</f>
        <v>-42979539.78352578</v>
      </c>
      <c r="R169">
        <f t="shared" ref="R169" si="822">R170+Q169</f>
        <v>779068156.08947289</v>
      </c>
      <c r="S169">
        <f t="shared" ref="S169" si="823">R169/100000</f>
        <v>7790.681560894729</v>
      </c>
      <c r="T169">
        <f t="shared" ref="T169" si="824">S169/1000</f>
        <v>7.7906815608947291</v>
      </c>
    </row>
    <row r="170" spans="1:20" x14ac:dyDescent="0.25">
      <c r="A170" s="5">
        <v>44423</v>
      </c>
      <c r="B170">
        <v>0.9325</v>
      </c>
      <c r="C170">
        <v>1.0241</v>
      </c>
      <c r="D170">
        <v>0.9244</v>
      </c>
      <c r="E170">
        <v>0.99509999999999998</v>
      </c>
      <c r="F170">
        <v>58435655.240000002</v>
      </c>
      <c r="G170">
        <v>0.99509999999999998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0.41825476429287817</v>
      </c>
      <c r="Q170">
        <f t="shared" ref="Q170" si="826">F170*P170</f>
        <v>24440991.208706092</v>
      </c>
      <c r="R170">
        <f t="shared" ref="R170" si="827">R171+Q170</f>
        <v>822047695.87299871</v>
      </c>
      <c r="S170">
        <f t="shared" ref="S170" si="828">R170/100000</f>
        <v>8220.476958729987</v>
      </c>
      <c r="T170">
        <f t="shared" ref="T170" si="829">S170/1000</f>
        <v>8.2204769587299875</v>
      </c>
    </row>
    <row r="171" spans="1:20" x14ac:dyDescent="0.25">
      <c r="A171" s="5">
        <v>44422</v>
      </c>
      <c r="B171">
        <v>0.95489999999999997</v>
      </c>
      <c r="C171">
        <v>0.98180000000000001</v>
      </c>
      <c r="D171">
        <v>0.90980000000000005</v>
      </c>
      <c r="E171">
        <v>0.93200000000000005</v>
      </c>
      <c r="F171">
        <v>49297000.310000002</v>
      </c>
      <c r="G171">
        <v>0.93200000000000005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-0.38333333333333303</v>
      </c>
      <c r="Q171">
        <f t="shared" ref="Q171" si="831">F171*P171</f>
        <v>-18897183.452166654</v>
      </c>
      <c r="R171">
        <f t="shared" ref="R171" si="832">R172+Q171</f>
        <v>797606704.66429257</v>
      </c>
      <c r="S171">
        <f t="shared" ref="S171" si="833">R171/100000</f>
        <v>7976.0670466429256</v>
      </c>
      <c r="T171">
        <f t="shared" ref="T171" si="834">S171/1000</f>
        <v>7.9760670466429255</v>
      </c>
    </row>
    <row r="172" spans="1:20" x14ac:dyDescent="0.25">
      <c r="A172" s="5">
        <v>44421</v>
      </c>
      <c r="B172">
        <v>0.88400000000000001</v>
      </c>
      <c r="C172">
        <v>0.95620000000000005</v>
      </c>
      <c r="D172">
        <v>0.87119999999999997</v>
      </c>
      <c r="E172">
        <v>0.95440000000000003</v>
      </c>
      <c r="F172">
        <v>36995866.270000003</v>
      </c>
      <c r="G172">
        <v>0.95440000000000003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0.95764705882352885</v>
      </c>
      <c r="Q172">
        <f t="shared" ref="Q172" si="836">F172*P172</f>
        <v>35428982.522094101</v>
      </c>
      <c r="R172">
        <f t="shared" ref="R172" si="837">R173+Q172</f>
        <v>816503888.11645925</v>
      </c>
      <c r="S172">
        <f t="shared" ref="S172" si="838">R172/100000</f>
        <v>8165.0388811645926</v>
      </c>
      <c r="T172">
        <f t="shared" ref="T172" si="839">S172/1000</f>
        <v>8.1650388811645929</v>
      </c>
    </row>
    <row r="173" spans="1:20" x14ac:dyDescent="0.25">
      <c r="A173" s="5">
        <v>44420</v>
      </c>
      <c r="B173">
        <v>0.91169999999999995</v>
      </c>
      <c r="C173">
        <v>0.96489999999999998</v>
      </c>
      <c r="D173">
        <v>0.85340000000000005</v>
      </c>
      <c r="E173">
        <v>0.8841</v>
      </c>
      <c r="F173">
        <v>57858791.369999997</v>
      </c>
      <c r="G173">
        <v>0.8841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-0.44932735426009024</v>
      </c>
      <c r="Q173">
        <f t="shared" ref="Q173" si="841">F173*P173</f>
        <v>-25997537.64696864</v>
      </c>
      <c r="R173">
        <f t="shared" ref="R173" si="842">R174+Q173</f>
        <v>781074905.59436512</v>
      </c>
      <c r="S173">
        <f t="shared" ref="S173" si="843">R173/100000</f>
        <v>7810.749055943651</v>
      </c>
      <c r="T173">
        <f t="shared" ref="T173" si="844">S173/1000</f>
        <v>7.810749055943651</v>
      </c>
    </row>
    <row r="174" spans="1:20" x14ac:dyDescent="0.25">
      <c r="A174" s="5">
        <v>44419</v>
      </c>
      <c r="B174">
        <v>0.8831</v>
      </c>
      <c r="C174">
        <v>0.97</v>
      </c>
      <c r="D174">
        <v>0.87780000000000002</v>
      </c>
      <c r="E174">
        <v>0.91159999999999997</v>
      </c>
      <c r="F174">
        <v>59378720.079999998</v>
      </c>
      <c r="G174">
        <v>0.91159999999999997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-0.26681127982646508</v>
      </c>
      <c r="Q174">
        <f t="shared" ref="Q174" si="846">F174*P174</f>
        <v>-15842912.299002221</v>
      </c>
      <c r="R174">
        <f t="shared" ref="R174" si="847">R175+Q174</f>
        <v>807072443.24133372</v>
      </c>
      <c r="S174">
        <f t="shared" ref="S174" si="848">R174/100000</f>
        <v>8070.7244324133371</v>
      </c>
      <c r="T174">
        <f t="shared" ref="T174" si="849">S174/1000</f>
        <v>8.0707244324133374</v>
      </c>
    </row>
    <row r="175" spans="1:20" x14ac:dyDescent="0.25">
      <c r="A175" s="5">
        <v>44418</v>
      </c>
      <c r="B175">
        <v>0.85470000000000002</v>
      </c>
      <c r="C175">
        <v>0.90920000000000001</v>
      </c>
      <c r="D175">
        <v>0.83850000000000002</v>
      </c>
      <c r="E175">
        <v>0.88290000000000002</v>
      </c>
      <c r="F175">
        <v>34467615.490000002</v>
      </c>
      <c r="G175">
        <v>0.88290000000000002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0.25601131541725614</v>
      </c>
      <c r="Q175">
        <f t="shared" ref="Q175" si="851">F175*P175</f>
        <v>8824099.5808910932</v>
      </c>
      <c r="R175">
        <f t="shared" ref="R175" si="852">R176+Q175</f>
        <v>822915355.54033589</v>
      </c>
      <c r="S175">
        <f t="shared" ref="S175" si="853">R175/100000</f>
        <v>8229.153555403358</v>
      </c>
      <c r="T175">
        <f t="shared" ref="T175" si="854">S175/1000</f>
        <v>8.2291535554033572</v>
      </c>
    </row>
    <row r="176" spans="1:20" x14ac:dyDescent="0.25">
      <c r="A176" s="5">
        <v>44417</v>
      </c>
      <c r="B176">
        <v>0.8256</v>
      </c>
      <c r="C176">
        <v>0.87129999999999996</v>
      </c>
      <c r="D176">
        <v>0.8044</v>
      </c>
      <c r="E176">
        <v>0.85499999999999998</v>
      </c>
      <c r="F176">
        <v>24691559.350000001</v>
      </c>
      <c r="G176">
        <v>0.85499999999999998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0.5127055306427506</v>
      </c>
      <c r="Q176">
        <f t="shared" ref="Q176" si="856">F176*P176</f>
        <v>12659499.038938722</v>
      </c>
      <c r="R176">
        <f t="shared" ref="R176" si="857">R177+Q176</f>
        <v>814091255.95944476</v>
      </c>
      <c r="S176">
        <f t="shared" ref="S176" si="858">R176/100000</f>
        <v>8140.9125595944479</v>
      </c>
      <c r="T176">
        <f t="shared" ref="T176" si="859">S176/1000</f>
        <v>8.1409125595944474</v>
      </c>
    </row>
    <row r="177" spans="1:20" x14ac:dyDescent="0.25">
      <c r="A177" s="5">
        <v>44416</v>
      </c>
      <c r="B177">
        <v>0.87549999999999994</v>
      </c>
      <c r="C177">
        <v>0.88590000000000002</v>
      </c>
      <c r="D177">
        <v>0.81669999999999998</v>
      </c>
      <c r="E177">
        <v>0.82530000000000003</v>
      </c>
      <c r="F177">
        <v>27360762.710000001</v>
      </c>
      <c r="G177">
        <v>0.82530000000000003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-0.75144508670520094</v>
      </c>
      <c r="Q177">
        <f t="shared" ref="Q177" si="861">F177*P177</f>
        <v>-20560110.706936378</v>
      </c>
      <c r="R177">
        <f t="shared" ref="R177" si="862">R178+Q177</f>
        <v>801431756.920506</v>
      </c>
      <c r="S177">
        <f t="shared" ref="S177" si="863">R177/100000</f>
        <v>8014.31756920506</v>
      </c>
      <c r="T177">
        <f t="shared" ref="T177" si="864">S177/1000</f>
        <v>8.0143175692050601</v>
      </c>
    </row>
    <row r="178" spans="1:20" x14ac:dyDescent="0.25">
      <c r="A178" s="5">
        <v>44415</v>
      </c>
      <c r="B178">
        <v>0.85540000000000005</v>
      </c>
      <c r="C178">
        <v>0.89610000000000001</v>
      </c>
      <c r="D178">
        <v>0.84360000000000002</v>
      </c>
      <c r="E178">
        <v>0.87549999999999994</v>
      </c>
      <c r="F178">
        <v>37472621.780000001</v>
      </c>
      <c r="G178">
        <v>0.87549999999999994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0.21523809523809273</v>
      </c>
      <c r="Q178">
        <f t="shared" ref="Q178" si="866">F178*P178</f>
        <v>8065535.7355046682</v>
      </c>
      <c r="R178">
        <f t="shared" ref="R178" si="867">R179+Q178</f>
        <v>821991867.62744236</v>
      </c>
      <c r="S178">
        <f t="shared" ref="S178" si="868">R178/100000</f>
        <v>8219.918676274423</v>
      </c>
      <c r="T178">
        <f t="shared" ref="T178" si="869">S178/1000</f>
        <v>8.219918676274423</v>
      </c>
    </row>
    <row r="179" spans="1:20" x14ac:dyDescent="0.25">
      <c r="A179" s="5">
        <v>44414</v>
      </c>
      <c r="B179">
        <v>0.85050000000000003</v>
      </c>
      <c r="C179">
        <v>0.86899999999999999</v>
      </c>
      <c r="D179">
        <v>0.82269999999999999</v>
      </c>
      <c r="E179">
        <v>0.85509999999999997</v>
      </c>
      <c r="F179">
        <v>22009970.010000002</v>
      </c>
      <c r="G179">
        <v>0.85509999999999997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0.3995680345572345</v>
      </c>
      <c r="Q179">
        <f t="shared" ref="Q179" si="871">F179*P179</f>
        <v>8794480.4575593751</v>
      </c>
      <c r="R179">
        <f t="shared" ref="R179" si="872">R180+Q179</f>
        <v>813926331.89193773</v>
      </c>
      <c r="S179">
        <f t="shared" ref="S179" si="873">R179/100000</f>
        <v>8139.2633189193775</v>
      </c>
      <c r="T179">
        <f t="shared" ref="T179" si="874">S179/1000</f>
        <v>8.1392633189193777</v>
      </c>
    </row>
    <row r="180" spans="1:20" x14ac:dyDescent="0.25">
      <c r="A180" s="5">
        <v>44413</v>
      </c>
      <c r="B180">
        <v>0.82779999999999998</v>
      </c>
      <c r="C180">
        <v>0.85929999999999995</v>
      </c>
      <c r="D180">
        <v>0.81</v>
      </c>
      <c r="E180">
        <v>0.85070000000000001</v>
      </c>
      <c r="F180">
        <v>23221831.600000001</v>
      </c>
      <c r="G180">
        <v>0.85070000000000001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0.65111561866125933</v>
      </c>
      <c r="Q180">
        <f t="shared" ref="Q180" si="876">F180*P180</f>
        <v>15120097.248681583</v>
      </c>
      <c r="R180">
        <f t="shared" ref="R180" si="877">R181+Q180</f>
        <v>805131851.43437839</v>
      </c>
      <c r="S180">
        <f t="shared" ref="S180" si="878">R180/100000</f>
        <v>8051.318514343784</v>
      </c>
      <c r="T180">
        <f t="shared" ref="T180" si="879">S180/1000</f>
        <v>8.0513185143437838</v>
      </c>
    </row>
    <row r="181" spans="1:20" x14ac:dyDescent="0.25">
      <c r="A181" s="5">
        <v>44413</v>
      </c>
      <c r="B181">
        <v>0.82779999999999998</v>
      </c>
      <c r="C181">
        <v>0.85929999999999995</v>
      </c>
      <c r="D181">
        <v>0.81</v>
      </c>
      <c r="E181">
        <v>0.85070000000000001</v>
      </c>
      <c r="F181">
        <v>23221831.600000001</v>
      </c>
      <c r="G181">
        <v>0.85070000000000001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0.65111561866125933</v>
      </c>
      <c r="Q181">
        <f t="shared" ref="Q181" si="881">F181*P181</f>
        <v>15120097.248681583</v>
      </c>
      <c r="R181">
        <f t="shared" ref="R181" si="882">R182+Q181</f>
        <v>790011754.18569684</v>
      </c>
      <c r="S181">
        <f t="shared" ref="S181" si="883">R181/100000</f>
        <v>7900.1175418569683</v>
      </c>
      <c r="T181">
        <f t="shared" ref="T181" si="884">S181/1000</f>
        <v>7.900117541856968</v>
      </c>
    </row>
    <row r="182" spans="1:20" x14ac:dyDescent="0.25">
      <c r="A182" s="5">
        <v>44412</v>
      </c>
      <c r="B182">
        <v>0.81869999999999998</v>
      </c>
      <c r="C182">
        <v>0.84119999999999995</v>
      </c>
      <c r="D182">
        <v>0.80200000000000005</v>
      </c>
      <c r="E182">
        <v>0.82820000000000005</v>
      </c>
      <c r="F182">
        <v>16732921.359999999</v>
      </c>
      <c r="G182">
        <v>0.82820000000000005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0.33673469387755445</v>
      </c>
      <c r="Q182">
        <f t="shared" ref="Q182" si="886">F182*P182</f>
        <v>5634555.151836792</v>
      </c>
      <c r="R182">
        <f t="shared" ref="R182" si="887">R183+Q182</f>
        <v>774891656.9370153</v>
      </c>
      <c r="S182">
        <f t="shared" ref="S182" si="888">R182/100000</f>
        <v>7748.9165693701525</v>
      </c>
      <c r="T182">
        <f t="shared" ref="T182" si="889">S182/1000</f>
        <v>7.7489165693701523</v>
      </c>
    </row>
    <row r="183" spans="1:20" x14ac:dyDescent="0.25">
      <c r="A183" s="5">
        <v>44411</v>
      </c>
      <c r="B183">
        <v>0.81620000000000004</v>
      </c>
      <c r="C183">
        <v>0.83730000000000004</v>
      </c>
      <c r="D183">
        <v>0.79</v>
      </c>
      <c r="E183">
        <v>0.81869999999999998</v>
      </c>
      <c r="F183">
        <v>13508877.15</v>
      </c>
      <c r="G183">
        <v>0.81869999999999998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0.21353065539111807</v>
      </c>
      <c r="Q183">
        <f t="shared" ref="Q183" si="891">F183*P183</f>
        <v>2884559.3914375994</v>
      </c>
      <c r="R183">
        <f t="shared" ref="R183" si="892">R184+Q183</f>
        <v>769257101.78517854</v>
      </c>
      <c r="S183">
        <f t="shared" ref="S183" si="893">R183/100000</f>
        <v>7692.5710178517857</v>
      </c>
      <c r="T183">
        <f t="shared" ref="T183" si="894">S183/1000</f>
        <v>7.6925710178517859</v>
      </c>
    </row>
    <row r="184" spans="1:20" x14ac:dyDescent="0.25">
      <c r="A184" s="5">
        <v>44410</v>
      </c>
      <c r="B184">
        <v>0.81169999999999998</v>
      </c>
      <c r="C184">
        <v>0.84</v>
      </c>
      <c r="D184">
        <v>0.80030000000000001</v>
      </c>
      <c r="E184">
        <v>0.81669999999999998</v>
      </c>
      <c r="F184">
        <v>13009547.08</v>
      </c>
      <c r="G184">
        <v>0.81669999999999998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-0.17380352644836333</v>
      </c>
      <c r="Q184">
        <f t="shared" ref="Q184" si="896">F184*P184</f>
        <v>-2261105.1600000081</v>
      </c>
      <c r="R184">
        <f t="shared" ref="R184" si="897">R185+Q184</f>
        <v>766372542.39374089</v>
      </c>
      <c r="S184">
        <f t="shared" ref="S184" si="898">R184/100000</f>
        <v>7663.7254239374088</v>
      </c>
      <c r="T184">
        <f t="shared" ref="T184" si="899">S184/1000</f>
        <v>7.6637254239374091</v>
      </c>
    </row>
    <row r="185" spans="1:20" x14ac:dyDescent="0.25">
      <c r="A185" s="5">
        <v>44409</v>
      </c>
      <c r="B185">
        <v>0.83909999999999996</v>
      </c>
      <c r="C185">
        <v>0.87670000000000003</v>
      </c>
      <c r="D185">
        <v>0.80269999999999997</v>
      </c>
      <c r="E185">
        <v>0.81169999999999998</v>
      </c>
      <c r="F185">
        <v>20942639.609999999</v>
      </c>
      <c r="G185">
        <v>0.81169999999999998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-0.7567567567567568</v>
      </c>
      <c r="Q185">
        <f t="shared" ref="Q185" si="901">F185*P185</f>
        <v>-15848484.02918919</v>
      </c>
      <c r="R185">
        <f t="shared" ref="R185" si="902">R186+Q185</f>
        <v>768633647.55374086</v>
      </c>
      <c r="S185">
        <f t="shared" ref="S185" si="903">R185/100000</f>
        <v>7686.3364755374087</v>
      </c>
      <c r="T185">
        <f t="shared" ref="T185" si="904">S185/1000</f>
        <v>7.6863364755374084</v>
      </c>
    </row>
    <row r="186" spans="1:20" x14ac:dyDescent="0.25">
      <c r="A186" s="5">
        <v>44408</v>
      </c>
      <c r="B186">
        <v>0.85289999999999999</v>
      </c>
      <c r="C186">
        <v>0.85870000000000002</v>
      </c>
      <c r="D186">
        <v>0.82110000000000005</v>
      </c>
      <c r="E186">
        <v>0.83950000000000002</v>
      </c>
      <c r="F186">
        <v>17882669.050000001</v>
      </c>
      <c r="G186">
        <v>0.83950000000000002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-2.1276595744681479E-2</v>
      </c>
      <c r="Q186">
        <f t="shared" ref="Q186" si="906">F186*P186</f>
        <v>-380482.32021277718</v>
      </c>
      <c r="R186">
        <f t="shared" ref="R186" si="907">R187+Q186</f>
        <v>784482131.58293009</v>
      </c>
      <c r="S186">
        <f t="shared" ref="S186" si="908">R186/100000</f>
        <v>7844.8213158293011</v>
      </c>
      <c r="T186">
        <f t="shared" ref="T186" si="909">S186/1000</f>
        <v>7.844821315829301</v>
      </c>
    </row>
    <row r="187" spans="1:20" x14ac:dyDescent="0.25">
      <c r="A187" s="5">
        <v>44407</v>
      </c>
      <c r="B187">
        <v>0.84630000000000005</v>
      </c>
      <c r="C187">
        <v>0.85589999999999999</v>
      </c>
      <c r="D187">
        <v>0.80769999999999997</v>
      </c>
      <c r="E187">
        <v>0.85289999999999999</v>
      </c>
      <c r="F187">
        <v>14784376.82</v>
      </c>
      <c r="G187">
        <v>0.85289999999999999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0.87551867219917012</v>
      </c>
      <c r="Q187">
        <f t="shared" ref="Q187" si="911">F187*P187</f>
        <v>12943997.96273859</v>
      </c>
      <c r="R187">
        <f t="shared" ref="R187" si="912">R188+Q187</f>
        <v>784862613.90314281</v>
      </c>
      <c r="S187">
        <f t="shared" ref="S187" si="913">R187/100000</f>
        <v>7848.6261390314285</v>
      </c>
      <c r="T187">
        <f t="shared" ref="T187" si="914">S187/1000</f>
        <v>7.8486261390314285</v>
      </c>
    </row>
    <row r="188" spans="1:20" x14ac:dyDescent="0.25">
      <c r="A188" s="5">
        <v>44406</v>
      </c>
      <c r="B188">
        <v>0.84809999999999997</v>
      </c>
      <c r="C188">
        <v>0.85660000000000003</v>
      </c>
      <c r="D188">
        <v>0.8246</v>
      </c>
      <c r="E188">
        <v>0.84619999999999995</v>
      </c>
      <c r="F188">
        <v>9705626.3100000005</v>
      </c>
      <c r="G188">
        <v>0.84619999999999995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0.34999999999999581</v>
      </c>
      <c r="Q188">
        <f t="shared" ref="Q188" si="916">F188*P188</f>
        <v>3396969.2084999597</v>
      </c>
      <c r="R188">
        <f t="shared" ref="R188" si="917">R189+Q188</f>
        <v>771918615.94040418</v>
      </c>
      <c r="S188">
        <f t="shared" ref="S188" si="918">R188/100000</f>
        <v>7719.186159404042</v>
      </c>
      <c r="T188">
        <f t="shared" ref="T188" si="919">S188/1000</f>
        <v>7.7191861594040416</v>
      </c>
    </row>
    <row r="189" spans="1:20" x14ac:dyDescent="0.25">
      <c r="A189" s="5">
        <v>44405</v>
      </c>
      <c r="B189">
        <v>0.85709999999999997</v>
      </c>
      <c r="C189">
        <v>0.87160000000000004</v>
      </c>
      <c r="D189">
        <v>0.82750000000000001</v>
      </c>
      <c r="E189">
        <v>0.84809999999999997</v>
      </c>
      <c r="F189">
        <v>14614749.449999999</v>
      </c>
      <c r="G189">
        <v>0.84809999999999997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-6.5759637188211401E-2</v>
      </c>
      <c r="Q189">
        <f t="shared" ref="Q189" si="921">F189*P189</f>
        <v>-961060.62142861204</v>
      </c>
      <c r="R189">
        <f t="shared" ref="R189" si="922">R190+Q189</f>
        <v>768521646.73190427</v>
      </c>
      <c r="S189">
        <f t="shared" ref="S189" si="923">R189/100000</f>
        <v>7685.2164673190427</v>
      </c>
      <c r="T189">
        <f t="shared" ref="T189" si="924">S189/1000</f>
        <v>7.6852164673190426</v>
      </c>
    </row>
    <row r="190" spans="1:20" x14ac:dyDescent="0.25">
      <c r="A190" s="5">
        <v>44404</v>
      </c>
      <c r="B190">
        <v>0.84719999999999995</v>
      </c>
      <c r="C190">
        <v>0.87209999999999999</v>
      </c>
      <c r="D190">
        <v>0.81730000000000003</v>
      </c>
      <c r="E190">
        <v>0.8569</v>
      </c>
      <c r="F190">
        <v>14430348.85</v>
      </c>
      <c r="G190">
        <v>0.8569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0.44525547445255464</v>
      </c>
      <c r="Q190">
        <f t="shared" ref="Q190" si="926">F190*P190</f>
        <v>6425191.8237226261</v>
      </c>
      <c r="R190">
        <f t="shared" ref="R190" si="927">R191+Q190</f>
        <v>769482707.35333288</v>
      </c>
      <c r="S190">
        <f t="shared" ref="S190" si="928">R190/100000</f>
        <v>7694.827073533329</v>
      </c>
      <c r="T190">
        <f t="shared" ref="T190" si="929">S190/1000</f>
        <v>7.6948270735333288</v>
      </c>
    </row>
    <row r="191" spans="1:20" x14ac:dyDescent="0.25">
      <c r="A191" s="5">
        <v>44403</v>
      </c>
      <c r="B191">
        <v>0.8901</v>
      </c>
      <c r="C191">
        <v>0.93389999999999995</v>
      </c>
      <c r="D191">
        <v>0.84</v>
      </c>
      <c r="E191">
        <v>0.84760000000000002</v>
      </c>
      <c r="F191">
        <v>28792705.420000002</v>
      </c>
      <c r="G191">
        <v>0.84760000000000002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-0.83812566560170287</v>
      </c>
      <c r="Q191">
        <f t="shared" ref="Q191" si="931">F191*P191</f>
        <v>-24131905.394611258</v>
      </c>
      <c r="R191">
        <f t="shared" ref="R191" si="932">R192+Q191</f>
        <v>763057515.52961028</v>
      </c>
      <c r="S191">
        <f t="shared" ref="S191" si="933">R191/100000</f>
        <v>7630.5751552961028</v>
      </c>
      <c r="T191">
        <f t="shared" ref="T191" si="934">S191/1000</f>
        <v>7.6305751552961025</v>
      </c>
    </row>
    <row r="192" spans="1:20" x14ac:dyDescent="0.25">
      <c r="A192" s="5">
        <v>44402</v>
      </c>
      <c r="B192">
        <v>0.82620000000000005</v>
      </c>
      <c r="C192">
        <v>0.90739999999999998</v>
      </c>
      <c r="D192">
        <v>0.79579999999999995</v>
      </c>
      <c r="E192">
        <v>0.89049999999999996</v>
      </c>
      <c r="F192">
        <v>19061475.129999999</v>
      </c>
      <c r="G192">
        <v>0.89049999999999996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0.69713261648745484</v>
      </c>
      <c r="Q192">
        <f t="shared" ref="Q192" si="936">F192*P192</f>
        <v>13288376.031487448</v>
      </c>
      <c r="R192">
        <f t="shared" ref="R192" si="937">R193+Q192</f>
        <v>787189420.92422152</v>
      </c>
      <c r="S192">
        <f t="shared" ref="S192" si="938">R192/100000</f>
        <v>7871.8942092422149</v>
      </c>
      <c r="T192">
        <f t="shared" ref="T192:T198" si="939">S192/1000</f>
        <v>7.8718942092422148</v>
      </c>
    </row>
    <row r="193" spans="1:20" x14ac:dyDescent="0.25">
      <c r="A193" s="5">
        <v>44401</v>
      </c>
      <c r="B193">
        <v>0.80820000000000003</v>
      </c>
      <c r="C193">
        <v>0.84599999999999997</v>
      </c>
      <c r="D193">
        <v>0.8034</v>
      </c>
      <c r="E193">
        <v>0.82620000000000005</v>
      </c>
      <c r="F193">
        <v>13230184.51</v>
      </c>
      <c r="G193">
        <v>0.82620000000000005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7.0422535211270315E-2</v>
      </c>
      <c r="Q193">
        <f t="shared" ref="Q193" si="941">F193*P193</f>
        <v>931703.1345070781</v>
      </c>
      <c r="R193">
        <f t="shared" ref="R193" si="942">R194+Q193</f>
        <v>773901044.89273405</v>
      </c>
      <c r="S193">
        <f t="shared" ref="S193" si="943">R193/100000</f>
        <v>7739.0104489273408</v>
      </c>
      <c r="T193">
        <f t="shared" si="939"/>
        <v>7.739010448927341</v>
      </c>
    </row>
    <row r="194" spans="1:20" x14ac:dyDescent="0.25">
      <c r="A194" s="5">
        <v>44400</v>
      </c>
      <c r="B194">
        <v>0.79649999999999999</v>
      </c>
      <c r="C194">
        <v>0.8165</v>
      </c>
      <c r="D194">
        <v>0.77039999999999997</v>
      </c>
      <c r="E194">
        <v>0.80779999999999996</v>
      </c>
      <c r="F194">
        <v>12525368.77</v>
      </c>
      <c r="G194">
        <v>0.80779999999999996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0.62255965292841497</v>
      </c>
      <c r="Q194">
        <f t="shared" ref="Q194" si="945">F194*P194</f>
        <v>7797789.2342516081</v>
      </c>
      <c r="R194">
        <f t="shared" ref="R194" si="946">R195+Q194</f>
        <v>772969341.75822699</v>
      </c>
      <c r="S194">
        <f t="shared" ref="S194" si="947">R194/100000</f>
        <v>7729.6934175822698</v>
      </c>
      <c r="T194">
        <f t="shared" si="939"/>
        <v>7.7296934175822702</v>
      </c>
    </row>
    <row r="195" spans="1:20" x14ac:dyDescent="0.25">
      <c r="A195" s="5">
        <v>44399</v>
      </c>
      <c r="B195">
        <v>0.7702</v>
      </c>
      <c r="C195">
        <v>0.79949999999999999</v>
      </c>
      <c r="D195">
        <v>0.75380000000000003</v>
      </c>
      <c r="E195">
        <v>0.79610000000000003</v>
      </c>
      <c r="F195">
        <v>13625897.640000001</v>
      </c>
      <c r="G195">
        <v>0.79610000000000003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0.8512035010940936</v>
      </c>
      <c r="Q195">
        <f t="shared" ref="Q195" si="949">F195*P195</f>
        <v>11598411.776717748</v>
      </c>
      <c r="R195">
        <f t="shared" ref="R195" si="950">R196+Q195</f>
        <v>765171552.52397537</v>
      </c>
      <c r="S195">
        <f t="shared" ref="S195" si="951">R195/100000</f>
        <v>7651.7155252397533</v>
      </c>
      <c r="T195">
        <f t="shared" si="939"/>
        <v>7.6517155252397533</v>
      </c>
    </row>
    <row r="196" spans="1:20" x14ac:dyDescent="0.25">
      <c r="A196" s="5">
        <v>44398</v>
      </c>
      <c r="B196">
        <v>0.69630000000000003</v>
      </c>
      <c r="C196">
        <v>0.78290000000000004</v>
      </c>
      <c r="D196">
        <v>0.68169999999999997</v>
      </c>
      <c r="E196">
        <v>0.77010000000000001</v>
      </c>
      <c r="F196">
        <v>16155479.42</v>
      </c>
      <c r="G196">
        <v>0.77010000000000001</v>
      </c>
      <c r="L196" t="s">
        <v>8</v>
      </c>
      <c r="M196" t="s">
        <v>7</v>
      </c>
      <c r="N196" t="s">
        <v>7</v>
      </c>
      <c r="P196">
        <f t="shared" ref="P196" si="952">IF(C196=D196,0,((E196-D196)-(C196-E196))/(C196-D196))</f>
        <v>0.74703557312252911</v>
      </c>
      <c r="Q196">
        <f t="shared" ref="Q196" si="953">F196*P196</f>
        <v>12068717.827588923</v>
      </c>
      <c r="R196">
        <f t="shared" ref="R196" si="954">R197+Q196</f>
        <v>753573140.74725759</v>
      </c>
      <c r="S196">
        <f t="shared" ref="S196" si="955">R196/100000</f>
        <v>7535.7314074725755</v>
      </c>
      <c r="T196">
        <f t="shared" si="939"/>
        <v>7.5357314074725759</v>
      </c>
    </row>
    <row r="197" spans="1:20" x14ac:dyDescent="0.25">
      <c r="A197" s="5">
        <v>44397</v>
      </c>
      <c r="B197">
        <v>0.75070000000000003</v>
      </c>
      <c r="C197">
        <v>0.76570000000000005</v>
      </c>
      <c r="D197">
        <v>0.67600000000000005</v>
      </c>
      <c r="E197">
        <v>0.69610000000000005</v>
      </c>
      <c r="F197">
        <v>20985312.949999999</v>
      </c>
      <c r="G197">
        <v>0.69610000000000005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-0.551839464882943</v>
      </c>
      <c r="Q197">
        <f t="shared" ref="Q197" si="957">F197*P197</f>
        <v>-11580523.868729094</v>
      </c>
      <c r="R197">
        <f t="shared" ref="R197" si="958">R198+Q197</f>
        <v>741504422.91966867</v>
      </c>
      <c r="S197">
        <f t="shared" ref="S197" si="959">R197/100000</f>
        <v>7415.0442291966865</v>
      </c>
      <c r="T197">
        <f t="shared" si="939"/>
        <v>7.4150442291966865</v>
      </c>
    </row>
    <row r="198" spans="1:20" x14ac:dyDescent="0.25">
      <c r="A198" s="5">
        <v>44396</v>
      </c>
      <c r="B198">
        <v>0.7984</v>
      </c>
      <c r="C198">
        <v>0.80869999999999997</v>
      </c>
      <c r="D198">
        <v>0.74729999999999996</v>
      </c>
      <c r="E198">
        <v>0.75049999999999994</v>
      </c>
      <c r="F198">
        <v>10143048.26</v>
      </c>
      <c r="G198">
        <v>-6</v>
      </c>
      <c r="L198" t="s">
        <v>7</v>
      </c>
      <c r="M198" t="s">
        <v>7</v>
      </c>
      <c r="N198" t="s">
        <v>8</v>
      </c>
      <c r="P198">
        <f t="shared" ref="P198" si="960">IF(C198=D198,0,((E198-D198)-(C198-E198))/(C198-D198))</f>
        <v>-0.8957654723127042</v>
      </c>
      <c r="Q198">
        <f t="shared" ref="Q198" si="961">F198*P198</f>
        <v>-9085792.4153094515</v>
      </c>
      <c r="R198">
        <f t="shared" ref="R198" si="962">R199+Q198</f>
        <v>753084946.78839779</v>
      </c>
      <c r="S198">
        <f t="shared" ref="S198" si="963">R198/100000</f>
        <v>7530.8494678839779</v>
      </c>
      <c r="T198">
        <f t="shared" si="939"/>
        <v>7.5308494678839777</v>
      </c>
    </row>
    <row r="199" spans="1:20" x14ac:dyDescent="0.25">
      <c r="A199" s="5">
        <v>44395</v>
      </c>
      <c r="B199">
        <v>0.78359999999999996</v>
      </c>
      <c r="C199">
        <v>0.81369999999999998</v>
      </c>
      <c r="D199">
        <v>0.77459999999999996</v>
      </c>
      <c r="E199">
        <v>0.79810000000000003</v>
      </c>
      <c r="F199">
        <v>8872525.4199999999</v>
      </c>
      <c r="G199">
        <v>1.85</v>
      </c>
      <c r="L199" t="s">
        <v>7</v>
      </c>
      <c r="M199" t="s">
        <v>7</v>
      </c>
      <c r="N199" t="s">
        <v>8</v>
      </c>
      <c r="P199">
        <f t="shared" ref="P199:P262" si="964">IF(C199=D199,0,((E199-D199)-(C199-E199))/(C199-D199))</f>
        <v>0.20204603580562977</v>
      </c>
      <c r="Q199">
        <f t="shared" ref="Q199:Q262" si="965">F199*P199</f>
        <v>1792658.5886956803</v>
      </c>
      <c r="R199">
        <f t="shared" ref="R199:R262" si="966">R200+Q199</f>
        <v>762170739.20370722</v>
      </c>
      <c r="S199">
        <f t="shared" ref="S199:S262" si="967">R199/100000</f>
        <v>7621.7073920370722</v>
      </c>
      <c r="T199">
        <f t="shared" ref="T199:T262" si="968">S199/1000</f>
        <v>7.6217073920370719</v>
      </c>
    </row>
    <row r="200" spans="1:20" x14ac:dyDescent="0.25">
      <c r="A200" s="5">
        <v>44394</v>
      </c>
      <c r="B200">
        <v>0.7843</v>
      </c>
      <c r="C200">
        <v>0.80669999999999997</v>
      </c>
      <c r="D200">
        <v>0.77170000000000005</v>
      </c>
      <c r="E200">
        <v>0.7843</v>
      </c>
      <c r="F200">
        <v>10709935.779999999</v>
      </c>
      <c r="G200">
        <v>0</v>
      </c>
      <c r="L200" t="s">
        <v>7</v>
      </c>
      <c r="M200" t="s">
        <v>7</v>
      </c>
      <c r="N200" t="s">
        <v>8</v>
      </c>
      <c r="P200">
        <f t="shared" si="964"/>
        <v>-0.28000000000000153</v>
      </c>
      <c r="Q200">
        <f t="shared" si="965"/>
        <v>-2998782.0184000162</v>
      </c>
      <c r="R200">
        <f t="shared" si="966"/>
        <v>760378080.61501157</v>
      </c>
      <c r="S200">
        <f t="shared" si="967"/>
        <v>7603.7808061501155</v>
      </c>
      <c r="T200">
        <f t="shared" si="968"/>
        <v>7.6037808061501151</v>
      </c>
    </row>
    <row r="201" spans="1:20" x14ac:dyDescent="0.25">
      <c r="A201" s="5">
        <v>44393</v>
      </c>
      <c r="B201">
        <v>0.83479999999999999</v>
      </c>
      <c r="C201">
        <v>0.85129999999999995</v>
      </c>
      <c r="D201">
        <v>0.7732</v>
      </c>
      <c r="E201">
        <v>0.78420000000000001</v>
      </c>
      <c r="F201">
        <v>15193894.310000001</v>
      </c>
      <c r="G201">
        <v>-6.06</v>
      </c>
      <c r="L201" t="s">
        <v>7</v>
      </c>
      <c r="M201" t="s">
        <v>7</v>
      </c>
      <c r="N201" t="s">
        <v>8</v>
      </c>
      <c r="P201">
        <f t="shared" si="964"/>
        <v>-0.71830985915492918</v>
      </c>
      <c r="Q201">
        <f t="shared" si="965"/>
        <v>-10913924.08183098</v>
      </c>
      <c r="R201">
        <f t="shared" si="966"/>
        <v>763376862.63341165</v>
      </c>
      <c r="S201">
        <f t="shared" si="967"/>
        <v>7633.7686263341166</v>
      </c>
      <c r="T201">
        <f t="shared" si="968"/>
        <v>7.6337686263341169</v>
      </c>
    </row>
    <row r="202" spans="1:20" x14ac:dyDescent="0.25">
      <c r="A202" s="5">
        <v>44392</v>
      </c>
      <c r="B202">
        <v>0.85850000000000004</v>
      </c>
      <c r="C202">
        <v>0.87919999999999998</v>
      </c>
      <c r="D202">
        <v>0.82</v>
      </c>
      <c r="E202">
        <v>0.8347</v>
      </c>
      <c r="F202">
        <v>9883519.8599999994</v>
      </c>
      <c r="G202">
        <v>-2.77</v>
      </c>
      <c r="L202" t="s">
        <v>7</v>
      </c>
      <c r="M202" t="s">
        <v>8</v>
      </c>
      <c r="N202" t="s">
        <v>8</v>
      </c>
      <c r="P202">
        <f t="shared" si="964"/>
        <v>-0.50337837837837707</v>
      </c>
      <c r="Q202">
        <f t="shared" si="965"/>
        <v>-4975150.1997972839</v>
      </c>
      <c r="R202">
        <f t="shared" si="966"/>
        <v>774290786.71524262</v>
      </c>
      <c r="S202">
        <f t="shared" si="967"/>
        <v>7742.9078671524267</v>
      </c>
      <c r="T202">
        <f t="shared" si="968"/>
        <v>7.742907867152427</v>
      </c>
    </row>
    <row r="203" spans="1:20" x14ac:dyDescent="0.25">
      <c r="A203" s="5">
        <v>44391</v>
      </c>
      <c r="B203">
        <v>0.87480000000000002</v>
      </c>
      <c r="C203">
        <v>0.88100000000000001</v>
      </c>
      <c r="D203">
        <v>0.82179999999999997</v>
      </c>
      <c r="E203">
        <v>0.85870000000000002</v>
      </c>
      <c r="F203">
        <v>11958303.4</v>
      </c>
      <c r="G203">
        <v>-1.84</v>
      </c>
      <c r="L203" t="s">
        <v>7</v>
      </c>
      <c r="M203" t="s">
        <v>8</v>
      </c>
      <c r="N203" t="s">
        <v>8</v>
      </c>
      <c r="P203">
        <f t="shared" si="964"/>
        <v>0.24662162162162246</v>
      </c>
      <c r="Q203">
        <f t="shared" si="965"/>
        <v>2949176.1763513614</v>
      </c>
      <c r="R203">
        <f t="shared" si="966"/>
        <v>779265936.9150399</v>
      </c>
      <c r="S203">
        <f t="shared" si="967"/>
        <v>7792.6593691503986</v>
      </c>
      <c r="T203">
        <f t="shared" si="968"/>
        <v>7.7926593691503987</v>
      </c>
    </row>
    <row r="204" spans="1:20" x14ac:dyDescent="0.25">
      <c r="A204" s="5">
        <v>44390</v>
      </c>
      <c r="B204">
        <v>0.86719999999999997</v>
      </c>
      <c r="C204">
        <v>0.89729999999999999</v>
      </c>
      <c r="D204">
        <v>0.84870000000000001</v>
      </c>
      <c r="E204">
        <v>0.87529999999999997</v>
      </c>
      <c r="F204">
        <v>9496720.4199999999</v>
      </c>
      <c r="G204">
        <v>0.93</v>
      </c>
      <c r="L204" t="s">
        <v>7</v>
      </c>
      <c r="M204" t="s">
        <v>8</v>
      </c>
      <c r="N204" t="s">
        <v>8</v>
      </c>
      <c r="P204">
        <f t="shared" si="964"/>
        <v>9.4650205761315637E-2</v>
      </c>
      <c r="Q204">
        <f t="shared" si="965"/>
        <v>898866.54181068786</v>
      </c>
      <c r="R204">
        <f t="shared" si="966"/>
        <v>776316760.73868859</v>
      </c>
      <c r="S204">
        <f t="shared" si="967"/>
        <v>7763.1676073868857</v>
      </c>
      <c r="T204">
        <f t="shared" si="968"/>
        <v>7.7631676073868858</v>
      </c>
    </row>
    <row r="205" spans="1:20" x14ac:dyDescent="0.25">
      <c r="A205" s="5">
        <v>44389</v>
      </c>
      <c r="B205">
        <v>0.89529999999999998</v>
      </c>
      <c r="C205">
        <v>0.90439999999999998</v>
      </c>
      <c r="D205">
        <v>0.85040000000000004</v>
      </c>
      <c r="E205">
        <v>0.86750000000000005</v>
      </c>
      <c r="F205">
        <v>8082545.1799999997</v>
      </c>
      <c r="G205">
        <v>-3.11</v>
      </c>
      <c r="L205" t="s">
        <v>7</v>
      </c>
      <c r="M205" t="s">
        <v>8</v>
      </c>
      <c r="N205" t="s">
        <v>8</v>
      </c>
      <c r="P205">
        <f t="shared" si="964"/>
        <v>-0.36666666666666575</v>
      </c>
      <c r="Q205">
        <f t="shared" si="965"/>
        <v>-2963599.8993333257</v>
      </c>
      <c r="R205">
        <f t="shared" si="966"/>
        <v>775417894.19687796</v>
      </c>
      <c r="S205">
        <f t="shared" si="967"/>
        <v>7754.1789419687793</v>
      </c>
      <c r="T205">
        <f t="shared" si="968"/>
        <v>7.754178941968779</v>
      </c>
    </row>
    <row r="206" spans="1:20" x14ac:dyDescent="0.25">
      <c r="A206" s="5">
        <v>44388</v>
      </c>
      <c r="B206">
        <v>0.89219999999999999</v>
      </c>
      <c r="C206">
        <v>0.91849999999999998</v>
      </c>
      <c r="D206">
        <v>0.88480000000000003</v>
      </c>
      <c r="E206">
        <v>0.8952</v>
      </c>
      <c r="F206">
        <v>7161488.4100000001</v>
      </c>
      <c r="G206">
        <v>0.34</v>
      </c>
      <c r="L206" t="s">
        <v>8</v>
      </c>
      <c r="M206" t="s">
        <v>8</v>
      </c>
      <c r="N206" t="s">
        <v>8</v>
      </c>
      <c r="P206">
        <f t="shared" si="964"/>
        <v>-0.38278931750741962</v>
      </c>
      <c r="Q206">
        <f t="shared" si="965"/>
        <v>-2741341.2608011956</v>
      </c>
      <c r="R206">
        <f t="shared" si="966"/>
        <v>778381494.09621131</v>
      </c>
      <c r="S206">
        <f t="shared" si="967"/>
        <v>7783.8149409621128</v>
      </c>
      <c r="T206">
        <f t="shared" si="968"/>
        <v>7.7838149409621131</v>
      </c>
    </row>
    <row r="207" spans="1:20" x14ac:dyDescent="0.25">
      <c r="A207" s="5">
        <v>44387</v>
      </c>
      <c r="B207">
        <v>0.90590000000000004</v>
      </c>
      <c r="C207">
        <v>0.92249999999999999</v>
      </c>
      <c r="D207">
        <v>0.86619999999999997</v>
      </c>
      <c r="E207">
        <v>0.89180000000000004</v>
      </c>
      <c r="F207">
        <v>9079190.9600000009</v>
      </c>
      <c r="G207">
        <v>-1.56</v>
      </c>
      <c r="L207" t="s">
        <v>8</v>
      </c>
      <c r="M207" t="s">
        <v>8</v>
      </c>
      <c r="N207" t="s">
        <v>8</v>
      </c>
      <c r="P207">
        <f t="shared" si="964"/>
        <v>-9.0586145648310495E-2</v>
      </c>
      <c r="Q207">
        <f t="shared" si="965"/>
        <v>-822448.91467138403</v>
      </c>
      <c r="R207">
        <f t="shared" si="966"/>
        <v>781122835.35701251</v>
      </c>
      <c r="S207">
        <f t="shared" si="967"/>
        <v>7811.2283535701254</v>
      </c>
      <c r="T207">
        <f t="shared" si="968"/>
        <v>7.811228353570125</v>
      </c>
    </row>
    <row r="208" spans="1:20" x14ac:dyDescent="0.25">
      <c r="A208" s="5">
        <v>44386</v>
      </c>
      <c r="B208">
        <v>0.86760000000000004</v>
      </c>
      <c r="C208">
        <v>0.93359999999999999</v>
      </c>
      <c r="D208">
        <v>0.82879999999999998</v>
      </c>
      <c r="E208">
        <v>0.90580000000000005</v>
      </c>
      <c r="F208">
        <v>19120633.52</v>
      </c>
      <c r="G208">
        <v>4.4000000000000004</v>
      </c>
      <c r="L208" t="s">
        <v>7</v>
      </c>
      <c r="M208" t="s">
        <v>8</v>
      </c>
      <c r="N208" t="s">
        <v>8</v>
      </c>
      <c r="P208">
        <f t="shared" si="964"/>
        <v>0.46946564885496306</v>
      </c>
      <c r="Q208">
        <f t="shared" si="965"/>
        <v>8976480.6219847556</v>
      </c>
      <c r="R208">
        <f t="shared" si="966"/>
        <v>781945284.27168393</v>
      </c>
      <c r="S208">
        <f t="shared" si="967"/>
        <v>7819.4528427168389</v>
      </c>
      <c r="T208">
        <f t="shared" si="968"/>
        <v>7.8194528427168386</v>
      </c>
    </row>
    <row r="209" spans="1:20" x14ac:dyDescent="0.25">
      <c r="A209" s="5">
        <v>44385</v>
      </c>
      <c r="B209">
        <v>0.90600000000000003</v>
      </c>
      <c r="C209">
        <v>0.90759999999999996</v>
      </c>
      <c r="D209">
        <v>0.84740000000000004</v>
      </c>
      <c r="E209">
        <v>0.86829999999999996</v>
      </c>
      <c r="F209">
        <v>13542386.800000001</v>
      </c>
      <c r="G209">
        <v>-4.16</v>
      </c>
      <c r="L209" t="s">
        <v>7</v>
      </c>
      <c r="M209" t="s">
        <v>8</v>
      </c>
      <c r="N209" t="s">
        <v>8</v>
      </c>
      <c r="P209">
        <f t="shared" si="964"/>
        <v>-0.30564784053156324</v>
      </c>
      <c r="Q209">
        <f t="shared" si="965"/>
        <v>-4139201.2810631474</v>
      </c>
      <c r="R209">
        <f t="shared" si="966"/>
        <v>772968803.64969921</v>
      </c>
      <c r="S209">
        <f t="shared" si="967"/>
        <v>7729.688036496992</v>
      </c>
      <c r="T209">
        <f t="shared" si="968"/>
        <v>7.7296880364969924</v>
      </c>
    </row>
    <row r="210" spans="1:20" x14ac:dyDescent="0.25">
      <c r="A210" s="5">
        <v>44384</v>
      </c>
      <c r="B210">
        <v>0.91290000000000004</v>
      </c>
      <c r="C210">
        <v>0.94079999999999997</v>
      </c>
      <c r="D210">
        <v>0.90149999999999997</v>
      </c>
      <c r="E210">
        <v>0.90620000000000001</v>
      </c>
      <c r="F210">
        <v>12482528.75</v>
      </c>
      <c r="G210">
        <v>-0.73</v>
      </c>
      <c r="L210" t="s">
        <v>8</v>
      </c>
      <c r="M210" t="s">
        <v>8</v>
      </c>
      <c r="N210" t="s">
        <v>8</v>
      </c>
      <c r="P210">
        <f t="shared" si="964"/>
        <v>-0.76081424936386577</v>
      </c>
      <c r="Q210">
        <f t="shared" si="965"/>
        <v>-9496885.7410941236</v>
      </c>
      <c r="R210">
        <f t="shared" si="966"/>
        <v>777108004.93076241</v>
      </c>
      <c r="S210">
        <f t="shared" si="967"/>
        <v>7771.080049307624</v>
      </c>
      <c r="T210">
        <f t="shared" si="968"/>
        <v>7.7710800493076242</v>
      </c>
    </row>
    <row r="211" spans="1:20" x14ac:dyDescent="0.25">
      <c r="A211" s="5">
        <v>44383</v>
      </c>
      <c r="B211">
        <v>0.87309999999999999</v>
      </c>
      <c r="C211">
        <v>0.93359999999999999</v>
      </c>
      <c r="D211">
        <v>0.87150000000000005</v>
      </c>
      <c r="E211">
        <v>0.91320000000000001</v>
      </c>
      <c r="F211">
        <v>15437352.09</v>
      </c>
      <c r="G211">
        <v>4.59</v>
      </c>
      <c r="L211" t="s">
        <v>8</v>
      </c>
      <c r="M211" t="s">
        <v>8</v>
      </c>
      <c r="N211" t="s">
        <v>8</v>
      </c>
      <c r="P211">
        <f t="shared" si="964"/>
        <v>0.34299516908212574</v>
      </c>
      <c r="Q211">
        <f t="shared" si="965"/>
        <v>5294937.1902898569</v>
      </c>
      <c r="R211">
        <f t="shared" si="966"/>
        <v>786604890.67185652</v>
      </c>
      <c r="S211">
        <f t="shared" si="967"/>
        <v>7866.0489067185654</v>
      </c>
      <c r="T211">
        <f t="shared" si="968"/>
        <v>7.8660489067185653</v>
      </c>
    </row>
    <row r="212" spans="1:20" x14ac:dyDescent="0.25">
      <c r="A212" s="5">
        <v>44382</v>
      </c>
      <c r="B212">
        <v>0.87929999999999997</v>
      </c>
      <c r="C212">
        <v>0.8921</v>
      </c>
      <c r="D212">
        <v>0.83860000000000001</v>
      </c>
      <c r="E212">
        <v>0.87280000000000002</v>
      </c>
      <c r="F212">
        <v>10676768.51</v>
      </c>
      <c r="G212">
        <v>-0.74</v>
      </c>
      <c r="L212" t="s">
        <v>7</v>
      </c>
      <c r="M212" t="s">
        <v>8</v>
      </c>
      <c r="N212" t="s">
        <v>8</v>
      </c>
      <c r="P212">
        <f t="shared" si="964"/>
        <v>0.27850467289719677</v>
      </c>
      <c r="Q212">
        <f t="shared" si="965"/>
        <v>2973529.9214766407</v>
      </c>
      <c r="R212">
        <f t="shared" si="966"/>
        <v>781309953.48156667</v>
      </c>
      <c r="S212">
        <f t="shared" si="967"/>
        <v>7813.0995348156666</v>
      </c>
      <c r="T212">
        <f t="shared" si="968"/>
        <v>7.8130995348156667</v>
      </c>
    </row>
    <row r="213" spans="1:20" x14ac:dyDescent="0.25">
      <c r="A213" s="5">
        <v>44381</v>
      </c>
      <c r="B213">
        <v>0.87609999999999999</v>
      </c>
      <c r="C213">
        <v>0.91420000000000001</v>
      </c>
      <c r="D213">
        <v>0.85619999999999996</v>
      </c>
      <c r="E213">
        <v>0.88</v>
      </c>
      <c r="F213">
        <v>7600902.3600000003</v>
      </c>
      <c r="G213">
        <v>0.45</v>
      </c>
      <c r="L213" t="s">
        <v>8</v>
      </c>
      <c r="M213" t="s">
        <v>8</v>
      </c>
      <c r="N213" t="s">
        <v>8</v>
      </c>
      <c r="P213">
        <f t="shared" si="964"/>
        <v>-0.17931034482758546</v>
      </c>
      <c r="Q213">
        <f t="shared" si="965"/>
        <v>-1362920.4231724082</v>
      </c>
      <c r="R213">
        <f t="shared" si="966"/>
        <v>778336423.56009007</v>
      </c>
      <c r="S213">
        <f t="shared" si="967"/>
        <v>7783.3642356009004</v>
      </c>
      <c r="T213">
        <f t="shared" si="968"/>
        <v>7.7833642356009003</v>
      </c>
    </row>
    <row r="214" spans="1:20" x14ac:dyDescent="0.25">
      <c r="A214" s="5">
        <v>44380</v>
      </c>
      <c r="B214">
        <v>0.84570000000000001</v>
      </c>
      <c r="C214">
        <v>0.88500000000000001</v>
      </c>
      <c r="D214">
        <v>0.8337</v>
      </c>
      <c r="E214">
        <v>0.87639999999999996</v>
      </c>
      <c r="F214">
        <v>7593790.3899999997</v>
      </c>
      <c r="G214">
        <v>3.63</v>
      </c>
      <c r="L214" t="s">
        <v>8</v>
      </c>
      <c r="M214" t="s">
        <v>8</v>
      </c>
      <c r="N214" t="s">
        <v>8</v>
      </c>
      <c r="P214">
        <f t="shared" si="964"/>
        <v>0.66471734892787326</v>
      </c>
      <c r="Q214">
        <f t="shared" si="965"/>
        <v>5047724.2163547603</v>
      </c>
      <c r="R214">
        <f t="shared" si="966"/>
        <v>779699343.98326242</v>
      </c>
      <c r="S214">
        <f t="shared" si="967"/>
        <v>7796.9934398326241</v>
      </c>
      <c r="T214">
        <f t="shared" si="968"/>
        <v>7.7969934398326242</v>
      </c>
    </row>
    <row r="215" spans="1:20" x14ac:dyDescent="0.25">
      <c r="A215" s="5">
        <v>44379</v>
      </c>
      <c r="B215">
        <v>0.83299999999999996</v>
      </c>
      <c r="C215">
        <v>0.84589999999999999</v>
      </c>
      <c r="D215">
        <v>0.79890000000000005</v>
      </c>
      <c r="E215">
        <v>0.84560000000000002</v>
      </c>
      <c r="F215">
        <v>9905766.2100000009</v>
      </c>
      <c r="G215">
        <v>1.51</v>
      </c>
      <c r="L215" t="s">
        <v>7</v>
      </c>
      <c r="M215" t="s">
        <v>8</v>
      </c>
      <c r="N215" t="s">
        <v>8</v>
      </c>
      <c r="P215">
        <f t="shared" si="964"/>
        <v>0.98723404255319291</v>
      </c>
      <c r="Q215">
        <f t="shared" si="965"/>
        <v>9779309.6200851221</v>
      </c>
      <c r="R215">
        <f t="shared" si="966"/>
        <v>774651619.76690769</v>
      </c>
      <c r="S215">
        <f t="shared" si="967"/>
        <v>7746.516197669077</v>
      </c>
      <c r="T215">
        <f t="shared" si="968"/>
        <v>7.7465161976690773</v>
      </c>
    </row>
    <row r="216" spans="1:20" x14ac:dyDescent="0.25">
      <c r="A216" s="5">
        <v>44378</v>
      </c>
      <c r="B216">
        <v>0.88360000000000005</v>
      </c>
      <c r="C216">
        <v>0.88390000000000002</v>
      </c>
      <c r="D216">
        <v>0.81040000000000001</v>
      </c>
      <c r="E216">
        <v>0.83399999999999996</v>
      </c>
      <c r="F216">
        <v>14216317.300000001</v>
      </c>
      <c r="G216">
        <v>-5.61</v>
      </c>
      <c r="L216" t="s">
        <v>7</v>
      </c>
      <c r="M216" t="s">
        <v>8</v>
      </c>
      <c r="N216" t="s">
        <v>8</v>
      </c>
      <c r="P216">
        <f t="shared" si="964"/>
        <v>-0.35782312925170201</v>
      </c>
      <c r="Q216">
        <f t="shared" si="965"/>
        <v>-5086927.1427211072</v>
      </c>
      <c r="R216">
        <f t="shared" si="966"/>
        <v>764872310.14682257</v>
      </c>
      <c r="S216">
        <f t="shared" si="967"/>
        <v>7648.7231014682257</v>
      </c>
      <c r="T216">
        <f t="shared" si="968"/>
        <v>7.6487231014682253</v>
      </c>
    </row>
    <row r="217" spans="1:20" x14ac:dyDescent="0.25">
      <c r="A217" s="5">
        <v>44377</v>
      </c>
      <c r="B217">
        <v>0.88829999999999998</v>
      </c>
      <c r="C217">
        <v>0.91239999999999999</v>
      </c>
      <c r="D217">
        <v>0.83299999999999996</v>
      </c>
      <c r="E217">
        <v>0.88329999999999997</v>
      </c>
      <c r="F217">
        <v>15547037.92</v>
      </c>
      <c r="G217">
        <v>-0.56000000000000005</v>
      </c>
      <c r="L217" t="s">
        <v>7</v>
      </c>
      <c r="M217" t="s">
        <v>8</v>
      </c>
      <c r="N217" t="s">
        <v>8</v>
      </c>
      <c r="P217">
        <f t="shared" si="964"/>
        <v>0.26700251889168752</v>
      </c>
      <c r="Q217">
        <f t="shared" si="965"/>
        <v>4151098.2859445824</v>
      </c>
      <c r="R217">
        <f t="shared" si="966"/>
        <v>769959237.28954363</v>
      </c>
      <c r="S217">
        <f t="shared" si="967"/>
        <v>7699.5923728954367</v>
      </c>
      <c r="T217">
        <f t="shared" si="968"/>
        <v>7.6995923728954363</v>
      </c>
    </row>
    <row r="218" spans="1:20" x14ac:dyDescent="0.25">
      <c r="A218" s="5">
        <v>44376</v>
      </c>
      <c r="B218">
        <v>0.84250000000000003</v>
      </c>
      <c r="C218">
        <v>0.92410000000000003</v>
      </c>
      <c r="D218">
        <v>0.83899999999999997</v>
      </c>
      <c r="E218">
        <v>0.88890000000000002</v>
      </c>
      <c r="F218">
        <v>18054385.859999999</v>
      </c>
      <c r="G218">
        <v>5.51</v>
      </c>
      <c r="L218" t="s">
        <v>8</v>
      </c>
      <c r="M218" t="s">
        <v>8</v>
      </c>
      <c r="N218" t="s">
        <v>8</v>
      </c>
      <c r="P218">
        <f t="shared" si="964"/>
        <v>0.1727379553466514</v>
      </c>
      <c r="Q218">
        <f t="shared" si="965"/>
        <v>3118677.6984958942</v>
      </c>
      <c r="R218">
        <f t="shared" si="966"/>
        <v>765808139.00359905</v>
      </c>
      <c r="S218">
        <f t="shared" si="967"/>
        <v>7658.0813900359908</v>
      </c>
      <c r="T218">
        <f t="shared" si="968"/>
        <v>7.6580813900359912</v>
      </c>
    </row>
    <row r="219" spans="1:20" x14ac:dyDescent="0.25">
      <c r="A219" s="5">
        <v>44375</v>
      </c>
      <c r="B219">
        <v>0.83599999999999997</v>
      </c>
      <c r="C219">
        <v>0.86460000000000004</v>
      </c>
      <c r="D219">
        <v>0.82179999999999997</v>
      </c>
      <c r="E219">
        <v>0.84260000000000002</v>
      </c>
      <c r="F219">
        <v>16809517.34</v>
      </c>
      <c r="G219">
        <v>0.79</v>
      </c>
      <c r="L219" t="s">
        <v>8</v>
      </c>
      <c r="M219" t="s">
        <v>8</v>
      </c>
      <c r="N219" t="s">
        <v>7</v>
      </c>
      <c r="P219">
        <f t="shared" si="964"/>
        <v>-2.8037383177569559E-2</v>
      </c>
      <c r="Q219">
        <f t="shared" si="965"/>
        <v>-471294.8786915798</v>
      </c>
      <c r="R219">
        <f t="shared" si="966"/>
        <v>762689461.30510318</v>
      </c>
      <c r="S219">
        <f t="shared" si="967"/>
        <v>7626.8946130510321</v>
      </c>
      <c r="T219">
        <f t="shared" si="968"/>
        <v>7.6268946130510322</v>
      </c>
    </row>
    <row r="220" spans="1:20" x14ac:dyDescent="0.25">
      <c r="A220" s="5">
        <v>44374</v>
      </c>
      <c r="B220">
        <v>0.80889999999999995</v>
      </c>
      <c r="C220">
        <v>0.84899999999999998</v>
      </c>
      <c r="D220">
        <v>0.77100000000000002</v>
      </c>
      <c r="E220">
        <v>0.83579999999999999</v>
      </c>
      <c r="F220">
        <v>17215147.440000001</v>
      </c>
      <c r="G220">
        <v>3.33</v>
      </c>
      <c r="L220" t="s">
        <v>8</v>
      </c>
      <c r="M220" t="s">
        <v>8</v>
      </c>
      <c r="N220" t="s">
        <v>7</v>
      </c>
      <c r="P220">
        <f t="shared" si="964"/>
        <v>0.66153846153846163</v>
      </c>
      <c r="Q220">
        <f t="shared" si="965"/>
        <v>11388482.152615387</v>
      </c>
      <c r="R220">
        <f t="shared" si="966"/>
        <v>763160756.18379474</v>
      </c>
      <c r="S220">
        <f t="shared" si="967"/>
        <v>7631.6075618379473</v>
      </c>
      <c r="T220">
        <f t="shared" si="968"/>
        <v>7.6316075618379475</v>
      </c>
    </row>
    <row r="221" spans="1:20" x14ac:dyDescent="0.25">
      <c r="A221" s="5">
        <v>44373</v>
      </c>
      <c r="B221">
        <v>0.79079999999999995</v>
      </c>
      <c r="C221">
        <v>0.82589999999999997</v>
      </c>
      <c r="D221">
        <v>0.76029999999999998</v>
      </c>
      <c r="E221">
        <v>0.80940000000000001</v>
      </c>
      <c r="F221">
        <v>20398020.300000001</v>
      </c>
      <c r="G221">
        <v>2.35</v>
      </c>
      <c r="L221" t="s">
        <v>7</v>
      </c>
      <c r="M221" t="s">
        <v>8</v>
      </c>
      <c r="N221" t="s">
        <v>7</v>
      </c>
      <c r="P221">
        <f t="shared" si="964"/>
        <v>0.49695121951219628</v>
      </c>
      <c r="Q221">
        <f t="shared" si="965"/>
        <v>10136821.063719537</v>
      </c>
      <c r="R221">
        <f t="shared" si="966"/>
        <v>751772274.03117931</v>
      </c>
      <c r="S221">
        <f t="shared" si="967"/>
        <v>7517.7227403117931</v>
      </c>
      <c r="T221">
        <f t="shared" si="968"/>
        <v>7.5177227403117932</v>
      </c>
    </row>
    <row r="222" spans="1:20" x14ac:dyDescent="0.25">
      <c r="A222" s="5">
        <v>44372</v>
      </c>
      <c r="B222">
        <v>0.87460000000000004</v>
      </c>
      <c r="C222">
        <v>0.89880000000000004</v>
      </c>
      <c r="D222">
        <v>0.77810000000000001</v>
      </c>
      <c r="E222">
        <v>0.79039999999999999</v>
      </c>
      <c r="F222">
        <v>23275845.25</v>
      </c>
      <c r="G222">
        <v>-9.6300000000000008</v>
      </c>
      <c r="L222" t="s">
        <v>7</v>
      </c>
      <c r="M222" t="s">
        <v>8</v>
      </c>
      <c r="N222" t="s">
        <v>7</v>
      </c>
      <c r="P222">
        <f t="shared" si="964"/>
        <v>-0.79618889809444948</v>
      </c>
      <c r="Q222">
        <f t="shared" si="965"/>
        <v>-18531969.581814427</v>
      </c>
      <c r="R222">
        <f t="shared" si="966"/>
        <v>741635452.9674598</v>
      </c>
      <c r="S222">
        <f t="shared" si="967"/>
        <v>7416.3545296745979</v>
      </c>
      <c r="T222">
        <f t="shared" si="968"/>
        <v>7.4163545296745976</v>
      </c>
    </row>
    <row r="223" spans="1:20" x14ac:dyDescent="0.25">
      <c r="A223" s="5">
        <v>44371</v>
      </c>
      <c r="B223">
        <v>0.8327</v>
      </c>
      <c r="C223">
        <v>0.89470000000000005</v>
      </c>
      <c r="D223">
        <v>0.79600000000000004</v>
      </c>
      <c r="E223">
        <v>0.87429999999999997</v>
      </c>
      <c r="F223">
        <v>16670371.310000001</v>
      </c>
      <c r="G223">
        <v>5</v>
      </c>
      <c r="L223" t="s">
        <v>8</v>
      </c>
      <c r="M223" t="s">
        <v>8</v>
      </c>
      <c r="N223" t="s">
        <v>7</v>
      </c>
      <c r="P223">
        <f t="shared" si="964"/>
        <v>0.58662613981762746</v>
      </c>
      <c r="Q223">
        <f t="shared" si="965"/>
        <v>9779275.5709118266</v>
      </c>
      <c r="R223">
        <f t="shared" si="966"/>
        <v>760167422.54927421</v>
      </c>
      <c r="S223">
        <f t="shared" si="967"/>
        <v>7601.6742254927422</v>
      </c>
      <c r="T223">
        <f t="shared" si="968"/>
        <v>7.6016742254927419</v>
      </c>
    </row>
    <row r="224" spans="1:20" x14ac:dyDescent="0.25">
      <c r="A224" s="5">
        <v>44370</v>
      </c>
      <c r="B224">
        <v>0.74339999999999995</v>
      </c>
      <c r="C224">
        <v>0.87080000000000002</v>
      </c>
      <c r="D224">
        <v>0.71299999999999997</v>
      </c>
      <c r="E224">
        <v>0.83230000000000004</v>
      </c>
      <c r="F224">
        <v>35395187.770000003</v>
      </c>
      <c r="G224">
        <v>11.96</v>
      </c>
      <c r="L224" t="s">
        <v>8</v>
      </c>
      <c r="M224" t="s">
        <v>8</v>
      </c>
      <c r="N224" t="s">
        <v>7</v>
      </c>
      <c r="P224">
        <f t="shared" si="964"/>
        <v>0.51204055766793455</v>
      </c>
      <c r="Q224">
        <f t="shared" si="965"/>
        <v>18123771.68451206</v>
      </c>
      <c r="R224">
        <f t="shared" si="966"/>
        <v>750388146.97836232</v>
      </c>
      <c r="S224">
        <f t="shared" si="967"/>
        <v>7503.8814697836233</v>
      </c>
      <c r="T224">
        <f t="shared" si="968"/>
        <v>7.5038814697836234</v>
      </c>
    </row>
    <row r="225" spans="1:20" x14ac:dyDescent="0.25">
      <c r="A225" s="5">
        <v>44369</v>
      </c>
      <c r="B225">
        <v>0.75360000000000005</v>
      </c>
      <c r="C225">
        <v>0.85529999999999995</v>
      </c>
      <c r="D225">
        <v>0.67120000000000002</v>
      </c>
      <c r="E225">
        <v>0.74360000000000004</v>
      </c>
      <c r="F225">
        <v>58396503.619999997</v>
      </c>
      <c r="G225">
        <v>-1.33</v>
      </c>
      <c r="L225" t="s">
        <v>7</v>
      </c>
      <c r="M225" t="s">
        <v>7</v>
      </c>
      <c r="N225" t="s">
        <v>7</v>
      </c>
      <c r="P225">
        <f t="shared" si="964"/>
        <v>-0.21347093970668063</v>
      </c>
      <c r="Q225">
        <f t="shared" si="965"/>
        <v>-12465956.503345976</v>
      </c>
      <c r="R225">
        <f t="shared" si="966"/>
        <v>732264375.2938503</v>
      </c>
      <c r="S225">
        <f t="shared" si="967"/>
        <v>7322.643752938503</v>
      </c>
      <c r="T225">
        <f t="shared" si="968"/>
        <v>7.3226437529385029</v>
      </c>
    </row>
    <row r="226" spans="1:20" x14ac:dyDescent="0.25">
      <c r="A226" s="5">
        <v>44368</v>
      </c>
      <c r="B226">
        <v>0.93420000000000003</v>
      </c>
      <c r="C226">
        <v>0.94159999999999999</v>
      </c>
      <c r="D226">
        <v>0.75049999999999994</v>
      </c>
      <c r="E226">
        <v>0.75390000000000001</v>
      </c>
      <c r="F226">
        <v>38568300.57</v>
      </c>
      <c r="G226">
        <v>-19.3</v>
      </c>
      <c r="L226" t="s">
        <v>7</v>
      </c>
      <c r="M226" t="s">
        <v>7</v>
      </c>
      <c r="N226" t="s">
        <v>7</v>
      </c>
      <c r="P226">
        <f t="shared" si="964"/>
        <v>-0.96441653584510656</v>
      </c>
      <c r="Q226">
        <f t="shared" si="965"/>
        <v>-37195906.829152249</v>
      </c>
      <c r="R226">
        <f t="shared" si="966"/>
        <v>744730331.79719627</v>
      </c>
      <c r="S226">
        <f t="shared" si="967"/>
        <v>7447.3033179719623</v>
      </c>
      <c r="T226">
        <f t="shared" si="968"/>
        <v>7.4473033179719623</v>
      </c>
    </row>
    <row r="227" spans="1:20" x14ac:dyDescent="0.25">
      <c r="A227" s="5">
        <v>44367</v>
      </c>
      <c r="B227">
        <v>0.93500000000000005</v>
      </c>
      <c r="C227">
        <v>0.95269999999999999</v>
      </c>
      <c r="D227">
        <v>0.878</v>
      </c>
      <c r="E227">
        <v>0.93389999999999995</v>
      </c>
      <c r="F227">
        <v>19487672.690000001</v>
      </c>
      <c r="G227">
        <v>-0.12</v>
      </c>
      <c r="L227" t="s">
        <v>7</v>
      </c>
      <c r="M227" t="s">
        <v>7</v>
      </c>
      <c r="N227" t="s">
        <v>8</v>
      </c>
      <c r="P227">
        <f t="shared" si="964"/>
        <v>0.49665327978580881</v>
      </c>
      <c r="Q227">
        <f t="shared" si="965"/>
        <v>9678616.5568808354</v>
      </c>
      <c r="R227">
        <f t="shared" si="966"/>
        <v>781926238.6263485</v>
      </c>
      <c r="S227">
        <f t="shared" si="967"/>
        <v>7819.2623862634846</v>
      </c>
      <c r="T227">
        <f t="shared" si="968"/>
        <v>7.8192623862634845</v>
      </c>
    </row>
    <row r="228" spans="1:20" x14ac:dyDescent="0.25">
      <c r="A228" s="5">
        <v>44366</v>
      </c>
      <c r="B228">
        <v>0.99180000000000001</v>
      </c>
      <c r="C228">
        <v>0.99199999999999999</v>
      </c>
      <c r="D228">
        <v>0.93400000000000005</v>
      </c>
      <c r="E228">
        <v>0.93400000000000005</v>
      </c>
      <c r="F228">
        <v>16974573.760000002</v>
      </c>
      <c r="G228">
        <v>-5.83</v>
      </c>
      <c r="L228" t="s">
        <v>7</v>
      </c>
      <c r="M228" t="s">
        <v>7</v>
      </c>
      <c r="N228" t="s">
        <v>8</v>
      </c>
      <c r="P228">
        <f t="shared" si="964"/>
        <v>-1</v>
      </c>
      <c r="Q228">
        <f t="shared" si="965"/>
        <v>-16974573.760000002</v>
      </c>
      <c r="R228">
        <f t="shared" si="966"/>
        <v>772247622.06946766</v>
      </c>
      <c r="S228">
        <f t="shared" si="967"/>
        <v>7722.4762206946771</v>
      </c>
      <c r="T228">
        <f t="shared" si="968"/>
        <v>7.7224762206946771</v>
      </c>
    </row>
    <row r="229" spans="1:20" x14ac:dyDescent="0.25">
      <c r="A229" s="5">
        <v>44365</v>
      </c>
      <c r="B229">
        <v>1.0646</v>
      </c>
      <c r="C229">
        <v>1.0924</v>
      </c>
      <c r="D229">
        <v>0.95989999999999998</v>
      </c>
      <c r="E229">
        <v>0.99199999999999999</v>
      </c>
      <c r="F229">
        <v>20249014.789999999</v>
      </c>
      <c r="G229">
        <v>-6.82</v>
      </c>
      <c r="L229" t="s">
        <v>7</v>
      </c>
      <c r="M229" t="s">
        <v>7</v>
      </c>
      <c r="N229" t="s">
        <v>8</v>
      </c>
      <c r="P229">
        <f t="shared" si="964"/>
        <v>-0.51547169811320748</v>
      </c>
      <c r="Q229">
        <f t="shared" si="965"/>
        <v>-10437794.038920753</v>
      </c>
      <c r="R229">
        <f t="shared" si="966"/>
        <v>789222195.82946765</v>
      </c>
      <c r="S229">
        <f t="shared" si="967"/>
        <v>7892.2219582946764</v>
      </c>
      <c r="T229">
        <f t="shared" si="968"/>
        <v>7.8922219582946767</v>
      </c>
    </row>
    <row r="230" spans="1:20" x14ac:dyDescent="0.25">
      <c r="A230" s="5">
        <v>44364</v>
      </c>
      <c r="B230">
        <v>1.0178</v>
      </c>
      <c r="C230">
        <v>1.0848</v>
      </c>
      <c r="D230">
        <v>1.0127999999999999</v>
      </c>
      <c r="E230">
        <v>1.0646</v>
      </c>
      <c r="F230">
        <v>19738793.879999999</v>
      </c>
      <c r="G230">
        <v>4.5999999999999996</v>
      </c>
      <c r="L230" t="s">
        <v>8</v>
      </c>
      <c r="M230" t="s">
        <v>7</v>
      </c>
      <c r="N230" t="s">
        <v>8</v>
      </c>
      <c r="P230">
        <f t="shared" si="964"/>
        <v>0.43888888888888949</v>
      </c>
      <c r="Q230">
        <f t="shared" si="965"/>
        <v>8663137.3140000124</v>
      </c>
      <c r="R230">
        <f t="shared" si="966"/>
        <v>799659989.86838841</v>
      </c>
      <c r="S230">
        <f t="shared" si="967"/>
        <v>7996.599898683884</v>
      </c>
      <c r="T230">
        <f t="shared" si="968"/>
        <v>7.9965998986838844</v>
      </c>
    </row>
    <row r="231" spans="1:20" x14ac:dyDescent="0.25">
      <c r="A231" s="5">
        <v>44363</v>
      </c>
      <c r="B231">
        <v>1.0324</v>
      </c>
      <c r="C231">
        <v>1.0569999999999999</v>
      </c>
      <c r="D231">
        <v>0.998</v>
      </c>
      <c r="E231">
        <v>1.0178</v>
      </c>
      <c r="F231">
        <v>15850200.16</v>
      </c>
      <c r="G231">
        <v>-1.41</v>
      </c>
      <c r="L231" t="s">
        <v>7</v>
      </c>
      <c r="M231" t="s">
        <v>7</v>
      </c>
      <c r="N231" t="s">
        <v>8</v>
      </c>
      <c r="P231">
        <f t="shared" si="964"/>
        <v>-0.32881355932203188</v>
      </c>
      <c r="Q231">
        <f t="shared" si="965"/>
        <v>-5211760.7305762395</v>
      </c>
      <c r="R231">
        <f t="shared" si="966"/>
        <v>790996852.5543884</v>
      </c>
      <c r="S231">
        <f t="shared" si="967"/>
        <v>7909.9685255438844</v>
      </c>
      <c r="T231">
        <f t="shared" si="968"/>
        <v>7.9099685255438841</v>
      </c>
    </row>
    <row r="232" spans="1:20" x14ac:dyDescent="0.25">
      <c r="A232" s="5">
        <v>44362</v>
      </c>
      <c r="B232">
        <v>1.0557000000000001</v>
      </c>
      <c r="C232">
        <v>1.0936999999999999</v>
      </c>
      <c r="D232">
        <v>1.0228999999999999</v>
      </c>
      <c r="E232">
        <v>1.0323</v>
      </c>
      <c r="F232">
        <v>19892856.170000002</v>
      </c>
      <c r="G232">
        <v>-2.2200000000000002</v>
      </c>
      <c r="L232" t="s">
        <v>8</v>
      </c>
      <c r="M232" t="s">
        <v>7</v>
      </c>
      <c r="N232" t="s">
        <v>8</v>
      </c>
      <c r="P232">
        <f t="shared" si="964"/>
        <v>-0.73446327683615598</v>
      </c>
      <c r="Q232">
        <f t="shared" si="965"/>
        <v>-14610572.328248546</v>
      </c>
      <c r="R232">
        <f t="shared" si="966"/>
        <v>796208613.28496468</v>
      </c>
      <c r="S232">
        <f t="shared" si="967"/>
        <v>7962.0861328496467</v>
      </c>
      <c r="T232">
        <f t="shared" si="968"/>
        <v>7.9620861328496471</v>
      </c>
    </row>
    <row r="233" spans="1:20" x14ac:dyDescent="0.25">
      <c r="A233" s="5">
        <v>44361</v>
      </c>
      <c r="B233">
        <v>1.0410999999999999</v>
      </c>
      <c r="C233">
        <v>1.0865</v>
      </c>
      <c r="D233">
        <v>1.0241</v>
      </c>
      <c r="E233">
        <v>1.0551999999999999</v>
      </c>
      <c r="F233">
        <v>20055900.789999999</v>
      </c>
      <c r="G233">
        <v>1.35</v>
      </c>
      <c r="L233" t="s">
        <v>8</v>
      </c>
      <c r="M233" t="s">
        <v>7</v>
      </c>
      <c r="N233" t="s">
        <v>8</v>
      </c>
      <c r="P233">
        <f t="shared" si="964"/>
        <v>-3.2051282051314099E-3</v>
      </c>
      <c r="Q233">
        <f t="shared" si="965"/>
        <v>-64281.733301346321</v>
      </c>
      <c r="R233">
        <f t="shared" si="966"/>
        <v>810819185.61321318</v>
      </c>
      <c r="S233">
        <f t="shared" si="967"/>
        <v>8108.1918561321318</v>
      </c>
      <c r="T233">
        <f t="shared" si="968"/>
        <v>8.108191856132132</v>
      </c>
    </row>
    <row r="234" spans="1:20" x14ac:dyDescent="0.25">
      <c r="A234" s="5">
        <v>44360</v>
      </c>
      <c r="B234">
        <v>0.99070000000000003</v>
      </c>
      <c r="C234">
        <v>1.0662</v>
      </c>
      <c r="D234">
        <v>0.96260000000000001</v>
      </c>
      <c r="E234">
        <v>1.0406</v>
      </c>
      <c r="F234">
        <v>18843798.879999999</v>
      </c>
      <c r="G234">
        <v>5.04</v>
      </c>
      <c r="L234" t="s">
        <v>8</v>
      </c>
      <c r="M234" t="s">
        <v>7</v>
      </c>
      <c r="N234" t="s">
        <v>8</v>
      </c>
      <c r="P234">
        <f t="shared" si="964"/>
        <v>0.50579150579150467</v>
      </c>
      <c r="Q234">
        <f t="shared" si="965"/>
        <v>9531033.4103474692</v>
      </c>
      <c r="R234">
        <f t="shared" si="966"/>
        <v>810883467.34651458</v>
      </c>
      <c r="S234">
        <f t="shared" si="967"/>
        <v>8108.8346734651459</v>
      </c>
      <c r="T234">
        <f t="shared" si="968"/>
        <v>8.1088346734651466</v>
      </c>
    </row>
    <row r="235" spans="1:20" x14ac:dyDescent="0.25">
      <c r="A235" s="5">
        <v>44359</v>
      </c>
      <c r="B235">
        <v>0.97289999999999999</v>
      </c>
      <c r="C235">
        <v>1.0198</v>
      </c>
      <c r="D235">
        <v>0.91049999999999998</v>
      </c>
      <c r="E235">
        <v>0.99099999999999999</v>
      </c>
      <c r="F235">
        <v>23426336.5</v>
      </c>
      <c r="G235">
        <v>1.86</v>
      </c>
      <c r="L235" t="s">
        <v>7</v>
      </c>
      <c r="M235" t="s">
        <v>7</v>
      </c>
      <c r="N235" t="s">
        <v>8</v>
      </c>
      <c r="P235">
        <f t="shared" si="964"/>
        <v>0.47301006404391527</v>
      </c>
      <c r="Q235">
        <f t="shared" si="965"/>
        <v>11080892.928179311</v>
      </c>
      <c r="R235">
        <f t="shared" si="966"/>
        <v>801352433.93616712</v>
      </c>
      <c r="S235">
        <f t="shared" si="967"/>
        <v>8013.5243393616711</v>
      </c>
      <c r="T235">
        <f t="shared" si="968"/>
        <v>8.0135243393616715</v>
      </c>
    </row>
    <row r="236" spans="1:20" x14ac:dyDescent="0.25">
      <c r="A236" s="5">
        <v>44358</v>
      </c>
      <c r="B236">
        <v>1.0488</v>
      </c>
      <c r="C236">
        <v>1.0819000000000001</v>
      </c>
      <c r="D236">
        <v>0.95660000000000001</v>
      </c>
      <c r="E236">
        <v>0.97319999999999995</v>
      </c>
      <c r="F236">
        <v>39320033.710000001</v>
      </c>
      <c r="G236">
        <v>-7.21</v>
      </c>
      <c r="L236" t="s">
        <v>7</v>
      </c>
      <c r="M236" t="s">
        <v>8</v>
      </c>
      <c r="N236" t="s">
        <v>8</v>
      </c>
      <c r="P236">
        <f t="shared" si="964"/>
        <v>-0.7350359138068645</v>
      </c>
      <c r="Q236">
        <f t="shared" si="965"/>
        <v>-28901636.908946566</v>
      </c>
      <c r="R236">
        <f t="shared" si="966"/>
        <v>790271541.00798786</v>
      </c>
      <c r="S236">
        <f t="shared" si="967"/>
        <v>7902.7154100798789</v>
      </c>
      <c r="T236">
        <f t="shared" si="968"/>
        <v>7.9027154100798791</v>
      </c>
    </row>
    <row r="237" spans="1:20" x14ac:dyDescent="0.25">
      <c r="A237" s="5">
        <v>44357</v>
      </c>
      <c r="B237">
        <v>1.0409999999999999</v>
      </c>
      <c r="C237">
        <v>1.0522</v>
      </c>
      <c r="D237">
        <v>0.97409999999999997</v>
      </c>
      <c r="E237">
        <v>1.0496000000000001</v>
      </c>
      <c r="F237">
        <v>36549059.740000002</v>
      </c>
      <c r="G237">
        <v>0.83</v>
      </c>
      <c r="L237" t="s">
        <v>7</v>
      </c>
      <c r="M237" t="s">
        <v>8</v>
      </c>
      <c r="N237" t="s">
        <v>8</v>
      </c>
      <c r="P237">
        <f t="shared" si="964"/>
        <v>0.933418693982076</v>
      </c>
      <c r="Q237">
        <f t="shared" si="965"/>
        <v>34115575.608783677</v>
      </c>
      <c r="R237">
        <f t="shared" si="966"/>
        <v>819173177.91693437</v>
      </c>
      <c r="S237">
        <f t="shared" si="967"/>
        <v>8191.731779169344</v>
      </c>
      <c r="T237">
        <f t="shared" si="968"/>
        <v>8.1917317791693431</v>
      </c>
    </row>
    <row r="238" spans="1:20" x14ac:dyDescent="0.25">
      <c r="A238" s="5">
        <v>44356</v>
      </c>
      <c r="B238">
        <v>0.94030000000000002</v>
      </c>
      <c r="C238">
        <v>1.1523000000000001</v>
      </c>
      <c r="D238">
        <v>0.90759999999999996</v>
      </c>
      <c r="E238">
        <v>1.0415000000000001</v>
      </c>
      <c r="F238">
        <v>68702978.299999997</v>
      </c>
      <c r="G238">
        <v>10.76</v>
      </c>
      <c r="L238" t="s">
        <v>8</v>
      </c>
      <c r="M238" t="s">
        <v>8</v>
      </c>
      <c r="N238" t="s">
        <v>8</v>
      </c>
      <c r="P238">
        <f t="shared" si="964"/>
        <v>9.4401307723743791E-2</v>
      </c>
      <c r="Q238">
        <f t="shared" si="965"/>
        <v>6485650.9960359922</v>
      </c>
      <c r="R238">
        <f t="shared" si="966"/>
        <v>785057602.30815065</v>
      </c>
      <c r="S238">
        <f t="shared" si="967"/>
        <v>7850.5760230815067</v>
      </c>
      <c r="T238">
        <f t="shared" si="968"/>
        <v>7.8505760230815067</v>
      </c>
    </row>
    <row r="239" spans="1:20" x14ac:dyDescent="0.25">
      <c r="A239" s="5">
        <v>44355</v>
      </c>
      <c r="B239">
        <v>0.96319999999999995</v>
      </c>
      <c r="C239">
        <v>0.97660000000000002</v>
      </c>
      <c r="D239">
        <v>0.85599999999999998</v>
      </c>
      <c r="E239">
        <v>0.94059999999999999</v>
      </c>
      <c r="F239">
        <v>26800573.260000002</v>
      </c>
      <c r="G239">
        <v>-2.35</v>
      </c>
      <c r="L239" t="s">
        <v>7</v>
      </c>
      <c r="M239" t="s">
        <v>7</v>
      </c>
      <c r="N239" t="s">
        <v>8</v>
      </c>
      <c r="P239">
        <f t="shared" si="964"/>
        <v>0.40298507462686534</v>
      </c>
      <c r="Q239">
        <f t="shared" si="965"/>
        <v>10800231.015223872</v>
      </c>
      <c r="R239">
        <f t="shared" si="966"/>
        <v>778571951.31211472</v>
      </c>
      <c r="S239">
        <f t="shared" si="967"/>
        <v>7785.7195131211474</v>
      </c>
      <c r="T239">
        <f t="shared" si="968"/>
        <v>7.7857195131211476</v>
      </c>
    </row>
    <row r="240" spans="1:20" x14ac:dyDescent="0.25">
      <c r="A240" s="5">
        <v>44354</v>
      </c>
      <c r="B240">
        <v>1.0247999999999999</v>
      </c>
      <c r="C240">
        <v>1.089</v>
      </c>
      <c r="D240">
        <v>0.94689999999999996</v>
      </c>
      <c r="E240">
        <v>0.96330000000000005</v>
      </c>
      <c r="F240">
        <v>20579526.559999999</v>
      </c>
      <c r="G240">
        <v>-6</v>
      </c>
      <c r="L240" t="s">
        <v>8</v>
      </c>
      <c r="M240" t="s">
        <v>7</v>
      </c>
      <c r="N240" t="s">
        <v>8</v>
      </c>
      <c r="P240">
        <f t="shared" si="964"/>
        <v>-0.76917663617170895</v>
      </c>
      <c r="Q240">
        <f t="shared" si="965"/>
        <v>-15829291.01342714</v>
      </c>
      <c r="R240">
        <f t="shared" si="966"/>
        <v>767771720.29689085</v>
      </c>
      <c r="S240">
        <f t="shared" si="967"/>
        <v>7677.7172029689082</v>
      </c>
      <c r="T240">
        <f t="shared" si="968"/>
        <v>7.6777172029689078</v>
      </c>
    </row>
    <row r="241" spans="1:20" x14ac:dyDescent="0.25">
      <c r="A241" s="5">
        <v>44353</v>
      </c>
      <c r="B241">
        <v>0.97519999999999996</v>
      </c>
      <c r="C241">
        <v>1.0253000000000001</v>
      </c>
      <c r="D241">
        <v>0.96419999999999995</v>
      </c>
      <c r="E241">
        <v>1.0246999999999999</v>
      </c>
      <c r="F241">
        <v>14186891.49</v>
      </c>
      <c r="G241">
        <v>5.08</v>
      </c>
      <c r="L241" t="s">
        <v>8</v>
      </c>
      <c r="M241" t="s">
        <v>7</v>
      </c>
      <c r="N241" t="s">
        <v>8</v>
      </c>
      <c r="P241">
        <f t="shared" si="964"/>
        <v>0.98036006546644339</v>
      </c>
      <c r="Q241">
        <f t="shared" si="965"/>
        <v>13908261.869901728</v>
      </c>
      <c r="R241">
        <f t="shared" si="966"/>
        <v>783601011.31031799</v>
      </c>
      <c r="S241">
        <f t="shared" si="967"/>
        <v>7836.0101131031797</v>
      </c>
      <c r="T241">
        <f t="shared" si="968"/>
        <v>7.8360101131031801</v>
      </c>
    </row>
    <row r="242" spans="1:20" x14ac:dyDescent="0.25">
      <c r="A242" s="5">
        <v>44352</v>
      </c>
      <c r="B242">
        <v>1.0274000000000001</v>
      </c>
      <c r="C242">
        <v>1.0942000000000001</v>
      </c>
      <c r="D242">
        <v>0.94699999999999995</v>
      </c>
      <c r="E242">
        <v>0.97629999999999995</v>
      </c>
      <c r="F242">
        <v>24711755.920000002</v>
      </c>
      <c r="G242">
        <v>-4.97</v>
      </c>
      <c r="L242" t="s">
        <v>7</v>
      </c>
      <c r="M242" t="s">
        <v>7</v>
      </c>
      <c r="N242" t="s">
        <v>8</v>
      </c>
      <c r="P242">
        <f t="shared" si="964"/>
        <v>-0.6019021739130439</v>
      </c>
      <c r="Q242">
        <f t="shared" si="965"/>
        <v>-14874059.609456534</v>
      </c>
      <c r="R242">
        <f t="shared" si="966"/>
        <v>769692749.44041622</v>
      </c>
      <c r="S242">
        <f t="shared" si="967"/>
        <v>7696.9274944041617</v>
      </c>
      <c r="T242">
        <f t="shared" si="968"/>
        <v>7.6969274944041617</v>
      </c>
    </row>
    <row r="243" spans="1:20" x14ac:dyDescent="0.25">
      <c r="A243" s="5">
        <v>44351</v>
      </c>
      <c r="B243">
        <v>1.1119000000000001</v>
      </c>
      <c r="C243">
        <v>1.133</v>
      </c>
      <c r="D243">
        <v>0.97189999999999999</v>
      </c>
      <c r="E243">
        <v>1.0284</v>
      </c>
      <c r="F243">
        <v>30312792.760000002</v>
      </c>
      <c r="G243">
        <v>-7.51</v>
      </c>
      <c r="L243" t="s">
        <v>7</v>
      </c>
      <c r="M243" t="s">
        <v>8</v>
      </c>
      <c r="N243" t="s">
        <v>8</v>
      </c>
      <c r="P243">
        <f t="shared" si="964"/>
        <v>-0.29857231533209205</v>
      </c>
      <c r="Q243">
        <f t="shared" si="965"/>
        <v>-9050560.7185350768</v>
      </c>
      <c r="R243">
        <f t="shared" si="966"/>
        <v>784566809.04987276</v>
      </c>
      <c r="S243">
        <f t="shared" si="967"/>
        <v>7845.6680904987279</v>
      </c>
      <c r="T243">
        <f t="shared" si="968"/>
        <v>7.8456680904987275</v>
      </c>
    </row>
    <row r="244" spans="1:20" x14ac:dyDescent="0.25">
      <c r="A244" s="5">
        <v>44350</v>
      </c>
      <c r="B244">
        <v>1.0188999999999999</v>
      </c>
      <c r="C244">
        <v>1.1536999999999999</v>
      </c>
      <c r="D244">
        <v>1.0048999999999999</v>
      </c>
      <c r="E244">
        <v>1.1113</v>
      </c>
      <c r="F244">
        <v>34622258.520000003</v>
      </c>
      <c r="G244">
        <v>9.07</v>
      </c>
      <c r="L244" t="s">
        <v>8</v>
      </c>
      <c r="M244" t="s">
        <v>8</v>
      </c>
      <c r="N244" t="s">
        <v>8</v>
      </c>
      <c r="P244">
        <f t="shared" si="964"/>
        <v>0.43010752688172071</v>
      </c>
      <c r="Q244">
        <f t="shared" si="965"/>
        <v>14891293.987096785</v>
      </c>
      <c r="R244">
        <f t="shared" si="966"/>
        <v>793617369.76840782</v>
      </c>
      <c r="S244">
        <f t="shared" si="967"/>
        <v>7936.1736976840784</v>
      </c>
      <c r="T244">
        <f t="shared" si="968"/>
        <v>7.9361736976840787</v>
      </c>
    </row>
    <row r="245" spans="1:20" x14ac:dyDescent="0.25">
      <c r="A245" s="5">
        <v>44349</v>
      </c>
      <c r="B245">
        <v>0.89510000000000001</v>
      </c>
      <c r="C245">
        <v>1.0708</v>
      </c>
      <c r="D245">
        <v>0.87250000000000005</v>
      </c>
      <c r="E245">
        <v>1.0186999999999999</v>
      </c>
      <c r="F245">
        <v>34348783.009999998</v>
      </c>
      <c r="G245">
        <v>13.81</v>
      </c>
      <c r="L245" t="s">
        <v>8</v>
      </c>
      <c r="M245" t="s">
        <v>8</v>
      </c>
      <c r="N245" t="s">
        <v>8</v>
      </c>
      <c r="P245">
        <f t="shared" si="964"/>
        <v>0.47453353504790663</v>
      </c>
      <c r="Q245">
        <f t="shared" si="965"/>
        <v>16299649.426328775</v>
      </c>
      <c r="R245">
        <f t="shared" si="966"/>
        <v>778726075.78131104</v>
      </c>
      <c r="S245">
        <f t="shared" si="967"/>
        <v>7787.2607578131101</v>
      </c>
      <c r="T245">
        <f t="shared" si="968"/>
        <v>7.7872607578131099</v>
      </c>
    </row>
    <row r="246" spans="1:20" x14ac:dyDescent="0.25">
      <c r="A246" s="5">
        <v>44348</v>
      </c>
      <c r="B246">
        <v>0.93559999999999999</v>
      </c>
      <c r="C246">
        <v>0.95150000000000001</v>
      </c>
      <c r="D246">
        <v>0.876</v>
      </c>
      <c r="E246">
        <v>0.8952</v>
      </c>
      <c r="F246">
        <v>20571318.460000001</v>
      </c>
      <c r="G246">
        <v>-4.32</v>
      </c>
      <c r="L246" t="s">
        <v>8</v>
      </c>
      <c r="M246" t="s">
        <v>8</v>
      </c>
      <c r="N246" t="s">
        <v>8</v>
      </c>
      <c r="P246">
        <f t="shared" si="964"/>
        <v>-0.49139072847682141</v>
      </c>
      <c r="Q246">
        <f t="shared" si="965"/>
        <v>-10108555.163788084</v>
      </c>
      <c r="R246">
        <f t="shared" si="966"/>
        <v>762426426.35498226</v>
      </c>
      <c r="S246">
        <f t="shared" si="967"/>
        <v>7624.2642635498223</v>
      </c>
      <c r="T246">
        <f t="shared" si="968"/>
        <v>7.6242642635498221</v>
      </c>
    </row>
    <row r="247" spans="1:20" x14ac:dyDescent="0.25">
      <c r="A247" s="5">
        <v>44347</v>
      </c>
      <c r="B247">
        <v>0.84909999999999997</v>
      </c>
      <c r="C247">
        <v>0.9385</v>
      </c>
      <c r="D247">
        <v>0.81389999999999996</v>
      </c>
      <c r="E247">
        <v>0.93589999999999995</v>
      </c>
      <c r="F247">
        <v>23377949.57</v>
      </c>
      <c r="G247">
        <v>10.220000000000001</v>
      </c>
      <c r="L247" t="s">
        <v>8</v>
      </c>
      <c r="M247" t="s">
        <v>8</v>
      </c>
      <c r="N247" t="s">
        <v>8</v>
      </c>
      <c r="P247">
        <f t="shared" si="964"/>
        <v>0.95826645264847443</v>
      </c>
      <c r="Q247">
        <f t="shared" si="965"/>
        <v>22402304.804638829</v>
      </c>
      <c r="R247">
        <f t="shared" si="966"/>
        <v>772534981.51877034</v>
      </c>
      <c r="S247">
        <f t="shared" si="967"/>
        <v>7725.3498151877038</v>
      </c>
      <c r="T247">
        <f t="shared" si="968"/>
        <v>7.7253498151877036</v>
      </c>
    </row>
    <row r="248" spans="1:20" x14ac:dyDescent="0.25">
      <c r="A248" s="5">
        <v>44346</v>
      </c>
      <c r="B248">
        <v>0.83189999999999997</v>
      </c>
      <c r="C248">
        <v>0.89459999999999995</v>
      </c>
      <c r="D248">
        <v>0.77839999999999998</v>
      </c>
      <c r="E248">
        <v>0.84909999999999997</v>
      </c>
      <c r="F248">
        <v>19187675.920000002</v>
      </c>
      <c r="G248">
        <v>2.0699999999999998</v>
      </c>
      <c r="L248" t="s">
        <v>7</v>
      </c>
      <c r="M248" t="s">
        <v>7</v>
      </c>
      <c r="N248" t="s">
        <v>8</v>
      </c>
      <c r="P248">
        <f t="shared" si="964"/>
        <v>0.21686746987951813</v>
      </c>
      <c r="Q248">
        <f t="shared" si="965"/>
        <v>4161182.7296385556</v>
      </c>
      <c r="R248">
        <f t="shared" si="966"/>
        <v>750132676.71413147</v>
      </c>
      <c r="S248">
        <f t="shared" si="967"/>
        <v>7501.326767141315</v>
      </c>
      <c r="T248">
        <f t="shared" si="968"/>
        <v>7.5013267671413146</v>
      </c>
    </row>
    <row r="249" spans="1:20" x14ac:dyDescent="0.25">
      <c r="A249" s="5">
        <v>44345</v>
      </c>
      <c r="B249">
        <v>0.90059999999999996</v>
      </c>
      <c r="C249">
        <v>0.93059999999999998</v>
      </c>
      <c r="D249">
        <v>0.79039999999999999</v>
      </c>
      <c r="E249">
        <v>0.83150000000000002</v>
      </c>
      <c r="F249">
        <v>21248486.75</v>
      </c>
      <c r="G249">
        <v>-7.67</v>
      </c>
      <c r="L249" t="s">
        <v>7</v>
      </c>
      <c r="M249" t="s">
        <v>7</v>
      </c>
      <c r="N249" t="s">
        <v>8</v>
      </c>
      <c r="P249">
        <f t="shared" si="964"/>
        <v>-0.41369472182596251</v>
      </c>
      <c r="Q249">
        <f t="shared" si="965"/>
        <v>-8790386.8152639009</v>
      </c>
      <c r="R249">
        <f t="shared" si="966"/>
        <v>745971493.9844929</v>
      </c>
      <c r="S249">
        <f t="shared" si="967"/>
        <v>7459.7149398449292</v>
      </c>
      <c r="T249">
        <f t="shared" si="968"/>
        <v>7.4597149398449289</v>
      </c>
    </row>
    <row r="250" spans="1:20" x14ac:dyDescent="0.25">
      <c r="A250" s="5">
        <v>44344</v>
      </c>
      <c r="B250">
        <v>0.97560000000000002</v>
      </c>
      <c r="C250">
        <v>0.98699999999999999</v>
      </c>
      <c r="D250">
        <v>0.8458</v>
      </c>
      <c r="E250">
        <v>0.89990000000000003</v>
      </c>
      <c r="F250">
        <v>29097745.82</v>
      </c>
      <c r="G250">
        <v>-7.76</v>
      </c>
      <c r="L250" t="s">
        <v>7</v>
      </c>
      <c r="M250" t="s">
        <v>7</v>
      </c>
      <c r="N250" t="s">
        <v>8</v>
      </c>
      <c r="P250">
        <f t="shared" si="964"/>
        <v>-0.23371104815863966</v>
      </c>
      <c r="Q250">
        <f t="shared" si="965"/>
        <v>-6800464.6746458756</v>
      </c>
      <c r="R250">
        <f t="shared" si="966"/>
        <v>754761880.79975677</v>
      </c>
      <c r="S250">
        <f t="shared" si="967"/>
        <v>7547.6188079975673</v>
      </c>
      <c r="T250">
        <f t="shared" si="968"/>
        <v>7.5476188079975675</v>
      </c>
    </row>
    <row r="251" spans="1:20" x14ac:dyDescent="0.25">
      <c r="A251" s="5">
        <v>44343</v>
      </c>
      <c r="B251">
        <v>1.0235000000000001</v>
      </c>
      <c r="C251">
        <v>1.0333000000000001</v>
      </c>
      <c r="D251">
        <v>0.93559999999999999</v>
      </c>
      <c r="E251">
        <v>0.97519999999999996</v>
      </c>
      <c r="F251">
        <v>23181140.829999998</v>
      </c>
      <c r="G251">
        <v>-4.72</v>
      </c>
      <c r="L251" t="s">
        <v>7</v>
      </c>
      <c r="M251" t="s">
        <v>8</v>
      </c>
      <c r="N251" t="s">
        <v>8</v>
      </c>
      <c r="P251">
        <f t="shared" si="964"/>
        <v>-0.18935516888434145</v>
      </c>
      <c r="Q251">
        <f t="shared" si="965"/>
        <v>-4389468.8367963526</v>
      </c>
      <c r="R251">
        <f t="shared" si="966"/>
        <v>761562345.47440267</v>
      </c>
      <c r="S251">
        <f t="shared" si="967"/>
        <v>7615.6234547440263</v>
      </c>
      <c r="T251">
        <f t="shared" si="968"/>
        <v>7.6156234547440267</v>
      </c>
    </row>
    <row r="252" spans="1:20" x14ac:dyDescent="0.25">
      <c r="A252" s="5">
        <v>44342</v>
      </c>
      <c r="B252">
        <v>0.97570000000000001</v>
      </c>
      <c r="C252">
        <v>1.0592999999999999</v>
      </c>
      <c r="D252">
        <v>0.95379999999999998</v>
      </c>
      <c r="E252">
        <v>1.0237000000000001</v>
      </c>
      <c r="F252">
        <v>35451063.140000001</v>
      </c>
      <c r="G252">
        <v>4.92</v>
      </c>
      <c r="L252" t="s">
        <v>8</v>
      </c>
      <c r="M252" t="s">
        <v>8</v>
      </c>
      <c r="N252" t="s">
        <v>8</v>
      </c>
      <c r="P252">
        <f t="shared" si="964"/>
        <v>0.32511848341232458</v>
      </c>
      <c r="Q252">
        <f t="shared" si="965"/>
        <v>11525795.883431362</v>
      </c>
      <c r="R252">
        <f t="shared" si="966"/>
        <v>765951814.31119907</v>
      </c>
      <c r="S252">
        <f t="shared" si="967"/>
        <v>7659.5181431119909</v>
      </c>
      <c r="T252">
        <f t="shared" si="968"/>
        <v>7.659518143111991</v>
      </c>
    </row>
    <row r="253" spans="1:20" x14ac:dyDescent="0.25">
      <c r="A253" s="5">
        <v>44341</v>
      </c>
      <c r="B253">
        <v>0.98129999999999995</v>
      </c>
      <c r="C253">
        <v>1.0179</v>
      </c>
      <c r="D253">
        <v>0.86719999999999997</v>
      </c>
      <c r="E253">
        <v>0.97540000000000004</v>
      </c>
      <c r="F253">
        <v>36972077.689999998</v>
      </c>
      <c r="G253">
        <v>-0.6</v>
      </c>
      <c r="L253" t="s">
        <v>7</v>
      </c>
      <c r="M253" t="s">
        <v>8</v>
      </c>
      <c r="N253" t="s">
        <v>8</v>
      </c>
      <c r="P253">
        <f t="shared" si="964"/>
        <v>0.43596549435965537</v>
      </c>
      <c r="Q253">
        <f t="shared" si="965"/>
        <v>16118550.127624433</v>
      </c>
      <c r="R253">
        <f t="shared" si="966"/>
        <v>754426018.42776775</v>
      </c>
      <c r="S253">
        <f t="shared" si="967"/>
        <v>7544.2601842776776</v>
      </c>
      <c r="T253">
        <f t="shared" si="968"/>
        <v>7.544260184277678</v>
      </c>
    </row>
    <row r="254" spans="1:20" x14ac:dyDescent="0.25">
      <c r="A254" s="5">
        <v>44340</v>
      </c>
      <c r="B254">
        <v>0.81689999999999996</v>
      </c>
      <c r="C254">
        <v>1.0063</v>
      </c>
      <c r="D254">
        <v>0.80049999999999999</v>
      </c>
      <c r="E254">
        <v>0.98109999999999997</v>
      </c>
      <c r="F254">
        <v>32235991.16</v>
      </c>
      <c r="G254">
        <v>20.100000000000001</v>
      </c>
      <c r="L254" t="s">
        <v>8</v>
      </c>
      <c r="M254" t="s">
        <v>8</v>
      </c>
      <c r="N254" t="s">
        <v>8</v>
      </c>
      <c r="P254">
        <f t="shared" si="964"/>
        <v>0.75510204081632648</v>
      </c>
      <c r="Q254">
        <f t="shared" si="965"/>
        <v>24341462.71265306</v>
      </c>
      <c r="R254">
        <f t="shared" si="966"/>
        <v>738307468.30014336</v>
      </c>
      <c r="S254">
        <f t="shared" si="967"/>
        <v>7383.0746830014332</v>
      </c>
      <c r="T254">
        <f t="shared" si="968"/>
        <v>7.3830746830014329</v>
      </c>
    </row>
    <row r="255" spans="1:20" x14ac:dyDescent="0.25">
      <c r="A255" s="5">
        <v>44339</v>
      </c>
      <c r="B255">
        <v>0.97389999999999999</v>
      </c>
      <c r="C255">
        <v>1.0405</v>
      </c>
      <c r="D255">
        <v>0.6774</v>
      </c>
      <c r="E255">
        <v>0.81779999999999997</v>
      </c>
      <c r="F255">
        <v>65498680.990000002</v>
      </c>
      <c r="G255">
        <v>-16.03</v>
      </c>
      <c r="L255" t="s">
        <v>7</v>
      </c>
      <c r="M255" t="s">
        <v>7</v>
      </c>
      <c r="N255" t="s">
        <v>7</v>
      </c>
      <c r="P255">
        <f t="shared" si="964"/>
        <v>-0.22665932250068863</v>
      </c>
      <c r="Q255">
        <f t="shared" si="965"/>
        <v>-14845886.657882133</v>
      </c>
      <c r="R255">
        <f t="shared" si="966"/>
        <v>713966005.58749032</v>
      </c>
      <c r="S255">
        <f t="shared" si="967"/>
        <v>7139.6600558749033</v>
      </c>
      <c r="T255">
        <f t="shared" si="968"/>
        <v>7.139660055874903</v>
      </c>
    </row>
    <row r="256" spans="1:20" x14ac:dyDescent="0.25">
      <c r="A256" s="5">
        <v>44338</v>
      </c>
      <c r="B256">
        <v>0.97350000000000003</v>
      </c>
      <c r="C256">
        <v>1.0153000000000001</v>
      </c>
      <c r="D256">
        <v>0.85519999999999996</v>
      </c>
      <c r="E256">
        <v>0.97389999999999999</v>
      </c>
      <c r="F256">
        <v>38750541.909999996</v>
      </c>
      <c r="G256">
        <v>0.04</v>
      </c>
      <c r="L256" t="s">
        <v>7</v>
      </c>
      <c r="M256" t="s">
        <v>8</v>
      </c>
      <c r="N256" t="s">
        <v>8</v>
      </c>
      <c r="P256">
        <f t="shared" si="964"/>
        <v>0.48282323547782546</v>
      </c>
      <c r="Q256">
        <f t="shared" si="965"/>
        <v>18709662.021505274</v>
      </c>
      <c r="R256">
        <f t="shared" si="966"/>
        <v>728811892.24537241</v>
      </c>
      <c r="S256">
        <f t="shared" si="967"/>
        <v>7288.1189224537238</v>
      </c>
      <c r="T256">
        <f t="shared" si="968"/>
        <v>7.2881189224537239</v>
      </c>
    </row>
    <row r="257" spans="1:20" x14ac:dyDescent="0.25">
      <c r="A257" s="5">
        <v>44337</v>
      </c>
      <c r="B257">
        <v>1.1086</v>
      </c>
      <c r="C257">
        <v>1.1472</v>
      </c>
      <c r="D257">
        <v>0.84409999999999996</v>
      </c>
      <c r="E257">
        <v>0.97360000000000002</v>
      </c>
      <c r="F257">
        <v>50329798.210000001</v>
      </c>
      <c r="G257">
        <v>-12.18</v>
      </c>
      <c r="L257" t="s">
        <v>8</v>
      </c>
      <c r="M257" t="s">
        <v>7</v>
      </c>
      <c r="N257" t="s">
        <v>8</v>
      </c>
      <c r="P257">
        <f t="shared" si="964"/>
        <v>-0.14549653579676644</v>
      </c>
      <c r="Q257">
        <f t="shared" si="965"/>
        <v>-7322811.2869052971</v>
      </c>
      <c r="R257">
        <f t="shared" si="966"/>
        <v>710102230.22386718</v>
      </c>
      <c r="S257">
        <f t="shared" si="967"/>
        <v>7101.0223022386717</v>
      </c>
      <c r="T257">
        <f t="shared" si="968"/>
        <v>7.1010223022386718</v>
      </c>
    </row>
    <row r="258" spans="1:20" x14ac:dyDescent="0.25">
      <c r="A258" s="5">
        <v>44336</v>
      </c>
      <c r="B258">
        <v>0.93289999999999995</v>
      </c>
      <c r="C258">
        <v>1.1200000000000001</v>
      </c>
      <c r="D258">
        <v>0.8377</v>
      </c>
      <c r="E258">
        <v>1.1089</v>
      </c>
      <c r="F258">
        <v>64554630.710000001</v>
      </c>
      <c r="G258">
        <v>18.87</v>
      </c>
      <c r="L258" t="s">
        <v>8</v>
      </c>
      <c r="M258" t="s">
        <v>8</v>
      </c>
      <c r="N258" t="s">
        <v>8</v>
      </c>
      <c r="P258">
        <f t="shared" si="964"/>
        <v>0.92136025504782071</v>
      </c>
      <c r="Q258">
        <f t="shared" si="965"/>
        <v>59478071.015483484</v>
      </c>
      <c r="R258">
        <f t="shared" si="966"/>
        <v>717425041.51077247</v>
      </c>
      <c r="S258">
        <f t="shared" si="967"/>
        <v>7174.2504151077246</v>
      </c>
      <c r="T258">
        <f t="shared" si="968"/>
        <v>7.1742504151077249</v>
      </c>
    </row>
    <row r="259" spans="1:20" x14ac:dyDescent="0.25">
      <c r="A259" s="5">
        <v>44335</v>
      </c>
      <c r="B259">
        <v>1.3657999999999999</v>
      </c>
      <c r="C259">
        <v>1.3879999999999999</v>
      </c>
      <c r="D259">
        <v>0.75609999999999999</v>
      </c>
      <c r="E259">
        <v>0.93089999999999995</v>
      </c>
      <c r="F259">
        <v>111653363.05</v>
      </c>
      <c r="G259">
        <v>-31.84</v>
      </c>
      <c r="L259" t="s">
        <v>7</v>
      </c>
      <c r="M259" t="s">
        <v>7</v>
      </c>
      <c r="N259" t="s">
        <v>7</v>
      </c>
      <c r="P259">
        <f t="shared" si="964"/>
        <v>-0.44674790314923252</v>
      </c>
      <c r="Q259">
        <f t="shared" si="965"/>
        <v>-49880905.822147496</v>
      </c>
      <c r="R259">
        <f t="shared" si="966"/>
        <v>657946970.49528897</v>
      </c>
      <c r="S259">
        <f t="shared" si="967"/>
        <v>6579.4697049528895</v>
      </c>
      <c r="T259">
        <f t="shared" si="968"/>
        <v>6.5794697049528894</v>
      </c>
    </row>
    <row r="260" spans="1:20" x14ac:dyDescent="0.25">
      <c r="A260" s="5">
        <v>44334</v>
      </c>
      <c r="B260">
        <v>1.2854000000000001</v>
      </c>
      <c r="C260">
        <v>1.393</v>
      </c>
      <c r="D260">
        <v>1.2566999999999999</v>
      </c>
      <c r="E260">
        <v>1.365</v>
      </c>
      <c r="F260">
        <v>30186993.390000001</v>
      </c>
      <c r="G260">
        <v>6.19</v>
      </c>
      <c r="L260" t="s">
        <v>8</v>
      </c>
      <c r="M260" t="s">
        <v>7</v>
      </c>
      <c r="N260" t="s">
        <v>7</v>
      </c>
      <c r="P260">
        <f t="shared" si="964"/>
        <v>0.58914159941305932</v>
      </c>
      <c r="Q260">
        <f t="shared" si="965"/>
        <v>17784413.567256048</v>
      </c>
      <c r="R260">
        <f t="shared" si="966"/>
        <v>707827876.31743646</v>
      </c>
      <c r="S260">
        <f t="shared" si="967"/>
        <v>7078.2787631743649</v>
      </c>
      <c r="T260">
        <f t="shared" si="968"/>
        <v>7.0782787631743647</v>
      </c>
    </row>
    <row r="261" spans="1:20" x14ac:dyDescent="0.25">
      <c r="A261" s="5">
        <v>44333</v>
      </c>
      <c r="B261">
        <v>1.3959999999999999</v>
      </c>
      <c r="C261">
        <v>1.4126000000000001</v>
      </c>
      <c r="D261">
        <v>1.256</v>
      </c>
      <c r="E261">
        <v>1.2842</v>
      </c>
      <c r="F261">
        <v>39031598.920000002</v>
      </c>
      <c r="G261">
        <v>-8.01</v>
      </c>
      <c r="L261" t="s">
        <v>7</v>
      </c>
      <c r="M261" t="s">
        <v>7</v>
      </c>
      <c r="N261" t="s">
        <v>7</v>
      </c>
      <c r="P261">
        <f t="shared" si="964"/>
        <v>-0.63984674329501934</v>
      </c>
      <c r="Q261">
        <f t="shared" si="965"/>
        <v>-24974241.454559397</v>
      </c>
      <c r="R261">
        <f t="shared" si="966"/>
        <v>690043462.75018036</v>
      </c>
      <c r="S261">
        <f t="shared" si="967"/>
        <v>6900.4346275018033</v>
      </c>
      <c r="T261">
        <f t="shared" si="968"/>
        <v>6.9004346275018031</v>
      </c>
    </row>
    <row r="262" spans="1:20" x14ac:dyDescent="0.25">
      <c r="A262" s="5">
        <v>44332</v>
      </c>
      <c r="B262">
        <v>1.3884000000000001</v>
      </c>
      <c r="C262">
        <v>1.54</v>
      </c>
      <c r="D262">
        <v>1.3318000000000001</v>
      </c>
      <c r="E262">
        <v>1.3956</v>
      </c>
      <c r="F262">
        <v>52071682.450000003</v>
      </c>
      <c r="G262">
        <v>0.52</v>
      </c>
      <c r="L262" t="s">
        <v>7</v>
      </c>
      <c r="M262" t="s">
        <v>8</v>
      </c>
      <c r="N262" t="s">
        <v>7</v>
      </c>
      <c r="P262">
        <f t="shared" si="964"/>
        <v>-0.38712776176753244</v>
      </c>
      <c r="Q262">
        <f t="shared" si="965"/>
        <v>-20158393.878338203</v>
      </c>
      <c r="R262">
        <f t="shared" si="966"/>
        <v>715017704.20473981</v>
      </c>
      <c r="S262">
        <f t="shared" si="967"/>
        <v>7150.1770420473977</v>
      </c>
      <c r="T262">
        <f t="shared" si="968"/>
        <v>7.1501770420473978</v>
      </c>
    </row>
    <row r="263" spans="1:20" x14ac:dyDescent="0.25">
      <c r="A263" s="5">
        <v>44331</v>
      </c>
      <c r="B263">
        <v>1.4772000000000001</v>
      </c>
      <c r="C263">
        <v>1.5369999999999999</v>
      </c>
      <c r="D263">
        <v>1.373</v>
      </c>
      <c r="E263">
        <v>1.3888</v>
      </c>
      <c r="F263">
        <v>54344627.649999999</v>
      </c>
      <c r="G263">
        <v>-5.98</v>
      </c>
      <c r="L263" t="s">
        <v>8</v>
      </c>
      <c r="M263" t="s">
        <v>8</v>
      </c>
      <c r="N263" t="s">
        <v>7</v>
      </c>
      <c r="P263">
        <f t="shared" ref="P263:P326" si="969">IF(C263=D263,0,((E263-D263)-(C263-E263))/(C263-D263))</f>
        <v>-0.8073170731707312</v>
      </c>
      <c r="Q263">
        <f t="shared" ref="Q263:Q326" si="970">F263*P263</f>
        <v>-43873345.736951187</v>
      </c>
      <c r="R263">
        <f t="shared" ref="R263:R326" si="971">R264+Q263</f>
        <v>735176098.08307803</v>
      </c>
      <c r="S263">
        <f t="shared" ref="S263:S326" si="972">R263/100000</f>
        <v>7351.7609808307807</v>
      </c>
      <c r="T263">
        <f t="shared" ref="T263:T326" si="973">S263/1000</f>
        <v>7.3517609808307807</v>
      </c>
    </row>
    <row r="264" spans="1:20" x14ac:dyDescent="0.25">
      <c r="A264" s="5">
        <v>44330</v>
      </c>
      <c r="B264">
        <v>1.3528</v>
      </c>
      <c r="C264">
        <v>1.49</v>
      </c>
      <c r="D264">
        <v>1.3229</v>
      </c>
      <c r="E264">
        <v>1.4775</v>
      </c>
      <c r="F264">
        <v>38997654.079999998</v>
      </c>
      <c r="G264">
        <v>9.2200000000000006</v>
      </c>
      <c r="L264" t="s">
        <v>8</v>
      </c>
      <c r="M264" t="s">
        <v>8</v>
      </c>
      <c r="N264" t="s">
        <v>7</v>
      </c>
      <c r="P264">
        <f t="shared" si="969"/>
        <v>0.85038898862956369</v>
      </c>
      <c r="Q264">
        <f t="shared" si="970"/>
        <v>33163175.612016775</v>
      </c>
      <c r="R264">
        <f t="shared" si="971"/>
        <v>779049443.82002926</v>
      </c>
      <c r="S264">
        <f t="shared" si="972"/>
        <v>7790.4944382002923</v>
      </c>
      <c r="T264">
        <f t="shared" si="973"/>
        <v>7.7904944382002919</v>
      </c>
    </row>
    <row r="265" spans="1:20" x14ac:dyDescent="0.25">
      <c r="A265" s="5">
        <v>44329</v>
      </c>
      <c r="B265">
        <v>1.2732000000000001</v>
      </c>
      <c r="C265">
        <v>1.4530000000000001</v>
      </c>
      <c r="D265">
        <v>1.2010000000000001</v>
      </c>
      <c r="E265">
        <v>1.3526</v>
      </c>
      <c r="F265">
        <v>58295062.520000003</v>
      </c>
      <c r="G265">
        <v>6.24</v>
      </c>
      <c r="L265" t="s">
        <v>7</v>
      </c>
      <c r="M265" t="s">
        <v>7</v>
      </c>
      <c r="N265" t="s">
        <v>7</v>
      </c>
      <c r="P265">
        <f t="shared" si="969"/>
        <v>0.20317460317460281</v>
      </c>
      <c r="Q265">
        <f t="shared" si="970"/>
        <v>11844076.194539662</v>
      </c>
      <c r="R265">
        <f t="shared" si="971"/>
        <v>745886268.20801246</v>
      </c>
      <c r="S265">
        <f t="shared" si="972"/>
        <v>7458.8626820801246</v>
      </c>
      <c r="T265">
        <f t="shared" si="973"/>
        <v>7.4588626820801247</v>
      </c>
    </row>
    <row r="266" spans="1:20" x14ac:dyDescent="0.25">
      <c r="A266" s="5">
        <v>44328</v>
      </c>
      <c r="B266">
        <v>1.474</v>
      </c>
      <c r="C266">
        <v>1.4997</v>
      </c>
      <c r="D266">
        <v>1.2396</v>
      </c>
      <c r="E266">
        <v>1.2734000000000001</v>
      </c>
      <c r="F266">
        <v>41345401.829999998</v>
      </c>
      <c r="G266">
        <v>-13.61</v>
      </c>
      <c r="L266" t="s">
        <v>8</v>
      </c>
      <c r="M266" t="s">
        <v>7</v>
      </c>
      <c r="N266" t="s">
        <v>8</v>
      </c>
      <c r="P266">
        <f t="shared" si="969"/>
        <v>-0.74009996155324831</v>
      </c>
      <c r="Q266">
        <f t="shared" si="970"/>
        <v>-30599730.3047866</v>
      </c>
      <c r="R266">
        <f t="shared" si="971"/>
        <v>734042192.0134728</v>
      </c>
      <c r="S266">
        <f t="shared" si="972"/>
        <v>7340.4219201347278</v>
      </c>
      <c r="T266">
        <f t="shared" si="973"/>
        <v>7.3404219201347276</v>
      </c>
    </row>
    <row r="267" spans="1:20" x14ac:dyDescent="0.25">
      <c r="A267" s="5">
        <v>44327</v>
      </c>
      <c r="B267">
        <v>1.3704000000000001</v>
      </c>
      <c r="C267">
        <v>1.4776</v>
      </c>
      <c r="D267">
        <v>1.323</v>
      </c>
      <c r="E267">
        <v>1.474</v>
      </c>
      <c r="F267">
        <v>29157905.149999999</v>
      </c>
      <c r="G267">
        <v>7.56</v>
      </c>
      <c r="L267" t="s">
        <v>8</v>
      </c>
      <c r="M267" t="s">
        <v>7</v>
      </c>
      <c r="N267" t="s">
        <v>8</v>
      </c>
      <c r="P267">
        <f t="shared" si="969"/>
        <v>0.95342820181112486</v>
      </c>
      <c r="Q267">
        <f t="shared" si="970"/>
        <v>27799969.075743835</v>
      </c>
      <c r="R267">
        <f t="shared" si="971"/>
        <v>764641922.31825936</v>
      </c>
      <c r="S267">
        <f t="shared" si="972"/>
        <v>7646.4192231825937</v>
      </c>
      <c r="T267">
        <f t="shared" si="973"/>
        <v>7.646419223182594</v>
      </c>
    </row>
    <row r="268" spans="1:20" x14ac:dyDescent="0.25">
      <c r="A268" s="5">
        <v>44326</v>
      </c>
      <c r="B268">
        <v>1.5152000000000001</v>
      </c>
      <c r="C268">
        <v>1.5561</v>
      </c>
      <c r="D268">
        <v>1.3053999999999999</v>
      </c>
      <c r="E268">
        <v>1.3707</v>
      </c>
      <c r="F268">
        <v>37404899.93</v>
      </c>
      <c r="G268">
        <v>-9.5399999999999991</v>
      </c>
      <c r="L268" t="s">
        <v>7</v>
      </c>
      <c r="M268" t="s">
        <v>7</v>
      </c>
      <c r="N268" t="s">
        <v>8</v>
      </c>
      <c r="P268">
        <f t="shared" si="969"/>
        <v>-0.47905863581970404</v>
      </c>
      <c r="Q268">
        <f t="shared" si="970"/>
        <v>-17919140.333438344</v>
      </c>
      <c r="R268">
        <f t="shared" si="971"/>
        <v>736841953.24251556</v>
      </c>
      <c r="S268">
        <f t="shared" si="972"/>
        <v>7368.4195324251559</v>
      </c>
      <c r="T268">
        <f t="shared" si="973"/>
        <v>7.3684195324251558</v>
      </c>
    </row>
    <row r="269" spans="1:20" x14ac:dyDescent="0.25">
      <c r="A269" s="5">
        <v>44325</v>
      </c>
      <c r="B269">
        <v>1.5182</v>
      </c>
      <c r="C269">
        <v>1.53</v>
      </c>
      <c r="D269">
        <v>1.4260999999999999</v>
      </c>
      <c r="E269">
        <v>1.5150999999999999</v>
      </c>
      <c r="F269">
        <v>32906775.52</v>
      </c>
      <c r="G269">
        <v>-0.2</v>
      </c>
      <c r="L269" t="s">
        <v>7</v>
      </c>
      <c r="M269" t="s">
        <v>8</v>
      </c>
      <c r="N269" t="s">
        <v>8</v>
      </c>
      <c r="P269">
        <f t="shared" si="969"/>
        <v>0.71318575553416519</v>
      </c>
      <c r="Q269">
        <f t="shared" si="970"/>
        <v>23468643.561424371</v>
      </c>
      <c r="R269">
        <f t="shared" si="971"/>
        <v>754761093.57595396</v>
      </c>
      <c r="S269">
        <f t="shared" si="972"/>
        <v>7547.6109357595396</v>
      </c>
      <c r="T269">
        <f t="shared" si="973"/>
        <v>7.5476109357595398</v>
      </c>
    </row>
    <row r="270" spans="1:20" x14ac:dyDescent="0.25">
      <c r="A270" s="5">
        <v>44324</v>
      </c>
      <c r="B270">
        <v>1.5774999999999999</v>
      </c>
      <c r="C270">
        <v>1.6244000000000001</v>
      </c>
      <c r="D270">
        <v>1.488</v>
      </c>
      <c r="E270">
        <v>1.5182</v>
      </c>
      <c r="F270">
        <v>33259498.390000001</v>
      </c>
      <c r="G270">
        <v>-3.76</v>
      </c>
      <c r="L270" t="s">
        <v>7</v>
      </c>
      <c r="M270" t="s">
        <v>8</v>
      </c>
      <c r="N270" t="s">
        <v>8</v>
      </c>
      <c r="P270">
        <f t="shared" si="969"/>
        <v>-0.557184750733138</v>
      </c>
      <c r="Q270">
        <f t="shared" si="970"/>
        <v>-18531685.319941357</v>
      </c>
      <c r="R270">
        <f t="shared" si="971"/>
        <v>731292450.01452959</v>
      </c>
      <c r="S270">
        <f t="shared" si="972"/>
        <v>7312.9245001452955</v>
      </c>
      <c r="T270">
        <f t="shared" si="973"/>
        <v>7.3129245001452956</v>
      </c>
    </row>
    <row r="271" spans="1:20" x14ac:dyDescent="0.25">
      <c r="A271" s="5">
        <v>44323</v>
      </c>
      <c r="B271">
        <v>1.5444</v>
      </c>
      <c r="C271">
        <v>1.6964999999999999</v>
      </c>
      <c r="D271">
        <v>1.4710000000000001</v>
      </c>
      <c r="E271">
        <v>1.5769</v>
      </c>
      <c r="F271">
        <v>65135937.219999999</v>
      </c>
      <c r="G271">
        <v>2.1</v>
      </c>
      <c r="L271" t="s">
        <v>8</v>
      </c>
      <c r="M271" t="s">
        <v>8</v>
      </c>
      <c r="N271" t="s">
        <v>8</v>
      </c>
      <c r="P271">
        <f t="shared" si="969"/>
        <v>-6.0753880266075644E-2</v>
      </c>
      <c r="Q271">
        <f t="shared" si="970"/>
        <v>-3957260.9308825</v>
      </c>
      <c r="R271">
        <f t="shared" si="971"/>
        <v>749824135.33447099</v>
      </c>
      <c r="S271">
        <f t="shared" si="972"/>
        <v>7498.2413533447098</v>
      </c>
      <c r="T271">
        <f t="shared" si="973"/>
        <v>7.4982413533447101</v>
      </c>
    </row>
    <row r="272" spans="1:20" x14ac:dyDescent="0.25">
      <c r="A272" s="5">
        <v>44322</v>
      </c>
      <c r="B272">
        <v>1.4419</v>
      </c>
      <c r="C272">
        <v>1.5791999999999999</v>
      </c>
      <c r="D272">
        <v>1.4129</v>
      </c>
      <c r="E272">
        <v>1.5444</v>
      </c>
      <c r="F272">
        <v>64557373.799999997</v>
      </c>
      <c r="G272">
        <v>7.11</v>
      </c>
      <c r="L272" t="s">
        <v>8</v>
      </c>
      <c r="M272" t="s">
        <v>8</v>
      </c>
      <c r="N272" t="s">
        <v>8</v>
      </c>
      <c r="P272">
        <f t="shared" si="969"/>
        <v>0.58147925435959158</v>
      </c>
      <c r="Q272">
        <f t="shared" si="970"/>
        <v>37538773.580637433</v>
      </c>
      <c r="R272">
        <f t="shared" si="971"/>
        <v>753781396.26535344</v>
      </c>
      <c r="S272">
        <f t="shared" si="972"/>
        <v>7537.813962653534</v>
      </c>
      <c r="T272">
        <f t="shared" si="973"/>
        <v>7.5378139626535337</v>
      </c>
    </row>
    <row r="273" spans="1:20" x14ac:dyDescent="0.25">
      <c r="A273" s="5">
        <v>44321</v>
      </c>
      <c r="B273">
        <v>1.2741</v>
      </c>
      <c r="C273">
        <v>1.4533</v>
      </c>
      <c r="D273">
        <v>1.2541</v>
      </c>
      <c r="E273">
        <v>1.4424999999999999</v>
      </c>
      <c r="F273">
        <v>32738167.359999999</v>
      </c>
      <c r="G273">
        <v>13.22</v>
      </c>
      <c r="L273" t="s">
        <v>7</v>
      </c>
      <c r="M273" t="s">
        <v>8</v>
      </c>
      <c r="N273" t="s">
        <v>8</v>
      </c>
      <c r="P273">
        <f t="shared" si="969"/>
        <v>0.8915662650602395</v>
      </c>
      <c r="Q273">
        <f t="shared" si="970"/>
        <v>29188245.598072242</v>
      </c>
      <c r="R273">
        <f t="shared" si="971"/>
        <v>716242622.68471599</v>
      </c>
      <c r="S273">
        <f t="shared" si="972"/>
        <v>7162.4262268471603</v>
      </c>
      <c r="T273">
        <f t="shared" si="973"/>
        <v>7.1624262268471606</v>
      </c>
    </row>
    <row r="274" spans="1:20" x14ac:dyDescent="0.25">
      <c r="A274" s="5">
        <v>44320</v>
      </c>
      <c r="B274">
        <v>1.4361999999999999</v>
      </c>
      <c r="C274">
        <v>1.4450000000000001</v>
      </c>
      <c r="D274">
        <v>1.2721</v>
      </c>
      <c r="E274">
        <v>1.2742</v>
      </c>
      <c r="F274">
        <v>42901870.729999997</v>
      </c>
      <c r="G274">
        <v>-11.28</v>
      </c>
      <c r="L274" t="s">
        <v>7</v>
      </c>
      <c r="M274" t="s">
        <v>8</v>
      </c>
      <c r="N274" t="s">
        <v>8</v>
      </c>
      <c r="P274">
        <f t="shared" si="969"/>
        <v>-0.9757085020242916</v>
      </c>
      <c r="Q274">
        <f t="shared" si="970"/>
        <v>-41859720.024008095</v>
      </c>
      <c r="R274">
        <f t="shared" si="971"/>
        <v>687054377.0866437</v>
      </c>
      <c r="S274">
        <f t="shared" si="972"/>
        <v>6870.5437708664367</v>
      </c>
      <c r="T274">
        <f t="shared" si="973"/>
        <v>6.870543770866437</v>
      </c>
    </row>
    <row r="275" spans="1:20" x14ac:dyDescent="0.25">
      <c r="A275" s="5">
        <v>44319</v>
      </c>
      <c r="B275">
        <v>1.3876999999999999</v>
      </c>
      <c r="C275">
        <v>1.4746999999999999</v>
      </c>
      <c r="D275">
        <v>1.3871</v>
      </c>
      <c r="E275">
        <v>1.4346000000000001</v>
      </c>
      <c r="F275">
        <v>30865267.07</v>
      </c>
      <c r="G275">
        <v>3.38</v>
      </c>
      <c r="L275" t="s">
        <v>8</v>
      </c>
      <c r="M275" t="s">
        <v>8</v>
      </c>
      <c r="N275" t="s">
        <v>8</v>
      </c>
      <c r="P275">
        <f t="shared" si="969"/>
        <v>8.4474885844752323E-2</v>
      </c>
      <c r="Q275">
        <f t="shared" si="970"/>
        <v>2607339.9123060429</v>
      </c>
      <c r="R275">
        <f t="shared" si="971"/>
        <v>728914097.11065173</v>
      </c>
      <c r="S275">
        <f t="shared" si="972"/>
        <v>7289.1409711065171</v>
      </c>
      <c r="T275">
        <f t="shared" si="973"/>
        <v>7.2891409711065167</v>
      </c>
    </row>
    <row r="276" spans="1:20" x14ac:dyDescent="0.25">
      <c r="A276" s="5">
        <v>44318</v>
      </c>
      <c r="B276">
        <v>1.3933</v>
      </c>
      <c r="C276">
        <v>1.4135</v>
      </c>
      <c r="D276">
        <v>1.3205</v>
      </c>
      <c r="E276">
        <v>1.3876999999999999</v>
      </c>
      <c r="F276">
        <v>28935955.190000001</v>
      </c>
      <c r="G276">
        <v>-0.4</v>
      </c>
      <c r="L276" t="s">
        <v>7</v>
      </c>
      <c r="M276" t="s">
        <v>8</v>
      </c>
      <c r="N276" t="s">
        <v>8</v>
      </c>
      <c r="P276">
        <f t="shared" si="969"/>
        <v>0.44516129032257951</v>
      </c>
      <c r="Q276">
        <f t="shared" si="970"/>
        <v>12881167.149096742</v>
      </c>
      <c r="R276">
        <f t="shared" si="971"/>
        <v>726306757.19834566</v>
      </c>
      <c r="S276">
        <f t="shared" si="972"/>
        <v>7263.0675719834562</v>
      </c>
      <c r="T276">
        <f t="shared" si="973"/>
        <v>7.2630675719834565</v>
      </c>
    </row>
    <row r="277" spans="1:20" x14ac:dyDescent="0.25">
      <c r="A277" s="5">
        <v>44317</v>
      </c>
      <c r="B277">
        <v>1.4029</v>
      </c>
      <c r="C277">
        <v>1.42</v>
      </c>
      <c r="D277">
        <v>1.3476999999999999</v>
      </c>
      <c r="E277">
        <v>1.3934</v>
      </c>
      <c r="F277">
        <v>26941499.739999998</v>
      </c>
      <c r="G277">
        <v>-0.68</v>
      </c>
      <c r="L277" t="s">
        <v>8</v>
      </c>
      <c r="M277" t="s">
        <v>8</v>
      </c>
      <c r="N277" t="s">
        <v>8</v>
      </c>
      <c r="P277">
        <f t="shared" si="969"/>
        <v>0.26417704011065157</v>
      </c>
      <c r="Q277">
        <f t="shared" si="970"/>
        <v>7117325.6574550886</v>
      </c>
      <c r="R277">
        <f t="shared" si="971"/>
        <v>713425590.04924893</v>
      </c>
      <c r="S277">
        <f t="shared" si="972"/>
        <v>7134.2559004924897</v>
      </c>
      <c r="T277">
        <f t="shared" si="973"/>
        <v>7.1342559004924899</v>
      </c>
    </row>
    <row r="278" spans="1:20" x14ac:dyDescent="0.25">
      <c r="A278" s="5">
        <v>44316</v>
      </c>
      <c r="B278">
        <v>1.3222</v>
      </c>
      <c r="C278">
        <v>1.4460999999999999</v>
      </c>
      <c r="D278">
        <v>1.2947</v>
      </c>
      <c r="E278">
        <v>1.4029</v>
      </c>
      <c r="F278">
        <v>44385214.399999999</v>
      </c>
      <c r="G278">
        <v>6.1</v>
      </c>
      <c r="L278" t="s">
        <v>8</v>
      </c>
      <c r="M278" t="s">
        <v>8</v>
      </c>
      <c r="N278" t="s">
        <v>8</v>
      </c>
      <c r="P278">
        <f t="shared" si="969"/>
        <v>0.42932628797886513</v>
      </c>
      <c r="Q278">
        <f t="shared" si="970"/>
        <v>19055739.339498069</v>
      </c>
      <c r="R278">
        <f t="shared" si="971"/>
        <v>706308264.39179385</v>
      </c>
      <c r="S278">
        <f t="shared" si="972"/>
        <v>7063.0826439179382</v>
      </c>
      <c r="T278">
        <f t="shared" si="973"/>
        <v>7.0630826439179382</v>
      </c>
    </row>
    <row r="279" spans="1:20" x14ac:dyDescent="0.25">
      <c r="A279" s="5">
        <v>44315</v>
      </c>
      <c r="B279">
        <v>1.2887999999999999</v>
      </c>
      <c r="C279">
        <v>1.3819999999999999</v>
      </c>
      <c r="D279">
        <v>1.2423999999999999</v>
      </c>
      <c r="E279">
        <v>1.3222</v>
      </c>
      <c r="F279">
        <v>43686975.829999998</v>
      </c>
      <c r="G279">
        <v>2.59</v>
      </c>
      <c r="L279" t="s">
        <v>8</v>
      </c>
      <c r="M279" t="s">
        <v>8</v>
      </c>
      <c r="N279" t="s">
        <v>8</v>
      </c>
      <c r="P279">
        <f t="shared" si="969"/>
        <v>0.14326647564470091</v>
      </c>
      <c r="Q279">
        <f t="shared" si="970"/>
        <v>6258879.0587393316</v>
      </c>
      <c r="R279">
        <f t="shared" si="971"/>
        <v>687252525.0522958</v>
      </c>
      <c r="S279">
        <f t="shared" si="972"/>
        <v>6872.5252505229582</v>
      </c>
      <c r="T279">
        <f t="shared" si="973"/>
        <v>6.8725252505229584</v>
      </c>
    </row>
    <row r="280" spans="1:20" x14ac:dyDescent="0.25">
      <c r="A280" s="5">
        <v>44314</v>
      </c>
      <c r="B280">
        <v>1.3092999999999999</v>
      </c>
      <c r="C280">
        <v>1.3364</v>
      </c>
      <c r="D280">
        <v>1.2093</v>
      </c>
      <c r="E280">
        <v>1.288</v>
      </c>
      <c r="F280">
        <v>32658509.670000002</v>
      </c>
      <c r="G280">
        <v>-1.63</v>
      </c>
      <c r="L280" t="s">
        <v>7</v>
      </c>
      <c r="M280" t="s">
        <v>8</v>
      </c>
      <c r="N280" t="s">
        <v>8</v>
      </c>
      <c r="P280">
        <f t="shared" si="969"/>
        <v>0.23839496459480722</v>
      </c>
      <c r="Q280">
        <f t="shared" si="970"/>
        <v>7785624.2564988192</v>
      </c>
      <c r="R280">
        <f t="shared" si="971"/>
        <v>680993645.9935565</v>
      </c>
      <c r="S280">
        <f t="shared" si="972"/>
        <v>6809.9364599355649</v>
      </c>
      <c r="T280">
        <f t="shared" si="973"/>
        <v>6.8099364599355647</v>
      </c>
    </row>
    <row r="281" spans="1:20" x14ac:dyDescent="0.25">
      <c r="A281" s="5">
        <v>44313</v>
      </c>
      <c r="B281">
        <v>1.2359</v>
      </c>
      <c r="C281">
        <v>1.3325</v>
      </c>
      <c r="D281">
        <v>1.2225999999999999</v>
      </c>
      <c r="E281">
        <v>1.3097000000000001</v>
      </c>
      <c r="F281">
        <v>41846178.549999997</v>
      </c>
      <c r="G281">
        <v>5.97</v>
      </c>
      <c r="L281" t="s">
        <v>8</v>
      </c>
      <c r="M281" t="s">
        <v>8</v>
      </c>
      <c r="N281" t="s">
        <v>8</v>
      </c>
      <c r="P281">
        <f t="shared" si="969"/>
        <v>0.58507734303912817</v>
      </c>
      <c r="Q281">
        <f t="shared" si="970"/>
        <v>24483250.962374955</v>
      </c>
      <c r="R281">
        <f t="shared" si="971"/>
        <v>673208021.73705769</v>
      </c>
      <c r="S281">
        <f t="shared" si="972"/>
        <v>6732.080217370577</v>
      </c>
      <c r="T281">
        <f t="shared" si="973"/>
        <v>6.7320802173705774</v>
      </c>
    </row>
    <row r="282" spans="1:20" x14ac:dyDescent="0.25">
      <c r="A282" s="5">
        <v>44312</v>
      </c>
      <c r="B282">
        <v>1.0946</v>
      </c>
      <c r="C282">
        <v>1.2484</v>
      </c>
      <c r="D282">
        <v>1.0823</v>
      </c>
      <c r="E282">
        <v>1.2363999999999999</v>
      </c>
      <c r="F282">
        <v>43331058.960000001</v>
      </c>
      <c r="G282">
        <v>12.95</v>
      </c>
      <c r="L282" t="s">
        <v>8</v>
      </c>
      <c r="M282" t="s">
        <v>8</v>
      </c>
      <c r="N282" t="s">
        <v>7</v>
      </c>
      <c r="P282">
        <f t="shared" si="969"/>
        <v>0.85550872968091496</v>
      </c>
      <c r="Q282">
        <f t="shared" si="970"/>
        <v>37070099.206598431</v>
      </c>
      <c r="R282">
        <f t="shared" si="971"/>
        <v>648724770.77468276</v>
      </c>
      <c r="S282">
        <f t="shared" si="972"/>
        <v>6487.2477077468275</v>
      </c>
      <c r="T282">
        <f t="shared" si="973"/>
        <v>6.4872477077468274</v>
      </c>
    </row>
    <row r="283" spans="1:20" x14ac:dyDescent="0.25">
      <c r="A283" s="5">
        <v>44311</v>
      </c>
      <c r="B283">
        <v>1.0884</v>
      </c>
      <c r="C283">
        <v>1.1932</v>
      </c>
      <c r="D283">
        <v>1.0478000000000001</v>
      </c>
      <c r="E283">
        <v>1.0939000000000001</v>
      </c>
      <c r="F283">
        <v>26813606.239999998</v>
      </c>
      <c r="G283">
        <v>0.51</v>
      </c>
      <c r="L283" t="s">
        <v>8</v>
      </c>
      <c r="M283" t="s">
        <v>8</v>
      </c>
      <c r="N283" t="s">
        <v>7</v>
      </c>
      <c r="P283">
        <f t="shared" si="969"/>
        <v>-0.36588720770288807</v>
      </c>
      <c r="Q283">
        <f t="shared" si="970"/>
        <v>-9810755.5155983344</v>
      </c>
      <c r="R283">
        <f t="shared" si="971"/>
        <v>611654671.56808436</v>
      </c>
      <c r="S283">
        <f t="shared" si="972"/>
        <v>6116.5467156808436</v>
      </c>
      <c r="T283">
        <f t="shared" si="973"/>
        <v>6.116546715680844</v>
      </c>
    </row>
    <row r="284" spans="1:20" x14ac:dyDescent="0.25">
      <c r="A284" s="5">
        <v>44310</v>
      </c>
      <c r="B284">
        <v>1.1667000000000001</v>
      </c>
      <c r="C284">
        <v>1.1713</v>
      </c>
      <c r="D284">
        <v>1.077</v>
      </c>
      <c r="E284">
        <v>1.0884</v>
      </c>
      <c r="F284">
        <v>27297319.920000002</v>
      </c>
      <c r="G284">
        <v>-6.71</v>
      </c>
      <c r="L284" t="s">
        <v>8</v>
      </c>
      <c r="M284" t="s">
        <v>8</v>
      </c>
      <c r="N284" t="s">
        <v>7</v>
      </c>
      <c r="P284">
        <f t="shared" si="969"/>
        <v>-0.75821845174973335</v>
      </c>
      <c r="Q284">
        <f t="shared" si="970"/>
        <v>-20697331.646659557</v>
      </c>
      <c r="R284">
        <f t="shared" si="971"/>
        <v>621465427.08368266</v>
      </c>
      <c r="S284">
        <f t="shared" si="972"/>
        <v>6214.654270836827</v>
      </c>
      <c r="T284">
        <f t="shared" si="973"/>
        <v>6.2146542708368271</v>
      </c>
    </row>
    <row r="285" spans="1:20" x14ac:dyDescent="0.25">
      <c r="A285" s="5">
        <v>44309</v>
      </c>
      <c r="B285">
        <v>1.1617999999999999</v>
      </c>
      <c r="C285">
        <v>1.1944999999999999</v>
      </c>
      <c r="D285">
        <v>0.91300000000000003</v>
      </c>
      <c r="E285">
        <v>1.1667000000000001</v>
      </c>
      <c r="F285">
        <v>84882770.109999999</v>
      </c>
      <c r="G285">
        <v>0.42</v>
      </c>
      <c r="L285" t="s">
        <v>7</v>
      </c>
      <c r="M285" t="s">
        <v>7</v>
      </c>
      <c r="N285" t="s">
        <v>7</v>
      </c>
      <c r="P285">
        <f t="shared" si="969"/>
        <v>0.80248667850799404</v>
      </c>
      <c r="Q285">
        <f t="shared" si="970"/>
        <v>68117292.248131528</v>
      </c>
      <c r="R285">
        <f t="shared" si="971"/>
        <v>642162758.73034227</v>
      </c>
      <c r="S285">
        <f t="shared" si="972"/>
        <v>6421.6275873034228</v>
      </c>
      <c r="T285">
        <f t="shared" si="973"/>
        <v>6.4216275873034228</v>
      </c>
    </row>
    <row r="286" spans="1:20" x14ac:dyDescent="0.25">
      <c r="A286" s="5">
        <v>44308</v>
      </c>
      <c r="B286">
        <v>1.2110000000000001</v>
      </c>
      <c r="C286">
        <v>1.3250999999999999</v>
      </c>
      <c r="D286">
        <v>1.1269</v>
      </c>
      <c r="E286">
        <v>1.1617999999999999</v>
      </c>
      <c r="F286">
        <v>60031368.840000004</v>
      </c>
      <c r="G286">
        <v>-4.0599999999999996</v>
      </c>
      <c r="L286" t="s">
        <v>7</v>
      </c>
      <c r="M286" t="s">
        <v>7</v>
      </c>
      <c r="N286" t="s">
        <v>7</v>
      </c>
      <c r="P286">
        <f t="shared" si="969"/>
        <v>-0.64783047426841633</v>
      </c>
      <c r="Q286">
        <f t="shared" si="970"/>
        <v>-38890150.146599434</v>
      </c>
      <c r="R286">
        <f t="shared" si="971"/>
        <v>574045466.48221076</v>
      </c>
      <c r="S286">
        <f t="shared" si="972"/>
        <v>5740.4546648221076</v>
      </c>
      <c r="T286">
        <f t="shared" si="973"/>
        <v>5.7404546648221073</v>
      </c>
    </row>
    <row r="287" spans="1:20" x14ac:dyDescent="0.25">
      <c r="A287" s="5">
        <v>44307</v>
      </c>
      <c r="B287">
        <v>1.29</v>
      </c>
      <c r="C287">
        <v>1.3449</v>
      </c>
      <c r="D287">
        <v>1.1891</v>
      </c>
      <c r="E287">
        <v>1.2103999999999999</v>
      </c>
      <c r="F287">
        <v>63234115.219999999</v>
      </c>
      <c r="G287">
        <v>-6.17</v>
      </c>
      <c r="L287" t="s">
        <v>8</v>
      </c>
      <c r="M287" t="s">
        <v>7</v>
      </c>
      <c r="N287" t="s">
        <v>7</v>
      </c>
      <c r="P287">
        <f t="shared" si="969"/>
        <v>-0.72657252888318502</v>
      </c>
      <c r="Q287">
        <f t="shared" si="970"/>
        <v>-45944171.007086098</v>
      </c>
      <c r="R287">
        <f t="shared" si="971"/>
        <v>612935616.62881017</v>
      </c>
      <c r="S287">
        <f t="shared" si="972"/>
        <v>6129.356166288102</v>
      </c>
      <c r="T287">
        <f t="shared" si="973"/>
        <v>6.129356166288102</v>
      </c>
    </row>
    <row r="288" spans="1:20" x14ac:dyDescent="0.25">
      <c r="A288" s="5">
        <v>44306</v>
      </c>
      <c r="B288">
        <v>1.2916000000000001</v>
      </c>
      <c r="C288">
        <v>1.35</v>
      </c>
      <c r="D288">
        <v>1.1599999999999999</v>
      </c>
      <c r="E288">
        <v>1.2907</v>
      </c>
      <c r="F288">
        <v>55700942.740000002</v>
      </c>
      <c r="G288">
        <v>-7.0000000000000007E-2</v>
      </c>
      <c r="L288" t="s">
        <v>7</v>
      </c>
      <c r="M288" t="s">
        <v>7</v>
      </c>
      <c r="N288" t="s">
        <v>7</v>
      </c>
      <c r="P288">
        <f t="shared" si="969"/>
        <v>0.37578947368420973</v>
      </c>
      <c r="Q288">
        <f t="shared" si="970"/>
        <v>20931827.955978904</v>
      </c>
      <c r="R288">
        <f t="shared" si="971"/>
        <v>658879787.63589633</v>
      </c>
      <c r="S288">
        <f t="shared" si="972"/>
        <v>6588.7978763589635</v>
      </c>
      <c r="T288">
        <f t="shared" si="973"/>
        <v>6.5887978763589636</v>
      </c>
    </row>
    <row r="289" spans="1:20" x14ac:dyDescent="0.25">
      <c r="A289" s="5">
        <v>44305</v>
      </c>
      <c r="B289">
        <v>1.4572000000000001</v>
      </c>
      <c r="C289">
        <v>1.53</v>
      </c>
      <c r="D289">
        <v>1.2811999999999999</v>
      </c>
      <c r="E289">
        <v>1.2923</v>
      </c>
      <c r="F289">
        <v>67559331.430000007</v>
      </c>
      <c r="G289">
        <v>-11.32</v>
      </c>
      <c r="L289" t="s">
        <v>8</v>
      </c>
      <c r="M289" t="s">
        <v>8</v>
      </c>
      <c r="N289" t="s">
        <v>7</v>
      </c>
      <c r="P289">
        <f t="shared" si="969"/>
        <v>-0.91077170418006348</v>
      </c>
      <c r="Q289">
        <f t="shared" si="970"/>
        <v>-61531127.419766828</v>
      </c>
      <c r="R289">
        <f t="shared" si="971"/>
        <v>637947959.67991745</v>
      </c>
      <c r="S289">
        <f t="shared" si="972"/>
        <v>6379.4795967991749</v>
      </c>
      <c r="T289">
        <f t="shared" si="973"/>
        <v>6.3794795967991753</v>
      </c>
    </row>
    <row r="290" spans="1:20" x14ac:dyDescent="0.25">
      <c r="A290" s="5">
        <v>44304</v>
      </c>
      <c r="B290">
        <v>1.6998</v>
      </c>
      <c r="C290">
        <v>1.7183999999999999</v>
      </c>
      <c r="D290">
        <v>1.2116</v>
      </c>
      <c r="E290">
        <v>1.4573</v>
      </c>
      <c r="F290">
        <v>93183256.670000002</v>
      </c>
      <c r="G290">
        <v>-14.27</v>
      </c>
      <c r="L290" t="s">
        <v>7</v>
      </c>
      <c r="M290" t="s">
        <v>7</v>
      </c>
      <c r="N290" t="s">
        <v>7</v>
      </c>
      <c r="P290">
        <f t="shared" si="969"/>
        <v>-3.0386740331491437E-2</v>
      </c>
      <c r="Q290">
        <f t="shared" si="970"/>
        <v>-2831535.4236740074</v>
      </c>
      <c r="R290">
        <f t="shared" si="971"/>
        <v>699479087.09968424</v>
      </c>
      <c r="S290">
        <f t="shared" si="972"/>
        <v>6994.7908709968424</v>
      </c>
      <c r="T290">
        <f t="shared" si="973"/>
        <v>6.9947908709968427</v>
      </c>
    </row>
    <row r="291" spans="1:20" x14ac:dyDescent="0.25">
      <c r="A291" s="5">
        <v>44303</v>
      </c>
      <c r="B291">
        <v>1.5043</v>
      </c>
      <c r="C291">
        <v>1.7999000000000001</v>
      </c>
      <c r="D291">
        <v>1.5042</v>
      </c>
      <c r="E291">
        <v>1.6998</v>
      </c>
      <c r="F291">
        <v>107016656.58</v>
      </c>
      <c r="G291">
        <v>13</v>
      </c>
      <c r="L291" t="s">
        <v>8</v>
      </c>
      <c r="M291" t="s">
        <v>8</v>
      </c>
      <c r="N291" t="s">
        <v>8</v>
      </c>
      <c r="P291">
        <f t="shared" si="969"/>
        <v>0.32296246195468342</v>
      </c>
      <c r="Q291">
        <f t="shared" si="970"/>
        <v>34562362.87923567</v>
      </c>
      <c r="R291">
        <f t="shared" si="971"/>
        <v>702310622.52335823</v>
      </c>
      <c r="S291">
        <f t="shared" si="972"/>
        <v>7023.1062252335823</v>
      </c>
      <c r="T291">
        <f t="shared" si="973"/>
        <v>7.0231062252335823</v>
      </c>
    </row>
    <row r="292" spans="1:20" x14ac:dyDescent="0.25">
      <c r="A292" s="5">
        <v>44302</v>
      </c>
      <c r="B292">
        <v>1.5687</v>
      </c>
      <c r="C292">
        <v>1.5992999999999999</v>
      </c>
      <c r="D292">
        <v>1.4011</v>
      </c>
      <c r="E292">
        <v>1.5044</v>
      </c>
      <c r="F292">
        <v>42028773.399999999</v>
      </c>
      <c r="G292">
        <v>-4.0999999999999996</v>
      </c>
      <c r="L292" t="s">
        <v>7</v>
      </c>
      <c r="M292" t="s">
        <v>8</v>
      </c>
      <c r="N292" t="s">
        <v>8</v>
      </c>
      <c r="P292">
        <f t="shared" si="969"/>
        <v>4.2381432896064407E-2</v>
      </c>
      <c r="Q292">
        <f t="shared" si="970"/>
        <v>1781239.6395559967</v>
      </c>
      <c r="R292">
        <f t="shared" si="971"/>
        <v>667748259.6441226</v>
      </c>
      <c r="S292">
        <f t="shared" si="972"/>
        <v>6677.4825964412257</v>
      </c>
      <c r="T292">
        <f t="shared" si="973"/>
        <v>6.6774825964412257</v>
      </c>
    </row>
    <row r="293" spans="1:20" x14ac:dyDescent="0.25">
      <c r="A293" s="5">
        <v>44301</v>
      </c>
      <c r="B293">
        <v>1.4632000000000001</v>
      </c>
      <c r="C293">
        <v>1.6233</v>
      </c>
      <c r="D293">
        <v>1.4457</v>
      </c>
      <c r="E293">
        <v>1.5686</v>
      </c>
      <c r="F293">
        <v>45169904.399999999</v>
      </c>
      <c r="G293">
        <v>7.2</v>
      </c>
      <c r="L293" t="s">
        <v>8</v>
      </c>
      <c r="M293" t="s">
        <v>8</v>
      </c>
      <c r="N293" t="s">
        <v>8</v>
      </c>
      <c r="P293">
        <f t="shared" si="969"/>
        <v>0.38400900900900925</v>
      </c>
      <c r="Q293">
        <f t="shared" si="970"/>
        <v>17345650.225675687</v>
      </c>
      <c r="R293">
        <f t="shared" si="971"/>
        <v>665967020.00456655</v>
      </c>
      <c r="S293">
        <f t="shared" si="972"/>
        <v>6659.6702000456653</v>
      </c>
      <c r="T293">
        <f t="shared" si="973"/>
        <v>6.6596702000456656</v>
      </c>
    </row>
    <row r="294" spans="1:20" x14ac:dyDescent="0.25">
      <c r="A294" s="5">
        <v>44300</v>
      </c>
      <c r="B294">
        <v>1.5152000000000001</v>
      </c>
      <c r="C294">
        <v>1.5284</v>
      </c>
      <c r="D294">
        <v>1.3816999999999999</v>
      </c>
      <c r="E294">
        <v>1.4631000000000001</v>
      </c>
      <c r="F294">
        <v>43363718.549999997</v>
      </c>
      <c r="G294">
        <v>-3.44</v>
      </c>
      <c r="L294" t="s">
        <v>7</v>
      </c>
      <c r="M294" t="s">
        <v>8</v>
      </c>
      <c r="N294" t="s">
        <v>8</v>
      </c>
      <c r="P294">
        <f t="shared" si="969"/>
        <v>0.10974778459441185</v>
      </c>
      <c r="Q294">
        <f t="shared" si="970"/>
        <v>4759072.0426381016</v>
      </c>
      <c r="R294">
        <f t="shared" si="971"/>
        <v>648621369.77889085</v>
      </c>
      <c r="S294">
        <f t="shared" si="972"/>
        <v>6486.2136977889086</v>
      </c>
      <c r="T294">
        <f t="shared" si="973"/>
        <v>6.4862136977889087</v>
      </c>
    </row>
    <row r="295" spans="1:20" x14ac:dyDescent="0.25">
      <c r="A295" s="5">
        <v>44299</v>
      </c>
      <c r="B295">
        <v>1.4821</v>
      </c>
      <c r="C295">
        <v>1.5548</v>
      </c>
      <c r="D295">
        <v>1.4165000000000001</v>
      </c>
      <c r="E295">
        <v>1.5156000000000001</v>
      </c>
      <c r="F295">
        <v>45048822.829999998</v>
      </c>
      <c r="G295">
        <v>2.2599999999999998</v>
      </c>
      <c r="L295" t="s">
        <v>7</v>
      </c>
      <c r="M295" t="s">
        <v>8</v>
      </c>
      <c r="N295" t="s">
        <v>8</v>
      </c>
      <c r="P295">
        <f t="shared" si="969"/>
        <v>0.43311641359363789</v>
      </c>
      <c r="Q295">
        <f t="shared" si="970"/>
        <v>19511384.580744796</v>
      </c>
      <c r="R295">
        <f t="shared" si="971"/>
        <v>643862297.73625278</v>
      </c>
      <c r="S295">
        <f t="shared" si="972"/>
        <v>6438.6229773625282</v>
      </c>
      <c r="T295">
        <f t="shared" si="973"/>
        <v>6.4386229773625283</v>
      </c>
    </row>
    <row r="296" spans="1:20" x14ac:dyDescent="0.25">
      <c r="A296" s="5">
        <v>44298</v>
      </c>
      <c r="B296">
        <v>1.5214000000000001</v>
      </c>
      <c r="C296">
        <v>1.5974999999999999</v>
      </c>
      <c r="D296">
        <v>1.4283999999999999</v>
      </c>
      <c r="E296">
        <v>1.482</v>
      </c>
      <c r="F296">
        <v>56320387.539999999</v>
      </c>
      <c r="G296">
        <v>-2.59</v>
      </c>
      <c r="L296" t="s">
        <v>8</v>
      </c>
      <c r="M296" t="s">
        <v>8</v>
      </c>
      <c r="N296" t="s">
        <v>8</v>
      </c>
      <c r="P296">
        <f t="shared" si="969"/>
        <v>-0.36605558840922431</v>
      </c>
      <c r="Q296">
        <f t="shared" si="970"/>
        <v>-20616392.600390244</v>
      </c>
      <c r="R296">
        <f t="shared" si="971"/>
        <v>624350913.15550804</v>
      </c>
      <c r="S296">
        <f t="shared" si="972"/>
        <v>6243.5091315550808</v>
      </c>
      <c r="T296">
        <f t="shared" si="973"/>
        <v>6.243509131555081</v>
      </c>
    </row>
    <row r="297" spans="1:20" x14ac:dyDescent="0.25">
      <c r="A297" s="5">
        <v>44297</v>
      </c>
      <c r="B297">
        <v>1.3904000000000001</v>
      </c>
      <c r="C297">
        <v>1.5461</v>
      </c>
      <c r="D297">
        <v>1.3577999999999999</v>
      </c>
      <c r="E297">
        <v>1.5212000000000001</v>
      </c>
      <c r="F297">
        <v>46533319.729999997</v>
      </c>
      <c r="G297">
        <v>9.41</v>
      </c>
      <c r="L297" t="s">
        <v>8</v>
      </c>
      <c r="M297" t="s">
        <v>8</v>
      </c>
      <c r="N297" t="s">
        <v>8</v>
      </c>
      <c r="P297">
        <f t="shared" si="969"/>
        <v>0.73552841210833875</v>
      </c>
      <c r="Q297">
        <f t="shared" si="970"/>
        <v>34226578.77113653</v>
      </c>
      <c r="R297">
        <f t="shared" si="971"/>
        <v>644967305.75589824</v>
      </c>
      <c r="S297">
        <f t="shared" si="972"/>
        <v>6449.6730575589827</v>
      </c>
      <c r="T297">
        <f t="shared" si="973"/>
        <v>6.4496730575589831</v>
      </c>
    </row>
    <row r="298" spans="1:20" x14ac:dyDescent="0.25">
      <c r="A298" s="5">
        <v>44296</v>
      </c>
      <c r="B298">
        <v>1.3935999999999999</v>
      </c>
      <c r="C298">
        <v>1.4772000000000001</v>
      </c>
      <c r="D298">
        <v>1.3539000000000001</v>
      </c>
      <c r="E298">
        <v>1.3900999999999999</v>
      </c>
      <c r="F298">
        <v>42519519.5</v>
      </c>
      <c r="G298">
        <v>-0.25</v>
      </c>
      <c r="L298" t="s">
        <v>8</v>
      </c>
      <c r="M298" t="s">
        <v>7</v>
      </c>
      <c r="N298" t="s">
        <v>8</v>
      </c>
      <c r="P298">
        <f t="shared" si="969"/>
        <v>-0.41281427412814603</v>
      </c>
      <c r="Q298">
        <f t="shared" si="970"/>
        <v>-17552664.578670051</v>
      </c>
      <c r="R298">
        <f t="shared" si="971"/>
        <v>610740726.98476171</v>
      </c>
      <c r="S298">
        <f t="shared" si="972"/>
        <v>6107.4072698476175</v>
      </c>
      <c r="T298">
        <f t="shared" si="973"/>
        <v>6.1074072698476174</v>
      </c>
    </row>
    <row r="299" spans="1:20" x14ac:dyDescent="0.25">
      <c r="A299" s="5">
        <v>44295</v>
      </c>
      <c r="B299">
        <v>1.3508</v>
      </c>
      <c r="C299">
        <v>1.4287000000000001</v>
      </c>
      <c r="D299">
        <v>1.3187</v>
      </c>
      <c r="E299">
        <v>1.3935999999999999</v>
      </c>
      <c r="F299">
        <v>37068523.149999999</v>
      </c>
      <c r="G299">
        <v>3.17</v>
      </c>
      <c r="L299" t="s">
        <v>8</v>
      </c>
      <c r="M299" t="s">
        <v>7</v>
      </c>
      <c r="N299" t="s">
        <v>8</v>
      </c>
      <c r="P299">
        <f t="shared" si="969"/>
        <v>0.36181818181817998</v>
      </c>
      <c r="Q299">
        <f t="shared" si="970"/>
        <v>13412065.648818113</v>
      </c>
      <c r="R299">
        <f t="shared" si="971"/>
        <v>628293391.56343174</v>
      </c>
      <c r="S299">
        <f t="shared" si="972"/>
        <v>6282.9339156343176</v>
      </c>
      <c r="T299">
        <f t="shared" si="973"/>
        <v>6.2829339156343176</v>
      </c>
    </row>
    <row r="300" spans="1:20" x14ac:dyDescent="0.25">
      <c r="A300" s="5">
        <v>44294</v>
      </c>
      <c r="B300">
        <v>1.3035000000000001</v>
      </c>
      <c r="C300">
        <v>1.3843000000000001</v>
      </c>
      <c r="D300">
        <v>1.2903</v>
      </c>
      <c r="E300">
        <v>1.3508</v>
      </c>
      <c r="F300">
        <v>29223051.82</v>
      </c>
      <c r="G300">
        <v>3.63</v>
      </c>
      <c r="L300" t="s">
        <v>8</v>
      </c>
      <c r="M300" t="s">
        <v>7</v>
      </c>
      <c r="N300" t="s">
        <v>8</v>
      </c>
      <c r="P300">
        <f t="shared" si="969"/>
        <v>0.28723404255319029</v>
      </c>
      <c r="Q300">
        <f t="shared" si="970"/>
        <v>8393855.3099999651</v>
      </c>
      <c r="R300">
        <f t="shared" si="971"/>
        <v>614881325.9146136</v>
      </c>
      <c r="S300">
        <f t="shared" si="972"/>
        <v>6148.8132591461363</v>
      </c>
      <c r="T300">
        <f t="shared" si="973"/>
        <v>6.1488132591461362</v>
      </c>
    </row>
    <row r="301" spans="1:20" x14ac:dyDescent="0.25">
      <c r="A301" s="5">
        <v>44293</v>
      </c>
      <c r="B301">
        <v>1.3985000000000001</v>
      </c>
      <c r="C301">
        <v>1.4823</v>
      </c>
      <c r="D301">
        <v>1.2495000000000001</v>
      </c>
      <c r="E301">
        <v>1.3024</v>
      </c>
      <c r="F301">
        <v>63024693.780000001</v>
      </c>
      <c r="G301">
        <v>-6.87</v>
      </c>
      <c r="L301" t="s">
        <v>7</v>
      </c>
      <c r="M301" t="s">
        <v>7</v>
      </c>
      <c r="N301" t="s">
        <v>8</v>
      </c>
      <c r="P301">
        <f t="shared" si="969"/>
        <v>-0.54553264604811025</v>
      </c>
      <c r="Q301">
        <f t="shared" si="970"/>
        <v>-34382027.964175276</v>
      </c>
      <c r="R301">
        <f t="shared" si="971"/>
        <v>606487470.60461366</v>
      </c>
      <c r="S301">
        <f t="shared" si="972"/>
        <v>6064.8747060461365</v>
      </c>
      <c r="T301">
        <f t="shared" si="973"/>
        <v>6.0648747060461368</v>
      </c>
    </row>
    <row r="302" spans="1:20" x14ac:dyDescent="0.25">
      <c r="A302" s="5">
        <v>44292</v>
      </c>
      <c r="B302">
        <v>1.4016</v>
      </c>
      <c r="C302">
        <v>1.4886999999999999</v>
      </c>
      <c r="D302">
        <v>1.347</v>
      </c>
      <c r="E302">
        <v>1.3984000000000001</v>
      </c>
      <c r="F302">
        <v>53788452.039999999</v>
      </c>
      <c r="G302">
        <v>-0.23</v>
      </c>
      <c r="L302" t="s">
        <v>8</v>
      </c>
      <c r="M302" t="s">
        <v>8</v>
      </c>
      <c r="N302" t="s">
        <v>8</v>
      </c>
      <c r="P302">
        <f t="shared" si="969"/>
        <v>-0.27452364149611663</v>
      </c>
      <c r="Q302">
        <f t="shared" si="970"/>
        <v>-14766201.724460023</v>
      </c>
      <c r="R302">
        <f t="shared" si="971"/>
        <v>640869498.56878889</v>
      </c>
      <c r="S302">
        <f t="shared" si="972"/>
        <v>6408.6949856878891</v>
      </c>
      <c r="T302">
        <f t="shared" si="973"/>
        <v>6.4086949856878892</v>
      </c>
    </row>
    <row r="303" spans="1:20" x14ac:dyDescent="0.25">
      <c r="A303" s="5">
        <v>44291</v>
      </c>
      <c r="B303">
        <v>1.3095000000000001</v>
      </c>
      <c r="C303">
        <v>1.43</v>
      </c>
      <c r="D303">
        <v>1.2709999999999999</v>
      </c>
      <c r="E303">
        <v>1.4013</v>
      </c>
      <c r="F303">
        <v>44979680.039999999</v>
      </c>
      <c r="G303">
        <v>7.01</v>
      </c>
      <c r="L303" t="s">
        <v>8</v>
      </c>
      <c r="M303" t="s">
        <v>8</v>
      </c>
      <c r="N303" t="s">
        <v>8</v>
      </c>
      <c r="P303">
        <f t="shared" si="969"/>
        <v>0.63899371069182465</v>
      </c>
      <c r="Q303">
        <f t="shared" si="970"/>
        <v>28741732.654490598</v>
      </c>
      <c r="R303">
        <f t="shared" si="971"/>
        <v>655635700.29324889</v>
      </c>
      <c r="S303">
        <f t="shared" si="972"/>
        <v>6556.3570029324892</v>
      </c>
      <c r="T303">
        <f t="shared" si="973"/>
        <v>6.5563570029324891</v>
      </c>
    </row>
    <row r="304" spans="1:20" x14ac:dyDescent="0.25">
      <c r="A304" s="5">
        <v>44290</v>
      </c>
      <c r="B304">
        <v>1.2623</v>
      </c>
      <c r="C304">
        <v>1.3493999999999999</v>
      </c>
      <c r="D304">
        <v>1.2326999999999999</v>
      </c>
      <c r="E304">
        <v>1.3093999999999999</v>
      </c>
      <c r="F304">
        <v>33103163.48</v>
      </c>
      <c r="G304">
        <v>3.73</v>
      </c>
      <c r="L304" t="s">
        <v>7</v>
      </c>
      <c r="M304" t="s">
        <v>8</v>
      </c>
      <c r="N304" t="s">
        <v>8</v>
      </c>
      <c r="P304">
        <f t="shared" si="969"/>
        <v>0.31448157669237314</v>
      </c>
      <c r="Q304">
        <f t="shared" si="970"/>
        <v>10410335.044695785</v>
      </c>
      <c r="R304">
        <f t="shared" si="971"/>
        <v>626893967.6387583</v>
      </c>
      <c r="S304">
        <f t="shared" si="972"/>
        <v>6268.9396763875829</v>
      </c>
      <c r="T304">
        <f t="shared" si="973"/>
        <v>6.2689396763875829</v>
      </c>
    </row>
    <row r="305" spans="1:20" x14ac:dyDescent="0.25">
      <c r="A305" s="5">
        <v>44289</v>
      </c>
      <c r="B305">
        <v>1.3581000000000001</v>
      </c>
      <c r="C305">
        <v>1.47</v>
      </c>
      <c r="D305">
        <v>1.2579</v>
      </c>
      <c r="E305">
        <v>1.2622</v>
      </c>
      <c r="F305">
        <v>61626197.090000004</v>
      </c>
      <c r="G305">
        <v>-7.06</v>
      </c>
      <c r="L305" t="s">
        <v>8</v>
      </c>
      <c r="M305" t="s">
        <v>8</v>
      </c>
      <c r="N305" t="s">
        <v>8</v>
      </c>
      <c r="P305">
        <f t="shared" si="969"/>
        <v>-0.95945308816595976</v>
      </c>
      <c r="Q305">
        <f t="shared" si="970"/>
        <v>-59127445.109924585</v>
      </c>
      <c r="R305">
        <f t="shared" si="971"/>
        <v>616483632.59406257</v>
      </c>
      <c r="S305">
        <f t="shared" si="972"/>
        <v>6164.836325940626</v>
      </c>
      <c r="T305">
        <f t="shared" si="973"/>
        <v>6.1648363259406258</v>
      </c>
    </row>
    <row r="306" spans="1:20" x14ac:dyDescent="0.25">
      <c r="A306" s="5">
        <v>44288</v>
      </c>
      <c r="B306">
        <v>1.3219000000000001</v>
      </c>
      <c r="C306">
        <v>1.3692</v>
      </c>
      <c r="D306">
        <v>1.3026</v>
      </c>
      <c r="E306">
        <v>1.3589</v>
      </c>
      <c r="F306">
        <v>28961305.870000001</v>
      </c>
      <c r="G306">
        <v>2.8</v>
      </c>
      <c r="L306" t="s">
        <v>8</v>
      </c>
      <c r="M306" t="s">
        <v>8</v>
      </c>
      <c r="N306" t="s">
        <v>8</v>
      </c>
      <c r="P306">
        <f t="shared" si="969"/>
        <v>0.69069069069069133</v>
      </c>
      <c r="Q306">
        <f t="shared" si="970"/>
        <v>20003304.354654673</v>
      </c>
      <c r="R306">
        <f t="shared" si="971"/>
        <v>675611077.70398712</v>
      </c>
      <c r="S306">
        <f t="shared" si="972"/>
        <v>6756.1107770398712</v>
      </c>
      <c r="T306">
        <f t="shared" si="973"/>
        <v>6.7561107770398712</v>
      </c>
    </row>
    <row r="307" spans="1:20" x14ac:dyDescent="0.25">
      <c r="A307" s="5">
        <v>44287</v>
      </c>
      <c r="B307">
        <v>1.3654999999999999</v>
      </c>
      <c r="C307">
        <v>1.4</v>
      </c>
      <c r="D307">
        <v>1.2916000000000001</v>
      </c>
      <c r="E307">
        <v>1.3214999999999999</v>
      </c>
      <c r="F307">
        <v>34933539.82</v>
      </c>
      <c r="G307">
        <v>-3.22</v>
      </c>
      <c r="L307" t="s">
        <v>8</v>
      </c>
      <c r="M307" t="s">
        <v>8</v>
      </c>
      <c r="N307" t="s">
        <v>8</v>
      </c>
      <c r="P307">
        <f t="shared" si="969"/>
        <v>-0.44833948339483648</v>
      </c>
      <c r="Q307">
        <f t="shared" si="970"/>
        <v>-15662085.196051748</v>
      </c>
      <c r="R307">
        <f t="shared" si="971"/>
        <v>655607773.34933245</v>
      </c>
      <c r="S307">
        <f t="shared" si="972"/>
        <v>6556.0777334933246</v>
      </c>
      <c r="T307">
        <f t="shared" si="973"/>
        <v>6.5560777334933249</v>
      </c>
    </row>
    <row r="308" spans="1:20" x14ac:dyDescent="0.25">
      <c r="A308" s="5">
        <v>44286</v>
      </c>
      <c r="B308">
        <v>1.3244</v>
      </c>
      <c r="C308">
        <v>1.3724000000000001</v>
      </c>
      <c r="D308">
        <v>1.2425999999999999</v>
      </c>
      <c r="E308">
        <v>1.3667</v>
      </c>
      <c r="F308">
        <v>41808872.390000001</v>
      </c>
      <c r="G308">
        <v>3.19</v>
      </c>
      <c r="L308" t="s">
        <v>7</v>
      </c>
      <c r="M308" t="s">
        <v>8</v>
      </c>
      <c r="N308" t="s">
        <v>8</v>
      </c>
      <c r="P308">
        <f t="shared" si="969"/>
        <v>0.91217257318952183</v>
      </c>
      <c r="Q308">
        <f t="shared" si="970"/>
        <v>38136906.710138656</v>
      </c>
      <c r="R308">
        <f t="shared" si="971"/>
        <v>671269858.54538417</v>
      </c>
      <c r="S308">
        <f t="shared" si="972"/>
        <v>6712.6985854538416</v>
      </c>
      <c r="T308">
        <f t="shared" si="973"/>
        <v>6.7126985854538415</v>
      </c>
    </row>
    <row r="309" spans="1:20" x14ac:dyDescent="0.25">
      <c r="A309" s="5">
        <v>44285</v>
      </c>
      <c r="B309">
        <v>1.4018999999999999</v>
      </c>
      <c r="C309">
        <v>1.4298</v>
      </c>
      <c r="D309">
        <v>1.3001</v>
      </c>
      <c r="E309">
        <v>1.3245</v>
      </c>
      <c r="F309">
        <v>48502965.880000003</v>
      </c>
      <c r="G309">
        <v>-5.52</v>
      </c>
      <c r="L309" t="s">
        <v>7</v>
      </c>
      <c r="M309" t="s">
        <v>8</v>
      </c>
      <c r="N309" t="s">
        <v>8</v>
      </c>
      <c r="P309">
        <f t="shared" si="969"/>
        <v>-0.62374710871241335</v>
      </c>
      <c r="Q309">
        <f t="shared" si="970"/>
        <v>-30253584.731626838</v>
      </c>
      <c r="R309">
        <f t="shared" si="971"/>
        <v>633132951.83524549</v>
      </c>
      <c r="S309">
        <f t="shared" si="972"/>
        <v>6331.3295183524551</v>
      </c>
      <c r="T309">
        <f t="shared" si="973"/>
        <v>6.3313295183524554</v>
      </c>
    </row>
    <row r="310" spans="1:20" x14ac:dyDescent="0.25">
      <c r="A310" s="5">
        <v>44284</v>
      </c>
      <c r="B310">
        <v>1.2354000000000001</v>
      </c>
      <c r="C310">
        <v>1.4520999999999999</v>
      </c>
      <c r="D310">
        <v>1.2166999999999999</v>
      </c>
      <c r="E310">
        <v>1.4018999999999999</v>
      </c>
      <c r="F310">
        <v>64439697.130000003</v>
      </c>
      <c r="G310">
        <v>13.48</v>
      </c>
      <c r="L310" t="s">
        <v>8</v>
      </c>
      <c r="M310" t="s">
        <v>8</v>
      </c>
      <c r="N310" t="s">
        <v>8</v>
      </c>
      <c r="P310">
        <f t="shared" si="969"/>
        <v>0.5734919286321154</v>
      </c>
      <c r="Q310">
        <f t="shared" si="970"/>
        <v>36955646.187553093</v>
      </c>
      <c r="R310">
        <f t="shared" si="971"/>
        <v>663386536.56687236</v>
      </c>
      <c r="S310">
        <f t="shared" si="972"/>
        <v>6633.8653656687238</v>
      </c>
      <c r="T310">
        <f t="shared" si="973"/>
        <v>6.6338653656687239</v>
      </c>
    </row>
    <row r="311" spans="1:20" x14ac:dyDescent="0.25">
      <c r="A311" s="5">
        <v>44283</v>
      </c>
      <c r="B311">
        <v>1.1597999999999999</v>
      </c>
      <c r="C311">
        <v>1.2687999999999999</v>
      </c>
      <c r="D311">
        <v>1.1451</v>
      </c>
      <c r="E311">
        <v>1.2354000000000001</v>
      </c>
      <c r="F311">
        <v>50280348.68</v>
      </c>
      <c r="G311">
        <v>6.52</v>
      </c>
      <c r="L311" t="s">
        <v>8</v>
      </c>
      <c r="M311" t="s">
        <v>8</v>
      </c>
      <c r="N311" t="s">
        <v>7</v>
      </c>
      <c r="P311">
        <f t="shared" si="969"/>
        <v>0.45998383185125474</v>
      </c>
      <c r="Q311">
        <f t="shared" si="970"/>
        <v>23128147.452643577</v>
      </c>
      <c r="R311">
        <f t="shared" si="971"/>
        <v>626430890.37931931</v>
      </c>
      <c r="S311">
        <f t="shared" si="972"/>
        <v>6264.3089037931932</v>
      </c>
      <c r="T311">
        <f t="shared" si="973"/>
        <v>6.2643089037931929</v>
      </c>
    </row>
    <row r="312" spans="1:20" x14ac:dyDescent="0.25">
      <c r="A312" s="5">
        <v>44282</v>
      </c>
      <c r="B312">
        <v>1.117</v>
      </c>
      <c r="C312">
        <v>1.2178</v>
      </c>
      <c r="D312">
        <v>1.0912999999999999</v>
      </c>
      <c r="E312">
        <v>1.1597</v>
      </c>
      <c r="F312">
        <v>53517074.740000002</v>
      </c>
      <c r="G312">
        <v>3.82</v>
      </c>
      <c r="L312" t="s">
        <v>8</v>
      </c>
      <c r="M312" t="s">
        <v>8</v>
      </c>
      <c r="N312" t="s">
        <v>7</v>
      </c>
      <c r="P312">
        <f t="shared" si="969"/>
        <v>8.1422924901185537E-2</v>
      </c>
      <c r="Q312">
        <f t="shared" si="970"/>
        <v>4357516.7574861534</v>
      </c>
      <c r="R312">
        <f t="shared" si="971"/>
        <v>603302742.92667568</v>
      </c>
      <c r="S312">
        <f t="shared" si="972"/>
        <v>6033.0274292667564</v>
      </c>
      <c r="T312">
        <f t="shared" si="973"/>
        <v>6.0330274292667561</v>
      </c>
    </row>
    <row r="313" spans="1:20" x14ac:dyDescent="0.25">
      <c r="A313" s="5">
        <v>44281</v>
      </c>
      <c r="B313">
        <v>1.0424</v>
      </c>
      <c r="C313">
        <v>1.1249</v>
      </c>
      <c r="D313">
        <v>1.0391999999999999</v>
      </c>
      <c r="E313">
        <v>1.1173999999999999</v>
      </c>
      <c r="F313">
        <v>28367784.629999999</v>
      </c>
      <c r="G313">
        <v>7.19</v>
      </c>
      <c r="L313" t="s">
        <v>8</v>
      </c>
      <c r="M313" t="s">
        <v>7</v>
      </c>
      <c r="N313" t="s">
        <v>7</v>
      </c>
      <c r="P313">
        <f t="shared" si="969"/>
        <v>0.82497082847141068</v>
      </c>
      <c r="Q313">
        <f t="shared" si="970"/>
        <v>23402594.788109649</v>
      </c>
      <c r="R313">
        <f t="shared" si="971"/>
        <v>598945226.16918957</v>
      </c>
      <c r="S313">
        <f t="shared" si="972"/>
        <v>5989.4522616918957</v>
      </c>
      <c r="T313">
        <f t="shared" si="973"/>
        <v>5.9894522616918957</v>
      </c>
    </row>
    <row r="314" spans="1:20" x14ac:dyDescent="0.25">
      <c r="A314" s="5">
        <v>44280</v>
      </c>
      <c r="B314">
        <v>1.0269999999999999</v>
      </c>
      <c r="C314">
        <v>1.0777000000000001</v>
      </c>
      <c r="D314">
        <v>0.9758</v>
      </c>
      <c r="E314">
        <v>1.0424</v>
      </c>
      <c r="F314">
        <v>50986557.049999997</v>
      </c>
      <c r="G314">
        <v>1.5</v>
      </c>
      <c r="L314" t="s">
        <v>7</v>
      </c>
      <c r="M314" t="s">
        <v>7</v>
      </c>
      <c r="N314" t="s">
        <v>7</v>
      </c>
      <c r="P314">
        <f t="shared" si="969"/>
        <v>0.30716388616290335</v>
      </c>
      <c r="Q314">
        <f t="shared" si="970"/>
        <v>15661229.005544577</v>
      </c>
      <c r="R314">
        <f t="shared" si="971"/>
        <v>575542631.38107991</v>
      </c>
      <c r="S314">
        <f t="shared" si="972"/>
        <v>5755.426313810799</v>
      </c>
      <c r="T314">
        <f t="shared" si="973"/>
        <v>5.7554263138107986</v>
      </c>
    </row>
    <row r="315" spans="1:20" x14ac:dyDescent="0.25">
      <c r="A315" s="5">
        <v>44279</v>
      </c>
      <c r="B315">
        <v>1.1105</v>
      </c>
      <c r="C315">
        <v>1.1849000000000001</v>
      </c>
      <c r="D315">
        <v>0.98219999999999996</v>
      </c>
      <c r="E315">
        <v>1.0274000000000001</v>
      </c>
      <c r="F315">
        <v>46021369.960000001</v>
      </c>
      <c r="G315">
        <v>-7.48</v>
      </c>
      <c r="L315" t="s">
        <v>7</v>
      </c>
      <c r="M315" t="s">
        <v>7</v>
      </c>
      <c r="N315" t="s">
        <v>7</v>
      </c>
      <c r="P315">
        <f t="shared" si="969"/>
        <v>-0.55402072027626925</v>
      </c>
      <c r="Q315">
        <f t="shared" si="970"/>
        <v>-25496792.533339862</v>
      </c>
      <c r="R315">
        <f t="shared" si="971"/>
        <v>559881402.37553537</v>
      </c>
      <c r="S315">
        <f t="shared" si="972"/>
        <v>5598.8140237553534</v>
      </c>
      <c r="T315">
        <f t="shared" si="973"/>
        <v>5.5988140237553532</v>
      </c>
    </row>
    <row r="316" spans="1:20" x14ac:dyDescent="0.25">
      <c r="A316" s="5">
        <v>44278</v>
      </c>
      <c r="B316">
        <v>1.1022000000000001</v>
      </c>
      <c r="C316">
        <v>1.1584000000000001</v>
      </c>
      <c r="D316">
        <v>1.0552999999999999</v>
      </c>
      <c r="E316">
        <v>1.1102000000000001</v>
      </c>
      <c r="F316">
        <v>32536947.239999998</v>
      </c>
      <c r="G316">
        <v>0.73</v>
      </c>
      <c r="L316" t="s">
        <v>7</v>
      </c>
      <c r="M316" t="s">
        <v>7</v>
      </c>
      <c r="N316" t="s">
        <v>8</v>
      </c>
      <c r="P316">
        <f t="shared" si="969"/>
        <v>6.4985451018430049E-2</v>
      </c>
      <c r="Q316">
        <f t="shared" si="970"/>
        <v>2114428.1911542625</v>
      </c>
      <c r="R316">
        <f t="shared" si="971"/>
        <v>585378194.90887523</v>
      </c>
      <c r="S316">
        <f t="shared" si="972"/>
        <v>5853.7819490887523</v>
      </c>
      <c r="T316">
        <f t="shared" si="973"/>
        <v>5.8537819490887522</v>
      </c>
    </row>
    <row r="317" spans="1:20" x14ac:dyDescent="0.25">
      <c r="A317" s="5">
        <v>44277</v>
      </c>
      <c r="B317">
        <v>1.1791</v>
      </c>
      <c r="C317">
        <v>1.2286999999999999</v>
      </c>
      <c r="D317">
        <v>1.073</v>
      </c>
      <c r="E317">
        <v>1.1013999999999999</v>
      </c>
      <c r="F317">
        <v>37689032.25</v>
      </c>
      <c r="G317">
        <v>-6.59</v>
      </c>
      <c r="L317" t="s">
        <v>7</v>
      </c>
      <c r="M317" t="s">
        <v>7</v>
      </c>
      <c r="N317" t="s">
        <v>8</v>
      </c>
      <c r="P317">
        <f t="shared" si="969"/>
        <v>-0.6351958895311498</v>
      </c>
      <c r="Q317">
        <f t="shared" si="970"/>
        <v>-23939918.365606941</v>
      </c>
      <c r="R317">
        <f t="shared" si="971"/>
        <v>583263766.71772099</v>
      </c>
      <c r="S317">
        <f t="shared" si="972"/>
        <v>5832.6376671772096</v>
      </c>
      <c r="T317">
        <f t="shared" si="973"/>
        <v>5.8326376671772096</v>
      </c>
    </row>
    <row r="318" spans="1:20" x14ac:dyDescent="0.25">
      <c r="A318" s="5">
        <v>44276</v>
      </c>
      <c r="B318">
        <v>1.2089000000000001</v>
      </c>
      <c r="C318">
        <v>1.2356</v>
      </c>
      <c r="D318">
        <v>1.1505000000000001</v>
      </c>
      <c r="E318">
        <v>1.1794</v>
      </c>
      <c r="F318">
        <v>28554412.809999999</v>
      </c>
      <c r="G318">
        <v>-2.44</v>
      </c>
      <c r="L318" t="s">
        <v>7</v>
      </c>
      <c r="M318" t="s">
        <v>7</v>
      </c>
      <c r="N318" t="s">
        <v>8</v>
      </c>
      <c r="P318">
        <f t="shared" si="969"/>
        <v>-0.32079905992949609</v>
      </c>
      <c r="Q318">
        <f t="shared" si="970"/>
        <v>-9160228.7862867601</v>
      </c>
      <c r="R318">
        <f t="shared" si="971"/>
        <v>607203685.08332789</v>
      </c>
      <c r="S318">
        <f t="shared" si="972"/>
        <v>6072.0368508332785</v>
      </c>
      <c r="T318">
        <f t="shared" si="973"/>
        <v>6.0720368508332783</v>
      </c>
    </row>
    <row r="319" spans="1:20" x14ac:dyDescent="0.25">
      <c r="A319" s="5">
        <v>44275</v>
      </c>
      <c r="B319">
        <v>1.2487999999999999</v>
      </c>
      <c r="C319">
        <v>1.3145</v>
      </c>
      <c r="D319">
        <v>1.2</v>
      </c>
      <c r="E319">
        <v>1.2097</v>
      </c>
      <c r="F319">
        <v>30741261.510000002</v>
      </c>
      <c r="G319">
        <v>-3.13</v>
      </c>
      <c r="L319" t="s">
        <v>8</v>
      </c>
      <c r="M319" t="s">
        <v>8</v>
      </c>
      <c r="N319" t="s">
        <v>8</v>
      </c>
      <c r="P319">
        <f t="shared" si="969"/>
        <v>-0.83056768558951899</v>
      </c>
      <c r="Q319">
        <f t="shared" si="970"/>
        <v>-25532698.424462862</v>
      </c>
      <c r="R319">
        <f t="shared" si="971"/>
        <v>616363913.8696146</v>
      </c>
      <c r="S319">
        <f t="shared" si="972"/>
        <v>6163.6391386961459</v>
      </c>
      <c r="T319">
        <f t="shared" si="973"/>
        <v>6.163639138696146</v>
      </c>
    </row>
    <row r="320" spans="1:20" x14ac:dyDescent="0.25">
      <c r="A320" s="5">
        <v>44274</v>
      </c>
      <c r="B320">
        <v>1.2563</v>
      </c>
      <c r="C320">
        <v>1.3115000000000001</v>
      </c>
      <c r="D320">
        <v>1.2107000000000001</v>
      </c>
      <c r="E320">
        <v>1.2493000000000001</v>
      </c>
      <c r="F320">
        <v>28999087.829999998</v>
      </c>
      <c r="G320">
        <v>-0.56000000000000005</v>
      </c>
      <c r="L320" t="s">
        <v>7</v>
      </c>
      <c r="M320" t="s">
        <v>8</v>
      </c>
      <c r="N320" t="s">
        <v>8</v>
      </c>
      <c r="P320">
        <f t="shared" si="969"/>
        <v>-0.23412698412698477</v>
      </c>
      <c r="Q320">
        <f t="shared" si="970"/>
        <v>-6789468.9760714471</v>
      </c>
      <c r="R320">
        <f t="shared" si="971"/>
        <v>641896612.29407752</v>
      </c>
      <c r="S320">
        <f t="shared" si="972"/>
        <v>6418.9661229407748</v>
      </c>
      <c r="T320">
        <f t="shared" si="973"/>
        <v>6.4189661229407751</v>
      </c>
    </row>
    <row r="321" spans="1:20" x14ac:dyDescent="0.25">
      <c r="A321" s="5">
        <v>44273</v>
      </c>
      <c r="B321">
        <v>1.2886</v>
      </c>
      <c r="C321">
        <v>1.3839999999999999</v>
      </c>
      <c r="D321">
        <v>1.2370000000000001</v>
      </c>
      <c r="E321">
        <v>1.2569999999999999</v>
      </c>
      <c r="F321">
        <v>62719910.210000001</v>
      </c>
      <c r="G321">
        <v>-2.4500000000000002</v>
      </c>
      <c r="L321" t="s">
        <v>8</v>
      </c>
      <c r="M321" t="s">
        <v>8</v>
      </c>
      <c r="N321" t="s">
        <v>8</v>
      </c>
      <c r="P321">
        <f t="shared" si="969"/>
        <v>-0.7278911564625874</v>
      </c>
      <c r="Q321">
        <f t="shared" si="970"/>
        <v>-45653267.97598654</v>
      </c>
      <c r="R321">
        <f t="shared" si="971"/>
        <v>648686081.27014899</v>
      </c>
      <c r="S321">
        <f t="shared" si="972"/>
        <v>6486.8608127014895</v>
      </c>
      <c r="T321">
        <f t="shared" si="973"/>
        <v>6.4868608127014893</v>
      </c>
    </row>
    <row r="322" spans="1:20" x14ac:dyDescent="0.25">
      <c r="A322" s="5">
        <v>44272</v>
      </c>
      <c r="B322">
        <v>1.2020999999999999</v>
      </c>
      <c r="C322">
        <v>1.2985</v>
      </c>
      <c r="D322">
        <v>1.1531</v>
      </c>
      <c r="E322">
        <v>1.2886</v>
      </c>
      <c r="F322">
        <v>49293271.039999999</v>
      </c>
      <c r="G322">
        <v>7.2</v>
      </c>
      <c r="L322" t="s">
        <v>8</v>
      </c>
      <c r="M322" t="s">
        <v>7</v>
      </c>
      <c r="N322" t="s">
        <v>8</v>
      </c>
      <c r="P322">
        <f t="shared" si="969"/>
        <v>0.86382393397524038</v>
      </c>
      <c r="Q322">
        <f t="shared" si="970"/>
        <v>42580707.308280587</v>
      </c>
      <c r="R322">
        <f t="shared" si="971"/>
        <v>694339349.24613547</v>
      </c>
      <c r="S322">
        <f t="shared" si="972"/>
        <v>6943.393492461355</v>
      </c>
      <c r="T322">
        <f t="shared" si="973"/>
        <v>6.9433934924613547</v>
      </c>
    </row>
    <row r="323" spans="1:20" x14ac:dyDescent="0.25">
      <c r="A323" s="5">
        <v>44271</v>
      </c>
      <c r="B323">
        <v>1.1942999999999999</v>
      </c>
      <c r="C323">
        <v>1.2499</v>
      </c>
      <c r="D323">
        <v>1.1201000000000001</v>
      </c>
      <c r="E323">
        <v>1.2007000000000001</v>
      </c>
      <c r="F323">
        <v>76959471.659999996</v>
      </c>
      <c r="G323">
        <v>0.54</v>
      </c>
      <c r="L323" t="s">
        <v>7</v>
      </c>
      <c r="M323" t="s">
        <v>7</v>
      </c>
      <c r="N323" t="s">
        <v>8</v>
      </c>
      <c r="P323">
        <f t="shared" si="969"/>
        <v>0.24191063174114111</v>
      </c>
      <c r="Q323">
        <f t="shared" si="970"/>
        <v>18617314.407735046</v>
      </c>
      <c r="R323">
        <f t="shared" si="971"/>
        <v>651758641.93785489</v>
      </c>
      <c r="S323">
        <f t="shared" si="972"/>
        <v>6517.5864193785492</v>
      </c>
      <c r="T323">
        <f t="shared" si="973"/>
        <v>6.5175864193785493</v>
      </c>
    </row>
    <row r="324" spans="1:20" x14ac:dyDescent="0.25">
      <c r="A324" s="5">
        <v>44270</v>
      </c>
      <c r="B324">
        <v>1.1172</v>
      </c>
      <c r="C324">
        <v>1.35</v>
      </c>
      <c r="D324">
        <v>1.1104000000000001</v>
      </c>
      <c r="E324">
        <v>1.1942999999999999</v>
      </c>
      <c r="F324">
        <v>164320571.00999999</v>
      </c>
      <c r="G324">
        <v>6.9</v>
      </c>
      <c r="L324" t="s">
        <v>8</v>
      </c>
      <c r="M324" t="s">
        <v>8</v>
      </c>
      <c r="N324" t="s">
        <v>8</v>
      </c>
      <c r="P324">
        <f t="shared" si="969"/>
        <v>-0.29966611018364064</v>
      </c>
      <c r="Q324">
        <f t="shared" si="970"/>
        <v>-49241306.337721407</v>
      </c>
      <c r="R324">
        <f t="shared" si="971"/>
        <v>633141327.5301199</v>
      </c>
      <c r="S324">
        <f t="shared" si="972"/>
        <v>6331.4132753011991</v>
      </c>
      <c r="T324">
        <f t="shared" si="973"/>
        <v>6.3314132753011991</v>
      </c>
    </row>
    <row r="325" spans="1:20" x14ac:dyDescent="0.25">
      <c r="A325" s="5">
        <v>44269</v>
      </c>
      <c r="B325">
        <v>1.1392</v>
      </c>
      <c r="C325">
        <v>1.1720999999999999</v>
      </c>
      <c r="D325">
        <v>1.0874999999999999</v>
      </c>
      <c r="E325">
        <v>1.1168</v>
      </c>
      <c r="F325">
        <v>55603010.490000002</v>
      </c>
      <c r="G325">
        <v>-1.97</v>
      </c>
      <c r="L325" t="s">
        <v>8</v>
      </c>
      <c r="M325" t="s">
        <v>7</v>
      </c>
      <c r="N325" t="s">
        <v>8</v>
      </c>
      <c r="P325">
        <f t="shared" si="969"/>
        <v>-0.30732860520094324</v>
      </c>
      <c r="Q325">
        <f t="shared" si="970"/>
        <v>-17088395.658865117</v>
      </c>
      <c r="R325">
        <f t="shared" si="971"/>
        <v>682382633.86784124</v>
      </c>
      <c r="S325">
        <f t="shared" si="972"/>
        <v>6823.8263386784129</v>
      </c>
      <c r="T325">
        <f t="shared" si="973"/>
        <v>6.8238263386784128</v>
      </c>
    </row>
    <row r="326" spans="1:20" x14ac:dyDescent="0.25">
      <c r="A326" s="5">
        <v>44268</v>
      </c>
      <c r="B326">
        <v>1.0506</v>
      </c>
      <c r="C326">
        <v>1.1732</v>
      </c>
      <c r="D326">
        <v>1.0132000000000001</v>
      </c>
      <c r="E326">
        <v>1.1392</v>
      </c>
      <c r="F326">
        <v>54990630.460000001</v>
      </c>
      <c r="G326">
        <v>8.43</v>
      </c>
      <c r="L326" t="s">
        <v>7</v>
      </c>
      <c r="M326" t="s">
        <v>7</v>
      </c>
      <c r="N326" t="s">
        <v>8</v>
      </c>
      <c r="P326">
        <f t="shared" si="969"/>
        <v>0.5749999999999994</v>
      </c>
      <c r="Q326">
        <f t="shared" si="970"/>
        <v>31619612.514499966</v>
      </c>
      <c r="R326">
        <f t="shared" si="971"/>
        <v>699471029.52670634</v>
      </c>
      <c r="S326">
        <f t="shared" si="972"/>
        <v>6994.710295267063</v>
      </c>
      <c r="T326">
        <f t="shared" si="973"/>
        <v>6.9947102952670628</v>
      </c>
    </row>
    <row r="327" spans="1:20" x14ac:dyDescent="0.25">
      <c r="A327" s="5">
        <v>44267</v>
      </c>
      <c r="B327">
        <v>1.083</v>
      </c>
      <c r="C327">
        <v>1.157</v>
      </c>
      <c r="D327">
        <v>1.0265</v>
      </c>
      <c r="E327">
        <v>1.0501</v>
      </c>
      <c r="F327">
        <v>65497523.159999996</v>
      </c>
      <c r="G327">
        <v>-3.04</v>
      </c>
      <c r="L327" t="s">
        <v>7</v>
      </c>
      <c r="M327" t="s">
        <v>7</v>
      </c>
      <c r="N327" t="s">
        <v>8</v>
      </c>
      <c r="P327">
        <f t="shared" ref="P327:P390" si="974">IF(C327=D327,0,((E327-D327)-(C327-E327))/(C327-D327))</f>
        <v>-0.63831417624520992</v>
      </c>
      <c r="Q327">
        <f t="shared" ref="Q327:Q390" si="975">F327*P327</f>
        <v>-41807997.541976959</v>
      </c>
      <c r="R327">
        <f t="shared" ref="R327:R390" si="976">R328+Q327</f>
        <v>667851417.01220632</v>
      </c>
      <c r="S327">
        <f t="shared" ref="S327:S390" si="977">R327/100000</f>
        <v>6678.5141701220628</v>
      </c>
      <c r="T327">
        <f t="shared" ref="T327:T390" si="978">S327/1000</f>
        <v>6.6785141701220629</v>
      </c>
    </row>
    <row r="328" spans="1:20" x14ac:dyDescent="0.25">
      <c r="A328" s="5">
        <v>44266</v>
      </c>
      <c r="B328">
        <v>1.1093</v>
      </c>
      <c r="C328">
        <v>1.1249</v>
      </c>
      <c r="D328">
        <v>1.048</v>
      </c>
      <c r="E328">
        <v>1.0838000000000001</v>
      </c>
      <c r="F328">
        <v>39568719.719999999</v>
      </c>
      <c r="G328">
        <v>-2.2999999999999998</v>
      </c>
      <c r="L328" t="s">
        <v>7</v>
      </c>
      <c r="M328" t="s">
        <v>7</v>
      </c>
      <c r="N328" t="s">
        <v>8</v>
      </c>
      <c r="P328">
        <f t="shared" si="974"/>
        <v>-6.8920676202859077E-2</v>
      </c>
      <c r="Q328">
        <f t="shared" si="975"/>
        <v>-2727102.9195838044</v>
      </c>
      <c r="R328">
        <f t="shared" si="976"/>
        <v>709659414.55418324</v>
      </c>
      <c r="S328">
        <f t="shared" si="977"/>
        <v>7096.5941455418324</v>
      </c>
      <c r="T328">
        <f t="shared" si="978"/>
        <v>7.0965941455418324</v>
      </c>
    </row>
    <row r="329" spans="1:20" x14ac:dyDescent="0.25">
      <c r="A329" s="5">
        <v>44265</v>
      </c>
      <c r="B329">
        <v>1.1811</v>
      </c>
      <c r="C329">
        <v>1.2312000000000001</v>
      </c>
      <c r="D329">
        <v>1.0770999999999999</v>
      </c>
      <c r="E329">
        <v>1.1077999999999999</v>
      </c>
      <c r="F329">
        <v>56842649.159999996</v>
      </c>
      <c r="G329">
        <v>-6.21</v>
      </c>
      <c r="L329" t="s">
        <v>8</v>
      </c>
      <c r="M329" t="s">
        <v>8</v>
      </c>
      <c r="N329" t="s">
        <v>8</v>
      </c>
      <c r="P329">
        <f t="shared" si="974"/>
        <v>-0.60155743024010477</v>
      </c>
      <c r="Q329">
        <f t="shared" si="975"/>
        <v>-34194117.956729449</v>
      </c>
      <c r="R329">
        <f t="shared" si="976"/>
        <v>712386517.47376704</v>
      </c>
      <c r="S329">
        <f t="shared" si="977"/>
        <v>7123.8651747376707</v>
      </c>
      <c r="T329">
        <f t="shared" si="978"/>
        <v>7.1238651747376709</v>
      </c>
    </row>
    <row r="330" spans="1:20" x14ac:dyDescent="0.25">
      <c r="A330" s="5">
        <v>44264</v>
      </c>
      <c r="B330">
        <v>1.1565000000000001</v>
      </c>
      <c r="C330">
        <v>1.1859999999999999</v>
      </c>
      <c r="D330">
        <v>1.1164000000000001</v>
      </c>
      <c r="E330">
        <v>1.1808000000000001</v>
      </c>
      <c r="F330">
        <v>54028141.43</v>
      </c>
      <c r="G330">
        <v>2.1</v>
      </c>
      <c r="L330" t="s">
        <v>8</v>
      </c>
      <c r="M330" t="s">
        <v>7</v>
      </c>
      <c r="N330" t="s">
        <v>8</v>
      </c>
      <c r="P330">
        <f t="shared" si="974"/>
        <v>0.85057471264368156</v>
      </c>
      <c r="Q330">
        <f t="shared" si="975"/>
        <v>45954970.871494435</v>
      </c>
      <c r="R330">
        <f t="shared" si="976"/>
        <v>746580635.43049645</v>
      </c>
      <c r="S330">
        <f t="shared" si="977"/>
        <v>7465.8063543049648</v>
      </c>
      <c r="T330">
        <f t="shared" si="978"/>
        <v>7.4658063543049646</v>
      </c>
    </row>
    <row r="331" spans="1:20" x14ac:dyDescent="0.25">
      <c r="A331" s="5">
        <v>44263</v>
      </c>
      <c r="B331">
        <v>1.1067</v>
      </c>
      <c r="C331">
        <v>1.1685000000000001</v>
      </c>
      <c r="D331">
        <v>1.06</v>
      </c>
      <c r="E331">
        <v>1.157</v>
      </c>
      <c r="F331">
        <v>48294184.030000001</v>
      </c>
      <c r="G331">
        <v>4.55</v>
      </c>
      <c r="L331" t="s">
        <v>8</v>
      </c>
      <c r="M331" t="s">
        <v>7</v>
      </c>
      <c r="N331" t="s">
        <v>8</v>
      </c>
      <c r="P331">
        <f t="shared" si="974"/>
        <v>0.78801843317972242</v>
      </c>
      <c r="Q331">
        <f t="shared" si="975"/>
        <v>38056707.231013775</v>
      </c>
      <c r="R331">
        <f t="shared" si="976"/>
        <v>700625664.55900204</v>
      </c>
      <c r="S331">
        <f t="shared" si="977"/>
        <v>7006.2566455900205</v>
      </c>
      <c r="T331">
        <f t="shared" si="978"/>
        <v>7.0062566455900201</v>
      </c>
    </row>
    <row r="332" spans="1:20" x14ac:dyDescent="0.25">
      <c r="A332" s="5">
        <v>44262</v>
      </c>
      <c r="B332">
        <v>1.0503</v>
      </c>
      <c r="C332">
        <v>1.1379999999999999</v>
      </c>
      <c r="D332">
        <v>1.0495000000000001</v>
      </c>
      <c r="E332">
        <v>1.1069</v>
      </c>
      <c r="F332">
        <v>40279928.159999996</v>
      </c>
      <c r="G332">
        <v>5.39</v>
      </c>
      <c r="L332" t="s">
        <v>8</v>
      </c>
      <c r="M332" t="s">
        <v>7</v>
      </c>
      <c r="N332" t="s">
        <v>8</v>
      </c>
      <c r="P332">
        <f t="shared" si="974"/>
        <v>0.29717514124293842</v>
      </c>
      <c r="Q332">
        <f t="shared" si="975"/>
        <v>11970193.340203412</v>
      </c>
      <c r="R332">
        <f t="shared" si="976"/>
        <v>662568957.32798827</v>
      </c>
      <c r="S332">
        <f t="shared" si="977"/>
        <v>6625.689573279883</v>
      </c>
      <c r="T332">
        <f t="shared" si="978"/>
        <v>6.6256895732798826</v>
      </c>
    </row>
    <row r="333" spans="1:20" x14ac:dyDescent="0.25">
      <c r="A333" s="5">
        <v>44261</v>
      </c>
      <c r="B333">
        <v>1.0528999999999999</v>
      </c>
      <c r="C333">
        <v>1.0709</v>
      </c>
      <c r="D333">
        <v>1.0031000000000001</v>
      </c>
      <c r="E333">
        <v>1.0494000000000001</v>
      </c>
      <c r="F333">
        <v>32162364.879999999</v>
      </c>
      <c r="G333">
        <v>-0.33</v>
      </c>
      <c r="L333" t="s">
        <v>7</v>
      </c>
      <c r="M333" t="s">
        <v>7</v>
      </c>
      <c r="N333" t="s">
        <v>8</v>
      </c>
      <c r="P333">
        <f t="shared" si="974"/>
        <v>0.36578171091445733</v>
      </c>
      <c r="Q333">
        <f t="shared" si="975"/>
        <v>11764404.852861455</v>
      </c>
      <c r="R333">
        <f t="shared" si="976"/>
        <v>650598763.98778486</v>
      </c>
      <c r="S333">
        <f t="shared" si="977"/>
        <v>6505.9876398778488</v>
      </c>
      <c r="T333">
        <f t="shared" si="978"/>
        <v>6.5059876398778487</v>
      </c>
    </row>
    <row r="334" spans="1:20" x14ac:dyDescent="0.25">
      <c r="A334" s="5">
        <v>44260</v>
      </c>
      <c r="B334">
        <v>1.0899000000000001</v>
      </c>
      <c r="C334">
        <v>1.0966</v>
      </c>
      <c r="D334">
        <v>1.0038</v>
      </c>
      <c r="E334">
        <v>1.0526</v>
      </c>
      <c r="F334">
        <v>52383967.939999998</v>
      </c>
      <c r="G334">
        <v>-3.42</v>
      </c>
      <c r="L334" t="s">
        <v>7</v>
      </c>
      <c r="M334" t="s">
        <v>7</v>
      </c>
      <c r="N334" t="s">
        <v>8</v>
      </c>
      <c r="P334">
        <f t="shared" si="974"/>
        <v>5.1724137931033573E-2</v>
      </c>
      <c r="Q334">
        <f t="shared" si="975"/>
        <v>2709515.5831034007</v>
      </c>
      <c r="R334">
        <f t="shared" si="976"/>
        <v>638834359.13492346</v>
      </c>
      <c r="S334">
        <f t="shared" si="977"/>
        <v>6388.3435913492349</v>
      </c>
      <c r="T334">
        <f t="shared" si="978"/>
        <v>6.3883435913492352</v>
      </c>
    </row>
    <row r="335" spans="1:20" x14ac:dyDescent="0.25">
      <c r="A335" s="5">
        <v>44259</v>
      </c>
      <c r="B335">
        <v>1.1801999999999999</v>
      </c>
      <c r="C335">
        <v>1.25</v>
      </c>
      <c r="D335">
        <v>1.05</v>
      </c>
      <c r="E335">
        <v>1.0894999999999999</v>
      </c>
      <c r="F335">
        <v>72611337.870000005</v>
      </c>
      <c r="G335">
        <v>-7.69</v>
      </c>
      <c r="L335" t="s">
        <v>8</v>
      </c>
      <c r="M335" t="s">
        <v>8</v>
      </c>
      <c r="N335" t="s">
        <v>8</v>
      </c>
      <c r="P335">
        <f t="shared" si="974"/>
        <v>-0.6050000000000012</v>
      </c>
      <c r="Q335">
        <f t="shared" si="975"/>
        <v>-43929859.411350094</v>
      </c>
      <c r="R335">
        <f t="shared" si="976"/>
        <v>636124843.55182004</v>
      </c>
      <c r="S335">
        <f t="shared" si="977"/>
        <v>6361.2484355182005</v>
      </c>
      <c r="T335">
        <f t="shared" si="978"/>
        <v>6.3612484355182008</v>
      </c>
    </row>
    <row r="336" spans="1:20" x14ac:dyDescent="0.25">
      <c r="A336" s="5">
        <v>44258</v>
      </c>
      <c r="B336">
        <v>1.0826</v>
      </c>
      <c r="C336">
        <v>1.2330000000000001</v>
      </c>
      <c r="D336">
        <v>1.0569999999999999</v>
      </c>
      <c r="E336">
        <v>1.1787000000000001</v>
      </c>
      <c r="F336">
        <v>92858594.379999995</v>
      </c>
      <c r="G336">
        <v>8.8800000000000008</v>
      </c>
      <c r="L336" t="s">
        <v>8</v>
      </c>
      <c r="M336" t="s">
        <v>8</v>
      </c>
      <c r="N336" t="s">
        <v>8</v>
      </c>
      <c r="P336">
        <f t="shared" si="974"/>
        <v>0.38295454545454582</v>
      </c>
      <c r="Q336">
        <f t="shared" si="975"/>
        <v>35560620.80234094</v>
      </c>
      <c r="R336">
        <f t="shared" si="976"/>
        <v>680054702.96317017</v>
      </c>
      <c r="S336">
        <f t="shared" si="977"/>
        <v>6800.5470296317017</v>
      </c>
      <c r="T336">
        <f t="shared" si="978"/>
        <v>6.8005470296317014</v>
      </c>
    </row>
    <row r="337" spans="1:20" x14ac:dyDescent="0.25">
      <c r="A337" s="5">
        <v>44257</v>
      </c>
      <c r="B337">
        <v>1.0902000000000001</v>
      </c>
      <c r="C337">
        <v>1.1686000000000001</v>
      </c>
      <c r="D337">
        <v>1.0373000000000001</v>
      </c>
      <c r="E337">
        <v>1.0825</v>
      </c>
      <c r="F337">
        <v>75204385.829999998</v>
      </c>
      <c r="G337">
        <v>-0.71</v>
      </c>
      <c r="L337" t="s">
        <v>8</v>
      </c>
      <c r="M337" t="s">
        <v>8</v>
      </c>
      <c r="N337" t="s">
        <v>7</v>
      </c>
      <c r="P337">
        <f t="shared" si="974"/>
        <v>-0.31150038080731279</v>
      </c>
      <c r="Q337">
        <f t="shared" si="975"/>
        <v>-23426194.824425079</v>
      </c>
      <c r="R337">
        <f t="shared" si="976"/>
        <v>644494082.16082919</v>
      </c>
      <c r="S337">
        <f t="shared" si="977"/>
        <v>6444.940821608292</v>
      </c>
      <c r="T337">
        <f t="shared" si="978"/>
        <v>6.4449408216082924</v>
      </c>
    </row>
    <row r="338" spans="1:20" x14ac:dyDescent="0.25">
      <c r="A338" s="5">
        <v>44256</v>
      </c>
      <c r="B338">
        <v>1.0230999999999999</v>
      </c>
      <c r="C338">
        <v>1.1103000000000001</v>
      </c>
      <c r="D338">
        <v>1.0049999999999999</v>
      </c>
      <c r="E338">
        <v>1.0892999999999999</v>
      </c>
      <c r="F338">
        <v>53496156.130000003</v>
      </c>
      <c r="G338">
        <v>6.47</v>
      </c>
      <c r="L338" t="s">
        <v>8</v>
      </c>
      <c r="M338" t="s">
        <v>8</v>
      </c>
      <c r="N338" t="s">
        <v>7</v>
      </c>
      <c r="P338">
        <f t="shared" si="974"/>
        <v>0.6011396011395993</v>
      </c>
      <c r="Q338">
        <f t="shared" si="975"/>
        <v>32158657.958489932</v>
      </c>
      <c r="R338">
        <f t="shared" si="976"/>
        <v>667920276.98525429</v>
      </c>
      <c r="S338">
        <f t="shared" si="977"/>
        <v>6679.2027698525426</v>
      </c>
      <c r="T338">
        <f t="shared" si="978"/>
        <v>6.6792027698525427</v>
      </c>
    </row>
    <row r="339" spans="1:20" x14ac:dyDescent="0.25">
      <c r="A339" s="5">
        <v>44255</v>
      </c>
      <c r="B339">
        <v>1.0984</v>
      </c>
      <c r="C339">
        <v>1.1328</v>
      </c>
      <c r="D339">
        <v>0.94140000000000001</v>
      </c>
      <c r="E339">
        <v>1.0218</v>
      </c>
      <c r="F339">
        <v>71160035.409999996</v>
      </c>
      <c r="G339">
        <v>-6.97</v>
      </c>
      <c r="L339" t="s">
        <v>7</v>
      </c>
      <c r="M339" t="s">
        <v>7</v>
      </c>
      <c r="N339" t="s">
        <v>7</v>
      </c>
      <c r="P339">
        <f t="shared" si="974"/>
        <v>-0.15987460815047</v>
      </c>
      <c r="Q339">
        <f t="shared" si="975"/>
        <v>-11376682.777147319</v>
      </c>
      <c r="R339">
        <f t="shared" si="976"/>
        <v>635761619.02676439</v>
      </c>
      <c r="S339">
        <f t="shared" si="977"/>
        <v>6357.616190267644</v>
      </c>
      <c r="T339">
        <f t="shared" si="978"/>
        <v>6.3576161902676436</v>
      </c>
    </row>
    <row r="340" spans="1:20" x14ac:dyDescent="0.25">
      <c r="A340" s="5">
        <v>44254</v>
      </c>
      <c r="B340">
        <v>0.97330000000000005</v>
      </c>
      <c r="C340">
        <v>1.2</v>
      </c>
      <c r="D340">
        <v>0.97209999999999996</v>
      </c>
      <c r="E340">
        <v>1.0988</v>
      </c>
      <c r="F340">
        <v>62482194.780000001</v>
      </c>
      <c r="G340">
        <v>12.89</v>
      </c>
      <c r="L340" t="s">
        <v>8</v>
      </c>
      <c r="M340" t="s">
        <v>8</v>
      </c>
      <c r="N340" t="s">
        <v>7</v>
      </c>
      <c r="P340">
        <f t="shared" si="974"/>
        <v>0.11189118034225572</v>
      </c>
      <c r="Q340">
        <f t="shared" si="975"/>
        <v>6991206.5243089292</v>
      </c>
      <c r="R340">
        <f t="shared" si="976"/>
        <v>647138301.80391169</v>
      </c>
      <c r="S340">
        <f t="shared" si="977"/>
        <v>6471.3830180391169</v>
      </c>
      <c r="T340">
        <f t="shared" si="978"/>
        <v>6.4713830180391172</v>
      </c>
    </row>
    <row r="341" spans="1:20" x14ac:dyDescent="0.25">
      <c r="A341" s="5">
        <v>44253</v>
      </c>
      <c r="B341">
        <v>0.98140000000000005</v>
      </c>
      <c r="C341">
        <v>1.0536000000000001</v>
      </c>
      <c r="D341">
        <v>0.89639999999999997</v>
      </c>
      <c r="E341">
        <v>0.97250000000000003</v>
      </c>
      <c r="F341">
        <v>56729259.579999998</v>
      </c>
      <c r="G341">
        <v>-0.91</v>
      </c>
      <c r="L341" t="s">
        <v>7</v>
      </c>
      <c r="M341" t="s">
        <v>7</v>
      </c>
      <c r="N341" t="s">
        <v>7</v>
      </c>
      <c r="P341">
        <f t="shared" si="974"/>
        <v>-3.1806615776081432E-2</v>
      </c>
      <c r="Q341">
        <f t="shared" si="975"/>
        <v>-1804365.7627226466</v>
      </c>
      <c r="R341">
        <f t="shared" si="976"/>
        <v>640147095.27960277</v>
      </c>
      <c r="S341">
        <f t="shared" si="977"/>
        <v>6401.4709527960276</v>
      </c>
      <c r="T341">
        <f t="shared" si="978"/>
        <v>6.4014709527960276</v>
      </c>
    </row>
    <row r="342" spans="1:20" x14ac:dyDescent="0.25">
      <c r="A342" s="5">
        <v>44252</v>
      </c>
      <c r="B342">
        <v>1.06</v>
      </c>
      <c r="C342">
        <v>1.1514</v>
      </c>
      <c r="D342">
        <v>0.96919999999999995</v>
      </c>
      <c r="E342">
        <v>0.98119999999999996</v>
      </c>
      <c r="F342">
        <v>66045513.420000002</v>
      </c>
      <c r="G342">
        <v>-7.43</v>
      </c>
      <c r="L342" t="s">
        <v>7</v>
      </c>
      <c r="M342" t="s">
        <v>7</v>
      </c>
      <c r="N342" t="s">
        <v>7</v>
      </c>
      <c r="P342">
        <f t="shared" si="974"/>
        <v>-0.86827661909989018</v>
      </c>
      <c r="Q342">
        <f t="shared" si="975"/>
        <v>-57345775.099034026</v>
      </c>
      <c r="R342">
        <f t="shared" si="976"/>
        <v>641951461.04232538</v>
      </c>
      <c r="S342">
        <f t="shared" si="977"/>
        <v>6419.5146104232535</v>
      </c>
      <c r="T342">
        <f t="shared" si="978"/>
        <v>6.4195146104232537</v>
      </c>
    </row>
    <row r="343" spans="1:20" x14ac:dyDescent="0.25">
      <c r="A343" s="5">
        <v>44251</v>
      </c>
      <c r="B343">
        <v>1.0065999999999999</v>
      </c>
      <c r="C343">
        <v>1.1859999999999999</v>
      </c>
      <c r="D343">
        <v>0.95220000000000005</v>
      </c>
      <c r="E343">
        <v>1.06</v>
      </c>
      <c r="F343">
        <v>65829502.93</v>
      </c>
      <c r="G343">
        <v>5.3</v>
      </c>
      <c r="L343" t="s">
        <v>8</v>
      </c>
      <c r="M343" t="s">
        <v>8</v>
      </c>
      <c r="N343" t="s">
        <v>7</v>
      </c>
      <c r="P343">
        <f t="shared" si="974"/>
        <v>-7.784431137724504E-2</v>
      </c>
      <c r="Q343">
        <f t="shared" si="975"/>
        <v>-5124452.3238921845</v>
      </c>
      <c r="R343">
        <f t="shared" si="976"/>
        <v>699297236.14135945</v>
      </c>
      <c r="S343">
        <f t="shared" si="977"/>
        <v>6992.9723614135946</v>
      </c>
      <c r="T343">
        <f t="shared" si="978"/>
        <v>6.992972361413595</v>
      </c>
    </row>
    <row r="344" spans="1:20" x14ac:dyDescent="0.25">
      <c r="A344" s="5">
        <v>44250</v>
      </c>
      <c r="B344">
        <v>1.1433</v>
      </c>
      <c r="C344">
        <v>1.1508</v>
      </c>
      <c r="D344">
        <v>0.83209999999999995</v>
      </c>
      <c r="E344">
        <v>1.0051000000000001</v>
      </c>
      <c r="F344">
        <v>102894588.04000001</v>
      </c>
      <c r="G344">
        <v>-12.09</v>
      </c>
      <c r="L344" t="s">
        <v>7</v>
      </c>
      <c r="M344" t="s">
        <v>7</v>
      </c>
      <c r="N344" t="s">
        <v>7</v>
      </c>
      <c r="P344">
        <f t="shared" si="974"/>
        <v>8.5660495764042055E-2</v>
      </c>
      <c r="Q344">
        <f t="shared" si="975"/>
        <v>8814001.4229432736</v>
      </c>
      <c r="R344">
        <f t="shared" si="976"/>
        <v>704421688.46525168</v>
      </c>
      <c r="S344">
        <f t="shared" si="977"/>
        <v>7044.2168846525165</v>
      </c>
      <c r="T344">
        <f t="shared" si="978"/>
        <v>7.0442168846525162</v>
      </c>
    </row>
    <row r="345" spans="1:20" x14ac:dyDescent="0.25">
      <c r="A345" s="5">
        <v>44249</v>
      </c>
      <c r="B345">
        <v>1.3063</v>
      </c>
      <c r="C345">
        <v>1.319</v>
      </c>
      <c r="D345">
        <v>0.93779999999999997</v>
      </c>
      <c r="E345">
        <v>1.143</v>
      </c>
      <c r="F345">
        <v>85744510.670000002</v>
      </c>
      <c r="G345">
        <v>-12.5</v>
      </c>
      <c r="L345" t="s">
        <v>7</v>
      </c>
      <c r="M345" t="s">
        <v>7</v>
      </c>
      <c r="N345" t="s">
        <v>7</v>
      </c>
      <c r="P345">
        <f t="shared" si="974"/>
        <v>7.6600209863588967E-2</v>
      </c>
      <c r="Q345">
        <f t="shared" si="975"/>
        <v>6568047.5119727431</v>
      </c>
      <c r="R345">
        <f t="shared" si="976"/>
        <v>695607687.04230845</v>
      </c>
      <c r="S345">
        <f t="shared" si="977"/>
        <v>6956.0768704230841</v>
      </c>
      <c r="T345">
        <f t="shared" si="978"/>
        <v>6.9560768704230842</v>
      </c>
    </row>
    <row r="346" spans="1:20" x14ac:dyDescent="0.25">
      <c r="A346" s="5">
        <v>44248</v>
      </c>
      <c r="B346">
        <v>1.3101</v>
      </c>
      <c r="C346">
        <v>1.3563000000000001</v>
      </c>
      <c r="D346">
        <v>1.2607999999999999</v>
      </c>
      <c r="E346">
        <v>1.3055000000000001</v>
      </c>
      <c r="F346">
        <v>39201008.109999999</v>
      </c>
      <c r="G346">
        <v>-0.35</v>
      </c>
      <c r="L346" t="s">
        <v>8</v>
      </c>
      <c r="M346" t="s">
        <v>7</v>
      </c>
      <c r="N346" t="s">
        <v>7</v>
      </c>
      <c r="P346">
        <f t="shared" si="974"/>
        <v>-6.3874345549735742E-2</v>
      </c>
      <c r="Q346">
        <f t="shared" si="975"/>
        <v>-2503938.7379161334</v>
      </c>
      <c r="R346">
        <f t="shared" si="976"/>
        <v>689039639.53033566</v>
      </c>
      <c r="S346">
        <f t="shared" si="977"/>
        <v>6890.3963953033563</v>
      </c>
      <c r="T346">
        <f t="shared" si="978"/>
        <v>6.8903963953033562</v>
      </c>
    </row>
    <row r="347" spans="1:20" x14ac:dyDescent="0.25">
      <c r="A347" s="5">
        <v>44247</v>
      </c>
      <c r="B347">
        <v>1.371</v>
      </c>
      <c r="C347">
        <v>1.5</v>
      </c>
      <c r="D347">
        <v>1.2249000000000001</v>
      </c>
      <c r="E347">
        <v>1.3101</v>
      </c>
      <c r="F347">
        <v>86240170.140000001</v>
      </c>
      <c r="G347">
        <v>-4.4400000000000004</v>
      </c>
      <c r="L347" t="s">
        <v>7</v>
      </c>
      <c r="M347" t="s">
        <v>8</v>
      </c>
      <c r="N347" t="s">
        <v>7</v>
      </c>
      <c r="P347">
        <f t="shared" si="974"/>
        <v>-0.38058887677208308</v>
      </c>
      <c r="Q347">
        <f t="shared" si="975"/>
        <v>-32822049.486215938</v>
      </c>
      <c r="R347">
        <f t="shared" si="976"/>
        <v>691543578.26825178</v>
      </c>
      <c r="S347">
        <f t="shared" si="977"/>
        <v>6915.435782682518</v>
      </c>
      <c r="T347">
        <f t="shared" si="978"/>
        <v>6.9154357826825184</v>
      </c>
    </row>
    <row r="348" spans="1:20" x14ac:dyDescent="0.25">
      <c r="A348" s="5">
        <v>44246</v>
      </c>
      <c r="B348">
        <v>1.3976999999999999</v>
      </c>
      <c r="C348">
        <v>1.43</v>
      </c>
      <c r="D348">
        <v>1.3006</v>
      </c>
      <c r="E348">
        <v>1.371</v>
      </c>
      <c r="F348">
        <v>54489930.310000002</v>
      </c>
      <c r="G348">
        <v>-1.91</v>
      </c>
      <c r="L348" t="s">
        <v>7</v>
      </c>
      <c r="M348" t="s">
        <v>8</v>
      </c>
      <c r="N348" t="s">
        <v>7</v>
      </c>
      <c r="P348">
        <f t="shared" si="974"/>
        <v>8.8098918083462749E-2</v>
      </c>
      <c r="Q348">
        <f t="shared" si="975"/>
        <v>4800503.9067542842</v>
      </c>
      <c r="R348">
        <f t="shared" si="976"/>
        <v>724365627.75446773</v>
      </c>
      <c r="S348">
        <f t="shared" si="977"/>
        <v>7243.6562775446773</v>
      </c>
      <c r="T348">
        <f t="shared" si="978"/>
        <v>7.2436562775446776</v>
      </c>
    </row>
    <row r="349" spans="1:20" x14ac:dyDescent="0.25">
      <c r="A349" s="5">
        <v>44245</v>
      </c>
      <c r="B349">
        <v>1.3681000000000001</v>
      </c>
      <c r="C349">
        <v>1.46</v>
      </c>
      <c r="D349">
        <v>1.35</v>
      </c>
      <c r="E349">
        <v>1.3965000000000001</v>
      </c>
      <c r="F349">
        <v>60639191.469999999</v>
      </c>
      <c r="G349">
        <v>2.08</v>
      </c>
      <c r="L349" t="s">
        <v>8</v>
      </c>
      <c r="M349" t="s">
        <v>8</v>
      </c>
      <c r="N349" t="s">
        <v>7</v>
      </c>
      <c r="P349">
        <f t="shared" si="974"/>
        <v>-0.15454545454545385</v>
      </c>
      <c r="Q349">
        <f t="shared" si="975"/>
        <v>-9371511.4089999571</v>
      </c>
      <c r="R349">
        <f t="shared" si="976"/>
        <v>719565123.84771347</v>
      </c>
      <c r="S349">
        <f t="shared" si="977"/>
        <v>7195.6512384771349</v>
      </c>
      <c r="T349">
        <f t="shared" si="978"/>
        <v>7.1956512384771347</v>
      </c>
    </row>
    <row r="350" spans="1:20" x14ac:dyDescent="0.25">
      <c r="A350" s="5">
        <v>44244</v>
      </c>
      <c r="B350">
        <v>1.3125</v>
      </c>
      <c r="C350">
        <v>1.4236</v>
      </c>
      <c r="D350">
        <v>1.1983999999999999</v>
      </c>
      <c r="E350">
        <v>1.3662000000000001</v>
      </c>
      <c r="F350">
        <v>63389014.600000001</v>
      </c>
      <c r="G350">
        <v>4.09</v>
      </c>
      <c r="L350" t="s">
        <v>7</v>
      </c>
      <c r="M350" t="s">
        <v>7</v>
      </c>
      <c r="N350" t="s">
        <v>7</v>
      </c>
      <c r="P350">
        <f t="shared" si="974"/>
        <v>0.49023090586145757</v>
      </c>
      <c r="Q350">
        <f t="shared" si="975"/>
        <v>31075254.049023159</v>
      </c>
      <c r="R350">
        <f t="shared" si="976"/>
        <v>728936635.25671339</v>
      </c>
      <c r="S350">
        <f t="shared" si="977"/>
        <v>7289.3663525671336</v>
      </c>
      <c r="T350">
        <f t="shared" si="978"/>
        <v>7.2893663525671339</v>
      </c>
    </row>
    <row r="351" spans="1:20" x14ac:dyDescent="0.25">
      <c r="A351" s="5">
        <v>44243</v>
      </c>
      <c r="B351">
        <v>1.3573</v>
      </c>
      <c r="C351">
        <v>1.4690000000000001</v>
      </c>
      <c r="D351">
        <v>1.2645</v>
      </c>
      <c r="E351">
        <v>1.3127</v>
      </c>
      <c r="F351">
        <v>52759498.520000003</v>
      </c>
      <c r="G351">
        <v>-3.29</v>
      </c>
      <c r="L351" t="s">
        <v>8</v>
      </c>
      <c r="M351" t="s">
        <v>8</v>
      </c>
      <c r="N351" t="s">
        <v>7</v>
      </c>
      <c r="P351">
        <f t="shared" si="974"/>
        <v>-0.52860635696821523</v>
      </c>
      <c r="Q351">
        <f t="shared" si="975"/>
        <v>-27889006.308127146</v>
      </c>
      <c r="R351">
        <f t="shared" si="976"/>
        <v>697861381.20769024</v>
      </c>
      <c r="S351">
        <f t="shared" si="977"/>
        <v>6978.6138120769028</v>
      </c>
      <c r="T351">
        <f t="shared" si="978"/>
        <v>6.9786138120769028</v>
      </c>
    </row>
    <row r="352" spans="1:20" x14ac:dyDescent="0.25">
      <c r="A352" s="5">
        <v>44242</v>
      </c>
      <c r="B352">
        <v>1.4691000000000001</v>
      </c>
      <c r="C352">
        <v>1.546</v>
      </c>
      <c r="D352">
        <v>1.2</v>
      </c>
      <c r="E352">
        <v>1.3557999999999999</v>
      </c>
      <c r="F352">
        <v>77479052.659999996</v>
      </c>
      <c r="G352">
        <v>-7.71</v>
      </c>
      <c r="L352" t="s">
        <v>7</v>
      </c>
      <c r="M352" t="s">
        <v>7</v>
      </c>
      <c r="N352" t="s">
        <v>7</v>
      </c>
      <c r="P352">
        <f t="shared" si="974"/>
        <v>-9.942196531791965E-2</v>
      </c>
      <c r="Q352">
        <f t="shared" si="975"/>
        <v>-7703119.6864277897</v>
      </c>
      <c r="R352">
        <f t="shared" si="976"/>
        <v>725750387.5158174</v>
      </c>
      <c r="S352">
        <f t="shared" si="977"/>
        <v>7257.5038751581742</v>
      </c>
      <c r="T352">
        <f t="shared" si="978"/>
        <v>7.2575038751581742</v>
      </c>
    </row>
    <row r="353" spans="1:20" x14ac:dyDescent="0.25">
      <c r="A353" s="5">
        <v>44241</v>
      </c>
      <c r="B353">
        <v>1.6717</v>
      </c>
      <c r="C353">
        <v>1.69</v>
      </c>
      <c r="D353">
        <v>1.4029</v>
      </c>
      <c r="E353">
        <v>1.4705999999999999</v>
      </c>
      <c r="F353">
        <v>50986700.130000003</v>
      </c>
      <c r="G353">
        <v>-12.03</v>
      </c>
      <c r="L353" t="s">
        <v>8</v>
      </c>
      <c r="M353" t="s">
        <v>8</v>
      </c>
      <c r="N353" t="s">
        <v>8</v>
      </c>
      <c r="P353">
        <f t="shared" si="974"/>
        <v>-0.5283873214907705</v>
      </c>
      <c r="Q353">
        <f t="shared" si="975"/>
        <v>-26940725.913343821</v>
      </c>
      <c r="R353">
        <f t="shared" si="976"/>
        <v>733453507.20224524</v>
      </c>
      <c r="S353">
        <f t="shared" si="977"/>
        <v>7334.5350720224524</v>
      </c>
      <c r="T353">
        <f t="shared" si="978"/>
        <v>7.3345350720224527</v>
      </c>
    </row>
    <row r="354" spans="1:20" x14ac:dyDescent="0.25">
      <c r="A354" s="5">
        <v>44240</v>
      </c>
      <c r="B354">
        <v>1.718</v>
      </c>
      <c r="C354">
        <v>1.7988</v>
      </c>
      <c r="D354">
        <v>1.3507</v>
      </c>
      <c r="E354">
        <v>1.6716</v>
      </c>
      <c r="F354">
        <v>98301837.819999993</v>
      </c>
      <c r="G354">
        <v>-2.7</v>
      </c>
      <c r="L354" t="s">
        <v>7</v>
      </c>
      <c r="M354" t="s">
        <v>7</v>
      </c>
      <c r="N354" t="s">
        <v>8</v>
      </c>
      <c r="P354">
        <f t="shared" si="974"/>
        <v>0.43226958268243698</v>
      </c>
      <c r="Q354">
        <f t="shared" si="975"/>
        <v>42492894.411367998</v>
      </c>
      <c r="R354">
        <f t="shared" si="976"/>
        <v>760394233.11558902</v>
      </c>
      <c r="S354">
        <f t="shared" si="977"/>
        <v>7603.9423311558903</v>
      </c>
      <c r="T354">
        <f t="shared" si="978"/>
        <v>7.6039423311558902</v>
      </c>
    </row>
    <row r="355" spans="1:20" x14ac:dyDescent="0.25">
      <c r="A355" s="5">
        <v>44239</v>
      </c>
      <c r="B355">
        <v>1.238</v>
      </c>
      <c r="C355">
        <v>1.84</v>
      </c>
      <c r="D355">
        <v>1.175</v>
      </c>
      <c r="E355">
        <v>1.7178</v>
      </c>
      <c r="F355">
        <v>147129037.48800001</v>
      </c>
      <c r="G355">
        <v>38.76</v>
      </c>
      <c r="L355" t="s">
        <v>8</v>
      </c>
      <c r="M355" t="s">
        <v>8</v>
      </c>
      <c r="N355" t="s">
        <v>8</v>
      </c>
      <c r="P355">
        <f t="shared" si="974"/>
        <v>0.63248120300751853</v>
      </c>
      <c r="Q355">
        <f t="shared" si="975"/>
        <v>93056350.627748534</v>
      </c>
      <c r="R355">
        <f t="shared" si="976"/>
        <v>717901338.70422101</v>
      </c>
      <c r="S355">
        <f t="shared" si="977"/>
        <v>7179.0133870422105</v>
      </c>
      <c r="T355">
        <f t="shared" si="978"/>
        <v>7.1790133870422101</v>
      </c>
    </row>
    <row r="356" spans="1:20" x14ac:dyDescent="0.25">
      <c r="A356" s="5">
        <v>44238</v>
      </c>
      <c r="B356">
        <v>1.0309999999999999</v>
      </c>
      <c r="C356">
        <v>1.306</v>
      </c>
      <c r="D356">
        <v>1.0309999999999999</v>
      </c>
      <c r="E356">
        <v>1.238</v>
      </c>
      <c r="F356">
        <v>99429749.915000007</v>
      </c>
      <c r="G356">
        <v>20.079999999999998</v>
      </c>
      <c r="L356" t="s">
        <v>8</v>
      </c>
      <c r="M356" t="s">
        <v>8</v>
      </c>
      <c r="N356" t="s">
        <v>8</v>
      </c>
      <c r="P356">
        <f t="shared" si="974"/>
        <v>0.50545454545454527</v>
      </c>
      <c r="Q356">
        <f t="shared" si="975"/>
        <v>50257219.04794544</v>
      </c>
      <c r="R356">
        <f t="shared" si="976"/>
        <v>624844988.07647252</v>
      </c>
      <c r="S356">
        <f t="shared" si="977"/>
        <v>6248.4498807647251</v>
      </c>
      <c r="T356">
        <f t="shared" si="978"/>
        <v>6.2484498807647251</v>
      </c>
    </row>
    <row r="357" spans="1:20" x14ac:dyDescent="0.25">
      <c r="A357" s="5">
        <v>44237</v>
      </c>
      <c r="B357">
        <v>1.0289999999999999</v>
      </c>
      <c r="C357">
        <v>1.0494000000000001</v>
      </c>
      <c r="D357">
        <v>0.91679999999999995</v>
      </c>
      <c r="E357">
        <v>1.0311999999999999</v>
      </c>
      <c r="F357">
        <v>60461063.109999999</v>
      </c>
      <c r="G357">
        <v>0.21</v>
      </c>
      <c r="L357" t="s">
        <v>7</v>
      </c>
      <c r="M357" t="s">
        <v>8</v>
      </c>
      <c r="N357" t="s">
        <v>8</v>
      </c>
      <c r="P357">
        <f t="shared" si="974"/>
        <v>0.72549019607842846</v>
      </c>
      <c r="Q357">
        <f t="shared" si="975"/>
        <v>43863908.530784138</v>
      </c>
      <c r="R357">
        <f t="shared" si="976"/>
        <v>574587769.02852702</v>
      </c>
      <c r="S357">
        <f t="shared" si="977"/>
        <v>5745.8776902852705</v>
      </c>
      <c r="T357">
        <f t="shared" si="978"/>
        <v>5.7458776902852708</v>
      </c>
    </row>
    <row r="358" spans="1:20" x14ac:dyDescent="0.25">
      <c r="A358" s="5">
        <v>44236</v>
      </c>
      <c r="B358">
        <v>1.0031000000000001</v>
      </c>
      <c r="C358">
        <v>1.0812999999999999</v>
      </c>
      <c r="D358">
        <v>0.95720000000000005</v>
      </c>
      <c r="E358">
        <v>1.0289999999999999</v>
      </c>
      <c r="F358">
        <v>73061998.890000001</v>
      </c>
      <c r="G358">
        <v>2.58</v>
      </c>
      <c r="L358" t="s">
        <v>7</v>
      </c>
      <c r="M358" t="s">
        <v>8</v>
      </c>
      <c r="N358" t="s">
        <v>8</v>
      </c>
      <c r="P358">
        <f t="shared" si="974"/>
        <v>0.15713134568895948</v>
      </c>
      <c r="Q358">
        <f t="shared" si="975"/>
        <v>11480330.204310963</v>
      </c>
      <c r="R358">
        <f t="shared" si="976"/>
        <v>530723860.49774283</v>
      </c>
      <c r="S358">
        <f t="shared" si="977"/>
        <v>5307.2386049774286</v>
      </c>
      <c r="T358">
        <f t="shared" si="978"/>
        <v>5.3072386049774289</v>
      </c>
    </row>
    <row r="359" spans="1:20" x14ac:dyDescent="0.25">
      <c r="A359" s="5">
        <v>44235</v>
      </c>
      <c r="B359">
        <v>0.84489999999999998</v>
      </c>
      <c r="C359">
        <v>1.095</v>
      </c>
      <c r="D359">
        <v>0.83950000000000002</v>
      </c>
      <c r="E359">
        <v>1.0027999999999999</v>
      </c>
      <c r="F359">
        <v>112093011.971</v>
      </c>
      <c r="G359">
        <v>18.690000000000001</v>
      </c>
      <c r="L359" t="s">
        <v>8</v>
      </c>
      <c r="M359" t="s">
        <v>8</v>
      </c>
      <c r="N359" t="s">
        <v>8</v>
      </c>
      <c r="P359">
        <f t="shared" si="974"/>
        <v>0.27827788649706398</v>
      </c>
      <c r="Q359">
        <f t="shared" si="975"/>
        <v>31193006.462379973</v>
      </c>
      <c r="R359">
        <f t="shared" si="976"/>
        <v>519243530.29343188</v>
      </c>
      <c r="S359">
        <f t="shared" si="977"/>
        <v>5192.4353029343192</v>
      </c>
      <c r="T359">
        <f t="shared" si="978"/>
        <v>5.1924353029343191</v>
      </c>
    </row>
    <row r="360" spans="1:20" x14ac:dyDescent="0.25">
      <c r="A360" s="5">
        <v>44234</v>
      </c>
      <c r="B360">
        <v>0.80979999999999996</v>
      </c>
      <c r="C360">
        <v>0.87649999999999995</v>
      </c>
      <c r="D360">
        <v>0.76800000000000002</v>
      </c>
      <c r="E360">
        <v>0.8448</v>
      </c>
      <c r="F360">
        <v>55163037.530000001</v>
      </c>
      <c r="G360">
        <v>4.32</v>
      </c>
      <c r="L360" t="s">
        <v>8</v>
      </c>
      <c r="M360" t="s">
        <v>8</v>
      </c>
      <c r="N360" t="s">
        <v>8</v>
      </c>
      <c r="P360">
        <f t="shared" si="974"/>
        <v>0.41566820276497751</v>
      </c>
      <c r="Q360">
        <f t="shared" si="975"/>
        <v>22929520.669152103</v>
      </c>
      <c r="R360">
        <f t="shared" si="976"/>
        <v>488050523.83105189</v>
      </c>
      <c r="S360">
        <f t="shared" si="977"/>
        <v>4880.5052383105185</v>
      </c>
      <c r="T360">
        <f t="shared" si="978"/>
        <v>4.8805052383105183</v>
      </c>
    </row>
    <row r="361" spans="1:20" x14ac:dyDescent="0.25">
      <c r="A361" s="5">
        <v>44233</v>
      </c>
      <c r="B361">
        <v>0.83350000000000002</v>
      </c>
      <c r="C361">
        <v>0.86419999999999997</v>
      </c>
      <c r="D361">
        <v>0.73470000000000002</v>
      </c>
      <c r="E361">
        <v>0.80920000000000003</v>
      </c>
      <c r="F361">
        <v>57230633.780000001</v>
      </c>
      <c r="G361">
        <v>-2.92</v>
      </c>
      <c r="L361" t="s">
        <v>7</v>
      </c>
      <c r="M361" t="s">
        <v>7</v>
      </c>
      <c r="N361" t="s">
        <v>8</v>
      </c>
      <c r="P361">
        <f t="shared" si="974"/>
        <v>0.15057915057915119</v>
      </c>
      <c r="Q361">
        <f t="shared" si="975"/>
        <v>8617740.2216988765</v>
      </c>
      <c r="R361">
        <f t="shared" si="976"/>
        <v>465121003.16189981</v>
      </c>
      <c r="S361">
        <f t="shared" si="977"/>
        <v>4651.2100316189981</v>
      </c>
      <c r="T361">
        <f t="shared" si="978"/>
        <v>4.6512100316189979</v>
      </c>
    </row>
    <row r="362" spans="1:20" x14ac:dyDescent="0.25">
      <c r="A362" s="5">
        <v>44232</v>
      </c>
      <c r="B362">
        <v>0.70550000000000002</v>
      </c>
      <c r="C362">
        <v>0.89</v>
      </c>
      <c r="D362">
        <v>0.69810000000000005</v>
      </c>
      <c r="E362">
        <v>0.83379999999999999</v>
      </c>
      <c r="F362">
        <v>70511516.930000007</v>
      </c>
      <c r="G362">
        <v>18.190000000000001</v>
      </c>
      <c r="L362" t="s">
        <v>8</v>
      </c>
      <c r="M362" t="s">
        <v>8</v>
      </c>
      <c r="N362" t="s">
        <v>8</v>
      </c>
      <c r="P362">
        <f t="shared" si="974"/>
        <v>0.41427826993225597</v>
      </c>
      <c r="Q362">
        <f t="shared" si="975"/>
        <v>29211389.24405938</v>
      </c>
      <c r="R362">
        <f t="shared" si="976"/>
        <v>456503262.94020092</v>
      </c>
      <c r="S362">
        <f t="shared" si="977"/>
        <v>4565.0326294020097</v>
      </c>
      <c r="T362">
        <f t="shared" si="978"/>
        <v>4.56503262940201</v>
      </c>
    </row>
    <row r="363" spans="1:20" x14ac:dyDescent="0.25">
      <c r="A363" s="5">
        <v>44231</v>
      </c>
      <c r="B363">
        <v>0.74490000000000001</v>
      </c>
      <c r="C363">
        <v>0.76</v>
      </c>
      <c r="D363">
        <v>0.67</v>
      </c>
      <c r="E363">
        <v>0.70569999999999999</v>
      </c>
      <c r="F363">
        <v>50705381.490000002</v>
      </c>
      <c r="G363">
        <v>-5.26</v>
      </c>
      <c r="L363" t="s">
        <v>8</v>
      </c>
      <c r="M363" t="s">
        <v>8</v>
      </c>
      <c r="N363" t="s">
        <v>8</v>
      </c>
      <c r="P363">
        <f t="shared" si="974"/>
        <v>-0.20666666666666741</v>
      </c>
      <c r="Q363">
        <f t="shared" si="975"/>
        <v>-10479112.174600039</v>
      </c>
      <c r="R363">
        <f t="shared" si="976"/>
        <v>427291873.69614154</v>
      </c>
      <c r="S363">
        <f t="shared" si="977"/>
        <v>4272.9187369614156</v>
      </c>
      <c r="T363">
        <f t="shared" si="978"/>
        <v>4.2729187369614152</v>
      </c>
    </row>
    <row r="364" spans="1:20" x14ac:dyDescent="0.25">
      <c r="A364" s="5">
        <v>44230</v>
      </c>
      <c r="B364">
        <v>0.65069999999999995</v>
      </c>
      <c r="C364">
        <v>0.75190000000000001</v>
      </c>
      <c r="D364">
        <v>0.64739999999999998</v>
      </c>
      <c r="E364">
        <v>0.74539999999999995</v>
      </c>
      <c r="F364">
        <v>44763287.93</v>
      </c>
      <c r="G364">
        <v>14.55</v>
      </c>
      <c r="L364" t="s">
        <v>8</v>
      </c>
      <c r="M364" t="s">
        <v>8</v>
      </c>
      <c r="N364" t="s">
        <v>8</v>
      </c>
      <c r="P364">
        <f t="shared" si="974"/>
        <v>0.87559808612440082</v>
      </c>
      <c r="Q364">
        <f t="shared" si="975"/>
        <v>39194649.240143493</v>
      </c>
      <c r="R364">
        <f t="shared" si="976"/>
        <v>437770985.87074161</v>
      </c>
      <c r="S364">
        <f t="shared" si="977"/>
        <v>4377.7098587074161</v>
      </c>
      <c r="T364">
        <f t="shared" si="978"/>
        <v>4.3777098587074157</v>
      </c>
    </row>
    <row r="365" spans="1:20" x14ac:dyDescent="0.25">
      <c r="A365" s="5">
        <v>44229</v>
      </c>
      <c r="B365">
        <v>0.64419999999999999</v>
      </c>
      <c r="C365">
        <v>0.67330000000000001</v>
      </c>
      <c r="D365">
        <v>0.62429999999999997</v>
      </c>
      <c r="E365">
        <v>0.65069999999999995</v>
      </c>
      <c r="F365">
        <v>31296868.960000001</v>
      </c>
      <c r="G365">
        <v>1.01</v>
      </c>
      <c r="L365" t="s">
        <v>8</v>
      </c>
      <c r="M365" t="s">
        <v>8</v>
      </c>
      <c r="N365" t="s">
        <v>8</v>
      </c>
      <c r="P365">
        <f t="shared" si="974"/>
        <v>7.7551020408161447E-2</v>
      </c>
      <c r="Q365">
        <f t="shared" si="975"/>
        <v>2427104.1234285147</v>
      </c>
      <c r="R365">
        <f t="shared" si="976"/>
        <v>398576336.63059813</v>
      </c>
      <c r="S365">
        <f t="shared" si="977"/>
        <v>3985.7633663059814</v>
      </c>
      <c r="T365">
        <f t="shared" si="978"/>
        <v>3.9857633663059815</v>
      </c>
    </row>
    <row r="366" spans="1:20" x14ac:dyDescent="0.25">
      <c r="A366" s="5">
        <v>44228</v>
      </c>
      <c r="B366">
        <v>0.65239999999999998</v>
      </c>
      <c r="C366">
        <v>0.66749999999999998</v>
      </c>
      <c r="D366">
        <v>0.6159</v>
      </c>
      <c r="E366">
        <v>0.64419999999999999</v>
      </c>
      <c r="F366">
        <v>41334111.25</v>
      </c>
      <c r="G366">
        <v>-1.26</v>
      </c>
      <c r="L366" t="s">
        <v>8</v>
      </c>
      <c r="M366" t="s">
        <v>8</v>
      </c>
      <c r="N366" t="s">
        <v>8</v>
      </c>
      <c r="P366">
        <f t="shared" si="974"/>
        <v>9.6899224806201681E-2</v>
      </c>
      <c r="Q366">
        <f t="shared" si="975"/>
        <v>4005243.3381782998</v>
      </c>
      <c r="R366">
        <f t="shared" si="976"/>
        <v>396149232.5071696</v>
      </c>
      <c r="S366">
        <f t="shared" si="977"/>
        <v>3961.4923250716961</v>
      </c>
      <c r="T366">
        <f t="shared" si="978"/>
        <v>3.961492325071696</v>
      </c>
    </row>
    <row r="367" spans="1:20" x14ac:dyDescent="0.25">
      <c r="A367" s="5">
        <v>44227</v>
      </c>
      <c r="B367">
        <v>0.66490000000000005</v>
      </c>
      <c r="C367">
        <v>0.70299999999999996</v>
      </c>
      <c r="D367">
        <v>0.62080000000000002</v>
      </c>
      <c r="E367">
        <v>0.65159999999999996</v>
      </c>
      <c r="F367">
        <v>49701249.219999999</v>
      </c>
      <c r="G367">
        <v>-2</v>
      </c>
      <c r="L367" t="s">
        <v>7</v>
      </c>
      <c r="M367" t="s">
        <v>8</v>
      </c>
      <c r="N367" t="s">
        <v>8</v>
      </c>
      <c r="P367">
        <f t="shared" si="974"/>
        <v>-0.2506082725060837</v>
      </c>
      <c r="Q367">
        <f t="shared" si="975"/>
        <v>-12455544.208418539</v>
      </c>
      <c r="R367">
        <f t="shared" si="976"/>
        <v>392143989.16899133</v>
      </c>
      <c r="S367">
        <f t="shared" si="977"/>
        <v>3921.4398916899131</v>
      </c>
      <c r="T367">
        <f t="shared" si="978"/>
        <v>3.9214398916899129</v>
      </c>
    </row>
    <row r="368" spans="1:20" x14ac:dyDescent="0.25">
      <c r="A368" s="5">
        <v>44226</v>
      </c>
      <c r="B368">
        <v>0.63680000000000003</v>
      </c>
      <c r="C368">
        <v>0.7036</v>
      </c>
      <c r="D368">
        <v>0.61350000000000005</v>
      </c>
      <c r="E368">
        <v>0.6653</v>
      </c>
      <c r="F368">
        <v>64045619.18</v>
      </c>
      <c r="G368">
        <v>4.4800000000000004</v>
      </c>
      <c r="L368" t="s">
        <v>8</v>
      </c>
      <c r="M368" t="s">
        <v>8</v>
      </c>
      <c r="N368" t="s">
        <v>8</v>
      </c>
      <c r="P368">
        <f t="shared" si="974"/>
        <v>0.14983351831298516</v>
      </c>
      <c r="Q368">
        <f t="shared" si="975"/>
        <v>9596180.4542730041</v>
      </c>
      <c r="R368">
        <f t="shared" si="976"/>
        <v>404599533.37740988</v>
      </c>
      <c r="S368">
        <f t="shared" si="977"/>
        <v>4045.995333774099</v>
      </c>
      <c r="T368">
        <f t="shared" si="978"/>
        <v>4.0459953337740986</v>
      </c>
    </row>
    <row r="369" spans="1:20" x14ac:dyDescent="0.25">
      <c r="A369" s="5">
        <v>44225</v>
      </c>
      <c r="B369">
        <v>0.5585</v>
      </c>
      <c r="C369">
        <v>0.68510000000000004</v>
      </c>
      <c r="D369">
        <v>0.54610000000000003</v>
      </c>
      <c r="E369">
        <v>0.63619999999999999</v>
      </c>
      <c r="F369">
        <v>67696029.400000006</v>
      </c>
      <c r="G369">
        <v>13.91</v>
      </c>
      <c r="L369" t="s">
        <v>8</v>
      </c>
      <c r="M369" t="s">
        <v>8</v>
      </c>
      <c r="N369" t="s">
        <v>8</v>
      </c>
      <c r="P369">
        <f t="shared" si="974"/>
        <v>0.29640287769784102</v>
      </c>
      <c r="Q369">
        <f t="shared" si="975"/>
        <v>20065297.922877651</v>
      </c>
      <c r="R369">
        <f t="shared" si="976"/>
        <v>395003352.92313689</v>
      </c>
      <c r="S369">
        <f t="shared" si="977"/>
        <v>3950.0335292313689</v>
      </c>
      <c r="T369">
        <f t="shared" si="978"/>
        <v>3.9500335292313689</v>
      </c>
    </row>
    <row r="370" spans="1:20" x14ac:dyDescent="0.25">
      <c r="A370" s="5">
        <v>44224</v>
      </c>
      <c r="B370">
        <v>0.54139999999999999</v>
      </c>
      <c r="C370">
        <v>0.58020000000000005</v>
      </c>
      <c r="D370">
        <v>0.52569999999999995</v>
      </c>
      <c r="E370">
        <v>0.55859999999999999</v>
      </c>
      <c r="F370">
        <v>39738370.299999997</v>
      </c>
      <c r="G370">
        <v>3.18</v>
      </c>
      <c r="L370" t="s">
        <v>8</v>
      </c>
      <c r="M370" t="s">
        <v>7</v>
      </c>
      <c r="N370" t="s">
        <v>8</v>
      </c>
      <c r="P370">
        <f t="shared" si="974"/>
        <v>0.20733944954128358</v>
      </c>
      <c r="Q370">
        <f t="shared" si="975"/>
        <v>8239331.8236696916</v>
      </c>
      <c r="R370">
        <f t="shared" si="976"/>
        <v>374938055.00025922</v>
      </c>
      <c r="S370">
        <f t="shared" si="977"/>
        <v>3749.3805500025924</v>
      </c>
      <c r="T370">
        <f t="shared" si="978"/>
        <v>3.7493805500025923</v>
      </c>
    </row>
    <row r="371" spans="1:20" x14ac:dyDescent="0.25">
      <c r="A371" s="5">
        <v>44223</v>
      </c>
      <c r="B371">
        <v>0.60089999999999999</v>
      </c>
      <c r="C371">
        <v>0.60170000000000001</v>
      </c>
      <c r="D371">
        <v>0.52500000000000002</v>
      </c>
      <c r="E371">
        <v>0.54100000000000004</v>
      </c>
      <c r="F371">
        <v>36970785.170000002</v>
      </c>
      <c r="G371">
        <v>-9.9700000000000006</v>
      </c>
      <c r="L371" t="s">
        <v>7</v>
      </c>
      <c r="M371" t="s">
        <v>7</v>
      </c>
      <c r="N371" t="s">
        <v>8</v>
      </c>
      <c r="P371">
        <f t="shared" si="974"/>
        <v>-0.58279009126466708</v>
      </c>
      <c r="Q371">
        <f t="shared" si="975"/>
        <v>-21546207.263350703</v>
      </c>
      <c r="R371">
        <f t="shared" si="976"/>
        <v>366698723.17658955</v>
      </c>
      <c r="S371">
        <f t="shared" si="977"/>
        <v>3666.9872317658956</v>
      </c>
      <c r="T371">
        <f t="shared" si="978"/>
        <v>3.6669872317658956</v>
      </c>
    </row>
    <row r="372" spans="1:20" x14ac:dyDescent="0.25">
      <c r="A372" s="5">
        <v>44222</v>
      </c>
      <c r="B372">
        <v>0.55589999999999995</v>
      </c>
      <c r="C372">
        <v>0.62</v>
      </c>
      <c r="D372">
        <v>0.53500000000000003</v>
      </c>
      <c r="E372">
        <v>0.60099999999999998</v>
      </c>
      <c r="F372">
        <v>36806446.380000003</v>
      </c>
      <c r="G372">
        <v>8.11</v>
      </c>
      <c r="L372" t="s">
        <v>7</v>
      </c>
      <c r="M372" t="s">
        <v>8</v>
      </c>
      <c r="N372" t="s">
        <v>8</v>
      </c>
      <c r="P372">
        <f t="shared" si="974"/>
        <v>0.5529411764705876</v>
      </c>
      <c r="Q372">
        <f t="shared" si="975"/>
        <v>20351799.7630588</v>
      </c>
      <c r="R372">
        <f t="shared" si="976"/>
        <v>388244930.43994027</v>
      </c>
      <c r="S372">
        <f t="shared" si="977"/>
        <v>3882.4493043994025</v>
      </c>
      <c r="T372">
        <f t="shared" si="978"/>
        <v>3.8824493043994024</v>
      </c>
    </row>
    <row r="373" spans="1:20" x14ac:dyDescent="0.25">
      <c r="A373" s="5">
        <v>44221</v>
      </c>
      <c r="B373">
        <v>0.56210000000000004</v>
      </c>
      <c r="C373">
        <v>0.64459999999999995</v>
      </c>
      <c r="D373">
        <v>0.55000000000000004</v>
      </c>
      <c r="E373">
        <v>0.55600000000000005</v>
      </c>
      <c r="F373">
        <v>56997115.25</v>
      </c>
      <c r="G373">
        <v>-1.0900000000000001</v>
      </c>
      <c r="L373" t="s">
        <v>8</v>
      </c>
      <c r="M373" t="s">
        <v>8</v>
      </c>
      <c r="N373" t="s">
        <v>8</v>
      </c>
      <c r="P373">
        <f t="shared" si="974"/>
        <v>-0.87315010570824503</v>
      </c>
      <c r="Q373">
        <f t="shared" si="975"/>
        <v>-49767037.205602527</v>
      </c>
      <c r="R373">
        <f t="shared" si="976"/>
        <v>367893130.67688149</v>
      </c>
      <c r="S373">
        <f t="shared" si="977"/>
        <v>3678.9313067688149</v>
      </c>
      <c r="T373">
        <f t="shared" si="978"/>
        <v>3.6789313067688147</v>
      </c>
    </row>
    <row r="374" spans="1:20" x14ac:dyDescent="0.25">
      <c r="A374" s="5">
        <v>44220</v>
      </c>
      <c r="B374">
        <v>0.55620000000000003</v>
      </c>
      <c r="C374">
        <v>0.58379999999999999</v>
      </c>
      <c r="D374">
        <v>0.54730000000000001</v>
      </c>
      <c r="E374">
        <v>0.56230000000000002</v>
      </c>
      <c r="F374">
        <v>35657336.869999997</v>
      </c>
      <c r="G374">
        <v>1.1000000000000001</v>
      </c>
      <c r="L374" t="s">
        <v>8</v>
      </c>
      <c r="M374" t="s">
        <v>8</v>
      </c>
      <c r="N374" t="s">
        <v>8</v>
      </c>
      <c r="P374">
        <f t="shared" si="974"/>
        <v>-0.17808219178082066</v>
      </c>
      <c r="Q374">
        <f t="shared" si="975"/>
        <v>-6349936.7028766666</v>
      </c>
      <c r="R374">
        <f t="shared" si="976"/>
        <v>417660167.88248402</v>
      </c>
      <c r="S374">
        <f t="shared" si="977"/>
        <v>4176.6016788248398</v>
      </c>
      <c r="T374">
        <f t="shared" si="978"/>
        <v>4.1766016788248397</v>
      </c>
    </row>
    <row r="375" spans="1:20" x14ac:dyDescent="0.25">
      <c r="A375" s="5">
        <v>44219</v>
      </c>
      <c r="B375">
        <v>0.50839999999999996</v>
      </c>
      <c r="C375">
        <v>0.57110000000000005</v>
      </c>
      <c r="D375">
        <v>0.50160000000000005</v>
      </c>
      <c r="E375">
        <v>0.55610000000000004</v>
      </c>
      <c r="F375">
        <v>40745060.539999999</v>
      </c>
      <c r="G375">
        <v>9.3800000000000008</v>
      </c>
      <c r="L375" t="s">
        <v>8</v>
      </c>
      <c r="M375" t="s">
        <v>8</v>
      </c>
      <c r="N375" t="s">
        <v>8</v>
      </c>
      <c r="P375">
        <f t="shared" si="974"/>
        <v>0.56834532374100688</v>
      </c>
      <c r="Q375">
        <f t="shared" si="975"/>
        <v>23157264.623453226</v>
      </c>
      <c r="R375">
        <f t="shared" si="976"/>
        <v>424010104.58536071</v>
      </c>
      <c r="S375">
        <f t="shared" si="977"/>
        <v>4240.1010458536075</v>
      </c>
      <c r="T375">
        <f t="shared" si="978"/>
        <v>4.2401010458536073</v>
      </c>
    </row>
    <row r="376" spans="1:20" x14ac:dyDescent="0.25">
      <c r="A376" s="5">
        <v>44218</v>
      </c>
      <c r="B376">
        <v>0.46160000000000001</v>
      </c>
      <c r="C376">
        <v>0.53869999999999996</v>
      </c>
      <c r="D376">
        <v>0.42880000000000001</v>
      </c>
      <c r="E376">
        <v>0.50880000000000003</v>
      </c>
      <c r="F376">
        <v>37462256.439999998</v>
      </c>
      <c r="G376">
        <v>10.23</v>
      </c>
      <c r="L376" t="s">
        <v>7</v>
      </c>
      <c r="M376" t="s">
        <v>7</v>
      </c>
      <c r="N376" t="s">
        <v>8</v>
      </c>
      <c r="P376">
        <f t="shared" si="974"/>
        <v>0.45586897179253971</v>
      </c>
      <c r="Q376">
        <f t="shared" si="975"/>
        <v>17077880.324331246</v>
      </c>
      <c r="R376">
        <f t="shared" si="976"/>
        <v>400852839.96190751</v>
      </c>
      <c r="S376">
        <f t="shared" si="977"/>
        <v>4008.5283996190751</v>
      </c>
      <c r="T376">
        <f t="shared" si="978"/>
        <v>4.0085283996190748</v>
      </c>
    </row>
    <row r="377" spans="1:20" x14ac:dyDescent="0.25">
      <c r="A377" s="5">
        <v>44217</v>
      </c>
      <c r="B377">
        <v>0.54769999999999996</v>
      </c>
      <c r="C377">
        <v>0.54990000000000006</v>
      </c>
      <c r="D377">
        <v>0.44729999999999998</v>
      </c>
      <c r="E377">
        <v>0.46100000000000002</v>
      </c>
      <c r="F377">
        <v>41102792.25</v>
      </c>
      <c r="G377">
        <v>-15.83</v>
      </c>
      <c r="L377" t="s">
        <v>7</v>
      </c>
      <c r="M377" t="s">
        <v>7</v>
      </c>
      <c r="N377" t="s">
        <v>8</v>
      </c>
      <c r="P377">
        <f t="shared" si="974"/>
        <v>-0.73294346978557434</v>
      </c>
      <c r="Q377">
        <f t="shared" si="975"/>
        <v>-30126023.169590615</v>
      </c>
      <c r="R377">
        <f t="shared" si="976"/>
        <v>383774959.63757628</v>
      </c>
      <c r="S377">
        <f t="shared" si="977"/>
        <v>3837.7495963757628</v>
      </c>
      <c r="T377">
        <f t="shared" si="978"/>
        <v>3.8377495963757626</v>
      </c>
    </row>
    <row r="378" spans="1:20" x14ac:dyDescent="0.25">
      <c r="A378" s="5">
        <v>44216</v>
      </c>
      <c r="B378">
        <v>0.52129999999999999</v>
      </c>
      <c r="C378">
        <v>0.54990000000000006</v>
      </c>
      <c r="D378">
        <v>0.48359999999999997</v>
      </c>
      <c r="E378">
        <v>0.54720000000000002</v>
      </c>
      <c r="F378">
        <v>39674017.299999997</v>
      </c>
      <c r="G378">
        <v>4.97</v>
      </c>
      <c r="L378" t="s">
        <v>7</v>
      </c>
      <c r="M378" t="s">
        <v>7</v>
      </c>
      <c r="N378" t="s">
        <v>8</v>
      </c>
      <c r="P378">
        <f t="shared" si="974"/>
        <v>0.91855203619909409</v>
      </c>
      <c r="Q378">
        <f t="shared" si="975"/>
        <v>36442649.375113085</v>
      </c>
      <c r="R378">
        <f t="shared" si="976"/>
        <v>413900982.80716687</v>
      </c>
      <c r="S378">
        <f t="shared" si="977"/>
        <v>4139.0098280716684</v>
      </c>
      <c r="T378">
        <f t="shared" si="978"/>
        <v>4.1390098280716687</v>
      </c>
    </row>
    <row r="379" spans="1:20" x14ac:dyDescent="0.25">
      <c r="A379" s="5">
        <v>44215</v>
      </c>
      <c r="B379">
        <v>0.56679999999999997</v>
      </c>
      <c r="C379">
        <v>0.57410000000000005</v>
      </c>
      <c r="D379">
        <v>0.51500000000000001</v>
      </c>
      <c r="E379">
        <v>0.52129999999999999</v>
      </c>
      <c r="F379">
        <v>35071539.009999998</v>
      </c>
      <c r="G379">
        <v>-8.0299999999999994</v>
      </c>
      <c r="L379" t="s">
        <v>7</v>
      </c>
      <c r="M379" t="s">
        <v>8</v>
      </c>
      <c r="N379" t="s">
        <v>8</v>
      </c>
      <c r="P379">
        <f t="shared" si="974"/>
        <v>-0.78680203045685393</v>
      </c>
      <c r="Q379">
        <f t="shared" si="975"/>
        <v>-27594358.104314759</v>
      </c>
      <c r="R379">
        <f t="shared" si="976"/>
        <v>377458333.4320538</v>
      </c>
      <c r="S379">
        <f t="shared" si="977"/>
        <v>3774.5833343205381</v>
      </c>
      <c r="T379">
        <f t="shared" si="978"/>
        <v>3.7745833343205382</v>
      </c>
    </row>
    <row r="380" spans="1:20" x14ac:dyDescent="0.25">
      <c r="A380" s="5">
        <v>44214</v>
      </c>
      <c r="B380">
        <v>0.58689999999999998</v>
      </c>
      <c r="C380">
        <v>0.60799999999999998</v>
      </c>
      <c r="D380">
        <v>0.54059999999999997</v>
      </c>
      <c r="E380">
        <v>0.56679999999999997</v>
      </c>
      <c r="F380">
        <v>48169545.049999997</v>
      </c>
      <c r="G380">
        <v>-3.42</v>
      </c>
      <c r="L380" t="s">
        <v>8</v>
      </c>
      <c r="M380" t="s">
        <v>8</v>
      </c>
      <c r="N380" t="s">
        <v>8</v>
      </c>
      <c r="P380">
        <f t="shared" si="974"/>
        <v>-0.22255192878338292</v>
      </c>
      <c r="Q380">
        <f t="shared" si="975"/>
        <v>-10720225.159495555</v>
      </c>
      <c r="R380">
        <f t="shared" si="976"/>
        <v>405052691.53636855</v>
      </c>
      <c r="S380">
        <f t="shared" si="977"/>
        <v>4050.5269153636855</v>
      </c>
      <c r="T380">
        <f t="shared" si="978"/>
        <v>4.0505269153636858</v>
      </c>
    </row>
    <row r="381" spans="1:20" x14ac:dyDescent="0.25">
      <c r="A381" s="5">
        <v>44213</v>
      </c>
      <c r="B381">
        <v>0.51849999999999996</v>
      </c>
      <c r="C381">
        <v>0.58879999999999999</v>
      </c>
      <c r="D381">
        <v>0.4819</v>
      </c>
      <c r="E381">
        <v>0.58589999999999998</v>
      </c>
      <c r="F381">
        <v>61471228.869999997</v>
      </c>
      <c r="G381">
        <v>13</v>
      </c>
      <c r="L381" t="s">
        <v>8</v>
      </c>
      <c r="M381" t="s">
        <v>8</v>
      </c>
      <c r="N381" t="s">
        <v>8</v>
      </c>
      <c r="P381">
        <f t="shared" si="974"/>
        <v>0.94574368568755818</v>
      </c>
      <c r="Q381">
        <f t="shared" si="975"/>
        <v>58136026.555257231</v>
      </c>
      <c r="R381">
        <f t="shared" si="976"/>
        <v>415772916.69586408</v>
      </c>
      <c r="S381">
        <f t="shared" si="977"/>
        <v>4157.7291669586411</v>
      </c>
      <c r="T381">
        <f t="shared" si="978"/>
        <v>4.1577291669586414</v>
      </c>
    </row>
    <row r="382" spans="1:20" x14ac:dyDescent="0.25">
      <c r="A382" s="5">
        <v>44212</v>
      </c>
      <c r="B382">
        <v>0.4869</v>
      </c>
      <c r="C382">
        <v>0.55000000000000004</v>
      </c>
      <c r="D382">
        <v>0.48380000000000001</v>
      </c>
      <c r="E382">
        <v>0.51829999999999998</v>
      </c>
      <c r="F382">
        <v>67642819.030000001</v>
      </c>
      <c r="G382">
        <v>6.45</v>
      </c>
      <c r="L382" t="s">
        <v>8</v>
      </c>
      <c r="M382" t="s">
        <v>8</v>
      </c>
      <c r="N382" t="s">
        <v>8</v>
      </c>
      <c r="P382">
        <f t="shared" si="974"/>
        <v>4.229607250755154E-2</v>
      </c>
      <c r="Q382">
        <f t="shared" si="975"/>
        <v>2861025.5783080673</v>
      </c>
      <c r="R382">
        <f t="shared" si="976"/>
        <v>357636890.14060688</v>
      </c>
      <c r="S382">
        <f t="shared" si="977"/>
        <v>3576.3689014060687</v>
      </c>
      <c r="T382">
        <f t="shared" si="978"/>
        <v>3.5763689014060689</v>
      </c>
    </row>
    <row r="383" spans="1:20" x14ac:dyDescent="0.25">
      <c r="A383" s="5">
        <v>44211</v>
      </c>
      <c r="B383">
        <v>0.45639999999999997</v>
      </c>
      <c r="C383">
        <v>0.49890000000000001</v>
      </c>
      <c r="D383">
        <v>0.42409999999999998</v>
      </c>
      <c r="E383">
        <v>0.4864</v>
      </c>
      <c r="F383">
        <v>62773154.700000003</v>
      </c>
      <c r="G383">
        <v>6.57</v>
      </c>
      <c r="L383" t="s">
        <v>8</v>
      </c>
      <c r="M383" t="s">
        <v>8</v>
      </c>
      <c r="N383" t="s">
        <v>7</v>
      </c>
      <c r="P383">
        <f t="shared" si="974"/>
        <v>0.6657754010695186</v>
      </c>
      <c r="Q383">
        <f t="shared" si="975"/>
        <v>41792822.246791437</v>
      </c>
      <c r="R383">
        <f t="shared" si="976"/>
        <v>354775864.56229883</v>
      </c>
      <c r="S383">
        <f t="shared" si="977"/>
        <v>3547.7586456229883</v>
      </c>
      <c r="T383">
        <f t="shared" si="978"/>
        <v>3.5477586456229884</v>
      </c>
    </row>
    <row r="384" spans="1:20" x14ac:dyDescent="0.25">
      <c r="A384" s="5">
        <v>44210</v>
      </c>
      <c r="B384">
        <v>0.45019999999999999</v>
      </c>
      <c r="C384">
        <v>0.4672</v>
      </c>
      <c r="D384">
        <v>0.42949999999999999</v>
      </c>
      <c r="E384">
        <v>0.45590000000000003</v>
      </c>
      <c r="F384">
        <v>28669032.199999999</v>
      </c>
      <c r="G384">
        <v>1.27</v>
      </c>
      <c r="L384" t="s">
        <v>8</v>
      </c>
      <c r="M384" t="s">
        <v>8</v>
      </c>
      <c r="N384" t="s">
        <v>7</v>
      </c>
      <c r="P384">
        <f t="shared" si="974"/>
        <v>0.40053050397878126</v>
      </c>
      <c r="Q384">
        <f t="shared" si="975"/>
        <v>11482821.915649908</v>
      </c>
      <c r="R384">
        <f t="shared" si="976"/>
        <v>312983042.31550741</v>
      </c>
      <c r="S384">
        <f t="shared" si="977"/>
        <v>3129.8304231550742</v>
      </c>
      <c r="T384">
        <f t="shared" si="978"/>
        <v>3.1298304231550742</v>
      </c>
    </row>
    <row r="385" spans="1:20" x14ac:dyDescent="0.25">
      <c r="A385" s="5">
        <v>44209</v>
      </c>
      <c r="B385">
        <v>0.39889999999999998</v>
      </c>
      <c r="C385">
        <v>0.4526</v>
      </c>
      <c r="D385">
        <v>0.38040000000000002</v>
      </c>
      <c r="E385">
        <v>0.4501</v>
      </c>
      <c r="F385">
        <v>33756154.170000002</v>
      </c>
      <c r="G385">
        <v>12.84</v>
      </c>
      <c r="L385" t="s">
        <v>8</v>
      </c>
      <c r="M385" t="s">
        <v>8</v>
      </c>
      <c r="N385" t="s">
        <v>7</v>
      </c>
      <c r="P385">
        <f t="shared" si="974"/>
        <v>0.93074792243767301</v>
      </c>
      <c r="Q385">
        <f t="shared" si="975"/>
        <v>31418470.363213293</v>
      </c>
      <c r="R385">
        <f t="shared" si="976"/>
        <v>301500220.39985752</v>
      </c>
      <c r="S385">
        <f t="shared" si="977"/>
        <v>3015.0022039985752</v>
      </c>
      <c r="T385">
        <f t="shared" si="978"/>
        <v>3.0150022039985753</v>
      </c>
    </row>
    <row r="386" spans="1:20" x14ac:dyDescent="0.25">
      <c r="A386" s="5">
        <v>44208</v>
      </c>
      <c r="B386">
        <v>0.41739999999999999</v>
      </c>
      <c r="C386">
        <v>0.43009999999999998</v>
      </c>
      <c r="D386">
        <v>0.39</v>
      </c>
      <c r="E386">
        <v>0.39910000000000001</v>
      </c>
      <c r="F386">
        <v>39345146.689999998</v>
      </c>
      <c r="G386">
        <v>-4.38</v>
      </c>
      <c r="L386" t="s">
        <v>8</v>
      </c>
      <c r="M386" t="s">
        <v>7</v>
      </c>
      <c r="N386" t="s">
        <v>7</v>
      </c>
      <c r="P386">
        <f t="shared" si="974"/>
        <v>-0.54613466334164573</v>
      </c>
      <c r="Q386">
        <f t="shared" si="975"/>
        <v>-21487748.441670816</v>
      </c>
      <c r="R386">
        <f t="shared" si="976"/>
        <v>270081750.03664422</v>
      </c>
      <c r="S386">
        <f t="shared" si="977"/>
        <v>2700.8175003664423</v>
      </c>
      <c r="T386">
        <f t="shared" si="978"/>
        <v>2.7008175003664423</v>
      </c>
    </row>
    <row r="387" spans="1:20" x14ac:dyDescent="0.25">
      <c r="A387" s="5">
        <v>44207</v>
      </c>
      <c r="B387">
        <v>0.45779999999999998</v>
      </c>
      <c r="C387">
        <v>0.4602</v>
      </c>
      <c r="D387">
        <v>0.3715</v>
      </c>
      <c r="E387">
        <v>0.41710000000000003</v>
      </c>
      <c r="F387">
        <v>57861491.420000002</v>
      </c>
      <c r="G387">
        <v>-8.89</v>
      </c>
      <c r="L387" t="s">
        <v>7</v>
      </c>
      <c r="M387" t="s">
        <v>7</v>
      </c>
      <c r="N387" t="s">
        <v>7</v>
      </c>
      <c r="P387">
        <f t="shared" si="974"/>
        <v>2.8184892897407641E-2</v>
      </c>
      <c r="Q387">
        <f t="shared" si="975"/>
        <v>1630819.9385569713</v>
      </c>
      <c r="R387">
        <f t="shared" si="976"/>
        <v>291569498.47831506</v>
      </c>
      <c r="S387">
        <f t="shared" si="977"/>
        <v>2915.6949847831506</v>
      </c>
      <c r="T387">
        <f t="shared" si="978"/>
        <v>2.9156949847831508</v>
      </c>
    </row>
    <row r="388" spans="1:20" x14ac:dyDescent="0.25">
      <c r="A388" s="5">
        <v>44206</v>
      </c>
      <c r="B388">
        <v>0.48480000000000001</v>
      </c>
      <c r="C388">
        <v>0.51449999999999996</v>
      </c>
      <c r="D388">
        <v>0.41499999999999998</v>
      </c>
      <c r="E388">
        <v>0.45779999999999998</v>
      </c>
      <c r="F388">
        <v>62177806.270000003</v>
      </c>
      <c r="G388">
        <v>-5.57</v>
      </c>
      <c r="L388" t="s">
        <v>8</v>
      </c>
      <c r="M388" t="s">
        <v>8</v>
      </c>
      <c r="N388" t="s">
        <v>8</v>
      </c>
      <c r="P388">
        <f t="shared" si="974"/>
        <v>-0.13969849246231128</v>
      </c>
      <c r="Q388">
        <f t="shared" si="975"/>
        <v>-8686145.8005326465</v>
      </c>
      <c r="R388">
        <f t="shared" si="976"/>
        <v>289938678.53975809</v>
      </c>
      <c r="S388">
        <f t="shared" si="977"/>
        <v>2899.3867853975808</v>
      </c>
      <c r="T388">
        <f t="shared" si="978"/>
        <v>2.8993867853975805</v>
      </c>
    </row>
    <row r="389" spans="1:20" x14ac:dyDescent="0.25">
      <c r="A389" s="5">
        <v>44205</v>
      </c>
      <c r="B389">
        <v>0.45540000000000003</v>
      </c>
      <c r="C389">
        <v>0.49440000000000001</v>
      </c>
      <c r="D389">
        <v>0.4355</v>
      </c>
      <c r="E389">
        <v>0.48470000000000002</v>
      </c>
      <c r="F389">
        <v>47068340.75</v>
      </c>
      <c r="G389">
        <v>6.43</v>
      </c>
      <c r="L389" t="s">
        <v>8</v>
      </c>
      <c r="M389" t="s">
        <v>8</v>
      </c>
      <c r="N389" t="s">
        <v>8</v>
      </c>
      <c r="P389">
        <f t="shared" si="974"/>
        <v>0.67062818336163044</v>
      </c>
      <c r="Q389">
        <f t="shared" si="975"/>
        <v>31565355.851018701</v>
      </c>
      <c r="R389">
        <f t="shared" si="976"/>
        <v>298624824.34029073</v>
      </c>
      <c r="S389">
        <f t="shared" si="977"/>
        <v>2986.2482434029071</v>
      </c>
      <c r="T389">
        <f t="shared" si="978"/>
        <v>2.986248243402907</v>
      </c>
    </row>
    <row r="390" spans="1:20" x14ac:dyDescent="0.25">
      <c r="A390" s="5">
        <v>44204</v>
      </c>
      <c r="B390">
        <v>0.46110000000000001</v>
      </c>
      <c r="C390">
        <v>0.48809999999999998</v>
      </c>
      <c r="D390">
        <v>0.40989999999999999</v>
      </c>
      <c r="E390">
        <v>0.45500000000000002</v>
      </c>
      <c r="F390">
        <v>54840029.549999997</v>
      </c>
      <c r="G390">
        <v>-1.32</v>
      </c>
      <c r="L390" t="s">
        <v>7</v>
      </c>
      <c r="M390" t="s">
        <v>7</v>
      </c>
      <c r="N390" t="s">
        <v>8</v>
      </c>
      <c r="P390">
        <f t="shared" si="974"/>
        <v>0.15345268542199575</v>
      </c>
      <c r="Q390">
        <f t="shared" si="975"/>
        <v>8415349.8030690998</v>
      </c>
      <c r="R390">
        <f t="shared" si="976"/>
        <v>267059468.489272</v>
      </c>
      <c r="S390">
        <f t="shared" si="977"/>
        <v>2670.5946848927201</v>
      </c>
      <c r="T390">
        <f t="shared" si="978"/>
        <v>2.6705946848927202</v>
      </c>
    </row>
    <row r="391" spans="1:20" x14ac:dyDescent="0.25">
      <c r="A391" s="5">
        <v>44203</v>
      </c>
      <c r="B391">
        <v>0.51170000000000004</v>
      </c>
      <c r="C391">
        <v>0.52090000000000003</v>
      </c>
      <c r="D391">
        <v>0.43</v>
      </c>
      <c r="E391">
        <v>0.46110000000000001</v>
      </c>
      <c r="F391">
        <v>67780542.370000005</v>
      </c>
      <c r="G391">
        <v>-9.89</v>
      </c>
      <c r="L391" t="s">
        <v>7</v>
      </c>
      <c r="M391" t="s">
        <v>7</v>
      </c>
      <c r="N391" t="s">
        <v>8</v>
      </c>
      <c r="P391">
        <f t="shared" ref="P391:P454" si="979">IF(C391=D391,0,((E391-D391)-(C391-E391))/(C391-D391))</f>
        <v>-0.31573157315731565</v>
      </c>
      <c r="Q391">
        <f t="shared" ref="Q391:Q454" si="980">F391*P391</f>
        <v>-21400457.271936189</v>
      </c>
      <c r="R391">
        <f t="shared" ref="R391:R454" si="981">R392+Q391</f>
        <v>258644118.68620288</v>
      </c>
      <c r="S391">
        <f t="shared" ref="S391:S454" si="982">R391/100000</f>
        <v>2586.4411868620286</v>
      </c>
      <c r="T391">
        <f t="shared" ref="T391:T454" si="983">S391/1000</f>
        <v>2.5864411868620287</v>
      </c>
    </row>
    <row r="392" spans="1:20" x14ac:dyDescent="0.25">
      <c r="A392" s="5">
        <v>44202</v>
      </c>
      <c r="B392">
        <v>0.4793</v>
      </c>
      <c r="C392">
        <v>0.53010000000000002</v>
      </c>
      <c r="D392">
        <v>0.4572</v>
      </c>
      <c r="E392">
        <v>0.5111</v>
      </c>
      <c r="F392">
        <v>81831008.760000005</v>
      </c>
      <c r="G392">
        <v>6.63</v>
      </c>
      <c r="L392" t="s">
        <v>8</v>
      </c>
      <c r="M392" t="s">
        <v>8</v>
      </c>
      <c r="N392" t="s">
        <v>8</v>
      </c>
      <c r="P392">
        <f t="shared" si="979"/>
        <v>0.47873799725651545</v>
      </c>
      <c r="Q392">
        <f t="shared" si="980"/>
        <v>39175613.247242771</v>
      </c>
      <c r="R392">
        <f t="shared" si="981"/>
        <v>280044575.95813906</v>
      </c>
      <c r="S392">
        <f t="shared" si="982"/>
        <v>2800.4457595813906</v>
      </c>
      <c r="T392">
        <f t="shared" si="983"/>
        <v>2.8004457595813905</v>
      </c>
    </row>
    <row r="393" spans="1:20" x14ac:dyDescent="0.25">
      <c r="A393" s="5">
        <v>44201</v>
      </c>
      <c r="B393">
        <v>0.44650000000000001</v>
      </c>
      <c r="C393">
        <v>0.496</v>
      </c>
      <c r="D393">
        <v>0.40210000000000001</v>
      </c>
      <c r="E393">
        <v>0.47939999999999999</v>
      </c>
      <c r="F393">
        <v>97442555.299999997</v>
      </c>
      <c r="G393">
        <v>7.37</v>
      </c>
      <c r="L393" t="s">
        <v>8</v>
      </c>
      <c r="M393" t="s">
        <v>8</v>
      </c>
      <c r="N393" t="s">
        <v>8</v>
      </c>
      <c r="P393">
        <f t="shared" si="979"/>
        <v>0.64643237486687954</v>
      </c>
      <c r="Q393">
        <f t="shared" si="980"/>
        <v>62990022.435676239</v>
      </c>
      <c r="R393">
        <f t="shared" si="981"/>
        <v>240868962.71089628</v>
      </c>
      <c r="S393">
        <f t="shared" si="982"/>
        <v>2408.6896271089627</v>
      </c>
      <c r="T393">
        <f t="shared" si="983"/>
        <v>2.4086896271089628</v>
      </c>
    </row>
    <row r="394" spans="1:20" x14ac:dyDescent="0.25">
      <c r="A394" s="5">
        <v>44200</v>
      </c>
      <c r="B394">
        <v>0.42549999999999999</v>
      </c>
      <c r="C394">
        <v>0.46150000000000002</v>
      </c>
      <c r="D394">
        <v>0.36730000000000002</v>
      </c>
      <c r="E394">
        <v>0.44629999999999997</v>
      </c>
      <c r="F394">
        <v>69298274.5</v>
      </c>
      <c r="G394">
        <v>4.8899999999999997</v>
      </c>
      <c r="L394" t="s">
        <v>7</v>
      </c>
      <c r="M394" t="s">
        <v>7</v>
      </c>
      <c r="N394" t="s">
        <v>8</v>
      </c>
      <c r="P394">
        <f t="shared" si="979"/>
        <v>0.67728237791931967</v>
      </c>
      <c r="Q394">
        <f t="shared" si="980"/>
        <v>46934500.13906575</v>
      </c>
      <c r="R394">
        <f t="shared" si="981"/>
        <v>177878940.27522004</v>
      </c>
      <c r="S394">
        <f t="shared" si="982"/>
        <v>1778.7894027522004</v>
      </c>
      <c r="T394">
        <f t="shared" si="983"/>
        <v>1.7787894027522004</v>
      </c>
    </row>
    <row r="395" spans="1:20" x14ac:dyDescent="0.25">
      <c r="A395" s="5">
        <v>44199</v>
      </c>
      <c r="B395">
        <v>0.40749999999999997</v>
      </c>
      <c r="C395">
        <v>0.43809999999999999</v>
      </c>
      <c r="D395">
        <v>0.39810000000000001</v>
      </c>
      <c r="E395">
        <v>0.42530000000000001</v>
      </c>
      <c r="F395">
        <v>66908535.560000002</v>
      </c>
      <c r="G395">
        <v>4.37</v>
      </c>
      <c r="L395" t="s">
        <v>7</v>
      </c>
      <c r="M395" t="s">
        <v>8</v>
      </c>
      <c r="N395" t="s">
        <v>8</v>
      </c>
      <c r="P395">
        <f t="shared" si="979"/>
        <v>0.36000000000000076</v>
      </c>
      <c r="Q395">
        <f t="shared" si="980"/>
        <v>24087072.80160005</v>
      </c>
      <c r="R395">
        <f t="shared" si="981"/>
        <v>130944440.13615428</v>
      </c>
      <c r="S395">
        <f t="shared" si="982"/>
        <v>1309.4444013615428</v>
      </c>
      <c r="T395">
        <f t="shared" si="983"/>
        <v>1.3094444013615427</v>
      </c>
    </row>
    <row r="396" spans="1:20" x14ac:dyDescent="0.25">
      <c r="A396" s="5">
        <v>44198</v>
      </c>
      <c r="B396">
        <v>0.39810000000000001</v>
      </c>
      <c r="C396">
        <v>0.46329999999999999</v>
      </c>
      <c r="D396">
        <v>0.37959999999999999</v>
      </c>
      <c r="E396">
        <v>0.40749999999999997</v>
      </c>
      <c r="F396">
        <v>121915106.19</v>
      </c>
      <c r="G396">
        <v>2.36</v>
      </c>
      <c r="L396" t="s">
        <v>8</v>
      </c>
      <c r="M396" t="s">
        <v>8</v>
      </c>
      <c r="N396" t="s">
        <v>8</v>
      </c>
      <c r="P396">
        <f t="shared" si="979"/>
        <v>-0.33333333333333376</v>
      </c>
      <c r="Q396">
        <f t="shared" si="980"/>
        <v>-40638368.730000049</v>
      </c>
      <c r="R396">
        <f t="shared" si="981"/>
        <v>106857367.33455423</v>
      </c>
      <c r="S396">
        <f t="shared" si="982"/>
        <v>1068.5736733455421</v>
      </c>
      <c r="T396">
        <f t="shared" si="983"/>
        <v>1.0685736733455422</v>
      </c>
    </row>
    <row r="397" spans="1:20" x14ac:dyDescent="0.25">
      <c r="A397" s="5">
        <v>44197</v>
      </c>
      <c r="B397">
        <v>0.33579999999999999</v>
      </c>
      <c r="C397">
        <v>0.43209999999999998</v>
      </c>
      <c r="D397">
        <v>0.33100000000000002</v>
      </c>
      <c r="E397">
        <v>0.39779999999999999</v>
      </c>
      <c r="F397">
        <v>103497436.76000001</v>
      </c>
      <c r="G397">
        <v>18.46</v>
      </c>
      <c r="L397" t="s">
        <v>8</v>
      </c>
      <c r="M397" t="s">
        <v>8</v>
      </c>
      <c r="N397" t="s">
        <v>8</v>
      </c>
      <c r="P397">
        <f t="shared" si="979"/>
        <v>0.32146389713155277</v>
      </c>
      <c r="Q397">
        <f t="shared" si="980"/>
        <v>33270689.363996029</v>
      </c>
      <c r="R397">
        <f t="shared" si="981"/>
        <v>147495736.06455427</v>
      </c>
      <c r="S397">
        <f t="shared" si="982"/>
        <v>1474.9573606455428</v>
      </c>
      <c r="T397">
        <f t="shared" si="983"/>
        <v>1.4749573606455428</v>
      </c>
    </row>
    <row r="398" spans="1:20" x14ac:dyDescent="0.25">
      <c r="A398" s="5">
        <v>44196</v>
      </c>
      <c r="B398">
        <v>0.33550000000000002</v>
      </c>
      <c r="C398">
        <v>0.33679999999999999</v>
      </c>
      <c r="D398">
        <v>0.31569999999999998</v>
      </c>
      <c r="E398">
        <v>0.33529999999999999</v>
      </c>
      <c r="F398">
        <v>19110867.91</v>
      </c>
      <c r="G398">
        <v>-0.06</v>
      </c>
      <c r="L398" t="s">
        <v>7</v>
      </c>
      <c r="M398" t="s">
        <v>8</v>
      </c>
      <c r="N398" t="s">
        <v>7</v>
      </c>
      <c r="P398">
        <f t="shared" si="979"/>
        <v>0.85781990521327012</v>
      </c>
      <c r="Q398">
        <f t="shared" si="980"/>
        <v>16393682.899099525</v>
      </c>
      <c r="R398">
        <f t="shared" si="981"/>
        <v>114225046.70055823</v>
      </c>
      <c r="S398">
        <f t="shared" si="982"/>
        <v>1142.2504670055823</v>
      </c>
      <c r="T398">
        <f t="shared" si="983"/>
        <v>1.1422504670055824</v>
      </c>
    </row>
    <row r="399" spans="1:20" x14ac:dyDescent="0.25">
      <c r="A399" s="5">
        <v>44195</v>
      </c>
      <c r="B399">
        <v>0.34660000000000002</v>
      </c>
      <c r="C399">
        <v>0.35930000000000001</v>
      </c>
      <c r="D399">
        <v>0.32729999999999998</v>
      </c>
      <c r="E399">
        <v>0.33550000000000002</v>
      </c>
      <c r="F399">
        <v>24696412.940000001</v>
      </c>
      <c r="G399">
        <v>-3.2</v>
      </c>
      <c r="L399" t="s">
        <v>8</v>
      </c>
      <c r="M399" t="s">
        <v>8</v>
      </c>
      <c r="N399" t="s">
        <v>7</v>
      </c>
      <c r="P399">
        <f t="shared" si="979"/>
        <v>-0.48749999999999793</v>
      </c>
      <c r="Q399">
        <f t="shared" si="980"/>
        <v>-12039501.30824995</v>
      </c>
      <c r="R399">
        <f t="shared" si="981"/>
        <v>97831363.801458701</v>
      </c>
      <c r="S399">
        <f t="shared" si="982"/>
        <v>978.31363801458701</v>
      </c>
      <c r="T399">
        <f t="shared" si="983"/>
        <v>0.97831363801458704</v>
      </c>
    </row>
    <row r="400" spans="1:20" x14ac:dyDescent="0.25">
      <c r="A400" s="5">
        <v>44194</v>
      </c>
      <c r="B400">
        <v>0.35780000000000001</v>
      </c>
      <c r="C400">
        <v>0.36199999999999999</v>
      </c>
      <c r="D400">
        <v>0.32</v>
      </c>
      <c r="E400">
        <v>0.34610000000000002</v>
      </c>
      <c r="F400">
        <v>39473180.450000003</v>
      </c>
      <c r="G400">
        <v>-3.27</v>
      </c>
      <c r="L400" t="s">
        <v>7</v>
      </c>
      <c r="M400" t="s">
        <v>8</v>
      </c>
      <c r="N400" t="s">
        <v>7</v>
      </c>
      <c r="P400">
        <f t="shared" si="979"/>
        <v>0.24285714285714396</v>
      </c>
      <c r="Q400">
        <f t="shared" si="980"/>
        <v>9586343.8235714734</v>
      </c>
      <c r="R400">
        <f t="shared" si="981"/>
        <v>109870865.10970865</v>
      </c>
      <c r="S400">
        <f t="shared" si="982"/>
        <v>1098.7086510970864</v>
      </c>
      <c r="T400">
        <f t="shared" si="983"/>
        <v>1.0987086510970865</v>
      </c>
    </row>
    <row r="401" spans="1:20" x14ac:dyDescent="0.25">
      <c r="A401" s="5">
        <v>44193</v>
      </c>
      <c r="B401">
        <v>0.31879999999999997</v>
      </c>
      <c r="C401">
        <v>0.35780000000000001</v>
      </c>
      <c r="D401">
        <v>0.31519999999999998</v>
      </c>
      <c r="E401">
        <v>0.35780000000000001</v>
      </c>
      <c r="F401">
        <v>25691092.969999999</v>
      </c>
      <c r="G401">
        <v>12.23</v>
      </c>
      <c r="L401" t="s">
        <v>8</v>
      </c>
      <c r="M401" t="s">
        <v>8</v>
      </c>
      <c r="N401" t="s">
        <v>7</v>
      </c>
      <c r="P401">
        <f t="shared" si="979"/>
        <v>1</v>
      </c>
      <c r="Q401">
        <f t="shared" si="980"/>
        <v>25691092.969999999</v>
      </c>
      <c r="R401">
        <f t="shared" si="981"/>
        <v>100284521.28613718</v>
      </c>
      <c r="S401">
        <f t="shared" si="982"/>
        <v>1002.8452128613718</v>
      </c>
      <c r="T401">
        <f t="shared" si="983"/>
        <v>1.0028452128613718</v>
      </c>
    </row>
    <row r="402" spans="1:20" x14ac:dyDescent="0.25">
      <c r="A402" s="5">
        <v>44192</v>
      </c>
      <c r="B402">
        <v>0.30930000000000002</v>
      </c>
      <c r="C402">
        <v>0.33800000000000002</v>
      </c>
      <c r="D402">
        <v>0.30059999999999998</v>
      </c>
      <c r="E402">
        <v>0.31900000000000001</v>
      </c>
      <c r="F402">
        <v>36756153</v>
      </c>
      <c r="G402">
        <v>3.14</v>
      </c>
      <c r="L402" t="s">
        <v>8</v>
      </c>
      <c r="M402" t="s">
        <v>8</v>
      </c>
      <c r="N402" t="s">
        <v>7</v>
      </c>
      <c r="P402">
        <f t="shared" si="979"/>
        <v>-1.6042780748662801E-2</v>
      </c>
      <c r="Q402">
        <f t="shared" si="980"/>
        <v>-589670.90374330443</v>
      </c>
      <c r="R402">
        <f t="shared" si="981"/>
        <v>74593428.31613718</v>
      </c>
      <c r="S402">
        <f t="shared" si="982"/>
        <v>745.93428316137181</v>
      </c>
      <c r="T402">
        <f t="shared" si="983"/>
        <v>0.74593428316137178</v>
      </c>
    </row>
    <row r="403" spans="1:20" x14ac:dyDescent="0.25">
      <c r="A403" s="5">
        <v>44191</v>
      </c>
      <c r="B403">
        <v>0.3085</v>
      </c>
      <c r="C403">
        <v>0.32179999999999997</v>
      </c>
      <c r="D403">
        <v>0.29970000000000002</v>
      </c>
      <c r="E403">
        <v>0.30940000000000001</v>
      </c>
      <c r="F403">
        <v>18479145.920000002</v>
      </c>
      <c r="G403">
        <v>0.28999999999999998</v>
      </c>
      <c r="L403" t="s">
        <v>7</v>
      </c>
      <c r="M403" t="s">
        <v>8</v>
      </c>
      <c r="N403" t="s">
        <v>7</v>
      </c>
      <c r="P403">
        <f t="shared" si="979"/>
        <v>-0.12217194570135682</v>
      </c>
      <c r="Q403">
        <f t="shared" si="980"/>
        <v>-2257633.2119456897</v>
      </c>
      <c r="R403">
        <f t="shared" si="981"/>
        <v>75183099.219880491</v>
      </c>
      <c r="S403">
        <f t="shared" si="982"/>
        <v>751.83099219880489</v>
      </c>
      <c r="T403">
        <f t="shared" si="983"/>
        <v>0.75183099219880489</v>
      </c>
    </row>
    <row r="404" spans="1:20" x14ac:dyDescent="0.25">
      <c r="A404" s="5">
        <v>44190</v>
      </c>
      <c r="B404">
        <v>0.31440000000000001</v>
      </c>
      <c r="C404">
        <v>0.32890000000000003</v>
      </c>
      <c r="D404">
        <v>0.30199999999999999</v>
      </c>
      <c r="E404">
        <v>0.30880000000000002</v>
      </c>
      <c r="F404">
        <v>22001152.18</v>
      </c>
      <c r="G404">
        <v>-1.78</v>
      </c>
      <c r="L404" t="s">
        <v>8</v>
      </c>
      <c r="M404" t="s">
        <v>8</v>
      </c>
      <c r="N404" t="s">
        <v>7</v>
      </c>
      <c r="P404">
        <f t="shared" si="979"/>
        <v>-0.49442379182155988</v>
      </c>
      <c r="Q404">
        <f t="shared" si="980"/>
        <v>-10877893.085278777</v>
      </c>
      <c r="R404">
        <f t="shared" si="981"/>
        <v>77440732.431826174</v>
      </c>
      <c r="S404">
        <f t="shared" si="982"/>
        <v>774.40732431826177</v>
      </c>
      <c r="T404">
        <f t="shared" si="983"/>
        <v>0.77440732431826176</v>
      </c>
    </row>
    <row r="405" spans="1:20" x14ac:dyDescent="0.25">
      <c r="A405" s="5">
        <v>44189</v>
      </c>
      <c r="B405">
        <v>0.28910000000000002</v>
      </c>
      <c r="C405">
        <v>0.31490000000000001</v>
      </c>
      <c r="D405">
        <v>0.28070000000000001</v>
      </c>
      <c r="E405">
        <v>0.31419999999999998</v>
      </c>
      <c r="F405">
        <v>21726309.059999999</v>
      </c>
      <c r="G405">
        <v>8.68</v>
      </c>
      <c r="L405" t="s">
        <v>7</v>
      </c>
      <c r="M405" t="s">
        <v>8</v>
      </c>
      <c r="N405" t="s">
        <v>7</v>
      </c>
      <c r="P405">
        <f t="shared" si="979"/>
        <v>0.95906432748537818</v>
      </c>
      <c r="Q405">
        <f t="shared" si="980"/>
        <v>20836927.987368379</v>
      </c>
      <c r="R405">
        <f t="shared" si="981"/>
        <v>88318625.517104954</v>
      </c>
      <c r="S405">
        <f t="shared" si="982"/>
        <v>883.18625517104954</v>
      </c>
      <c r="T405">
        <f t="shared" si="983"/>
        <v>0.88318625517104954</v>
      </c>
    </row>
    <row r="406" spans="1:20" x14ac:dyDescent="0.25">
      <c r="A406" s="5">
        <v>44188</v>
      </c>
      <c r="B406">
        <v>0.33650000000000002</v>
      </c>
      <c r="C406">
        <v>0.35170000000000001</v>
      </c>
      <c r="D406">
        <v>0.26500000000000001</v>
      </c>
      <c r="E406">
        <v>0.28910000000000002</v>
      </c>
      <c r="F406">
        <v>39154122.149999999</v>
      </c>
      <c r="G406">
        <v>-14.09</v>
      </c>
      <c r="L406" t="s">
        <v>8</v>
      </c>
      <c r="M406" t="s">
        <v>7</v>
      </c>
      <c r="N406" t="s">
        <v>7</v>
      </c>
      <c r="P406">
        <f t="shared" si="979"/>
        <v>-0.44405997693194899</v>
      </c>
      <c r="Q406">
        <f t="shared" si="980"/>
        <v>-17386778.578719713</v>
      </c>
      <c r="R406">
        <f t="shared" si="981"/>
        <v>67481697.529736578</v>
      </c>
      <c r="S406">
        <f t="shared" si="982"/>
        <v>674.81697529736573</v>
      </c>
      <c r="T406">
        <f t="shared" si="983"/>
        <v>0.67481697529736573</v>
      </c>
    </row>
    <row r="407" spans="1:20" x14ac:dyDescent="0.25">
      <c r="A407" s="5">
        <v>44187</v>
      </c>
      <c r="B407">
        <v>0.3246</v>
      </c>
      <c r="C407">
        <v>0.3483</v>
      </c>
      <c r="D407">
        <v>0.31680000000000003</v>
      </c>
      <c r="E407">
        <v>0.3367</v>
      </c>
      <c r="F407">
        <v>25756719.920000002</v>
      </c>
      <c r="G407">
        <v>3.73</v>
      </c>
      <c r="L407" t="s">
        <v>8</v>
      </c>
      <c r="M407" t="s">
        <v>7</v>
      </c>
      <c r="N407" t="s">
        <v>7</v>
      </c>
      <c r="P407">
        <f t="shared" si="979"/>
        <v>0.26349206349206289</v>
      </c>
      <c r="Q407">
        <f t="shared" si="980"/>
        <v>6786691.2805079212</v>
      </c>
      <c r="R407">
        <f t="shared" si="981"/>
        <v>84868476.108456299</v>
      </c>
      <c r="S407">
        <f t="shared" si="982"/>
        <v>848.68476108456298</v>
      </c>
      <c r="T407">
        <f t="shared" si="983"/>
        <v>0.84868476108456303</v>
      </c>
    </row>
    <row r="408" spans="1:20" x14ac:dyDescent="0.25">
      <c r="A408" s="5">
        <v>44186</v>
      </c>
      <c r="B408">
        <v>0.33960000000000001</v>
      </c>
      <c r="C408">
        <v>0.36699999999999999</v>
      </c>
      <c r="D408">
        <v>0.31180000000000002</v>
      </c>
      <c r="E408">
        <v>0.32479999999999998</v>
      </c>
      <c r="F408">
        <v>33668025.32</v>
      </c>
      <c r="G408">
        <v>-4.3600000000000003</v>
      </c>
      <c r="L408" t="s">
        <v>7</v>
      </c>
      <c r="M408" t="s">
        <v>7</v>
      </c>
      <c r="N408" t="s">
        <v>7</v>
      </c>
      <c r="P408">
        <f t="shared" si="979"/>
        <v>-0.52898550724637816</v>
      </c>
      <c r="Q408">
        <f t="shared" si="980"/>
        <v>-17809897.451884102</v>
      </c>
      <c r="R408">
        <f t="shared" si="981"/>
        <v>78081784.827948377</v>
      </c>
      <c r="S408">
        <f t="shared" si="982"/>
        <v>780.81784827948377</v>
      </c>
      <c r="T408">
        <f t="shared" si="983"/>
        <v>0.78081784827948375</v>
      </c>
    </row>
    <row r="409" spans="1:20" x14ac:dyDescent="0.25">
      <c r="A409" s="5">
        <v>44185</v>
      </c>
      <c r="B409">
        <v>0.35560000000000003</v>
      </c>
      <c r="C409">
        <v>0.35799999999999998</v>
      </c>
      <c r="D409">
        <v>0.32800000000000001</v>
      </c>
      <c r="E409">
        <v>0.3397</v>
      </c>
      <c r="F409">
        <v>29092443.859999999</v>
      </c>
      <c r="G409">
        <v>-4.47</v>
      </c>
      <c r="L409" t="s">
        <v>7</v>
      </c>
      <c r="M409" t="s">
        <v>8</v>
      </c>
      <c r="N409" t="s">
        <v>7</v>
      </c>
      <c r="P409">
        <f t="shared" si="979"/>
        <v>-0.22000000000000003</v>
      </c>
      <c r="Q409">
        <f t="shared" si="980"/>
        <v>-6400337.6492000008</v>
      </c>
      <c r="R409">
        <f t="shared" si="981"/>
        <v>95891682.279832482</v>
      </c>
      <c r="S409">
        <f t="shared" si="982"/>
        <v>958.9168227983248</v>
      </c>
      <c r="T409">
        <f t="shared" si="983"/>
        <v>0.9589168227983248</v>
      </c>
    </row>
    <row r="410" spans="1:20" x14ac:dyDescent="0.25">
      <c r="A410" s="5">
        <v>44184</v>
      </c>
      <c r="B410">
        <v>0.35299999999999998</v>
      </c>
      <c r="C410">
        <v>0.38479999999999998</v>
      </c>
      <c r="D410">
        <v>0.35010000000000002</v>
      </c>
      <c r="E410">
        <v>0.35560000000000003</v>
      </c>
      <c r="F410">
        <v>39585893.57</v>
      </c>
      <c r="G410">
        <v>0.74</v>
      </c>
      <c r="L410" t="s">
        <v>8</v>
      </c>
      <c r="M410" t="s">
        <v>8</v>
      </c>
      <c r="N410" t="s">
        <v>7</v>
      </c>
      <c r="P410">
        <f t="shared" si="979"/>
        <v>-0.68299711815561892</v>
      </c>
      <c r="Q410">
        <f t="shared" si="980"/>
        <v>-27037051.227925047</v>
      </c>
      <c r="R410">
        <f t="shared" si="981"/>
        <v>102292019.92903249</v>
      </c>
      <c r="S410">
        <f t="shared" si="982"/>
        <v>1022.9201992903249</v>
      </c>
      <c r="T410">
        <f t="shared" si="983"/>
        <v>1.022920199290325</v>
      </c>
    </row>
    <row r="411" spans="1:20" x14ac:dyDescent="0.25">
      <c r="A411" s="5">
        <v>44183</v>
      </c>
      <c r="B411">
        <v>0.33250000000000002</v>
      </c>
      <c r="C411">
        <v>0.36570000000000003</v>
      </c>
      <c r="D411">
        <v>0.31640000000000001</v>
      </c>
      <c r="E411">
        <v>0.35299999999999998</v>
      </c>
      <c r="F411">
        <v>42997382.539999999</v>
      </c>
      <c r="G411">
        <v>6.17</v>
      </c>
      <c r="L411" t="s">
        <v>8</v>
      </c>
      <c r="M411" t="s">
        <v>8</v>
      </c>
      <c r="N411" t="s">
        <v>7</v>
      </c>
      <c r="P411">
        <f t="shared" si="979"/>
        <v>0.48478701825557641</v>
      </c>
      <c r="Q411">
        <f t="shared" si="980"/>
        <v>20844572.874360982</v>
      </c>
      <c r="R411">
        <f t="shared" si="981"/>
        <v>129329071.15695754</v>
      </c>
      <c r="S411">
        <f t="shared" si="982"/>
        <v>1293.2907115695755</v>
      </c>
      <c r="T411">
        <f t="shared" si="983"/>
        <v>1.2932907115695755</v>
      </c>
    </row>
    <row r="412" spans="1:20" x14ac:dyDescent="0.25">
      <c r="A412" s="5">
        <v>44182</v>
      </c>
      <c r="B412">
        <v>0.33979999999999999</v>
      </c>
      <c r="C412">
        <v>0.3589</v>
      </c>
      <c r="D412">
        <v>0.3236</v>
      </c>
      <c r="E412">
        <v>0.33239999999999997</v>
      </c>
      <c r="F412">
        <v>42896129.899999999</v>
      </c>
      <c r="G412">
        <v>-2.1800000000000002</v>
      </c>
      <c r="L412" t="s">
        <v>8</v>
      </c>
      <c r="M412" t="s">
        <v>8</v>
      </c>
      <c r="N412" t="s">
        <v>7</v>
      </c>
      <c r="P412">
        <f t="shared" si="979"/>
        <v>-0.50141643059490226</v>
      </c>
      <c r="Q412">
        <f t="shared" si="980"/>
        <v>-21508824.340793259</v>
      </c>
      <c r="R412">
        <f t="shared" si="981"/>
        <v>108484498.28259656</v>
      </c>
      <c r="S412">
        <f t="shared" si="982"/>
        <v>1084.8449828259656</v>
      </c>
      <c r="T412">
        <f t="shared" si="983"/>
        <v>1.0848449828259656</v>
      </c>
    </row>
    <row r="413" spans="1:20" x14ac:dyDescent="0.25">
      <c r="A413" s="5">
        <v>44181</v>
      </c>
      <c r="B413">
        <v>0.3251</v>
      </c>
      <c r="C413">
        <v>0.3448</v>
      </c>
      <c r="D413">
        <v>0.31740000000000002</v>
      </c>
      <c r="E413">
        <v>0.33960000000000001</v>
      </c>
      <c r="F413">
        <v>30867352.039999999</v>
      </c>
      <c r="G413">
        <v>4.46</v>
      </c>
      <c r="L413" t="s">
        <v>8</v>
      </c>
      <c r="M413" t="s">
        <v>8</v>
      </c>
      <c r="N413" t="s">
        <v>7</v>
      </c>
      <c r="P413">
        <f t="shared" si="979"/>
        <v>0.62043795620438058</v>
      </c>
      <c r="Q413">
        <f t="shared" si="980"/>
        <v>19151276.813138716</v>
      </c>
      <c r="R413">
        <f t="shared" si="981"/>
        <v>129993322.62338981</v>
      </c>
      <c r="S413">
        <f t="shared" si="982"/>
        <v>1299.933226233898</v>
      </c>
      <c r="T413">
        <f t="shared" si="983"/>
        <v>1.2999332262338981</v>
      </c>
    </row>
    <row r="414" spans="1:20" x14ac:dyDescent="0.25">
      <c r="A414" s="5">
        <v>44180</v>
      </c>
      <c r="B414">
        <v>0.31290000000000001</v>
      </c>
      <c r="C414">
        <v>0.34</v>
      </c>
      <c r="D414">
        <v>0.31290000000000001</v>
      </c>
      <c r="E414">
        <v>0.32500000000000001</v>
      </c>
      <c r="F414">
        <v>24621588.75</v>
      </c>
      <c r="G414">
        <v>3.87</v>
      </c>
      <c r="L414" t="s">
        <v>8</v>
      </c>
      <c r="M414" t="s">
        <v>8</v>
      </c>
      <c r="N414" t="s">
        <v>7</v>
      </c>
      <c r="P414">
        <f t="shared" si="979"/>
        <v>-0.10701107011070156</v>
      </c>
      <c r="Q414">
        <f t="shared" si="980"/>
        <v>-2634782.5599631108</v>
      </c>
      <c r="R414">
        <f t="shared" si="981"/>
        <v>110842045.8102511</v>
      </c>
      <c r="S414">
        <f t="shared" si="982"/>
        <v>1108.420458102511</v>
      </c>
      <c r="T414">
        <f t="shared" si="983"/>
        <v>1.108420458102511</v>
      </c>
    </row>
    <row r="415" spans="1:20" x14ac:dyDescent="0.25">
      <c r="A415" s="5">
        <v>44179</v>
      </c>
      <c r="B415">
        <v>0.30909999999999999</v>
      </c>
      <c r="C415">
        <v>0.31879999999999997</v>
      </c>
      <c r="D415">
        <v>0.30309999999999998</v>
      </c>
      <c r="E415">
        <v>0.31290000000000001</v>
      </c>
      <c r="F415">
        <v>14667080.43</v>
      </c>
      <c r="G415">
        <v>1.23</v>
      </c>
      <c r="L415" t="s">
        <v>8</v>
      </c>
      <c r="M415" t="s">
        <v>7</v>
      </c>
      <c r="N415" t="s">
        <v>7</v>
      </c>
      <c r="P415">
        <f t="shared" si="979"/>
        <v>0.24840764331210652</v>
      </c>
      <c r="Q415">
        <f t="shared" si="980"/>
        <v>3643414.8838854176</v>
      </c>
      <c r="R415">
        <f t="shared" si="981"/>
        <v>113476828.37021421</v>
      </c>
      <c r="S415">
        <f t="shared" si="982"/>
        <v>1134.7682837021421</v>
      </c>
      <c r="T415">
        <f t="shared" si="983"/>
        <v>1.134768283702142</v>
      </c>
    </row>
    <row r="416" spans="1:20" x14ac:dyDescent="0.25">
      <c r="A416" s="5">
        <v>44178</v>
      </c>
      <c r="B416">
        <v>0.30919999999999997</v>
      </c>
      <c r="C416">
        <v>0.32</v>
      </c>
      <c r="D416">
        <v>0.30470000000000003</v>
      </c>
      <c r="E416">
        <v>0.30919999999999997</v>
      </c>
      <c r="F416">
        <v>16223360.789999999</v>
      </c>
      <c r="G416">
        <v>0</v>
      </c>
      <c r="L416" t="s">
        <v>8</v>
      </c>
      <c r="M416" t="s">
        <v>7</v>
      </c>
      <c r="N416" t="s">
        <v>7</v>
      </c>
      <c r="P416">
        <f t="shared" si="979"/>
        <v>-0.41176470588235892</v>
      </c>
      <c r="Q416">
        <f t="shared" si="980"/>
        <v>-6680207.3841177439</v>
      </c>
      <c r="R416">
        <f t="shared" si="981"/>
        <v>109833413.4863288</v>
      </c>
      <c r="S416">
        <f t="shared" si="982"/>
        <v>1098.334134863288</v>
      </c>
      <c r="T416">
        <f t="shared" si="983"/>
        <v>1.098334134863288</v>
      </c>
    </row>
    <row r="417" spans="1:20" x14ac:dyDescent="0.25">
      <c r="A417" s="5">
        <v>44177</v>
      </c>
      <c r="B417">
        <v>0.28839999999999999</v>
      </c>
      <c r="C417">
        <v>0.31680000000000003</v>
      </c>
      <c r="D417">
        <v>0.2883</v>
      </c>
      <c r="E417">
        <v>0.30909999999999999</v>
      </c>
      <c r="F417">
        <v>20966121.140000001</v>
      </c>
      <c r="G417">
        <v>7.18</v>
      </c>
      <c r="L417" t="s">
        <v>8</v>
      </c>
      <c r="M417" t="s">
        <v>7</v>
      </c>
      <c r="N417" t="s">
        <v>7</v>
      </c>
      <c r="P417">
        <f t="shared" si="979"/>
        <v>0.4596491228070152</v>
      </c>
      <c r="Q417">
        <f t="shared" si="980"/>
        <v>9637059.1906666178</v>
      </c>
      <c r="R417">
        <f t="shared" si="981"/>
        <v>116513620.87044653</v>
      </c>
      <c r="S417">
        <f t="shared" si="982"/>
        <v>1165.1362087044654</v>
      </c>
      <c r="T417">
        <f t="shared" si="983"/>
        <v>1.1651362087044654</v>
      </c>
    </row>
    <row r="418" spans="1:20" x14ac:dyDescent="0.25">
      <c r="A418" s="5">
        <v>44176</v>
      </c>
      <c r="B418">
        <v>0.29380000000000001</v>
      </c>
      <c r="C418">
        <v>0.2959</v>
      </c>
      <c r="D418">
        <v>0.27629999999999999</v>
      </c>
      <c r="E418">
        <v>0.28870000000000001</v>
      </c>
      <c r="F418">
        <v>19092161.43</v>
      </c>
      <c r="G418">
        <v>-1.74</v>
      </c>
      <c r="L418" t="s">
        <v>7</v>
      </c>
      <c r="M418" t="s">
        <v>7</v>
      </c>
      <c r="N418" t="s">
        <v>7</v>
      </c>
      <c r="P418">
        <f t="shared" si="979"/>
        <v>0.26530612244898144</v>
      </c>
      <c r="Q418">
        <f t="shared" si="980"/>
        <v>5065267.3181633009</v>
      </c>
      <c r="R418">
        <f t="shared" si="981"/>
        <v>106876561.67977992</v>
      </c>
      <c r="S418">
        <f t="shared" si="982"/>
        <v>1068.7656167977991</v>
      </c>
      <c r="T418">
        <f t="shared" si="983"/>
        <v>1.068765616797799</v>
      </c>
    </row>
    <row r="419" spans="1:20" x14ac:dyDescent="0.25">
      <c r="A419" s="5">
        <v>44175</v>
      </c>
      <c r="B419">
        <v>0.30530000000000002</v>
      </c>
      <c r="C419">
        <v>0.30780000000000002</v>
      </c>
      <c r="D419">
        <v>0.29060000000000002</v>
      </c>
      <c r="E419">
        <v>0.29360000000000003</v>
      </c>
      <c r="F419">
        <v>13235583.449999999</v>
      </c>
      <c r="G419">
        <v>-3.83</v>
      </c>
      <c r="L419" t="s">
        <v>8</v>
      </c>
      <c r="M419" t="s">
        <v>7</v>
      </c>
      <c r="N419" t="s">
        <v>7</v>
      </c>
      <c r="P419">
        <f t="shared" si="979"/>
        <v>-0.65116279069767402</v>
      </c>
      <c r="Q419">
        <f t="shared" si="980"/>
        <v>-8618519.4558139481</v>
      </c>
      <c r="R419">
        <f t="shared" si="981"/>
        <v>101811294.36161661</v>
      </c>
      <c r="S419">
        <f t="shared" si="982"/>
        <v>1018.1129436161661</v>
      </c>
      <c r="T419">
        <f t="shared" si="983"/>
        <v>1.0181129436161662</v>
      </c>
    </row>
    <row r="420" spans="1:20" x14ac:dyDescent="0.25">
      <c r="A420" s="5">
        <v>44174</v>
      </c>
      <c r="B420">
        <v>0.3009</v>
      </c>
      <c r="C420">
        <v>0.31</v>
      </c>
      <c r="D420">
        <v>0.28549999999999998</v>
      </c>
      <c r="E420">
        <v>0.30559999999999998</v>
      </c>
      <c r="F420">
        <v>28265832.75</v>
      </c>
      <c r="G420">
        <v>1.56</v>
      </c>
      <c r="L420" t="s">
        <v>7</v>
      </c>
      <c r="M420" t="s">
        <v>7</v>
      </c>
      <c r="N420" t="s">
        <v>7</v>
      </c>
      <c r="P420">
        <f t="shared" si="979"/>
        <v>0.64081632653061138</v>
      </c>
      <c r="Q420">
        <f t="shared" si="980"/>
        <v>18113207.10918365</v>
      </c>
      <c r="R420">
        <f t="shared" si="981"/>
        <v>110429813.81743056</v>
      </c>
      <c r="S420">
        <f t="shared" si="982"/>
        <v>1104.2981381743054</v>
      </c>
      <c r="T420">
        <f t="shared" si="983"/>
        <v>1.1042981381743056</v>
      </c>
    </row>
    <row r="421" spans="1:20" x14ac:dyDescent="0.25">
      <c r="A421" s="5">
        <v>44173</v>
      </c>
      <c r="B421">
        <v>0.33090000000000003</v>
      </c>
      <c r="C421">
        <v>0.3322</v>
      </c>
      <c r="D421">
        <v>0.2913</v>
      </c>
      <c r="E421">
        <v>0.30109999999999998</v>
      </c>
      <c r="F421">
        <v>31300423.079999998</v>
      </c>
      <c r="G421">
        <v>-9.01</v>
      </c>
      <c r="L421" t="s">
        <v>7</v>
      </c>
      <c r="M421" t="s">
        <v>7</v>
      </c>
      <c r="N421" t="s">
        <v>7</v>
      </c>
      <c r="P421">
        <f t="shared" si="979"/>
        <v>-0.52078239608802068</v>
      </c>
      <c r="Q421">
        <f t="shared" si="980"/>
        <v>-16300709.330171183</v>
      </c>
      <c r="R421">
        <f t="shared" si="981"/>
        <v>92316606.708246902</v>
      </c>
      <c r="S421">
        <f t="shared" si="982"/>
        <v>923.166067082469</v>
      </c>
      <c r="T421">
        <f t="shared" si="983"/>
        <v>0.92316606708246896</v>
      </c>
    </row>
    <row r="422" spans="1:20" x14ac:dyDescent="0.25">
      <c r="A422" s="5">
        <v>44172</v>
      </c>
      <c r="B422">
        <v>0.33689999999999998</v>
      </c>
      <c r="C422">
        <v>0.34420000000000001</v>
      </c>
      <c r="D422">
        <v>0.3236</v>
      </c>
      <c r="E422">
        <v>0.33110000000000001</v>
      </c>
      <c r="F422">
        <v>20254090.329999998</v>
      </c>
      <c r="G422">
        <v>-1.72</v>
      </c>
      <c r="L422" t="s">
        <v>8</v>
      </c>
      <c r="M422" t="s">
        <v>8</v>
      </c>
      <c r="N422" t="s">
        <v>7</v>
      </c>
      <c r="P422">
        <f t="shared" si="979"/>
        <v>-0.27184466019417436</v>
      </c>
      <c r="Q422">
        <f t="shared" si="980"/>
        <v>-5505966.3033009628</v>
      </c>
      <c r="R422">
        <f t="shared" si="981"/>
        <v>108617316.03841808</v>
      </c>
      <c r="S422">
        <f t="shared" si="982"/>
        <v>1086.1731603841808</v>
      </c>
      <c r="T422">
        <f t="shared" si="983"/>
        <v>1.0861731603841809</v>
      </c>
    </row>
    <row r="423" spans="1:20" x14ac:dyDescent="0.25">
      <c r="A423" s="5">
        <v>44171</v>
      </c>
      <c r="B423">
        <v>0.34320000000000001</v>
      </c>
      <c r="C423">
        <v>0.34939999999999999</v>
      </c>
      <c r="D423">
        <v>0.3271</v>
      </c>
      <c r="E423">
        <v>0.3367</v>
      </c>
      <c r="F423">
        <v>24083904.710000001</v>
      </c>
      <c r="G423">
        <v>-1.89</v>
      </c>
      <c r="L423" t="s">
        <v>8</v>
      </c>
      <c r="M423" t="s">
        <v>8</v>
      </c>
      <c r="N423" t="s">
        <v>7</v>
      </c>
      <c r="P423">
        <f t="shared" si="979"/>
        <v>-0.13901345291479791</v>
      </c>
      <c r="Q423">
        <f t="shared" si="980"/>
        <v>-3347986.7534080646</v>
      </c>
      <c r="R423">
        <f t="shared" si="981"/>
        <v>114123282.34171905</v>
      </c>
      <c r="S423">
        <f t="shared" si="982"/>
        <v>1141.2328234171905</v>
      </c>
      <c r="T423">
        <f t="shared" si="983"/>
        <v>1.1412328234171905</v>
      </c>
    </row>
    <row r="424" spans="1:20" x14ac:dyDescent="0.25">
      <c r="A424" s="5">
        <v>44170</v>
      </c>
      <c r="B424">
        <v>0.32569999999999999</v>
      </c>
      <c r="C424">
        <v>0.35270000000000001</v>
      </c>
      <c r="D424">
        <v>0.31619999999999998</v>
      </c>
      <c r="E424">
        <v>0.34310000000000002</v>
      </c>
      <c r="F424">
        <v>26599588.73</v>
      </c>
      <c r="G424">
        <v>5.34</v>
      </c>
      <c r="L424" t="s">
        <v>7</v>
      </c>
      <c r="M424" t="s">
        <v>8</v>
      </c>
      <c r="N424" t="s">
        <v>7</v>
      </c>
      <c r="P424">
        <f t="shared" si="979"/>
        <v>0.47397260273972663</v>
      </c>
      <c r="Q424">
        <f t="shared" si="980"/>
        <v>12607476.3021644</v>
      </c>
      <c r="R424">
        <f t="shared" si="981"/>
        <v>117471269.09512711</v>
      </c>
      <c r="S424">
        <f t="shared" si="982"/>
        <v>1174.712690951271</v>
      </c>
      <c r="T424">
        <f t="shared" si="983"/>
        <v>1.1747126909512711</v>
      </c>
    </row>
    <row r="425" spans="1:20" x14ac:dyDescent="0.25">
      <c r="A425" s="5">
        <v>44169</v>
      </c>
      <c r="B425">
        <v>0.34010000000000001</v>
      </c>
      <c r="C425">
        <v>0.37369999999999998</v>
      </c>
      <c r="D425">
        <v>0.32140000000000002</v>
      </c>
      <c r="E425">
        <v>0.32569999999999999</v>
      </c>
      <c r="F425">
        <v>47873173.079999998</v>
      </c>
      <c r="G425">
        <v>-4.2300000000000004</v>
      </c>
      <c r="L425" t="s">
        <v>8</v>
      </c>
      <c r="M425" t="s">
        <v>8</v>
      </c>
      <c r="N425" t="s">
        <v>7</v>
      </c>
      <c r="P425">
        <f t="shared" si="979"/>
        <v>-0.83556405353728591</v>
      </c>
      <c r="Q425">
        <f t="shared" si="980"/>
        <v>-40001102.554416873</v>
      </c>
      <c r="R425">
        <f t="shared" si="981"/>
        <v>104863792.7929627</v>
      </c>
      <c r="S425">
        <f t="shared" si="982"/>
        <v>1048.637927929627</v>
      </c>
      <c r="T425">
        <f t="shared" si="983"/>
        <v>1.048637927929627</v>
      </c>
    </row>
    <row r="426" spans="1:20" x14ac:dyDescent="0.25">
      <c r="A426" s="5">
        <v>44168</v>
      </c>
      <c r="B426">
        <v>0.34100000000000003</v>
      </c>
      <c r="C426">
        <v>0.35759999999999997</v>
      </c>
      <c r="D426">
        <v>0.33810000000000001</v>
      </c>
      <c r="E426">
        <v>0.34039999999999998</v>
      </c>
      <c r="F426">
        <v>28234603.460000001</v>
      </c>
      <c r="G426">
        <v>-0.18</v>
      </c>
      <c r="L426" t="s">
        <v>8</v>
      </c>
      <c r="M426" t="s">
        <v>8</v>
      </c>
      <c r="N426" t="s">
        <v>7</v>
      </c>
      <c r="P426">
        <f t="shared" si="979"/>
        <v>-0.76410256410256683</v>
      </c>
      <c r="Q426">
        <f t="shared" si="980"/>
        <v>-21574132.900205206</v>
      </c>
      <c r="R426">
        <f t="shared" si="981"/>
        <v>144864895.34737957</v>
      </c>
      <c r="S426">
        <f t="shared" si="982"/>
        <v>1448.6489534737957</v>
      </c>
      <c r="T426">
        <f t="shared" si="983"/>
        <v>1.4486489534737956</v>
      </c>
    </row>
    <row r="427" spans="1:20" x14ac:dyDescent="0.25">
      <c r="A427" s="5">
        <v>44167</v>
      </c>
      <c r="B427">
        <v>0.30790000000000001</v>
      </c>
      <c r="C427">
        <v>0.3493</v>
      </c>
      <c r="D427">
        <v>0.29749999999999999</v>
      </c>
      <c r="E427">
        <v>0.34110000000000001</v>
      </c>
      <c r="F427">
        <v>38449398.710000001</v>
      </c>
      <c r="G427">
        <v>10.78</v>
      </c>
      <c r="L427" t="s">
        <v>7</v>
      </c>
      <c r="M427" t="s">
        <v>8</v>
      </c>
      <c r="N427" t="s">
        <v>7</v>
      </c>
      <c r="P427">
        <f t="shared" si="979"/>
        <v>0.68339768339768403</v>
      </c>
      <c r="Q427">
        <f t="shared" si="980"/>
        <v>26276230.0064479</v>
      </c>
      <c r="R427">
        <f t="shared" si="981"/>
        <v>166439028.24758476</v>
      </c>
      <c r="S427">
        <f t="shared" si="982"/>
        <v>1664.3902824758477</v>
      </c>
      <c r="T427">
        <f t="shared" si="983"/>
        <v>1.6643902824758476</v>
      </c>
    </row>
    <row r="428" spans="1:20" x14ac:dyDescent="0.25">
      <c r="A428" s="5">
        <v>44166</v>
      </c>
      <c r="B428">
        <v>0.32890000000000003</v>
      </c>
      <c r="C428">
        <v>0.34710000000000002</v>
      </c>
      <c r="D428">
        <v>0.3024</v>
      </c>
      <c r="E428">
        <v>0.30819999999999997</v>
      </c>
      <c r="F428">
        <v>35626910.759999998</v>
      </c>
      <c r="G428">
        <v>-6.29</v>
      </c>
      <c r="L428" t="s">
        <v>8</v>
      </c>
      <c r="M428" t="s">
        <v>8</v>
      </c>
      <c r="N428" t="s">
        <v>7</v>
      </c>
      <c r="P428">
        <f t="shared" si="979"/>
        <v>-0.74049217002237278</v>
      </c>
      <c r="Q428">
        <f t="shared" si="980"/>
        <v>-26381448.45986582</v>
      </c>
      <c r="R428">
        <f t="shared" si="981"/>
        <v>140162798.24113685</v>
      </c>
      <c r="S428">
        <f t="shared" si="982"/>
        <v>1401.6279824113685</v>
      </c>
      <c r="T428">
        <f t="shared" si="983"/>
        <v>1.4016279824113684</v>
      </c>
    </row>
    <row r="429" spans="1:20" x14ac:dyDescent="0.25">
      <c r="A429" s="5">
        <v>44165</v>
      </c>
      <c r="B429">
        <v>0.31730000000000003</v>
      </c>
      <c r="C429">
        <v>0.33500000000000002</v>
      </c>
      <c r="D429">
        <v>0.3125</v>
      </c>
      <c r="E429">
        <v>0.32890000000000003</v>
      </c>
      <c r="F429">
        <v>31232698.920000002</v>
      </c>
      <c r="G429">
        <v>3.66</v>
      </c>
      <c r="L429" t="s">
        <v>8</v>
      </c>
      <c r="M429" t="s">
        <v>8</v>
      </c>
      <c r="N429" t="s">
        <v>7</v>
      </c>
      <c r="P429">
        <f t="shared" si="979"/>
        <v>0.45777777777777878</v>
      </c>
      <c r="Q429">
        <f t="shared" si="980"/>
        <v>14297635.505600031</v>
      </c>
      <c r="R429">
        <f t="shared" si="981"/>
        <v>166544246.70100266</v>
      </c>
      <c r="S429">
        <f t="shared" si="982"/>
        <v>1665.4424670100266</v>
      </c>
      <c r="T429">
        <f t="shared" si="983"/>
        <v>1.6654424670100265</v>
      </c>
    </row>
    <row r="430" spans="1:20" x14ac:dyDescent="0.25">
      <c r="A430" s="5">
        <v>44164</v>
      </c>
      <c r="B430">
        <v>0.3125</v>
      </c>
      <c r="C430">
        <v>0.32419999999999999</v>
      </c>
      <c r="D430">
        <v>0.30070000000000002</v>
      </c>
      <c r="E430">
        <v>0.31709999999999999</v>
      </c>
      <c r="F430">
        <v>18128909.23</v>
      </c>
      <c r="G430">
        <v>1.47</v>
      </c>
      <c r="L430" t="s">
        <v>7</v>
      </c>
      <c r="M430" t="s">
        <v>7</v>
      </c>
      <c r="N430" t="s">
        <v>7</v>
      </c>
      <c r="P430">
        <f t="shared" si="979"/>
        <v>0.39574468085106335</v>
      </c>
      <c r="Q430">
        <f t="shared" si="980"/>
        <v>7174419.397404247</v>
      </c>
      <c r="R430">
        <f t="shared" si="981"/>
        <v>152246611.19540262</v>
      </c>
      <c r="S430">
        <f t="shared" si="982"/>
        <v>1522.4661119540262</v>
      </c>
      <c r="T430">
        <f t="shared" si="983"/>
        <v>1.5224661119540261</v>
      </c>
    </row>
    <row r="431" spans="1:20" x14ac:dyDescent="0.25">
      <c r="A431" s="5">
        <v>44163</v>
      </c>
      <c r="B431">
        <v>0.3004</v>
      </c>
      <c r="C431">
        <v>0.32440000000000002</v>
      </c>
      <c r="D431">
        <v>0.29509999999999997</v>
      </c>
      <c r="E431">
        <v>0.31269999999999998</v>
      </c>
      <c r="F431">
        <v>20237530.859999999</v>
      </c>
      <c r="G431">
        <v>4.09</v>
      </c>
      <c r="L431" t="s">
        <v>8</v>
      </c>
      <c r="M431" t="s">
        <v>7</v>
      </c>
      <c r="N431" t="s">
        <v>7</v>
      </c>
      <c r="P431">
        <f t="shared" si="979"/>
        <v>0.20136518771330891</v>
      </c>
      <c r="Q431">
        <f t="shared" si="980"/>
        <v>4075134.2004777817</v>
      </c>
      <c r="R431">
        <f t="shared" si="981"/>
        <v>145072191.79799837</v>
      </c>
      <c r="S431">
        <f t="shared" si="982"/>
        <v>1450.7219179799838</v>
      </c>
      <c r="T431">
        <f t="shared" si="983"/>
        <v>1.4507219179799837</v>
      </c>
    </row>
    <row r="432" spans="1:20" x14ac:dyDescent="0.25">
      <c r="A432" s="5">
        <v>44162</v>
      </c>
      <c r="B432">
        <v>0.30159999999999998</v>
      </c>
      <c r="C432">
        <v>0.31680000000000003</v>
      </c>
      <c r="D432">
        <v>0.2848</v>
      </c>
      <c r="E432">
        <v>0.30020000000000002</v>
      </c>
      <c r="F432">
        <v>20541733.739999998</v>
      </c>
      <c r="G432">
        <v>-0.46</v>
      </c>
      <c r="L432" t="s">
        <v>8</v>
      </c>
      <c r="M432" t="s">
        <v>7</v>
      </c>
      <c r="N432" t="s">
        <v>7</v>
      </c>
      <c r="P432">
        <f t="shared" si="979"/>
        <v>-3.7499999999999305E-2</v>
      </c>
      <c r="Q432">
        <f t="shared" si="980"/>
        <v>-770315.01524998562</v>
      </c>
      <c r="R432">
        <f t="shared" si="981"/>
        <v>140997057.59752059</v>
      </c>
      <c r="S432">
        <f t="shared" si="982"/>
        <v>1409.970575975206</v>
      </c>
      <c r="T432">
        <f t="shared" si="983"/>
        <v>1.4099705759752059</v>
      </c>
    </row>
    <row r="433" spans="1:20" x14ac:dyDescent="0.25">
      <c r="A433" s="5">
        <v>44161</v>
      </c>
      <c r="B433">
        <v>0.3422</v>
      </c>
      <c r="C433">
        <v>0.35799999999999998</v>
      </c>
      <c r="D433">
        <v>0.27329999999999999</v>
      </c>
      <c r="E433">
        <v>0.30159999999999998</v>
      </c>
      <c r="F433">
        <v>71915821.469999999</v>
      </c>
      <c r="G433">
        <v>-11.86</v>
      </c>
      <c r="L433" t="s">
        <v>7</v>
      </c>
      <c r="M433" t="s">
        <v>7</v>
      </c>
      <c r="N433" t="s">
        <v>7</v>
      </c>
      <c r="P433">
        <f t="shared" si="979"/>
        <v>-0.33175914994096828</v>
      </c>
      <c r="Q433">
        <f t="shared" si="980"/>
        <v>-23858731.798193634</v>
      </c>
      <c r="R433">
        <f t="shared" si="981"/>
        <v>141767372.61277059</v>
      </c>
      <c r="S433">
        <f t="shared" si="982"/>
        <v>1417.6737261277058</v>
      </c>
      <c r="T433">
        <f t="shared" si="983"/>
        <v>1.4176737261277057</v>
      </c>
    </row>
    <row r="434" spans="1:20" x14ac:dyDescent="0.25">
      <c r="A434" s="5">
        <v>44160</v>
      </c>
      <c r="B434">
        <v>0.35759999999999997</v>
      </c>
      <c r="C434">
        <v>0.42120000000000002</v>
      </c>
      <c r="D434">
        <v>0.32950000000000002</v>
      </c>
      <c r="E434">
        <v>0.34289999999999998</v>
      </c>
      <c r="F434">
        <v>65351773.399999999</v>
      </c>
      <c r="G434">
        <v>-4.1100000000000003</v>
      </c>
      <c r="L434" t="s">
        <v>8</v>
      </c>
      <c r="M434" t="s">
        <v>8</v>
      </c>
      <c r="N434" t="s">
        <v>8</v>
      </c>
      <c r="P434">
        <f t="shared" si="979"/>
        <v>-0.70774263904034973</v>
      </c>
      <c r="Q434">
        <f t="shared" si="980"/>
        <v>-46252236.572082929</v>
      </c>
      <c r="R434">
        <f t="shared" si="981"/>
        <v>165626104.41096422</v>
      </c>
      <c r="S434">
        <f t="shared" si="982"/>
        <v>1656.2610441096422</v>
      </c>
      <c r="T434">
        <f t="shared" si="983"/>
        <v>1.6562610441096421</v>
      </c>
    </row>
    <row r="435" spans="1:20" x14ac:dyDescent="0.25">
      <c r="A435" s="5">
        <v>44159</v>
      </c>
      <c r="B435">
        <v>0.33560000000000001</v>
      </c>
      <c r="C435">
        <v>0.37559999999999999</v>
      </c>
      <c r="D435">
        <v>0.32679999999999998</v>
      </c>
      <c r="E435">
        <v>0.35759999999999997</v>
      </c>
      <c r="F435">
        <v>65761097.979999997</v>
      </c>
      <c r="G435">
        <v>6.56</v>
      </c>
      <c r="L435" t="s">
        <v>8</v>
      </c>
      <c r="M435" t="s">
        <v>8</v>
      </c>
      <c r="N435" t="s">
        <v>8</v>
      </c>
      <c r="P435">
        <f t="shared" si="979"/>
        <v>0.26229508196721263</v>
      </c>
      <c r="Q435">
        <f t="shared" si="980"/>
        <v>17248812.584918</v>
      </c>
      <c r="R435">
        <f t="shared" si="981"/>
        <v>211878340.98304716</v>
      </c>
      <c r="S435">
        <f t="shared" si="982"/>
        <v>2118.7834098304716</v>
      </c>
      <c r="T435">
        <f t="shared" si="983"/>
        <v>2.1187834098304714</v>
      </c>
    </row>
    <row r="436" spans="1:20" x14ac:dyDescent="0.25">
      <c r="A436" s="5">
        <v>44158</v>
      </c>
      <c r="B436">
        <v>0.29809999999999998</v>
      </c>
      <c r="C436">
        <v>0.34179999999999999</v>
      </c>
      <c r="D436">
        <v>0.29320000000000002</v>
      </c>
      <c r="E436">
        <v>0.3357</v>
      </c>
      <c r="F436">
        <v>44706039.219999999</v>
      </c>
      <c r="G436">
        <v>12.61</v>
      </c>
      <c r="L436" t="s">
        <v>8</v>
      </c>
      <c r="M436" t="s">
        <v>8</v>
      </c>
      <c r="N436" t="s">
        <v>8</v>
      </c>
      <c r="P436">
        <f t="shared" si="979"/>
        <v>0.748971193415638</v>
      </c>
      <c r="Q436">
        <f t="shared" si="980"/>
        <v>33483535.547489718</v>
      </c>
      <c r="R436">
        <f t="shared" si="981"/>
        <v>194629528.39812917</v>
      </c>
      <c r="S436">
        <f t="shared" si="982"/>
        <v>1946.2952839812917</v>
      </c>
      <c r="T436">
        <f t="shared" si="983"/>
        <v>1.9462952839812917</v>
      </c>
    </row>
    <row r="437" spans="1:20" x14ac:dyDescent="0.25">
      <c r="A437" s="5">
        <v>44157</v>
      </c>
      <c r="B437">
        <v>0.31709999999999999</v>
      </c>
      <c r="C437">
        <v>0.32419999999999999</v>
      </c>
      <c r="D437">
        <v>0.27960000000000002</v>
      </c>
      <c r="E437">
        <v>0.29799999999999999</v>
      </c>
      <c r="F437">
        <v>39945707.850000001</v>
      </c>
      <c r="G437">
        <v>-6.02</v>
      </c>
      <c r="L437" t="s">
        <v>7</v>
      </c>
      <c r="M437" t="s">
        <v>8</v>
      </c>
      <c r="N437" t="s">
        <v>8</v>
      </c>
      <c r="P437">
        <f t="shared" si="979"/>
        <v>-0.17488789237668237</v>
      </c>
      <c r="Q437">
        <f t="shared" si="980"/>
        <v>-6986020.6553811962</v>
      </c>
      <c r="R437">
        <f t="shared" si="981"/>
        <v>161145992.85063946</v>
      </c>
      <c r="S437">
        <f t="shared" si="982"/>
        <v>1611.4599285063946</v>
      </c>
      <c r="T437">
        <f t="shared" si="983"/>
        <v>1.6114599285063946</v>
      </c>
    </row>
    <row r="438" spans="1:20" x14ac:dyDescent="0.25">
      <c r="A438" s="5">
        <v>44156</v>
      </c>
      <c r="B438">
        <v>0.28449999999999998</v>
      </c>
      <c r="C438">
        <v>0.32540000000000002</v>
      </c>
      <c r="D438">
        <v>0.28389999999999999</v>
      </c>
      <c r="E438">
        <v>0.317</v>
      </c>
      <c r="F438">
        <v>48436505.07</v>
      </c>
      <c r="G438">
        <v>11.42</v>
      </c>
      <c r="L438" t="s">
        <v>8</v>
      </c>
      <c r="M438" t="s">
        <v>8</v>
      </c>
      <c r="N438" t="s">
        <v>8</v>
      </c>
      <c r="P438">
        <f t="shared" si="979"/>
        <v>0.59518072289156576</v>
      </c>
      <c r="Q438">
        <f t="shared" si="980"/>
        <v>28828474.101903591</v>
      </c>
      <c r="R438">
        <f t="shared" si="981"/>
        <v>168132013.50602067</v>
      </c>
      <c r="S438">
        <f t="shared" si="982"/>
        <v>1681.3201350602067</v>
      </c>
      <c r="T438">
        <f t="shared" si="983"/>
        <v>1.6813201350602067</v>
      </c>
    </row>
    <row r="439" spans="1:20" x14ac:dyDescent="0.25">
      <c r="A439" s="5">
        <v>44155</v>
      </c>
      <c r="B439">
        <v>0.26540000000000002</v>
      </c>
      <c r="C439">
        <v>0.28899999999999998</v>
      </c>
      <c r="D439">
        <v>0.26390000000000002</v>
      </c>
      <c r="E439">
        <v>0.28460000000000002</v>
      </c>
      <c r="F439">
        <v>25423223.140000001</v>
      </c>
      <c r="G439">
        <v>7.23</v>
      </c>
      <c r="L439" t="s">
        <v>8</v>
      </c>
      <c r="M439" t="s">
        <v>7</v>
      </c>
      <c r="N439" t="s">
        <v>7</v>
      </c>
      <c r="P439">
        <f t="shared" si="979"/>
        <v>0.64940239043824965</v>
      </c>
      <c r="Q439">
        <f t="shared" si="980"/>
        <v>16509901.879761023</v>
      </c>
      <c r="R439">
        <f t="shared" si="981"/>
        <v>139303539.40411708</v>
      </c>
      <c r="S439">
        <f t="shared" si="982"/>
        <v>1393.0353940411708</v>
      </c>
      <c r="T439">
        <f t="shared" si="983"/>
        <v>1.3930353940411708</v>
      </c>
    </row>
    <row r="440" spans="1:20" x14ac:dyDescent="0.25">
      <c r="A440" s="5">
        <v>44154</v>
      </c>
      <c r="B440">
        <v>0.26719999999999999</v>
      </c>
      <c r="C440">
        <v>0.27189999999999998</v>
      </c>
      <c r="D440">
        <v>0.25440000000000002</v>
      </c>
      <c r="E440">
        <v>0.26529999999999998</v>
      </c>
      <c r="F440">
        <v>14953618.33</v>
      </c>
      <c r="G440">
        <v>-0.71</v>
      </c>
      <c r="L440" t="s">
        <v>8</v>
      </c>
      <c r="M440" t="s">
        <v>7</v>
      </c>
      <c r="N440" t="s">
        <v>7</v>
      </c>
      <c r="P440">
        <f t="shared" si="979"/>
        <v>0.24571428571428458</v>
      </c>
      <c r="Q440">
        <f t="shared" si="980"/>
        <v>3674317.646799983</v>
      </c>
      <c r="R440">
        <f t="shared" si="981"/>
        <v>122793637.52435605</v>
      </c>
      <c r="S440">
        <f t="shared" si="982"/>
        <v>1227.9363752435606</v>
      </c>
      <c r="T440">
        <f t="shared" si="983"/>
        <v>1.2279363752435606</v>
      </c>
    </row>
    <row r="441" spans="1:20" x14ac:dyDescent="0.25">
      <c r="A441" s="5">
        <v>44153</v>
      </c>
      <c r="B441">
        <v>0.27439999999999998</v>
      </c>
      <c r="C441">
        <v>0.27879999999999999</v>
      </c>
      <c r="D441">
        <v>0.2535</v>
      </c>
      <c r="E441">
        <v>0.26729999999999998</v>
      </c>
      <c r="F441">
        <v>22084649.710000001</v>
      </c>
      <c r="G441">
        <v>-2.59</v>
      </c>
      <c r="L441" t="s">
        <v>7</v>
      </c>
      <c r="M441" t="s">
        <v>7</v>
      </c>
      <c r="N441" t="s">
        <v>7</v>
      </c>
      <c r="P441">
        <f t="shared" si="979"/>
        <v>9.0909090909089718E-2</v>
      </c>
      <c r="Q441">
        <f t="shared" si="980"/>
        <v>2007695.4281817919</v>
      </c>
      <c r="R441">
        <f t="shared" si="981"/>
        <v>119119319.87755607</v>
      </c>
      <c r="S441">
        <f t="shared" si="982"/>
        <v>1191.1931987755606</v>
      </c>
      <c r="T441">
        <f t="shared" si="983"/>
        <v>1.1911931987755606</v>
      </c>
    </row>
    <row r="442" spans="1:20" x14ac:dyDescent="0.25">
      <c r="A442" s="5">
        <v>44152</v>
      </c>
      <c r="B442">
        <v>0.27139999999999997</v>
      </c>
      <c r="C442">
        <v>0.27939999999999998</v>
      </c>
      <c r="D442">
        <v>0.26800000000000002</v>
      </c>
      <c r="E442">
        <v>0.27439999999999998</v>
      </c>
      <c r="F442">
        <v>19629855.98</v>
      </c>
      <c r="G442">
        <v>1.1100000000000001</v>
      </c>
      <c r="L442" t="s">
        <v>8</v>
      </c>
      <c r="M442" t="s">
        <v>7</v>
      </c>
      <c r="N442" t="s">
        <v>7</v>
      </c>
      <c r="P442">
        <f t="shared" si="979"/>
        <v>0.12280701754385623</v>
      </c>
      <c r="Q442">
        <f t="shared" si="980"/>
        <v>2410684.0677192314</v>
      </c>
      <c r="R442">
        <f t="shared" si="981"/>
        <v>117111624.44937427</v>
      </c>
      <c r="S442">
        <f t="shared" si="982"/>
        <v>1171.1162444937427</v>
      </c>
      <c r="T442">
        <f t="shared" si="983"/>
        <v>1.1711162444937426</v>
      </c>
    </row>
    <row r="443" spans="1:20" x14ac:dyDescent="0.25">
      <c r="A443" s="5">
        <v>44151</v>
      </c>
      <c r="B443">
        <v>0.25669999999999998</v>
      </c>
      <c r="C443">
        <v>0.27350000000000002</v>
      </c>
      <c r="D443">
        <v>0.254</v>
      </c>
      <c r="E443">
        <v>0.27110000000000001</v>
      </c>
      <c r="F443">
        <v>18230590.43</v>
      </c>
      <c r="G443">
        <v>5.61</v>
      </c>
      <c r="L443" t="s">
        <v>8</v>
      </c>
      <c r="M443" t="s">
        <v>7</v>
      </c>
      <c r="N443" t="s">
        <v>7</v>
      </c>
      <c r="P443">
        <f t="shared" si="979"/>
        <v>0.75384615384615272</v>
      </c>
      <c r="Q443">
        <f t="shared" si="980"/>
        <v>13743060.47799998</v>
      </c>
      <c r="R443">
        <f t="shared" si="981"/>
        <v>114700940.38165504</v>
      </c>
      <c r="S443">
        <f t="shared" si="982"/>
        <v>1147.0094038165503</v>
      </c>
      <c r="T443">
        <f t="shared" si="983"/>
        <v>1.1470094038165504</v>
      </c>
    </row>
    <row r="444" spans="1:20" x14ac:dyDescent="0.25">
      <c r="A444" s="5">
        <v>44150</v>
      </c>
      <c r="B444">
        <v>0.26600000000000001</v>
      </c>
      <c r="C444">
        <v>0.27260000000000001</v>
      </c>
      <c r="D444">
        <v>0.24940000000000001</v>
      </c>
      <c r="E444">
        <v>0.25690000000000002</v>
      </c>
      <c r="F444">
        <v>17612850.27</v>
      </c>
      <c r="G444">
        <v>-3.42</v>
      </c>
      <c r="L444" t="s">
        <v>7</v>
      </c>
      <c r="M444" t="s">
        <v>7</v>
      </c>
      <c r="N444" t="s">
        <v>7</v>
      </c>
      <c r="P444">
        <f t="shared" si="979"/>
        <v>-0.35344827586206834</v>
      </c>
      <c r="Q444">
        <f t="shared" si="980"/>
        <v>-6225231.5609482648</v>
      </c>
      <c r="R444">
        <f t="shared" si="981"/>
        <v>100957879.90365505</v>
      </c>
      <c r="S444">
        <f t="shared" si="982"/>
        <v>1009.5787990365505</v>
      </c>
      <c r="T444">
        <f t="shared" si="983"/>
        <v>1.0095787990365506</v>
      </c>
    </row>
    <row r="445" spans="1:20" x14ac:dyDescent="0.25">
      <c r="A445" s="5">
        <v>44149</v>
      </c>
      <c r="B445">
        <v>0.2802</v>
      </c>
      <c r="C445">
        <v>0.28060000000000002</v>
      </c>
      <c r="D445">
        <v>0.26200000000000001</v>
      </c>
      <c r="E445">
        <v>0.2661</v>
      </c>
      <c r="F445">
        <v>16348137.880000001</v>
      </c>
      <c r="G445">
        <v>-5.03</v>
      </c>
      <c r="L445" t="s">
        <v>7</v>
      </c>
      <c r="M445" t="s">
        <v>7</v>
      </c>
      <c r="N445" t="s">
        <v>7</v>
      </c>
      <c r="P445">
        <f t="shared" si="979"/>
        <v>-0.55913978494623751</v>
      </c>
      <c r="Q445">
        <f t="shared" si="980"/>
        <v>-9140894.2984946389</v>
      </c>
      <c r="R445">
        <f t="shared" si="981"/>
        <v>107183111.46460332</v>
      </c>
      <c r="S445">
        <f t="shared" si="982"/>
        <v>1071.8311146460333</v>
      </c>
      <c r="T445">
        <f t="shared" si="983"/>
        <v>1.0718311146460333</v>
      </c>
    </row>
    <row r="446" spans="1:20" x14ac:dyDescent="0.25">
      <c r="A446" s="5">
        <v>44148</v>
      </c>
      <c r="B446">
        <v>0.2666</v>
      </c>
      <c r="C446">
        <v>0.28220000000000001</v>
      </c>
      <c r="D446">
        <v>0.26269999999999999</v>
      </c>
      <c r="E446">
        <v>0.2802</v>
      </c>
      <c r="F446">
        <v>16391729.810000001</v>
      </c>
      <c r="G446">
        <v>5.0999999999999996</v>
      </c>
      <c r="L446" t="s">
        <v>8</v>
      </c>
      <c r="M446" t="s">
        <v>7</v>
      </c>
      <c r="N446" t="s">
        <v>7</v>
      </c>
      <c r="P446">
        <f t="shared" si="979"/>
        <v>0.79487179487179482</v>
      </c>
      <c r="Q446">
        <f t="shared" si="980"/>
        <v>13029323.695128204</v>
      </c>
      <c r="R446">
        <f t="shared" si="981"/>
        <v>116324005.76309796</v>
      </c>
      <c r="S446">
        <f t="shared" si="982"/>
        <v>1163.2400576309797</v>
      </c>
      <c r="T446">
        <f t="shared" si="983"/>
        <v>1.1632400576309796</v>
      </c>
    </row>
    <row r="447" spans="1:20" x14ac:dyDescent="0.25">
      <c r="A447" s="5">
        <v>44147</v>
      </c>
      <c r="B447">
        <v>0.27829999999999999</v>
      </c>
      <c r="C447">
        <v>0.27860000000000001</v>
      </c>
      <c r="D447">
        <v>0.2601</v>
      </c>
      <c r="E447">
        <v>0.26650000000000001</v>
      </c>
      <c r="F447">
        <v>14027584.73</v>
      </c>
      <c r="G447">
        <v>-4.24</v>
      </c>
      <c r="L447" t="s">
        <v>7</v>
      </c>
      <c r="M447" t="s">
        <v>7</v>
      </c>
      <c r="N447" t="s">
        <v>7</v>
      </c>
      <c r="P447">
        <f t="shared" si="979"/>
        <v>-0.3081081081081069</v>
      </c>
      <c r="Q447">
        <f t="shared" si="980"/>
        <v>-4322012.59248647</v>
      </c>
      <c r="R447">
        <f t="shared" si="981"/>
        <v>103294682.06796975</v>
      </c>
      <c r="S447">
        <f t="shared" si="982"/>
        <v>1032.9468206796976</v>
      </c>
      <c r="T447">
        <f t="shared" si="983"/>
        <v>1.0329468206796977</v>
      </c>
    </row>
    <row r="448" spans="1:20" x14ac:dyDescent="0.25">
      <c r="A448" s="5">
        <v>44146</v>
      </c>
      <c r="B448">
        <v>0.28899999999999998</v>
      </c>
      <c r="C448">
        <v>0.29499999999999998</v>
      </c>
      <c r="D448">
        <v>0.27679999999999999</v>
      </c>
      <c r="E448">
        <v>0.27850000000000003</v>
      </c>
      <c r="F448">
        <v>14987180.119999999</v>
      </c>
      <c r="G448">
        <v>-3.63</v>
      </c>
      <c r="L448" t="s">
        <v>8</v>
      </c>
      <c r="M448" t="s">
        <v>7</v>
      </c>
      <c r="N448" t="s">
        <v>7</v>
      </c>
      <c r="P448">
        <f t="shared" si="979"/>
        <v>-0.8131868131868093</v>
      </c>
      <c r="Q448">
        <f t="shared" si="980"/>
        <v>-12187377.240439501</v>
      </c>
      <c r="R448">
        <f t="shared" si="981"/>
        <v>107616694.66045623</v>
      </c>
      <c r="S448">
        <f t="shared" si="982"/>
        <v>1076.1669466045623</v>
      </c>
      <c r="T448">
        <f t="shared" si="983"/>
        <v>1.0761669466045622</v>
      </c>
    </row>
    <row r="449" spans="1:20" x14ac:dyDescent="0.25">
      <c r="A449" s="5">
        <v>44145</v>
      </c>
      <c r="B449">
        <v>0.26050000000000001</v>
      </c>
      <c r="C449">
        <v>0.29320000000000002</v>
      </c>
      <c r="D449">
        <v>0.25629999999999997</v>
      </c>
      <c r="E449">
        <v>0.28889999999999999</v>
      </c>
      <c r="F449">
        <v>24106565.329999998</v>
      </c>
      <c r="G449">
        <v>10.9</v>
      </c>
      <c r="L449" t="s">
        <v>8</v>
      </c>
      <c r="M449" t="s">
        <v>7</v>
      </c>
      <c r="N449" t="s">
        <v>7</v>
      </c>
      <c r="P449">
        <f t="shared" si="979"/>
        <v>0.76693766937669261</v>
      </c>
      <c r="Q449">
        <f t="shared" si="980"/>
        <v>18488233.030867178</v>
      </c>
      <c r="R449">
        <f t="shared" si="981"/>
        <v>119804071.90089573</v>
      </c>
      <c r="S449">
        <f t="shared" si="982"/>
        <v>1198.0407190089572</v>
      </c>
      <c r="T449">
        <f t="shared" si="983"/>
        <v>1.1980407190089573</v>
      </c>
    </row>
    <row r="450" spans="1:20" x14ac:dyDescent="0.25">
      <c r="A450" s="5">
        <v>44144</v>
      </c>
      <c r="B450">
        <v>0.2666</v>
      </c>
      <c r="C450">
        <v>0.27310000000000001</v>
      </c>
      <c r="D450">
        <v>0.25309999999999999</v>
      </c>
      <c r="E450">
        <v>0.26050000000000001</v>
      </c>
      <c r="F450">
        <v>16059375.73</v>
      </c>
      <c r="G450">
        <v>-2.29</v>
      </c>
      <c r="L450" t="s">
        <v>8</v>
      </c>
      <c r="M450" t="s">
        <v>7</v>
      </c>
      <c r="N450" t="s">
        <v>7</v>
      </c>
      <c r="P450">
        <f t="shared" si="979"/>
        <v>-0.2599999999999989</v>
      </c>
      <c r="Q450">
        <f t="shared" si="980"/>
        <v>-4175437.6897999826</v>
      </c>
      <c r="R450">
        <f t="shared" si="981"/>
        <v>101315838.87002856</v>
      </c>
      <c r="S450">
        <f t="shared" si="982"/>
        <v>1013.1583887002855</v>
      </c>
      <c r="T450">
        <f t="shared" si="983"/>
        <v>1.0131583887002855</v>
      </c>
    </row>
    <row r="451" spans="1:20" x14ac:dyDescent="0.25">
      <c r="A451" s="5">
        <v>44143</v>
      </c>
      <c r="B451">
        <v>0.25790000000000002</v>
      </c>
      <c r="C451">
        <v>0.27629999999999999</v>
      </c>
      <c r="D451">
        <v>0.25369999999999998</v>
      </c>
      <c r="E451">
        <v>0.26669999999999999</v>
      </c>
      <c r="F451">
        <v>14785428.18</v>
      </c>
      <c r="G451">
        <v>3.41</v>
      </c>
      <c r="L451" t="s">
        <v>7</v>
      </c>
      <c r="M451" t="s">
        <v>7</v>
      </c>
      <c r="N451" t="s">
        <v>7</v>
      </c>
      <c r="P451">
        <f t="shared" si="979"/>
        <v>0.15044247787610676</v>
      </c>
      <c r="Q451">
        <f t="shared" si="980"/>
        <v>2224356.4518584153</v>
      </c>
      <c r="R451">
        <f t="shared" si="981"/>
        <v>105491276.55982853</v>
      </c>
      <c r="S451">
        <f t="shared" si="982"/>
        <v>1054.9127655982854</v>
      </c>
      <c r="T451">
        <f t="shared" si="983"/>
        <v>1.0549127655982855</v>
      </c>
    </row>
    <row r="452" spans="1:20" x14ac:dyDescent="0.25">
      <c r="A452" s="5">
        <v>44142</v>
      </c>
      <c r="B452">
        <v>0.27650000000000002</v>
      </c>
      <c r="C452">
        <v>0.29759999999999998</v>
      </c>
      <c r="D452">
        <v>0.24179999999999999</v>
      </c>
      <c r="E452">
        <v>0.25790000000000002</v>
      </c>
      <c r="F452">
        <v>44333765.729999997</v>
      </c>
      <c r="G452">
        <v>-6.73</v>
      </c>
      <c r="L452" t="s">
        <v>8</v>
      </c>
      <c r="M452" t="s">
        <v>8</v>
      </c>
      <c r="N452" t="s">
        <v>7</v>
      </c>
      <c r="P452">
        <f t="shared" si="979"/>
        <v>-0.4229390681003572</v>
      </c>
      <c r="Q452">
        <f t="shared" si="980"/>
        <v>-18750481.56322575</v>
      </c>
      <c r="R452">
        <f t="shared" si="981"/>
        <v>103266920.10797012</v>
      </c>
      <c r="S452">
        <f t="shared" si="982"/>
        <v>1032.6692010797012</v>
      </c>
      <c r="T452">
        <f t="shared" si="983"/>
        <v>1.0326692010797012</v>
      </c>
    </row>
    <row r="453" spans="1:20" x14ac:dyDescent="0.25">
      <c r="A453" s="5">
        <v>44141</v>
      </c>
      <c r="B453">
        <v>0.24809999999999999</v>
      </c>
      <c r="C453">
        <v>0.28199999999999997</v>
      </c>
      <c r="D453">
        <v>0.24779999999999999</v>
      </c>
      <c r="E453">
        <v>0.2767</v>
      </c>
      <c r="F453">
        <v>20724585.84</v>
      </c>
      <c r="G453">
        <v>11.53</v>
      </c>
      <c r="L453" t="s">
        <v>8</v>
      </c>
      <c r="M453" t="s">
        <v>8</v>
      </c>
      <c r="N453" t="s">
        <v>7</v>
      </c>
      <c r="P453">
        <f t="shared" si="979"/>
        <v>0.69005847953216526</v>
      </c>
      <c r="Q453">
        <f t="shared" si="980"/>
        <v>14301176.193684243</v>
      </c>
      <c r="R453">
        <f t="shared" si="981"/>
        <v>122017401.67119586</v>
      </c>
      <c r="S453">
        <f t="shared" si="982"/>
        <v>1220.1740167119588</v>
      </c>
      <c r="T453">
        <f t="shared" si="983"/>
        <v>1.2201740167119588</v>
      </c>
    </row>
    <row r="454" spans="1:20" x14ac:dyDescent="0.25">
      <c r="A454" s="5">
        <v>44140</v>
      </c>
      <c r="B454">
        <v>0.23899999999999999</v>
      </c>
      <c r="C454">
        <v>0.25480000000000003</v>
      </c>
      <c r="D454">
        <v>0.23369999999999999</v>
      </c>
      <c r="E454">
        <v>0.24809999999999999</v>
      </c>
      <c r="F454">
        <v>16524009.560000001</v>
      </c>
      <c r="G454">
        <v>3.81</v>
      </c>
      <c r="L454" t="s">
        <v>8</v>
      </c>
      <c r="M454" t="s">
        <v>7</v>
      </c>
      <c r="N454" t="s">
        <v>7</v>
      </c>
      <c r="P454">
        <f t="shared" si="979"/>
        <v>0.36492890995260396</v>
      </c>
      <c r="Q454">
        <f t="shared" si="980"/>
        <v>6030088.7967772074</v>
      </c>
      <c r="R454">
        <f t="shared" si="981"/>
        <v>107716225.47751161</v>
      </c>
      <c r="S454">
        <f t="shared" si="982"/>
        <v>1077.1622547751163</v>
      </c>
      <c r="T454">
        <f t="shared" si="983"/>
        <v>1.0771622547751163</v>
      </c>
    </row>
    <row r="455" spans="1:20" x14ac:dyDescent="0.25">
      <c r="A455" s="5">
        <v>44139</v>
      </c>
      <c r="B455">
        <v>0.23369999999999999</v>
      </c>
      <c r="C455">
        <v>0.2445</v>
      </c>
      <c r="D455">
        <v>0.22239999999999999</v>
      </c>
      <c r="E455">
        <v>0.23830000000000001</v>
      </c>
      <c r="F455">
        <v>12283704.630000001</v>
      </c>
      <c r="G455">
        <v>1.97</v>
      </c>
      <c r="L455" t="s">
        <v>8</v>
      </c>
      <c r="M455" t="s">
        <v>7</v>
      </c>
      <c r="N455" t="s">
        <v>7</v>
      </c>
      <c r="P455">
        <f t="shared" ref="P455:P518" si="984">IF(C455=D455,0,((E455-D455)-(C455-E455))/(C455-D455))</f>
        <v>0.43891402714932298</v>
      </c>
      <c r="Q455">
        <f t="shared" ref="Q455:Q518" si="985">F455*P455</f>
        <v>5391490.267466085</v>
      </c>
      <c r="R455">
        <f t="shared" ref="R455:R518" si="986">R456+Q455</f>
        <v>101686136.68073441</v>
      </c>
      <c r="S455">
        <f t="shared" ref="S455:S518" si="987">R455/100000</f>
        <v>1016.8613668073441</v>
      </c>
      <c r="T455">
        <f t="shared" ref="T455:T518" si="988">S455/1000</f>
        <v>1.0168613668073441</v>
      </c>
    </row>
    <row r="456" spans="1:20" x14ac:dyDescent="0.25">
      <c r="A456" s="5">
        <v>44138</v>
      </c>
      <c r="B456">
        <v>0.24690000000000001</v>
      </c>
      <c r="C456">
        <v>0.24690000000000001</v>
      </c>
      <c r="D456">
        <v>0.22559999999999999</v>
      </c>
      <c r="E456">
        <v>0.23369999999999999</v>
      </c>
      <c r="F456">
        <v>13042140.949999999</v>
      </c>
      <c r="G456">
        <v>-5.35</v>
      </c>
      <c r="L456" t="s">
        <v>7</v>
      </c>
      <c r="M456" t="s">
        <v>7</v>
      </c>
      <c r="N456" t="s">
        <v>7</v>
      </c>
      <c r="P456">
        <f t="shared" si="984"/>
        <v>-0.23943661971831071</v>
      </c>
      <c r="Q456">
        <f t="shared" si="985"/>
        <v>-3122766.1429577572</v>
      </c>
      <c r="R456">
        <f t="shared" si="986"/>
        <v>96294646.413268328</v>
      </c>
      <c r="S456">
        <f t="shared" si="987"/>
        <v>962.94646413268333</v>
      </c>
      <c r="T456">
        <f t="shared" si="988"/>
        <v>0.96294646413268337</v>
      </c>
    </row>
    <row r="457" spans="1:20" x14ac:dyDescent="0.25">
      <c r="A457" s="5">
        <v>44137</v>
      </c>
      <c r="B457">
        <v>0.2591</v>
      </c>
      <c r="C457">
        <v>0.26250000000000001</v>
      </c>
      <c r="D457">
        <v>0.2432</v>
      </c>
      <c r="E457">
        <v>0.247</v>
      </c>
      <c r="F457">
        <v>10011488.91</v>
      </c>
      <c r="G457">
        <v>-4.67</v>
      </c>
      <c r="L457" t="s">
        <v>8</v>
      </c>
      <c r="M457" t="s">
        <v>7</v>
      </c>
      <c r="N457" t="s">
        <v>7</v>
      </c>
      <c r="P457">
        <f t="shared" si="984"/>
        <v>-0.60621761658031137</v>
      </c>
      <c r="Q457">
        <f t="shared" si="985"/>
        <v>-6069140.9454404199</v>
      </c>
      <c r="R457">
        <f t="shared" si="986"/>
        <v>99417412.55622609</v>
      </c>
      <c r="S457">
        <f t="shared" si="987"/>
        <v>994.17412556226088</v>
      </c>
      <c r="T457">
        <f t="shared" si="988"/>
        <v>0.99417412556226092</v>
      </c>
    </row>
    <row r="458" spans="1:20" x14ac:dyDescent="0.25">
      <c r="A458" s="5">
        <v>44136</v>
      </c>
      <c r="B458">
        <v>0.24859999999999999</v>
      </c>
      <c r="C458">
        <v>0.26179999999999998</v>
      </c>
      <c r="D458">
        <v>0.24460000000000001</v>
      </c>
      <c r="E458">
        <v>0.25890000000000002</v>
      </c>
      <c r="F458">
        <v>7243676.3799999999</v>
      </c>
      <c r="G458">
        <v>4.1399999999999997</v>
      </c>
      <c r="L458" t="s">
        <v>7</v>
      </c>
      <c r="M458" t="s">
        <v>7</v>
      </c>
      <c r="N458" t="s">
        <v>7</v>
      </c>
      <c r="P458">
        <f t="shared" si="984"/>
        <v>0.66279069767442278</v>
      </c>
      <c r="Q458">
        <f t="shared" si="985"/>
        <v>4801041.3216279373</v>
      </c>
      <c r="R458">
        <f t="shared" si="986"/>
        <v>105486553.50166652</v>
      </c>
      <c r="S458">
        <f t="shared" si="987"/>
        <v>1054.8655350166653</v>
      </c>
      <c r="T458">
        <f t="shared" si="988"/>
        <v>1.0548655350166654</v>
      </c>
    </row>
    <row r="459" spans="1:20" x14ac:dyDescent="0.25">
      <c r="A459" s="5">
        <v>44135</v>
      </c>
      <c r="B459">
        <v>0.254</v>
      </c>
      <c r="C459">
        <v>0.26450000000000001</v>
      </c>
      <c r="D459">
        <v>0.2482</v>
      </c>
      <c r="E459">
        <v>0.24879999999999999</v>
      </c>
      <c r="F459">
        <v>10786455.789999999</v>
      </c>
      <c r="G459">
        <v>-2.0499999999999998</v>
      </c>
      <c r="L459" t="s">
        <v>8</v>
      </c>
      <c r="M459" t="s">
        <v>7</v>
      </c>
      <c r="N459" t="s">
        <v>7</v>
      </c>
      <c r="P459">
        <f t="shared" si="984"/>
        <v>-0.92638036809816082</v>
      </c>
      <c r="Q459">
        <f t="shared" si="985"/>
        <v>-9992360.8852147367</v>
      </c>
      <c r="R459">
        <f t="shared" si="986"/>
        <v>100685512.18003857</v>
      </c>
      <c r="S459">
        <f t="shared" si="987"/>
        <v>1006.8551218003857</v>
      </c>
      <c r="T459">
        <f t="shared" si="988"/>
        <v>1.0068551218003858</v>
      </c>
    </row>
    <row r="460" spans="1:20" x14ac:dyDescent="0.25">
      <c r="A460" s="5">
        <v>44134</v>
      </c>
      <c r="B460">
        <v>0.2571</v>
      </c>
      <c r="C460">
        <v>0.26</v>
      </c>
      <c r="D460">
        <v>0.2359</v>
      </c>
      <c r="E460">
        <v>0.25390000000000001</v>
      </c>
      <c r="F460">
        <v>26240866.109999999</v>
      </c>
      <c r="G460">
        <v>-1.24</v>
      </c>
      <c r="L460" t="s">
        <v>7</v>
      </c>
      <c r="M460" t="s">
        <v>7</v>
      </c>
      <c r="N460" t="s">
        <v>7</v>
      </c>
      <c r="P460">
        <f t="shared" si="984"/>
        <v>0.49377593360995919</v>
      </c>
      <c r="Q460">
        <f t="shared" si="985"/>
        <v>12957108.162199188</v>
      </c>
      <c r="R460">
        <f t="shared" si="986"/>
        <v>110677873.0652533</v>
      </c>
      <c r="S460">
        <f t="shared" si="987"/>
        <v>1106.7787306525331</v>
      </c>
      <c r="T460">
        <f t="shared" si="988"/>
        <v>1.1067787306525332</v>
      </c>
    </row>
    <row r="461" spans="1:20" x14ac:dyDescent="0.25">
      <c r="A461" s="5">
        <v>44133</v>
      </c>
      <c r="B461">
        <v>0.2762</v>
      </c>
      <c r="C461">
        <v>0.2848</v>
      </c>
      <c r="D461">
        <v>0.25380000000000003</v>
      </c>
      <c r="E461">
        <v>0.25690000000000002</v>
      </c>
      <c r="F461">
        <v>17715554.449999999</v>
      </c>
      <c r="G461">
        <v>-6.99</v>
      </c>
      <c r="L461" t="s">
        <v>7</v>
      </c>
      <c r="M461" t="s">
        <v>7</v>
      </c>
      <c r="N461" t="s">
        <v>7</v>
      </c>
      <c r="P461">
        <f t="shared" si="984"/>
        <v>-0.80000000000000038</v>
      </c>
      <c r="Q461">
        <f t="shared" si="985"/>
        <v>-14172443.560000006</v>
      </c>
      <c r="R461">
        <f t="shared" si="986"/>
        <v>97720764.903054118</v>
      </c>
      <c r="S461">
        <f t="shared" si="987"/>
        <v>977.20764903054123</v>
      </c>
      <c r="T461">
        <f t="shared" si="988"/>
        <v>0.97720764903054125</v>
      </c>
    </row>
    <row r="462" spans="1:20" x14ac:dyDescent="0.25">
      <c r="A462" s="5">
        <v>44132</v>
      </c>
      <c r="B462">
        <v>0.28799999999999998</v>
      </c>
      <c r="C462">
        <v>0.2923</v>
      </c>
      <c r="D462">
        <v>0.26750000000000002</v>
      </c>
      <c r="E462">
        <v>0.27629999999999999</v>
      </c>
      <c r="F462">
        <v>18723048.579999998</v>
      </c>
      <c r="G462">
        <v>-4.0599999999999996</v>
      </c>
      <c r="L462" t="s">
        <v>7</v>
      </c>
      <c r="M462" t="s">
        <v>7</v>
      </c>
      <c r="N462" t="s">
        <v>8</v>
      </c>
      <c r="P462">
        <f t="shared" si="984"/>
        <v>-0.29032258064516303</v>
      </c>
      <c r="Q462">
        <f t="shared" si="985"/>
        <v>-5435723.7812903542</v>
      </c>
      <c r="R462">
        <f t="shared" si="986"/>
        <v>111893208.46305412</v>
      </c>
      <c r="S462">
        <f t="shared" si="987"/>
        <v>1118.9320846305411</v>
      </c>
      <c r="T462">
        <f t="shared" si="988"/>
        <v>1.1189320846305411</v>
      </c>
    </row>
    <row r="463" spans="1:20" x14ac:dyDescent="0.25">
      <c r="A463" s="5">
        <v>44131</v>
      </c>
      <c r="B463">
        <v>0.29070000000000001</v>
      </c>
      <c r="C463">
        <v>0.3004</v>
      </c>
      <c r="D463">
        <v>0.2833</v>
      </c>
      <c r="E463">
        <v>0.2878</v>
      </c>
      <c r="F463">
        <v>13998741.41</v>
      </c>
      <c r="G463">
        <v>-1</v>
      </c>
      <c r="L463" t="s">
        <v>7</v>
      </c>
      <c r="M463" t="s">
        <v>7</v>
      </c>
      <c r="N463" t="s">
        <v>8</v>
      </c>
      <c r="P463">
        <f t="shared" si="984"/>
        <v>-0.47368421052631543</v>
      </c>
      <c r="Q463">
        <f t="shared" si="985"/>
        <v>-6630982.77315789</v>
      </c>
      <c r="R463">
        <f t="shared" si="986"/>
        <v>117328932.24434447</v>
      </c>
      <c r="S463">
        <f t="shared" si="987"/>
        <v>1173.2893224434447</v>
      </c>
      <c r="T463">
        <f t="shared" si="988"/>
        <v>1.1732893224434446</v>
      </c>
    </row>
    <row r="464" spans="1:20" x14ac:dyDescent="0.25">
      <c r="A464" s="5">
        <v>44130</v>
      </c>
      <c r="B464">
        <v>0.30209999999999998</v>
      </c>
      <c r="C464">
        <v>0.30659999999999998</v>
      </c>
      <c r="D464">
        <v>0.2843</v>
      </c>
      <c r="E464">
        <v>0.29070000000000001</v>
      </c>
      <c r="F464">
        <v>10757723.779999999</v>
      </c>
      <c r="G464">
        <v>-3.77</v>
      </c>
      <c r="L464" t="s">
        <v>7</v>
      </c>
      <c r="M464" t="s">
        <v>7</v>
      </c>
      <c r="N464" t="s">
        <v>8</v>
      </c>
      <c r="P464">
        <f t="shared" si="984"/>
        <v>-0.42600896860986359</v>
      </c>
      <c r="Q464">
        <f t="shared" si="985"/>
        <v>-4582886.8121076031</v>
      </c>
      <c r="R464">
        <f t="shared" si="986"/>
        <v>123959915.01750237</v>
      </c>
      <c r="S464">
        <f t="shared" si="987"/>
        <v>1239.5991501750236</v>
      </c>
      <c r="T464">
        <f t="shared" si="988"/>
        <v>1.2395991501750236</v>
      </c>
    </row>
    <row r="465" spans="1:20" x14ac:dyDescent="0.25">
      <c r="A465" s="5">
        <v>44129</v>
      </c>
      <c r="B465">
        <v>0.30780000000000002</v>
      </c>
      <c r="C465">
        <v>0.312</v>
      </c>
      <c r="D465">
        <v>0.29699999999999999</v>
      </c>
      <c r="E465">
        <v>0.30209999999999998</v>
      </c>
      <c r="F465">
        <v>6729181.4800000004</v>
      </c>
      <c r="G465">
        <v>-1.85</v>
      </c>
      <c r="L465" t="s">
        <v>7</v>
      </c>
      <c r="M465" t="s">
        <v>7</v>
      </c>
      <c r="N465" t="s">
        <v>8</v>
      </c>
      <c r="P465">
        <f t="shared" si="984"/>
        <v>-0.32000000000000151</v>
      </c>
      <c r="Q465">
        <f t="shared" si="985"/>
        <v>-2153338.0736000105</v>
      </c>
      <c r="R465">
        <f t="shared" si="986"/>
        <v>128542801.82960998</v>
      </c>
      <c r="S465">
        <f t="shared" si="987"/>
        <v>1285.4280182960997</v>
      </c>
      <c r="T465">
        <f t="shared" si="988"/>
        <v>1.2854280182960998</v>
      </c>
    </row>
    <row r="466" spans="1:20" x14ac:dyDescent="0.25">
      <c r="A466" s="5">
        <v>44128</v>
      </c>
      <c r="B466">
        <v>0.30930000000000002</v>
      </c>
      <c r="C466">
        <v>0.31340000000000001</v>
      </c>
      <c r="D466">
        <v>0.3034</v>
      </c>
      <c r="E466">
        <v>0.30780000000000002</v>
      </c>
      <c r="F466">
        <v>6783453.0700000003</v>
      </c>
      <c r="G466">
        <v>-0.48</v>
      </c>
      <c r="L466" t="s">
        <v>7</v>
      </c>
      <c r="M466" t="s">
        <v>7</v>
      </c>
      <c r="N466" t="s">
        <v>8</v>
      </c>
      <c r="P466">
        <f t="shared" si="984"/>
        <v>-0.11999999999999778</v>
      </c>
      <c r="Q466">
        <f t="shared" si="985"/>
        <v>-814014.3683999849</v>
      </c>
      <c r="R466">
        <f t="shared" si="986"/>
        <v>130696139.90320998</v>
      </c>
      <c r="S466">
        <f t="shared" si="987"/>
        <v>1306.9613990320997</v>
      </c>
      <c r="T466">
        <f t="shared" si="988"/>
        <v>1.3069613990320996</v>
      </c>
    </row>
    <row r="467" spans="1:20" x14ac:dyDescent="0.25">
      <c r="A467" s="5">
        <v>44127</v>
      </c>
      <c r="B467">
        <v>0.316</v>
      </c>
      <c r="C467">
        <v>0.32429999999999998</v>
      </c>
      <c r="D467">
        <v>0.3014</v>
      </c>
      <c r="E467">
        <v>0.30930000000000002</v>
      </c>
      <c r="F467">
        <v>10325801.300000001</v>
      </c>
      <c r="G467">
        <v>-2.12</v>
      </c>
      <c r="L467" t="s">
        <v>7</v>
      </c>
      <c r="M467" t="s">
        <v>7</v>
      </c>
      <c r="N467" t="s">
        <v>8</v>
      </c>
      <c r="P467">
        <f t="shared" si="984"/>
        <v>-0.31004366812226841</v>
      </c>
      <c r="Q467">
        <f t="shared" si="985"/>
        <v>-3201449.3113536881</v>
      </c>
      <c r="R467">
        <f t="shared" si="986"/>
        <v>131510154.27160996</v>
      </c>
      <c r="S467">
        <f t="shared" si="987"/>
        <v>1315.1015427160996</v>
      </c>
      <c r="T467">
        <f t="shared" si="988"/>
        <v>1.3151015427160997</v>
      </c>
    </row>
    <row r="468" spans="1:20" x14ac:dyDescent="0.25">
      <c r="A468" s="5">
        <v>44126</v>
      </c>
      <c r="B468">
        <v>0.30099999999999999</v>
      </c>
      <c r="C468">
        <v>0.32540000000000002</v>
      </c>
      <c r="D468">
        <v>0.30070000000000002</v>
      </c>
      <c r="E468">
        <v>0.316</v>
      </c>
      <c r="F468">
        <v>13302195.09</v>
      </c>
      <c r="G468">
        <v>4.9800000000000004</v>
      </c>
      <c r="L468" t="s">
        <v>8</v>
      </c>
      <c r="M468" t="s">
        <v>7</v>
      </c>
      <c r="N468" t="s">
        <v>8</v>
      </c>
      <c r="P468">
        <f t="shared" si="984"/>
        <v>0.23886639676113203</v>
      </c>
      <c r="Q468">
        <f t="shared" si="985"/>
        <v>3177447.4101619222</v>
      </c>
      <c r="R468">
        <f t="shared" si="986"/>
        <v>134711603.58296365</v>
      </c>
      <c r="S468">
        <f t="shared" si="987"/>
        <v>1347.1160358296365</v>
      </c>
      <c r="T468">
        <f t="shared" si="988"/>
        <v>1.3471160358296366</v>
      </c>
    </row>
    <row r="469" spans="1:20" x14ac:dyDescent="0.25">
      <c r="A469" s="5">
        <v>44125</v>
      </c>
      <c r="B469">
        <v>0.28660000000000002</v>
      </c>
      <c r="C469">
        <v>0.3125</v>
      </c>
      <c r="D469">
        <v>0.28489999999999999</v>
      </c>
      <c r="E469">
        <v>0.30120000000000002</v>
      </c>
      <c r="F469">
        <v>13959693.27</v>
      </c>
      <c r="G469">
        <v>5.09</v>
      </c>
      <c r="L469" t="s">
        <v>8</v>
      </c>
      <c r="M469" t="s">
        <v>7</v>
      </c>
      <c r="N469" t="s">
        <v>8</v>
      </c>
      <c r="P469">
        <f t="shared" si="984"/>
        <v>0.18115942028985715</v>
      </c>
      <c r="Q469">
        <f t="shared" si="985"/>
        <v>2528929.9402174205</v>
      </c>
      <c r="R469">
        <f t="shared" si="986"/>
        <v>131534156.17280172</v>
      </c>
      <c r="S469">
        <f t="shared" si="987"/>
        <v>1315.3415617280173</v>
      </c>
      <c r="T469">
        <f t="shared" si="988"/>
        <v>1.3153415617280173</v>
      </c>
    </row>
    <row r="470" spans="1:20" x14ac:dyDescent="0.25">
      <c r="A470" s="5">
        <v>44124</v>
      </c>
      <c r="B470">
        <v>0.30330000000000001</v>
      </c>
      <c r="C470">
        <v>0.30380000000000001</v>
      </c>
      <c r="D470">
        <v>0.28129999999999999</v>
      </c>
      <c r="E470">
        <v>0.28660000000000002</v>
      </c>
      <c r="F470">
        <v>12082365.42</v>
      </c>
      <c r="G470">
        <v>-5.51</v>
      </c>
      <c r="L470" t="s">
        <v>7</v>
      </c>
      <c r="M470" t="s">
        <v>7</v>
      </c>
      <c r="N470" t="s">
        <v>8</v>
      </c>
      <c r="P470">
        <f t="shared" si="984"/>
        <v>-0.52888888888888697</v>
      </c>
      <c r="Q470">
        <f t="shared" si="985"/>
        <v>-6390228.8221333101</v>
      </c>
      <c r="R470">
        <f t="shared" si="986"/>
        <v>129005226.2325843</v>
      </c>
      <c r="S470">
        <f t="shared" si="987"/>
        <v>1290.052262325843</v>
      </c>
      <c r="T470">
        <f t="shared" si="988"/>
        <v>1.290052262325843</v>
      </c>
    </row>
    <row r="471" spans="1:20" x14ac:dyDescent="0.25">
      <c r="A471" s="5">
        <v>44123</v>
      </c>
      <c r="B471">
        <v>0.31559999999999999</v>
      </c>
      <c r="C471">
        <v>0.31740000000000002</v>
      </c>
      <c r="D471">
        <v>0.30080000000000001</v>
      </c>
      <c r="E471">
        <v>0.30330000000000001</v>
      </c>
      <c r="F471">
        <v>7698432.3499999996</v>
      </c>
      <c r="G471">
        <v>-3.9</v>
      </c>
      <c r="L471" t="s">
        <v>8</v>
      </c>
      <c r="M471" t="s">
        <v>7</v>
      </c>
      <c r="N471" t="s">
        <v>8</v>
      </c>
      <c r="P471">
        <f t="shared" si="984"/>
        <v>-0.69879518072289137</v>
      </c>
      <c r="Q471">
        <f t="shared" si="985"/>
        <v>-5379627.4253012035</v>
      </c>
      <c r="R471">
        <f t="shared" si="986"/>
        <v>135395455.0547176</v>
      </c>
      <c r="S471">
        <f t="shared" si="987"/>
        <v>1353.954550547176</v>
      </c>
      <c r="T471">
        <f t="shared" si="988"/>
        <v>1.353954550547176</v>
      </c>
    </row>
    <row r="472" spans="1:20" x14ac:dyDescent="0.25">
      <c r="A472" s="5">
        <v>44122</v>
      </c>
      <c r="B472">
        <v>0.31319999999999998</v>
      </c>
      <c r="C472">
        <v>0.317</v>
      </c>
      <c r="D472">
        <v>0.30859999999999999</v>
      </c>
      <c r="E472">
        <v>0.3155</v>
      </c>
      <c r="F472">
        <v>6126642.3399999999</v>
      </c>
      <c r="G472">
        <v>0.73</v>
      </c>
      <c r="L472" t="s">
        <v>8</v>
      </c>
      <c r="M472" t="s">
        <v>7</v>
      </c>
      <c r="N472" t="s">
        <v>8</v>
      </c>
      <c r="P472">
        <f t="shared" si="984"/>
        <v>0.64285714285714335</v>
      </c>
      <c r="Q472">
        <f t="shared" si="985"/>
        <v>3938555.7900000028</v>
      </c>
      <c r="R472">
        <f t="shared" si="986"/>
        <v>140775082.48001879</v>
      </c>
      <c r="S472">
        <f t="shared" si="987"/>
        <v>1407.750824800188</v>
      </c>
      <c r="T472">
        <f t="shared" si="988"/>
        <v>1.407750824800188</v>
      </c>
    </row>
    <row r="473" spans="1:20" x14ac:dyDescent="0.25">
      <c r="A473" s="5">
        <v>44121</v>
      </c>
      <c r="B473">
        <v>0.30020000000000002</v>
      </c>
      <c r="C473">
        <v>0.31809999999999999</v>
      </c>
      <c r="D473">
        <v>0.29899999999999999</v>
      </c>
      <c r="E473">
        <v>0.31359999999999999</v>
      </c>
      <c r="F473">
        <v>10483930.52</v>
      </c>
      <c r="G473">
        <v>4.46</v>
      </c>
      <c r="L473" t="s">
        <v>8</v>
      </c>
      <c r="M473" t="s">
        <v>7</v>
      </c>
      <c r="N473" t="s">
        <v>8</v>
      </c>
      <c r="P473">
        <f t="shared" si="984"/>
        <v>0.52879581151832433</v>
      </c>
      <c r="Q473">
        <f t="shared" si="985"/>
        <v>5543858.5472251279</v>
      </c>
      <c r="R473">
        <f t="shared" si="986"/>
        <v>136836526.6900188</v>
      </c>
      <c r="S473">
        <f t="shared" si="987"/>
        <v>1368.3652669001881</v>
      </c>
      <c r="T473">
        <f t="shared" si="988"/>
        <v>1.368365266900188</v>
      </c>
    </row>
    <row r="474" spans="1:20" x14ac:dyDescent="0.25">
      <c r="A474" s="5">
        <v>44120</v>
      </c>
      <c r="B474">
        <v>0.31469999999999998</v>
      </c>
      <c r="C474">
        <v>0.317</v>
      </c>
      <c r="D474">
        <v>0.29499999999999998</v>
      </c>
      <c r="E474">
        <v>0.30009999999999998</v>
      </c>
      <c r="F474">
        <v>13483175.369999999</v>
      </c>
      <c r="G474">
        <v>-4.6399999999999997</v>
      </c>
      <c r="L474" t="s">
        <v>7</v>
      </c>
      <c r="M474" t="s">
        <v>7</v>
      </c>
      <c r="N474" t="s">
        <v>8</v>
      </c>
      <c r="P474">
        <f t="shared" si="984"/>
        <v>-0.53636363636363737</v>
      </c>
      <c r="Q474">
        <f t="shared" si="985"/>
        <v>-7231884.9711818313</v>
      </c>
      <c r="R474">
        <f t="shared" si="986"/>
        <v>131292668.14279367</v>
      </c>
      <c r="S474">
        <f t="shared" si="987"/>
        <v>1312.9266814279367</v>
      </c>
      <c r="T474">
        <f t="shared" si="988"/>
        <v>1.3129266814279368</v>
      </c>
    </row>
    <row r="475" spans="1:20" x14ac:dyDescent="0.25">
      <c r="A475" s="5">
        <v>44119</v>
      </c>
      <c r="B475">
        <v>0.32769999999999999</v>
      </c>
      <c r="C475">
        <v>0.33360000000000001</v>
      </c>
      <c r="D475">
        <v>0.30590000000000001</v>
      </c>
      <c r="E475">
        <v>0.31480000000000002</v>
      </c>
      <c r="F475">
        <v>14872788.800000001</v>
      </c>
      <c r="G475">
        <v>-3.94</v>
      </c>
      <c r="L475" t="s">
        <v>7</v>
      </c>
      <c r="M475" t="s">
        <v>7</v>
      </c>
      <c r="N475" t="s">
        <v>8</v>
      </c>
      <c r="P475">
        <f t="shared" si="984"/>
        <v>-0.35740072202165935</v>
      </c>
      <c r="Q475">
        <f t="shared" si="985"/>
        <v>-5315545.4555956488</v>
      </c>
      <c r="R475">
        <f t="shared" si="986"/>
        <v>138524553.1139755</v>
      </c>
      <c r="S475">
        <f t="shared" si="987"/>
        <v>1385.245531139755</v>
      </c>
      <c r="T475">
        <f t="shared" si="988"/>
        <v>1.3852455311397551</v>
      </c>
    </row>
    <row r="476" spans="1:20" x14ac:dyDescent="0.25">
      <c r="A476" s="5">
        <v>44118</v>
      </c>
      <c r="B476">
        <v>0.34300000000000003</v>
      </c>
      <c r="C476">
        <v>0.34799999999999998</v>
      </c>
      <c r="D476">
        <v>0.31979999999999997</v>
      </c>
      <c r="E476">
        <v>0.32769999999999999</v>
      </c>
      <c r="F476">
        <v>17668680.489999998</v>
      </c>
      <c r="G476">
        <v>-4.46</v>
      </c>
      <c r="L476" t="s">
        <v>7</v>
      </c>
      <c r="M476" t="s">
        <v>8</v>
      </c>
      <c r="N476" t="s">
        <v>8</v>
      </c>
      <c r="P476">
        <f t="shared" si="984"/>
        <v>-0.43971631205673634</v>
      </c>
      <c r="Q476">
        <f t="shared" si="985"/>
        <v>-7769207.0239716079</v>
      </c>
      <c r="R476">
        <f t="shared" si="986"/>
        <v>143840098.56957114</v>
      </c>
      <c r="S476">
        <f t="shared" si="987"/>
        <v>1438.4009856957114</v>
      </c>
      <c r="T476">
        <f t="shared" si="988"/>
        <v>1.4384009856957114</v>
      </c>
    </row>
    <row r="477" spans="1:20" x14ac:dyDescent="0.25">
      <c r="A477" s="5">
        <v>44117</v>
      </c>
      <c r="B477">
        <v>0.34410000000000002</v>
      </c>
      <c r="C477">
        <v>0.35639999999999999</v>
      </c>
      <c r="D477">
        <v>0.33210000000000001</v>
      </c>
      <c r="E477">
        <v>0.34279999999999999</v>
      </c>
      <c r="F477">
        <v>16938873.32</v>
      </c>
      <c r="G477">
        <v>-0.38</v>
      </c>
      <c r="L477" t="s">
        <v>7</v>
      </c>
      <c r="M477" t="s">
        <v>8</v>
      </c>
      <c r="N477" t="s">
        <v>8</v>
      </c>
      <c r="P477">
        <f t="shared" si="984"/>
        <v>-0.11934156378600885</v>
      </c>
      <c r="Q477">
        <f t="shared" si="985"/>
        <v>-2021511.6307819036</v>
      </c>
      <c r="R477">
        <f t="shared" si="986"/>
        <v>151609305.59354275</v>
      </c>
      <c r="S477">
        <f t="shared" si="987"/>
        <v>1516.0930559354276</v>
      </c>
      <c r="T477">
        <f t="shared" si="988"/>
        <v>1.5160930559354275</v>
      </c>
    </row>
    <row r="478" spans="1:20" x14ac:dyDescent="0.25">
      <c r="A478" s="5">
        <v>44116</v>
      </c>
      <c r="B478">
        <v>0.33200000000000002</v>
      </c>
      <c r="C478">
        <v>0.36280000000000001</v>
      </c>
      <c r="D478">
        <v>0.32840000000000003</v>
      </c>
      <c r="E478">
        <v>0.34449999999999997</v>
      </c>
      <c r="F478">
        <v>29932435.059999999</v>
      </c>
      <c r="G478">
        <v>3.77</v>
      </c>
      <c r="L478" t="s">
        <v>8</v>
      </c>
      <c r="M478" t="s">
        <v>8</v>
      </c>
      <c r="N478" t="s">
        <v>8</v>
      </c>
      <c r="P478">
        <f t="shared" si="984"/>
        <v>-6.395348837209569E-2</v>
      </c>
      <c r="Q478">
        <f t="shared" si="985"/>
        <v>-1914283.6375582193</v>
      </c>
      <c r="R478">
        <f t="shared" si="986"/>
        <v>153630817.22432464</v>
      </c>
      <c r="S478">
        <f t="shared" si="987"/>
        <v>1536.3081722432464</v>
      </c>
      <c r="T478">
        <f t="shared" si="988"/>
        <v>1.5363081722432463</v>
      </c>
    </row>
    <row r="479" spans="1:20" x14ac:dyDescent="0.25">
      <c r="A479" s="5">
        <v>44115</v>
      </c>
      <c r="B479">
        <v>0.32650000000000001</v>
      </c>
      <c r="C479">
        <v>0.33850000000000002</v>
      </c>
      <c r="D479">
        <v>0.31619999999999998</v>
      </c>
      <c r="E479">
        <v>0.33189999999999997</v>
      </c>
      <c r="F479">
        <v>14564321.779999999</v>
      </c>
      <c r="G479">
        <v>1.65</v>
      </c>
      <c r="L479" t="s">
        <v>7</v>
      </c>
      <c r="M479" t="s">
        <v>8</v>
      </c>
      <c r="N479" t="s">
        <v>8</v>
      </c>
      <c r="P479">
        <f t="shared" si="984"/>
        <v>0.40807174887892039</v>
      </c>
      <c r="Q479">
        <f t="shared" si="985"/>
        <v>5943288.2599999504</v>
      </c>
      <c r="R479">
        <f t="shared" si="986"/>
        <v>155545100.86188287</v>
      </c>
      <c r="S479">
        <f t="shared" si="987"/>
        <v>1555.4510086188286</v>
      </c>
      <c r="T479">
        <f t="shared" si="988"/>
        <v>1.5554510086188287</v>
      </c>
    </row>
    <row r="480" spans="1:20" x14ac:dyDescent="0.25">
      <c r="A480" s="5">
        <v>44114</v>
      </c>
      <c r="B480">
        <v>0.32850000000000001</v>
      </c>
      <c r="C480">
        <v>0.33989999999999998</v>
      </c>
      <c r="D480">
        <v>0.31890000000000002</v>
      </c>
      <c r="E480">
        <v>0.32619999999999999</v>
      </c>
      <c r="F480">
        <v>16736093.02</v>
      </c>
      <c r="G480">
        <v>-0.7</v>
      </c>
      <c r="L480" t="s">
        <v>8</v>
      </c>
      <c r="M480" t="s">
        <v>8</v>
      </c>
      <c r="N480" t="s">
        <v>8</v>
      </c>
      <c r="P480">
        <f t="shared" si="984"/>
        <v>-0.30476190476190612</v>
      </c>
      <c r="Q480">
        <f t="shared" si="985"/>
        <v>-5100523.5870476421</v>
      </c>
      <c r="R480">
        <f t="shared" si="986"/>
        <v>149601812.6018829</v>
      </c>
      <c r="S480">
        <f t="shared" si="987"/>
        <v>1496.018126018829</v>
      </c>
      <c r="T480">
        <f t="shared" si="988"/>
        <v>1.496018126018829</v>
      </c>
    </row>
    <row r="481" spans="1:20" x14ac:dyDescent="0.25">
      <c r="A481" s="5">
        <v>44113</v>
      </c>
      <c r="B481">
        <v>0.30880000000000002</v>
      </c>
      <c r="C481">
        <v>0.33250000000000002</v>
      </c>
      <c r="D481">
        <v>0.30030000000000001</v>
      </c>
      <c r="E481">
        <v>0.3286</v>
      </c>
      <c r="F481">
        <v>14980970.59</v>
      </c>
      <c r="G481">
        <v>6.41</v>
      </c>
      <c r="L481" t="s">
        <v>8</v>
      </c>
      <c r="M481" t="s">
        <v>8</v>
      </c>
      <c r="N481" t="s">
        <v>8</v>
      </c>
      <c r="P481">
        <f t="shared" si="984"/>
        <v>0.7577639751552786</v>
      </c>
      <c r="Q481">
        <f t="shared" si="985"/>
        <v>11352039.825962719</v>
      </c>
      <c r="R481">
        <f t="shared" si="986"/>
        <v>154702336.18893054</v>
      </c>
      <c r="S481">
        <f t="shared" si="987"/>
        <v>1547.0233618893053</v>
      </c>
      <c r="T481">
        <f t="shared" si="988"/>
        <v>1.5470233618893052</v>
      </c>
    </row>
    <row r="482" spans="1:20" x14ac:dyDescent="0.25">
      <c r="A482" s="5">
        <v>44112</v>
      </c>
      <c r="B482">
        <v>0.30620000000000003</v>
      </c>
      <c r="C482">
        <v>0.315</v>
      </c>
      <c r="D482">
        <v>0.2883</v>
      </c>
      <c r="E482">
        <v>0.30869999999999997</v>
      </c>
      <c r="F482">
        <v>19453086.219999999</v>
      </c>
      <c r="G482">
        <v>0.82</v>
      </c>
      <c r="L482" t="s">
        <v>7</v>
      </c>
      <c r="M482" t="s">
        <v>7</v>
      </c>
      <c r="N482" t="s">
        <v>8</v>
      </c>
      <c r="P482">
        <f t="shared" si="984"/>
        <v>0.5280898876404474</v>
      </c>
      <c r="Q482">
        <f t="shared" si="985"/>
        <v>10272978.116179734</v>
      </c>
      <c r="R482">
        <f t="shared" si="986"/>
        <v>143350296.36296782</v>
      </c>
      <c r="S482">
        <f t="shared" si="987"/>
        <v>1433.5029636296781</v>
      </c>
      <c r="T482">
        <f t="shared" si="988"/>
        <v>1.4335029636296781</v>
      </c>
    </row>
    <row r="483" spans="1:20" x14ac:dyDescent="0.25">
      <c r="A483" s="5">
        <v>44111</v>
      </c>
      <c r="B483">
        <v>0.28620000000000001</v>
      </c>
      <c r="C483">
        <v>0.31090000000000001</v>
      </c>
      <c r="D483">
        <v>0.2767</v>
      </c>
      <c r="E483">
        <v>0.30630000000000002</v>
      </c>
      <c r="F483">
        <v>16857253.390000001</v>
      </c>
      <c r="G483">
        <v>7.02</v>
      </c>
      <c r="L483" t="s">
        <v>8</v>
      </c>
      <c r="M483" t="s">
        <v>7</v>
      </c>
      <c r="N483" t="s">
        <v>8</v>
      </c>
      <c r="P483">
        <f t="shared" si="984"/>
        <v>0.73099415204678408</v>
      </c>
      <c r="Q483">
        <f t="shared" si="985"/>
        <v>12322553.647660827</v>
      </c>
      <c r="R483">
        <f t="shared" si="986"/>
        <v>133077318.24678808</v>
      </c>
      <c r="S483">
        <f t="shared" si="987"/>
        <v>1330.7731824678808</v>
      </c>
      <c r="T483">
        <f t="shared" si="988"/>
        <v>1.3307731824678808</v>
      </c>
    </row>
    <row r="484" spans="1:20" x14ac:dyDescent="0.25">
      <c r="A484" s="5">
        <v>44110</v>
      </c>
      <c r="B484">
        <v>0.31840000000000002</v>
      </c>
      <c r="C484">
        <v>0.32129999999999997</v>
      </c>
      <c r="D484">
        <v>0.28129999999999999</v>
      </c>
      <c r="E484">
        <v>0.28589999999999999</v>
      </c>
      <c r="F484">
        <v>14774349.439999999</v>
      </c>
      <c r="G484">
        <v>-10.210000000000001</v>
      </c>
      <c r="L484" t="s">
        <v>7</v>
      </c>
      <c r="M484" t="s">
        <v>7</v>
      </c>
      <c r="N484" t="s">
        <v>8</v>
      </c>
      <c r="P484">
        <f t="shared" si="984"/>
        <v>-0.77000000000000024</v>
      </c>
      <c r="Q484">
        <f t="shared" si="985"/>
        <v>-11376249.068800002</v>
      </c>
      <c r="R484">
        <f t="shared" si="986"/>
        <v>120754764.59912726</v>
      </c>
      <c r="S484">
        <f t="shared" si="987"/>
        <v>1207.5476459912727</v>
      </c>
      <c r="T484">
        <f t="shared" si="988"/>
        <v>1.2075476459912726</v>
      </c>
    </row>
    <row r="485" spans="1:20" x14ac:dyDescent="0.25">
      <c r="A485" s="5">
        <v>44109</v>
      </c>
      <c r="B485">
        <v>0.31219999999999998</v>
      </c>
      <c r="C485">
        <v>0.32219999999999999</v>
      </c>
      <c r="D485">
        <v>0.30759999999999998</v>
      </c>
      <c r="E485">
        <v>0.31840000000000002</v>
      </c>
      <c r="F485">
        <v>7125619.1100000003</v>
      </c>
      <c r="G485">
        <v>1.99</v>
      </c>
      <c r="L485" t="s">
        <v>8</v>
      </c>
      <c r="M485" t="s">
        <v>7</v>
      </c>
      <c r="N485" t="s">
        <v>8</v>
      </c>
      <c r="P485">
        <f t="shared" si="984"/>
        <v>0.47945205479452474</v>
      </c>
      <c r="Q485">
        <f t="shared" si="985"/>
        <v>3416392.7239726325</v>
      </c>
      <c r="R485">
        <f t="shared" si="986"/>
        <v>132131013.66792727</v>
      </c>
      <c r="S485">
        <f t="shared" si="987"/>
        <v>1321.3101366792725</v>
      </c>
      <c r="T485">
        <f t="shared" si="988"/>
        <v>1.3213101366792726</v>
      </c>
    </row>
    <row r="486" spans="1:20" x14ac:dyDescent="0.25">
      <c r="A486" s="5">
        <v>44108</v>
      </c>
      <c r="B486">
        <v>0.315</v>
      </c>
      <c r="C486">
        <v>0.3206</v>
      </c>
      <c r="D486">
        <v>0.30509999999999998</v>
      </c>
      <c r="E486">
        <v>0.312</v>
      </c>
      <c r="F486">
        <v>8196271.9299999997</v>
      </c>
      <c r="G486">
        <v>-0.95</v>
      </c>
      <c r="L486" t="s">
        <v>8</v>
      </c>
      <c r="M486" t="s">
        <v>7</v>
      </c>
      <c r="N486" t="s">
        <v>8</v>
      </c>
      <c r="P486">
        <f t="shared" si="984"/>
        <v>-0.10967741935483728</v>
      </c>
      <c r="Q486">
        <f t="shared" si="985"/>
        <v>-898945.95361289149</v>
      </c>
      <c r="R486">
        <f t="shared" si="986"/>
        <v>128714620.94395463</v>
      </c>
      <c r="S486">
        <f t="shared" si="987"/>
        <v>1287.1462094395463</v>
      </c>
      <c r="T486">
        <f t="shared" si="988"/>
        <v>1.2871462094395463</v>
      </c>
    </row>
    <row r="487" spans="1:20" x14ac:dyDescent="0.25">
      <c r="A487" s="5">
        <v>44107</v>
      </c>
      <c r="B487">
        <v>0.31580000000000003</v>
      </c>
      <c r="C487">
        <v>0.32929999999999998</v>
      </c>
      <c r="D487">
        <v>0.31240000000000001</v>
      </c>
      <c r="E487">
        <v>0.31540000000000001</v>
      </c>
      <c r="F487">
        <v>8990099.3399999999</v>
      </c>
      <c r="G487">
        <v>-0.13</v>
      </c>
      <c r="L487" t="s">
        <v>8</v>
      </c>
      <c r="M487" t="s">
        <v>7</v>
      </c>
      <c r="N487" t="s">
        <v>8</v>
      </c>
      <c r="P487">
        <f t="shared" si="984"/>
        <v>-0.64497041420118251</v>
      </c>
      <c r="Q487">
        <f t="shared" si="985"/>
        <v>-5798348.0950295776</v>
      </c>
      <c r="R487">
        <f t="shared" si="986"/>
        <v>129613566.89756753</v>
      </c>
      <c r="S487">
        <f t="shared" si="987"/>
        <v>1296.1356689756753</v>
      </c>
      <c r="T487">
        <f t="shared" si="988"/>
        <v>1.2961356689756753</v>
      </c>
    </row>
    <row r="488" spans="1:20" x14ac:dyDescent="0.25">
      <c r="A488" s="5">
        <v>44106</v>
      </c>
      <c r="B488">
        <v>0.33439999999999998</v>
      </c>
      <c r="C488">
        <v>0.34010000000000001</v>
      </c>
      <c r="D488">
        <v>0.29120000000000001</v>
      </c>
      <c r="E488">
        <v>0.31580000000000003</v>
      </c>
      <c r="F488">
        <v>25098571.43</v>
      </c>
      <c r="G488">
        <v>-5.56</v>
      </c>
      <c r="L488" t="s">
        <v>7</v>
      </c>
      <c r="M488" t="s">
        <v>7</v>
      </c>
      <c r="N488" t="s">
        <v>8</v>
      </c>
      <c r="P488">
        <f t="shared" si="984"/>
        <v>6.1349693251538341E-3</v>
      </c>
      <c r="Q488">
        <f t="shared" si="985"/>
        <v>153978.96582823241</v>
      </c>
      <c r="R488">
        <f t="shared" si="986"/>
        <v>135411914.9925971</v>
      </c>
      <c r="S488">
        <f t="shared" si="987"/>
        <v>1354.119149925971</v>
      </c>
      <c r="T488">
        <f t="shared" si="988"/>
        <v>1.354119149925971</v>
      </c>
    </row>
    <row r="489" spans="1:20" x14ac:dyDescent="0.25">
      <c r="A489" s="5">
        <v>44105</v>
      </c>
      <c r="B489">
        <v>0.34699999999999998</v>
      </c>
      <c r="C489">
        <v>0.375</v>
      </c>
      <c r="D489">
        <v>0.32440000000000002</v>
      </c>
      <c r="E489">
        <v>0.33500000000000002</v>
      </c>
      <c r="F489">
        <v>24855325.32</v>
      </c>
      <c r="G489">
        <v>-3.46</v>
      </c>
      <c r="L489" t="s">
        <v>8</v>
      </c>
      <c r="M489" t="s">
        <v>8</v>
      </c>
      <c r="N489" t="s">
        <v>8</v>
      </c>
      <c r="P489">
        <f t="shared" si="984"/>
        <v>-0.58102766798418959</v>
      </c>
      <c r="Q489">
        <f t="shared" si="985"/>
        <v>-14441631.70766798</v>
      </c>
      <c r="R489">
        <f t="shared" si="986"/>
        <v>135257936.02676886</v>
      </c>
      <c r="S489">
        <f t="shared" si="987"/>
        <v>1352.5793602676886</v>
      </c>
      <c r="T489">
        <f t="shared" si="988"/>
        <v>1.3525793602676885</v>
      </c>
    </row>
    <row r="490" spans="1:20" x14ac:dyDescent="0.25">
      <c r="A490" s="5">
        <v>44104</v>
      </c>
      <c r="B490">
        <v>0.3392</v>
      </c>
      <c r="C490">
        <v>0.35589999999999999</v>
      </c>
      <c r="D490">
        <v>0.3196</v>
      </c>
      <c r="E490">
        <v>0.34689999999999999</v>
      </c>
      <c r="F490">
        <v>19805838.280000001</v>
      </c>
      <c r="G490">
        <v>2.27</v>
      </c>
      <c r="L490" t="s">
        <v>8</v>
      </c>
      <c r="M490" t="s">
        <v>8</v>
      </c>
      <c r="N490" t="s">
        <v>8</v>
      </c>
      <c r="P490">
        <f t="shared" si="984"/>
        <v>0.50413223140495822</v>
      </c>
      <c r="Q490">
        <f t="shared" si="985"/>
        <v>9984761.4469421394</v>
      </c>
      <c r="R490">
        <f t="shared" si="986"/>
        <v>149699567.73443684</v>
      </c>
      <c r="S490">
        <f t="shared" si="987"/>
        <v>1496.9956773443685</v>
      </c>
      <c r="T490">
        <f t="shared" si="988"/>
        <v>1.4969956773443684</v>
      </c>
    </row>
    <row r="491" spans="1:20" x14ac:dyDescent="0.25">
      <c r="A491" s="5">
        <v>44103</v>
      </c>
      <c r="B491">
        <v>0.32669999999999999</v>
      </c>
      <c r="C491">
        <v>0.34370000000000001</v>
      </c>
      <c r="D491">
        <v>0.31819999999999998</v>
      </c>
      <c r="E491">
        <v>0.3392</v>
      </c>
      <c r="F491">
        <v>19838177.579999998</v>
      </c>
      <c r="G491">
        <v>3.83</v>
      </c>
      <c r="L491" t="s">
        <v>7</v>
      </c>
      <c r="M491" t="s">
        <v>8</v>
      </c>
      <c r="N491" t="s">
        <v>7</v>
      </c>
      <c r="P491">
        <f t="shared" si="984"/>
        <v>0.6470588235294118</v>
      </c>
      <c r="Q491">
        <f t="shared" si="985"/>
        <v>12836467.845882352</v>
      </c>
      <c r="R491">
        <f t="shared" si="986"/>
        <v>139714806.28749469</v>
      </c>
      <c r="S491">
        <f t="shared" si="987"/>
        <v>1397.1480628749468</v>
      </c>
      <c r="T491">
        <f t="shared" si="988"/>
        <v>1.3971480628749469</v>
      </c>
    </row>
    <row r="492" spans="1:20" x14ac:dyDescent="0.25">
      <c r="A492" s="5">
        <v>44102</v>
      </c>
      <c r="B492">
        <v>0.32050000000000001</v>
      </c>
      <c r="C492">
        <v>0.35020000000000001</v>
      </c>
      <c r="D492">
        <v>0.31890000000000002</v>
      </c>
      <c r="E492">
        <v>0.32700000000000001</v>
      </c>
      <c r="F492">
        <v>19576643.620000001</v>
      </c>
      <c r="G492">
        <v>2.0299999999999998</v>
      </c>
      <c r="L492" t="s">
        <v>8</v>
      </c>
      <c r="M492" t="s">
        <v>8</v>
      </c>
      <c r="N492" t="s">
        <v>7</v>
      </c>
      <c r="P492">
        <f t="shared" si="984"/>
        <v>-0.4824281150159746</v>
      </c>
      <c r="Q492">
        <f t="shared" si="985"/>
        <v>-9444323.279936105</v>
      </c>
      <c r="R492">
        <f t="shared" si="986"/>
        <v>126878338.44161233</v>
      </c>
      <c r="S492">
        <f t="shared" si="987"/>
        <v>1268.7833844161232</v>
      </c>
      <c r="T492">
        <f t="shared" si="988"/>
        <v>1.2687833844161232</v>
      </c>
    </row>
    <row r="493" spans="1:20" x14ac:dyDescent="0.25">
      <c r="A493" s="5">
        <v>44101</v>
      </c>
      <c r="B493">
        <v>0.32490000000000002</v>
      </c>
      <c r="C493">
        <v>0.32769999999999999</v>
      </c>
      <c r="D493">
        <v>0.3029</v>
      </c>
      <c r="E493">
        <v>0.32090000000000002</v>
      </c>
      <c r="F493">
        <v>11393944.84</v>
      </c>
      <c r="G493">
        <v>-1.23</v>
      </c>
      <c r="L493" t="s">
        <v>7</v>
      </c>
      <c r="M493" t="s">
        <v>8</v>
      </c>
      <c r="N493" t="s">
        <v>7</v>
      </c>
      <c r="P493">
        <f t="shared" si="984"/>
        <v>0.45161290322580838</v>
      </c>
      <c r="Q493">
        <f t="shared" si="985"/>
        <v>5145652.5083871186</v>
      </c>
      <c r="R493">
        <f t="shared" si="986"/>
        <v>136322661.72154844</v>
      </c>
      <c r="S493">
        <f t="shared" si="987"/>
        <v>1363.2266172154843</v>
      </c>
      <c r="T493">
        <f t="shared" si="988"/>
        <v>1.3632266172154843</v>
      </c>
    </row>
    <row r="494" spans="1:20" x14ac:dyDescent="0.25">
      <c r="A494" s="5">
        <v>44100</v>
      </c>
      <c r="B494">
        <v>0.3175</v>
      </c>
      <c r="C494">
        <v>0.34189999999999998</v>
      </c>
      <c r="D494">
        <v>0.3135</v>
      </c>
      <c r="E494">
        <v>0.32529999999999998</v>
      </c>
      <c r="F494">
        <v>17346342.07</v>
      </c>
      <c r="G494">
        <v>2.46</v>
      </c>
      <c r="L494" t="s">
        <v>8</v>
      </c>
      <c r="M494" t="s">
        <v>8</v>
      </c>
      <c r="N494" t="s">
        <v>7</v>
      </c>
      <c r="P494">
        <f t="shared" si="984"/>
        <v>-0.16901408450704331</v>
      </c>
      <c r="Q494">
        <f t="shared" si="985"/>
        <v>-2931776.1245070607</v>
      </c>
      <c r="R494">
        <f t="shared" si="986"/>
        <v>131177009.21316133</v>
      </c>
      <c r="S494">
        <f t="shared" si="987"/>
        <v>1311.7700921316134</v>
      </c>
      <c r="T494">
        <f t="shared" si="988"/>
        <v>1.3117700921316133</v>
      </c>
    </row>
    <row r="495" spans="1:20" x14ac:dyDescent="0.25">
      <c r="A495" s="5">
        <v>44099</v>
      </c>
      <c r="B495">
        <v>0.29409999999999997</v>
      </c>
      <c r="C495">
        <v>0.32779999999999998</v>
      </c>
      <c r="D495">
        <v>0.28799999999999998</v>
      </c>
      <c r="E495">
        <v>0.31740000000000002</v>
      </c>
      <c r="F495">
        <v>20945388.02</v>
      </c>
      <c r="G495">
        <v>7.92</v>
      </c>
      <c r="L495" t="s">
        <v>8</v>
      </c>
      <c r="M495" t="s">
        <v>8</v>
      </c>
      <c r="N495" t="s">
        <v>7</v>
      </c>
      <c r="P495">
        <f t="shared" si="984"/>
        <v>0.47738693467336862</v>
      </c>
      <c r="Q495">
        <f t="shared" si="985"/>
        <v>9999054.5824120976</v>
      </c>
      <c r="R495">
        <f t="shared" si="986"/>
        <v>134108785.33766839</v>
      </c>
      <c r="S495">
        <f t="shared" si="987"/>
        <v>1341.0878533766838</v>
      </c>
      <c r="T495">
        <f t="shared" si="988"/>
        <v>1.3410878533766839</v>
      </c>
    </row>
    <row r="496" spans="1:20" x14ac:dyDescent="0.25">
      <c r="A496" s="5">
        <v>44098</v>
      </c>
      <c r="B496">
        <v>0.26929999999999998</v>
      </c>
      <c r="C496">
        <v>0.30259999999999998</v>
      </c>
      <c r="D496">
        <v>0.26329999999999998</v>
      </c>
      <c r="E496">
        <v>0.29409999999999997</v>
      </c>
      <c r="F496">
        <v>16928414.920000002</v>
      </c>
      <c r="G496">
        <v>9.2100000000000009</v>
      </c>
      <c r="L496" t="s">
        <v>8</v>
      </c>
      <c r="M496" t="s">
        <v>7</v>
      </c>
      <c r="N496" t="s">
        <v>7</v>
      </c>
      <c r="P496">
        <f t="shared" si="984"/>
        <v>0.56743002544529231</v>
      </c>
      <c r="Q496">
        <f t="shared" si="985"/>
        <v>9605690.9088040665</v>
      </c>
      <c r="R496">
        <f t="shared" si="986"/>
        <v>124109730.7552563</v>
      </c>
      <c r="S496">
        <f t="shared" si="987"/>
        <v>1241.0973075525631</v>
      </c>
      <c r="T496">
        <f t="shared" si="988"/>
        <v>1.2410973075525631</v>
      </c>
    </row>
    <row r="497" spans="1:20" x14ac:dyDescent="0.25">
      <c r="A497" s="5">
        <v>44097</v>
      </c>
      <c r="B497">
        <v>0.30630000000000002</v>
      </c>
      <c r="C497">
        <v>0.31</v>
      </c>
      <c r="D497">
        <v>0.26300000000000001</v>
      </c>
      <c r="E497">
        <v>0.26900000000000002</v>
      </c>
      <c r="F497">
        <v>18124984.07</v>
      </c>
      <c r="G497">
        <v>-12.18</v>
      </c>
      <c r="L497" t="s">
        <v>7</v>
      </c>
      <c r="M497" t="s">
        <v>7</v>
      </c>
      <c r="N497" t="s">
        <v>7</v>
      </c>
      <c r="P497">
        <f t="shared" si="984"/>
        <v>-0.74468085106382953</v>
      </c>
      <c r="Q497">
        <f t="shared" si="985"/>
        <v>-13497328.562765952</v>
      </c>
      <c r="R497">
        <f t="shared" si="986"/>
        <v>114504039.84645222</v>
      </c>
      <c r="S497">
        <f t="shared" si="987"/>
        <v>1145.0403984645222</v>
      </c>
      <c r="T497">
        <f t="shared" si="988"/>
        <v>1.1450403984645223</v>
      </c>
    </row>
    <row r="498" spans="1:20" x14ac:dyDescent="0.25">
      <c r="A498" s="5">
        <v>44096</v>
      </c>
      <c r="B498">
        <v>0.28799999999999998</v>
      </c>
      <c r="C498">
        <v>0.31359999999999999</v>
      </c>
      <c r="D498">
        <v>0.27479999999999999</v>
      </c>
      <c r="E498">
        <v>0.30620000000000003</v>
      </c>
      <c r="F498">
        <v>20205160.800000001</v>
      </c>
      <c r="G498">
        <v>6.32</v>
      </c>
      <c r="L498" t="s">
        <v>8</v>
      </c>
      <c r="M498" t="s">
        <v>7</v>
      </c>
      <c r="N498" t="s">
        <v>7</v>
      </c>
      <c r="P498">
        <f t="shared" si="984"/>
        <v>0.61855670103092975</v>
      </c>
      <c r="Q498">
        <f t="shared" si="985"/>
        <v>12498037.608247463</v>
      </c>
      <c r="R498">
        <f t="shared" si="986"/>
        <v>128001368.40921818</v>
      </c>
      <c r="S498">
        <f t="shared" si="987"/>
        <v>1280.0136840921818</v>
      </c>
      <c r="T498">
        <f t="shared" si="988"/>
        <v>1.2800136840921819</v>
      </c>
    </row>
    <row r="499" spans="1:20" x14ac:dyDescent="0.25">
      <c r="A499" s="5">
        <v>44095</v>
      </c>
      <c r="B499">
        <v>0.32740000000000002</v>
      </c>
      <c r="C499">
        <v>0.33050000000000002</v>
      </c>
      <c r="D499">
        <v>0.2742</v>
      </c>
      <c r="E499">
        <v>0.2873</v>
      </c>
      <c r="F499">
        <v>30174042.84</v>
      </c>
      <c r="G499">
        <v>-12.25</v>
      </c>
      <c r="L499" t="s">
        <v>7</v>
      </c>
      <c r="M499" t="s">
        <v>7</v>
      </c>
      <c r="N499" t="s">
        <v>7</v>
      </c>
      <c r="P499">
        <f t="shared" si="984"/>
        <v>-0.53463587921847255</v>
      </c>
      <c r="Q499">
        <f t="shared" si="985"/>
        <v>-16132125.923339257</v>
      </c>
      <c r="R499">
        <f t="shared" si="986"/>
        <v>115503330.80097072</v>
      </c>
      <c r="S499">
        <f t="shared" si="987"/>
        <v>1155.0333080097071</v>
      </c>
      <c r="T499">
        <f t="shared" si="988"/>
        <v>1.155033308009707</v>
      </c>
    </row>
    <row r="500" spans="1:20" x14ac:dyDescent="0.25">
      <c r="A500" s="5">
        <v>44094</v>
      </c>
      <c r="B500">
        <v>0.34239999999999998</v>
      </c>
      <c r="C500">
        <v>0.3589</v>
      </c>
      <c r="D500">
        <v>0.3115</v>
      </c>
      <c r="E500">
        <v>0.32729999999999998</v>
      </c>
      <c r="F500">
        <v>16875651.530000001</v>
      </c>
      <c r="G500">
        <v>-4.41</v>
      </c>
      <c r="L500" t="s">
        <v>7</v>
      </c>
      <c r="M500" t="s">
        <v>7</v>
      </c>
      <c r="N500" t="s">
        <v>7</v>
      </c>
      <c r="P500">
        <f t="shared" si="984"/>
        <v>-0.33333333333333409</v>
      </c>
      <c r="Q500">
        <f t="shared" si="985"/>
        <v>-5625217.1766666798</v>
      </c>
      <c r="R500">
        <f t="shared" si="986"/>
        <v>131635456.72430998</v>
      </c>
      <c r="S500">
        <f t="shared" si="987"/>
        <v>1316.3545672430998</v>
      </c>
      <c r="T500">
        <f t="shared" si="988"/>
        <v>1.3163545672430998</v>
      </c>
    </row>
    <row r="501" spans="1:20" x14ac:dyDescent="0.25">
      <c r="A501" s="5">
        <v>44093</v>
      </c>
      <c r="B501">
        <v>0.33660000000000001</v>
      </c>
      <c r="C501">
        <v>0.34610000000000002</v>
      </c>
      <c r="D501">
        <v>0.32479999999999998</v>
      </c>
      <c r="E501">
        <v>0.34229999999999999</v>
      </c>
      <c r="F501">
        <v>10759537.08</v>
      </c>
      <c r="G501">
        <v>1.69</v>
      </c>
      <c r="L501" t="s">
        <v>7</v>
      </c>
      <c r="M501" t="s">
        <v>7</v>
      </c>
      <c r="N501" t="s">
        <v>8</v>
      </c>
      <c r="P501">
        <f t="shared" si="984"/>
        <v>0.64319248826290909</v>
      </c>
      <c r="Q501">
        <f t="shared" si="985"/>
        <v>6920453.4270422356</v>
      </c>
      <c r="R501">
        <f t="shared" si="986"/>
        <v>137260673.90097666</v>
      </c>
      <c r="S501">
        <f t="shared" si="987"/>
        <v>1372.6067390097667</v>
      </c>
      <c r="T501">
        <f t="shared" si="988"/>
        <v>1.3726067390097667</v>
      </c>
    </row>
    <row r="502" spans="1:20" x14ac:dyDescent="0.25">
      <c r="A502" s="5">
        <v>44092</v>
      </c>
      <c r="B502">
        <v>0.35659999999999997</v>
      </c>
      <c r="C502">
        <v>0.36320000000000002</v>
      </c>
      <c r="D502">
        <v>0.3281</v>
      </c>
      <c r="E502">
        <v>0.33689999999999998</v>
      </c>
      <c r="F502">
        <v>17559994.079999998</v>
      </c>
      <c r="G502">
        <v>-5.52</v>
      </c>
      <c r="L502" t="s">
        <v>7</v>
      </c>
      <c r="M502" t="s">
        <v>7</v>
      </c>
      <c r="N502" t="s">
        <v>8</v>
      </c>
      <c r="P502">
        <f t="shared" si="984"/>
        <v>-0.49857549857550032</v>
      </c>
      <c r="Q502">
        <f t="shared" si="985"/>
        <v>-8754982.8034188338</v>
      </c>
      <c r="R502">
        <f t="shared" si="986"/>
        <v>130340220.47393443</v>
      </c>
      <c r="S502">
        <f t="shared" si="987"/>
        <v>1303.4022047393444</v>
      </c>
      <c r="T502">
        <f t="shared" si="988"/>
        <v>1.3034022047393443</v>
      </c>
    </row>
    <row r="503" spans="1:20" x14ac:dyDescent="0.25">
      <c r="A503" s="5">
        <v>44091</v>
      </c>
      <c r="B503">
        <v>0.3599</v>
      </c>
      <c r="C503">
        <v>0.376</v>
      </c>
      <c r="D503">
        <v>0.3458</v>
      </c>
      <c r="E503">
        <v>0.35649999999999998</v>
      </c>
      <c r="F503">
        <v>16841409.989999998</v>
      </c>
      <c r="G503">
        <v>-0.94</v>
      </c>
      <c r="L503" t="s">
        <v>8</v>
      </c>
      <c r="M503" t="s">
        <v>7</v>
      </c>
      <c r="N503" t="s">
        <v>8</v>
      </c>
      <c r="P503">
        <f t="shared" si="984"/>
        <v>-0.29139072847682213</v>
      </c>
      <c r="Q503">
        <f t="shared" si="985"/>
        <v>-4907430.7255629292</v>
      </c>
      <c r="R503">
        <f t="shared" si="986"/>
        <v>139095203.27735326</v>
      </c>
      <c r="S503">
        <f t="shared" si="987"/>
        <v>1390.9520327735327</v>
      </c>
      <c r="T503">
        <f t="shared" si="988"/>
        <v>1.3909520327735327</v>
      </c>
    </row>
    <row r="504" spans="1:20" x14ac:dyDescent="0.25">
      <c r="A504" s="5">
        <v>44090</v>
      </c>
      <c r="B504">
        <v>0.35389999999999999</v>
      </c>
      <c r="C504">
        <v>0.36280000000000001</v>
      </c>
      <c r="D504">
        <v>0.33660000000000001</v>
      </c>
      <c r="E504">
        <v>0.35980000000000001</v>
      </c>
      <c r="F504">
        <v>13172327.16</v>
      </c>
      <c r="G504">
        <v>1.67</v>
      </c>
      <c r="L504" t="s">
        <v>7</v>
      </c>
      <c r="M504" t="s">
        <v>7</v>
      </c>
      <c r="N504" t="s">
        <v>8</v>
      </c>
      <c r="P504">
        <f t="shared" si="984"/>
        <v>0.77099236641221358</v>
      </c>
      <c r="Q504">
        <f t="shared" si="985"/>
        <v>10155763.688244272</v>
      </c>
      <c r="R504">
        <f t="shared" si="986"/>
        <v>144002634.00291619</v>
      </c>
      <c r="S504">
        <f t="shared" si="987"/>
        <v>1440.0263400291619</v>
      </c>
      <c r="T504">
        <f t="shared" si="988"/>
        <v>1.440026340029162</v>
      </c>
    </row>
    <row r="505" spans="1:20" x14ac:dyDescent="0.25">
      <c r="A505" s="5">
        <v>44089</v>
      </c>
      <c r="B505">
        <v>0.38169999999999998</v>
      </c>
      <c r="C505">
        <v>0.38840000000000002</v>
      </c>
      <c r="D505">
        <v>0.35120000000000001</v>
      </c>
      <c r="E505">
        <v>0.35389999999999999</v>
      </c>
      <c r="F505">
        <v>14742851.039999999</v>
      </c>
      <c r="G505">
        <v>-7.28</v>
      </c>
      <c r="L505" t="s">
        <v>7</v>
      </c>
      <c r="M505" t="s">
        <v>7</v>
      </c>
      <c r="N505" t="s">
        <v>8</v>
      </c>
      <c r="P505">
        <f t="shared" si="984"/>
        <v>-0.85483870967742048</v>
      </c>
      <c r="Q505">
        <f t="shared" si="985"/>
        <v>-12602759.760000017</v>
      </c>
      <c r="R505">
        <f t="shared" si="986"/>
        <v>133846870.3146719</v>
      </c>
      <c r="S505">
        <f t="shared" si="987"/>
        <v>1338.468703146719</v>
      </c>
      <c r="T505">
        <f t="shared" si="988"/>
        <v>1.3384687031467191</v>
      </c>
    </row>
    <row r="506" spans="1:20" x14ac:dyDescent="0.25">
      <c r="A506" s="5">
        <v>44088</v>
      </c>
      <c r="B506">
        <v>0.37740000000000001</v>
      </c>
      <c r="C506">
        <v>0.39</v>
      </c>
      <c r="D506">
        <v>0.36509999999999998</v>
      </c>
      <c r="E506">
        <v>0.38190000000000002</v>
      </c>
      <c r="F506">
        <v>12947283.109999999</v>
      </c>
      <c r="G506">
        <v>1.19</v>
      </c>
      <c r="L506" t="s">
        <v>8</v>
      </c>
      <c r="M506" t="s">
        <v>7</v>
      </c>
      <c r="N506" t="s">
        <v>8</v>
      </c>
      <c r="P506">
        <f t="shared" si="984"/>
        <v>0.34939759036144696</v>
      </c>
      <c r="Q506">
        <f t="shared" si="985"/>
        <v>4523749.5203614607</v>
      </c>
      <c r="R506">
        <f t="shared" si="986"/>
        <v>146449630.07467192</v>
      </c>
      <c r="S506">
        <f t="shared" si="987"/>
        <v>1464.4963007467193</v>
      </c>
      <c r="T506">
        <f t="shared" si="988"/>
        <v>1.4644963007467193</v>
      </c>
    </row>
    <row r="507" spans="1:20" x14ac:dyDescent="0.25">
      <c r="A507" s="5">
        <v>44087</v>
      </c>
      <c r="B507">
        <v>0.40899999999999997</v>
      </c>
      <c r="C507">
        <v>0.41589999999999999</v>
      </c>
      <c r="D507">
        <v>0.35539999999999999</v>
      </c>
      <c r="E507">
        <v>0.37740000000000001</v>
      </c>
      <c r="F507">
        <v>18492942.27</v>
      </c>
      <c r="G507">
        <v>-7.73</v>
      </c>
      <c r="L507" t="s">
        <v>7</v>
      </c>
      <c r="M507" t="s">
        <v>7</v>
      </c>
      <c r="N507" t="s">
        <v>8</v>
      </c>
      <c r="P507">
        <f t="shared" si="984"/>
        <v>-0.27272727272727204</v>
      </c>
      <c r="Q507">
        <f t="shared" si="985"/>
        <v>-5043529.7099999869</v>
      </c>
      <c r="R507">
        <f t="shared" si="986"/>
        <v>141925880.55431047</v>
      </c>
      <c r="S507">
        <f t="shared" si="987"/>
        <v>1419.2588055431047</v>
      </c>
      <c r="T507">
        <f t="shared" si="988"/>
        <v>1.4192588055431048</v>
      </c>
    </row>
    <row r="508" spans="1:20" x14ac:dyDescent="0.25">
      <c r="A508" s="5">
        <v>44086</v>
      </c>
      <c r="B508">
        <v>0.41120000000000001</v>
      </c>
      <c r="C508">
        <v>0.41810000000000003</v>
      </c>
      <c r="D508">
        <v>0.39729999999999999</v>
      </c>
      <c r="E508">
        <v>0.40899999999999997</v>
      </c>
      <c r="F508">
        <v>16999629.800000001</v>
      </c>
      <c r="G508">
        <v>-0.54</v>
      </c>
      <c r="L508" t="s">
        <v>7</v>
      </c>
      <c r="M508" t="s">
        <v>8</v>
      </c>
      <c r="N508" t="s">
        <v>8</v>
      </c>
      <c r="P508">
        <f t="shared" si="984"/>
        <v>0.12499999999999667</v>
      </c>
      <c r="Q508">
        <f t="shared" si="985"/>
        <v>2124953.7249999433</v>
      </c>
      <c r="R508">
        <f t="shared" si="986"/>
        <v>146969410.26431045</v>
      </c>
      <c r="S508">
        <f t="shared" si="987"/>
        <v>1469.6941026431045</v>
      </c>
      <c r="T508">
        <f t="shared" si="988"/>
        <v>1.4696941026431045</v>
      </c>
    </row>
    <row r="509" spans="1:20" x14ac:dyDescent="0.25">
      <c r="A509" s="5">
        <v>44085</v>
      </c>
      <c r="B509">
        <v>0.4128</v>
      </c>
      <c r="C509">
        <v>0.41510000000000002</v>
      </c>
      <c r="D509">
        <v>0.39</v>
      </c>
      <c r="E509">
        <v>0.41099999999999998</v>
      </c>
      <c r="F509">
        <v>20103330.77</v>
      </c>
      <c r="G509">
        <v>-0.44</v>
      </c>
      <c r="L509" t="s">
        <v>7</v>
      </c>
      <c r="M509" t="s">
        <v>8</v>
      </c>
      <c r="N509" t="s">
        <v>8</v>
      </c>
      <c r="P509">
        <f t="shared" si="984"/>
        <v>0.67330677290836283</v>
      </c>
      <c r="Q509">
        <f t="shared" si="985"/>
        <v>13535708.765458092</v>
      </c>
      <c r="R509">
        <f t="shared" si="986"/>
        <v>144844456.53931051</v>
      </c>
      <c r="S509">
        <f t="shared" si="987"/>
        <v>1448.4445653931052</v>
      </c>
      <c r="T509">
        <f t="shared" si="988"/>
        <v>1.4484445653931053</v>
      </c>
    </row>
    <row r="510" spans="1:20" x14ac:dyDescent="0.25">
      <c r="A510" s="5">
        <v>44084</v>
      </c>
      <c r="B510">
        <v>0.41289999999999999</v>
      </c>
      <c r="C510">
        <v>0.45</v>
      </c>
      <c r="D510">
        <v>0.4012</v>
      </c>
      <c r="E510">
        <v>0.41310000000000002</v>
      </c>
      <c r="F510">
        <v>31352357.41</v>
      </c>
      <c r="G510">
        <v>0.05</v>
      </c>
      <c r="L510" t="s">
        <v>8</v>
      </c>
      <c r="M510" t="s">
        <v>8</v>
      </c>
      <c r="N510" t="s">
        <v>8</v>
      </c>
      <c r="P510">
        <f t="shared" si="984"/>
        <v>-0.5122950819672123</v>
      </c>
      <c r="Q510">
        <f t="shared" si="985"/>
        <v>-16061658.509221286</v>
      </c>
      <c r="R510">
        <f t="shared" si="986"/>
        <v>131308747.77385244</v>
      </c>
      <c r="S510">
        <f t="shared" si="987"/>
        <v>1313.0874777385243</v>
      </c>
      <c r="T510">
        <f t="shared" si="988"/>
        <v>1.3130874777385242</v>
      </c>
    </row>
    <row r="511" spans="1:20" x14ac:dyDescent="0.25">
      <c r="A511" s="5">
        <v>44083</v>
      </c>
      <c r="B511">
        <v>0.34889999999999999</v>
      </c>
      <c r="C511">
        <v>0.435</v>
      </c>
      <c r="D511">
        <v>0.33760000000000001</v>
      </c>
      <c r="E511">
        <v>0.41299999999999998</v>
      </c>
      <c r="F511">
        <v>38270938.030000001</v>
      </c>
      <c r="G511">
        <v>18.37</v>
      </c>
      <c r="L511" t="s">
        <v>8</v>
      </c>
      <c r="M511" t="s">
        <v>8</v>
      </c>
      <c r="N511" t="s">
        <v>8</v>
      </c>
      <c r="P511">
        <f t="shared" si="984"/>
        <v>0.54825462012320281</v>
      </c>
      <c r="Q511">
        <f t="shared" si="985"/>
        <v>20982218.591396287</v>
      </c>
      <c r="R511">
        <f t="shared" si="986"/>
        <v>147370406.28307372</v>
      </c>
      <c r="S511">
        <f t="shared" si="987"/>
        <v>1473.7040628307373</v>
      </c>
      <c r="T511">
        <f t="shared" si="988"/>
        <v>1.4737040628307372</v>
      </c>
    </row>
    <row r="512" spans="1:20" x14ac:dyDescent="0.25">
      <c r="A512" s="5">
        <v>44082</v>
      </c>
      <c r="B512">
        <v>0.37280000000000002</v>
      </c>
      <c r="C512">
        <v>0.37659999999999999</v>
      </c>
      <c r="D512">
        <v>0.3367</v>
      </c>
      <c r="E512">
        <v>0.34899999999999998</v>
      </c>
      <c r="F512">
        <v>17930662.539999999</v>
      </c>
      <c r="G512">
        <v>-6.38</v>
      </c>
      <c r="L512" t="s">
        <v>7</v>
      </c>
      <c r="M512" t="s">
        <v>8</v>
      </c>
      <c r="N512" t="s">
        <v>7</v>
      </c>
      <c r="P512">
        <f t="shared" si="984"/>
        <v>-0.38345864661654233</v>
      </c>
      <c r="Q512">
        <f t="shared" si="985"/>
        <v>-6875667.5905263331</v>
      </c>
      <c r="R512">
        <f t="shared" si="986"/>
        <v>126388187.69167742</v>
      </c>
      <c r="S512">
        <f t="shared" si="987"/>
        <v>1263.8818769167742</v>
      </c>
      <c r="T512">
        <f t="shared" si="988"/>
        <v>1.2638818769167741</v>
      </c>
    </row>
    <row r="513" spans="1:20" x14ac:dyDescent="0.25">
      <c r="A513" s="5">
        <v>44081</v>
      </c>
      <c r="B513">
        <v>0.37559999999999999</v>
      </c>
      <c r="C513">
        <v>0.3846</v>
      </c>
      <c r="D513">
        <v>0.32929999999999998</v>
      </c>
      <c r="E513">
        <v>0.37219999999999998</v>
      </c>
      <c r="F513">
        <v>23012046.07</v>
      </c>
      <c r="G513">
        <v>-0.91</v>
      </c>
      <c r="L513" t="s">
        <v>8</v>
      </c>
      <c r="M513" t="s">
        <v>8</v>
      </c>
      <c r="N513" t="s">
        <v>7</v>
      </c>
      <c r="P513">
        <f t="shared" si="984"/>
        <v>0.55153707052441159</v>
      </c>
      <c r="Q513">
        <f t="shared" si="985"/>
        <v>12691996.476220598</v>
      </c>
      <c r="R513">
        <f t="shared" si="986"/>
        <v>133263855.28220375</v>
      </c>
      <c r="S513">
        <f t="shared" si="987"/>
        <v>1332.6385528220376</v>
      </c>
      <c r="T513">
        <f t="shared" si="988"/>
        <v>1.3326385528220377</v>
      </c>
    </row>
    <row r="514" spans="1:20" x14ac:dyDescent="0.25">
      <c r="A514" s="5">
        <v>44080</v>
      </c>
      <c r="B514">
        <v>0.34189999999999998</v>
      </c>
      <c r="C514">
        <v>0.38740000000000002</v>
      </c>
      <c r="D514">
        <v>0.31890000000000002</v>
      </c>
      <c r="E514">
        <v>0.37569999999999998</v>
      </c>
      <c r="F514">
        <v>25122252.890000001</v>
      </c>
      <c r="G514">
        <v>9.89</v>
      </c>
      <c r="L514" t="s">
        <v>7</v>
      </c>
      <c r="M514" t="s">
        <v>8</v>
      </c>
      <c r="N514" t="s">
        <v>7</v>
      </c>
      <c r="P514">
        <f t="shared" si="984"/>
        <v>0.6583941605839404</v>
      </c>
      <c r="Q514">
        <f t="shared" si="985"/>
        <v>16540344.603489021</v>
      </c>
      <c r="R514">
        <f t="shared" si="986"/>
        <v>120571858.80598316</v>
      </c>
      <c r="S514">
        <f t="shared" si="987"/>
        <v>1205.7185880598315</v>
      </c>
      <c r="T514">
        <f t="shared" si="988"/>
        <v>1.2057185880598316</v>
      </c>
    </row>
    <row r="515" spans="1:20" x14ac:dyDescent="0.25">
      <c r="A515" s="5">
        <v>44079</v>
      </c>
      <c r="B515">
        <v>0.37380000000000002</v>
      </c>
      <c r="C515">
        <v>0.39979999999999999</v>
      </c>
      <c r="D515">
        <v>0.316</v>
      </c>
      <c r="E515">
        <v>0.34150000000000003</v>
      </c>
      <c r="F515">
        <v>31484038.260000002</v>
      </c>
      <c r="G515">
        <v>-8.64</v>
      </c>
      <c r="L515" t="s">
        <v>8</v>
      </c>
      <c r="M515" t="s">
        <v>7</v>
      </c>
      <c r="N515" t="s">
        <v>7</v>
      </c>
      <c r="P515">
        <f t="shared" si="984"/>
        <v>-0.39140811455847191</v>
      </c>
      <c r="Q515">
        <f t="shared" si="985"/>
        <v>-12323108.054033393</v>
      </c>
      <c r="R515">
        <f t="shared" si="986"/>
        <v>104031514.20249413</v>
      </c>
      <c r="S515">
        <f t="shared" si="987"/>
        <v>1040.3151420249412</v>
      </c>
      <c r="T515">
        <f t="shared" si="988"/>
        <v>1.0403151420249412</v>
      </c>
    </row>
    <row r="516" spans="1:20" x14ac:dyDescent="0.25">
      <c r="A516" s="5">
        <v>44078</v>
      </c>
      <c r="B516">
        <v>0.34839999999999999</v>
      </c>
      <c r="C516">
        <v>0.38769999999999999</v>
      </c>
      <c r="D516">
        <v>0.33110000000000001</v>
      </c>
      <c r="E516">
        <v>0.374</v>
      </c>
      <c r="F516">
        <v>36460308.68</v>
      </c>
      <c r="G516">
        <v>7.35</v>
      </c>
      <c r="L516" t="s">
        <v>8</v>
      </c>
      <c r="M516" t="s">
        <v>7</v>
      </c>
      <c r="N516" t="s">
        <v>7</v>
      </c>
      <c r="P516">
        <f t="shared" si="984"/>
        <v>0.5159010600706716</v>
      </c>
      <c r="Q516">
        <f t="shared" si="985"/>
        <v>18809911.89851591</v>
      </c>
      <c r="R516">
        <f t="shared" si="986"/>
        <v>116354622.25652753</v>
      </c>
      <c r="S516">
        <f t="shared" si="987"/>
        <v>1163.5462225652752</v>
      </c>
      <c r="T516">
        <f t="shared" si="988"/>
        <v>1.1635462225652753</v>
      </c>
    </row>
    <row r="517" spans="1:20" x14ac:dyDescent="0.25">
      <c r="A517" s="5">
        <v>44077</v>
      </c>
      <c r="B517">
        <v>0.46379999999999999</v>
      </c>
      <c r="C517">
        <v>0.47160000000000002</v>
      </c>
      <c r="D517">
        <v>0.33</v>
      </c>
      <c r="E517">
        <v>0.34860000000000002</v>
      </c>
      <c r="F517">
        <v>45181712.170000002</v>
      </c>
      <c r="G517">
        <v>-24.84</v>
      </c>
      <c r="L517" t="s">
        <v>7</v>
      </c>
      <c r="M517" t="s">
        <v>7</v>
      </c>
      <c r="N517" t="s">
        <v>7</v>
      </c>
      <c r="P517">
        <f t="shared" si="984"/>
        <v>-0.73728813559322026</v>
      </c>
      <c r="Q517">
        <f t="shared" si="985"/>
        <v>-33311940.32872881</v>
      </c>
      <c r="R517">
        <f t="shared" si="986"/>
        <v>97544710.358011618</v>
      </c>
      <c r="S517">
        <f t="shared" si="987"/>
        <v>975.44710358011616</v>
      </c>
      <c r="T517">
        <f t="shared" si="988"/>
        <v>0.97544710358011621</v>
      </c>
    </row>
    <row r="518" spans="1:20" x14ac:dyDescent="0.25">
      <c r="A518" s="5">
        <v>44076</v>
      </c>
      <c r="B518">
        <v>0.51639999999999997</v>
      </c>
      <c r="C518">
        <v>0.52710000000000001</v>
      </c>
      <c r="D518">
        <v>0.41860000000000003</v>
      </c>
      <c r="E518">
        <v>0.46379999999999999</v>
      </c>
      <c r="F518">
        <v>40772253.140000001</v>
      </c>
      <c r="G518">
        <v>-10.19</v>
      </c>
      <c r="L518" t="s">
        <v>7</v>
      </c>
      <c r="M518" t="s">
        <v>7</v>
      </c>
      <c r="N518" t="s">
        <v>7</v>
      </c>
      <c r="P518">
        <f t="shared" si="984"/>
        <v>-0.16682027649769643</v>
      </c>
      <c r="Q518">
        <f t="shared" si="985"/>
        <v>-6801638.5422488712</v>
      </c>
      <c r="R518">
        <f t="shared" si="986"/>
        <v>130856650.68674043</v>
      </c>
      <c r="S518">
        <f t="shared" si="987"/>
        <v>1308.5665068674043</v>
      </c>
      <c r="T518">
        <f t="shared" si="988"/>
        <v>1.3085665068674044</v>
      </c>
    </row>
    <row r="519" spans="1:20" x14ac:dyDescent="0.25">
      <c r="A519" s="5">
        <v>44075</v>
      </c>
      <c r="B519">
        <v>0.50149999999999995</v>
      </c>
      <c r="C519">
        <v>0.55359999999999998</v>
      </c>
      <c r="D519">
        <v>0.48899999999999999</v>
      </c>
      <c r="E519">
        <v>0.51680000000000004</v>
      </c>
      <c r="F519">
        <v>39136381.200000003</v>
      </c>
      <c r="G519">
        <v>3.05</v>
      </c>
      <c r="L519" t="s">
        <v>7</v>
      </c>
      <c r="M519" t="s">
        <v>7</v>
      </c>
      <c r="N519" t="s">
        <v>7</v>
      </c>
      <c r="P519">
        <f t="shared" ref="P519:P582" si="989">IF(C519=D519,0,((E519-D519)-(C519-E519))/(C519-D519))</f>
        <v>-0.13931888544891483</v>
      </c>
      <c r="Q519">
        <f t="shared" ref="Q519:Q582" si="990">F519*P519</f>
        <v>-5452437.009287864</v>
      </c>
      <c r="R519">
        <f t="shared" ref="R519:R582" si="991">R520+Q519</f>
        <v>137658289.2289893</v>
      </c>
      <c r="S519">
        <f t="shared" ref="S519:S582" si="992">R519/100000</f>
        <v>1376.5828922898929</v>
      </c>
      <c r="T519">
        <f t="shared" ref="T519:T582" si="993">S519/1000</f>
        <v>1.3765828922898928</v>
      </c>
    </row>
    <row r="520" spans="1:20" x14ac:dyDescent="0.25">
      <c r="A520" s="5">
        <v>44074</v>
      </c>
      <c r="B520">
        <v>0.51819999999999999</v>
      </c>
      <c r="C520">
        <v>0.52680000000000005</v>
      </c>
      <c r="D520">
        <v>0.50139999999999996</v>
      </c>
      <c r="E520">
        <v>0.50209999999999999</v>
      </c>
      <c r="F520">
        <v>15634942.220000001</v>
      </c>
      <c r="G520">
        <v>-3.11</v>
      </c>
      <c r="L520" t="s">
        <v>7</v>
      </c>
      <c r="M520" t="s">
        <v>7</v>
      </c>
      <c r="N520" t="s">
        <v>7</v>
      </c>
      <c r="P520">
        <f t="shared" si="989"/>
        <v>-0.94488188976377707</v>
      </c>
      <c r="Q520">
        <f t="shared" si="990"/>
        <v>-14773173.751181064</v>
      </c>
      <c r="R520">
        <f t="shared" si="991"/>
        <v>143110726.23827717</v>
      </c>
      <c r="S520">
        <f t="shared" si="992"/>
        <v>1431.1072623827718</v>
      </c>
      <c r="T520">
        <f t="shared" si="993"/>
        <v>1.4311072623827719</v>
      </c>
    </row>
    <row r="521" spans="1:20" x14ac:dyDescent="0.25">
      <c r="A521" s="5">
        <v>44073</v>
      </c>
      <c r="B521">
        <v>0.53349999999999997</v>
      </c>
      <c r="C521">
        <v>0.55000000000000004</v>
      </c>
      <c r="D521">
        <v>0.50670000000000004</v>
      </c>
      <c r="E521">
        <v>0.5181</v>
      </c>
      <c r="F521">
        <v>19710998.329999998</v>
      </c>
      <c r="G521">
        <v>-2.89</v>
      </c>
      <c r="L521" t="s">
        <v>7</v>
      </c>
      <c r="M521" t="s">
        <v>7</v>
      </c>
      <c r="N521" t="s">
        <v>7</v>
      </c>
      <c r="P521">
        <f t="shared" si="989"/>
        <v>-0.47344110854503629</v>
      </c>
      <c r="Q521">
        <f t="shared" si="990"/>
        <v>-9331996.8998845574</v>
      </c>
      <c r="R521">
        <f t="shared" si="991"/>
        <v>157883899.98945823</v>
      </c>
      <c r="S521">
        <f t="shared" si="992"/>
        <v>1578.8389998945822</v>
      </c>
      <c r="T521">
        <f t="shared" si="993"/>
        <v>1.5788389998945822</v>
      </c>
    </row>
    <row r="522" spans="1:20" x14ac:dyDescent="0.25">
      <c r="A522" s="5">
        <v>44072</v>
      </c>
      <c r="B522">
        <v>0.5343</v>
      </c>
      <c r="C522">
        <v>0.54830000000000001</v>
      </c>
      <c r="D522">
        <v>0.52290000000000003</v>
      </c>
      <c r="E522">
        <v>0.53339999999999999</v>
      </c>
      <c r="F522">
        <v>15949179.439999999</v>
      </c>
      <c r="G522">
        <v>-0.17</v>
      </c>
      <c r="L522" t="s">
        <v>8</v>
      </c>
      <c r="M522" t="s">
        <v>7</v>
      </c>
      <c r="N522" t="s">
        <v>7</v>
      </c>
      <c r="P522">
        <f t="shared" si="989"/>
        <v>-0.17322834645669583</v>
      </c>
      <c r="Q522">
        <f t="shared" si="990"/>
        <v>-2762849.9817323298</v>
      </c>
      <c r="R522">
        <f t="shared" si="991"/>
        <v>167215896.88934278</v>
      </c>
      <c r="S522">
        <f t="shared" si="992"/>
        <v>1672.1589688934278</v>
      </c>
      <c r="T522">
        <f t="shared" si="993"/>
        <v>1.6721589688934277</v>
      </c>
    </row>
    <row r="523" spans="1:20" x14ac:dyDescent="0.25">
      <c r="A523" s="5">
        <v>44071</v>
      </c>
      <c r="B523">
        <v>0.52259999999999995</v>
      </c>
      <c r="C523">
        <v>0.5625</v>
      </c>
      <c r="D523">
        <v>0.51219999999999999</v>
      </c>
      <c r="E523">
        <v>0.53369999999999995</v>
      </c>
      <c r="F523">
        <v>23945614.879999999</v>
      </c>
      <c r="G523">
        <v>2.12</v>
      </c>
      <c r="L523" t="s">
        <v>8</v>
      </c>
      <c r="M523" t="s">
        <v>7</v>
      </c>
      <c r="N523" t="s">
        <v>7</v>
      </c>
      <c r="P523">
        <f t="shared" si="989"/>
        <v>-0.14512922465208911</v>
      </c>
      <c r="Q523">
        <f t="shared" si="990"/>
        <v>-3475208.5213519274</v>
      </c>
      <c r="R523">
        <f t="shared" si="991"/>
        <v>169978746.87107512</v>
      </c>
      <c r="S523">
        <f t="shared" si="992"/>
        <v>1699.7874687107512</v>
      </c>
      <c r="T523">
        <f t="shared" si="993"/>
        <v>1.6997874687107513</v>
      </c>
    </row>
    <row r="524" spans="1:20" x14ac:dyDescent="0.25">
      <c r="A524" s="5">
        <v>44070</v>
      </c>
      <c r="B524">
        <v>0.55049999999999999</v>
      </c>
      <c r="C524">
        <v>0.55789999999999995</v>
      </c>
      <c r="D524">
        <v>0.49</v>
      </c>
      <c r="E524">
        <v>0.52249999999999996</v>
      </c>
      <c r="F524">
        <v>33964698.030000001</v>
      </c>
      <c r="G524">
        <v>-5.09</v>
      </c>
      <c r="L524" t="s">
        <v>7</v>
      </c>
      <c r="M524" t="s">
        <v>7</v>
      </c>
      <c r="N524" t="s">
        <v>7</v>
      </c>
      <c r="P524">
        <f t="shared" si="989"/>
        <v>-4.2709867452135716E-2</v>
      </c>
      <c r="Q524">
        <f t="shared" si="990"/>
        <v>-1450627.7509131152</v>
      </c>
      <c r="R524">
        <f t="shared" si="991"/>
        <v>173453955.39242706</v>
      </c>
      <c r="S524">
        <f t="shared" si="992"/>
        <v>1734.5395539242706</v>
      </c>
      <c r="T524">
        <f t="shared" si="993"/>
        <v>1.7345395539242707</v>
      </c>
    </row>
    <row r="525" spans="1:20" x14ac:dyDescent="0.25">
      <c r="A525" s="5">
        <v>44069</v>
      </c>
      <c r="B525">
        <v>0.56120000000000003</v>
      </c>
      <c r="C525">
        <v>0.58899999999999997</v>
      </c>
      <c r="D525">
        <v>0.52929999999999999</v>
      </c>
      <c r="E525">
        <v>0.55000000000000004</v>
      </c>
      <c r="F525">
        <v>30516133.199999999</v>
      </c>
      <c r="G525">
        <v>-2</v>
      </c>
      <c r="L525" t="s">
        <v>8</v>
      </c>
      <c r="M525" t="s">
        <v>7</v>
      </c>
      <c r="N525" t="s">
        <v>7</v>
      </c>
      <c r="P525">
        <f t="shared" si="989"/>
        <v>-0.30653266331658091</v>
      </c>
      <c r="Q525">
        <f t="shared" si="990"/>
        <v>-9354191.5839195363</v>
      </c>
      <c r="R525">
        <f t="shared" si="991"/>
        <v>174904583.14334017</v>
      </c>
      <c r="S525">
        <f t="shared" si="992"/>
        <v>1749.0458314334016</v>
      </c>
      <c r="T525">
        <f t="shared" si="993"/>
        <v>1.7490458314334016</v>
      </c>
    </row>
    <row r="526" spans="1:20" x14ac:dyDescent="0.25">
      <c r="A526" s="5">
        <v>44068</v>
      </c>
      <c r="B526">
        <v>0.629</v>
      </c>
      <c r="C526">
        <v>0.6391</v>
      </c>
      <c r="D526">
        <v>0.52900000000000003</v>
      </c>
      <c r="E526">
        <v>0.56089999999999995</v>
      </c>
      <c r="F526">
        <v>46808856.490000002</v>
      </c>
      <c r="G526">
        <v>-10.83</v>
      </c>
      <c r="L526" t="s">
        <v>7</v>
      </c>
      <c r="M526" t="s">
        <v>7</v>
      </c>
      <c r="N526" t="s">
        <v>7</v>
      </c>
      <c r="P526">
        <f t="shared" si="989"/>
        <v>-0.42052679382379771</v>
      </c>
      <c r="Q526">
        <f t="shared" si="990"/>
        <v>-19684378.342297968</v>
      </c>
      <c r="R526">
        <f t="shared" si="991"/>
        <v>184258774.7272597</v>
      </c>
      <c r="S526">
        <f t="shared" si="992"/>
        <v>1842.587747272597</v>
      </c>
      <c r="T526">
        <f t="shared" si="993"/>
        <v>1.8425877472725969</v>
      </c>
    </row>
    <row r="527" spans="1:20" x14ac:dyDescent="0.25">
      <c r="A527" s="5">
        <v>44067</v>
      </c>
      <c r="B527">
        <v>0.61370000000000002</v>
      </c>
      <c r="C527">
        <v>0.66449999999999998</v>
      </c>
      <c r="D527">
        <v>0.59330000000000005</v>
      </c>
      <c r="E527">
        <v>0.62929999999999997</v>
      </c>
      <c r="F527">
        <v>42594604.200000003</v>
      </c>
      <c r="G527">
        <v>2.54</v>
      </c>
      <c r="L527" t="s">
        <v>8</v>
      </c>
      <c r="M527" t="s">
        <v>8</v>
      </c>
      <c r="N527" t="s">
        <v>7</v>
      </c>
      <c r="P527">
        <f t="shared" si="989"/>
        <v>1.1235955056178549E-2</v>
      </c>
      <c r="Q527">
        <f t="shared" si="990"/>
        <v>478591.0584269141</v>
      </c>
      <c r="R527">
        <f t="shared" si="991"/>
        <v>203943153.06955767</v>
      </c>
      <c r="S527">
        <f t="shared" si="992"/>
        <v>2039.4315306955766</v>
      </c>
      <c r="T527">
        <f t="shared" si="993"/>
        <v>2.0394315306955768</v>
      </c>
    </row>
    <row r="528" spans="1:20" x14ac:dyDescent="0.25">
      <c r="A528" s="5">
        <v>44066</v>
      </c>
      <c r="B528">
        <v>0.56430000000000002</v>
      </c>
      <c r="C528">
        <v>0.63749999999999996</v>
      </c>
      <c r="D528">
        <v>0.54390000000000005</v>
      </c>
      <c r="E528">
        <v>0.61319999999999997</v>
      </c>
      <c r="F528">
        <v>43077734.399999999</v>
      </c>
      <c r="G528">
        <v>8.67</v>
      </c>
      <c r="L528" t="s">
        <v>8</v>
      </c>
      <c r="M528" t="s">
        <v>8</v>
      </c>
      <c r="N528" t="s">
        <v>7</v>
      </c>
      <c r="P528">
        <f t="shared" si="989"/>
        <v>0.4807692307692305</v>
      </c>
      <c r="Q528">
        <f t="shared" si="990"/>
        <v>20710449.230769217</v>
      </c>
      <c r="R528">
        <f t="shared" si="991"/>
        <v>203464562.01113075</v>
      </c>
      <c r="S528">
        <f t="shared" si="992"/>
        <v>2034.6456201113076</v>
      </c>
      <c r="T528">
        <f t="shared" si="993"/>
        <v>2.0346456201113075</v>
      </c>
    </row>
    <row r="529" spans="1:20" x14ac:dyDescent="0.25">
      <c r="A529" s="5">
        <v>44065</v>
      </c>
      <c r="B529">
        <v>0.53139999999999998</v>
      </c>
      <c r="C529">
        <v>0.58620000000000005</v>
      </c>
      <c r="D529">
        <v>0.51100000000000001</v>
      </c>
      <c r="E529">
        <v>0.56359999999999999</v>
      </c>
      <c r="F529">
        <v>46973487.020000003</v>
      </c>
      <c r="G529">
        <v>6.06</v>
      </c>
      <c r="L529" t="s">
        <v>7</v>
      </c>
      <c r="M529" t="s">
        <v>7</v>
      </c>
      <c r="N529" t="s">
        <v>7</v>
      </c>
      <c r="P529">
        <f t="shared" si="989"/>
        <v>0.39893617021276462</v>
      </c>
      <c r="Q529">
        <f t="shared" si="990"/>
        <v>18739423.013297811</v>
      </c>
      <c r="R529">
        <f t="shared" si="991"/>
        <v>182754112.78036153</v>
      </c>
      <c r="S529">
        <f t="shared" si="992"/>
        <v>1827.5411278036154</v>
      </c>
      <c r="T529">
        <f t="shared" si="993"/>
        <v>1.8275411278036153</v>
      </c>
    </row>
    <row r="530" spans="1:20" x14ac:dyDescent="0.25">
      <c r="A530" s="5">
        <v>44064</v>
      </c>
      <c r="B530">
        <v>0.62609999999999999</v>
      </c>
      <c r="C530">
        <v>0.63449999999999995</v>
      </c>
      <c r="D530">
        <v>0.52190000000000003</v>
      </c>
      <c r="E530">
        <v>0.5323</v>
      </c>
      <c r="F530">
        <v>61932553.600000001</v>
      </c>
      <c r="G530">
        <v>-14.98</v>
      </c>
      <c r="L530" t="s">
        <v>7</v>
      </c>
      <c r="M530" t="s">
        <v>7</v>
      </c>
      <c r="N530" t="s">
        <v>7</v>
      </c>
      <c r="P530">
        <f t="shared" si="989"/>
        <v>-0.81527531083481397</v>
      </c>
      <c r="Q530">
        <f t="shared" si="990"/>
        <v>-50492081.887033775</v>
      </c>
      <c r="R530">
        <f t="shared" si="991"/>
        <v>164014689.76706374</v>
      </c>
      <c r="S530">
        <f t="shared" si="992"/>
        <v>1640.1468976706374</v>
      </c>
      <c r="T530">
        <f t="shared" si="993"/>
        <v>1.6401468976706375</v>
      </c>
    </row>
    <row r="531" spans="1:20" x14ac:dyDescent="0.25">
      <c r="A531" s="5">
        <v>44063</v>
      </c>
      <c r="B531">
        <v>0.59640000000000004</v>
      </c>
      <c r="C531">
        <v>0.66659999999999997</v>
      </c>
      <c r="D531">
        <v>0.59199999999999997</v>
      </c>
      <c r="E531">
        <v>0.62639999999999996</v>
      </c>
      <c r="F531">
        <v>56682001.170000002</v>
      </c>
      <c r="G531">
        <v>5.03</v>
      </c>
      <c r="L531" t="s">
        <v>8</v>
      </c>
      <c r="M531" t="s">
        <v>8</v>
      </c>
      <c r="N531" t="s">
        <v>7</v>
      </c>
      <c r="P531">
        <f t="shared" si="989"/>
        <v>-7.7747989276139781E-2</v>
      </c>
      <c r="Q531">
        <f t="shared" si="990"/>
        <v>-4406911.6191153023</v>
      </c>
      <c r="R531">
        <f t="shared" si="991"/>
        <v>214506771.6540975</v>
      </c>
      <c r="S531">
        <f t="shared" si="992"/>
        <v>2145.0677165409752</v>
      </c>
      <c r="T531">
        <f t="shared" si="993"/>
        <v>2.1450677165409751</v>
      </c>
    </row>
    <row r="532" spans="1:20" x14ac:dyDescent="0.25">
      <c r="A532" s="5">
        <v>44062</v>
      </c>
      <c r="B532">
        <v>0.55620000000000003</v>
      </c>
      <c r="C532">
        <v>0.62570000000000003</v>
      </c>
      <c r="D532">
        <v>0.5</v>
      </c>
      <c r="E532">
        <v>0.59650000000000003</v>
      </c>
      <c r="F532">
        <v>76601980.079999998</v>
      </c>
      <c r="G532">
        <v>7.25</v>
      </c>
      <c r="L532" t="s">
        <v>7</v>
      </c>
      <c r="M532" t="s">
        <v>7</v>
      </c>
      <c r="N532" t="s">
        <v>7</v>
      </c>
      <c r="P532">
        <f t="shared" si="989"/>
        <v>0.53540175019888625</v>
      </c>
      <c r="Q532">
        <f t="shared" si="990"/>
        <v>41012834.203532219</v>
      </c>
      <c r="R532">
        <f t="shared" si="991"/>
        <v>218913683.27321279</v>
      </c>
      <c r="S532">
        <f t="shared" si="992"/>
        <v>2189.1368327321279</v>
      </c>
      <c r="T532">
        <f t="shared" si="993"/>
        <v>2.1891368327321281</v>
      </c>
    </row>
    <row r="533" spans="1:20" x14ac:dyDescent="0.25">
      <c r="A533" s="5">
        <v>44061</v>
      </c>
      <c r="B533">
        <v>0.58709999999999996</v>
      </c>
      <c r="C533">
        <v>0.60709999999999997</v>
      </c>
      <c r="D533">
        <v>0.51</v>
      </c>
      <c r="E533">
        <v>0.55669999999999997</v>
      </c>
      <c r="F533">
        <v>51567546.340000004</v>
      </c>
      <c r="G533">
        <v>-5.18</v>
      </c>
      <c r="L533" t="s">
        <v>7</v>
      </c>
      <c r="M533" t="s">
        <v>7</v>
      </c>
      <c r="N533" t="s">
        <v>7</v>
      </c>
      <c r="P533">
        <f t="shared" si="989"/>
        <v>-3.8105046343975671E-2</v>
      </c>
      <c r="Q533">
        <f t="shared" si="990"/>
        <v>-1964983.7431308131</v>
      </c>
      <c r="R533">
        <f t="shared" si="991"/>
        <v>177900849.06968057</v>
      </c>
      <c r="S533">
        <f t="shared" si="992"/>
        <v>1779.0084906968057</v>
      </c>
      <c r="T533">
        <f t="shared" si="993"/>
        <v>1.7790084906968056</v>
      </c>
    </row>
    <row r="534" spans="1:20" x14ac:dyDescent="0.25">
      <c r="A534" s="5">
        <v>44060</v>
      </c>
      <c r="B534">
        <v>0.62909999999999999</v>
      </c>
      <c r="C534">
        <v>0.69299999999999995</v>
      </c>
      <c r="D534">
        <v>0.58120000000000005</v>
      </c>
      <c r="E534">
        <v>0.58720000000000006</v>
      </c>
      <c r="F534">
        <v>54686163.219999999</v>
      </c>
      <c r="G534">
        <v>-6.66</v>
      </c>
      <c r="L534" t="s">
        <v>8</v>
      </c>
      <c r="M534" t="s">
        <v>7</v>
      </c>
      <c r="N534" t="s">
        <v>8</v>
      </c>
      <c r="P534">
        <f t="shared" si="989"/>
        <v>-0.89266547406082275</v>
      </c>
      <c r="Q534">
        <f t="shared" si="990"/>
        <v>-48816449.815348826</v>
      </c>
      <c r="R534">
        <f t="shared" si="991"/>
        <v>179865832.81281137</v>
      </c>
      <c r="S534">
        <f t="shared" si="992"/>
        <v>1798.6583281281137</v>
      </c>
      <c r="T534">
        <f t="shared" si="993"/>
        <v>1.7986583281281137</v>
      </c>
    </row>
    <row r="535" spans="1:20" x14ac:dyDescent="0.25">
      <c r="A535" s="5">
        <v>44059</v>
      </c>
      <c r="B535">
        <v>0.63429999999999997</v>
      </c>
      <c r="C535">
        <v>0.66490000000000005</v>
      </c>
      <c r="D535">
        <v>0.61499999999999999</v>
      </c>
      <c r="E535">
        <v>0.62909999999999999</v>
      </c>
      <c r="F535">
        <v>45691687.289999999</v>
      </c>
      <c r="G535">
        <v>-0.82</v>
      </c>
      <c r="L535" t="s">
        <v>8</v>
      </c>
      <c r="M535" t="s">
        <v>7</v>
      </c>
      <c r="N535" t="s">
        <v>8</v>
      </c>
      <c r="P535">
        <f t="shared" si="989"/>
        <v>-0.43486973947895846</v>
      </c>
      <c r="Q535">
        <f t="shared" si="990"/>
        <v>-19869932.148156337</v>
      </c>
      <c r="R535">
        <f t="shared" si="991"/>
        <v>228682282.62816021</v>
      </c>
      <c r="S535">
        <f t="shared" si="992"/>
        <v>2286.8228262816019</v>
      </c>
      <c r="T535">
        <f t="shared" si="993"/>
        <v>2.2868228262816017</v>
      </c>
    </row>
    <row r="536" spans="1:20" x14ac:dyDescent="0.25">
      <c r="A536" s="5">
        <v>44058</v>
      </c>
      <c r="B536">
        <v>0.63800000000000001</v>
      </c>
      <c r="C536">
        <v>0.70889999999999997</v>
      </c>
      <c r="D536">
        <v>0.58540000000000003</v>
      </c>
      <c r="E536">
        <v>0.63419999999999999</v>
      </c>
      <c r="F536">
        <v>58732672.960000001</v>
      </c>
      <c r="G536">
        <v>-0.6</v>
      </c>
      <c r="L536" t="s">
        <v>7</v>
      </c>
      <c r="M536" t="s">
        <v>7</v>
      </c>
      <c r="N536" t="s">
        <v>8</v>
      </c>
      <c r="P536">
        <f t="shared" si="989"/>
        <v>-0.20971659919028376</v>
      </c>
      <c r="Q536">
        <f t="shared" si="990"/>
        <v>-12317216.434526337</v>
      </c>
      <c r="R536">
        <f t="shared" si="991"/>
        <v>248552214.77631655</v>
      </c>
      <c r="S536">
        <f t="shared" si="992"/>
        <v>2485.5221477631653</v>
      </c>
      <c r="T536">
        <f t="shared" si="993"/>
        <v>2.4855221477631653</v>
      </c>
    </row>
    <row r="537" spans="1:20" x14ac:dyDescent="0.25">
      <c r="A537" s="5">
        <v>44057</v>
      </c>
      <c r="B537">
        <v>0.66879999999999995</v>
      </c>
      <c r="C537">
        <v>0.76</v>
      </c>
      <c r="D537">
        <v>0.61909999999999998</v>
      </c>
      <c r="E537">
        <v>0.63880000000000003</v>
      </c>
      <c r="F537">
        <v>90649893.980000004</v>
      </c>
      <c r="G537">
        <v>-4.49</v>
      </c>
      <c r="L537" t="s">
        <v>8</v>
      </c>
      <c r="M537" t="s">
        <v>8</v>
      </c>
      <c r="N537" t="s">
        <v>8</v>
      </c>
      <c r="P537">
        <f t="shared" si="989"/>
        <v>-0.72036905606813273</v>
      </c>
      <c r="Q537">
        <f t="shared" si="990"/>
        <v>-65301378.559048913</v>
      </c>
      <c r="R537">
        <f t="shared" si="991"/>
        <v>260869431.21084288</v>
      </c>
      <c r="S537">
        <f t="shared" si="992"/>
        <v>2608.6943121084287</v>
      </c>
      <c r="T537">
        <f t="shared" si="993"/>
        <v>2.6086943121084287</v>
      </c>
    </row>
    <row r="538" spans="1:20" x14ac:dyDescent="0.25">
      <c r="A538" s="5">
        <v>44056</v>
      </c>
      <c r="B538">
        <v>0.52329999999999999</v>
      </c>
      <c r="C538">
        <v>0.69650000000000001</v>
      </c>
      <c r="D538">
        <v>0.49590000000000001</v>
      </c>
      <c r="E538">
        <v>0.66990000000000005</v>
      </c>
      <c r="F538">
        <v>122235762.07799999</v>
      </c>
      <c r="G538">
        <v>28.01</v>
      </c>
      <c r="L538" t="s">
        <v>8</v>
      </c>
      <c r="M538" t="s">
        <v>8</v>
      </c>
      <c r="N538" t="s">
        <v>8</v>
      </c>
      <c r="P538">
        <f t="shared" si="989"/>
        <v>0.73479561316051889</v>
      </c>
      <c r="Q538">
        <f t="shared" si="990"/>
        <v>89818301.746247306</v>
      </c>
      <c r="R538">
        <f t="shared" si="991"/>
        <v>326170809.7698918</v>
      </c>
      <c r="S538">
        <f t="shared" si="992"/>
        <v>3261.7080976989182</v>
      </c>
      <c r="T538">
        <f t="shared" si="993"/>
        <v>3.2617080976989183</v>
      </c>
    </row>
    <row r="539" spans="1:20" x14ac:dyDescent="0.25">
      <c r="A539" s="5">
        <v>44055</v>
      </c>
      <c r="B539">
        <v>0.43609999999999999</v>
      </c>
      <c r="C539">
        <v>0.54400000000000004</v>
      </c>
      <c r="D539">
        <v>0.40670000000000001</v>
      </c>
      <c r="E539">
        <v>0.52329999999999999</v>
      </c>
      <c r="F539">
        <v>59270409.741999999</v>
      </c>
      <c r="G539">
        <v>20</v>
      </c>
      <c r="L539" t="s">
        <v>8</v>
      </c>
      <c r="M539" t="s">
        <v>8</v>
      </c>
      <c r="N539" t="s">
        <v>8</v>
      </c>
      <c r="P539">
        <f t="shared" si="989"/>
        <v>0.69847050254916176</v>
      </c>
      <c r="Q539">
        <f t="shared" si="990"/>
        <v>41398632.87878947</v>
      </c>
      <c r="R539">
        <f t="shared" si="991"/>
        <v>236352508.02364451</v>
      </c>
      <c r="S539">
        <f t="shared" si="992"/>
        <v>2363.5250802364449</v>
      </c>
      <c r="T539">
        <f t="shared" si="993"/>
        <v>2.3635250802364447</v>
      </c>
    </row>
    <row r="540" spans="1:20" x14ac:dyDescent="0.25">
      <c r="A540" s="5">
        <v>44054</v>
      </c>
      <c r="B540">
        <v>0.46870000000000001</v>
      </c>
      <c r="C540">
        <v>0.48749999999999999</v>
      </c>
      <c r="D540">
        <v>0.39579999999999999</v>
      </c>
      <c r="E540">
        <v>0.43659999999999999</v>
      </c>
      <c r="F540">
        <v>52916965.049999997</v>
      </c>
      <c r="G540">
        <v>-6.85</v>
      </c>
      <c r="L540" t="s">
        <v>7</v>
      </c>
      <c r="M540" t="s">
        <v>7</v>
      </c>
      <c r="N540" t="s">
        <v>8</v>
      </c>
      <c r="P540">
        <f t="shared" si="989"/>
        <v>-0.11014176663031622</v>
      </c>
      <c r="Q540">
        <f t="shared" si="990"/>
        <v>-5828368.015321699</v>
      </c>
      <c r="R540">
        <f t="shared" si="991"/>
        <v>194953875.14485502</v>
      </c>
      <c r="S540">
        <f t="shared" si="992"/>
        <v>1949.5387514485503</v>
      </c>
      <c r="T540">
        <f t="shared" si="993"/>
        <v>1.9495387514485503</v>
      </c>
    </row>
    <row r="541" spans="1:20" x14ac:dyDescent="0.25">
      <c r="A541" s="5">
        <v>44053</v>
      </c>
      <c r="B541">
        <v>0.42449999999999999</v>
      </c>
      <c r="C541">
        <v>0.48609999999999998</v>
      </c>
      <c r="D541">
        <v>0.40300000000000002</v>
      </c>
      <c r="E541">
        <v>0.46860000000000002</v>
      </c>
      <c r="F541">
        <v>48267064.990000002</v>
      </c>
      <c r="G541">
        <v>10.39</v>
      </c>
      <c r="L541" t="s">
        <v>8</v>
      </c>
      <c r="M541" t="s">
        <v>8</v>
      </c>
      <c r="N541" t="s">
        <v>8</v>
      </c>
      <c r="P541">
        <f t="shared" si="989"/>
        <v>0.57882069795427271</v>
      </c>
      <c r="Q541">
        <f t="shared" si="990"/>
        <v>27937976.245716043</v>
      </c>
      <c r="R541">
        <f t="shared" si="991"/>
        <v>200782243.16017672</v>
      </c>
      <c r="S541">
        <f t="shared" si="992"/>
        <v>2007.8224316017672</v>
      </c>
      <c r="T541">
        <f t="shared" si="993"/>
        <v>2.0078224316017672</v>
      </c>
    </row>
    <row r="542" spans="1:20" x14ac:dyDescent="0.25">
      <c r="A542" s="5">
        <v>44052</v>
      </c>
      <c r="B542">
        <v>0.45240000000000002</v>
      </c>
      <c r="C542">
        <v>0.4713</v>
      </c>
      <c r="D542">
        <v>0.41099999999999998</v>
      </c>
      <c r="E542">
        <v>0.42449999999999999</v>
      </c>
      <c r="F542">
        <v>44555899.439999998</v>
      </c>
      <c r="G542">
        <v>-6.17</v>
      </c>
      <c r="L542" t="s">
        <v>8</v>
      </c>
      <c r="M542" t="s">
        <v>8</v>
      </c>
      <c r="N542" t="s">
        <v>8</v>
      </c>
      <c r="P542">
        <f t="shared" si="989"/>
        <v>-0.55223880597014896</v>
      </c>
      <c r="Q542">
        <f t="shared" si="990"/>
        <v>-24605496.705671627</v>
      </c>
      <c r="R542">
        <f t="shared" si="991"/>
        <v>172844266.91446069</v>
      </c>
      <c r="S542">
        <f t="shared" si="992"/>
        <v>1728.442669144607</v>
      </c>
      <c r="T542">
        <f t="shared" si="993"/>
        <v>1.7284426691446069</v>
      </c>
    </row>
    <row r="543" spans="1:20" x14ac:dyDescent="0.25">
      <c r="A543" s="5">
        <v>44051</v>
      </c>
      <c r="B543">
        <v>0.36919999999999997</v>
      </c>
      <c r="C543">
        <v>0.46</v>
      </c>
      <c r="D543">
        <v>0.36749999999999999</v>
      </c>
      <c r="E543">
        <v>0.45240000000000002</v>
      </c>
      <c r="F543">
        <v>50702799.170000002</v>
      </c>
      <c r="G543">
        <v>22.54</v>
      </c>
      <c r="L543" t="s">
        <v>8</v>
      </c>
      <c r="M543" t="s">
        <v>8</v>
      </c>
      <c r="N543" t="s">
        <v>8</v>
      </c>
      <c r="P543">
        <f t="shared" si="989"/>
        <v>0.8356756756756758</v>
      </c>
      <c r="Q543">
        <f t="shared" si="990"/>
        <v>42371095.955037847</v>
      </c>
      <c r="R543">
        <f t="shared" si="991"/>
        <v>197449763.62013233</v>
      </c>
      <c r="S543">
        <f t="shared" si="992"/>
        <v>1974.4976362013233</v>
      </c>
      <c r="T543">
        <f t="shared" si="993"/>
        <v>1.9744976362013233</v>
      </c>
    </row>
    <row r="544" spans="1:20" x14ac:dyDescent="0.25">
      <c r="A544" s="5">
        <v>44050</v>
      </c>
      <c r="B544">
        <v>0.36380000000000001</v>
      </c>
      <c r="C544">
        <v>0.37990000000000002</v>
      </c>
      <c r="D544">
        <v>0.33450000000000002</v>
      </c>
      <c r="E544">
        <v>0.36890000000000001</v>
      </c>
      <c r="F544">
        <v>28430646.460000001</v>
      </c>
      <c r="G544">
        <v>1.4</v>
      </c>
      <c r="L544" t="s">
        <v>8</v>
      </c>
      <c r="M544" t="s">
        <v>8</v>
      </c>
      <c r="N544" t="s">
        <v>8</v>
      </c>
      <c r="P544">
        <f t="shared" si="989"/>
        <v>0.51541850220264274</v>
      </c>
      <c r="Q544">
        <f t="shared" si="990"/>
        <v>14653681.215066068</v>
      </c>
      <c r="R544">
        <f t="shared" si="991"/>
        <v>155078667.66509449</v>
      </c>
      <c r="S544">
        <f t="shared" si="992"/>
        <v>1550.7866766509449</v>
      </c>
      <c r="T544">
        <f t="shared" si="993"/>
        <v>1.5507866766509448</v>
      </c>
    </row>
    <row r="545" spans="1:20" x14ac:dyDescent="0.25">
      <c r="A545" s="5">
        <v>44049</v>
      </c>
      <c r="B545">
        <v>0.33500000000000002</v>
      </c>
      <c r="C545">
        <v>0.37480000000000002</v>
      </c>
      <c r="D545">
        <v>0.33350000000000002</v>
      </c>
      <c r="E545">
        <v>0.36380000000000001</v>
      </c>
      <c r="F545">
        <v>33650170.200000003</v>
      </c>
      <c r="G545">
        <v>8.6</v>
      </c>
      <c r="L545" t="s">
        <v>8</v>
      </c>
      <c r="M545" t="s">
        <v>8</v>
      </c>
      <c r="N545" t="s">
        <v>8</v>
      </c>
      <c r="P545">
        <f t="shared" si="989"/>
        <v>0.46731234866828042</v>
      </c>
      <c r="Q545">
        <f t="shared" si="990"/>
        <v>15725140.06924938</v>
      </c>
      <c r="R545">
        <f t="shared" si="991"/>
        <v>140424986.45002842</v>
      </c>
      <c r="S545">
        <f t="shared" si="992"/>
        <v>1404.2498645002843</v>
      </c>
      <c r="T545">
        <f t="shared" si="993"/>
        <v>1.4042498645002843</v>
      </c>
    </row>
    <row r="546" spans="1:20" x14ac:dyDescent="0.25">
      <c r="A546" s="5">
        <v>44048</v>
      </c>
      <c r="B546">
        <v>0.32690000000000002</v>
      </c>
      <c r="C546">
        <v>0.34660000000000002</v>
      </c>
      <c r="D546">
        <v>0.3211</v>
      </c>
      <c r="E546">
        <v>0.33550000000000002</v>
      </c>
      <c r="F546">
        <v>22358605.739999998</v>
      </c>
      <c r="G546">
        <v>2.63</v>
      </c>
      <c r="L546" t="s">
        <v>8</v>
      </c>
      <c r="M546" t="s">
        <v>8</v>
      </c>
      <c r="N546" t="s">
        <v>7</v>
      </c>
      <c r="P546">
        <f t="shared" si="989"/>
        <v>0.12941176470588323</v>
      </c>
      <c r="Q546">
        <f t="shared" si="990"/>
        <v>2893466.6251764898</v>
      </c>
      <c r="R546">
        <f t="shared" si="991"/>
        <v>124699846.38077904</v>
      </c>
      <c r="S546">
        <f t="shared" si="992"/>
        <v>1246.9984638077904</v>
      </c>
      <c r="T546">
        <f t="shared" si="993"/>
        <v>1.2469984638077904</v>
      </c>
    </row>
    <row r="547" spans="1:20" x14ac:dyDescent="0.25">
      <c r="A547" s="5">
        <v>44047</v>
      </c>
      <c r="B547">
        <v>0.30969999999999998</v>
      </c>
      <c r="C547">
        <v>0.33160000000000001</v>
      </c>
      <c r="D547">
        <v>0.30940000000000001</v>
      </c>
      <c r="E547">
        <v>0.3266</v>
      </c>
      <c r="F547">
        <v>13145995.199999999</v>
      </c>
      <c r="G547">
        <v>5.46</v>
      </c>
      <c r="L547" t="s">
        <v>8</v>
      </c>
      <c r="M547" t="s">
        <v>8</v>
      </c>
      <c r="N547" t="s">
        <v>7</v>
      </c>
      <c r="P547">
        <f t="shared" si="989"/>
        <v>0.54954954954954915</v>
      </c>
      <c r="Q547">
        <f t="shared" si="990"/>
        <v>7224375.7405405352</v>
      </c>
      <c r="R547">
        <f t="shared" si="991"/>
        <v>121806379.75560255</v>
      </c>
      <c r="S547">
        <f t="shared" si="992"/>
        <v>1218.0637975560255</v>
      </c>
      <c r="T547">
        <f t="shared" si="993"/>
        <v>1.2180637975560256</v>
      </c>
    </row>
    <row r="548" spans="1:20" x14ac:dyDescent="0.25">
      <c r="A548" s="5">
        <v>44046</v>
      </c>
      <c r="B548">
        <v>0.30149999999999999</v>
      </c>
      <c r="C548">
        <v>0.32350000000000001</v>
      </c>
      <c r="D548">
        <v>0.29870000000000002</v>
      </c>
      <c r="E548">
        <v>0.30959999999999999</v>
      </c>
      <c r="F548">
        <v>13229468.460000001</v>
      </c>
      <c r="G548">
        <v>2.69</v>
      </c>
      <c r="L548" t="s">
        <v>8</v>
      </c>
      <c r="M548" t="s">
        <v>8</v>
      </c>
      <c r="N548" t="s">
        <v>7</v>
      </c>
      <c r="P548">
        <f t="shared" si="989"/>
        <v>-0.12096774193548628</v>
      </c>
      <c r="Q548">
        <f t="shared" si="990"/>
        <v>-1600338.926612935</v>
      </c>
      <c r="R548">
        <f t="shared" si="991"/>
        <v>114582004.01506202</v>
      </c>
      <c r="S548">
        <f t="shared" si="992"/>
        <v>1145.8200401506201</v>
      </c>
      <c r="T548">
        <f t="shared" si="993"/>
        <v>1.1458200401506202</v>
      </c>
    </row>
    <row r="549" spans="1:20" x14ac:dyDescent="0.25">
      <c r="A549" s="5">
        <v>44045</v>
      </c>
      <c r="B549">
        <v>0.32790000000000002</v>
      </c>
      <c r="C549">
        <v>0.3382</v>
      </c>
      <c r="D549">
        <v>0.2591</v>
      </c>
      <c r="E549">
        <v>0.30159999999999998</v>
      </c>
      <c r="F549">
        <v>24953570.050000001</v>
      </c>
      <c r="G549">
        <v>-8.02</v>
      </c>
      <c r="L549" t="s">
        <v>7</v>
      </c>
      <c r="M549" t="s">
        <v>7</v>
      </c>
      <c r="N549" t="s">
        <v>7</v>
      </c>
      <c r="P549">
        <f t="shared" si="989"/>
        <v>7.4589127686472315E-2</v>
      </c>
      <c r="Q549">
        <f t="shared" si="990"/>
        <v>1861265.0226927814</v>
      </c>
      <c r="R549">
        <f t="shared" si="991"/>
        <v>116182342.94167495</v>
      </c>
      <c r="S549">
        <f t="shared" si="992"/>
        <v>1161.8234294167494</v>
      </c>
      <c r="T549">
        <f t="shared" si="993"/>
        <v>1.1618234294167493</v>
      </c>
    </row>
    <row r="550" spans="1:20" x14ac:dyDescent="0.25">
      <c r="A550" s="5">
        <v>44044</v>
      </c>
      <c r="B550">
        <v>0.32740000000000002</v>
      </c>
      <c r="C550">
        <v>0.33600000000000002</v>
      </c>
      <c r="D550">
        <v>0.32200000000000001</v>
      </c>
      <c r="E550">
        <v>0.32790000000000002</v>
      </c>
      <c r="F550">
        <v>17131457.77</v>
      </c>
      <c r="G550">
        <v>0.15</v>
      </c>
      <c r="L550" t="s">
        <v>7</v>
      </c>
      <c r="M550" t="s">
        <v>8</v>
      </c>
      <c r="N550" t="s">
        <v>7</v>
      </c>
      <c r="P550">
        <f t="shared" si="989"/>
        <v>-0.15714285714285556</v>
      </c>
      <c r="Q550">
        <f t="shared" si="990"/>
        <v>-2692086.2209999729</v>
      </c>
      <c r="R550">
        <f t="shared" si="991"/>
        <v>114321077.91898216</v>
      </c>
      <c r="S550">
        <f t="shared" si="992"/>
        <v>1143.2107791898216</v>
      </c>
      <c r="T550">
        <f t="shared" si="993"/>
        <v>1.1432107791898216</v>
      </c>
    </row>
    <row r="551" spans="1:20" x14ac:dyDescent="0.25">
      <c r="A551" s="5">
        <v>44043</v>
      </c>
      <c r="B551">
        <v>0.33429999999999999</v>
      </c>
      <c r="C551">
        <v>0.34799999999999998</v>
      </c>
      <c r="D551">
        <v>0.31669999999999998</v>
      </c>
      <c r="E551">
        <v>0.3271</v>
      </c>
      <c r="F551">
        <v>18159118.07</v>
      </c>
      <c r="G551">
        <v>-2.15</v>
      </c>
      <c r="L551" t="s">
        <v>7</v>
      </c>
      <c r="M551" t="s">
        <v>8</v>
      </c>
      <c r="N551" t="s">
        <v>7</v>
      </c>
      <c r="P551">
        <f t="shared" si="989"/>
        <v>-0.33546325878594108</v>
      </c>
      <c r="Q551">
        <f t="shared" si="990"/>
        <v>-6091716.9244408691</v>
      </c>
      <c r="R551">
        <f t="shared" si="991"/>
        <v>117013164.13998213</v>
      </c>
      <c r="S551">
        <f t="shared" si="992"/>
        <v>1170.1316413998213</v>
      </c>
      <c r="T551">
        <f t="shared" si="993"/>
        <v>1.1701316413998213</v>
      </c>
    </row>
    <row r="552" spans="1:20" x14ac:dyDescent="0.25">
      <c r="A552" s="5">
        <v>44042</v>
      </c>
      <c r="B552">
        <v>0.30759999999999998</v>
      </c>
      <c r="C552">
        <v>0.34699999999999998</v>
      </c>
      <c r="D552">
        <v>0.30330000000000001</v>
      </c>
      <c r="E552">
        <v>0.3347</v>
      </c>
      <c r="F552">
        <v>44573219.049999997</v>
      </c>
      <c r="G552">
        <v>8.81</v>
      </c>
      <c r="L552" t="s">
        <v>8</v>
      </c>
      <c r="M552" t="s">
        <v>8</v>
      </c>
      <c r="N552" t="s">
        <v>7</v>
      </c>
      <c r="P552">
        <f t="shared" si="989"/>
        <v>0.43707093821510351</v>
      </c>
      <c r="Q552">
        <f t="shared" si="990"/>
        <v>19481658.669450823</v>
      </c>
      <c r="R552">
        <f t="shared" si="991"/>
        <v>123104881.06442301</v>
      </c>
      <c r="S552">
        <f t="shared" si="992"/>
        <v>1231.0488106442301</v>
      </c>
      <c r="T552">
        <f t="shared" si="993"/>
        <v>1.2310488106442301</v>
      </c>
    </row>
    <row r="553" spans="1:20" x14ac:dyDescent="0.25">
      <c r="A553" s="5">
        <v>44041</v>
      </c>
      <c r="B553">
        <v>0.31430000000000002</v>
      </c>
      <c r="C553">
        <v>0.32790000000000002</v>
      </c>
      <c r="D553">
        <v>0.30580000000000002</v>
      </c>
      <c r="E553">
        <v>0.308</v>
      </c>
      <c r="F553">
        <v>21455088.699999999</v>
      </c>
      <c r="G553">
        <v>-2</v>
      </c>
      <c r="L553" t="s">
        <v>8</v>
      </c>
      <c r="M553" t="s">
        <v>8</v>
      </c>
      <c r="N553" t="s">
        <v>7</v>
      </c>
      <c r="P553">
        <f t="shared" si="989"/>
        <v>-0.80090497737556754</v>
      </c>
      <c r="Q553">
        <f t="shared" si="990"/>
        <v>-17183487.329864293</v>
      </c>
      <c r="R553">
        <f t="shared" si="991"/>
        <v>103623222.39497219</v>
      </c>
      <c r="S553">
        <f t="shared" si="992"/>
        <v>1036.2322239497219</v>
      </c>
      <c r="T553">
        <f t="shared" si="993"/>
        <v>1.0362322239497219</v>
      </c>
    </row>
    <row r="554" spans="1:20" x14ac:dyDescent="0.25">
      <c r="A554" s="5">
        <v>44040</v>
      </c>
      <c r="B554">
        <v>0.28749999999999998</v>
      </c>
      <c r="C554">
        <v>0.31730000000000003</v>
      </c>
      <c r="D554">
        <v>0.2767</v>
      </c>
      <c r="E554">
        <v>0.31430000000000002</v>
      </c>
      <c r="F554">
        <v>26575322.77</v>
      </c>
      <c r="G554">
        <v>9.32</v>
      </c>
      <c r="L554" t="s">
        <v>8</v>
      </c>
      <c r="M554" t="s">
        <v>7</v>
      </c>
      <c r="N554" t="s">
        <v>7</v>
      </c>
      <c r="P554">
        <f t="shared" si="989"/>
        <v>0.85221674876847286</v>
      </c>
      <c r="Q554">
        <f t="shared" si="990"/>
        <v>22647935.168522164</v>
      </c>
      <c r="R554">
        <f t="shared" si="991"/>
        <v>120806709.72483648</v>
      </c>
      <c r="S554">
        <f t="shared" si="992"/>
        <v>1208.0670972483649</v>
      </c>
      <c r="T554">
        <f t="shared" si="993"/>
        <v>1.2080670972483649</v>
      </c>
    </row>
    <row r="555" spans="1:20" x14ac:dyDescent="0.25">
      <c r="A555" s="5">
        <v>44039</v>
      </c>
      <c r="B555">
        <v>0.3211</v>
      </c>
      <c r="C555">
        <v>0.32450000000000001</v>
      </c>
      <c r="D555">
        <v>0.26819999999999999</v>
      </c>
      <c r="E555">
        <v>0.2873</v>
      </c>
      <c r="F555">
        <v>41513389.909999996</v>
      </c>
      <c r="G555">
        <v>-10.53</v>
      </c>
      <c r="L555" t="s">
        <v>7</v>
      </c>
      <c r="M555" t="s">
        <v>7</v>
      </c>
      <c r="N555" t="s">
        <v>7</v>
      </c>
      <c r="P555">
        <f t="shared" si="989"/>
        <v>-0.32149200710479575</v>
      </c>
      <c r="Q555">
        <f t="shared" si="990"/>
        <v>-13346223.043889875</v>
      </c>
      <c r="R555">
        <f t="shared" si="991"/>
        <v>98158774.556314319</v>
      </c>
      <c r="S555">
        <f t="shared" si="992"/>
        <v>981.58774556314324</v>
      </c>
      <c r="T555">
        <f t="shared" si="993"/>
        <v>0.98158774556314321</v>
      </c>
    </row>
    <row r="556" spans="1:20" x14ac:dyDescent="0.25">
      <c r="A556" s="5">
        <v>44038</v>
      </c>
      <c r="B556">
        <v>0.31890000000000002</v>
      </c>
      <c r="C556">
        <v>0.33189999999999997</v>
      </c>
      <c r="D556">
        <v>0.30370000000000003</v>
      </c>
      <c r="E556">
        <v>0.3211</v>
      </c>
      <c r="F556">
        <v>23060491.75</v>
      </c>
      <c r="G556">
        <v>0.69</v>
      </c>
      <c r="L556" t="s">
        <v>7</v>
      </c>
      <c r="M556" t="s">
        <v>7</v>
      </c>
      <c r="N556" t="s">
        <v>8</v>
      </c>
      <c r="P556">
        <f t="shared" si="989"/>
        <v>0.23404255319148962</v>
      </c>
      <c r="Q556">
        <f t="shared" si="990"/>
        <v>5397136.3670212822</v>
      </c>
      <c r="R556">
        <f t="shared" si="991"/>
        <v>111504997.6002042</v>
      </c>
      <c r="S556">
        <f t="shared" si="992"/>
        <v>1115.0499760020421</v>
      </c>
      <c r="T556">
        <f t="shared" si="993"/>
        <v>1.115049976002042</v>
      </c>
    </row>
    <row r="557" spans="1:20" x14ac:dyDescent="0.25">
      <c r="A557" s="5">
        <v>44037</v>
      </c>
      <c r="B557">
        <v>0.31219999999999998</v>
      </c>
      <c r="C557">
        <v>0.33739999999999998</v>
      </c>
      <c r="D557">
        <v>0.31019999999999998</v>
      </c>
      <c r="E557">
        <v>0.31900000000000001</v>
      </c>
      <c r="F557">
        <v>22159338.91</v>
      </c>
      <c r="G557">
        <v>2.1800000000000002</v>
      </c>
      <c r="L557" t="s">
        <v>8</v>
      </c>
      <c r="M557" t="s">
        <v>7</v>
      </c>
      <c r="N557" t="s">
        <v>8</v>
      </c>
      <c r="P557">
        <f t="shared" si="989"/>
        <v>-0.35294117647058609</v>
      </c>
      <c r="Q557">
        <f t="shared" si="990"/>
        <v>-7820943.1447058348</v>
      </c>
      <c r="R557">
        <f t="shared" si="991"/>
        <v>106107861.23318292</v>
      </c>
      <c r="S557">
        <f t="shared" si="992"/>
        <v>1061.0786123318292</v>
      </c>
      <c r="T557">
        <f t="shared" si="993"/>
        <v>1.0610786123318292</v>
      </c>
    </row>
    <row r="558" spans="1:20" x14ac:dyDescent="0.25">
      <c r="A558" s="5">
        <v>44036</v>
      </c>
      <c r="B558">
        <v>0.32900000000000001</v>
      </c>
      <c r="C558">
        <v>0.33069999999999999</v>
      </c>
      <c r="D558">
        <v>0.31</v>
      </c>
      <c r="E558">
        <v>0.31230000000000002</v>
      </c>
      <c r="F558">
        <v>20416761.079999998</v>
      </c>
      <c r="G558">
        <v>-5.08</v>
      </c>
      <c r="L558" t="s">
        <v>7</v>
      </c>
      <c r="M558" t="s">
        <v>7</v>
      </c>
      <c r="N558" t="s">
        <v>8</v>
      </c>
      <c r="P558">
        <f t="shared" si="989"/>
        <v>-0.77777777777777535</v>
      </c>
      <c r="Q558">
        <f t="shared" si="990"/>
        <v>-15879703.062222172</v>
      </c>
      <c r="R558">
        <f t="shared" si="991"/>
        <v>113928804.37788875</v>
      </c>
      <c r="S558">
        <f t="shared" si="992"/>
        <v>1139.2880437788876</v>
      </c>
      <c r="T558">
        <f t="shared" si="993"/>
        <v>1.1392880437788877</v>
      </c>
    </row>
    <row r="559" spans="1:20" x14ac:dyDescent="0.25">
      <c r="A559" s="5">
        <v>44035</v>
      </c>
      <c r="B559">
        <v>0.3458</v>
      </c>
      <c r="C559">
        <v>0.34949999999999998</v>
      </c>
      <c r="D559">
        <v>0.32329999999999998</v>
      </c>
      <c r="E559">
        <v>0.3291</v>
      </c>
      <c r="F559">
        <v>23578757.68</v>
      </c>
      <c r="G559">
        <v>-4.83</v>
      </c>
      <c r="L559" t="s">
        <v>7</v>
      </c>
      <c r="M559" t="s">
        <v>7</v>
      </c>
      <c r="N559" t="s">
        <v>8</v>
      </c>
      <c r="P559">
        <f t="shared" si="989"/>
        <v>-0.5572519083969445</v>
      </c>
      <c r="Q559">
        <f t="shared" si="990"/>
        <v>-13139307.714809112</v>
      </c>
      <c r="R559">
        <f t="shared" si="991"/>
        <v>129808507.44011092</v>
      </c>
      <c r="S559">
        <f t="shared" si="992"/>
        <v>1298.0850744011093</v>
      </c>
      <c r="T559">
        <f t="shared" si="993"/>
        <v>1.2980850744011092</v>
      </c>
    </row>
    <row r="560" spans="1:20" x14ac:dyDescent="0.25">
      <c r="A560" s="5">
        <v>44034</v>
      </c>
      <c r="B560">
        <v>0.34610000000000002</v>
      </c>
      <c r="C560">
        <v>0.35959999999999998</v>
      </c>
      <c r="D560">
        <v>0.34260000000000002</v>
      </c>
      <c r="E560">
        <v>0.34560000000000002</v>
      </c>
      <c r="F560">
        <v>19968117.739999998</v>
      </c>
      <c r="G560">
        <v>-0.14000000000000001</v>
      </c>
      <c r="L560" t="s">
        <v>8</v>
      </c>
      <c r="M560" t="s">
        <v>7</v>
      </c>
      <c r="N560" t="s">
        <v>8</v>
      </c>
      <c r="P560">
        <f t="shared" si="989"/>
        <v>-0.64705882352941058</v>
      </c>
      <c r="Q560">
        <f t="shared" si="990"/>
        <v>-12920546.772941152</v>
      </c>
      <c r="R560">
        <f t="shared" si="991"/>
        <v>142947815.15492004</v>
      </c>
      <c r="S560">
        <f t="shared" si="992"/>
        <v>1429.4781515492004</v>
      </c>
      <c r="T560">
        <f t="shared" si="993"/>
        <v>1.4294781515492005</v>
      </c>
    </row>
    <row r="561" spans="1:104" x14ac:dyDescent="0.25">
      <c r="A561" s="5">
        <v>44033</v>
      </c>
      <c r="B561">
        <v>0.35659999999999997</v>
      </c>
      <c r="C561">
        <v>0.37059999999999998</v>
      </c>
      <c r="D561">
        <v>0.3352</v>
      </c>
      <c r="E561">
        <v>0.3463</v>
      </c>
      <c r="F561">
        <v>34488069.07</v>
      </c>
      <c r="G561">
        <v>-2.89</v>
      </c>
      <c r="L561" t="s">
        <v>7</v>
      </c>
      <c r="M561" t="s">
        <v>7</v>
      </c>
      <c r="N561" t="s">
        <v>8</v>
      </c>
      <c r="P561">
        <f t="shared" si="989"/>
        <v>-0.37288135593220323</v>
      </c>
      <c r="Q561">
        <f t="shared" si="990"/>
        <v>-12859957.958305079</v>
      </c>
      <c r="R561">
        <f t="shared" si="991"/>
        <v>155868361.92786118</v>
      </c>
      <c r="S561">
        <f t="shared" si="992"/>
        <v>1558.6836192786118</v>
      </c>
      <c r="T561">
        <f t="shared" si="993"/>
        <v>1.5586836192786118</v>
      </c>
    </row>
    <row r="562" spans="1:104" x14ac:dyDescent="0.25">
      <c r="A562" s="5">
        <v>44032</v>
      </c>
      <c r="B562">
        <v>0.38869999999999999</v>
      </c>
      <c r="C562">
        <v>0.3957</v>
      </c>
      <c r="D562">
        <v>0.34250000000000003</v>
      </c>
      <c r="E562">
        <v>0.35670000000000002</v>
      </c>
      <c r="F562">
        <v>43805592.810000002</v>
      </c>
      <c r="G562">
        <v>-8.23</v>
      </c>
      <c r="L562" t="s">
        <v>7</v>
      </c>
      <c r="M562" t="s">
        <v>8</v>
      </c>
      <c r="N562" t="s">
        <v>8</v>
      </c>
      <c r="P562">
        <f t="shared" si="989"/>
        <v>-0.46616541353383462</v>
      </c>
      <c r="Q562">
        <f t="shared" si="990"/>
        <v>-20420652.287368424</v>
      </c>
      <c r="R562">
        <f t="shared" si="991"/>
        <v>168728319.88616627</v>
      </c>
      <c r="S562">
        <f t="shared" si="992"/>
        <v>1687.2831988616626</v>
      </c>
      <c r="T562">
        <f t="shared" si="993"/>
        <v>1.6872831988616626</v>
      </c>
      <c r="CZ562" t="s">
        <v>7</v>
      </c>
    </row>
    <row r="563" spans="1:104" x14ac:dyDescent="0.25">
      <c r="A563" s="5">
        <v>44031</v>
      </c>
      <c r="B563">
        <v>0.35580000000000001</v>
      </c>
      <c r="C563">
        <v>0.39900000000000002</v>
      </c>
      <c r="D563">
        <v>0.33679999999999999</v>
      </c>
      <c r="E563">
        <v>0.38829999999999998</v>
      </c>
      <c r="F563">
        <v>28206480.41</v>
      </c>
      <c r="G563">
        <v>9.1300000000000008</v>
      </c>
      <c r="L563" t="s">
        <v>8</v>
      </c>
      <c r="M563" t="s">
        <v>8</v>
      </c>
      <c r="N563" t="s">
        <v>8</v>
      </c>
      <c r="P563">
        <f t="shared" si="989"/>
        <v>0.65594855305466115</v>
      </c>
      <c r="Q563">
        <f t="shared" si="990"/>
        <v>18502000.011704147</v>
      </c>
      <c r="R563">
        <f t="shared" si="991"/>
        <v>189148972.17353469</v>
      </c>
      <c r="S563">
        <f t="shared" si="992"/>
        <v>1891.4897217353468</v>
      </c>
      <c r="T563">
        <f t="shared" si="993"/>
        <v>1.8914897217353468</v>
      </c>
      <c r="CZ563" t="s">
        <v>7</v>
      </c>
    </row>
    <row r="564" spans="1:104" x14ac:dyDescent="0.25">
      <c r="A564" s="5">
        <v>44030</v>
      </c>
      <c r="B564">
        <v>0.34599999999999997</v>
      </c>
      <c r="C564">
        <v>0.36399999999999999</v>
      </c>
      <c r="D564">
        <v>0.33189999999999997</v>
      </c>
      <c r="E564">
        <v>0.35580000000000001</v>
      </c>
      <c r="F564">
        <v>26932812.129999999</v>
      </c>
      <c r="G564">
        <v>2.83</v>
      </c>
      <c r="L564" t="s">
        <v>7</v>
      </c>
      <c r="M564" t="s">
        <v>8</v>
      </c>
      <c r="N564" t="s">
        <v>8</v>
      </c>
      <c r="P564">
        <f t="shared" si="989"/>
        <v>0.48909657320872396</v>
      </c>
      <c r="Q564">
        <f t="shared" si="990"/>
        <v>13172746.119657353</v>
      </c>
      <c r="R564">
        <f t="shared" si="991"/>
        <v>170646972.16183054</v>
      </c>
      <c r="S564">
        <f t="shared" si="992"/>
        <v>1706.4697216183054</v>
      </c>
      <c r="T564">
        <f t="shared" si="993"/>
        <v>1.7064697216183053</v>
      </c>
      <c r="CZ564" t="s">
        <v>7</v>
      </c>
    </row>
    <row r="565" spans="1:104" x14ac:dyDescent="0.25">
      <c r="A565" s="5">
        <v>44029</v>
      </c>
      <c r="B565">
        <v>0.35460000000000003</v>
      </c>
      <c r="C565">
        <v>0.38679999999999998</v>
      </c>
      <c r="D565">
        <v>0.33260000000000001</v>
      </c>
      <c r="E565">
        <v>0.34599999999999997</v>
      </c>
      <c r="F565">
        <v>81929671.040000007</v>
      </c>
      <c r="G565">
        <v>-2.4300000000000002</v>
      </c>
      <c r="L565" t="s">
        <v>8</v>
      </c>
      <c r="M565" t="s">
        <v>8</v>
      </c>
      <c r="N565" t="s">
        <v>8</v>
      </c>
      <c r="P565">
        <f t="shared" si="989"/>
        <v>-0.50553505535055443</v>
      </c>
      <c r="Q565">
        <f t="shared" si="990"/>
        <v>-41418320.784059122</v>
      </c>
      <c r="R565">
        <f t="shared" si="991"/>
        <v>157474226.04217321</v>
      </c>
      <c r="S565">
        <f t="shared" si="992"/>
        <v>1574.742260421732</v>
      </c>
      <c r="T565">
        <f t="shared" si="993"/>
        <v>1.574742260421732</v>
      </c>
    </row>
    <row r="566" spans="1:104" x14ac:dyDescent="0.25">
      <c r="A566" s="5">
        <v>44028</v>
      </c>
      <c r="B566">
        <v>0.28810000000000002</v>
      </c>
      <c r="C566">
        <v>0.3604</v>
      </c>
      <c r="D566">
        <v>0.26400000000000001</v>
      </c>
      <c r="E566">
        <v>0.35460000000000003</v>
      </c>
      <c r="F566">
        <v>120683876.83</v>
      </c>
      <c r="G566">
        <v>23.08</v>
      </c>
      <c r="L566" t="s">
        <v>8</v>
      </c>
      <c r="M566" t="s">
        <v>8</v>
      </c>
      <c r="N566" t="s">
        <v>8</v>
      </c>
      <c r="P566">
        <f t="shared" si="989"/>
        <v>0.87966804979253166</v>
      </c>
      <c r="Q566">
        <f t="shared" si="990"/>
        <v>106161750.57244819</v>
      </c>
      <c r="R566">
        <f t="shared" si="991"/>
        <v>198892546.82623234</v>
      </c>
      <c r="S566">
        <f t="shared" si="992"/>
        <v>1988.9254682623234</v>
      </c>
      <c r="T566">
        <f t="shared" si="993"/>
        <v>1.9889254682623234</v>
      </c>
    </row>
    <row r="567" spans="1:104" x14ac:dyDescent="0.25">
      <c r="A567" s="5">
        <v>44027</v>
      </c>
      <c r="B567">
        <v>0.27229999999999999</v>
      </c>
      <c r="C567">
        <v>0.29260000000000003</v>
      </c>
      <c r="D567">
        <v>0.26079999999999998</v>
      </c>
      <c r="E567">
        <v>0.28810000000000002</v>
      </c>
      <c r="F567">
        <v>26276394.190000001</v>
      </c>
      <c r="G567">
        <v>5.8</v>
      </c>
      <c r="L567" t="s">
        <v>8</v>
      </c>
      <c r="M567" t="s">
        <v>8</v>
      </c>
      <c r="N567" t="s">
        <v>8</v>
      </c>
      <c r="P567">
        <f t="shared" si="989"/>
        <v>0.71698113207547187</v>
      </c>
      <c r="Q567">
        <f t="shared" si="990"/>
        <v>18839678.853207551</v>
      </c>
      <c r="R567">
        <f t="shared" si="991"/>
        <v>92730796.25378415</v>
      </c>
      <c r="S567">
        <f t="shared" si="992"/>
        <v>927.30796253784149</v>
      </c>
      <c r="T567">
        <f t="shared" si="993"/>
        <v>0.92730796253784153</v>
      </c>
    </row>
    <row r="568" spans="1:104" x14ac:dyDescent="0.25">
      <c r="A568" s="5">
        <v>44026</v>
      </c>
      <c r="B568">
        <v>0.2651</v>
      </c>
      <c r="C568">
        <v>0.27729999999999999</v>
      </c>
      <c r="D568">
        <v>0.25</v>
      </c>
      <c r="E568">
        <v>0.2722</v>
      </c>
      <c r="F568">
        <v>24066025.899999999</v>
      </c>
      <c r="G568">
        <v>2.68</v>
      </c>
      <c r="L568" t="s">
        <v>7</v>
      </c>
      <c r="M568" t="s">
        <v>8</v>
      </c>
      <c r="N568" t="s">
        <v>8</v>
      </c>
      <c r="P568">
        <f t="shared" si="989"/>
        <v>0.6263736263736267</v>
      </c>
      <c r="Q568">
        <f t="shared" si="990"/>
        <v>15074323.915384622</v>
      </c>
      <c r="R568">
        <f t="shared" si="991"/>
        <v>73891117.400576591</v>
      </c>
      <c r="S568">
        <f t="shared" si="992"/>
        <v>738.91117400576593</v>
      </c>
      <c r="T568">
        <f t="shared" si="993"/>
        <v>0.73891117400576589</v>
      </c>
    </row>
    <row r="569" spans="1:104" x14ac:dyDescent="0.25">
      <c r="A569" s="5">
        <v>44025</v>
      </c>
      <c r="B569">
        <v>0.27929999999999999</v>
      </c>
      <c r="C569">
        <v>0.29139999999999999</v>
      </c>
      <c r="D569">
        <v>0.2601</v>
      </c>
      <c r="E569">
        <v>0.26529999999999998</v>
      </c>
      <c r="F569">
        <v>28864399.859999999</v>
      </c>
      <c r="G569">
        <v>-5.01</v>
      </c>
      <c r="L569" t="s">
        <v>7</v>
      </c>
      <c r="M569" t="s">
        <v>8</v>
      </c>
      <c r="N569" t="s">
        <v>8</v>
      </c>
      <c r="P569">
        <f t="shared" si="989"/>
        <v>-0.66773162939297226</v>
      </c>
      <c r="Q569">
        <f t="shared" si="990"/>
        <v>-19273672.749968082</v>
      </c>
      <c r="R569">
        <f t="shared" si="991"/>
        <v>58816793.485191971</v>
      </c>
      <c r="S569">
        <f t="shared" si="992"/>
        <v>588.16793485191977</v>
      </c>
      <c r="T569">
        <f t="shared" si="993"/>
        <v>0.58816793485191976</v>
      </c>
    </row>
    <row r="570" spans="1:104" x14ac:dyDescent="0.25">
      <c r="A570" s="5">
        <v>44024</v>
      </c>
      <c r="B570">
        <v>0.27929999999999999</v>
      </c>
      <c r="C570">
        <v>0.28610000000000002</v>
      </c>
      <c r="D570">
        <v>0.26069999999999999</v>
      </c>
      <c r="E570">
        <v>0.27900000000000003</v>
      </c>
      <c r="F570">
        <v>19196502.93</v>
      </c>
      <c r="G570">
        <v>-0.11</v>
      </c>
      <c r="L570" t="s">
        <v>7</v>
      </c>
      <c r="M570" t="s">
        <v>8</v>
      </c>
      <c r="N570" t="s">
        <v>8</v>
      </c>
      <c r="P570">
        <f t="shared" si="989"/>
        <v>0.44094488188976488</v>
      </c>
      <c r="Q570">
        <f t="shared" si="990"/>
        <v>8464599.7171653751</v>
      </c>
      <c r="R570">
        <f t="shared" si="991"/>
        <v>78090466.235160053</v>
      </c>
      <c r="S570">
        <f t="shared" si="992"/>
        <v>780.90466235160056</v>
      </c>
      <c r="T570">
        <f t="shared" si="993"/>
        <v>0.78090466235160061</v>
      </c>
    </row>
    <row r="571" spans="1:104" x14ac:dyDescent="0.25">
      <c r="A571" s="5">
        <v>44023</v>
      </c>
      <c r="B571">
        <v>0.25019999999999998</v>
      </c>
      <c r="C571">
        <v>0.2949</v>
      </c>
      <c r="D571">
        <v>0.249</v>
      </c>
      <c r="E571">
        <v>0.27939999999999998</v>
      </c>
      <c r="F571">
        <v>56408395.619999997</v>
      </c>
      <c r="G571">
        <v>11.67</v>
      </c>
      <c r="L571" t="s">
        <v>8</v>
      </c>
      <c r="M571" t="s">
        <v>8</v>
      </c>
      <c r="N571" t="s">
        <v>8</v>
      </c>
      <c r="P571">
        <f t="shared" si="989"/>
        <v>0.32461873638344163</v>
      </c>
      <c r="Q571">
        <f t="shared" si="990"/>
        <v>18311222.107581664</v>
      </c>
      <c r="R571">
        <f t="shared" si="991"/>
        <v>69625866.517994672</v>
      </c>
      <c r="S571">
        <f t="shared" si="992"/>
        <v>696.25866517994677</v>
      </c>
      <c r="T571">
        <f t="shared" si="993"/>
        <v>0.69625866517994672</v>
      </c>
    </row>
    <row r="572" spans="1:104" x14ac:dyDescent="0.25">
      <c r="A572" s="5">
        <v>44022</v>
      </c>
      <c r="B572">
        <v>0.24129999999999999</v>
      </c>
      <c r="C572">
        <v>0.25280000000000002</v>
      </c>
      <c r="D572">
        <v>0.22819999999999999</v>
      </c>
      <c r="E572">
        <v>0.25009999999999999</v>
      </c>
      <c r="F572">
        <v>15618166.4</v>
      </c>
      <c r="G572">
        <v>3.65</v>
      </c>
      <c r="L572" t="s">
        <v>7</v>
      </c>
      <c r="M572" t="s">
        <v>8</v>
      </c>
      <c r="N572" t="s">
        <v>8</v>
      </c>
      <c r="P572">
        <f t="shared" si="989"/>
        <v>0.78048780487804625</v>
      </c>
      <c r="Q572">
        <f t="shared" si="990"/>
        <v>12189788.409756059</v>
      </c>
      <c r="R572">
        <f t="shared" si="991"/>
        <v>51314644.410413012</v>
      </c>
      <c r="S572">
        <f t="shared" si="992"/>
        <v>513.14644410413007</v>
      </c>
      <c r="T572">
        <f t="shared" si="993"/>
        <v>0.51314644410413002</v>
      </c>
    </row>
    <row r="573" spans="1:104" x14ac:dyDescent="0.25">
      <c r="A573" s="5">
        <v>44021</v>
      </c>
      <c r="B573">
        <v>0.247</v>
      </c>
      <c r="C573">
        <v>0.2545</v>
      </c>
      <c r="D573">
        <v>0.2336</v>
      </c>
      <c r="E573">
        <v>0.2417</v>
      </c>
      <c r="F573">
        <v>21255336.670000002</v>
      </c>
      <c r="G573">
        <v>-2.15</v>
      </c>
      <c r="L573" t="s">
        <v>7</v>
      </c>
      <c r="M573" t="s">
        <v>8</v>
      </c>
      <c r="N573" t="s">
        <v>8</v>
      </c>
      <c r="P573">
        <f t="shared" si="989"/>
        <v>-0.22488038277512007</v>
      </c>
      <c r="Q573">
        <f t="shared" si="990"/>
        <v>-4779908.2463636464</v>
      </c>
      <c r="R573">
        <f t="shared" si="991"/>
        <v>39124856.000656955</v>
      </c>
      <c r="S573">
        <f t="shared" si="992"/>
        <v>391.24856000656956</v>
      </c>
      <c r="T573">
        <f t="shared" si="993"/>
        <v>0.39124856000656955</v>
      </c>
    </row>
    <row r="574" spans="1:104" x14ac:dyDescent="0.25">
      <c r="A574" s="5">
        <v>44020</v>
      </c>
      <c r="B574">
        <v>0.23300000000000001</v>
      </c>
      <c r="C574">
        <v>0.25240000000000001</v>
      </c>
      <c r="D574">
        <v>0.2296</v>
      </c>
      <c r="E574">
        <v>0.24679999999999999</v>
      </c>
      <c r="F574">
        <v>18771062.719999999</v>
      </c>
      <c r="G574">
        <v>5.92</v>
      </c>
      <c r="L574" t="s">
        <v>8</v>
      </c>
      <c r="M574" t="s">
        <v>8</v>
      </c>
      <c r="N574" t="s">
        <v>8</v>
      </c>
      <c r="P574">
        <f t="shared" si="989"/>
        <v>0.50877192982455988</v>
      </c>
      <c r="Q574">
        <f t="shared" si="990"/>
        <v>9550189.8049122524</v>
      </c>
      <c r="R574">
        <f t="shared" si="991"/>
        <v>43904764.247020602</v>
      </c>
      <c r="S574">
        <f t="shared" si="992"/>
        <v>439.04764247020603</v>
      </c>
      <c r="T574">
        <f t="shared" si="993"/>
        <v>0.439047642470206</v>
      </c>
    </row>
    <row r="575" spans="1:104" x14ac:dyDescent="0.25">
      <c r="A575" s="5">
        <v>44019</v>
      </c>
      <c r="B575">
        <v>0.22900000000000001</v>
      </c>
      <c r="C575">
        <v>0.23630000000000001</v>
      </c>
      <c r="D575">
        <v>0.2235</v>
      </c>
      <c r="E575">
        <v>0.2329</v>
      </c>
      <c r="F575">
        <v>13297871.550000001</v>
      </c>
      <c r="G575">
        <v>1.7</v>
      </c>
      <c r="L575" t="s">
        <v>8</v>
      </c>
      <c r="M575" t="s">
        <v>8</v>
      </c>
      <c r="N575" t="s">
        <v>8</v>
      </c>
      <c r="P575">
        <f t="shared" si="989"/>
        <v>0.46874999999999806</v>
      </c>
      <c r="Q575">
        <f t="shared" si="990"/>
        <v>6233377.2890624749</v>
      </c>
      <c r="R575">
        <f t="shared" si="991"/>
        <v>34354574.442108348</v>
      </c>
      <c r="S575">
        <f t="shared" si="992"/>
        <v>343.5457444210835</v>
      </c>
      <c r="T575">
        <f t="shared" si="993"/>
        <v>0.34354574442108349</v>
      </c>
    </row>
    <row r="576" spans="1:104" x14ac:dyDescent="0.25">
      <c r="A576" s="5">
        <v>44018</v>
      </c>
      <c r="B576">
        <v>0.21540000000000001</v>
      </c>
      <c r="C576">
        <v>0.23139999999999999</v>
      </c>
      <c r="D576">
        <v>0.21540000000000001</v>
      </c>
      <c r="E576">
        <v>0.22900000000000001</v>
      </c>
      <c r="F576">
        <v>13514157.43</v>
      </c>
      <c r="G576">
        <v>6.31</v>
      </c>
      <c r="L576" t="s">
        <v>8</v>
      </c>
      <c r="M576" t="s">
        <v>8</v>
      </c>
      <c r="N576" t="s">
        <v>8</v>
      </c>
      <c r="P576">
        <f t="shared" si="989"/>
        <v>0.70000000000000151</v>
      </c>
      <c r="Q576">
        <f t="shared" si="990"/>
        <v>9459910.2010000199</v>
      </c>
      <c r="R576">
        <f t="shared" si="991"/>
        <v>28121197.15304587</v>
      </c>
      <c r="S576">
        <f t="shared" si="992"/>
        <v>281.2119715304587</v>
      </c>
      <c r="T576">
        <f t="shared" si="993"/>
        <v>0.28121197153045868</v>
      </c>
    </row>
    <row r="577" spans="1:20" x14ac:dyDescent="0.25">
      <c r="A577" s="5">
        <v>44017</v>
      </c>
      <c r="B577">
        <v>0.2172</v>
      </c>
      <c r="C577">
        <v>0.21920000000000001</v>
      </c>
      <c r="D577">
        <v>0.2079</v>
      </c>
      <c r="E577">
        <v>0.21540000000000001</v>
      </c>
      <c r="F577">
        <v>8135332.5800000001</v>
      </c>
      <c r="G577">
        <v>-0.83</v>
      </c>
      <c r="L577" t="s">
        <v>8</v>
      </c>
      <c r="M577" t="s">
        <v>7</v>
      </c>
      <c r="N577" t="s">
        <v>8</v>
      </c>
      <c r="P577">
        <f t="shared" si="989"/>
        <v>0.32743362831858475</v>
      </c>
      <c r="Q577">
        <f t="shared" si="990"/>
        <v>2663781.464247793</v>
      </c>
      <c r="R577">
        <f t="shared" si="991"/>
        <v>18661286.95204585</v>
      </c>
      <c r="S577">
        <f t="shared" si="992"/>
        <v>186.6128695204585</v>
      </c>
      <c r="T577">
        <f t="shared" si="993"/>
        <v>0.1866128695204585</v>
      </c>
    </row>
    <row r="578" spans="1:20" x14ac:dyDescent="0.25">
      <c r="A578" s="5">
        <v>44016</v>
      </c>
      <c r="B578">
        <v>0.2034</v>
      </c>
      <c r="C578">
        <v>0.21779999999999999</v>
      </c>
      <c r="D578">
        <v>0.2031</v>
      </c>
      <c r="E578">
        <v>0.2177</v>
      </c>
      <c r="F578">
        <v>6387656.29</v>
      </c>
      <c r="G578">
        <v>7.03</v>
      </c>
      <c r="L578" t="s">
        <v>8</v>
      </c>
      <c r="M578" t="s">
        <v>7</v>
      </c>
      <c r="N578" t="s">
        <v>8</v>
      </c>
      <c r="P578">
        <f t="shared" si="989"/>
        <v>0.98639455782313079</v>
      </c>
      <c r="Q578">
        <f t="shared" si="990"/>
        <v>6300749.4017006904</v>
      </c>
      <c r="R578">
        <f t="shared" si="991"/>
        <v>15997505.487798057</v>
      </c>
      <c r="S578">
        <f t="shared" si="992"/>
        <v>159.97505487798057</v>
      </c>
      <c r="T578">
        <f t="shared" si="993"/>
        <v>0.15997505487798055</v>
      </c>
    </row>
    <row r="579" spans="1:20" x14ac:dyDescent="0.25">
      <c r="A579" s="5">
        <v>44015</v>
      </c>
      <c r="B579">
        <v>0.2049</v>
      </c>
      <c r="C579">
        <v>0.2084</v>
      </c>
      <c r="D579">
        <v>0.20200000000000001</v>
      </c>
      <c r="E579">
        <v>0.2034</v>
      </c>
      <c r="F579">
        <v>6320267.1200000001</v>
      </c>
      <c r="G579">
        <v>-0.73</v>
      </c>
      <c r="L579" t="s">
        <v>7</v>
      </c>
      <c r="M579" t="s">
        <v>7</v>
      </c>
      <c r="N579" t="s">
        <v>8</v>
      </c>
      <c r="P579">
        <f t="shared" si="989"/>
        <v>-0.56250000000000411</v>
      </c>
      <c r="Q579">
        <f t="shared" si="990"/>
        <v>-3555150.255000026</v>
      </c>
      <c r="R579">
        <f t="shared" si="991"/>
        <v>9696756.0860973671</v>
      </c>
      <c r="S579">
        <f t="shared" si="992"/>
        <v>96.967560860973677</v>
      </c>
      <c r="T579">
        <f t="shared" si="993"/>
        <v>9.6967560860973676E-2</v>
      </c>
    </row>
    <row r="580" spans="1:20" x14ac:dyDescent="0.25">
      <c r="A580" s="5">
        <v>44014</v>
      </c>
      <c r="B580">
        <v>0.2142</v>
      </c>
      <c r="C580">
        <v>0.21809999999999999</v>
      </c>
      <c r="D580">
        <v>0.20069999999999999</v>
      </c>
      <c r="E580">
        <v>0.2046</v>
      </c>
      <c r="F580">
        <v>10897456.18</v>
      </c>
      <c r="G580">
        <v>-4.4800000000000004</v>
      </c>
      <c r="L580" t="s">
        <v>7</v>
      </c>
      <c r="M580" t="s">
        <v>7</v>
      </c>
      <c r="N580" t="s">
        <v>8</v>
      </c>
      <c r="P580">
        <f t="shared" si="989"/>
        <v>-0.55172413793103281</v>
      </c>
      <c r="Q580">
        <f t="shared" si="990"/>
        <v>-6012389.6165517056</v>
      </c>
      <c r="R580">
        <f t="shared" si="991"/>
        <v>13251906.341097392</v>
      </c>
      <c r="S580">
        <f t="shared" si="992"/>
        <v>132.51906341097393</v>
      </c>
      <c r="T580">
        <f t="shared" si="993"/>
        <v>0.13251906341097391</v>
      </c>
    </row>
    <row r="581" spans="1:20" x14ac:dyDescent="0.25">
      <c r="A581" s="5">
        <v>44013</v>
      </c>
      <c r="B581">
        <v>0.20830000000000001</v>
      </c>
      <c r="C581">
        <v>0.21970000000000001</v>
      </c>
      <c r="D581">
        <v>0.2077</v>
      </c>
      <c r="E581">
        <v>0.2142</v>
      </c>
      <c r="F581">
        <v>7560818.0999999996</v>
      </c>
      <c r="G581">
        <v>2.83</v>
      </c>
      <c r="L581" t="s">
        <v>8</v>
      </c>
      <c r="M581" t="s">
        <v>7</v>
      </c>
      <c r="N581" t="s">
        <v>8</v>
      </c>
      <c r="P581">
        <f t="shared" si="989"/>
        <v>8.3333333333333329E-2</v>
      </c>
      <c r="Q581">
        <f t="shared" si="990"/>
        <v>630068.17499999993</v>
      </c>
      <c r="R581">
        <f t="shared" si="991"/>
        <v>19264295.957649097</v>
      </c>
      <c r="S581">
        <f t="shared" si="992"/>
        <v>192.64295957649097</v>
      </c>
      <c r="T581">
        <f t="shared" si="993"/>
        <v>0.19264295957649097</v>
      </c>
    </row>
    <row r="582" spans="1:20" x14ac:dyDescent="0.25">
      <c r="A582" s="5">
        <v>44012</v>
      </c>
      <c r="B582">
        <v>0.21410000000000001</v>
      </c>
      <c r="C582">
        <v>0.21460000000000001</v>
      </c>
      <c r="D582">
        <v>0.20760000000000001</v>
      </c>
      <c r="E582">
        <v>0.2082</v>
      </c>
      <c r="F582">
        <v>3779620.52</v>
      </c>
      <c r="G582">
        <v>-2.76</v>
      </c>
      <c r="L582" t="s">
        <v>8</v>
      </c>
      <c r="M582" t="s">
        <v>7</v>
      </c>
      <c r="N582" t="s">
        <v>8</v>
      </c>
      <c r="P582">
        <f t="shared" si="989"/>
        <v>-0.82857142857143173</v>
      </c>
      <c r="Q582">
        <f t="shared" si="990"/>
        <v>-3131685.5737142977</v>
      </c>
      <c r="R582">
        <f t="shared" si="991"/>
        <v>18634227.782649096</v>
      </c>
      <c r="S582">
        <f t="shared" si="992"/>
        <v>186.34227782649097</v>
      </c>
      <c r="T582">
        <f t="shared" si="993"/>
        <v>0.18634227782649096</v>
      </c>
    </row>
    <row r="583" spans="1:20" x14ac:dyDescent="0.25">
      <c r="A583" s="5">
        <v>44011</v>
      </c>
      <c r="B583">
        <v>0.20799999999999999</v>
      </c>
      <c r="C583">
        <v>0.21529999999999999</v>
      </c>
      <c r="D583">
        <v>0.20649999999999999</v>
      </c>
      <c r="E583">
        <v>0.214</v>
      </c>
      <c r="F583">
        <v>6821192.9800000004</v>
      </c>
      <c r="G583">
        <v>2.88</v>
      </c>
      <c r="L583" t="s">
        <v>8</v>
      </c>
      <c r="M583" t="s">
        <v>7</v>
      </c>
      <c r="N583" t="s">
        <v>8</v>
      </c>
      <c r="P583">
        <f t="shared" ref="P583:P646" si="994">IF(C583=D583,0,((E583-D583)-(C583-E583))/(C583-D583))</f>
        <v>0.70454545454545559</v>
      </c>
      <c r="Q583">
        <f t="shared" ref="Q583:Q646" si="995">F583*P583</f>
        <v>4805840.5086363712</v>
      </c>
      <c r="R583">
        <f t="shared" ref="R583:R646" si="996">R584+Q583</f>
        <v>21765913.356363393</v>
      </c>
      <c r="S583">
        <f t="shared" ref="S583:S646" si="997">R583/100000</f>
        <v>217.65913356363393</v>
      </c>
      <c r="T583">
        <f t="shared" ref="T583:T646" si="998">S583/1000</f>
        <v>0.21765913356363392</v>
      </c>
    </row>
    <row r="584" spans="1:20" x14ac:dyDescent="0.25">
      <c r="A584" s="5">
        <v>44010</v>
      </c>
      <c r="B584">
        <v>0.2054</v>
      </c>
      <c r="C584">
        <v>0.21210000000000001</v>
      </c>
      <c r="D584">
        <v>0.19919999999999999</v>
      </c>
      <c r="E584">
        <v>0.20799999999999999</v>
      </c>
      <c r="F584">
        <v>7106049.6399999997</v>
      </c>
      <c r="G584">
        <v>1.27</v>
      </c>
      <c r="L584" t="s">
        <v>8</v>
      </c>
      <c r="M584" t="s">
        <v>7</v>
      </c>
      <c r="N584" t="s">
        <v>8</v>
      </c>
      <c r="P584">
        <f t="shared" si="994"/>
        <v>0.36434108527131581</v>
      </c>
      <c r="Q584">
        <f t="shared" si="995"/>
        <v>2589025.8378294427</v>
      </c>
      <c r="R584">
        <f t="shared" si="996"/>
        <v>16960072.847727023</v>
      </c>
      <c r="S584">
        <f t="shared" si="997"/>
        <v>169.60072847727022</v>
      </c>
      <c r="T584">
        <f t="shared" si="998"/>
        <v>0.16960072847727023</v>
      </c>
    </row>
    <row r="585" spans="1:20" x14ac:dyDescent="0.25">
      <c r="A585" s="5">
        <v>44009</v>
      </c>
      <c r="B585">
        <v>0.22289999999999999</v>
      </c>
      <c r="C585">
        <v>0.22289999999999999</v>
      </c>
      <c r="D585">
        <v>0.1958</v>
      </c>
      <c r="E585">
        <v>0.20519999999999999</v>
      </c>
      <c r="F585">
        <v>14419668.210000001</v>
      </c>
      <c r="G585">
        <v>-7.94</v>
      </c>
      <c r="L585" t="s">
        <v>7</v>
      </c>
      <c r="M585" t="s">
        <v>7</v>
      </c>
      <c r="N585" t="s">
        <v>8</v>
      </c>
      <c r="P585">
        <f t="shared" si="994"/>
        <v>-0.30627306273062754</v>
      </c>
      <c r="Q585">
        <f t="shared" si="995"/>
        <v>-4416355.9462361662</v>
      </c>
      <c r="R585">
        <f t="shared" si="996"/>
        <v>14371047.009897582</v>
      </c>
      <c r="S585">
        <f t="shared" si="997"/>
        <v>143.71047009897583</v>
      </c>
      <c r="T585">
        <f t="shared" si="998"/>
        <v>0.14371047009897583</v>
      </c>
    </row>
    <row r="586" spans="1:20" x14ac:dyDescent="0.25">
      <c r="A586" s="5">
        <v>44008</v>
      </c>
      <c r="B586">
        <v>0.2344</v>
      </c>
      <c r="C586">
        <v>0.23469999999999999</v>
      </c>
      <c r="D586">
        <v>0.22070000000000001</v>
      </c>
      <c r="E586">
        <v>0.22270000000000001</v>
      </c>
      <c r="F586">
        <v>10385337.16</v>
      </c>
      <c r="G586">
        <v>-4.99</v>
      </c>
      <c r="L586" t="s">
        <v>7</v>
      </c>
      <c r="M586" t="s">
        <v>8</v>
      </c>
      <c r="N586" t="s">
        <v>8</v>
      </c>
      <c r="P586">
        <f t="shared" si="994"/>
        <v>-0.71428571428571375</v>
      </c>
      <c r="Q586">
        <f t="shared" si="995"/>
        <v>-7418097.9714285657</v>
      </c>
      <c r="R586">
        <f t="shared" si="996"/>
        <v>18787402.956133749</v>
      </c>
      <c r="S586">
        <f t="shared" si="997"/>
        <v>187.87402956133749</v>
      </c>
      <c r="T586">
        <f t="shared" si="998"/>
        <v>0.1878740295613375</v>
      </c>
    </row>
    <row r="587" spans="1:20" x14ac:dyDescent="0.25">
      <c r="A587" s="5">
        <v>44007</v>
      </c>
      <c r="B587">
        <v>0.2384</v>
      </c>
      <c r="C587">
        <v>0.2402</v>
      </c>
      <c r="D587">
        <v>0.22500000000000001</v>
      </c>
      <c r="E587">
        <v>0.23430000000000001</v>
      </c>
      <c r="F587">
        <v>12342058.24</v>
      </c>
      <c r="G587">
        <v>-1.72</v>
      </c>
      <c r="L587" t="s">
        <v>7</v>
      </c>
      <c r="M587" t="s">
        <v>8</v>
      </c>
      <c r="N587" t="s">
        <v>8</v>
      </c>
      <c r="P587">
        <f t="shared" si="994"/>
        <v>0.22368421052631685</v>
      </c>
      <c r="Q587">
        <f t="shared" si="995"/>
        <v>2760723.5536842234</v>
      </c>
      <c r="R587">
        <f t="shared" si="996"/>
        <v>26205500.927562315</v>
      </c>
      <c r="S587">
        <f t="shared" si="997"/>
        <v>262.05500927562315</v>
      </c>
      <c r="T587">
        <f t="shared" si="998"/>
        <v>0.26205500927562314</v>
      </c>
    </row>
    <row r="588" spans="1:20" x14ac:dyDescent="0.25">
      <c r="A588" s="5">
        <v>44006</v>
      </c>
      <c r="B588">
        <v>0.25</v>
      </c>
      <c r="C588">
        <v>0.25700000000000001</v>
      </c>
      <c r="D588">
        <v>0.23119999999999999</v>
      </c>
      <c r="E588">
        <v>0.23910000000000001</v>
      </c>
      <c r="F588">
        <v>24011599.609999999</v>
      </c>
      <c r="G588">
        <v>-4.3600000000000003</v>
      </c>
      <c r="L588" t="s">
        <v>8</v>
      </c>
      <c r="M588" t="s">
        <v>8</v>
      </c>
      <c r="N588" t="s">
        <v>8</v>
      </c>
      <c r="P588">
        <f t="shared" si="994"/>
        <v>-0.38759689922480522</v>
      </c>
      <c r="Q588">
        <f t="shared" si="995"/>
        <v>-9306821.5542635415</v>
      </c>
      <c r="R588">
        <f t="shared" si="996"/>
        <v>23444777.373878092</v>
      </c>
      <c r="S588">
        <f t="shared" si="997"/>
        <v>234.44777373878091</v>
      </c>
      <c r="T588">
        <f t="shared" si="998"/>
        <v>0.23444777373878092</v>
      </c>
    </row>
    <row r="589" spans="1:20" x14ac:dyDescent="0.25">
      <c r="A589" s="5">
        <v>44005</v>
      </c>
      <c r="B589">
        <v>0.24149999999999999</v>
      </c>
      <c r="C589">
        <v>0.25130000000000002</v>
      </c>
      <c r="D589">
        <v>0.23569999999999999</v>
      </c>
      <c r="E589">
        <v>0.25</v>
      </c>
      <c r="F589">
        <v>11782124.1</v>
      </c>
      <c r="G589">
        <v>3.52</v>
      </c>
      <c r="L589" t="s">
        <v>8</v>
      </c>
      <c r="M589" t="s">
        <v>7</v>
      </c>
      <c r="N589" t="s">
        <v>8</v>
      </c>
      <c r="P589">
        <f t="shared" si="994"/>
        <v>0.83333333333333071</v>
      </c>
      <c r="Q589">
        <f t="shared" si="995"/>
        <v>9818436.7499999683</v>
      </c>
      <c r="R589">
        <f t="shared" si="996"/>
        <v>32751598.928141631</v>
      </c>
      <c r="S589">
        <f t="shared" si="997"/>
        <v>327.5159892814163</v>
      </c>
      <c r="T589">
        <f t="shared" si="998"/>
        <v>0.32751598928141629</v>
      </c>
    </row>
    <row r="590" spans="1:20" x14ac:dyDescent="0.25">
      <c r="A590" s="5">
        <v>44004</v>
      </c>
      <c r="B590">
        <v>0.23200000000000001</v>
      </c>
      <c r="C590">
        <v>0.24149999999999999</v>
      </c>
      <c r="D590">
        <v>0.23200000000000001</v>
      </c>
      <c r="E590">
        <v>0.24149999999999999</v>
      </c>
      <c r="F590">
        <v>8466924.7599999998</v>
      </c>
      <c r="G590">
        <v>4.09</v>
      </c>
      <c r="L590" t="s">
        <v>8</v>
      </c>
      <c r="M590" t="s">
        <v>7</v>
      </c>
      <c r="N590" t="s">
        <v>8</v>
      </c>
      <c r="P590">
        <f t="shared" si="994"/>
        <v>1</v>
      </c>
      <c r="Q590">
        <f t="shared" si="995"/>
        <v>8466924.7599999998</v>
      </c>
      <c r="R590">
        <f t="shared" si="996"/>
        <v>22933162.178141661</v>
      </c>
      <c r="S590">
        <f t="shared" si="997"/>
        <v>229.3316217814166</v>
      </c>
      <c r="T590">
        <f t="shared" si="998"/>
        <v>0.22933162178141661</v>
      </c>
    </row>
    <row r="591" spans="1:20" x14ac:dyDescent="0.25">
      <c r="A591" s="5">
        <v>44003</v>
      </c>
      <c r="B591">
        <v>0.23100000000000001</v>
      </c>
      <c r="C591">
        <v>0.2404</v>
      </c>
      <c r="D591">
        <v>0.23100000000000001</v>
      </c>
      <c r="E591">
        <v>0.2321</v>
      </c>
      <c r="F591">
        <v>7461323.8799999999</v>
      </c>
      <c r="G591">
        <v>0.48</v>
      </c>
      <c r="L591" t="s">
        <v>8</v>
      </c>
      <c r="M591" t="s">
        <v>7</v>
      </c>
      <c r="N591" t="s">
        <v>8</v>
      </c>
      <c r="P591">
        <f t="shared" si="994"/>
        <v>-0.76595744680851263</v>
      </c>
      <c r="Q591">
        <f t="shared" si="995"/>
        <v>-5715056.5889361855</v>
      </c>
      <c r="R591">
        <f t="shared" si="996"/>
        <v>14466237.418141661</v>
      </c>
      <c r="S591">
        <f t="shared" si="997"/>
        <v>144.66237418141662</v>
      </c>
      <c r="T591">
        <f t="shared" si="998"/>
        <v>0.14466237418141661</v>
      </c>
    </row>
    <row r="592" spans="1:20" x14ac:dyDescent="0.25">
      <c r="A592" s="5">
        <v>44002</v>
      </c>
      <c r="B592">
        <v>0.23180000000000001</v>
      </c>
      <c r="C592">
        <v>0.2349</v>
      </c>
      <c r="D592">
        <v>0.22620000000000001</v>
      </c>
      <c r="E592">
        <v>0.2306</v>
      </c>
      <c r="F592">
        <v>6554298.1699999999</v>
      </c>
      <c r="G592">
        <v>-0.52</v>
      </c>
      <c r="L592" t="s">
        <v>7</v>
      </c>
      <c r="M592" t="s">
        <v>7</v>
      </c>
      <c r="N592" t="s">
        <v>8</v>
      </c>
      <c r="P592">
        <f t="shared" si="994"/>
        <v>1.1494252873561971E-2</v>
      </c>
      <c r="Q592">
        <f t="shared" si="995"/>
        <v>75336.760574704473</v>
      </c>
      <c r="R592">
        <f t="shared" si="996"/>
        <v>20181294.007077847</v>
      </c>
      <c r="S592">
        <f t="shared" si="997"/>
        <v>201.81294007077847</v>
      </c>
      <c r="T592">
        <f t="shared" si="998"/>
        <v>0.20181294007077846</v>
      </c>
    </row>
    <row r="593" spans="1:20" x14ac:dyDescent="0.25">
      <c r="A593" s="5">
        <v>44001</v>
      </c>
      <c r="B593">
        <v>0.24030000000000001</v>
      </c>
      <c r="C593">
        <v>0.24030000000000001</v>
      </c>
      <c r="D593">
        <v>0.2311</v>
      </c>
      <c r="E593">
        <v>0.23169999999999999</v>
      </c>
      <c r="F593">
        <v>8412977.8399999999</v>
      </c>
      <c r="G593">
        <v>-3.58</v>
      </c>
      <c r="L593" t="s">
        <v>7</v>
      </c>
      <c r="M593" t="s">
        <v>7</v>
      </c>
      <c r="N593" t="s">
        <v>8</v>
      </c>
      <c r="P593">
        <f t="shared" si="994"/>
        <v>-0.86956521739130688</v>
      </c>
      <c r="Q593">
        <f t="shared" si="995"/>
        <v>-7315632.9043478472</v>
      </c>
      <c r="R593">
        <f t="shared" si="996"/>
        <v>20105957.246503141</v>
      </c>
      <c r="S593">
        <f t="shared" si="997"/>
        <v>201.05957246503141</v>
      </c>
      <c r="T593">
        <f t="shared" si="998"/>
        <v>0.20105957246503142</v>
      </c>
    </row>
    <row r="594" spans="1:20" x14ac:dyDescent="0.25">
      <c r="A594" s="5">
        <v>44000</v>
      </c>
      <c r="B594">
        <v>0.24460000000000001</v>
      </c>
      <c r="C594">
        <v>0.2515</v>
      </c>
      <c r="D594">
        <v>0.23810000000000001</v>
      </c>
      <c r="E594">
        <v>0.24030000000000001</v>
      </c>
      <c r="F594">
        <v>14665208.33</v>
      </c>
      <c r="G594">
        <v>-1.76</v>
      </c>
      <c r="L594" t="s">
        <v>8</v>
      </c>
      <c r="M594" t="s">
        <v>7</v>
      </c>
      <c r="N594" t="s">
        <v>8</v>
      </c>
      <c r="P594">
        <f t="shared" si="994"/>
        <v>-0.67164179104477484</v>
      </c>
      <c r="Q594">
        <f t="shared" si="995"/>
        <v>-9849766.7888059523</v>
      </c>
      <c r="R594">
        <f t="shared" si="996"/>
        <v>27421590.150850989</v>
      </c>
      <c r="S594">
        <f t="shared" si="997"/>
        <v>274.21590150850989</v>
      </c>
      <c r="T594">
        <f t="shared" si="998"/>
        <v>0.27421590150850988</v>
      </c>
    </row>
    <row r="595" spans="1:20" x14ac:dyDescent="0.25">
      <c r="A595" s="5">
        <v>43999</v>
      </c>
      <c r="B595">
        <v>0.23580000000000001</v>
      </c>
      <c r="C595">
        <v>0.247</v>
      </c>
      <c r="D595">
        <v>0.23050000000000001</v>
      </c>
      <c r="E595">
        <v>0.24460000000000001</v>
      </c>
      <c r="F595">
        <v>16173724.939999999</v>
      </c>
      <c r="G595">
        <v>3.73</v>
      </c>
      <c r="L595" t="s">
        <v>8</v>
      </c>
      <c r="M595" t="s">
        <v>7</v>
      </c>
      <c r="N595" t="s">
        <v>8</v>
      </c>
      <c r="P595">
        <f t="shared" si="994"/>
        <v>0.70909090909091066</v>
      </c>
      <c r="Q595">
        <f t="shared" si="995"/>
        <v>11468641.321090935</v>
      </c>
      <c r="R595">
        <f t="shared" si="996"/>
        <v>37271356.939656943</v>
      </c>
      <c r="S595">
        <f t="shared" si="997"/>
        <v>372.71356939656943</v>
      </c>
      <c r="T595">
        <f t="shared" si="998"/>
        <v>0.37271356939656941</v>
      </c>
    </row>
    <row r="596" spans="1:20" x14ac:dyDescent="0.25">
      <c r="A596" s="5">
        <v>43998</v>
      </c>
      <c r="B596">
        <v>0.22720000000000001</v>
      </c>
      <c r="C596">
        <v>0.2409</v>
      </c>
      <c r="D596">
        <v>0.22550000000000001</v>
      </c>
      <c r="E596">
        <v>0.23569999999999999</v>
      </c>
      <c r="F596">
        <v>11870845.23</v>
      </c>
      <c r="G596">
        <v>3.74</v>
      </c>
      <c r="L596" t="s">
        <v>8</v>
      </c>
      <c r="M596" t="s">
        <v>7</v>
      </c>
      <c r="N596" t="s">
        <v>8</v>
      </c>
      <c r="P596">
        <f t="shared" si="994"/>
        <v>0.32467532467532323</v>
      </c>
      <c r="Q596">
        <f t="shared" si="995"/>
        <v>3854170.5292207622</v>
      </c>
      <c r="R596">
        <f t="shared" si="996"/>
        <v>25802715.61856601</v>
      </c>
      <c r="S596">
        <f t="shared" si="997"/>
        <v>258.02715618566009</v>
      </c>
      <c r="T596">
        <f t="shared" si="998"/>
        <v>0.25802715618566008</v>
      </c>
    </row>
    <row r="597" spans="1:20" x14ac:dyDescent="0.25">
      <c r="A597" s="5">
        <v>43997</v>
      </c>
      <c r="B597">
        <v>0.23280000000000001</v>
      </c>
      <c r="C597">
        <v>0.23280000000000001</v>
      </c>
      <c r="D597">
        <v>0.21010000000000001</v>
      </c>
      <c r="E597">
        <v>0.22670000000000001</v>
      </c>
      <c r="F597">
        <v>16013310.5</v>
      </c>
      <c r="G597">
        <v>-2.62</v>
      </c>
      <c r="L597" t="s">
        <v>7</v>
      </c>
      <c r="M597" t="s">
        <v>7</v>
      </c>
      <c r="N597" t="s">
        <v>8</v>
      </c>
      <c r="P597">
        <f t="shared" si="994"/>
        <v>0.46255506607929558</v>
      </c>
      <c r="Q597">
        <f t="shared" si="995"/>
        <v>7407037.896475778</v>
      </c>
      <c r="R597">
        <f t="shared" si="996"/>
        <v>21948545.089345247</v>
      </c>
      <c r="S597">
        <f t="shared" si="997"/>
        <v>219.48545089345245</v>
      </c>
      <c r="T597">
        <f t="shared" si="998"/>
        <v>0.21948545089345245</v>
      </c>
    </row>
    <row r="598" spans="1:20" x14ac:dyDescent="0.25">
      <c r="A598" s="5">
        <v>43996</v>
      </c>
      <c r="B598">
        <v>0.23480000000000001</v>
      </c>
      <c r="C598">
        <v>0.2465</v>
      </c>
      <c r="D598">
        <v>0.22939999999999999</v>
      </c>
      <c r="E598">
        <v>0.2329</v>
      </c>
      <c r="F598">
        <v>12353797.27</v>
      </c>
      <c r="G598">
        <v>-0.81</v>
      </c>
      <c r="L598" t="s">
        <v>8</v>
      </c>
      <c r="M598" t="s">
        <v>8</v>
      </c>
      <c r="N598" t="s">
        <v>8</v>
      </c>
      <c r="P598">
        <f t="shared" si="994"/>
        <v>-0.59064327485380086</v>
      </c>
      <c r="Q598">
        <f t="shared" si="995"/>
        <v>-7296687.2764327442</v>
      </c>
      <c r="R598">
        <f t="shared" si="996"/>
        <v>14541507.19286947</v>
      </c>
      <c r="S598">
        <f t="shared" si="997"/>
        <v>145.41507192869469</v>
      </c>
      <c r="T598">
        <f t="shared" si="998"/>
        <v>0.14541507192869468</v>
      </c>
    </row>
    <row r="599" spans="1:20" x14ac:dyDescent="0.25">
      <c r="A599" s="5">
        <v>43995</v>
      </c>
      <c r="B599">
        <v>0.23169999999999999</v>
      </c>
      <c r="C599">
        <v>0.23580000000000001</v>
      </c>
      <c r="D599">
        <v>0.2288</v>
      </c>
      <c r="E599">
        <v>0.23469999999999999</v>
      </c>
      <c r="F599">
        <v>3408568.54</v>
      </c>
      <c r="G599">
        <v>1.29</v>
      </c>
      <c r="L599" t="s">
        <v>7</v>
      </c>
      <c r="M599" t="s">
        <v>8</v>
      </c>
      <c r="N599" t="s">
        <v>8</v>
      </c>
      <c r="P599">
        <f t="shared" si="994"/>
        <v>0.68571428571428095</v>
      </c>
      <c r="Q599">
        <f t="shared" si="995"/>
        <v>2337304.1417142693</v>
      </c>
      <c r="R599">
        <f t="shared" si="996"/>
        <v>21838194.469302215</v>
      </c>
      <c r="S599">
        <f t="shared" si="997"/>
        <v>218.38194469302215</v>
      </c>
      <c r="T599">
        <f t="shared" si="998"/>
        <v>0.21838194469302216</v>
      </c>
    </row>
    <row r="600" spans="1:20" x14ac:dyDescent="0.25">
      <c r="A600" s="5">
        <v>43994</v>
      </c>
      <c r="B600">
        <v>0.23080000000000001</v>
      </c>
      <c r="C600">
        <v>0.23499999999999999</v>
      </c>
      <c r="D600">
        <v>0.22620000000000001</v>
      </c>
      <c r="E600">
        <v>0.23169999999999999</v>
      </c>
      <c r="F600">
        <v>7163352.4699999997</v>
      </c>
      <c r="G600">
        <v>0.39</v>
      </c>
      <c r="L600" t="s">
        <v>7</v>
      </c>
      <c r="M600" t="s">
        <v>8</v>
      </c>
      <c r="N600" t="s">
        <v>8</v>
      </c>
      <c r="P600">
        <f t="shared" si="994"/>
        <v>0.24999999999999842</v>
      </c>
      <c r="Q600">
        <f t="shared" si="995"/>
        <v>1790838.1174999885</v>
      </c>
      <c r="R600">
        <f t="shared" si="996"/>
        <v>19500890.327587947</v>
      </c>
      <c r="S600">
        <f t="shared" si="997"/>
        <v>195.00890327587948</v>
      </c>
      <c r="T600">
        <f t="shared" si="998"/>
        <v>0.19500890327587947</v>
      </c>
    </row>
    <row r="601" spans="1:20" x14ac:dyDescent="0.25">
      <c r="A601" s="5">
        <v>43993</v>
      </c>
      <c r="B601">
        <v>0.2472</v>
      </c>
      <c r="C601">
        <v>0.25069999999999998</v>
      </c>
      <c r="D601">
        <v>0.2261</v>
      </c>
      <c r="E601">
        <v>0.23050000000000001</v>
      </c>
      <c r="F601">
        <v>12719021.699999999</v>
      </c>
      <c r="G601">
        <v>-6.76</v>
      </c>
      <c r="L601" t="s">
        <v>8</v>
      </c>
      <c r="M601" t="s">
        <v>8</v>
      </c>
      <c r="N601" t="s">
        <v>8</v>
      </c>
      <c r="P601">
        <f t="shared" si="994"/>
        <v>-0.64227642276422614</v>
      </c>
      <c r="Q601">
        <f t="shared" si="995"/>
        <v>-8169127.758536566</v>
      </c>
      <c r="R601">
        <f t="shared" si="996"/>
        <v>17710052.210087959</v>
      </c>
      <c r="S601">
        <f t="shared" si="997"/>
        <v>177.1005221008796</v>
      </c>
      <c r="T601">
        <f t="shared" si="998"/>
        <v>0.17710052210087959</v>
      </c>
    </row>
    <row r="602" spans="1:20" x14ac:dyDescent="0.25">
      <c r="A602" s="5">
        <v>43992</v>
      </c>
      <c r="B602">
        <v>0.24210000000000001</v>
      </c>
      <c r="C602">
        <v>0.24879999999999999</v>
      </c>
      <c r="D602">
        <v>0.2402</v>
      </c>
      <c r="E602">
        <v>0.247</v>
      </c>
      <c r="F602">
        <v>7398278.3899999997</v>
      </c>
      <c r="G602">
        <v>2.02</v>
      </c>
      <c r="L602" t="s">
        <v>8</v>
      </c>
      <c r="M602" t="s">
        <v>8</v>
      </c>
      <c r="N602" t="s">
        <v>8</v>
      </c>
      <c r="P602">
        <f t="shared" si="994"/>
        <v>0.58139534883721</v>
      </c>
      <c r="Q602">
        <f t="shared" si="995"/>
        <v>4301324.6453488423</v>
      </c>
      <c r="R602">
        <f t="shared" si="996"/>
        <v>25879179.968624525</v>
      </c>
      <c r="S602">
        <f t="shared" si="997"/>
        <v>258.79179968624527</v>
      </c>
      <c r="T602">
        <f t="shared" si="998"/>
        <v>0.25879179968624527</v>
      </c>
    </row>
    <row r="603" spans="1:20" x14ac:dyDescent="0.25">
      <c r="A603" s="5">
        <v>43991</v>
      </c>
      <c r="B603">
        <v>0.23449999999999999</v>
      </c>
      <c r="C603">
        <v>0.24340000000000001</v>
      </c>
      <c r="D603">
        <v>0.23019999999999999</v>
      </c>
      <c r="E603">
        <v>0.24229999999999999</v>
      </c>
      <c r="F603">
        <v>6334799.4699999997</v>
      </c>
      <c r="G603">
        <v>3.33</v>
      </c>
      <c r="L603" t="s">
        <v>8</v>
      </c>
      <c r="M603" t="s">
        <v>8</v>
      </c>
      <c r="N603" t="s">
        <v>8</v>
      </c>
      <c r="P603">
        <f t="shared" si="994"/>
        <v>0.83333333333333093</v>
      </c>
      <c r="Q603">
        <f t="shared" si="995"/>
        <v>5278999.5583333177</v>
      </c>
      <c r="R603">
        <f t="shared" si="996"/>
        <v>21577855.323275682</v>
      </c>
      <c r="S603">
        <f t="shared" si="997"/>
        <v>215.77855323275682</v>
      </c>
      <c r="T603">
        <f t="shared" si="998"/>
        <v>0.21577855323275683</v>
      </c>
    </row>
    <row r="604" spans="1:20" x14ac:dyDescent="0.25">
      <c r="A604" s="5">
        <v>43990</v>
      </c>
      <c r="B604">
        <v>0.23200000000000001</v>
      </c>
      <c r="C604">
        <v>0.23599999999999999</v>
      </c>
      <c r="D604">
        <v>0.22919999999999999</v>
      </c>
      <c r="E604">
        <v>0.2339</v>
      </c>
      <c r="F604">
        <v>5463652.8899999997</v>
      </c>
      <c r="G604">
        <v>0.82</v>
      </c>
      <c r="L604" t="s">
        <v>7</v>
      </c>
      <c r="M604" t="s">
        <v>8</v>
      </c>
      <c r="N604" t="s">
        <v>8</v>
      </c>
      <c r="P604">
        <f t="shared" si="994"/>
        <v>0.38235294117647334</v>
      </c>
      <c r="Q604">
        <f t="shared" si="995"/>
        <v>2089043.7520588385</v>
      </c>
      <c r="R604">
        <f t="shared" si="996"/>
        <v>16298855.764942363</v>
      </c>
      <c r="S604">
        <f t="shared" si="997"/>
        <v>162.98855764942363</v>
      </c>
      <c r="T604">
        <f t="shared" si="998"/>
        <v>0.16298855764942363</v>
      </c>
    </row>
    <row r="605" spans="1:20" x14ac:dyDescent="0.25">
      <c r="A605" s="5">
        <v>43989</v>
      </c>
      <c r="B605">
        <v>0.23719999999999999</v>
      </c>
      <c r="C605">
        <v>0.23749999999999999</v>
      </c>
      <c r="D605">
        <v>0.22450000000000001</v>
      </c>
      <c r="E605">
        <v>0.23200000000000001</v>
      </c>
      <c r="F605">
        <v>4719561.37</v>
      </c>
      <c r="G605">
        <v>-2.19</v>
      </c>
      <c r="L605" t="s">
        <v>7</v>
      </c>
      <c r="M605" t="s">
        <v>8</v>
      </c>
      <c r="N605" t="s">
        <v>8</v>
      </c>
      <c r="P605">
        <f t="shared" si="994"/>
        <v>0.1538461538461563</v>
      </c>
      <c r="Q605">
        <f t="shared" si="995"/>
        <v>726086.36461539625</v>
      </c>
      <c r="R605">
        <f t="shared" si="996"/>
        <v>14209812.012883525</v>
      </c>
      <c r="S605">
        <f t="shared" si="997"/>
        <v>142.09812012883526</v>
      </c>
      <c r="T605">
        <f t="shared" si="998"/>
        <v>0.14209812012883527</v>
      </c>
    </row>
    <row r="606" spans="1:20" x14ac:dyDescent="0.25">
      <c r="A606" s="5">
        <v>43988</v>
      </c>
      <c r="B606">
        <v>0.2321</v>
      </c>
      <c r="C606">
        <v>0.23910000000000001</v>
      </c>
      <c r="D606">
        <v>0.22889999999999999</v>
      </c>
      <c r="E606">
        <v>0.23730000000000001</v>
      </c>
      <c r="F606">
        <v>5386184.4299999997</v>
      </c>
      <c r="G606">
        <v>2.2400000000000002</v>
      </c>
      <c r="L606" t="s">
        <v>7</v>
      </c>
      <c r="M606" t="s">
        <v>8</v>
      </c>
      <c r="N606" t="s">
        <v>8</v>
      </c>
      <c r="P606">
        <f t="shared" si="994"/>
        <v>0.64705882352941302</v>
      </c>
      <c r="Q606">
        <f t="shared" si="995"/>
        <v>3485178.1605882416</v>
      </c>
      <c r="R606">
        <f t="shared" si="996"/>
        <v>13483725.64826813</v>
      </c>
      <c r="S606">
        <f t="shared" si="997"/>
        <v>134.83725648268128</v>
      </c>
      <c r="T606">
        <f t="shared" si="998"/>
        <v>0.13483725648268127</v>
      </c>
    </row>
    <row r="607" spans="1:20" x14ac:dyDescent="0.25">
      <c r="A607" s="5">
        <v>43987</v>
      </c>
      <c r="B607">
        <v>0.24179999999999999</v>
      </c>
      <c r="C607">
        <v>0.2427</v>
      </c>
      <c r="D607">
        <v>0.23169999999999999</v>
      </c>
      <c r="E607">
        <v>0.2321</v>
      </c>
      <c r="F607">
        <v>6911155.4100000001</v>
      </c>
      <c r="G607">
        <v>-4.01</v>
      </c>
      <c r="L607" t="s">
        <v>7</v>
      </c>
      <c r="M607" t="s">
        <v>8</v>
      </c>
      <c r="N607" t="s">
        <v>8</v>
      </c>
      <c r="P607">
        <f t="shared" si="994"/>
        <v>-0.92727272727272525</v>
      </c>
      <c r="Q607">
        <f t="shared" si="995"/>
        <v>-6408525.9256363502</v>
      </c>
      <c r="R607">
        <f t="shared" si="996"/>
        <v>9998547.4876798876</v>
      </c>
      <c r="S607">
        <f t="shared" si="997"/>
        <v>99.985474876798875</v>
      </c>
      <c r="T607">
        <f t="shared" si="998"/>
        <v>9.9985474876798874E-2</v>
      </c>
    </row>
    <row r="608" spans="1:20" x14ac:dyDescent="0.25">
      <c r="A608" s="5">
        <v>43986</v>
      </c>
      <c r="B608">
        <v>0.24199999999999999</v>
      </c>
      <c r="C608">
        <v>0.24940000000000001</v>
      </c>
      <c r="D608">
        <v>0.23749999999999999</v>
      </c>
      <c r="E608">
        <v>0.24210000000000001</v>
      </c>
      <c r="F608">
        <v>9748947.75</v>
      </c>
      <c r="G608">
        <v>0.04</v>
      </c>
      <c r="L608" t="s">
        <v>7</v>
      </c>
      <c r="M608" t="s">
        <v>8</v>
      </c>
      <c r="N608" t="s">
        <v>8</v>
      </c>
      <c r="P608">
        <f t="shared" si="994"/>
        <v>-0.22689075630251893</v>
      </c>
      <c r="Q608">
        <f t="shared" si="995"/>
        <v>-2211946.1281512403</v>
      </c>
      <c r="R608">
        <f t="shared" si="996"/>
        <v>16407073.413316237</v>
      </c>
      <c r="S608">
        <f t="shared" si="997"/>
        <v>164.07073413316238</v>
      </c>
      <c r="T608">
        <f t="shared" si="998"/>
        <v>0.16407073413316237</v>
      </c>
    </row>
    <row r="609" spans="1:20" x14ac:dyDescent="0.25">
      <c r="A609" s="5">
        <v>43985</v>
      </c>
      <c r="B609">
        <v>0.24579999999999999</v>
      </c>
      <c r="C609">
        <v>0.24679999999999999</v>
      </c>
      <c r="D609">
        <v>0.23710000000000001</v>
      </c>
      <c r="E609">
        <v>0.24210000000000001</v>
      </c>
      <c r="F609">
        <v>5962145.0499999998</v>
      </c>
      <c r="G609">
        <v>-1.51</v>
      </c>
      <c r="L609" t="s">
        <v>7</v>
      </c>
      <c r="M609" t="s">
        <v>8</v>
      </c>
      <c r="N609" t="s">
        <v>8</v>
      </c>
      <c r="P609">
        <f t="shared" si="994"/>
        <v>3.0927835051548752E-2</v>
      </c>
      <c r="Q609">
        <f t="shared" si="995"/>
        <v>184396.23865980789</v>
      </c>
      <c r="R609">
        <f t="shared" si="996"/>
        <v>18619019.541467477</v>
      </c>
      <c r="S609">
        <f t="shared" si="997"/>
        <v>186.19019541467478</v>
      </c>
      <c r="T609">
        <f t="shared" si="998"/>
        <v>0.18619019541467477</v>
      </c>
    </row>
    <row r="610" spans="1:20" x14ac:dyDescent="0.25">
      <c r="A610" s="5">
        <v>43984</v>
      </c>
      <c r="B610">
        <v>0.24990000000000001</v>
      </c>
      <c r="C610">
        <v>0.25890000000000002</v>
      </c>
      <c r="D610">
        <v>0.23430000000000001</v>
      </c>
      <c r="E610">
        <v>0.24579999999999999</v>
      </c>
      <c r="F610">
        <v>11342971.800000001</v>
      </c>
      <c r="G610">
        <v>-1.64</v>
      </c>
      <c r="L610" t="s">
        <v>7</v>
      </c>
      <c r="M610" t="s">
        <v>8</v>
      </c>
      <c r="N610" t="s">
        <v>8</v>
      </c>
      <c r="P610">
        <f t="shared" si="994"/>
        <v>-6.5040650406505904E-2</v>
      </c>
      <c r="Q610">
        <f t="shared" si="995"/>
        <v>-737754.263414655</v>
      </c>
      <c r="R610">
        <f t="shared" si="996"/>
        <v>18434623.30280767</v>
      </c>
      <c r="S610">
        <f t="shared" si="997"/>
        <v>184.34623302807671</v>
      </c>
      <c r="T610">
        <f t="shared" si="998"/>
        <v>0.18434623302807671</v>
      </c>
    </row>
    <row r="611" spans="1:20" x14ac:dyDescent="0.25">
      <c r="A611" s="5">
        <v>43983</v>
      </c>
      <c r="B611">
        <v>0.23380000000000001</v>
      </c>
      <c r="C611">
        <v>0.26200000000000001</v>
      </c>
      <c r="D611">
        <v>0.2319</v>
      </c>
      <c r="E611">
        <v>0.24990000000000001</v>
      </c>
      <c r="F611">
        <v>23684090.879999999</v>
      </c>
      <c r="G611">
        <v>6.89</v>
      </c>
      <c r="L611" t="s">
        <v>8</v>
      </c>
      <c r="M611" t="s">
        <v>8</v>
      </c>
      <c r="N611" t="s">
        <v>8</v>
      </c>
      <c r="P611">
        <f t="shared" si="994"/>
        <v>0.1960132890365453</v>
      </c>
      <c r="Q611">
        <f t="shared" si="995"/>
        <v>4642396.551229246</v>
      </c>
      <c r="R611">
        <f t="shared" si="996"/>
        <v>19172377.566222325</v>
      </c>
      <c r="S611">
        <f t="shared" si="997"/>
        <v>191.72377566222326</v>
      </c>
      <c r="T611">
        <f t="shared" si="998"/>
        <v>0.19172377566222326</v>
      </c>
    </row>
    <row r="612" spans="1:20" x14ac:dyDescent="0.25">
      <c r="A612" s="5">
        <v>43982</v>
      </c>
      <c r="B612">
        <v>0.24329999999999999</v>
      </c>
      <c r="C612">
        <v>0.26</v>
      </c>
      <c r="D612">
        <v>0.2286</v>
      </c>
      <c r="E612">
        <v>0.23319999999999999</v>
      </c>
      <c r="F612">
        <v>26140488.309999999</v>
      </c>
      <c r="G612">
        <v>-4.1500000000000004</v>
      </c>
      <c r="L612" t="s">
        <v>8</v>
      </c>
      <c r="M612" t="s">
        <v>8</v>
      </c>
      <c r="N612" t="s">
        <v>8</v>
      </c>
      <c r="P612">
        <f t="shared" si="994"/>
        <v>-0.7070063694267521</v>
      </c>
      <c r="Q612">
        <f t="shared" si="995"/>
        <v>-18481491.735095553</v>
      </c>
      <c r="R612">
        <f t="shared" si="996"/>
        <v>14529981.014993079</v>
      </c>
      <c r="S612">
        <f t="shared" si="997"/>
        <v>145.29981014993078</v>
      </c>
      <c r="T612">
        <f t="shared" si="998"/>
        <v>0.14529981014993079</v>
      </c>
    </row>
    <row r="613" spans="1:20" x14ac:dyDescent="0.25">
      <c r="A613" s="5">
        <v>43981</v>
      </c>
      <c r="B613">
        <v>0.22839999999999999</v>
      </c>
      <c r="C613">
        <v>0.24399999999999999</v>
      </c>
      <c r="D613">
        <v>0.2248</v>
      </c>
      <c r="E613">
        <v>0.24379999999999999</v>
      </c>
      <c r="F613">
        <v>15952172.220000001</v>
      </c>
      <c r="G613">
        <v>6.74</v>
      </c>
      <c r="L613" t="s">
        <v>8</v>
      </c>
      <c r="M613" t="s">
        <v>8</v>
      </c>
      <c r="N613" t="s">
        <v>8</v>
      </c>
      <c r="P613">
        <f t="shared" si="994"/>
        <v>0.97916666666666607</v>
      </c>
      <c r="Q613">
        <f t="shared" si="995"/>
        <v>15619835.298749991</v>
      </c>
      <c r="R613">
        <f t="shared" si="996"/>
        <v>33011472.750088632</v>
      </c>
      <c r="S613">
        <f t="shared" si="997"/>
        <v>330.11472750088632</v>
      </c>
      <c r="T613">
        <f t="shared" si="998"/>
        <v>0.33011472750088633</v>
      </c>
    </row>
    <row r="614" spans="1:20" x14ac:dyDescent="0.25">
      <c r="A614" s="5">
        <v>43980</v>
      </c>
      <c r="B614">
        <v>0.22720000000000001</v>
      </c>
      <c r="C614">
        <v>0.2351</v>
      </c>
      <c r="D614">
        <v>0.2223</v>
      </c>
      <c r="E614">
        <v>0.2281</v>
      </c>
      <c r="F614">
        <v>11225746.76</v>
      </c>
      <c r="G614">
        <v>0.4</v>
      </c>
      <c r="L614" t="s">
        <v>8</v>
      </c>
      <c r="M614" t="s">
        <v>8</v>
      </c>
      <c r="N614" t="s">
        <v>8</v>
      </c>
      <c r="P614">
        <f t="shared" si="994"/>
        <v>-9.3750000000000472E-2</v>
      </c>
      <c r="Q614">
        <f t="shared" si="995"/>
        <v>-1052413.7587500052</v>
      </c>
      <c r="R614">
        <f t="shared" si="996"/>
        <v>17391637.451338641</v>
      </c>
      <c r="S614">
        <f t="shared" si="997"/>
        <v>173.91637451338642</v>
      </c>
      <c r="T614">
        <f t="shared" si="998"/>
        <v>0.17391637451338643</v>
      </c>
    </row>
    <row r="615" spans="1:20" x14ac:dyDescent="0.25">
      <c r="A615" s="5">
        <v>43979</v>
      </c>
      <c r="B615">
        <v>0.22059999999999999</v>
      </c>
      <c r="C615">
        <v>0.22750000000000001</v>
      </c>
      <c r="D615">
        <v>0.21310000000000001</v>
      </c>
      <c r="E615">
        <v>0.22700000000000001</v>
      </c>
      <c r="F615">
        <v>10683175.84</v>
      </c>
      <c r="G615">
        <v>2.9</v>
      </c>
      <c r="L615" t="s">
        <v>8</v>
      </c>
      <c r="M615" t="s">
        <v>8</v>
      </c>
      <c r="N615" t="s">
        <v>8</v>
      </c>
      <c r="P615">
        <f t="shared" si="994"/>
        <v>0.93055555555555547</v>
      </c>
      <c r="Q615">
        <f t="shared" si="995"/>
        <v>9941288.6288888883</v>
      </c>
      <c r="R615">
        <f t="shared" si="996"/>
        <v>18444051.210088648</v>
      </c>
      <c r="S615">
        <f t="shared" si="997"/>
        <v>184.44051210088648</v>
      </c>
      <c r="T615">
        <f t="shared" si="998"/>
        <v>0.18444051210088647</v>
      </c>
    </row>
    <row r="616" spans="1:20" x14ac:dyDescent="0.25">
      <c r="A616" s="5">
        <v>43978</v>
      </c>
      <c r="B616">
        <v>0.21870000000000001</v>
      </c>
      <c r="C616">
        <v>0.2263</v>
      </c>
      <c r="D616">
        <v>0.2147</v>
      </c>
      <c r="E616">
        <v>0.22</v>
      </c>
      <c r="F616">
        <v>13652384.85</v>
      </c>
      <c r="G616">
        <v>0.59</v>
      </c>
      <c r="L616" t="s">
        <v>8</v>
      </c>
      <c r="M616" t="s">
        <v>8</v>
      </c>
      <c r="N616" t="s">
        <v>8</v>
      </c>
      <c r="P616">
        <f t="shared" si="994"/>
        <v>-8.6206896551724227E-2</v>
      </c>
      <c r="Q616">
        <f t="shared" si="995"/>
        <v>-1176929.7284482771</v>
      </c>
      <c r="R616">
        <f t="shared" si="996"/>
        <v>8502762.5811997596</v>
      </c>
      <c r="S616">
        <f t="shared" si="997"/>
        <v>85.027625811997595</v>
      </c>
      <c r="T616">
        <f t="shared" si="998"/>
        <v>8.502762581199759E-2</v>
      </c>
    </row>
    <row r="617" spans="1:20" x14ac:dyDescent="0.25">
      <c r="A617" s="5">
        <v>43977</v>
      </c>
      <c r="B617">
        <v>0.21160000000000001</v>
      </c>
      <c r="C617">
        <v>0.22270000000000001</v>
      </c>
      <c r="D617">
        <v>0.20569999999999999</v>
      </c>
      <c r="E617">
        <v>0.21859999999999999</v>
      </c>
      <c r="F617">
        <v>22094449.59</v>
      </c>
      <c r="G617">
        <v>3.31</v>
      </c>
      <c r="L617" t="s">
        <v>8</v>
      </c>
      <c r="M617" t="s">
        <v>8</v>
      </c>
      <c r="N617" t="s">
        <v>8</v>
      </c>
      <c r="P617">
        <f t="shared" si="994"/>
        <v>0.51764705882352746</v>
      </c>
      <c r="Q617">
        <f t="shared" si="995"/>
        <v>11437126.846588193</v>
      </c>
      <c r="R617">
        <f t="shared" si="996"/>
        <v>9679692.309648037</v>
      </c>
      <c r="S617">
        <f t="shared" si="997"/>
        <v>96.79692309648037</v>
      </c>
      <c r="T617">
        <f t="shared" si="998"/>
        <v>9.6796923096480372E-2</v>
      </c>
    </row>
    <row r="618" spans="1:20" x14ac:dyDescent="0.25">
      <c r="A618" s="5">
        <v>43976</v>
      </c>
      <c r="B618">
        <v>0.1971</v>
      </c>
      <c r="C618">
        <v>0.21260000000000001</v>
      </c>
      <c r="D618">
        <v>0.19370000000000001</v>
      </c>
      <c r="E618">
        <v>0.21179999999999999</v>
      </c>
      <c r="F618">
        <v>13618986</v>
      </c>
      <c r="G618">
        <v>7.46</v>
      </c>
      <c r="L618" t="s">
        <v>8</v>
      </c>
      <c r="M618" t="s">
        <v>8</v>
      </c>
      <c r="N618" t="s">
        <v>8</v>
      </c>
      <c r="P618">
        <f t="shared" si="994"/>
        <v>0.91534391534391291</v>
      </c>
      <c r="Q618">
        <f t="shared" si="995"/>
        <v>12466055.968253935</v>
      </c>
      <c r="R618">
        <f t="shared" si="996"/>
        <v>-1757434.5369401556</v>
      </c>
      <c r="S618">
        <f t="shared" si="997"/>
        <v>-17.574345369401556</v>
      </c>
      <c r="T618">
        <f t="shared" si="998"/>
        <v>-1.7574345369401556E-2</v>
      </c>
    </row>
    <row r="619" spans="1:20" x14ac:dyDescent="0.25">
      <c r="A619" s="5">
        <v>43975</v>
      </c>
      <c r="B619">
        <v>0.2014</v>
      </c>
      <c r="C619">
        <v>0.2112</v>
      </c>
      <c r="D619">
        <v>0.19439999999999999</v>
      </c>
      <c r="E619">
        <v>0.19719999999999999</v>
      </c>
      <c r="F619">
        <v>17639428.170000002</v>
      </c>
      <c r="G619">
        <v>-2.09</v>
      </c>
      <c r="L619" t="s">
        <v>7</v>
      </c>
      <c r="M619" t="s">
        <v>8</v>
      </c>
      <c r="N619" t="s">
        <v>8</v>
      </c>
      <c r="P619">
        <f t="shared" si="994"/>
        <v>-0.66666666666666718</v>
      </c>
      <c r="Q619">
        <f t="shared" si="995"/>
        <v>-11759618.780000011</v>
      </c>
      <c r="R619">
        <f t="shared" si="996"/>
        <v>-14223490.50519409</v>
      </c>
      <c r="S619">
        <f t="shared" si="997"/>
        <v>-142.2349050519409</v>
      </c>
      <c r="T619">
        <f t="shared" si="998"/>
        <v>-0.14223490505194089</v>
      </c>
    </row>
    <row r="620" spans="1:20" x14ac:dyDescent="0.25">
      <c r="A620" s="5">
        <v>43974</v>
      </c>
      <c r="B620">
        <v>0.2046</v>
      </c>
      <c r="C620">
        <v>0.21229999999999999</v>
      </c>
      <c r="D620">
        <v>0.19950000000000001</v>
      </c>
      <c r="E620">
        <v>0.2014</v>
      </c>
      <c r="F620">
        <v>10281559.189999999</v>
      </c>
      <c r="G620">
        <v>-1.56</v>
      </c>
      <c r="L620" t="s">
        <v>8</v>
      </c>
      <c r="M620" t="s">
        <v>8</v>
      </c>
      <c r="N620" t="s">
        <v>8</v>
      </c>
      <c r="P620">
        <f t="shared" si="994"/>
        <v>-0.70312500000000178</v>
      </c>
      <c r="Q620">
        <f t="shared" si="995"/>
        <v>-7229221.3054687679</v>
      </c>
      <c r="R620">
        <f t="shared" si="996"/>
        <v>-2463871.7251940789</v>
      </c>
      <c r="S620">
        <f t="shared" si="997"/>
        <v>-24.63871725194079</v>
      </c>
      <c r="T620">
        <f t="shared" si="998"/>
        <v>-2.4638717251940789E-2</v>
      </c>
    </row>
    <row r="621" spans="1:20" x14ac:dyDescent="0.25">
      <c r="A621" s="5">
        <v>43973</v>
      </c>
      <c r="B621">
        <v>0.19089999999999999</v>
      </c>
      <c r="C621">
        <v>0.2087</v>
      </c>
      <c r="D621">
        <v>0.18809999999999999</v>
      </c>
      <c r="E621">
        <v>0.2044</v>
      </c>
      <c r="F621">
        <v>13490618.74</v>
      </c>
      <c r="G621">
        <v>7.07</v>
      </c>
      <c r="L621" t="s">
        <v>8</v>
      </c>
      <c r="M621" t="s">
        <v>8</v>
      </c>
      <c r="N621" t="s">
        <v>8</v>
      </c>
      <c r="P621">
        <f t="shared" si="994"/>
        <v>0.58252427184466049</v>
      </c>
      <c r="Q621">
        <f t="shared" si="995"/>
        <v>7858612.8582524313</v>
      </c>
      <c r="R621">
        <f t="shared" si="996"/>
        <v>4765349.580274689</v>
      </c>
      <c r="S621">
        <f t="shared" si="997"/>
        <v>47.653495802746889</v>
      </c>
      <c r="T621">
        <f t="shared" si="998"/>
        <v>4.7653495802746887E-2</v>
      </c>
    </row>
    <row r="622" spans="1:20" x14ac:dyDescent="0.25">
      <c r="A622" s="5">
        <v>43972</v>
      </c>
      <c r="B622">
        <v>0.20899999999999999</v>
      </c>
      <c r="C622">
        <v>0.2099</v>
      </c>
      <c r="D622">
        <v>0.18360000000000001</v>
      </c>
      <c r="E622">
        <v>0.1915</v>
      </c>
      <c r="F622">
        <v>17531368.23</v>
      </c>
      <c r="G622">
        <v>-8.3699999999999992</v>
      </c>
      <c r="L622" t="s">
        <v>7</v>
      </c>
      <c r="M622" t="s">
        <v>8</v>
      </c>
      <c r="N622" t="s">
        <v>8</v>
      </c>
      <c r="P622">
        <f t="shared" si="994"/>
        <v>-0.39923954372623627</v>
      </c>
      <c r="Q622">
        <f t="shared" si="995"/>
        <v>-6999215.4530418348</v>
      </c>
      <c r="R622">
        <f t="shared" si="996"/>
        <v>-3093263.2779777423</v>
      </c>
      <c r="S622">
        <f t="shared" si="997"/>
        <v>-30.932632779777421</v>
      </c>
      <c r="T622">
        <f t="shared" si="998"/>
        <v>-3.0932632779777421E-2</v>
      </c>
    </row>
    <row r="623" spans="1:20" x14ac:dyDescent="0.25">
      <c r="A623" s="5">
        <v>43971</v>
      </c>
      <c r="B623">
        <v>0.20050000000000001</v>
      </c>
      <c r="C623">
        <v>0.21460000000000001</v>
      </c>
      <c r="D623">
        <v>0.1981</v>
      </c>
      <c r="E623">
        <v>0.20910000000000001</v>
      </c>
      <c r="F623">
        <v>19012203.600000001</v>
      </c>
      <c r="G623">
        <v>4.29</v>
      </c>
      <c r="L623" t="s">
        <v>8</v>
      </c>
      <c r="M623" t="s">
        <v>8</v>
      </c>
      <c r="N623" t="s">
        <v>8</v>
      </c>
      <c r="P623">
        <f t="shared" si="994"/>
        <v>0.33333333333333331</v>
      </c>
      <c r="Q623">
        <f t="shared" si="995"/>
        <v>6337401.2000000002</v>
      </c>
      <c r="R623">
        <f t="shared" si="996"/>
        <v>3905952.1750640925</v>
      </c>
      <c r="S623">
        <f t="shared" si="997"/>
        <v>39.059521750640926</v>
      </c>
      <c r="T623">
        <f t="shared" si="998"/>
        <v>3.9059521750640924E-2</v>
      </c>
    </row>
    <row r="624" spans="1:20" x14ac:dyDescent="0.25">
      <c r="A624" s="5">
        <v>43970</v>
      </c>
      <c r="B624">
        <v>0.20100000000000001</v>
      </c>
      <c r="C624">
        <v>0.20180000000000001</v>
      </c>
      <c r="D624">
        <v>0.1956</v>
      </c>
      <c r="E624">
        <v>0.20080000000000001</v>
      </c>
      <c r="F624">
        <v>10533934.289999999</v>
      </c>
      <c r="G624">
        <v>-0.1</v>
      </c>
      <c r="L624" t="s">
        <v>8</v>
      </c>
      <c r="M624" t="s">
        <v>7</v>
      </c>
      <c r="N624" t="s">
        <v>8</v>
      </c>
      <c r="P624">
        <f t="shared" si="994"/>
        <v>0.67741935483870996</v>
      </c>
      <c r="Q624">
        <f t="shared" si="995"/>
        <v>7135890.9706451641</v>
      </c>
      <c r="R624">
        <f t="shared" si="996"/>
        <v>-2431449.0249359077</v>
      </c>
      <c r="S624">
        <f t="shared" si="997"/>
        <v>-24.314490249359078</v>
      </c>
      <c r="T624">
        <f t="shared" si="998"/>
        <v>-2.431449024935908E-2</v>
      </c>
    </row>
    <row r="625" spans="1:20" x14ac:dyDescent="0.25">
      <c r="A625" s="5">
        <v>43969</v>
      </c>
      <c r="B625">
        <v>0.19789999999999999</v>
      </c>
      <c r="C625">
        <v>0.20419999999999999</v>
      </c>
      <c r="D625">
        <v>0.19769999999999999</v>
      </c>
      <c r="E625">
        <v>0.2014</v>
      </c>
      <c r="F625">
        <v>8767019.7699999996</v>
      </c>
      <c r="G625">
        <v>1.77</v>
      </c>
      <c r="L625" t="s">
        <v>8</v>
      </c>
      <c r="M625" t="s">
        <v>7</v>
      </c>
      <c r="N625" t="s">
        <v>8</v>
      </c>
      <c r="P625">
        <f t="shared" si="994"/>
        <v>0.13846153846154016</v>
      </c>
      <c r="Q625">
        <f t="shared" si="995"/>
        <v>1213895.0450769379</v>
      </c>
      <c r="R625">
        <f t="shared" si="996"/>
        <v>-9567339.9955810718</v>
      </c>
      <c r="S625">
        <f t="shared" si="997"/>
        <v>-95.673399955810723</v>
      </c>
      <c r="T625">
        <f t="shared" si="998"/>
        <v>-9.5673399955810728E-2</v>
      </c>
    </row>
    <row r="626" spans="1:20" x14ac:dyDescent="0.25">
      <c r="A626" s="5">
        <v>43968</v>
      </c>
      <c r="B626">
        <v>0.1981</v>
      </c>
      <c r="C626">
        <v>0.20399999999999999</v>
      </c>
      <c r="D626">
        <v>0.19670000000000001</v>
      </c>
      <c r="E626">
        <v>0.19789999999999999</v>
      </c>
      <c r="F626">
        <v>9953920</v>
      </c>
      <c r="G626">
        <v>-0.1</v>
      </c>
      <c r="L626" t="s">
        <v>8</v>
      </c>
      <c r="M626" t="s">
        <v>7</v>
      </c>
      <c r="N626" t="s">
        <v>8</v>
      </c>
      <c r="P626">
        <f t="shared" si="994"/>
        <v>-0.67123287671233334</v>
      </c>
      <c r="Q626">
        <f t="shared" si="995"/>
        <v>-6681398.3561644293</v>
      </c>
      <c r="R626">
        <f t="shared" si="996"/>
        <v>-10781235.04065801</v>
      </c>
      <c r="S626">
        <f t="shared" si="997"/>
        <v>-107.81235040658011</v>
      </c>
      <c r="T626">
        <f t="shared" si="998"/>
        <v>-0.1078123504065801</v>
      </c>
    </row>
    <row r="627" spans="1:20" x14ac:dyDescent="0.25">
      <c r="A627" s="5">
        <v>43967</v>
      </c>
      <c r="B627">
        <v>0.1918</v>
      </c>
      <c r="C627">
        <v>0.20030000000000001</v>
      </c>
      <c r="D627">
        <v>0.19059999999999999</v>
      </c>
      <c r="E627">
        <v>0.19800000000000001</v>
      </c>
      <c r="F627">
        <v>8855077.6099999994</v>
      </c>
      <c r="G627">
        <v>3.23</v>
      </c>
      <c r="L627" t="s">
        <v>7</v>
      </c>
      <c r="M627" t="s">
        <v>7</v>
      </c>
      <c r="N627" t="s">
        <v>8</v>
      </c>
      <c r="P627">
        <f t="shared" si="994"/>
        <v>0.52577319587629012</v>
      </c>
      <c r="Q627">
        <f t="shared" si="995"/>
        <v>4655762.4547422808</v>
      </c>
      <c r="R627">
        <f t="shared" si="996"/>
        <v>-4099836.6844935808</v>
      </c>
      <c r="S627">
        <f t="shared" si="997"/>
        <v>-40.998366844935809</v>
      </c>
      <c r="T627">
        <f t="shared" si="998"/>
        <v>-4.099836684493581E-2</v>
      </c>
    </row>
    <row r="628" spans="1:20" x14ac:dyDescent="0.25">
      <c r="A628" s="5">
        <v>43966</v>
      </c>
      <c r="B628">
        <v>0.19700000000000001</v>
      </c>
      <c r="C628">
        <v>0.20200000000000001</v>
      </c>
      <c r="D628">
        <v>0.189</v>
      </c>
      <c r="E628">
        <v>0.192</v>
      </c>
      <c r="F628">
        <v>12734513.1</v>
      </c>
      <c r="G628">
        <v>-2.54</v>
      </c>
      <c r="L628" t="s">
        <v>7</v>
      </c>
      <c r="M628" t="s">
        <v>7</v>
      </c>
      <c r="N628" t="s">
        <v>8</v>
      </c>
      <c r="P628">
        <f t="shared" si="994"/>
        <v>-0.53846153846153844</v>
      </c>
      <c r="Q628">
        <f t="shared" si="995"/>
        <v>-6857045.5153846145</v>
      </c>
      <c r="R628">
        <f t="shared" si="996"/>
        <v>-8755599.1392358616</v>
      </c>
      <c r="S628">
        <f t="shared" si="997"/>
        <v>-87.555991392358621</v>
      </c>
      <c r="T628">
        <f t="shared" si="998"/>
        <v>-8.7555991392358617E-2</v>
      </c>
    </row>
    <row r="629" spans="1:20" x14ac:dyDescent="0.25">
      <c r="A629" s="5">
        <v>43965</v>
      </c>
      <c r="B629">
        <v>0.19539999999999999</v>
      </c>
      <c r="C629">
        <v>0.20499999999999999</v>
      </c>
      <c r="D629">
        <v>0.1925</v>
      </c>
      <c r="E629">
        <v>0.19700000000000001</v>
      </c>
      <c r="F629">
        <v>18259028.550000001</v>
      </c>
      <c r="G629">
        <v>0.82</v>
      </c>
      <c r="L629" t="s">
        <v>8</v>
      </c>
      <c r="M629" t="s">
        <v>7</v>
      </c>
      <c r="N629" t="s">
        <v>8</v>
      </c>
      <c r="P629">
        <f t="shared" si="994"/>
        <v>-0.27999999999999842</v>
      </c>
      <c r="Q629">
        <f t="shared" si="995"/>
        <v>-5112527.9939999711</v>
      </c>
      <c r="R629">
        <f t="shared" si="996"/>
        <v>-1898553.6238512481</v>
      </c>
      <c r="S629">
        <f t="shared" si="997"/>
        <v>-18.985536238512481</v>
      </c>
      <c r="T629">
        <f t="shared" si="998"/>
        <v>-1.8985536238512481E-2</v>
      </c>
    </row>
    <row r="630" spans="1:20" x14ac:dyDescent="0.25">
      <c r="A630" s="5">
        <v>43964</v>
      </c>
      <c r="B630">
        <v>0.19339999999999999</v>
      </c>
      <c r="C630">
        <v>0.1976</v>
      </c>
      <c r="D630">
        <v>0.18940000000000001</v>
      </c>
      <c r="E630">
        <v>0.19539999999999999</v>
      </c>
      <c r="F630">
        <v>9404045.3300000001</v>
      </c>
      <c r="G630">
        <v>1.03</v>
      </c>
      <c r="L630" t="s">
        <v>8</v>
      </c>
      <c r="M630" t="s">
        <v>7</v>
      </c>
      <c r="N630" t="s">
        <v>8</v>
      </c>
      <c r="P630">
        <f t="shared" si="994"/>
        <v>0.46341463414633866</v>
      </c>
      <c r="Q630">
        <f t="shared" si="995"/>
        <v>4357972.2260975344</v>
      </c>
      <c r="R630">
        <f t="shared" si="996"/>
        <v>3213974.370148723</v>
      </c>
      <c r="S630">
        <f t="shared" si="997"/>
        <v>32.139743701487227</v>
      </c>
      <c r="T630">
        <f t="shared" si="998"/>
        <v>3.2139743701487228E-2</v>
      </c>
    </row>
    <row r="631" spans="1:20" x14ac:dyDescent="0.25">
      <c r="A631" s="5">
        <v>43963</v>
      </c>
      <c r="B631">
        <v>0.1865</v>
      </c>
      <c r="C631">
        <v>0.1991</v>
      </c>
      <c r="D631">
        <v>0.18590000000000001</v>
      </c>
      <c r="E631">
        <v>0.1933</v>
      </c>
      <c r="F631">
        <v>9090225.2300000004</v>
      </c>
      <c r="G631">
        <v>3.65</v>
      </c>
      <c r="L631" t="s">
        <v>8</v>
      </c>
      <c r="M631" t="s">
        <v>7</v>
      </c>
      <c r="N631" t="s">
        <v>8</v>
      </c>
      <c r="P631">
        <f t="shared" si="994"/>
        <v>0.12121212121212058</v>
      </c>
      <c r="Q631">
        <f t="shared" si="995"/>
        <v>1101845.4824242366</v>
      </c>
      <c r="R631">
        <f t="shared" si="996"/>
        <v>-1143997.8559488112</v>
      </c>
      <c r="S631">
        <f t="shared" si="997"/>
        <v>-11.439978559488111</v>
      </c>
      <c r="T631">
        <f t="shared" si="998"/>
        <v>-1.143997855948811E-2</v>
      </c>
    </row>
    <row r="632" spans="1:20" x14ac:dyDescent="0.25">
      <c r="A632" s="5">
        <v>43962</v>
      </c>
      <c r="B632">
        <v>0.192</v>
      </c>
      <c r="C632">
        <v>0.1996</v>
      </c>
      <c r="D632">
        <v>0.17419999999999999</v>
      </c>
      <c r="E632">
        <v>0.1865</v>
      </c>
      <c r="F632">
        <v>15551619.039999999</v>
      </c>
      <c r="G632">
        <v>-2.86</v>
      </c>
      <c r="L632" t="s">
        <v>8</v>
      </c>
      <c r="M632" t="s">
        <v>7</v>
      </c>
      <c r="N632" t="s">
        <v>8</v>
      </c>
      <c r="P632">
        <f t="shared" si="994"/>
        <v>-3.149606299212579E-2</v>
      </c>
      <c r="Q632">
        <f t="shared" si="995"/>
        <v>-489814.7729133828</v>
      </c>
      <c r="R632">
        <f t="shared" si="996"/>
        <v>-2245843.3383730478</v>
      </c>
      <c r="S632">
        <f t="shared" si="997"/>
        <v>-22.458433383730476</v>
      </c>
      <c r="T632">
        <f t="shared" si="998"/>
        <v>-2.2458433383730478E-2</v>
      </c>
    </row>
    <row r="633" spans="1:20" x14ac:dyDescent="0.25">
      <c r="A633" s="5">
        <v>43961</v>
      </c>
      <c r="B633">
        <v>0.2137</v>
      </c>
      <c r="C633">
        <v>0.21390000000000001</v>
      </c>
      <c r="D633">
        <v>0.17419999999999999</v>
      </c>
      <c r="E633">
        <v>0.19189999999999999</v>
      </c>
      <c r="F633">
        <v>19680064.699999999</v>
      </c>
      <c r="G633">
        <v>-10.199999999999999</v>
      </c>
      <c r="L633" t="s">
        <v>7</v>
      </c>
      <c r="M633" t="s">
        <v>7</v>
      </c>
      <c r="N633" t="s">
        <v>8</v>
      </c>
      <c r="P633">
        <f t="shared" si="994"/>
        <v>-0.10831234256927014</v>
      </c>
      <c r="Q633">
        <f t="shared" si="995"/>
        <v>-2131593.9095718004</v>
      </c>
      <c r="R633">
        <f t="shared" si="996"/>
        <v>-1756028.5654596649</v>
      </c>
      <c r="S633">
        <f t="shared" si="997"/>
        <v>-17.560285654596647</v>
      </c>
      <c r="T633">
        <f t="shared" si="998"/>
        <v>-1.7560285654596646E-2</v>
      </c>
    </row>
    <row r="634" spans="1:20" x14ac:dyDescent="0.25">
      <c r="A634" s="5">
        <v>43960</v>
      </c>
      <c r="B634">
        <v>0.21809999999999999</v>
      </c>
      <c r="C634">
        <v>0.22470000000000001</v>
      </c>
      <c r="D634">
        <v>0.21079999999999999</v>
      </c>
      <c r="E634">
        <v>0.21360000000000001</v>
      </c>
      <c r="F634">
        <v>13242090.49</v>
      </c>
      <c r="G634">
        <v>-2.06</v>
      </c>
      <c r="L634" t="s">
        <v>8</v>
      </c>
      <c r="M634" t="s">
        <v>8</v>
      </c>
      <c r="N634" t="s">
        <v>8</v>
      </c>
      <c r="P634">
        <f t="shared" si="994"/>
        <v>-0.59712230215827056</v>
      </c>
      <c r="Q634">
        <f t="shared" si="995"/>
        <v>-7907147.5587769412</v>
      </c>
      <c r="R634">
        <f t="shared" si="996"/>
        <v>375565.34411213547</v>
      </c>
      <c r="S634">
        <f t="shared" si="997"/>
        <v>3.7556534411213547</v>
      </c>
      <c r="T634">
        <f t="shared" si="998"/>
        <v>3.7556534411213546E-3</v>
      </c>
    </row>
    <row r="635" spans="1:20" x14ac:dyDescent="0.25">
      <c r="A635" s="5">
        <v>43959</v>
      </c>
      <c r="B635">
        <v>0.20369999999999999</v>
      </c>
      <c r="C635">
        <v>0.22359999999999999</v>
      </c>
      <c r="D635">
        <v>0.20130000000000001</v>
      </c>
      <c r="E635">
        <v>0.21809999999999999</v>
      </c>
      <c r="F635">
        <v>16283198.470000001</v>
      </c>
      <c r="G635">
        <v>7.07</v>
      </c>
      <c r="L635" t="s">
        <v>8</v>
      </c>
      <c r="M635" t="s">
        <v>8</v>
      </c>
      <c r="N635" t="s">
        <v>8</v>
      </c>
      <c r="P635">
        <f t="shared" si="994"/>
        <v>0.50672645739910238</v>
      </c>
      <c r="Q635">
        <f t="shared" si="995"/>
        <v>8251127.4758295845</v>
      </c>
      <c r="R635">
        <f t="shared" si="996"/>
        <v>8282712.9028890766</v>
      </c>
      <c r="S635">
        <f t="shared" si="997"/>
        <v>82.827129028890766</v>
      </c>
      <c r="T635">
        <f t="shared" si="998"/>
        <v>8.2827129028890764E-2</v>
      </c>
    </row>
    <row r="636" spans="1:20" x14ac:dyDescent="0.25">
      <c r="A636" s="5">
        <v>43958</v>
      </c>
      <c r="B636">
        <v>0.19719999999999999</v>
      </c>
      <c r="C636">
        <v>0.2051</v>
      </c>
      <c r="D636">
        <v>0.19359999999999999</v>
      </c>
      <c r="E636">
        <v>0.20399999999999999</v>
      </c>
      <c r="F636">
        <v>12202765.24</v>
      </c>
      <c r="G636">
        <v>3.45</v>
      </c>
      <c r="L636" t="s">
        <v>7</v>
      </c>
      <c r="M636" t="s">
        <v>7</v>
      </c>
      <c r="N636" t="s">
        <v>8</v>
      </c>
      <c r="P636">
        <f t="shared" si="994"/>
        <v>0.80869565217391015</v>
      </c>
      <c r="Q636">
        <f t="shared" si="995"/>
        <v>9868323.1940869223</v>
      </c>
      <c r="R636">
        <f t="shared" si="996"/>
        <v>31585.427059492096</v>
      </c>
      <c r="S636">
        <f t="shared" si="997"/>
        <v>0.31585427059492094</v>
      </c>
      <c r="T636">
        <f t="shared" si="998"/>
        <v>3.1585427059492094E-4</v>
      </c>
    </row>
    <row r="637" spans="1:20" x14ac:dyDescent="0.25">
      <c r="A637" s="5">
        <v>43957</v>
      </c>
      <c r="B637">
        <v>0.2084</v>
      </c>
      <c r="C637">
        <v>0.21049999999999999</v>
      </c>
      <c r="D637">
        <v>0.1948</v>
      </c>
      <c r="E637">
        <v>0.1976</v>
      </c>
      <c r="F637">
        <v>12864689.07</v>
      </c>
      <c r="G637">
        <v>-5.18</v>
      </c>
      <c r="L637" t="s">
        <v>7</v>
      </c>
      <c r="M637" t="s">
        <v>7</v>
      </c>
      <c r="N637" t="s">
        <v>8</v>
      </c>
      <c r="P637">
        <f t="shared" si="994"/>
        <v>-0.64331210191082822</v>
      </c>
      <c r="Q637">
        <f t="shared" si="995"/>
        <v>-8276010.1660509584</v>
      </c>
      <c r="R637">
        <f t="shared" si="996"/>
        <v>-9836737.7670274302</v>
      </c>
      <c r="S637">
        <f t="shared" si="997"/>
        <v>-98.367377670274308</v>
      </c>
      <c r="T637">
        <f t="shared" si="998"/>
        <v>-9.8367377670274314E-2</v>
      </c>
    </row>
    <row r="638" spans="1:20" x14ac:dyDescent="0.25">
      <c r="A638" s="5">
        <v>43956</v>
      </c>
      <c r="B638">
        <v>0.20569999999999999</v>
      </c>
      <c r="C638">
        <v>0.21179999999999999</v>
      </c>
      <c r="D638">
        <v>0.2021</v>
      </c>
      <c r="E638">
        <v>0.20849999999999999</v>
      </c>
      <c r="F638">
        <v>16019931.15</v>
      </c>
      <c r="G638">
        <v>1.36</v>
      </c>
      <c r="L638" t="s">
        <v>8</v>
      </c>
      <c r="M638" t="s">
        <v>7</v>
      </c>
      <c r="N638" t="s">
        <v>8</v>
      </c>
      <c r="P638">
        <f t="shared" si="994"/>
        <v>0.31958762886597897</v>
      </c>
      <c r="Q638">
        <f t="shared" si="995"/>
        <v>5119771.810824736</v>
      </c>
      <c r="R638">
        <f t="shared" si="996"/>
        <v>-1560727.6009764727</v>
      </c>
      <c r="S638">
        <f t="shared" si="997"/>
        <v>-15.607276009764727</v>
      </c>
      <c r="T638">
        <f t="shared" si="998"/>
        <v>-1.5607276009764727E-2</v>
      </c>
    </row>
    <row r="639" spans="1:20" x14ac:dyDescent="0.25">
      <c r="A639" s="5">
        <v>43955</v>
      </c>
      <c r="B639">
        <v>0.20580000000000001</v>
      </c>
      <c r="C639">
        <v>0.21149999999999999</v>
      </c>
      <c r="D639">
        <v>0.18920000000000001</v>
      </c>
      <c r="E639">
        <v>0.20549999999999999</v>
      </c>
      <c r="F639">
        <v>16679698.48</v>
      </c>
      <c r="G639">
        <v>-0.15</v>
      </c>
      <c r="L639" t="s">
        <v>7</v>
      </c>
      <c r="M639" t="s">
        <v>7</v>
      </c>
      <c r="N639" t="s">
        <v>8</v>
      </c>
      <c r="P639">
        <f t="shared" si="994"/>
        <v>0.4618834080717481</v>
      </c>
      <c r="Q639">
        <f t="shared" si="995"/>
        <v>7704075.9795515565</v>
      </c>
      <c r="R639">
        <f t="shared" si="996"/>
        <v>-6680499.4118012087</v>
      </c>
      <c r="S639">
        <f t="shared" si="997"/>
        <v>-66.80499411801209</v>
      </c>
      <c r="T639">
        <f t="shared" si="998"/>
        <v>-6.6804994118012093E-2</v>
      </c>
    </row>
    <row r="640" spans="1:20" x14ac:dyDescent="0.25">
      <c r="A640" s="5">
        <v>43954</v>
      </c>
      <c r="B640">
        <v>0.21859999999999999</v>
      </c>
      <c r="C640">
        <v>0.222</v>
      </c>
      <c r="D640">
        <v>0.2014</v>
      </c>
      <c r="E640">
        <v>0.20549999999999999</v>
      </c>
      <c r="F640">
        <v>26028751.530000001</v>
      </c>
      <c r="G640">
        <v>-5.99</v>
      </c>
      <c r="L640" t="s">
        <v>7</v>
      </c>
      <c r="M640" t="s">
        <v>8</v>
      </c>
      <c r="N640" t="s">
        <v>8</v>
      </c>
      <c r="P640">
        <f t="shared" si="994"/>
        <v>-0.60194174757281638</v>
      </c>
      <c r="Q640">
        <f t="shared" si="995"/>
        <v>-15667792.183106819</v>
      </c>
      <c r="R640">
        <f t="shared" si="996"/>
        <v>-14384575.391352765</v>
      </c>
      <c r="S640">
        <f t="shared" si="997"/>
        <v>-143.84575391352766</v>
      </c>
      <c r="T640">
        <f t="shared" si="998"/>
        <v>-0.14384575391352766</v>
      </c>
    </row>
    <row r="641" spans="1:20" x14ac:dyDescent="0.25">
      <c r="A641" s="5">
        <v>43953</v>
      </c>
      <c r="B641">
        <v>0.2137</v>
      </c>
      <c r="C641">
        <v>0.222</v>
      </c>
      <c r="D641">
        <v>0.21249999999999999</v>
      </c>
      <c r="E641">
        <v>0.21879999999999999</v>
      </c>
      <c r="F641">
        <v>9810019.4000000004</v>
      </c>
      <c r="G641">
        <v>2.39</v>
      </c>
      <c r="L641" t="s">
        <v>8</v>
      </c>
      <c r="M641" t="s">
        <v>8</v>
      </c>
      <c r="N641" t="s">
        <v>8</v>
      </c>
      <c r="P641">
        <f t="shared" si="994"/>
        <v>0.32631578947368306</v>
      </c>
      <c r="Q641">
        <f t="shared" si="995"/>
        <v>3201164.2252631467</v>
      </c>
      <c r="R641">
        <f t="shared" si="996"/>
        <v>1283216.7917540548</v>
      </c>
      <c r="S641">
        <f t="shared" si="997"/>
        <v>12.832167917540549</v>
      </c>
      <c r="T641">
        <f t="shared" si="998"/>
        <v>1.2832167917540549E-2</v>
      </c>
    </row>
    <row r="642" spans="1:20" x14ac:dyDescent="0.25">
      <c r="A642" s="5">
        <v>43952</v>
      </c>
      <c r="B642">
        <v>0.2094</v>
      </c>
      <c r="C642">
        <v>0.22239999999999999</v>
      </c>
      <c r="D642">
        <v>0.2094</v>
      </c>
      <c r="E642">
        <v>0.21390000000000001</v>
      </c>
      <c r="F642">
        <v>11387032.630000001</v>
      </c>
      <c r="G642">
        <v>2.15</v>
      </c>
      <c r="L642" t="s">
        <v>8</v>
      </c>
      <c r="M642" t="s">
        <v>8</v>
      </c>
      <c r="N642" t="s">
        <v>8</v>
      </c>
      <c r="P642">
        <f t="shared" si="994"/>
        <v>-0.30769230769230621</v>
      </c>
      <c r="Q642">
        <f t="shared" si="995"/>
        <v>-3503702.3476922913</v>
      </c>
      <c r="R642">
        <f t="shared" si="996"/>
        <v>-1917947.4335090918</v>
      </c>
      <c r="S642">
        <f t="shared" si="997"/>
        <v>-19.179474335090919</v>
      </c>
      <c r="T642">
        <f t="shared" si="998"/>
        <v>-1.9179474335090919E-2</v>
      </c>
    </row>
    <row r="643" spans="1:20" x14ac:dyDescent="0.25">
      <c r="A643" s="5">
        <v>43951</v>
      </c>
      <c r="B643">
        <v>0.23019999999999999</v>
      </c>
      <c r="C643">
        <v>0.2334</v>
      </c>
      <c r="D643">
        <v>0.2011</v>
      </c>
      <c r="E643">
        <v>0.20930000000000001</v>
      </c>
      <c r="F643">
        <v>30634064.27</v>
      </c>
      <c r="G643">
        <v>-9.08</v>
      </c>
      <c r="L643" t="s">
        <v>7</v>
      </c>
      <c r="M643" t="s">
        <v>8</v>
      </c>
      <c r="N643" t="s">
        <v>8</v>
      </c>
      <c r="P643">
        <f t="shared" si="994"/>
        <v>-0.49226006191950378</v>
      </c>
      <c r="Q643">
        <f t="shared" si="995"/>
        <v>-15079926.374396259</v>
      </c>
      <c r="R643">
        <f t="shared" si="996"/>
        <v>1585754.9141831994</v>
      </c>
      <c r="S643">
        <f t="shared" si="997"/>
        <v>15.857549141831994</v>
      </c>
      <c r="T643">
        <f t="shared" si="998"/>
        <v>1.5857549141831993E-2</v>
      </c>
    </row>
    <row r="644" spans="1:20" x14ac:dyDescent="0.25">
      <c r="A644" s="5">
        <v>43950</v>
      </c>
      <c r="B644">
        <v>0.21579999999999999</v>
      </c>
      <c r="C644">
        <v>0.23119999999999999</v>
      </c>
      <c r="D644">
        <v>0.21460000000000001</v>
      </c>
      <c r="E644">
        <v>0.23019999999999999</v>
      </c>
      <c r="F644">
        <v>18811445.739999998</v>
      </c>
      <c r="G644">
        <v>6.67</v>
      </c>
      <c r="L644" t="s">
        <v>8</v>
      </c>
      <c r="M644" t="s">
        <v>8</v>
      </c>
      <c r="N644" t="s">
        <v>8</v>
      </c>
      <c r="P644">
        <f t="shared" si="994"/>
        <v>0.87951807228915635</v>
      </c>
      <c r="Q644">
        <f t="shared" si="995"/>
        <v>16545006.494216861</v>
      </c>
      <c r="R644">
        <f t="shared" si="996"/>
        <v>16665681.288579458</v>
      </c>
      <c r="S644">
        <f t="shared" si="997"/>
        <v>166.65681288579458</v>
      </c>
      <c r="T644">
        <f t="shared" si="998"/>
        <v>0.16665681288579459</v>
      </c>
    </row>
    <row r="645" spans="1:20" x14ac:dyDescent="0.25">
      <c r="A645" s="5">
        <v>43949</v>
      </c>
      <c r="B645">
        <v>0.21679999999999999</v>
      </c>
      <c r="C645">
        <v>0.22439999999999999</v>
      </c>
      <c r="D645">
        <v>0.2087</v>
      </c>
      <c r="E645">
        <v>0.21540000000000001</v>
      </c>
      <c r="F645">
        <v>10165453.52</v>
      </c>
      <c r="G645">
        <v>-0.65</v>
      </c>
      <c r="L645" t="s">
        <v>8</v>
      </c>
      <c r="M645" t="s">
        <v>8</v>
      </c>
      <c r="N645" t="s">
        <v>8</v>
      </c>
      <c r="P645">
        <f t="shared" si="994"/>
        <v>-0.14649681528662228</v>
      </c>
      <c r="Q645">
        <f t="shared" si="995"/>
        <v>-1489206.5666241841</v>
      </c>
      <c r="R645">
        <f t="shared" si="996"/>
        <v>120674.79436259763</v>
      </c>
      <c r="S645">
        <f t="shared" si="997"/>
        <v>1.2067479436259763</v>
      </c>
      <c r="T645">
        <f t="shared" si="998"/>
        <v>1.2067479436259762E-3</v>
      </c>
    </row>
    <row r="646" spans="1:20" x14ac:dyDescent="0.25">
      <c r="A646" s="5">
        <v>43948</v>
      </c>
      <c r="B646">
        <v>0.22539999999999999</v>
      </c>
      <c r="C646">
        <v>0.22750000000000001</v>
      </c>
      <c r="D646">
        <v>0.20549999999999999</v>
      </c>
      <c r="E646">
        <v>0.21679999999999999</v>
      </c>
      <c r="F646">
        <v>13455045.25</v>
      </c>
      <c r="G646">
        <v>-3.82</v>
      </c>
      <c r="L646" t="s">
        <v>7</v>
      </c>
      <c r="M646" t="s">
        <v>8</v>
      </c>
      <c r="N646" t="s">
        <v>8</v>
      </c>
      <c r="P646">
        <f t="shared" si="994"/>
        <v>2.7272727272726768E-2</v>
      </c>
      <c r="Q646">
        <f t="shared" si="995"/>
        <v>366955.77954544773</v>
      </c>
      <c r="R646">
        <f t="shared" si="996"/>
        <v>1609881.3609867818</v>
      </c>
      <c r="S646">
        <f t="shared" si="997"/>
        <v>16.098813609867818</v>
      </c>
      <c r="T646">
        <f t="shared" si="998"/>
        <v>1.6098813609867819E-2</v>
      </c>
    </row>
    <row r="647" spans="1:20" x14ac:dyDescent="0.25">
      <c r="A647" s="5">
        <v>43947</v>
      </c>
      <c r="B647">
        <v>0.2109</v>
      </c>
      <c r="C647">
        <v>0.23530000000000001</v>
      </c>
      <c r="D647">
        <v>0.21079999999999999</v>
      </c>
      <c r="E647">
        <v>0.22570000000000001</v>
      </c>
      <c r="F647">
        <v>23617881.449999999</v>
      </c>
      <c r="G647">
        <v>7.02</v>
      </c>
      <c r="L647" t="s">
        <v>8</v>
      </c>
      <c r="M647" t="s">
        <v>8</v>
      </c>
      <c r="N647" t="s">
        <v>8</v>
      </c>
      <c r="P647">
        <f t="shared" ref="P647:P710" si="999">IF(C647=D647,0,((E647-D647)-(C647-E647))/(C647-D647))</f>
        <v>0.2163265306122458</v>
      </c>
      <c r="Q647">
        <f t="shared" ref="Q647:Q710" si="1000">F647*P647</f>
        <v>5109174.3544898173</v>
      </c>
      <c r="R647">
        <f t="shared" ref="R647:R710" si="1001">R648+Q647</f>
        <v>1242925.581441334</v>
      </c>
      <c r="S647">
        <f t="shared" ref="S647:S710" si="1002">R647/100000</f>
        <v>12.42925581441334</v>
      </c>
      <c r="T647">
        <f t="shared" ref="T647:T710" si="1003">S647/1000</f>
        <v>1.2429255814413339E-2</v>
      </c>
    </row>
    <row r="648" spans="1:20" x14ac:dyDescent="0.25">
      <c r="A648" s="5">
        <v>43946</v>
      </c>
      <c r="B648">
        <v>0.20899999999999999</v>
      </c>
      <c r="C648">
        <v>0.22289999999999999</v>
      </c>
      <c r="D648">
        <v>0.2024</v>
      </c>
      <c r="E648">
        <v>0.21079999999999999</v>
      </c>
      <c r="F648">
        <v>14012319.939999999</v>
      </c>
      <c r="G648">
        <v>0.86</v>
      </c>
      <c r="L648" t="s">
        <v>8</v>
      </c>
      <c r="M648" t="s">
        <v>8</v>
      </c>
      <c r="N648" t="s">
        <v>8</v>
      </c>
      <c r="P648">
        <f t="shared" si="999"/>
        <v>-0.1804878048780493</v>
      </c>
      <c r="Q648">
        <f t="shared" si="1000"/>
        <v>-2529052.8672195193</v>
      </c>
      <c r="R648">
        <f t="shared" si="1001"/>
        <v>-3866248.7730484833</v>
      </c>
      <c r="S648">
        <f t="shared" si="1002"/>
        <v>-38.662487730484834</v>
      </c>
      <c r="T648">
        <f t="shared" si="1003"/>
        <v>-3.8662487730484835E-2</v>
      </c>
    </row>
    <row r="649" spans="1:20" x14ac:dyDescent="0.25">
      <c r="A649" s="5">
        <v>43945</v>
      </c>
      <c r="B649">
        <v>0.19520000000000001</v>
      </c>
      <c r="C649">
        <v>0.21529999999999999</v>
      </c>
      <c r="D649">
        <v>0.19320000000000001</v>
      </c>
      <c r="E649">
        <v>0.20899999999999999</v>
      </c>
      <c r="F649">
        <v>20376480.84</v>
      </c>
      <c r="G649">
        <v>7.07</v>
      </c>
      <c r="L649" t="s">
        <v>8</v>
      </c>
      <c r="M649" t="s">
        <v>8</v>
      </c>
      <c r="N649" t="s">
        <v>8</v>
      </c>
      <c r="P649">
        <f t="shared" si="999"/>
        <v>0.42986425339366469</v>
      </c>
      <c r="Q649">
        <f t="shared" si="1000"/>
        <v>8759120.7230769135</v>
      </c>
      <c r="R649">
        <f t="shared" si="1001"/>
        <v>-1337195.905828964</v>
      </c>
      <c r="S649">
        <f t="shared" si="1002"/>
        <v>-13.37195905828964</v>
      </c>
      <c r="T649">
        <f t="shared" si="1003"/>
        <v>-1.337195905828964E-2</v>
      </c>
    </row>
    <row r="650" spans="1:20" x14ac:dyDescent="0.25">
      <c r="A650" s="5">
        <v>43944</v>
      </c>
      <c r="B650">
        <v>0.18720000000000001</v>
      </c>
      <c r="C650">
        <v>0.2</v>
      </c>
      <c r="D650">
        <v>0.1807</v>
      </c>
      <c r="E650">
        <v>0.19520000000000001</v>
      </c>
      <c r="F650">
        <v>11916550.59</v>
      </c>
      <c r="G650">
        <v>4.2699999999999996</v>
      </c>
      <c r="L650" t="s">
        <v>8</v>
      </c>
      <c r="M650" t="s">
        <v>8</v>
      </c>
      <c r="N650" t="s">
        <v>8</v>
      </c>
      <c r="P650">
        <f t="shared" si="999"/>
        <v>0.50259067357512999</v>
      </c>
      <c r="Q650">
        <f t="shared" si="1000"/>
        <v>5989147.1877202122</v>
      </c>
      <c r="R650">
        <f t="shared" si="1001"/>
        <v>-10096316.628905877</v>
      </c>
      <c r="S650">
        <f t="shared" si="1002"/>
        <v>-100.96316628905878</v>
      </c>
      <c r="T650">
        <f t="shared" si="1003"/>
        <v>-0.10096316628905877</v>
      </c>
    </row>
    <row r="651" spans="1:20" x14ac:dyDescent="0.25">
      <c r="A651" s="5">
        <v>43943</v>
      </c>
      <c r="B651">
        <v>0.17799999999999999</v>
      </c>
      <c r="C651">
        <v>0.18779999999999999</v>
      </c>
      <c r="D651">
        <v>0.17610000000000001</v>
      </c>
      <c r="E651">
        <v>0.18720000000000001</v>
      </c>
      <c r="F651">
        <v>6741691.1900000004</v>
      </c>
      <c r="G651">
        <v>5.17</v>
      </c>
      <c r="L651" t="s">
        <v>8</v>
      </c>
      <c r="M651" t="s">
        <v>8</v>
      </c>
      <c r="N651" t="s">
        <v>8</v>
      </c>
      <c r="P651">
        <f t="shared" si="999"/>
        <v>0.89743589743589913</v>
      </c>
      <c r="Q651">
        <f t="shared" si="1000"/>
        <v>6050235.6833333448</v>
      </c>
      <c r="R651">
        <f t="shared" si="1001"/>
        <v>-16085463.816626091</v>
      </c>
      <c r="S651">
        <f t="shared" si="1002"/>
        <v>-160.85463816626091</v>
      </c>
      <c r="T651">
        <f t="shared" si="1003"/>
        <v>-0.16085463816626092</v>
      </c>
    </row>
    <row r="652" spans="1:20" x14ac:dyDescent="0.25">
      <c r="A652" s="5">
        <v>43942</v>
      </c>
      <c r="B652">
        <v>0.17630000000000001</v>
      </c>
      <c r="C652">
        <v>0.18110000000000001</v>
      </c>
      <c r="D652">
        <v>0.1736</v>
      </c>
      <c r="E652">
        <v>0.17760000000000001</v>
      </c>
      <c r="F652">
        <v>7541121.1600000001</v>
      </c>
      <c r="G652">
        <v>0.74</v>
      </c>
      <c r="L652" t="s">
        <v>7</v>
      </c>
      <c r="M652" t="s">
        <v>8</v>
      </c>
      <c r="N652" t="s">
        <v>8</v>
      </c>
      <c r="P652">
        <f t="shared" si="999"/>
        <v>6.6666666666666666E-2</v>
      </c>
      <c r="Q652">
        <f t="shared" si="1000"/>
        <v>502741.41066666669</v>
      </c>
      <c r="R652">
        <f t="shared" si="1001"/>
        <v>-22135699.499959435</v>
      </c>
      <c r="S652">
        <f t="shared" si="1002"/>
        <v>-221.35699499959435</v>
      </c>
      <c r="T652">
        <f t="shared" si="1003"/>
        <v>-0.22135699499959435</v>
      </c>
    </row>
    <row r="653" spans="1:20" x14ac:dyDescent="0.25">
      <c r="A653" s="5">
        <v>43941</v>
      </c>
      <c r="B653">
        <v>0.18779999999999999</v>
      </c>
      <c r="C653">
        <v>0.19409999999999999</v>
      </c>
      <c r="D653">
        <v>0.17319999999999999</v>
      </c>
      <c r="E653">
        <v>0.17649999999999999</v>
      </c>
      <c r="F653">
        <v>14510302.789999999</v>
      </c>
      <c r="G653">
        <v>-6.02</v>
      </c>
      <c r="L653" t="s">
        <v>7</v>
      </c>
      <c r="M653" t="s">
        <v>8</v>
      </c>
      <c r="N653" t="s">
        <v>8</v>
      </c>
      <c r="P653">
        <f t="shared" si="999"/>
        <v>-0.68421052631578971</v>
      </c>
      <c r="Q653">
        <f t="shared" si="1000"/>
        <v>-9928101.9089473709</v>
      </c>
      <c r="R653">
        <f t="shared" si="1001"/>
        <v>-22638440.910626102</v>
      </c>
      <c r="S653">
        <f t="shared" si="1002"/>
        <v>-226.38440910626102</v>
      </c>
      <c r="T653">
        <f t="shared" si="1003"/>
        <v>-0.22638440910626101</v>
      </c>
    </row>
    <row r="654" spans="1:20" x14ac:dyDescent="0.25">
      <c r="A654" s="5">
        <v>43940</v>
      </c>
      <c r="B654">
        <v>0.19869999999999999</v>
      </c>
      <c r="C654">
        <v>0.19919999999999999</v>
      </c>
      <c r="D654">
        <v>0.18540000000000001</v>
      </c>
      <c r="E654">
        <v>0.1875</v>
      </c>
      <c r="F654">
        <v>10400412.050000001</v>
      </c>
      <c r="G654">
        <v>-5.64</v>
      </c>
      <c r="L654" t="s">
        <v>7</v>
      </c>
      <c r="M654" t="s">
        <v>8</v>
      </c>
      <c r="N654" t="s">
        <v>8</v>
      </c>
      <c r="P654">
        <f t="shared" si="999"/>
        <v>-0.69565217391304435</v>
      </c>
      <c r="Q654">
        <f t="shared" si="1000"/>
        <v>-7235069.252173923</v>
      </c>
      <c r="R654">
        <f t="shared" si="1001"/>
        <v>-12710339.001678731</v>
      </c>
      <c r="S654">
        <f t="shared" si="1002"/>
        <v>-127.10339001678732</v>
      </c>
      <c r="T654">
        <f t="shared" si="1003"/>
        <v>-0.1271033900167873</v>
      </c>
    </row>
    <row r="655" spans="1:20" x14ac:dyDescent="0.25">
      <c r="A655" s="5">
        <v>43939</v>
      </c>
      <c r="B655">
        <v>0.18779999999999999</v>
      </c>
      <c r="C655">
        <v>0.2014</v>
      </c>
      <c r="D655">
        <v>0.18729999999999999</v>
      </c>
      <c r="E655">
        <v>0.19869999999999999</v>
      </c>
      <c r="F655">
        <v>11139797.869999999</v>
      </c>
      <c r="G655">
        <v>5.8</v>
      </c>
      <c r="L655" t="s">
        <v>8</v>
      </c>
      <c r="M655" t="s">
        <v>8</v>
      </c>
      <c r="N655" t="s">
        <v>8</v>
      </c>
      <c r="P655">
        <f t="shared" si="999"/>
        <v>0.61702127659574357</v>
      </c>
      <c r="Q655">
        <f t="shared" si="1000"/>
        <v>6873492.302765945</v>
      </c>
      <c r="R655">
        <f t="shared" si="1001"/>
        <v>-5475269.7495048083</v>
      </c>
      <c r="S655">
        <f t="shared" si="1002"/>
        <v>-54.752697495048082</v>
      </c>
      <c r="T655">
        <f t="shared" si="1003"/>
        <v>-5.4752697495048082E-2</v>
      </c>
    </row>
    <row r="656" spans="1:20" x14ac:dyDescent="0.25">
      <c r="A656" s="5">
        <v>43938</v>
      </c>
      <c r="B656">
        <v>0.18579999999999999</v>
      </c>
      <c r="C656">
        <v>0.19320000000000001</v>
      </c>
      <c r="D656">
        <v>0.183</v>
      </c>
      <c r="E656">
        <v>0.18779999999999999</v>
      </c>
      <c r="F656">
        <v>11532369.5</v>
      </c>
      <c r="G656">
        <v>1.08</v>
      </c>
      <c r="L656" t="s">
        <v>8</v>
      </c>
      <c r="M656" t="s">
        <v>8</v>
      </c>
      <c r="N656" t="s">
        <v>8</v>
      </c>
      <c r="P656">
        <f t="shared" si="999"/>
        <v>-5.8823529411766308E-2</v>
      </c>
      <c r="Q656">
        <f t="shared" si="1000"/>
        <v>-678374.6764706067</v>
      </c>
      <c r="R656">
        <f t="shared" si="1001"/>
        <v>-12348762.052270753</v>
      </c>
      <c r="S656">
        <f t="shared" si="1002"/>
        <v>-123.48762052270753</v>
      </c>
      <c r="T656">
        <f t="shared" si="1003"/>
        <v>-0.12348762052270754</v>
      </c>
    </row>
    <row r="657" spans="1:20" x14ac:dyDescent="0.25">
      <c r="A657" s="5">
        <v>43937</v>
      </c>
      <c r="B657">
        <v>0.1681</v>
      </c>
      <c r="C657">
        <v>0.19</v>
      </c>
      <c r="D657">
        <v>0.1641</v>
      </c>
      <c r="E657">
        <v>0.1857</v>
      </c>
      <c r="F657">
        <v>19031855.379999999</v>
      </c>
      <c r="G657">
        <v>10.47</v>
      </c>
      <c r="L657" t="s">
        <v>8</v>
      </c>
      <c r="M657" t="s">
        <v>7</v>
      </c>
      <c r="N657" t="s">
        <v>8</v>
      </c>
      <c r="P657">
        <f t="shared" si="999"/>
        <v>0.66795366795366817</v>
      </c>
      <c r="Q657">
        <f t="shared" si="1000"/>
        <v>12712397.609034752</v>
      </c>
      <c r="R657">
        <f t="shared" si="1001"/>
        <v>-11670387.375800146</v>
      </c>
      <c r="S657">
        <f t="shared" si="1002"/>
        <v>-116.70387375800146</v>
      </c>
      <c r="T657">
        <f t="shared" si="1003"/>
        <v>-0.11670387375800147</v>
      </c>
    </row>
    <row r="658" spans="1:20" x14ac:dyDescent="0.25">
      <c r="A658" s="5">
        <v>43936</v>
      </c>
      <c r="B658">
        <v>0.1782</v>
      </c>
      <c r="C658">
        <v>0.18290000000000001</v>
      </c>
      <c r="D658">
        <v>0.159</v>
      </c>
      <c r="E658">
        <v>0.16869999999999999</v>
      </c>
      <c r="F658">
        <v>13709954.16</v>
      </c>
      <c r="G658">
        <v>-5.33</v>
      </c>
      <c r="L658" t="s">
        <v>7</v>
      </c>
      <c r="M658" t="s">
        <v>7</v>
      </c>
      <c r="N658" t="s">
        <v>8</v>
      </c>
      <c r="P658">
        <f t="shared" si="999"/>
        <v>-0.18828451882845318</v>
      </c>
      <c r="Q658">
        <f t="shared" si="1000"/>
        <v>-2581372.1221757499</v>
      </c>
      <c r="R658">
        <f t="shared" si="1001"/>
        <v>-24382784.984834898</v>
      </c>
      <c r="S658">
        <f t="shared" si="1002"/>
        <v>-243.82784984834899</v>
      </c>
      <c r="T658">
        <f t="shared" si="1003"/>
        <v>-0.24382784984834899</v>
      </c>
    </row>
    <row r="659" spans="1:20" x14ac:dyDescent="0.25">
      <c r="A659" s="5">
        <v>43935</v>
      </c>
      <c r="B659">
        <v>0.1754</v>
      </c>
      <c r="C659">
        <v>0.18260000000000001</v>
      </c>
      <c r="D659">
        <v>0.17050000000000001</v>
      </c>
      <c r="E659">
        <v>0.17829999999999999</v>
      </c>
      <c r="F659">
        <v>11111729.98</v>
      </c>
      <c r="G659">
        <v>1.65</v>
      </c>
      <c r="L659" t="s">
        <v>8</v>
      </c>
      <c r="M659" t="s">
        <v>7</v>
      </c>
      <c r="N659" t="s">
        <v>8</v>
      </c>
      <c r="P659">
        <f t="shared" si="999"/>
        <v>0.28925619834710309</v>
      </c>
      <c r="Q659">
        <f t="shared" si="1000"/>
        <v>3214136.7710743318</v>
      </c>
      <c r="R659">
        <f t="shared" si="1001"/>
        <v>-21801412.862659149</v>
      </c>
      <c r="S659">
        <f t="shared" si="1002"/>
        <v>-218.01412862659149</v>
      </c>
      <c r="T659">
        <f t="shared" si="1003"/>
        <v>-0.21801412862659147</v>
      </c>
    </row>
    <row r="660" spans="1:20" x14ac:dyDescent="0.25">
      <c r="A660" s="5">
        <v>43934</v>
      </c>
      <c r="B660">
        <v>0.17730000000000001</v>
      </c>
      <c r="C660">
        <v>0.1789</v>
      </c>
      <c r="D660">
        <v>0.16789999999999999</v>
      </c>
      <c r="E660">
        <v>0.17549999999999999</v>
      </c>
      <c r="F660">
        <v>15504369.6</v>
      </c>
      <c r="G660">
        <v>-1.02</v>
      </c>
      <c r="L660" t="s">
        <v>7</v>
      </c>
      <c r="M660" t="s">
        <v>7</v>
      </c>
      <c r="N660" t="s">
        <v>8</v>
      </c>
      <c r="P660">
        <f t="shared" si="999"/>
        <v>0.38181818181817978</v>
      </c>
      <c r="Q660">
        <f t="shared" si="1000"/>
        <v>5919850.2109090593</v>
      </c>
      <c r="R660">
        <f t="shared" si="1001"/>
        <v>-25015549.633733481</v>
      </c>
      <c r="S660">
        <f t="shared" si="1002"/>
        <v>-250.15549633733482</v>
      </c>
      <c r="T660">
        <f t="shared" si="1003"/>
        <v>-0.2501554963373348</v>
      </c>
    </row>
    <row r="661" spans="1:20" x14ac:dyDescent="0.25">
      <c r="A661" s="5">
        <v>43933</v>
      </c>
      <c r="B661">
        <v>0.1794</v>
      </c>
      <c r="C661">
        <v>0.189</v>
      </c>
      <c r="D661">
        <v>0.17419999999999999</v>
      </c>
      <c r="E661">
        <v>0.17730000000000001</v>
      </c>
      <c r="F661">
        <v>12089660.91</v>
      </c>
      <c r="G661">
        <v>-1.17</v>
      </c>
      <c r="L661" t="s">
        <v>7</v>
      </c>
      <c r="M661" t="s">
        <v>7</v>
      </c>
      <c r="N661" t="s">
        <v>8</v>
      </c>
      <c r="P661">
        <f t="shared" si="999"/>
        <v>-0.5810810810810787</v>
      </c>
      <c r="Q661">
        <f t="shared" si="1000"/>
        <v>-7025073.2314864574</v>
      </c>
      <c r="R661">
        <f t="shared" si="1001"/>
        <v>-30935399.844642539</v>
      </c>
      <c r="S661">
        <f t="shared" si="1002"/>
        <v>-309.35399844642541</v>
      </c>
      <c r="T661">
        <f t="shared" si="1003"/>
        <v>-0.30935399844642542</v>
      </c>
    </row>
    <row r="662" spans="1:20" x14ac:dyDescent="0.25">
      <c r="A662" s="5">
        <v>43932</v>
      </c>
      <c r="B662">
        <v>0.17860000000000001</v>
      </c>
      <c r="C662">
        <v>0.186</v>
      </c>
      <c r="D662">
        <v>0.1729</v>
      </c>
      <c r="E662">
        <v>0.17949999999999999</v>
      </c>
      <c r="F662">
        <v>9801469.7100000009</v>
      </c>
      <c r="G662">
        <v>0.5</v>
      </c>
      <c r="L662" t="s">
        <v>8</v>
      </c>
      <c r="M662" t="s">
        <v>7</v>
      </c>
      <c r="N662" t="s">
        <v>8</v>
      </c>
      <c r="P662">
        <f t="shared" si="999"/>
        <v>7.6335877862587012E-3</v>
      </c>
      <c r="Q662">
        <f t="shared" si="1000"/>
        <v>74820.379465640624</v>
      </c>
      <c r="R662">
        <f t="shared" si="1001"/>
        <v>-23910326.61315608</v>
      </c>
      <c r="S662">
        <f t="shared" si="1002"/>
        <v>-239.10326613156082</v>
      </c>
      <c r="T662">
        <f t="shared" si="1003"/>
        <v>-0.23910326613156083</v>
      </c>
    </row>
    <row r="663" spans="1:20" x14ac:dyDescent="0.25">
      <c r="A663" s="5">
        <v>43931</v>
      </c>
      <c r="B663">
        <v>0.2</v>
      </c>
      <c r="C663">
        <v>0.20039999999999999</v>
      </c>
      <c r="D663">
        <v>0.17030000000000001</v>
      </c>
      <c r="E663">
        <v>0.17860000000000001</v>
      </c>
      <c r="F663">
        <v>21617333.73</v>
      </c>
      <c r="G663">
        <v>-10.7</v>
      </c>
      <c r="L663" t="s">
        <v>7</v>
      </c>
      <c r="M663" t="s">
        <v>7</v>
      </c>
      <c r="N663" t="s">
        <v>8</v>
      </c>
      <c r="P663">
        <f t="shared" si="999"/>
        <v>-0.44850498338870398</v>
      </c>
      <c r="Q663">
        <f t="shared" si="1000"/>
        <v>-9695481.9054817203</v>
      </c>
      <c r="R663">
        <f t="shared" si="1001"/>
        <v>-23985146.99262172</v>
      </c>
      <c r="S663">
        <f t="shared" si="1002"/>
        <v>-239.85146992621719</v>
      </c>
      <c r="T663">
        <f t="shared" si="1003"/>
        <v>-0.2398514699262172</v>
      </c>
    </row>
    <row r="664" spans="1:20" x14ac:dyDescent="0.25">
      <c r="A664" s="5">
        <v>43930</v>
      </c>
      <c r="B664">
        <v>0.2034</v>
      </c>
      <c r="C664">
        <v>0.21079999999999999</v>
      </c>
      <c r="D664">
        <v>0.19500000000000001</v>
      </c>
      <c r="E664">
        <v>0.2</v>
      </c>
      <c r="F664">
        <v>16280431.199999999</v>
      </c>
      <c r="G664">
        <v>-1.67</v>
      </c>
      <c r="L664" t="s">
        <v>8</v>
      </c>
      <c r="M664" t="s">
        <v>8</v>
      </c>
      <c r="N664" t="s">
        <v>8</v>
      </c>
      <c r="P664">
        <f t="shared" si="999"/>
        <v>-0.36708860759493539</v>
      </c>
      <c r="Q664">
        <f t="shared" si="1000"/>
        <v>-5976360.8202531431</v>
      </c>
      <c r="R664">
        <f t="shared" si="1001"/>
        <v>-14289665.087139998</v>
      </c>
      <c r="S664">
        <f t="shared" si="1002"/>
        <v>-142.89665087139997</v>
      </c>
      <c r="T664">
        <f t="shared" si="1003"/>
        <v>-0.14289665087139997</v>
      </c>
    </row>
    <row r="665" spans="1:20" x14ac:dyDescent="0.25">
      <c r="A665" s="5">
        <v>43929</v>
      </c>
      <c r="B665">
        <v>0.18540000000000001</v>
      </c>
      <c r="C665">
        <v>0.2059</v>
      </c>
      <c r="D665">
        <v>0.18429999999999999</v>
      </c>
      <c r="E665">
        <v>0.2039</v>
      </c>
      <c r="F665">
        <v>12255075.810000001</v>
      </c>
      <c r="G665">
        <v>9.98</v>
      </c>
      <c r="L665" t="s">
        <v>8</v>
      </c>
      <c r="M665" t="s">
        <v>8</v>
      </c>
      <c r="N665" t="s">
        <v>8</v>
      </c>
      <c r="P665">
        <f t="shared" si="999"/>
        <v>0.81481481481481477</v>
      </c>
      <c r="Q665">
        <f t="shared" si="1000"/>
        <v>9985617.3266666662</v>
      </c>
      <c r="R665">
        <f t="shared" si="1001"/>
        <v>-8313304.2668868545</v>
      </c>
      <c r="S665">
        <f t="shared" si="1002"/>
        <v>-83.133042668868541</v>
      </c>
      <c r="T665">
        <f t="shared" si="1003"/>
        <v>-8.3133042668868534E-2</v>
      </c>
    </row>
    <row r="666" spans="1:20" x14ac:dyDescent="0.25">
      <c r="A666" s="5">
        <v>43928</v>
      </c>
      <c r="B666">
        <v>0.18790000000000001</v>
      </c>
      <c r="C666">
        <v>0.1993</v>
      </c>
      <c r="D666">
        <v>0.18010000000000001</v>
      </c>
      <c r="E666">
        <v>0.18559999999999999</v>
      </c>
      <c r="F666">
        <v>18048051.77</v>
      </c>
      <c r="G666">
        <v>-1.22</v>
      </c>
      <c r="L666" t="s">
        <v>8</v>
      </c>
      <c r="M666" t="s">
        <v>8</v>
      </c>
      <c r="N666" t="s">
        <v>8</v>
      </c>
      <c r="P666">
        <f t="shared" si="999"/>
        <v>-0.42708333333333554</v>
      </c>
      <c r="Q666">
        <f t="shared" si="1000"/>
        <v>-7708022.110104206</v>
      </c>
      <c r="R666">
        <f t="shared" si="1001"/>
        <v>-18298921.593553521</v>
      </c>
      <c r="S666">
        <f t="shared" si="1002"/>
        <v>-182.98921593553521</v>
      </c>
      <c r="T666">
        <f t="shared" si="1003"/>
        <v>-0.18298921593553522</v>
      </c>
    </row>
    <row r="667" spans="1:20" x14ac:dyDescent="0.25">
      <c r="A667" s="5">
        <v>43927</v>
      </c>
      <c r="B667">
        <v>0.17180000000000001</v>
      </c>
      <c r="C667">
        <v>0.1888</v>
      </c>
      <c r="D667">
        <v>0.16919999999999999</v>
      </c>
      <c r="E667">
        <v>0.18759999999999999</v>
      </c>
      <c r="F667">
        <v>15404014.9</v>
      </c>
      <c r="G667">
        <v>9.1999999999999993</v>
      </c>
      <c r="L667" t="s">
        <v>8</v>
      </c>
      <c r="M667" t="s">
        <v>8</v>
      </c>
      <c r="N667" t="s">
        <v>8</v>
      </c>
      <c r="P667">
        <f t="shared" si="999"/>
        <v>0.87755102040816257</v>
      </c>
      <c r="Q667">
        <f t="shared" si="1000"/>
        <v>13517808.993877541</v>
      </c>
      <c r="R667">
        <f t="shared" si="1001"/>
        <v>-10590899.483449314</v>
      </c>
      <c r="S667">
        <f t="shared" si="1002"/>
        <v>-105.90899483449314</v>
      </c>
      <c r="T667">
        <f t="shared" si="1003"/>
        <v>-0.10590899483449315</v>
      </c>
    </row>
    <row r="668" spans="1:20" x14ac:dyDescent="0.25">
      <c r="A668" s="5">
        <v>43926</v>
      </c>
      <c r="B668">
        <v>0.17760000000000001</v>
      </c>
      <c r="C668">
        <v>0.18440000000000001</v>
      </c>
      <c r="D668">
        <v>0.1668</v>
      </c>
      <c r="E668">
        <v>0.17180000000000001</v>
      </c>
      <c r="F668">
        <v>21611656.050000001</v>
      </c>
      <c r="G668">
        <v>-3.27</v>
      </c>
      <c r="L668" t="s">
        <v>8</v>
      </c>
      <c r="M668" t="s">
        <v>8</v>
      </c>
      <c r="N668" t="s">
        <v>8</v>
      </c>
      <c r="P668">
        <f t="shared" si="999"/>
        <v>-0.43181818181818143</v>
      </c>
      <c r="Q668">
        <f t="shared" si="1000"/>
        <v>-9332306.0215909015</v>
      </c>
      <c r="R668">
        <f t="shared" si="1001"/>
        <v>-24108708.477326855</v>
      </c>
      <c r="S668">
        <f t="shared" si="1002"/>
        <v>-241.08708477326854</v>
      </c>
      <c r="T668">
        <f t="shared" si="1003"/>
        <v>-0.24108708477326854</v>
      </c>
    </row>
    <row r="669" spans="1:20" x14ac:dyDescent="0.25">
      <c r="A669" s="5">
        <v>43925</v>
      </c>
      <c r="B669">
        <v>0.1585</v>
      </c>
      <c r="C669">
        <v>0.1792</v>
      </c>
      <c r="D669">
        <v>0.15820000000000001</v>
      </c>
      <c r="E669">
        <v>0.1772</v>
      </c>
      <c r="F669">
        <v>20035325.600000001</v>
      </c>
      <c r="G669">
        <v>11.8</v>
      </c>
      <c r="L669" t="s">
        <v>8</v>
      </c>
      <c r="M669" t="s">
        <v>8</v>
      </c>
      <c r="N669" t="s">
        <v>8</v>
      </c>
      <c r="P669">
        <f t="shared" si="999"/>
        <v>0.80952380952380931</v>
      </c>
      <c r="Q669">
        <f t="shared" si="1000"/>
        <v>16219073.104761902</v>
      </c>
      <c r="R669">
        <f t="shared" si="1001"/>
        <v>-14776402.455735952</v>
      </c>
      <c r="S669">
        <f t="shared" si="1002"/>
        <v>-147.76402455735951</v>
      </c>
      <c r="T669">
        <f t="shared" si="1003"/>
        <v>-0.14776402455735951</v>
      </c>
    </row>
    <row r="670" spans="1:20" x14ac:dyDescent="0.25">
      <c r="A670" s="5">
        <v>43924</v>
      </c>
      <c r="B670">
        <v>0.1578</v>
      </c>
      <c r="C670">
        <v>0.16209999999999999</v>
      </c>
      <c r="D670">
        <v>0.15459999999999999</v>
      </c>
      <c r="E670">
        <v>0.15859999999999999</v>
      </c>
      <c r="F670">
        <v>9609555.6899999995</v>
      </c>
      <c r="G670">
        <v>0.51</v>
      </c>
      <c r="L670" t="s">
        <v>8</v>
      </c>
      <c r="M670" t="s">
        <v>8</v>
      </c>
      <c r="N670" t="s">
        <v>8</v>
      </c>
      <c r="P670">
        <f t="shared" si="999"/>
        <v>6.6666666666666666E-2</v>
      </c>
      <c r="Q670">
        <f t="shared" si="1000"/>
        <v>640637.04599999997</v>
      </c>
      <c r="R670">
        <f t="shared" si="1001"/>
        <v>-30995475.560497854</v>
      </c>
      <c r="S670">
        <f t="shared" si="1002"/>
        <v>-309.95475560497852</v>
      </c>
      <c r="T670">
        <f t="shared" si="1003"/>
        <v>-0.30995475560497854</v>
      </c>
    </row>
    <row r="671" spans="1:20" x14ac:dyDescent="0.25">
      <c r="A671" s="5">
        <v>43923</v>
      </c>
      <c r="B671">
        <v>0.15409999999999999</v>
      </c>
      <c r="C671">
        <v>0.1638</v>
      </c>
      <c r="D671">
        <v>0.1532</v>
      </c>
      <c r="E671">
        <v>0.158</v>
      </c>
      <c r="F671">
        <v>17532120.91</v>
      </c>
      <c r="G671">
        <v>2.5299999999999998</v>
      </c>
      <c r="L671" t="s">
        <v>8</v>
      </c>
      <c r="M671" t="s">
        <v>8</v>
      </c>
      <c r="N671" t="s">
        <v>8</v>
      </c>
      <c r="P671">
        <f t="shared" si="999"/>
        <v>-9.4339622641509538E-2</v>
      </c>
      <c r="Q671">
        <f t="shared" si="1000"/>
        <v>-1653973.6707547188</v>
      </c>
      <c r="R671">
        <f t="shared" si="1001"/>
        <v>-31636112.606497854</v>
      </c>
      <c r="S671">
        <f t="shared" si="1002"/>
        <v>-316.36112606497852</v>
      </c>
      <c r="T671">
        <f t="shared" si="1003"/>
        <v>-0.31636112606497852</v>
      </c>
    </row>
    <row r="672" spans="1:20" x14ac:dyDescent="0.25">
      <c r="A672" s="5">
        <v>43922</v>
      </c>
      <c r="B672">
        <v>0.15379999999999999</v>
      </c>
      <c r="C672">
        <v>0.15579999999999999</v>
      </c>
      <c r="D672">
        <v>0.14829999999999999</v>
      </c>
      <c r="E672">
        <v>0.154</v>
      </c>
      <c r="F672">
        <v>11855432.550000001</v>
      </c>
      <c r="G672">
        <v>0.13</v>
      </c>
      <c r="L672" t="s">
        <v>8</v>
      </c>
      <c r="M672" t="s">
        <v>8</v>
      </c>
      <c r="N672" t="s">
        <v>8</v>
      </c>
      <c r="P672">
        <f t="shared" si="999"/>
        <v>0.52000000000000146</v>
      </c>
      <c r="Q672">
        <f t="shared" si="1000"/>
        <v>6164824.9260000177</v>
      </c>
      <c r="R672">
        <f t="shared" si="1001"/>
        <v>-29982138.935743134</v>
      </c>
      <c r="S672">
        <f t="shared" si="1002"/>
        <v>-299.82138935743137</v>
      </c>
      <c r="T672">
        <f t="shared" si="1003"/>
        <v>-0.29982138935743136</v>
      </c>
    </row>
    <row r="673" spans="1:20" x14ac:dyDescent="0.25">
      <c r="A673" s="5">
        <v>43921</v>
      </c>
      <c r="B673">
        <v>0.1545</v>
      </c>
      <c r="C673">
        <v>0.1578</v>
      </c>
      <c r="D673">
        <v>0.1512</v>
      </c>
      <c r="E673">
        <v>0.154</v>
      </c>
      <c r="F673">
        <v>8735708.3800000008</v>
      </c>
      <c r="G673">
        <v>-0.32</v>
      </c>
      <c r="L673" t="s">
        <v>8</v>
      </c>
      <c r="M673" t="s">
        <v>8</v>
      </c>
      <c r="N673" t="s">
        <v>8</v>
      </c>
      <c r="P673">
        <f t="shared" si="999"/>
        <v>-0.15151515151515177</v>
      </c>
      <c r="Q673">
        <f t="shared" si="1000"/>
        <v>-1323592.178787881</v>
      </c>
      <c r="R673">
        <f t="shared" si="1001"/>
        <v>-36146963.861743152</v>
      </c>
      <c r="S673">
        <f t="shared" si="1002"/>
        <v>-361.46963861743154</v>
      </c>
      <c r="T673">
        <f t="shared" si="1003"/>
        <v>-0.36146963861743153</v>
      </c>
    </row>
    <row r="674" spans="1:20" x14ac:dyDescent="0.25">
      <c r="A674" s="5">
        <v>43920</v>
      </c>
      <c r="B674">
        <v>0.14410000000000001</v>
      </c>
      <c r="C674">
        <v>0.15670000000000001</v>
      </c>
      <c r="D674">
        <v>0.14330000000000001</v>
      </c>
      <c r="E674">
        <v>0.1547</v>
      </c>
      <c r="F674">
        <v>14694142.699999999</v>
      </c>
      <c r="G674">
        <v>7.36</v>
      </c>
      <c r="L674" t="s">
        <v>8</v>
      </c>
      <c r="M674" t="s">
        <v>8</v>
      </c>
      <c r="N674" t="s">
        <v>8</v>
      </c>
      <c r="P674">
        <f t="shared" si="999"/>
        <v>0.70149253731343242</v>
      </c>
      <c r="Q674">
        <f t="shared" si="1000"/>
        <v>10307831.44626865</v>
      </c>
      <c r="R674">
        <f t="shared" si="1001"/>
        <v>-34823371.682955272</v>
      </c>
      <c r="S674">
        <f t="shared" si="1002"/>
        <v>-348.23371682955275</v>
      </c>
      <c r="T674">
        <f t="shared" si="1003"/>
        <v>-0.34823371682955273</v>
      </c>
    </row>
    <row r="675" spans="1:20" x14ac:dyDescent="0.25">
      <c r="A675" s="5">
        <v>43919</v>
      </c>
      <c r="B675">
        <v>0.14990000000000001</v>
      </c>
      <c r="C675">
        <v>0.15240000000000001</v>
      </c>
      <c r="D675">
        <v>0.14219999999999999</v>
      </c>
      <c r="E675">
        <v>0.14410000000000001</v>
      </c>
      <c r="F675">
        <v>7506172.5099999998</v>
      </c>
      <c r="G675">
        <v>-3.87</v>
      </c>
      <c r="L675" t="s">
        <v>8</v>
      </c>
      <c r="M675" t="s">
        <v>8</v>
      </c>
      <c r="N675" t="s">
        <v>8</v>
      </c>
      <c r="P675">
        <f t="shared" si="999"/>
        <v>-0.62745098039215486</v>
      </c>
      <c r="Q675">
        <f t="shared" si="1000"/>
        <v>-4709755.3003921416</v>
      </c>
      <c r="R675">
        <f t="shared" si="1001"/>
        <v>-45131203.12922392</v>
      </c>
      <c r="S675">
        <f t="shared" si="1002"/>
        <v>-451.31203129223923</v>
      </c>
      <c r="T675">
        <f t="shared" si="1003"/>
        <v>-0.45131203129223924</v>
      </c>
    </row>
    <row r="676" spans="1:20" x14ac:dyDescent="0.25">
      <c r="A676" s="5">
        <v>43918</v>
      </c>
      <c r="B676">
        <v>0.15379999999999999</v>
      </c>
      <c r="C676">
        <v>0.15390000000000001</v>
      </c>
      <c r="D676">
        <v>0.14299999999999999</v>
      </c>
      <c r="E676">
        <v>0.14990000000000001</v>
      </c>
      <c r="F676">
        <v>10771529.109999999</v>
      </c>
      <c r="G676">
        <v>-2.54</v>
      </c>
      <c r="L676" t="s">
        <v>7</v>
      </c>
      <c r="M676" t="s">
        <v>8</v>
      </c>
      <c r="N676" t="s">
        <v>8</v>
      </c>
      <c r="P676">
        <f t="shared" si="999"/>
        <v>0.26605504587156037</v>
      </c>
      <c r="Q676">
        <f t="shared" si="1000"/>
        <v>2865819.6714678975</v>
      </c>
      <c r="R676">
        <f t="shared" si="1001"/>
        <v>-40421447.828831777</v>
      </c>
      <c r="S676">
        <f t="shared" si="1002"/>
        <v>-404.21447828831776</v>
      </c>
      <c r="T676">
        <f t="shared" si="1003"/>
        <v>-0.40421447828831775</v>
      </c>
    </row>
    <row r="677" spans="1:20" x14ac:dyDescent="0.25">
      <c r="A677" s="5">
        <v>43917</v>
      </c>
      <c r="B677">
        <v>0.15859999999999999</v>
      </c>
      <c r="C677">
        <v>0.16880000000000001</v>
      </c>
      <c r="D677">
        <v>0.15240000000000001</v>
      </c>
      <c r="E677">
        <v>0.15379999999999999</v>
      </c>
      <c r="F677">
        <v>17855259.620000001</v>
      </c>
      <c r="G677">
        <v>-3.03</v>
      </c>
      <c r="L677" t="s">
        <v>8</v>
      </c>
      <c r="M677" t="s">
        <v>8</v>
      </c>
      <c r="N677" t="s">
        <v>8</v>
      </c>
      <c r="P677">
        <f t="shared" si="999"/>
        <v>-0.82926829268292868</v>
      </c>
      <c r="Q677">
        <f t="shared" si="1000"/>
        <v>-14806800.660487838</v>
      </c>
      <c r="R677">
        <f t="shared" si="1001"/>
        <v>-43287267.500299677</v>
      </c>
      <c r="S677">
        <f t="shared" si="1002"/>
        <v>-432.8726750029968</v>
      </c>
      <c r="T677">
        <f t="shared" si="1003"/>
        <v>-0.43287267500299681</v>
      </c>
    </row>
    <row r="678" spans="1:20" x14ac:dyDescent="0.25">
      <c r="A678" s="5">
        <v>43916</v>
      </c>
      <c r="B678">
        <v>0.15390000000000001</v>
      </c>
      <c r="C678">
        <v>0.1598</v>
      </c>
      <c r="D678">
        <v>0.15029999999999999</v>
      </c>
      <c r="E678">
        <v>0.159</v>
      </c>
      <c r="F678">
        <v>11839876.869999999</v>
      </c>
      <c r="G678">
        <v>3.31</v>
      </c>
      <c r="L678" t="s">
        <v>7</v>
      </c>
      <c r="M678" t="s">
        <v>7</v>
      </c>
      <c r="N678" t="s">
        <v>8</v>
      </c>
      <c r="P678">
        <f t="shared" si="999"/>
        <v>0.83157894736842219</v>
      </c>
      <c r="Q678">
        <f t="shared" si="1000"/>
        <v>9845792.3445263281</v>
      </c>
      <c r="R678">
        <f t="shared" si="1001"/>
        <v>-28480466.839811839</v>
      </c>
      <c r="S678">
        <f t="shared" si="1002"/>
        <v>-284.80466839811839</v>
      </c>
      <c r="T678">
        <f t="shared" si="1003"/>
        <v>-0.28480466839811841</v>
      </c>
    </row>
    <row r="679" spans="1:20" x14ac:dyDescent="0.25">
      <c r="A679" s="5">
        <v>43915</v>
      </c>
      <c r="B679">
        <v>0.15939999999999999</v>
      </c>
      <c r="C679">
        <v>0.16189999999999999</v>
      </c>
      <c r="D679">
        <v>0.15029999999999999</v>
      </c>
      <c r="E679">
        <v>0.15359999999999999</v>
      </c>
      <c r="F679">
        <v>12742393.560000001</v>
      </c>
      <c r="G679">
        <v>-3.64</v>
      </c>
      <c r="L679" t="s">
        <v>8</v>
      </c>
      <c r="M679" t="s">
        <v>7</v>
      </c>
      <c r="N679" t="s">
        <v>8</v>
      </c>
      <c r="P679">
        <f t="shared" si="999"/>
        <v>-0.43103448275862111</v>
      </c>
      <c r="Q679">
        <f t="shared" si="1000"/>
        <v>-5492411.0172413848</v>
      </c>
      <c r="R679">
        <f t="shared" si="1001"/>
        <v>-38326259.184338167</v>
      </c>
      <c r="S679">
        <f t="shared" si="1002"/>
        <v>-383.2625918433817</v>
      </c>
      <c r="T679">
        <f t="shared" si="1003"/>
        <v>-0.38326259184338168</v>
      </c>
    </row>
    <row r="680" spans="1:20" x14ac:dyDescent="0.25">
      <c r="A680" s="5">
        <v>43914</v>
      </c>
      <c r="B680">
        <v>0.16</v>
      </c>
      <c r="C680">
        <v>0.16400000000000001</v>
      </c>
      <c r="D680">
        <v>0.15210000000000001</v>
      </c>
      <c r="E680">
        <v>0.1598</v>
      </c>
      <c r="F680">
        <v>15665049.17</v>
      </c>
      <c r="G680">
        <v>-0.13</v>
      </c>
      <c r="L680" t="s">
        <v>7</v>
      </c>
      <c r="M680" t="s">
        <v>7</v>
      </c>
      <c r="N680" t="s">
        <v>8</v>
      </c>
      <c r="P680">
        <f t="shared" si="999"/>
        <v>0.2941176470588216</v>
      </c>
      <c r="Q680">
        <f t="shared" si="1000"/>
        <v>4607367.4029411459</v>
      </c>
      <c r="R680">
        <f t="shared" si="1001"/>
        <v>-32833848.167096779</v>
      </c>
      <c r="S680">
        <f t="shared" si="1002"/>
        <v>-328.33848167096778</v>
      </c>
      <c r="T680">
        <f t="shared" si="1003"/>
        <v>-0.3283384816709678</v>
      </c>
    </row>
    <row r="681" spans="1:20" x14ac:dyDescent="0.25">
      <c r="A681" s="5">
        <v>43913</v>
      </c>
      <c r="B681">
        <v>0.1452</v>
      </c>
      <c r="C681">
        <v>0.16289999999999999</v>
      </c>
      <c r="D681">
        <v>0.14119999999999999</v>
      </c>
      <c r="E681">
        <v>0.1595</v>
      </c>
      <c r="F681">
        <v>11756142.91</v>
      </c>
      <c r="G681">
        <v>9.85</v>
      </c>
      <c r="L681" t="s">
        <v>8</v>
      </c>
      <c r="M681" t="s">
        <v>7</v>
      </c>
      <c r="N681" t="s">
        <v>8</v>
      </c>
      <c r="P681">
        <f t="shared" si="999"/>
        <v>0.68663594470046208</v>
      </c>
      <c r="Q681">
        <f t="shared" si="1000"/>
        <v>8072190.2930414891</v>
      </c>
      <c r="R681">
        <f t="shared" si="1001"/>
        <v>-37441215.570037924</v>
      </c>
      <c r="S681">
        <f t="shared" si="1002"/>
        <v>-374.41215570037923</v>
      </c>
      <c r="T681">
        <f t="shared" si="1003"/>
        <v>-0.37441215570037922</v>
      </c>
    </row>
    <row r="682" spans="1:20" x14ac:dyDescent="0.25">
      <c r="A682" s="5">
        <v>43912</v>
      </c>
      <c r="B682">
        <v>0.15240000000000001</v>
      </c>
      <c r="C682">
        <v>0.16950000000000001</v>
      </c>
      <c r="D682">
        <v>0.1434</v>
      </c>
      <c r="E682">
        <v>0.14549999999999999</v>
      </c>
      <c r="F682">
        <v>25032633.219999999</v>
      </c>
      <c r="G682">
        <v>-4.53</v>
      </c>
      <c r="L682" t="s">
        <v>7</v>
      </c>
      <c r="M682" t="s">
        <v>7</v>
      </c>
      <c r="N682" t="s">
        <v>8</v>
      </c>
      <c r="P682">
        <f t="shared" si="999"/>
        <v>-0.83908045977011569</v>
      </c>
      <c r="Q682">
        <f t="shared" si="1000"/>
        <v>-21004393.39149427</v>
      </c>
      <c r="R682">
        <f t="shared" si="1001"/>
        <v>-45513405.863079414</v>
      </c>
      <c r="S682">
        <f t="shared" si="1002"/>
        <v>-455.13405863079413</v>
      </c>
      <c r="T682">
        <f t="shared" si="1003"/>
        <v>-0.45513405863079415</v>
      </c>
    </row>
    <row r="683" spans="1:20" x14ac:dyDescent="0.25">
      <c r="A683" s="5">
        <v>43911</v>
      </c>
      <c r="B683">
        <v>0.158</v>
      </c>
      <c r="C683">
        <v>0.16489999999999999</v>
      </c>
      <c r="D683">
        <v>0.14410000000000001</v>
      </c>
      <c r="E683">
        <v>0.153</v>
      </c>
      <c r="F683">
        <v>13003799.310000001</v>
      </c>
      <c r="G683">
        <v>-3.16</v>
      </c>
      <c r="L683" t="s">
        <v>7</v>
      </c>
      <c r="M683" t="s">
        <v>7</v>
      </c>
      <c r="N683" t="s">
        <v>8</v>
      </c>
      <c r="P683">
        <f t="shared" si="999"/>
        <v>-0.14423076923076947</v>
      </c>
      <c r="Q683">
        <f t="shared" si="1000"/>
        <v>-1875547.9774038494</v>
      </c>
      <c r="R683">
        <f t="shared" si="1001"/>
        <v>-24509012.471585147</v>
      </c>
      <c r="S683">
        <f t="shared" si="1002"/>
        <v>-245.09012471585146</v>
      </c>
      <c r="T683">
        <f t="shared" si="1003"/>
        <v>-0.24509012471585145</v>
      </c>
    </row>
    <row r="684" spans="1:20" x14ac:dyDescent="0.25">
      <c r="A684" s="5">
        <v>43910</v>
      </c>
      <c r="B684">
        <v>0.15740000000000001</v>
      </c>
      <c r="C684">
        <v>0.18629999999999999</v>
      </c>
      <c r="D684">
        <v>0.14380000000000001</v>
      </c>
      <c r="E684">
        <v>0.1578</v>
      </c>
      <c r="F684">
        <v>21916848.640000001</v>
      </c>
      <c r="G684">
        <v>0.25</v>
      </c>
      <c r="L684" t="s">
        <v>8</v>
      </c>
      <c r="M684" t="s">
        <v>8</v>
      </c>
      <c r="N684" t="s">
        <v>8</v>
      </c>
      <c r="P684">
        <f t="shared" si="999"/>
        <v>-0.34117647058823575</v>
      </c>
      <c r="Q684">
        <f t="shared" si="1000"/>
        <v>-7477513.0654117744</v>
      </c>
      <c r="R684">
        <f t="shared" si="1001"/>
        <v>-22633464.494181298</v>
      </c>
      <c r="S684">
        <f t="shared" si="1002"/>
        <v>-226.33464494181297</v>
      </c>
      <c r="T684">
        <f t="shared" si="1003"/>
        <v>-0.22633464494181296</v>
      </c>
    </row>
    <row r="685" spans="1:20" x14ac:dyDescent="0.25">
      <c r="A685" s="5">
        <v>43909</v>
      </c>
      <c r="B685">
        <v>0.14069999999999999</v>
      </c>
      <c r="C685">
        <v>0.1696</v>
      </c>
      <c r="D685">
        <v>0.1391</v>
      </c>
      <c r="E685">
        <v>0.15740000000000001</v>
      </c>
      <c r="F685">
        <v>17997764.149999999</v>
      </c>
      <c r="G685">
        <v>11.87</v>
      </c>
      <c r="L685" t="s">
        <v>8</v>
      </c>
      <c r="M685" t="s">
        <v>8</v>
      </c>
      <c r="N685" t="s">
        <v>8</v>
      </c>
      <c r="P685">
        <f t="shared" si="999"/>
        <v>0.20000000000000073</v>
      </c>
      <c r="Q685">
        <f t="shared" si="1000"/>
        <v>3599552.8300000131</v>
      </c>
      <c r="R685">
        <f t="shared" si="1001"/>
        <v>-15155951.428769525</v>
      </c>
      <c r="S685">
        <f t="shared" si="1002"/>
        <v>-151.55951428769527</v>
      </c>
      <c r="T685">
        <f t="shared" si="1003"/>
        <v>-0.15155951428769526</v>
      </c>
    </row>
    <row r="686" spans="1:20" x14ac:dyDescent="0.25">
      <c r="A686" s="5">
        <v>43908</v>
      </c>
      <c r="B686">
        <v>0.13900000000000001</v>
      </c>
      <c r="C686">
        <v>0.1452</v>
      </c>
      <c r="D686">
        <v>0.127</v>
      </c>
      <c r="E686">
        <v>0.1409</v>
      </c>
      <c r="F686">
        <v>13351560.289999999</v>
      </c>
      <c r="G686">
        <v>1.37</v>
      </c>
      <c r="L686" t="s">
        <v>7</v>
      </c>
      <c r="M686" t="s">
        <v>7</v>
      </c>
      <c r="N686" t="s">
        <v>7</v>
      </c>
      <c r="P686">
        <f t="shared" si="999"/>
        <v>0.52747252747252749</v>
      </c>
      <c r="Q686">
        <f t="shared" si="1000"/>
        <v>7042581.2518681316</v>
      </c>
      <c r="R686">
        <f t="shared" si="1001"/>
        <v>-18755504.258769538</v>
      </c>
      <c r="S686">
        <f t="shared" si="1002"/>
        <v>-187.5550425876954</v>
      </c>
      <c r="T686">
        <f t="shared" si="1003"/>
        <v>-0.1875550425876954</v>
      </c>
    </row>
    <row r="687" spans="1:20" x14ac:dyDescent="0.25">
      <c r="A687" s="5">
        <v>43907</v>
      </c>
      <c r="B687">
        <v>0.1265</v>
      </c>
      <c r="C687">
        <v>0.14979999999999999</v>
      </c>
      <c r="D687">
        <v>0.12379999999999999</v>
      </c>
      <c r="E687">
        <v>0.13900000000000001</v>
      </c>
      <c r="F687">
        <v>17648324.440000001</v>
      </c>
      <c r="G687">
        <v>9.8800000000000008</v>
      </c>
      <c r="L687" t="s">
        <v>8</v>
      </c>
      <c r="M687" t="s">
        <v>8</v>
      </c>
      <c r="N687" t="s">
        <v>7</v>
      </c>
      <c r="P687">
        <f t="shared" si="999"/>
        <v>0.16923076923077091</v>
      </c>
      <c r="Q687">
        <f t="shared" si="1000"/>
        <v>2986639.5206154143</v>
      </c>
      <c r="R687">
        <f t="shared" si="1001"/>
        <v>-25798085.510637671</v>
      </c>
      <c r="S687">
        <f t="shared" si="1002"/>
        <v>-257.98085510637668</v>
      </c>
      <c r="T687">
        <f t="shared" si="1003"/>
        <v>-0.25798085510637669</v>
      </c>
    </row>
    <row r="688" spans="1:20" x14ac:dyDescent="0.25">
      <c r="A688" s="5">
        <v>43906</v>
      </c>
      <c r="B688">
        <v>0.14710000000000001</v>
      </c>
      <c r="C688">
        <v>0.14729999999999999</v>
      </c>
      <c r="D688">
        <v>0.115</v>
      </c>
      <c r="E688">
        <v>0.12659999999999999</v>
      </c>
      <c r="F688">
        <v>20956613.16</v>
      </c>
      <c r="G688">
        <v>-13.94</v>
      </c>
      <c r="L688" t="s">
        <v>7</v>
      </c>
      <c r="M688" t="s">
        <v>7</v>
      </c>
      <c r="N688" t="s">
        <v>7</v>
      </c>
      <c r="P688">
        <f t="shared" si="999"/>
        <v>-0.28173374613003144</v>
      </c>
      <c r="Q688">
        <f t="shared" si="1000"/>
        <v>-5904185.1317647155</v>
      </c>
      <c r="R688">
        <f t="shared" si="1001"/>
        <v>-28784725.031253085</v>
      </c>
      <c r="S688">
        <f t="shared" si="1002"/>
        <v>-287.84725031253083</v>
      </c>
      <c r="T688">
        <f t="shared" si="1003"/>
        <v>-0.28784725031253083</v>
      </c>
    </row>
    <row r="689" spans="1:20" x14ac:dyDescent="0.25">
      <c r="A689" s="5">
        <v>43905</v>
      </c>
      <c r="B689">
        <v>0.14749999999999999</v>
      </c>
      <c r="C689">
        <v>0.16200000000000001</v>
      </c>
      <c r="D689">
        <v>0.14169999999999999</v>
      </c>
      <c r="E689">
        <v>0.14710000000000001</v>
      </c>
      <c r="F689">
        <v>18030700.629999999</v>
      </c>
      <c r="G689">
        <v>-0.27</v>
      </c>
      <c r="L689" t="s">
        <v>7</v>
      </c>
      <c r="M689" t="s">
        <v>7</v>
      </c>
      <c r="N689" t="s">
        <v>8</v>
      </c>
      <c r="P689">
        <f t="shared" si="999"/>
        <v>-0.46798029556650123</v>
      </c>
      <c r="Q689">
        <f t="shared" si="1000"/>
        <v>-8438012.6100984998</v>
      </c>
      <c r="R689">
        <f t="shared" si="1001"/>
        <v>-22880539.899488367</v>
      </c>
      <c r="S689">
        <f t="shared" si="1002"/>
        <v>-228.80539899488366</v>
      </c>
      <c r="T689">
        <f t="shared" si="1003"/>
        <v>-0.22880539899488367</v>
      </c>
    </row>
    <row r="690" spans="1:20" x14ac:dyDescent="0.25">
      <c r="A690" s="5">
        <v>43904</v>
      </c>
      <c r="B690">
        <v>0.1517</v>
      </c>
      <c r="C690">
        <v>0.16700000000000001</v>
      </c>
      <c r="D690">
        <v>0.1439</v>
      </c>
      <c r="E690">
        <v>0.14729999999999999</v>
      </c>
      <c r="F690">
        <v>12749848.619999999</v>
      </c>
      <c r="G690">
        <v>-2.9</v>
      </c>
      <c r="L690" t="s">
        <v>8</v>
      </c>
      <c r="M690" t="s">
        <v>8</v>
      </c>
      <c r="N690" t="s">
        <v>8</v>
      </c>
      <c r="P690">
        <f t="shared" si="999"/>
        <v>-0.70562770562770694</v>
      </c>
      <c r="Q690">
        <f t="shared" si="1000"/>
        <v>-8996646.4288311843</v>
      </c>
      <c r="R690">
        <f t="shared" si="1001"/>
        <v>-14442527.289389867</v>
      </c>
      <c r="S690">
        <f t="shared" si="1002"/>
        <v>-144.42527289389866</v>
      </c>
      <c r="T690">
        <f t="shared" si="1003"/>
        <v>-0.14442527289389867</v>
      </c>
    </row>
    <row r="691" spans="1:20" x14ac:dyDescent="0.25">
      <c r="A691" s="5">
        <v>43903</v>
      </c>
      <c r="B691">
        <v>0.1348</v>
      </c>
      <c r="C691">
        <v>0.1784</v>
      </c>
      <c r="D691">
        <v>9.5799999999999996E-2</v>
      </c>
      <c r="E691">
        <v>0.1527</v>
      </c>
      <c r="F691">
        <v>37202685.57</v>
      </c>
      <c r="G691">
        <v>13.28</v>
      </c>
      <c r="L691" t="s">
        <v>7</v>
      </c>
      <c r="M691" t="s">
        <v>7</v>
      </c>
      <c r="N691" t="s">
        <v>7</v>
      </c>
      <c r="P691">
        <f t="shared" si="999"/>
        <v>0.37772397094430998</v>
      </c>
      <c r="Q691">
        <f t="shared" si="1000"/>
        <v>14052346.123292981</v>
      </c>
      <c r="R691">
        <f t="shared" si="1001"/>
        <v>-5445880.8605586831</v>
      </c>
      <c r="S691">
        <f t="shared" si="1002"/>
        <v>-54.458808605586832</v>
      </c>
      <c r="T691">
        <f t="shared" si="1003"/>
        <v>-5.4458808605586835E-2</v>
      </c>
    </row>
    <row r="692" spans="1:20" x14ac:dyDescent="0.25">
      <c r="A692" s="5">
        <v>43902</v>
      </c>
      <c r="B692">
        <v>0.27100000000000002</v>
      </c>
      <c r="C692">
        <v>0.27139999999999997</v>
      </c>
      <c r="D692">
        <v>0.13</v>
      </c>
      <c r="E692">
        <v>0.1343</v>
      </c>
      <c r="F692">
        <v>30353476.300000001</v>
      </c>
      <c r="G692">
        <v>-50.44</v>
      </c>
      <c r="L692" t="s">
        <v>7</v>
      </c>
      <c r="M692" t="s">
        <v>7</v>
      </c>
      <c r="N692" t="s">
        <v>7</v>
      </c>
      <c r="P692">
        <f t="shared" si="999"/>
        <v>-0.93917963224893919</v>
      </c>
      <c r="Q692">
        <f t="shared" si="1000"/>
        <v>-28507366.708910894</v>
      </c>
      <c r="R692">
        <f t="shared" si="1001"/>
        <v>-19498226.983851664</v>
      </c>
      <c r="S692">
        <f t="shared" si="1002"/>
        <v>-194.98226983851663</v>
      </c>
      <c r="T692">
        <f t="shared" si="1003"/>
        <v>-0.19498226983851663</v>
      </c>
    </row>
    <row r="693" spans="1:20" x14ac:dyDescent="0.25">
      <c r="A693" s="5">
        <v>43901</v>
      </c>
      <c r="B693">
        <v>0.2828</v>
      </c>
      <c r="C693">
        <v>0.28870000000000001</v>
      </c>
      <c r="D693">
        <v>0.24890000000000001</v>
      </c>
      <c r="E693">
        <v>0.27060000000000001</v>
      </c>
      <c r="F693">
        <v>9841617.7799999993</v>
      </c>
      <c r="G693">
        <v>-4.3099999999999996</v>
      </c>
      <c r="L693" t="s">
        <v>7</v>
      </c>
      <c r="M693" t="s">
        <v>7</v>
      </c>
      <c r="N693" t="s">
        <v>7</v>
      </c>
      <c r="P693">
        <f t="shared" si="999"/>
        <v>9.0452261306532458E-2</v>
      </c>
      <c r="Q693">
        <f t="shared" si="1000"/>
        <v>890196.58311557584</v>
      </c>
      <c r="R693">
        <f t="shared" si="1001"/>
        <v>9009139.7250592299</v>
      </c>
      <c r="S693">
        <f t="shared" si="1002"/>
        <v>90.091397250592294</v>
      </c>
      <c r="T693">
        <f t="shared" si="1003"/>
        <v>9.0091397250592301E-2</v>
      </c>
    </row>
    <row r="694" spans="1:20" x14ac:dyDescent="0.25">
      <c r="A694" s="5">
        <v>43900</v>
      </c>
      <c r="B694">
        <v>0.27950000000000003</v>
      </c>
      <c r="C694">
        <v>0.29870000000000002</v>
      </c>
      <c r="D694">
        <v>0.26960000000000001</v>
      </c>
      <c r="E694">
        <v>0.28199999999999997</v>
      </c>
      <c r="F694">
        <v>13937825.85</v>
      </c>
      <c r="G694">
        <v>0.89</v>
      </c>
      <c r="L694" t="s">
        <v>8</v>
      </c>
      <c r="M694" t="s">
        <v>8</v>
      </c>
      <c r="N694" t="s">
        <v>7</v>
      </c>
      <c r="P694">
        <f t="shared" si="999"/>
        <v>-0.14776632302405771</v>
      </c>
      <c r="Q694">
        <f t="shared" si="1000"/>
        <v>-2059541.2768041615</v>
      </c>
      <c r="R694">
        <f t="shared" si="1001"/>
        <v>8118943.141943655</v>
      </c>
      <c r="S694">
        <f t="shared" si="1002"/>
        <v>81.189431419436545</v>
      </c>
      <c r="T694">
        <f t="shared" si="1003"/>
        <v>8.1189431419436547E-2</v>
      </c>
    </row>
    <row r="695" spans="1:20" x14ac:dyDescent="0.25">
      <c r="A695" s="5">
        <v>43899</v>
      </c>
      <c r="B695">
        <v>0.29039999999999999</v>
      </c>
      <c r="C695">
        <v>0.29980000000000001</v>
      </c>
      <c r="D695">
        <v>0.24979999999999999</v>
      </c>
      <c r="E695">
        <v>0.2787</v>
      </c>
      <c r="F695">
        <v>20978950.550000001</v>
      </c>
      <c r="G695">
        <v>-4.03</v>
      </c>
      <c r="L695" t="s">
        <v>7</v>
      </c>
      <c r="M695" t="s">
        <v>7</v>
      </c>
      <c r="N695" t="s">
        <v>7</v>
      </c>
      <c r="P695">
        <f t="shared" si="999"/>
        <v>0.15599999999999997</v>
      </c>
      <c r="Q695">
        <f t="shared" si="1000"/>
        <v>3272716.2857999997</v>
      </c>
      <c r="R695">
        <f t="shared" si="1001"/>
        <v>10178484.418747816</v>
      </c>
      <c r="S695">
        <f t="shared" si="1002"/>
        <v>101.78484418747816</v>
      </c>
      <c r="T695">
        <f t="shared" si="1003"/>
        <v>0.10178484418747816</v>
      </c>
    </row>
    <row r="696" spans="1:20" x14ac:dyDescent="0.25">
      <c r="A696" s="5">
        <v>43898</v>
      </c>
      <c r="B696">
        <v>0.33750000000000002</v>
      </c>
      <c r="C696">
        <v>0.3407</v>
      </c>
      <c r="D696">
        <v>0.28810000000000002</v>
      </c>
      <c r="E696">
        <v>0.29039999999999999</v>
      </c>
      <c r="F696">
        <v>19338093.059999999</v>
      </c>
      <c r="G696">
        <v>-13.96</v>
      </c>
      <c r="L696" t="s">
        <v>7</v>
      </c>
      <c r="M696" t="s">
        <v>7</v>
      </c>
      <c r="N696" t="s">
        <v>7</v>
      </c>
      <c r="P696">
        <f t="shared" si="999"/>
        <v>-0.91254752851711141</v>
      </c>
      <c r="Q696">
        <f t="shared" si="1000"/>
        <v>-17646929.028136902</v>
      </c>
      <c r="R696">
        <f t="shared" si="1001"/>
        <v>6905768.1329478174</v>
      </c>
      <c r="S696">
        <f t="shared" si="1002"/>
        <v>69.057681329478172</v>
      </c>
      <c r="T696">
        <f t="shared" si="1003"/>
        <v>6.9057681329478177E-2</v>
      </c>
    </row>
    <row r="697" spans="1:20" x14ac:dyDescent="0.25">
      <c r="A697" s="5">
        <v>43897</v>
      </c>
      <c r="B697">
        <v>0.37330000000000002</v>
      </c>
      <c r="C697">
        <v>0.38219999999999998</v>
      </c>
      <c r="D697">
        <v>0.33639999999999998</v>
      </c>
      <c r="E697">
        <v>0.33750000000000002</v>
      </c>
      <c r="F697">
        <v>12297089.01</v>
      </c>
      <c r="G697">
        <v>-9.59</v>
      </c>
      <c r="L697" t="s">
        <v>7</v>
      </c>
      <c r="M697" t="s">
        <v>7</v>
      </c>
      <c r="N697" t="s">
        <v>7</v>
      </c>
      <c r="P697">
        <f t="shared" si="999"/>
        <v>-0.95196506550218141</v>
      </c>
      <c r="Q697">
        <f t="shared" si="1000"/>
        <v>-11706399.144890806</v>
      </c>
      <c r="R697">
        <f t="shared" si="1001"/>
        <v>24552697.161084719</v>
      </c>
      <c r="S697">
        <f t="shared" si="1002"/>
        <v>245.5269716108472</v>
      </c>
      <c r="T697">
        <f t="shared" si="1003"/>
        <v>0.24552697161084719</v>
      </c>
    </row>
    <row r="698" spans="1:20" x14ac:dyDescent="0.25">
      <c r="A698" s="5">
        <v>43896</v>
      </c>
      <c r="B698">
        <v>0.37830000000000003</v>
      </c>
      <c r="C698">
        <v>0.38600000000000001</v>
      </c>
      <c r="D698">
        <v>0.36099999999999999</v>
      </c>
      <c r="E698">
        <v>0.37319999999999998</v>
      </c>
      <c r="F698">
        <v>10906585.470000001</v>
      </c>
      <c r="G698">
        <v>-1.35</v>
      </c>
      <c r="L698" t="s">
        <v>7</v>
      </c>
      <c r="M698" t="s">
        <v>8</v>
      </c>
      <c r="N698" t="s">
        <v>7</v>
      </c>
      <c r="P698">
        <f t="shared" si="999"/>
        <v>-2.4000000000001777E-2</v>
      </c>
      <c r="Q698">
        <f t="shared" si="1000"/>
        <v>-261758.0512800194</v>
      </c>
      <c r="R698">
        <f t="shared" si="1001"/>
        <v>36259096.305975527</v>
      </c>
      <c r="S698">
        <f t="shared" si="1002"/>
        <v>362.59096305975527</v>
      </c>
      <c r="T698">
        <f t="shared" si="1003"/>
        <v>0.36259096305975524</v>
      </c>
    </row>
    <row r="699" spans="1:20" x14ac:dyDescent="0.25">
      <c r="A699" s="5">
        <v>43895</v>
      </c>
      <c r="B699">
        <v>0.39250000000000002</v>
      </c>
      <c r="C699">
        <v>0.41</v>
      </c>
      <c r="D699">
        <v>0.3755</v>
      </c>
      <c r="E699">
        <v>0.379</v>
      </c>
      <c r="F699">
        <v>11482013.25</v>
      </c>
      <c r="G699">
        <v>-3.44</v>
      </c>
      <c r="L699" t="s">
        <v>7</v>
      </c>
      <c r="M699" t="s">
        <v>8</v>
      </c>
      <c r="N699" t="s">
        <v>7</v>
      </c>
      <c r="P699">
        <f t="shared" si="999"/>
        <v>-0.79710144927536197</v>
      </c>
      <c r="Q699">
        <f t="shared" si="1000"/>
        <v>-9152329.4021739084</v>
      </c>
      <c r="R699">
        <f t="shared" si="1001"/>
        <v>36520854.357255548</v>
      </c>
      <c r="S699">
        <f t="shared" si="1002"/>
        <v>365.20854357255547</v>
      </c>
      <c r="T699">
        <f t="shared" si="1003"/>
        <v>0.36520854357255544</v>
      </c>
    </row>
    <row r="700" spans="1:20" x14ac:dyDescent="0.25">
      <c r="A700" s="5">
        <v>43894</v>
      </c>
      <c r="B700">
        <v>0.36859999999999998</v>
      </c>
      <c r="C700">
        <v>0.41260000000000002</v>
      </c>
      <c r="D700">
        <v>0.36530000000000001</v>
      </c>
      <c r="E700">
        <v>0.39290000000000003</v>
      </c>
      <c r="F700">
        <v>17939211.300000001</v>
      </c>
      <c r="G700">
        <v>6.59</v>
      </c>
      <c r="L700" t="s">
        <v>8</v>
      </c>
      <c r="M700" t="s">
        <v>8</v>
      </c>
      <c r="N700" t="s">
        <v>7</v>
      </c>
      <c r="P700">
        <f t="shared" si="999"/>
        <v>0.16701902748414413</v>
      </c>
      <c r="Q700">
        <f t="shared" si="1000"/>
        <v>2996189.6251585688</v>
      </c>
      <c r="R700">
        <f t="shared" si="1001"/>
        <v>45673183.759429455</v>
      </c>
      <c r="S700">
        <f t="shared" si="1002"/>
        <v>456.73183759429457</v>
      </c>
      <c r="T700">
        <f t="shared" si="1003"/>
        <v>0.45673183759429459</v>
      </c>
    </row>
    <row r="701" spans="1:20" x14ac:dyDescent="0.25">
      <c r="A701" s="5">
        <v>43893</v>
      </c>
      <c r="B701">
        <v>0.37419999999999998</v>
      </c>
      <c r="C701">
        <v>0.38790000000000002</v>
      </c>
      <c r="D701">
        <v>0.35489999999999999</v>
      </c>
      <c r="E701">
        <v>0.36890000000000001</v>
      </c>
      <c r="F701">
        <v>16646553.59</v>
      </c>
      <c r="G701">
        <v>-1.42</v>
      </c>
      <c r="L701" t="s">
        <v>7</v>
      </c>
      <c r="M701" t="s">
        <v>8</v>
      </c>
      <c r="N701" t="s">
        <v>7</v>
      </c>
      <c r="P701">
        <f t="shared" si="999"/>
        <v>-0.15151515151515152</v>
      </c>
      <c r="Q701">
        <f t="shared" si="1000"/>
        <v>-2522205.0893939394</v>
      </c>
      <c r="R701">
        <f t="shared" si="1001"/>
        <v>42676994.134270884</v>
      </c>
      <c r="S701">
        <f t="shared" si="1002"/>
        <v>426.76994134270882</v>
      </c>
      <c r="T701">
        <f t="shared" si="1003"/>
        <v>0.42676994134270879</v>
      </c>
    </row>
    <row r="702" spans="1:20" x14ac:dyDescent="0.25">
      <c r="A702" s="5">
        <v>43892</v>
      </c>
      <c r="B702">
        <v>0.3196</v>
      </c>
      <c r="C702">
        <v>0.39090000000000003</v>
      </c>
      <c r="D702">
        <v>0.31180000000000002</v>
      </c>
      <c r="E702">
        <v>0.37419999999999998</v>
      </c>
      <c r="F702">
        <v>15473577.09</v>
      </c>
      <c r="G702">
        <v>17.079999999999998</v>
      </c>
      <c r="L702" t="s">
        <v>8</v>
      </c>
      <c r="M702" t="s">
        <v>8</v>
      </c>
      <c r="N702" t="s">
        <v>7</v>
      </c>
      <c r="P702">
        <f t="shared" si="999"/>
        <v>0.57774968394437298</v>
      </c>
      <c r="Q702">
        <f t="shared" si="1000"/>
        <v>8939854.2732363902</v>
      </c>
      <c r="R702">
        <f t="shared" si="1001"/>
        <v>45199199.22366482</v>
      </c>
      <c r="S702">
        <f t="shared" si="1002"/>
        <v>451.99199223664823</v>
      </c>
      <c r="T702">
        <f t="shared" si="1003"/>
        <v>0.45199199223664821</v>
      </c>
    </row>
    <row r="703" spans="1:20" x14ac:dyDescent="0.25">
      <c r="A703" s="5">
        <v>43891</v>
      </c>
      <c r="B703">
        <v>0.3236</v>
      </c>
      <c r="C703">
        <v>0.3468</v>
      </c>
      <c r="D703">
        <v>0.308</v>
      </c>
      <c r="E703">
        <v>0.31969999999999998</v>
      </c>
      <c r="F703">
        <v>11805826.57</v>
      </c>
      <c r="G703">
        <v>-1.21</v>
      </c>
      <c r="L703" t="s">
        <v>7</v>
      </c>
      <c r="M703" t="s">
        <v>7</v>
      </c>
      <c r="N703" t="s">
        <v>7</v>
      </c>
      <c r="P703">
        <f t="shared" si="999"/>
        <v>-0.396907216494846</v>
      </c>
      <c r="Q703">
        <f t="shared" si="1000"/>
        <v>-4685817.7623195956</v>
      </c>
      <c r="R703">
        <f t="shared" si="1001"/>
        <v>36259344.950428426</v>
      </c>
      <c r="S703">
        <f t="shared" si="1002"/>
        <v>362.59344950428425</v>
      </c>
      <c r="T703">
        <f t="shared" si="1003"/>
        <v>0.36259344950428424</v>
      </c>
    </row>
    <row r="704" spans="1:20" x14ac:dyDescent="0.25">
      <c r="A704" s="5">
        <v>43890</v>
      </c>
      <c r="B704">
        <v>0.34910000000000002</v>
      </c>
      <c r="C704">
        <v>0.36969999999999997</v>
      </c>
      <c r="D704">
        <v>0.32350000000000001</v>
      </c>
      <c r="E704">
        <v>0.3236</v>
      </c>
      <c r="F704">
        <v>12358036.17</v>
      </c>
      <c r="G704">
        <v>-7.3</v>
      </c>
      <c r="L704" t="s">
        <v>7</v>
      </c>
      <c r="M704" t="s">
        <v>7</v>
      </c>
      <c r="N704" t="s">
        <v>7</v>
      </c>
      <c r="P704">
        <f t="shared" si="999"/>
        <v>-0.99567099567099615</v>
      </c>
      <c r="Q704">
        <f t="shared" si="1000"/>
        <v>-12304538.177922083</v>
      </c>
      <c r="R704">
        <f t="shared" si="1001"/>
        <v>40945162.712748021</v>
      </c>
      <c r="S704">
        <f t="shared" si="1002"/>
        <v>409.45162712748021</v>
      </c>
      <c r="T704">
        <f t="shared" si="1003"/>
        <v>0.40945162712748023</v>
      </c>
    </row>
    <row r="705" spans="1:20" x14ac:dyDescent="0.25">
      <c r="A705" s="5">
        <v>43889</v>
      </c>
      <c r="B705">
        <v>0.37640000000000001</v>
      </c>
      <c r="C705">
        <v>0.38440000000000002</v>
      </c>
      <c r="D705">
        <v>0.33300000000000002</v>
      </c>
      <c r="E705">
        <v>0.34899999999999998</v>
      </c>
      <c r="F705">
        <v>16274375.560000001</v>
      </c>
      <c r="G705">
        <v>-7.28</v>
      </c>
      <c r="L705" t="s">
        <v>7</v>
      </c>
      <c r="M705" t="s">
        <v>7</v>
      </c>
      <c r="N705" t="s">
        <v>7</v>
      </c>
      <c r="P705">
        <f t="shared" si="999"/>
        <v>-0.37743190661478759</v>
      </c>
      <c r="Q705">
        <f t="shared" si="1000"/>
        <v>-6142468.5965759018</v>
      </c>
      <c r="R705">
        <f t="shared" si="1001"/>
        <v>53249700.890670106</v>
      </c>
      <c r="S705">
        <f t="shared" si="1002"/>
        <v>532.49700890670101</v>
      </c>
      <c r="T705">
        <f t="shared" si="1003"/>
        <v>0.53249700890670104</v>
      </c>
    </row>
    <row r="706" spans="1:20" x14ac:dyDescent="0.25">
      <c r="A706" s="5">
        <v>43888</v>
      </c>
      <c r="B706">
        <v>0.36280000000000001</v>
      </c>
      <c r="C706">
        <v>0.39679999999999999</v>
      </c>
      <c r="D706">
        <v>0.33879999999999999</v>
      </c>
      <c r="E706">
        <v>0.37640000000000001</v>
      </c>
      <c r="F706">
        <v>16156102.439999999</v>
      </c>
      <c r="G706">
        <v>3.75</v>
      </c>
      <c r="L706" t="s">
        <v>8</v>
      </c>
      <c r="M706" t="s">
        <v>8</v>
      </c>
      <c r="N706" t="s">
        <v>7</v>
      </c>
      <c r="P706">
        <f t="shared" si="999"/>
        <v>0.2965517241379319</v>
      </c>
      <c r="Q706">
        <f t="shared" si="1000"/>
        <v>4791120.0339310486</v>
      </c>
      <c r="R706">
        <f t="shared" si="1001"/>
        <v>59392169.487246007</v>
      </c>
      <c r="S706">
        <f t="shared" si="1002"/>
        <v>593.92169487246008</v>
      </c>
      <c r="T706">
        <f t="shared" si="1003"/>
        <v>0.59392169487246005</v>
      </c>
    </row>
    <row r="707" spans="1:20" x14ac:dyDescent="0.25">
      <c r="A707" s="5">
        <v>43887</v>
      </c>
      <c r="B707">
        <v>0.39379999999999998</v>
      </c>
      <c r="C707">
        <v>0.41</v>
      </c>
      <c r="D707">
        <v>0.33829999999999999</v>
      </c>
      <c r="E707">
        <v>0.3629</v>
      </c>
      <c r="F707">
        <v>28251645.969999999</v>
      </c>
      <c r="G707">
        <v>-7.85</v>
      </c>
      <c r="L707" t="s">
        <v>7</v>
      </c>
      <c r="M707" t="s">
        <v>7</v>
      </c>
      <c r="N707" t="s">
        <v>7</v>
      </c>
      <c r="P707">
        <f t="shared" si="999"/>
        <v>-0.31380753138075268</v>
      </c>
      <c r="Q707">
        <f t="shared" si="1000"/>
        <v>-8865579.2792886905</v>
      </c>
      <c r="R707">
        <f t="shared" si="1001"/>
        <v>54601049.45331496</v>
      </c>
      <c r="S707">
        <f t="shared" si="1002"/>
        <v>546.01049453314965</v>
      </c>
      <c r="T707">
        <f t="shared" si="1003"/>
        <v>0.54601049453314965</v>
      </c>
    </row>
    <row r="708" spans="1:20" x14ac:dyDescent="0.25">
      <c r="A708" s="5">
        <v>43886</v>
      </c>
      <c r="B708">
        <v>0.49490000000000001</v>
      </c>
      <c r="C708">
        <v>0.49609999999999999</v>
      </c>
      <c r="D708">
        <v>0.37619999999999998</v>
      </c>
      <c r="E708">
        <v>0.39379999999999998</v>
      </c>
      <c r="F708">
        <v>36295758.729999997</v>
      </c>
      <c r="G708">
        <v>-20.43</v>
      </c>
      <c r="L708" t="s">
        <v>7</v>
      </c>
      <c r="M708" t="s">
        <v>7</v>
      </c>
      <c r="N708" t="s">
        <v>8</v>
      </c>
      <c r="P708">
        <f t="shared" si="999"/>
        <v>-0.70642201834862384</v>
      </c>
      <c r="Q708">
        <f t="shared" si="1000"/>
        <v>-25640123.139541283</v>
      </c>
      <c r="R708">
        <f t="shared" si="1001"/>
        <v>63466628.732603654</v>
      </c>
      <c r="S708">
        <f t="shared" si="1002"/>
        <v>634.66628732603658</v>
      </c>
      <c r="T708">
        <f t="shared" si="1003"/>
        <v>0.63466628732603658</v>
      </c>
    </row>
    <row r="709" spans="1:20" x14ac:dyDescent="0.25">
      <c r="A709" s="5">
        <v>43885</v>
      </c>
      <c r="B709">
        <v>0.45950000000000002</v>
      </c>
      <c r="C709">
        <v>0.50270000000000004</v>
      </c>
      <c r="D709">
        <v>0.433</v>
      </c>
      <c r="E709">
        <v>0.49459999999999998</v>
      </c>
      <c r="F709">
        <v>32885712.131999999</v>
      </c>
      <c r="G709">
        <v>7.64</v>
      </c>
      <c r="L709" t="s">
        <v>8</v>
      </c>
      <c r="M709" t="s">
        <v>8</v>
      </c>
      <c r="N709" t="s">
        <v>8</v>
      </c>
      <c r="P709">
        <f t="shared" si="999"/>
        <v>0.76757532281205032</v>
      </c>
      <c r="Q709">
        <f t="shared" si="1000"/>
        <v>25242261.105624057</v>
      </c>
      <c r="R709">
        <f t="shared" si="1001"/>
        <v>89106751.872144938</v>
      </c>
      <c r="S709">
        <f t="shared" si="1002"/>
        <v>891.06751872144935</v>
      </c>
      <c r="T709">
        <f t="shared" si="1003"/>
        <v>0.89106751872144929</v>
      </c>
    </row>
    <row r="710" spans="1:20" x14ac:dyDescent="0.25">
      <c r="A710" s="5">
        <v>43884</v>
      </c>
      <c r="B710">
        <v>0.44919999999999999</v>
      </c>
      <c r="C710">
        <v>0.46689999999999998</v>
      </c>
      <c r="D710">
        <v>0.42380000000000001</v>
      </c>
      <c r="E710">
        <v>0.45939999999999998</v>
      </c>
      <c r="F710">
        <v>11868446.65</v>
      </c>
      <c r="G710">
        <v>2.27</v>
      </c>
      <c r="L710" t="s">
        <v>8</v>
      </c>
      <c r="M710" t="s">
        <v>8</v>
      </c>
      <c r="N710" t="s">
        <v>8</v>
      </c>
      <c r="P710">
        <f t="shared" si="999"/>
        <v>0.6519721577726213</v>
      </c>
      <c r="Q710">
        <f t="shared" si="1000"/>
        <v>7737896.7718097391</v>
      </c>
      <c r="R710">
        <f t="shared" si="1001"/>
        <v>63864490.766520873</v>
      </c>
      <c r="S710">
        <f t="shared" si="1002"/>
        <v>638.64490766520873</v>
      </c>
      <c r="T710">
        <f t="shared" si="1003"/>
        <v>0.63864490766520876</v>
      </c>
    </row>
    <row r="711" spans="1:20" x14ac:dyDescent="0.25">
      <c r="A711" s="5">
        <v>43883</v>
      </c>
      <c r="B711">
        <v>0.41720000000000002</v>
      </c>
      <c r="C711">
        <v>0.46899999999999997</v>
      </c>
      <c r="D711">
        <v>0.41070000000000001</v>
      </c>
      <c r="E711">
        <v>0.44950000000000001</v>
      </c>
      <c r="F711">
        <v>19160834.719999999</v>
      </c>
      <c r="G711">
        <v>7.74</v>
      </c>
      <c r="L711" t="s">
        <v>7</v>
      </c>
      <c r="M711" t="s">
        <v>8</v>
      </c>
      <c r="N711" t="s">
        <v>8</v>
      </c>
      <c r="P711">
        <f t="shared" ref="P711:P767" si="1004">IF(C711=D711,0,((E711-D711)-(C711-E711))/(C711-D711))</f>
        <v>0.33104631217838854</v>
      </c>
      <c r="Q711">
        <f t="shared" ref="Q711:Q767" si="1005">F711*P711</f>
        <v>6343123.6723156255</v>
      </c>
      <c r="R711">
        <f t="shared" ref="R711:R767" si="1006">R712+Q711</f>
        <v>56126593.994711131</v>
      </c>
      <c r="S711">
        <f t="shared" ref="S711:S767" si="1007">R711/100000</f>
        <v>561.26593994711129</v>
      </c>
      <c r="T711">
        <f t="shared" ref="T711:T767" si="1008">S711/1000</f>
        <v>0.56126593994711127</v>
      </c>
    </row>
    <row r="712" spans="1:20" x14ac:dyDescent="0.25">
      <c r="A712" s="5">
        <v>43882</v>
      </c>
      <c r="B712">
        <v>0.43419999999999997</v>
      </c>
      <c r="C712">
        <v>0.48</v>
      </c>
      <c r="D712">
        <v>0.4093</v>
      </c>
      <c r="E712">
        <v>0.41799999999999998</v>
      </c>
      <c r="F712">
        <v>31872427.390000001</v>
      </c>
      <c r="G712">
        <v>-3.73</v>
      </c>
      <c r="L712" t="s">
        <v>8</v>
      </c>
      <c r="M712" t="s">
        <v>8</v>
      </c>
      <c r="N712" t="s">
        <v>8</v>
      </c>
      <c r="P712">
        <f t="shared" si="1004"/>
        <v>-0.75388967468175427</v>
      </c>
      <c r="Q712">
        <f t="shared" si="1005"/>
        <v>-24028293.916364934</v>
      </c>
      <c r="R712">
        <f t="shared" si="1006"/>
        <v>49783470.322395504</v>
      </c>
      <c r="S712">
        <f t="shared" si="1007"/>
        <v>497.83470322395505</v>
      </c>
      <c r="T712">
        <f t="shared" si="1008"/>
        <v>0.49783470322395507</v>
      </c>
    </row>
    <row r="713" spans="1:20" x14ac:dyDescent="0.25">
      <c r="A713" s="5">
        <v>43881</v>
      </c>
      <c r="B713">
        <v>0.34749999999999998</v>
      </c>
      <c r="C713">
        <v>0.45140000000000002</v>
      </c>
      <c r="D713">
        <v>0.33500000000000002</v>
      </c>
      <c r="E713">
        <v>0.43419999999999997</v>
      </c>
      <c r="F713">
        <v>31860158.201000001</v>
      </c>
      <c r="G713">
        <v>24.95</v>
      </c>
      <c r="L713" t="s">
        <v>8</v>
      </c>
      <c r="M713" t="s">
        <v>8</v>
      </c>
      <c r="N713" t="s">
        <v>8</v>
      </c>
      <c r="P713">
        <f t="shared" si="1004"/>
        <v>0.7044673539518892</v>
      </c>
      <c r="Q713">
        <f t="shared" si="1005"/>
        <v>22444441.344347052</v>
      </c>
      <c r="R713">
        <f t="shared" si="1006"/>
        <v>73811764.238760442</v>
      </c>
      <c r="S713">
        <f t="shared" si="1007"/>
        <v>738.11764238760441</v>
      </c>
      <c r="T713">
        <f t="shared" si="1008"/>
        <v>0.73811764238760436</v>
      </c>
    </row>
    <row r="714" spans="1:20" x14ac:dyDescent="0.25">
      <c r="A714" s="5">
        <v>43880</v>
      </c>
      <c r="B714">
        <v>0.34920000000000001</v>
      </c>
      <c r="C714">
        <v>0.39429999999999998</v>
      </c>
      <c r="D714">
        <v>0.33600000000000002</v>
      </c>
      <c r="E714">
        <v>0.34760000000000002</v>
      </c>
      <c r="F714">
        <v>11528620.24</v>
      </c>
      <c r="G714">
        <v>-0.46</v>
      </c>
      <c r="L714" t="s">
        <v>8</v>
      </c>
      <c r="M714" t="s">
        <v>8</v>
      </c>
      <c r="N714" t="s">
        <v>8</v>
      </c>
      <c r="P714">
        <f t="shared" si="1004"/>
        <v>-0.60205831903945084</v>
      </c>
      <c r="Q714">
        <f t="shared" si="1005"/>
        <v>-6940901.7225385904</v>
      </c>
      <c r="R714">
        <f t="shared" si="1006"/>
        <v>51367322.894413389</v>
      </c>
      <c r="S714">
        <f t="shared" si="1007"/>
        <v>513.67322894413394</v>
      </c>
      <c r="T714">
        <f t="shared" si="1008"/>
        <v>0.51367322894413392</v>
      </c>
    </row>
    <row r="715" spans="1:20" x14ac:dyDescent="0.25">
      <c r="A715" s="5">
        <v>43879</v>
      </c>
      <c r="B715">
        <v>0.32990000000000003</v>
      </c>
      <c r="C715">
        <v>0.35659999999999997</v>
      </c>
      <c r="D715">
        <v>0.30609999999999998</v>
      </c>
      <c r="E715">
        <v>0.34949999999999998</v>
      </c>
      <c r="F715">
        <v>8131410.0199999996</v>
      </c>
      <c r="G715">
        <v>5.94</v>
      </c>
      <c r="L715" t="s">
        <v>7</v>
      </c>
      <c r="M715" t="s">
        <v>8</v>
      </c>
      <c r="N715" t="s">
        <v>7</v>
      </c>
      <c r="P715">
        <f t="shared" si="1004"/>
        <v>0.7188118811881189</v>
      </c>
      <c r="Q715">
        <f t="shared" si="1005"/>
        <v>5844954.1331881192</v>
      </c>
      <c r="R715">
        <f t="shared" si="1006"/>
        <v>58308224.61695198</v>
      </c>
      <c r="S715">
        <f t="shared" si="1007"/>
        <v>583.08224616951975</v>
      </c>
      <c r="T715">
        <f t="shared" si="1008"/>
        <v>0.58308224616951976</v>
      </c>
    </row>
    <row r="716" spans="1:20" x14ac:dyDescent="0.25">
      <c r="A716" s="5">
        <v>43878</v>
      </c>
      <c r="B716">
        <v>0.34489999999999998</v>
      </c>
      <c r="C716">
        <v>0.35099999999999998</v>
      </c>
      <c r="D716">
        <v>0.29049999999999998</v>
      </c>
      <c r="E716">
        <v>0.32990000000000003</v>
      </c>
      <c r="F716">
        <v>13247246.91</v>
      </c>
      <c r="G716">
        <v>-4.3499999999999996</v>
      </c>
      <c r="L716" t="s">
        <v>8</v>
      </c>
      <c r="M716" t="s">
        <v>8</v>
      </c>
      <c r="N716" t="s">
        <v>7</v>
      </c>
      <c r="P716">
        <f t="shared" si="1004"/>
        <v>0.30247933884297679</v>
      </c>
      <c r="Q716">
        <f t="shared" si="1005"/>
        <v>4007018.4868264673</v>
      </c>
      <c r="R716">
        <f t="shared" si="1006"/>
        <v>52463270.483763859</v>
      </c>
      <c r="S716">
        <f t="shared" si="1007"/>
        <v>524.63270483763858</v>
      </c>
      <c r="T716">
        <f t="shared" si="1008"/>
        <v>0.52463270483763857</v>
      </c>
    </row>
    <row r="717" spans="1:20" x14ac:dyDescent="0.25">
      <c r="A717" s="5">
        <v>43877</v>
      </c>
      <c r="B717">
        <v>0.33489999999999998</v>
      </c>
      <c r="C717">
        <v>0.3503</v>
      </c>
      <c r="D717">
        <v>0.28699999999999998</v>
      </c>
      <c r="E717">
        <v>0.34499999999999997</v>
      </c>
      <c r="F717">
        <v>13289762.140000001</v>
      </c>
      <c r="G717">
        <v>3.02</v>
      </c>
      <c r="L717" t="s">
        <v>7</v>
      </c>
      <c r="M717" t="s">
        <v>7</v>
      </c>
      <c r="N717" t="s">
        <v>7</v>
      </c>
      <c r="P717">
        <f t="shared" si="1004"/>
        <v>0.83254344391785073</v>
      </c>
      <c r="Q717">
        <f t="shared" si="1005"/>
        <v>11064304.340884667</v>
      </c>
      <c r="R717">
        <f t="shared" si="1006"/>
        <v>48456251.996937394</v>
      </c>
      <c r="S717">
        <f t="shared" si="1007"/>
        <v>484.56251996937397</v>
      </c>
      <c r="T717">
        <f t="shared" si="1008"/>
        <v>0.48456251996937394</v>
      </c>
    </row>
    <row r="718" spans="1:20" x14ac:dyDescent="0.25">
      <c r="A718" s="5">
        <v>43876</v>
      </c>
      <c r="B718">
        <v>0.3664</v>
      </c>
      <c r="C718">
        <v>0.39069999999999999</v>
      </c>
      <c r="D718">
        <v>0.32619999999999999</v>
      </c>
      <c r="E718">
        <v>0.33489999999999998</v>
      </c>
      <c r="F718">
        <v>12437050.380000001</v>
      </c>
      <c r="G718">
        <v>-8.6</v>
      </c>
      <c r="L718" t="s">
        <v>8</v>
      </c>
      <c r="M718" t="s">
        <v>7</v>
      </c>
      <c r="N718" t="s">
        <v>8</v>
      </c>
      <c r="P718">
        <f t="shared" si="1004"/>
        <v>-0.73023255813953536</v>
      </c>
      <c r="Q718">
        <f t="shared" si="1005"/>
        <v>-9081939.1146976817</v>
      </c>
      <c r="R718">
        <f t="shared" si="1006"/>
        <v>37391947.656052724</v>
      </c>
      <c r="S718">
        <f t="shared" si="1007"/>
        <v>373.91947656052724</v>
      </c>
      <c r="T718">
        <f t="shared" si="1008"/>
        <v>0.37391947656052726</v>
      </c>
    </row>
    <row r="719" spans="1:20" x14ac:dyDescent="0.25">
      <c r="A719" s="5">
        <v>43875</v>
      </c>
      <c r="B719">
        <v>0.34970000000000001</v>
      </c>
      <c r="C719">
        <v>0.38450000000000001</v>
      </c>
      <c r="D719">
        <v>0.34189999999999998</v>
      </c>
      <c r="E719">
        <v>0.3664</v>
      </c>
      <c r="F719">
        <v>10364394.279999999</v>
      </c>
      <c r="G719">
        <v>4.78</v>
      </c>
      <c r="L719" t="s">
        <v>8</v>
      </c>
      <c r="M719" t="s">
        <v>7</v>
      </c>
      <c r="N719" t="s">
        <v>8</v>
      </c>
      <c r="P719">
        <f t="shared" si="1004"/>
        <v>0.15023474178403787</v>
      </c>
      <c r="Q719">
        <f t="shared" si="1005"/>
        <v>1557092.0984037591</v>
      </c>
      <c r="R719">
        <f t="shared" si="1006"/>
        <v>46473886.770750403</v>
      </c>
      <c r="S719">
        <f t="shared" si="1007"/>
        <v>464.73886770750403</v>
      </c>
      <c r="T719">
        <f t="shared" si="1008"/>
        <v>0.46473886770750406</v>
      </c>
    </row>
    <row r="720" spans="1:20" x14ac:dyDescent="0.25">
      <c r="A720" s="5">
        <v>43874</v>
      </c>
      <c r="B720">
        <v>0.38719999999999999</v>
      </c>
      <c r="C720">
        <v>0.40400000000000003</v>
      </c>
      <c r="D720">
        <v>0.34129999999999999</v>
      </c>
      <c r="E720">
        <v>0.34939999999999999</v>
      </c>
      <c r="F720">
        <v>15321763.09</v>
      </c>
      <c r="G720">
        <v>-9.76</v>
      </c>
      <c r="L720" t="s">
        <v>7</v>
      </c>
      <c r="M720" t="s">
        <v>7</v>
      </c>
      <c r="N720" t="s">
        <v>8</v>
      </c>
      <c r="P720">
        <f t="shared" si="1004"/>
        <v>-0.74162679425837352</v>
      </c>
      <c r="Q720">
        <f t="shared" si="1005"/>
        <v>-11363030.042822972</v>
      </c>
      <c r="R720">
        <f t="shared" si="1006"/>
        <v>44916794.672346644</v>
      </c>
      <c r="S720">
        <f t="shared" si="1007"/>
        <v>449.16794672346646</v>
      </c>
      <c r="T720">
        <f t="shared" si="1008"/>
        <v>0.44916794672346644</v>
      </c>
    </row>
    <row r="721" spans="1:20" x14ac:dyDescent="0.25">
      <c r="A721" s="5">
        <v>43873</v>
      </c>
      <c r="B721">
        <v>0.36870000000000003</v>
      </c>
      <c r="C721">
        <v>0.41310000000000002</v>
      </c>
      <c r="D721">
        <v>0.36149999999999999</v>
      </c>
      <c r="E721">
        <v>0.3876</v>
      </c>
      <c r="F721">
        <v>15167047.582</v>
      </c>
      <c r="G721">
        <v>5.13</v>
      </c>
      <c r="L721" t="s">
        <v>8</v>
      </c>
      <c r="M721" t="s">
        <v>8</v>
      </c>
      <c r="N721" t="s">
        <v>8</v>
      </c>
      <c r="P721">
        <f t="shared" si="1004"/>
        <v>1.1627906976743974E-2</v>
      </c>
      <c r="Q721">
        <f t="shared" si="1005"/>
        <v>176361.01839534563</v>
      </c>
      <c r="R721">
        <f t="shared" si="1006"/>
        <v>56279824.715169616</v>
      </c>
      <c r="S721">
        <f t="shared" si="1007"/>
        <v>562.79824715169616</v>
      </c>
      <c r="T721">
        <f t="shared" si="1008"/>
        <v>0.56279824715169613</v>
      </c>
    </row>
    <row r="722" spans="1:20" x14ac:dyDescent="0.25">
      <c r="A722" s="5">
        <v>43872</v>
      </c>
      <c r="B722">
        <v>0.35849999999999999</v>
      </c>
      <c r="C722">
        <v>0.38059999999999999</v>
      </c>
      <c r="D722">
        <v>0.34229999999999999</v>
      </c>
      <c r="E722">
        <v>0.36899999999999999</v>
      </c>
      <c r="F722">
        <v>13084937.626</v>
      </c>
      <c r="G722">
        <v>2.93</v>
      </c>
      <c r="L722" t="s">
        <v>8</v>
      </c>
      <c r="M722" t="s">
        <v>8</v>
      </c>
      <c r="N722" t="s">
        <v>8</v>
      </c>
      <c r="P722">
        <f t="shared" si="1004"/>
        <v>0.39425587467362927</v>
      </c>
      <c r="Q722">
        <f t="shared" si="1005"/>
        <v>5158813.5287885126</v>
      </c>
      <c r="R722">
        <f t="shared" si="1006"/>
        <v>56103463.696774274</v>
      </c>
      <c r="S722">
        <f t="shared" si="1007"/>
        <v>561.0346369677427</v>
      </c>
      <c r="T722">
        <f t="shared" si="1008"/>
        <v>0.56103463696774269</v>
      </c>
    </row>
    <row r="723" spans="1:20" x14ac:dyDescent="0.25">
      <c r="A723" s="5">
        <v>43871</v>
      </c>
      <c r="B723">
        <v>0.34060000000000001</v>
      </c>
      <c r="C723">
        <v>0.37609999999999999</v>
      </c>
      <c r="D723">
        <v>0.3075</v>
      </c>
      <c r="E723">
        <v>0.35849999999999999</v>
      </c>
      <c r="F723">
        <v>23135118.681000002</v>
      </c>
      <c r="G723">
        <v>5.26</v>
      </c>
      <c r="L723" t="s">
        <v>8</v>
      </c>
      <c r="M723" t="s">
        <v>8</v>
      </c>
      <c r="N723" t="s">
        <v>8</v>
      </c>
      <c r="P723">
        <f t="shared" si="1004"/>
        <v>0.48688046647230304</v>
      </c>
      <c r="Q723">
        <f t="shared" si="1005"/>
        <v>11264037.375297373</v>
      </c>
      <c r="R723">
        <f t="shared" si="1006"/>
        <v>50944650.16798576</v>
      </c>
      <c r="S723">
        <f t="shared" si="1007"/>
        <v>509.44650167985759</v>
      </c>
      <c r="T723">
        <f t="shared" si="1008"/>
        <v>0.50944650167985761</v>
      </c>
    </row>
    <row r="724" spans="1:20" x14ac:dyDescent="0.25">
      <c r="A724" s="5">
        <v>43870</v>
      </c>
      <c r="B724">
        <v>0.30740000000000001</v>
      </c>
      <c r="C724">
        <v>0.34899999999999998</v>
      </c>
      <c r="D724">
        <v>0.3044</v>
      </c>
      <c r="E724">
        <v>0.34110000000000001</v>
      </c>
      <c r="F724">
        <v>12522893.32</v>
      </c>
      <c r="G724">
        <v>10.96</v>
      </c>
      <c r="L724" t="s">
        <v>8</v>
      </c>
      <c r="M724" t="s">
        <v>8</v>
      </c>
      <c r="N724" t="s">
        <v>8</v>
      </c>
      <c r="P724">
        <f t="shared" si="1004"/>
        <v>0.64573991031390277</v>
      </c>
      <c r="Q724">
        <f t="shared" si="1005"/>
        <v>8086532.0093273725</v>
      </c>
      <c r="R724">
        <f t="shared" si="1006"/>
        <v>39680612.792688385</v>
      </c>
      <c r="S724">
        <f t="shared" si="1007"/>
        <v>396.80612792688385</v>
      </c>
      <c r="T724">
        <f t="shared" si="1008"/>
        <v>0.39680612792688386</v>
      </c>
    </row>
    <row r="725" spans="1:20" x14ac:dyDescent="0.25">
      <c r="A725" s="5">
        <v>43869</v>
      </c>
      <c r="B725">
        <v>0.31230000000000002</v>
      </c>
      <c r="C725">
        <v>0.32100000000000001</v>
      </c>
      <c r="D725">
        <v>0.28960000000000002</v>
      </c>
      <c r="E725">
        <v>0.30740000000000001</v>
      </c>
      <c r="F725">
        <v>9163685.5399999991</v>
      </c>
      <c r="G725">
        <v>-1.57</v>
      </c>
      <c r="L725" t="s">
        <v>7</v>
      </c>
      <c r="M725" t="s">
        <v>8</v>
      </c>
      <c r="N725" t="s">
        <v>8</v>
      </c>
      <c r="P725">
        <f t="shared" si="1004"/>
        <v>0.13375796178343896</v>
      </c>
      <c r="Q725">
        <f t="shared" si="1005"/>
        <v>1225715.900254772</v>
      </c>
      <c r="R725">
        <f t="shared" si="1006"/>
        <v>31594080.78336101</v>
      </c>
      <c r="S725">
        <f t="shared" si="1007"/>
        <v>315.94080783361011</v>
      </c>
      <c r="T725">
        <f t="shared" si="1008"/>
        <v>0.31594080783361012</v>
      </c>
    </row>
    <row r="726" spans="1:20" x14ac:dyDescent="0.25">
      <c r="A726" s="5">
        <v>43868</v>
      </c>
      <c r="B726">
        <v>0.2883</v>
      </c>
      <c r="C726">
        <v>0.32229999999999998</v>
      </c>
      <c r="D726">
        <v>0.28070000000000001</v>
      </c>
      <c r="E726">
        <v>0.31240000000000001</v>
      </c>
      <c r="F726">
        <v>15002159.300000001</v>
      </c>
      <c r="G726">
        <v>8.36</v>
      </c>
      <c r="L726" t="s">
        <v>8</v>
      </c>
      <c r="M726" t="s">
        <v>8</v>
      </c>
      <c r="N726" t="s">
        <v>8</v>
      </c>
      <c r="P726">
        <f t="shared" si="1004"/>
        <v>0.5240384615384629</v>
      </c>
      <c r="Q726">
        <f t="shared" si="1005"/>
        <v>7861708.4793269439</v>
      </c>
      <c r="R726">
        <f t="shared" si="1006"/>
        <v>30368364.883106239</v>
      </c>
      <c r="S726">
        <f t="shared" si="1007"/>
        <v>303.68364883106238</v>
      </c>
      <c r="T726">
        <f t="shared" si="1008"/>
        <v>0.30368364883106236</v>
      </c>
    </row>
    <row r="727" spans="1:20" x14ac:dyDescent="0.25">
      <c r="A727" s="5">
        <v>43867</v>
      </c>
      <c r="B727">
        <v>0.27560000000000001</v>
      </c>
      <c r="C727">
        <v>0.29330000000000001</v>
      </c>
      <c r="D727">
        <v>0.27279999999999999</v>
      </c>
      <c r="E727">
        <v>0.28839999999999999</v>
      </c>
      <c r="F727">
        <v>9719848.3499999996</v>
      </c>
      <c r="G727">
        <v>4.6399999999999997</v>
      </c>
      <c r="L727" t="s">
        <v>8</v>
      </c>
      <c r="M727" t="s">
        <v>8</v>
      </c>
      <c r="N727" t="s">
        <v>8</v>
      </c>
      <c r="P727">
        <f t="shared" si="1004"/>
        <v>0.52195121951219403</v>
      </c>
      <c r="Q727">
        <f t="shared" si="1005"/>
        <v>5073286.6997560868</v>
      </c>
      <c r="R727">
        <f t="shared" si="1006"/>
        <v>22506656.403779294</v>
      </c>
      <c r="S727">
        <f t="shared" si="1007"/>
        <v>225.06656403779294</v>
      </c>
      <c r="T727">
        <f t="shared" si="1008"/>
        <v>0.22506656403779293</v>
      </c>
    </row>
    <row r="728" spans="1:20" x14ac:dyDescent="0.25">
      <c r="A728" s="5">
        <v>43866</v>
      </c>
      <c r="B728">
        <v>0.28039999999999998</v>
      </c>
      <c r="C728">
        <v>0.28460000000000002</v>
      </c>
      <c r="D728">
        <v>0.2651</v>
      </c>
      <c r="E728">
        <v>0.27529999999999999</v>
      </c>
      <c r="F728">
        <v>8404671.6600000001</v>
      </c>
      <c r="G728">
        <v>-1.82</v>
      </c>
      <c r="L728" t="s">
        <v>7</v>
      </c>
      <c r="M728" t="s">
        <v>8</v>
      </c>
      <c r="N728" t="s">
        <v>7</v>
      </c>
      <c r="P728">
        <f t="shared" si="1004"/>
        <v>4.6153846153843874E-2</v>
      </c>
      <c r="Q728">
        <f t="shared" si="1005"/>
        <v>387907.92276921158</v>
      </c>
      <c r="R728">
        <f t="shared" si="1006"/>
        <v>17433369.704023208</v>
      </c>
      <c r="S728">
        <f t="shared" si="1007"/>
        <v>174.3336970402321</v>
      </c>
      <c r="T728">
        <f t="shared" si="1008"/>
        <v>0.17433369704023211</v>
      </c>
    </row>
    <row r="729" spans="1:20" x14ac:dyDescent="0.25">
      <c r="A729" s="5">
        <v>43865</v>
      </c>
      <c r="B729">
        <v>0.26319999999999999</v>
      </c>
      <c r="C729">
        <v>0.28789999999999999</v>
      </c>
      <c r="D729">
        <v>0.25879999999999997</v>
      </c>
      <c r="E729">
        <v>0.28039999999999998</v>
      </c>
      <c r="F729">
        <v>14258453.77</v>
      </c>
      <c r="G729">
        <v>6.53</v>
      </c>
      <c r="L729" t="s">
        <v>8</v>
      </c>
      <c r="M729" t="s">
        <v>8</v>
      </c>
      <c r="N729" t="s">
        <v>7</v>
      </c>
      <c r="P729">
        <f t="shared" si="1004"/>
        <v>0.48453608247422658</v>
      </c>
      <c r="Q729">
        <f t="shared" si="1005"/>
        <v>6908735.3318556668</v>
      </c>
      <c r="R729">
        <f t="shared" si="1006"/>
        <v>17045461.781253997</v>
      </c>
      <c r="S729">
        <f t="shared" si="1007"/>
        <v>170.45461781253996</v>
      </c>
      <c r="T729">
        <f t="shared" si="1008"/>
        <v>0.17045461781253995</v>
      </c>
    </row>
    <row r="730" spans="1:20" x14ac:dyDescent="0.25">
      <c r="A730" s="5">
        <v>43864</v>
      </c>
      <c r="B730">
        <v>0.25259999999999999</v>
      </c>
      <c r="C730">
        <v>0.27</v>
      </c>
      <c r="D730">
        <v>0.24829999999999999</v>
      </c>
      <c r="E730">
        <v>0.26300000000000001</v>
      </c>
      <c r="F730">
        <v>8163398.2300000004</v>
      </c>
      <c r="G730">
        <v>4.12</v>
      </c>
      <c r="L730" t="s">
        <v>8</v>
      </c>
      <c r="M730" t="s">
        <v>8</v>
      </c>
      <c r="N730" t="s">
        <v>7</v>
      </c>
      <c r="P730">
        <f t="shared" si="1004"/>
        <v>0.35483870967741954</v>
      </c>
      <c r="Q730">
        <f t="shared" si="1005"/>
        <v>2896689.6945161307</v>
      </c>
      <c r="R730">
        <f t="shared" si="1006"/>
        <v>10136726.449398331</v>
      </c>
      <c r="S730">
        <f t="shared" si="1007"/>
        <v>101.36726449398331</v>
      </c>
      <c r="T730">
        <f t="shared" si="1008"/>
        <v>0.10136726449398331</v>
      </c>
    </row>
    <row r="731" spans="1:20" x14ac:dyDescent="0.25">
      <c r="A731" s="5">
        <v>43863</v>
      </c>
      <c r="B731">
        <v>0.24759999999999999</v>
      </c>
      <c r="C731">
        <v>0.25990000000000002</v>
      </c>
      <c r="D731">
        <v>0.24210000000000001</v>
      </c>
      <c r="E731">
        <v>0.25280000000000002</v>
      </c>
      <c r="F731">
        <v>7346486.8600000003</v>
      </c>
      <c r="G731">
        <v>2.1</v>
      </c>
      <c r="L731" t="s">
        <v>7</v>
      </c>
      <c r="M731" t="s">
        <v>7</v>
      </c>
      <c r="N731" t="s">
        <v>7</v>
      </c>
      <c r="P731">
        <f t="shared" si="1004"/>
        <v>0.20224719101123695</v>
      </c>
      <c r="Q731">
        <f t="shared" si="1005"/>
        <v>1485806.3312359625</v>
      </c>
      <c r="R731">
        <f t="shared" si="1006"/>
        <v>7240036.7548821997</v>
      </c>
      <c r="S731">
        <f t="shared" si="1007"/>
        <v>72.400367548822004</v>
      </c>
      <c r="T731">
        <f t="shared" si="1008"/>
        <v>7.2400367548822009E-2</v>
      </c>
    </row>
    <row r="732" spans="1:20" x14ac:dyDescent="0.25">
      <c r="A732" s="5">
        <v>43862</v>
      </c>
      <c r="B732">
        <v>0.2475</v>
      </c>
      <c r="C732">
        <v>0.25209999999999999</v>
      </c>
      <c r="D732">
        <v>0.2437</v>
      </c>
      <c r="E732">
        <v>0.2475</v>
      </c>
      <c r="F732">
        <v>4453097.47</v>
      </c>
      <c r="G732">
        <v>0</v>
      </c>
      <c r="L732" t="s">
        <v>7</v>
      </c>
      <c r="M732" t="s">
        <v>7</v>
      </c>
      <c r="N732" t="s">
        <v>7</v>
      </c>
      <c r="P732">
        <f t="shared" si="1004"/>
        <v>-9.5238095238094761E-2</v>
      </c>
      <c r="Q732">
        <f t="shared" si="1005"/>
        <v>-424104.52095237881</v>
      </c>
      <c r="R732">
        <f t="shared" si="1006"/>
        <v>5754230.4236462368</v>
      </c>
      <c r="S732">
        <f t="shared" si="1007"/>
        <v>57.542304236462371</v>
      </c>
      <c r="T732">
        <f t="shared" si="1008"/>
        <v>5.7542304236462373E-2</v>
      </c>
    </row>
    <row r="733" spans="1:20" x14ac:dyDescent="0.25">
      <c r="A733" s="5">
        <v>43861</v>
      </c>
      <c r="B733">
        <v>0.24160000000000001</v>
      </c>
      <c r="C733">
        <v>0.26069999999999999</v>
      </c>
      <c r="D733">
        <v>0.2394</v>
      </c>
      <c r="E733">
        <v>0.24740000000000001</v>
      </c>
      <c r="F733">
        <v>11278993.07</v>
      </c>
      <c r="G733">
        <v>2.4</v>
      </c>
      <c r="L733" t="s">
        <v>8</v>
      </c>
      <c r="M733" t="s">
        <v>7</v>
      </c>
      <c r="N733" t="s">
        <v>7</v>
      </c>
      <c r="P733">
        <f t="shared" si="1004"/>
        <v>-0.24882629107981102</v>
      </c>
      <c r="Q733">
        <f t="shared" si="1005"/>
        <v>-2806510.0127229914</v>
      </c>
      <c r="R733">
        <f t="shared" si="1006"/>
        <v>6178334.9445986152</v>
      </c>
      <c r="S733">
        <f t="shared" si="1007"/>
        <v>61.783349445986154</v>
      </c>
      <c r="T733">
        <f t="shared" si="1008"/>
        <v>6.1783349445986152E-2</v>
      </c>
    </row>
    <row r="734" spans="1:20" x14ac:dyDescent="0.25">
      <c r="A734" s="5">
        <v>43860</v>
      </c>
      <c r="B734">
        <v>0.24049999999999999</v>
      </c>
      <c r="C734">
        <v>0.2455</v>
      </c>
      <c r="D734">
        <v>0.23680000000000001</v>
      </c>
      <c r="E734">
        <v>0.24149999999999999</v>
      </c>
      <c r="F734">
        <v>6158421.0499999998</v>
      </c>
      <c r="G734">
        <v>0.42</v>
      </c>
      <c r="L734" t="s">
        <v>8</v>
      </c>
      <c r="M734" t="s">
        <v>7</v>
      </c>
      <c r="N734" t="s">
        <v>7</v>
      </c>
      <c r="P734">
        <f t="shared" si="1004"/>
        <v>8.0459770114940182E-2</v>
      </c>
      <c r="Q734">
        <f t="shared" si="1005"/>
        <v>495505.14195400855</v>
      </c>
      <c r="R734">
        <f t="shared" si="1006"/>
        <v>8984844.9573216066</v>
      </c>
      <c r="S734">
        <f t="shared" si="1007"/>
        <v>89.848449573216072</v>
      </c>
      <c r="T734">
        <f t="shared" si="1008"/>
        <v>8.9848449573216069E-2</v>
      </c>
    </row>
    <row r="735" spans="1:20" x14ac:dyDescent="0.25">
      <c r="A735" s="5">
        <v>43859</v>
      </c>
      <c r="B735">
        <v>0.24399999999999999</v>
      </c>
      <c r="C735">
        <v>0.24440000000000001</v>
      </c>
      <c r="D735">
        <v>0.23899999999999999</v>
      </c>
      <c r="E735">
        <v>0.24049999999999999</v>
      </c>
      <c r="F735">
        <v>4807294.66</v>
      </c>
      <c r="G735">
        <v>-1.43</v>
      </c>
      <c r="L735" t="s">
        <v>8</v>
      </c>
      <c r="M735" t="s">
        <v>7</v>
      </c>
      <c r="N735" t="s">
        <v>7</v>
      </c>
      <c r="P735">
        <f t="shared" si="1004"/>
        <v>-0.44444444444444559</v>
      </c>
      <c r="Q735">
        <f t="shared" si="1005"/>
        <v>-2136575.40444445</v>
      </c>
      <c r="R735">
        <f t="shared" si="1006"/>
        <v>8489339.8153675981</v>
      </c>
      <c r="S735">
        <f t="shared" si="1007"/>
        <v>84.893398153675975</v>
      </c>
      <c r="T735">
        <f t="shared" si="1008"/>
        <v>8.489339815367597E-2</v>
      </c>
    </row>
    <row r="736" spans="1:20" x14ac:dyDescent="0.25">
      <c r="A736" s="5">
        <v>43858</v>
      </c>
      <c r="B736">
        <v>0.23980000000000001</v>
      </c>
      <c r="C736">
        <v>0.24629999999999999</v>
      </c>
      <c r="D736">
        <v>0.23849999999999999</v>
      </c>
      <c r="E736">
        <v>0.2437</v>
      </c>
      <c r="F736">
        <v>5652197.7800000003</v>
      </c>
      <c r="G736">
        <v>1.63</v>
      </c>
      <c r="L736" t="s">
        <v>8</v>
      </c>
      <c r="M736" t="s">
        <v>7</v>
      </c>
      <c r="N736" t="s">
        <v>7</v>
      </c>
      <c r="P736">
        <f t="shared" si="1004"/>
        <v>0.3333333333333357</v>
      </c>
      <c r="Q736">
        <f t="shared" si="1005"/>
        <v>1884065.92666668</v>
      </c>
      <c r="R736">
        <f t="shared" si="1006"/>
        <v>10625915.219812049</v>
      </c>
      <c r="S736">
        <f t="shared" si="1007"/>
        <v>106.25915219812049</v>
      </c>
      <c r="T736">
        <f t="shared" si="1008"/>
        <v>0.10625915219812049</v>
      </c>
    </row>
    <row r="737" spans="1:20" x14ac:dyDescent="0.25">
      <c r="A737" s="5">
        <v>43857</v>
      </c>
      <c r="B737">
        <v>0.23780000000000001</v>
      </c>
      <c r="C737">
        <v>0.2424</v>
      </c>
      <c r="D737">
        <v>0.2374</v>
      </c>
      <c r="E737">
        <v>0.24</v>
      </c>
      <c r="F737">
        <v>4103047.83</v>
      </c>
      <c r="G737">
        <v>0.93</v>
      </c>
      <c r="L737" t="s">
        <v>7</v>
      </c>
      <c r="M737" t="s">
        <v>7</v>
      </c>
      <c r="N737" t="s">
        <v>7</v>
      </c>
      <c r="P737">
        <f t="shared" si="1004"/>
        <v>3.999999999999556E-2</v>
      </c>
      <c r="Q737">
        <f t="shared" si="1005"/>
        <v>164121.91319998179</v>
      </c>
      <c r="R737">
        <f t="shared" si="1006"/>
        <v>8741849.2931453679</v>
      </c>
      <c r="S737">
        <f t="shared" si="1007"/>
        <v>87.418492931453684</v>
      </c>
      <c r="T737">
        <f t="shared" si="1008"/>
        <v>8.7418492931453678E-2</v>
      </c>
    </row>
    <row r="738" spans="1:20" x14ac:dyDescent="0.25">
      <c r="A738" s="5">
        <v>43856</v>
      </c>
      <c r="B738">
        <v>0.2339</v>
      </c>
      <c r="C738">
        <v>0.23799999999999999</v>
      </c>
      <c r="D738">
        <v>0.23319999999999999</v>
      </c>
      <c r="E738">
        <v>0.23780000000000001</v>
      </c>
      <c r="F738">
        <v>3136631.74</v>
      </c>
      <c r="G738">
        <v>1.67</v>
      </c>
      <c r="L738" t="s">
        <v>7</v>
      </c>
      <c r="M738" t="s">
        <v>7</v>
      </c>
      <c r="N738" t="s">
        <v>7</v>
      </c>
      <c r="P738">
        <f t="shared" si="1004"/>
        <v>0.91666666666667584</v>
      </c>
      <c r="Q738">
        <f t="shared" si="1005"/>
        <v>2875245.7616666956</v>
      </c>
      <c r="R738">
        <f t="shared" si="1006"/>
        <v>8577727.3799453862</v>
      </c>
      <c r="S738">
        <f t="shared" si="1007"/>
        <v>85.777273799453866</v>
      </c>
      <c r="T738">
        <f t="shared" si="1008"/>
        <v>8.5777273799453865E-2</v>
      </c>
    </row>
    <row r="739" spans="1:20" x14ac:dyDescent="0.25">
      <c r="A739" s="5">
        <v>43855</v>
      </c>
      <c r="B739">
        <v>0.23169999999999999</v>
      </c>
      <c r="C739">
        <v>0.23730000000000001</v>
      </c>
      <c r="D739">
        <v>0.2291</v>
      </c>
      <c r="E739">
        <v>0.23400000000000001</v>
      </c>
      <c r="F739">
        <v>3294543.34</v>
      </c>
      <c r="G739">
        <v>0.99</v>
      </c>
      <c r="L739" t="s">
        <v>7</v>
      </c>
      <c r="M739" t="s">
        <v>7</v>
      </c>
      <c r="N739" t="s">
        <v>7</v>
      </c>
      <c r="P739">
        <f t="shared" si="1004"/>
        <v>0.19512195121951409</v>
      </c>
      <c r="Q739">
        <f t="shared" si="1005"/>
        <v>642837.72487805504</v>
      </c>
      <c r="R739">
        <f t="shared" si="1006"/>
        <v>5702481.6182786915</v>
      </c>
      <c r="S739">
        <f t="shared" si="1007"/>
        <v>57.024816182786914</v>
      </c>
      <c r="T739">
        <f t="shared" si="1008"/>
        <v>5.7024816182786917E-2</v>
      </c>
    </row>
    <row r="740" spans="1:20" x14ac:dyDescent="0.25">
      <c r="A740" s="5">
        <v>43854</v>
      </c>
      <c r="B740">
        <v>0.2356</v>
      </c>
      <c r="C740">
        <v>0.24049999999999999</v>
      </c>
      <c r="D740">
        <v>0.2303</v>
      </c>
      <c r="E740">
        <v>0.2316</v>
      </c>
      <c r="F740">
        <v>5173920.91</v>
      </c>
      <c r="G740">
        <v>-1.7</v>
      </c>
      <c r="L740" t="s">
        <v>7</v>
      </c>
      <c r="M740" t="s">
        <v>7</v>
      </c>
      <c r="N740" t="s">
        <v>7</v>
      </c>
      <c r="P740">
        <f t="shared" si="1004"/>
        <v>-0.74509803921568685</v>
      </c>
      <c r="Q740">
        <f t="shared" si="1005"/>
        <v>-3855078.3250980424</v>
      </c>
      <c r="R740">
        <f t="shared" si="1006"/>
        <v>5059643.8934006365</v>
      </c>
      <c r="S740">
        <f t="shared" si="1007"/>
        <v>50.596438934006365</v>
      </c>
      <c r="T740">
        <f t="shared" si="1008"/>
        <v>5.0596438934006366E-2</v>
      </c>
    </row>
    <row r="741" spans="1:20" x14ac:dyDescent="0.25">
      <c r="A741" s="5">
        <v>43853</v>
      </c>
      <c r="B741">
        <v>0.24660000000000001</v>
      </c>
      <c r="C741">
        <v>0.2472</v>
      </c>
      <c r="D741">
        <v>0.2326</v>
      </c>
      <c r="E741">
        <v>0.2356</v>
      </c>
      <c r="F741">
        <v>3332831.78</v>
      </c>
      <c r="G741">
        <v>-4.46</v>
      </c>
      <c r="L741" t="s">
        <v>7</v>
      </c>
      <c r="M741" t="s">
        <v>8</v>
      </c>
      <c r="N741" t="s">
        <v>7</v>
      </c>
      <c r="P741">
        <f t="shared" si="1004"/>
        <v>-0.58904109589041065</v>
      </c>
      <c r="Q741">
        <f t="shared" si="1005"/>
        <v>-1963174.8841095879</v>
      </c>
      <c r="R741">
        <f t="shared" si="1006"/>
        <v>8914722.2184986789</v>
      </c>
      <c r="S741">
        <f t="shared" si="1007"/>
        <v>89.147222184986788</v>
      </c>
      <c r="T741">
        <f t="shared" si="1008"/>
        <v>8.9147222184986788E-2</v>
      </c>
    </row>
    <row r="742" spans="1:20" x14ac:dyDescent="0.25">
      <c r="A742" s="5">
        <v>43852</v>
      </c>
      <c r="B742">
        <v>0.24879999999999999</v>
      </c>
      <c r="C742">
        <v>0.251</v>
      </c>
      <c r="D742">
        <v>0.24340000000000001</v>
      </c>
      <c r="E742">
        <v>0.247</v>
      </c>
      <c r="F742">
        <v>3814538.77</v>
      </c>
      <c r="G742">
        <v>-0.72</v>
      </c>
      <c r="L742" t="s">
        <v>8</v>
      </c>
      <c r="M742" t="s">
        <v>8</v>
      </c>
      <c r="N742" t="s">
        <v>7</v>
      </c>
      <c r="P742">
        <f t="shared" si="1004"/>
        <v>-5.2631578947369959E-2</v>
      </c>
      <c r="Q742">
        <f t="shared" si="1005"/>
        <v>-200765.19842105851</v>
      </c>
      <c r="R742">
        <f t="shared" si="1006"/>
        <v>10877897.102608267</v>
      </c>
      <c r="S742">
        <f t="shared" si="1007"/>
        <v>108.77897102608267</v>
      </c>
      <c r="T742">
        <f t="shared" si="1008"/>
        <v>0.10877897102608267</v>
      </c>
    </row>
    <row r="743" spans="1:20" x14ac:dyDescent="0.25">
      <c r="A743" s="5">
        <v>43851</v>
      </c>
      <c r="B743">
        <v>0.2366</v>
      </c>
      <c r="C743">
        <v>0.25609999999999999</v>
      </c>
      <c r="D743">
        <v>0.23499999999999999</v>
      </c>
      <c r="E743">
        <v>0.2482</v>
      </c>
      <c r="F743">
        <v>8168296.5199999996</v>
      </c>
      <c r="G743">
        <v>4.9000000000000004</v>
      </c>
      <c r="L743" t="s">
        <v>8</v>
      </c>
      <c r="M743" t="s">
        <v>8</v>
      </c>
      <c r="N743" t="s">
        <v>7</v>
      </c>
      <c r="P743">
        <f t="shared" si="1004"/>
        <v>0.25118483412322395</v>
      </c>
      <c r="Q743">
        <f t="shared" si="1005"/>
        <v>2051752.2064455075</v>
      </c>
      <c r="R743">
        <f t="shared" si="1006"/>
        <v>11078662.301029326</v>
      </c>
      <c r="S743">
        <f t="shared" si="1007"/>
        <v>110.78662301029327</v>
      </c>
      <c r="T743">
        <f t="shared" si="1008"/>
        <v>0.11078662301029327</v>
      </c>
    </row>
    <row r="744" spans="1:20" x14ac:dyDescent="0.25">
      <c r="A744" s="5">
        <v>43850</v>
      </c>
      <c r="B744">
        <v>0.2402</v>
      </c>
      <c r="C744">
        <v>0.2429</v>
      </c>
      <c r="D744">
        <v>0.23150000000000001</v>
      </c>
      <c r="E744">
        <v>0.23699999999999999</v>
      </c>
      <c r="F744">
        <v>2933922.34</v>
      </c>
      <c r="G744">
        <v>-1.33</v>
      </c>
      <c r="L744" t="s">
        <v>7</v>
      </c>
      <c r="M744" t="s">
        <v>8</v>
      </c>
      <c r="N744" t="s">
        <v>7</v>
      </c>
      <c r="P744">
        <f t="shared" si="1004"/>
        <v>-3.5087719298249075E-2</v>
      </c>
      <c r="Q744">
        <f t="shared" si="1005"/>
        <v>-102944.64350878207</v>
      </c>
      <c r="R744">
        <f t="shared" si="1006"/>
        <v>9026910.0945838187</v>
      </c>
      <c r="S744">
        <f t="shared" si="1007"/>
        <v>90.26910094583819</v>
      </c>
      <c r="T744">
        <f t="shared" si="1008"/>
        <v>9.026910094583819E-2</v>
      </c>
    </row>
    <row r="745" spans="1:20" x14ac:dyDescent="0.25">
      <c r="A745" s="5">
        <v>43849</v>
      </c>
      <c r="B745">
        <v>0.25829999999999997</v>
      </c>
      <c r="C745">
        <v>0.2611</v>
      </c>
      <c r="D745">
        <v>0.23300000000000001</v>
      </c>
      <c r="E745">
        <v>0.24</v>
      </c>
      <c r="F745">
        <v>5044576.51</v>
      </c>
      <c r="G745">
        <v>-7.08</v>
      </c>
      <c r="L745" t="s">
        <v>7</v>
      </c>
      <c r="M745" t="s">
        <v>8</v>
      </c>
      <c r="N745" t="s">
        <v>7</v>
      </c>
      <c r="P745">
        <f t="shared" si="1004"/>
        <v>-0.50177935943060625</v>
      </c>
      <c r="Q745">
        <f t="shared" si="1005"/>
        <v>-2531264.3697864832</v>
      </c>
      <c r="R745">
        <f t="shared" si="1006"/>
        <v>9129854.7380926013</v>
      </c>
      <c r="S745">
        <f t="shared" si="1007"/>
        <v>91.29854738092601</v>
      </c>
      <c r="T745">
        <f t="shared" si="1008"/>
        <v>9.1298547380926007E-2</v>
      </c>
    </row>
    <row r="746" spans="1:20" x14ac:dyDescent="0.25">
      <c r="A746" s="5">
        <v>43848</v>
      </c>
      <c r="B746">
        <v>0.2616</v>
      </c>
      <c r="C746">
        <v>0.26800000000000002</v>
      </c>
      <c r="D746">
        <v>0.24779999999999999</v>
      </c>
      <c r="E746">
        <v>0.25850000000000001</v>
      </c>
      <c r="F746">
        <v>5538823.7199999997</v>
      </c>
      <c r="G746">
        <v>-1.19</v>
      </c>
      <c r="L746" t="s">
        <v>7</v>
      </c>
      <c r="M746" t="s">
        <v>8</v>
      </c>
      <c r="N746" t="s">
        <v>7</v>
      </c>
      <c r="P746">
        <f t="shared" si="1004"/>
        <v>5.9405940594059667E-2</v>
      </c>
      <c r="Q746">
        <f t="shared" si="1005"/>
        <v>329039.03287128854</v>
      </c>
      <c r="R746">
        <f t="shared" si="1006"/>
        <v>11661119.107879085</v>
      </c>
      <c r="S746">
        <f t="shared" si="1007"/>
        <v>116.61119107879085</v>
      </c>
      <c r="T746">
        <f t="shared" si="1008"/>
        <v>0.11661119107879085</v>
      </c>
    </row>
    <row r="747" spans="1:20" x14ac:dyDescent="0.25">
      <c r="A747" s="5">
        <v>43847</v>
      </c>
      <c r="B747">
        <v>0.24179999999999999</v>
      </c>
      <c r="C747">
        <v>0.26800000000000002</v>
      </c>
      <c r="D747">
        <v>0.2399</v>
      </c>
      <c r="E747">
        <v>0.26200000000000001</v>
      </c>
      <c r="F747">
        <v>8766477.6899999995</v>
      </c>
      <c r="G747">
        <v>8.35</v>
      </c>
      <c r="L747" t="s">
        <v>8</v>
      </c>
      <c r="M747" t="s">
        <v>8</v>
      </c>
      <c r="N747" t="s">
        <v>7</v>
      </c>
      <c r="P747">
        <f t="shared" si="1004"/>
        <v>0.57295373665480409</v>
      </c>
      <c r="Q747">
        <f t="shared" si="1005"/>
        <v>5022786.1497864751</v>
      </c>
      <c r="R747">
        <f t="shared" si="1006"/>
        <v>11332080.075007796</v>
      </c>
      <c r="S747">
        <f t="shared" si="1007"/>
        <v>113.32080075007796</v>
      </c>
      <c r="T747">
        <f t="shared" si="1008"/>
        <v>0.11332080075007797</v>
      </c>
    </row>
    <row r="748" spans="1:20" x14ac:dyDescent="0.25">
      <c r="A748" s="5">
        <v>43846</v>
      </c>
      <c r="B748">
        <v>0.24740000000000001</v>
      </c>
      <c r="C748">
        <v>0.251</v>
      </c>
      <c r="D748">
        <v>0.2316</v>
      </c>
      <c r="E748">
        <v>0.2414</v>
      </c>
      <c r="F748">
        <v>4695347.1100000003</v>
      </c>
      <c r="G748">
        <v>-2.4300000000000002</v>
      </c>
      <c r="L748" t="s">
        <v>7</v>
      </c>
      <c r="M748" t="s">
        <v>8</v>
      </c>
      <c r="N748" t="s">
        <v>7</v>
      </c>
      <c r="P748">
        <f t="shared" si="1004"/>
        <v>1.0309278350515759E-2</v>
      </c>
      <c r="Q748">
        <f t="shared" si="1005"/>
        <v>48405.640309279741</v>
      </c>
      <c r="R748">
        <f t="shared" si="1006"/>
        <v>6309293.9252213221</v>
      </c>
      <c r="S748">
        <f t="shared" si="1007"/>
        <v>63.09293925221322</v>
      </c>
      <c r="T748">
        <f t="shared" si="1008"/>
        <v>6.3092939252213223E-2</v>
      </c>
    </row>
    <row r="749" spans="1:20" x14ac:dyDescent="0.25">
      <c r="A749" s="5">
        <v>43845</v>
      </c>
      <c r="B749">
        <v>0.22950000000000001</v>
      </c>
      <c r="C749">
        <v>0.25790000000000002</v>
      </c>
      <c r="D749">
        <v>0.2258</v>
      </c>
      <c r="E749">
        <v>0.24740000000000001</v>
      </c>
      <c r="F749">
        <v>10164581.41</v>
      </c>
      <c r="G749">
        <v>7.8</v>
      </c>
      <c r="L749" t="s">
        <v>8</v>
      </c>
      <c r="M749" t="s">
        <v>8</v>
      </c>
      <c r="N749" t="s">
        <v>7</v>
      </c>
      <c r="P749">
        <f t="shared" si="1004"/>
        <v>0.34579439252336425</v>
      </c>
      <c r="Q749">
        <f t="shared" si="1005"/>
        <v>3514855.2539252313</v>
      </c>
      <c r="R749">
        <f t="shared" si="1006"/>
        <v>6260888.2849120423</v>
      </c>
      <c r="S749">
        <f t="shared" si="1007"/>
        <v>62.60888284912042</v>
      </c>
      <c r="T749">
        <f t="shared" si="1008"/>
        <v>6.2608882849120417E-2</v>
      </c>
    </row>
    <row r="750" spans="1:20" x14ac:dyDescent="0.25">
      <c r="A750" s="5">
        <v>43844</v>
      </c>
      <c r="B750">
        <v>0.22720000000000001</v>
      </c>
      <c r="C750">
        <v>0.23499999999999999</v>
      </c>
      <c r="D750">
        <v>0.224</v>
      </c>
      <c r="E750">
        <v>0.2296</v>
      </c>
      <c r="F750">
        <v>8617064.3599999994</v>
      </c>
      <c r="G750">
        <v>1.06</v>
      </c>
      <c r="L750" t="s">
        <v>7</v>
      </c>
      <c r="M750" t="s">
        <v>7</v>
      </c>
      <c r="N750" t="s">
        <v>7</v>
      </c>
      <c r="P750">
        <f t="shared" si="1004"/>
        <v>1.8181818181818733E-2</v>
      </c>
      <c r="Q750">
        <f t="shared" si="1005"/>
        <v>156673.8974545502</v>
      </c>
      <c r="R750">
        <f t="shared" si="1006"/>
        <v>2746033.0309868115</v>
      </c>
      <c r="S750">
        <f t="shared" si="1007"/>
        <v>27.460330309868116</v>
      </c>
      <c r="T750">
        <f t="shared" si="1008"/>
        <v>2.7460330309868115E-2</v>
      </c>
    </row>
    <row r="751" spans="1:20" x14ac:dyDescent="0.25">
      <c r="A751" s="5">
        <v>43843</v>
      </c>
      <c r="B751">
        <v>0.22800000000000001</v>
      </c>
      <c r="C751">
        <v>0.23080000000000001</v>
      </c>
      <c r="D751">
        <v>0.224</v>
      </c>
      <c r="E751">
        <v>0.22700000000000001</v>
      </c>
      <c r="F751">
        <v>1687930.16</v>
      </c>
      <c r="G751">
        <v>-0.44</v>
      </c>
      <c r="L751" t="s">
        <v>7</v>
      </c>
      <c r="M751" t="s">
        <v>7</v>
      </c>
      <c r="N751" t="s">
        <v>7</v>
      </c>
      <c r="P751">
        <f t="shared" si="1004"/>
        <v>-0.11764705882352869</v>
      </c>
      <c r="Q751">
        <f t="shared" si="1005"/>
        <v>-198580.01882352817</v>
      </c>
      <c r="R751">
        <f t="shared" si="1006"/>
        <v>2589359.1335322615</v>
      </c>
      <c r="S751">
        <f t="shared" si="1007"/>
        <v>25.893591335322615</v>
      </c>
      <c r="T751">
        <f t="shared" si="1008"/>
        <v>2.5893591335322614E-2</v>
      </c>
    </row>
    <row r="752" spans="1:20" x14ac:dyDescent="0.25">
      <c r="A752" s="5">
        <v>43842</v>
      </c>
      <c r="B752">
        <v>0.22639999999999999</v>
      </c>
      <c r="C752">
        <v>0.23050000000000001</v>
      </c>
      <c r="D752">
        <v>0.22439999999999999</v>
      </c>
      <c r="E752">
        <v>0.2283</v>
      </c>
      <c r="F752">
        <v>2233290.7400000002</v>
      </c>
      <c r="G752">
        <v>0.84</v>
      </c>
      <c r="L752" t="s">
        <v>7</v>
      </c>
      <c r="M752" t="s">
        <v>7</v>
      </c>
      <c r="N752" t="s">
        <v>7</v>
      </c>
      <c r="P752">
        <f t="shared" si="1004"/>
        <v>0.27868852459016408</v>
      </c>
      <c r="Q752">
        <f t="shared" si="1005"/>
        <v>622392.50131147576</v>
      </c>
      <c r="R752">
        <f t="shared" si="1006"/>
        <v>2787939.1523557897</v>
      </c>
      <c r="S752">
        <f t="shared" si="1007"/>
        <v>27.879391523557896</v>
      </c>
      <c r="T752">
        <f t="shared" si="1008"/>
        <v>2.7879391523557895E-2</v>
      </c>
    </row>
    <row r="753" spans="1:20" x14ac:dyDescent="0.25">
      <c r="A753" s="5">
        <v>43841</v>
      </c>
      <c r="B753">
        <v>0.2263</v>
      </c>
      <c r="C753">
        <v>0.23200000000000001</v>
      </c>
      <c r="D753">
        <v>0.22359999999999999</v>
      </c>
      <c r="E753">
        <v>0.22639999999999999</v>
      </c>
      <c r="F753">
        <v>2928833.69</v>
      </c>
      <c r="G753">
        <v>0.04</v>
      </c>
      <c r="L753" t="s">
        <v>7</v>
      </c>
      <c r="M753" t="s">
        <v>7</v>
      </c>
      <c r="N753" t="s">
        <v>7</v>
      </c>
      <c r="P753">
        <f t="shared" si="1004"/>
        <v>-0.33333333333333554</v>
      </c>
      <c r="Q753">
        <f t="shared" si="1005"/>
        <v>-976277.89666667313</v>
      </c>
      <c r="R753">
        <f t="shared" si="1006"/>
        <v>2165546.6510443138</v>
      </c>
      <c r="S753">
        <f t="shared" si="1007"/>
        <v>21.655466510443137</v>
      </c>
      <c r="T753">
        <f t="shared" si="1008"/>
        <v>2.1655466510443137E-2</v>
      </c>
    </row>
    <row r="754" spans="1:20" x14ac:dyDescent="0.25">
      <c r="A754" s="5">
        <v>43840</v>
      </c>
      <c r="B754">
        <v>0.22209999999999999</v>
      </c>
      <c r="C754">
        <v>0.22750000000000001</v>
      </c>
      <c r="D754">
        <v>0.22</v>
      </c>
      <c r="E754">
        <v>0.22600000000000001</v>
      </c>
      <c r="F754">
        <v>2729349.13</v>
      </c>
      <c r="G754">
        <v>1.76</v>
      </c>
      <c r="L754" t="s">
        <v>7</v>
      </c>
      <c r="M754" t="s">
        <v>7</v>
      </c>
      <c r="N754" t="s">
        <v>7</v>
      </c>
      <c r="P754">
        <f t="shared" si="1004"/>
        <v>0.6</v>
      </c>
      <c r="Q754">
        <f t="shared" si="1005"/>
        <v>1637609.4779999999</v>
      </c>
      <c r="R754">
        <f t="shared" si="1006"/>
        <v>3141824.5477109868</v>
      </c>
      <c r="S754">
        <f t="shared" si="1007"/>
        <v>31.418245477109867</v>
      </c>
      <c r="T754">
        <f t="shared" si="1008"/>
        <v>3.141824547710987E-2</v>
      </c>
    </row>
    <row r="755" spans="1:20" x14ac:dyDescent="0.25">
      <c r="A755" s="5">
        <v>43839</v>
      </c>
      <c r="B755">
        <v>0.22869999999999999</v>
      </c>
      <c r="C755">
        <v>0.22939999999999999</v>
      </c>
      <c r="D755">
        <v>0.22070000000000001</v>
      </c>
      <c r="E755">
        <v>0.22220000000000001</v>
      </c>
      <c r="F755">
        <v>2663278.29</v>
      </c>
      <c r="G755">
        <v>-2.84</v>
      </c>
      <c r="L755" t="s">
        <v>7</v>
      </c>
      <c r="M755" t="s">
        <v>7</v>
      </c>
      <c r="N755" t="s">
        <v>7</v>
      </c>
      <c r="P755">
        <f t="shared" si="1004"/>
        <v>-0.65517241379310254</v>
      </c>
      <c r="Q755">
        <f t="shared" si="1005"/>
        <v>-1744906.4658620665</v>
      </c>
      <c r="R755">
        <f t="shared" si="1006"/>
        <v>1504215.0697109867</v>
      </c>
      <c r="S755">
        <f t="shared" si="1007"/>
        <v>15.042150697109866</v>
      </c>
      <c r="T755">
        <f t="shared" si="1008"/>
        <v>1.5042150697109867E-2</v>
      </c>
    </row>
    <row r="756" spans="1:20" x14ac:dyDescent="0.25">
      <c r="A756" s="5">
        <v>43838</v>
      </c>
      <c r="B756">
        <v>0.23050000000000001</v>
      </c>
      <c r="C756">
        <v>0.2359</v>
      </c>
      <c r="D756">
        <v>0.22320000000000001</v>
      </c>
      <c r="E756">
        <v>0.22839999999999999</v>
      </c>
      <c r="F756">
        <v>2778452.83</v>
      </c>
      <c r="G756">
        <v>-0.91</v>
      </c>
      <c r="L756" t="s">
        <v>7</v>
      </c>
      <c r="M756" t="s">
        <v>7</v>
      </c>
      <c r="N756" t="s">
        <v>7</v>
      </c>
      <c r="P756">
        <f t="shared" si="1004"/>
        <v>-0.18110236220472647</v>
      </c>
      <c r="Q756">
        <f t="shared" si="1005"/>
        <v>-503184.37078740733</v>
      </c>
      <c r="R756">
        <f t="shared" si="1006"/>
        <v>3249121.5355730532</v>
      </c>
      <c r="S756">
        <f t="shared" si="1007"/>
        <v>32.491215355730532</v>
      </c>
      <c r="T756">
        <f t="shared" si="1008"/>
        <v>3.2491215355730532E-2</v>
      </c>
    </row>
    <row r="757" spans="1:20" x14ac:dyDescent="0.25">
      <c r="A757" s="5">
        <v>43837</v>
      </c>
      <c r="B757">
        <v>0.24210000000000001</v>
      </c>
      <c r="C757">
        <v>0.2442</v>
      </c>
      <c r="D757">
        <v>0.22789999999999999</v>
      </c>
      <c r="E757">
        <v>0.2303</v>
      </c>
      <c r="F757">
        <v>3635835.7</v>
      </c>
      <c r="G757">
        <v>-4.87</v>
      </c>
      <c r="L757" t="s">
        <v>8</v>
      </c>
      <c r="M757" t="s">
        <v>7</v>
      </c>
      <c r="N757" t="s">
        <v>7</v>
      </c>
      <c r="P757">
        <f t="shared" si="1004"/>
        <v>-0.70552147239263663</v>
      </c>
      <c r="Q757">
        <f t="shared" si="1005"/>
        <v>-2565160.1564417128</v>
      </c>
      <c r="R757">
        <f t="shared" si="1006"/>
        <v>3752305.9063604604</v>
      </c>
      <c r="S757">
        <f t="shared" si="1007"/>
        <v>37.523059063604606</v>
      </c>
      <c r="T757">
        <f t="shared" si="1008"/>
        <v>3.7523059063604605E-2</v>
      </c>
    </row>
    <row r="758" spans="1:20" x14ac:dyDescent="0.25">
      <c r="A758" s="5">
        <v>43836</v>
      </c>
      <c r="B758">
        <v>0.22889999999999999</v>
      </c>
      <c r="C758">
        <v>0.24399999999999999</v>
      </c>
      <c r="D758">
        <v>0.22869999999999999</v>
      </c>
      <c r="E758">
        <v>0.2427</v>
      </c>
      <c r="F758">
        <v>2980820.2</v>
      </c>
      <c r="G758">
        <v>6.03</v>
      </c>
      <c r="L758" t="s">
        <v>8</v>
      </c>
      <c r="M758" t="s">
        <v>7</v>
      </c>
      <c r="N758" t="s">
        <v>7</v>
      </c>
      <c r="P758">
        <f t="shared" si="1004"/>
        <v>0.8300653594771249</v>
      </c>
      <c r="Q758">
        <f t="shared" si="1005"/>
        <v>2474275.5908496757</v>
      </c>
      <c r="R758">
        <f t="shared" si="1006"/>
        <v>6317466.0628021732</v>
      </c>
      <c r="S758">
        <f t="shared" si="1007"/>
        <v>63.174660628021734</v>
      </c>
      <c r="T758">
        <f t="shared" si="1008"/>
        <v>6.3174660628021739E-2</v>
      </c>
    </row>
    <row r="759" spans="1:20" x14ac:dyDescent="0.25">
      <c r="A759" s="5">
        <v>43835</v>
      </c>
      <c r="B759">
        <v>0.23519999999999999</v>
      </c>
      <c r="C759">
        <v>0.2379</v>
      </c>
      <c r="D759">
        <v>0.22819999999999999</v>
      </c>
      <c r="E759">
        <v>0.22939999999999999</v>
      </c>
      <c r="F759">
        <v>2236608.4700000002</v>
      </c>
      <c r="G759">
        <v>-2.4700000000000002</v>
      </c>
      <c r="L759" t="s">
        <v>8</v>
      </c>
      <c r="M759" t="s">
        <v>7</v>
      </c>
      <c r="N759" t="s">
        <v>7</v>
      </c>
      <c r="P759">
        <f t="shared" si="1004"/>
        <v>-0.75257731958762786</v>
      </c>
      <c r="Q759">
        <f t="shared" si="1005"/>
        <v>-1683220.8073195855</v>
      </c>
      <c r="R759">
        <f t="shared" si="1006"/>
        <v>3843190.471952498</v>
      </c>
      <c r="S759">
        <f t="shared" si="1007"/>
        <v>38.431904719524979</v>
      </c>
      <c r="T759">
        <f t="shared" si="1008"/>
        <v>3.8431904719524977E-2</v>
      </c>
    </row>
    <row r="760" spans="1:20" x14ac:dyDescent="0.25">
      <c r="A760" s="5">
        <v>43834</v>
      </c>
      <c r="B760">
        <v>0.22700000000000001</v>
      </c>
      <c r="C760">
        <v>0.23519999999999999</v>
      </c>
      <c r="D760">
        <v>0.22450000000000001</v>
      </c>
      <c r="E760">
        <v>0.23519999999999999</v>
      </c>
      <c r="F760">
        <v>2932660.58</v>
      </c>
      <c r="G760">
        <v>3.61</v>
      </c>
      <c r="L760" t="s">
        <v>8</v>
      </c>
      <c r="M760" t="s">
        <v>7</v>
      </c>
      <c r="N760" t="s">
        <v>7</v>
      </c>
      <c r="P760">
        <f t="shared" si="1004"/>
        <v>1</v>
      </c>
      <c r="Q760">
        <f t="shared" si="1005"/>
        <v>2932660.58</v>
      </c>
      <c r="R760">
        <f t="shared" si="1006"/>
        <v>5526411.2792720832</v>
      </c>
      <c r="S760">
        <f t="shared" si="1007"/>
        <v>55.26411279272083</v>
      </c>
      <c r="T760">
        <f t="shared" si="1008"/>
        <v>5.5264112792720831E-2</v>
      </c>
    </row>
    <row r="761" spans="1:20" x14ac:dyDescent="0.25">
      <c r="A761" s="5">
        <v>43833</v>
      </c>
      <c r="B761">
        <v>0.2135</v>
      </c>
      <c r="C761">
        <v>0.23</v>
      </c>
      <c r="D761">
        <v>0.21329999999999999</v>
      </c>
      <c r="E761">
        <v>0.22720000000000001</v>
      </c>
      <c r="F761">
        <v>4882382.62</v>
      </c>
      <c r="G761">
        <v>6.42</v>
      </c>
      <c r="L761" t="s">
        <v>8</v>
      </c>
      <c r="M761" t="s">
        <v>7</v>
      </c>
      <c r="N761" t="s">
        <v>7</v>
      </c>
      <c r="P761">
        <f t="shared" si="1004"/>
        <v>0.66467065868263553</v>
      </c>
      <c r="Q761">
        <f t="shared" si="1005"/>
        <v>3245176.471976052</v>
      </c>
      <c r="R761">
        <f t="shared" si="1006"/>
        <v>2593750.6992720831</v>
      </c>
      <c r="S761">
        <f t="shared" si="1007"/>
        <v>25.937506992720831</v>
      </c>
      <c r="T761">
        <f t="shared" si="1008"/>
        <v>2.5937506992720832E-2</v>
      </c>
    </row>
    <row r="762" spans="1:20" x14ac:dyDescent="0.25">
      <c r="A762" s="5">
        <v>43832</v>
      </c>
      <c r="B762">
        <v>0.22009999999999999</v>
      </c>
      <c r="C762">
        <v>0.221</v>
      </c>
      <c r="D762">
        <v>0.21060000000000001</v>
      </c>
      <c r="E762">
        <v>0.21390000000000001</v>
      </c>
      <c r="F762">
        <v>2103741.2799999998</v>
      </c>
      <c r="G762">
        <v>-2.82</v>
      </c>
      <c r="L762" t="s">
        <v>7</v>
      </c>
      <c r="M762" t="s">
        <v>7</v>
      </c>
      <c r="N762" t="s">
        <v>7</v>
      </c>
      <c r="P762">
        <f t="shared" si="1004"/>
        <v>-0.36538461538461542</v>
      </c>
      <c r="Q762">
        <f t="shared" si="1005"/>
        <v>-768674.69846153841</v>
      </c>
      <c r="R762">
        <f t="shared" si="1006"/>
        <v>-651425.77270396892</v>
      </c>
      <c r="S762">
        <f t="shared" si="1007"/>
        <v>-6.5142577270396895</v>
      </c>
      <c r="T762">
        <f t="shared" si="1008"/>
        <v>-6.5142577270396896E-3</v>
      </c>
    </row>
    <row r="763" spans="1:20" x14ac:dyDescent="0.25">
      <c r="A763" s="5">
        <v>43831</v>
      </c>
      <c r="B763">
        <v>0.21640000000000001</v>
      </c>
      <c r="C763">
        <v>0.2248</v>
      </c>
      <c r="D763">
        <v>0.21490000000000001</v>
      </c>
      <c r="E763">
        <v>0.22009999999999999</v>
      </c>
      <c r="F763">
        <v>2321528.73</v>
      </c>
      <c r="G763">
        <v>1.71</v>
      </c>
      <c r="P763">
        <f t="shared" si="1004"/>
        <v>5.0505050505047784E-2</v>
      </c>
      <c r="Q763">
        <f t="shared" si="1005"/>
        <v>117248.92575756944</v>
      </c>
      <c r="R763">
        <f t="shared" si="1006"/>
        <v>117248.92575756944</v>
      </c>
      <c r="S763">
        <f t="shared" si="1007"/>
        <v>1.1724892575756944</v>
      </c>
      <c r="T763">
        <f t="shared" si="1008"/>
        <v>1.1724892575756944E-3</v>
      </c>
    </row>
    <row r="764" spans="1:20" x14ac:dyDescent="0.25">
      <c r="A764" s="5"/>
      <c r="C764" s="4"/>
      <c r="D764" s="4"/>
      <c r="P764">
        <f t="shared" si="1004"/>
        <v>0</v>
      </c>
      <c r="Q764">
        <f t="shared" si="1005"/>
        <v>0</v>
      </c>
      <c r="R764">
        <f t="shared" si="1006"/>
        <v>0</v>
      </c>
      <c r="S764">
        <f t="shared" si="1007"/>
        <v>0</v>
      </c>
      <c r="T764">
        <f t="shared" si="1008"/>
        <v>0</v>
      </c>
    </row>
    <row r="765" spans="1:20" x14ac:dyDescent="0.25">
      <c r="A765" s="5"/>
      <c r="C765" s="4"/>
      <c r="D765" s="4"/>
      <c r="P765">
        <f t="shared" si="1004"/>
        <v>0</v>
      </c>
      <c r="Q765">
        <f t="shared" si="1005"/>
        <v>0</v>
      </c>
      <c r="R765">
        <f t="shared" si="1006"/>
        <v>0</v>
      </c>
      <c r="S765">
        <f t="shared" si="1007"/>
        <v>0</v>
      </c>
      <c r="T765">
        <f t="shared" si="1008"/>
        <v>0</v>
      </c>
    </row>
    <row r="766" spans="1:20" x14ac:dyDescent="0.25">
      <c r="A766" s="5"/>
      <c r="C766" s="4"/>
      <c r="D766" s="4"/>
      <c r="P766">
        <f t="shared" si="1004"/>
        <v>0</v>
      </c>
      <c r="Q766">
        <f t="shared" si="1005"/>
        <v>0</v>
      </c>
      <c r="R766">
        <f t="shared" si="1006"/>
        <v>0</v>
      </c>
      <c r="S766">
        <f t="shared" si="1007"/>
        <v>0</v>
      </c>
      <c r="T766">
        <f t="shared" si="1008"/>
        <v>0</v>
      </c>
    </row>
    <row r="767" spans="1:20" x14ac:dyDescent="0.25">
      <c r="A767" s="5"/>
      <c r="C767" s="4"/>
      <c r="D767" s="4"/>
      <c r="P767">
        <f t="shared" si="1004"/>
        <v>0</v>
      </c>
      <c r="Q767">
        <f t="shared" si="1005"/>
        <v>0</v>
      </c>
      <c r="R767">
        <f t="shared" si="1006"/>
        <v>0</v>
      </c>
      <c r="S767">
        <f t="shared" si="1007"/>
        <v>0</v>
      </c>
      <c r="T767">
        <f t="shared" si="1008"/>
        <v>0</v>
      </c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  <c r="C953" s="4"/>
      <c r="D953" s="4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  <c r="C1716"/>
      <c r="D1716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</sheetData>
  <conditionalFormatting sqref="D1:D4 D203:D1048576 C201:D202 D198:D200">
    <cfRule type="cellIs" dxfId="287" priority="194" operator="lessThan">
      <formula>$A$2</formula>
    </cfRule>
  </conditionalFormatting>
  <conditionalFormatting sqref="C197">
    <cfRule type="cellIs" dxfId="286" priority="193" operator="equal">
      <formula>0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573" zoomScale="90" zoomScaleNormal="90" workbookViewId="0">
      <pane xSplit="4" topLeftCell="HW1" activePane="topRight" state="frozen"/>
      <selection activeCell="A109" sqref="A109"/>
      <selection pane="topRight" activeCell="ND592" sqref="ND59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$A$591</v>
      </c>
      <c r="D111" s="1" t="str">
        <f>ADDRESS(C121-1,D121,1,1)</f>
        <v>$ND$591</v>
      </c>
      <c r="E111"/>
    </row>
    <row r="112" spans="1:5" x14ac:dyDescent="0.25">
      <c r="A112" s="7">
        <v>12164.144957890772</v>
      </c>
      <c r="C112" s="1" t="str">
        <f>ADDRESS(C121,1,1,1)</f>
        <v>$A$592</v>
      </c>
      <c r="D112" s="1" t="str">
        <f>ADDRESS(C121,D121-1,1,1)</f>
        <v>$NC$592</v>
      </c>
      <c r="E112"/>
    </row>
    <row r="113" spans="1:5" x14ac:dyDescent="0.25">
      <c r="A113" s="7">
        <v>11925.63231165762</v>
      </c>
      <c r="C113" s="1" t="str">
        <f>ADDRESS(C121+1,1,1,1)</f>
        <v>$A$593</v>
      </c>
      <c r="D113" s="1" t="str">
        <f>ADDRESS(C121-1,D121+1,1,1)</f>
        <v>$NE$591</v>
      </c>
    </row>
    <row r="114" spans="1:5" x14ac:dyDescent="0.25">
      <c r="A114" s="7">
        <v>11691.796383978059</v>
      </c>
      <c r="C114" s="1" t="str">
        <f>ADDRESS(C121,D121,1,1)</f>
        <v>$ND$592</v>
      </c>
      <c r="D114" s="1" t="str">
        <f>ADDRESS(C121+1,D121+1,1,1)</f>
        <v>$NE$593</v>
      </c>
    </row>
    <row r="115" spans="1:5" x14ac:dyDescent="0.25">
      <c r="A115" s="7">
        <v>11462.545474488292</v>
      </c>
      <c r="C115" s="1" t="str">
        <f>ADDRESS(C121+1,D121,1,1)</f>
        <v>$ND$593</v>
      </c>
    </row>
    <row r="116" spans="1:5" x14ac:dyDescent="0.25">
      <c r="A116" s="7">
        <v>11237.789680870874</v>
      </c>
      <c r="C116" s="1">
        <f>C117-1</f>
        <v>591</v>
      </c>
    </row>
    <row r="117" spans="1:5" x14ac:dyDescent="0.25">
      <c r="A117" s="7">
        <v>11017.440863598895</v>
      </c>
      <c r="C117" s="1">
        <f>C121</f>
        <v>592</v>
      </c>
      <c r="D117" s="1">
        <f>D121</f>
        <v>368</v>
      </c>
    </row>
    <row r="118" spans="1:5" x14ac:dyDescent="0.25">
      <c r="A118" s="7">
        <v>10801.412611371465</v>
      </c>
      <c r="C118" s="1">
        <f>C117+1</f>
        <v>593</v>
      </c>
      <c r="D118" s="1">
        <f>D117+1</f>
        <v>369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592</v>
      </c>
      <c r="D121" s="19">
        <v>368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R592</v>
      </c>
      <c r="D123" s="1" t="str">
        <f>"C"&amp;D121</f>
        <v>C368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0.90573080982991594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332" x14ac:dyDescent="0.25">
      <c r="A529" s="7">
        <v>3.1536243640574906</v>
      </c>
      <c r="B529"/>
      <c r="C529"/>
      <c r="D529"/>
      <c r="E529"/>
    </row>
    <row r="530" spans="1:332" x14ac:dyDescent="0.25">
      <c r="A530" s="7">
        <v>3.0917885922132262</v>
      </c>
      <c r="B530"/>
      <c r="C530"/>
      <c r="D530"/>
      <c r="E530"/>
    </row>
    <row r="531" spans="1:332" x14ac:dyDescent="0.25">
      <c r="A531" s="7">
        <v>3.0311652864835552</v>
      </c>
      <c r="B531"/>
      <c r="C531"/>
      <c r="D531"/>
      <c r="E531"/>
    </row>
    <row r="532" spans="1:332" x14ac:dyDescent="0.25">
      <c r="A532" s="7">
        <v>2.9717306730230932</v>
      </c>
      <c r="B532"/>
      <c r="C532"/>
      <c r="D532"/>
      <c r="E532"/>
      <c r="LS532" s="27" t="s">
        <v>8</v>
      </c>
    </row>
    <row r="533" spans="1:332" x14ac:dyDescent="0.25">
      <c r="A533" s="7">
        <v>2.9134614441402875</v>
      </c>
      <c r="B533"/>
      <c r="C533"/>
      <c r="D533"/>
      <c r="E533"/>
      <c r="LS533" s="27" t="s">
        <v>8</v>
      </c>
      <c r="LT533" s="27" t="s">
        <v>7</v>
      </c>
    </row>
    <row r="534" spans="1:332" x14ac:dyDescent="0.25">
      <c r="A534" s="7">
        <v>2.8563347491571447</v>
      </c>
      <c r="B534"/>
      <c r="C534"/>
      <c r="D534"/>
      <c r="E534"/>
      <c r="LS534" s="27" t="s">
        <v>8</v>
      </c>
      <c r="LT534" s="27" t="s">
        <v>7</v>
      </c>
    </row>
    <row r="535" spans="1:332" x14ac:dyDescent="0.25">
      <c r="A535" s="7">
        <v>2.8003281854481812</v>
      </c>
      <c r="B535"/>
      <c r="C535"/>
      <c r="D535"/>
      <c r="E535"/>
      <c r="LS535" s="27" t="s">
        <v>8</v>
      </c>
      <c r="LT535" s="27" t="s">
        <v>7</v>
      </c>
    </row>
    <row r="536" spans="1:332" x14ac:dyDescent="0.25">
      <c r="A536" s="7">
        <v>2.7454197896550796</v>
      </c>
      <c r="B536"/>
      <c r="C536"/>
      <c r="D536"/>
      <c r="E536"/>
      <c r="LS536" s="27" t="s">
        <v>8</v>
      </c>
      <c r="LT536" s="27" t="s">
        <v>7</v>
      </c>
    </row>
    <row r="537" spans="1:332" x14ac:dyDescent="0.25">
      <c r="A537" s="7">
        <v>2.6915880290736074</v>
      </c>
      <c r="B537"/>
      <c r="C537"/>
      <c r="D537"/>
      <c r="E537"/>
      <c r="LS537" s="27" t="s">
        <v>8</v>
      </c>
      <c r="LT537" s="27" t="s">
        <v>7</v>
      </c>
    </row>
    <row r="538" spans="1:332" x14ac:dyDescent="0.25">
      <c r="A538" s="7">
        <v>2.6388117932094191</v>
      </c>
      <c r="B538"/>
      <c r="C538"/>
      <c r="D538"/>
      <c r="E538"/>
      <c r="LS538" s="27" t="s">
        <v>8</v>
      </c>
      <c r="LT538" s="27" t="s">
        <v>7</v>
      </c>
    </row>
    <row r="539" spans="1:332" x14ac:dyDescent="0.25">
      <c r="A539" s="7">
        <v>2.5870703854994304</v>
      </c>
      <c r="B539"/>
      <c r="C539"/>
      <c r="D539"/>
      <c r="E539"/>
      <c r="LS539" s="27" t="s">
        <v>8</v>
      </c>
      <c r="LT539" s="27" t="s">
        <v>7</v>
      </c>
    </row>
    <row r="540" spans="1:332" x14ac:dyDescent="0.25">
      <c r="A540" s="7">
        <v>2.53634351519552</v>
      </c>
      <c r="B540"/>
      <c r="C540"/>
      <c r="D540"/>
      <c r="E540"/>
      <c r="KK540" s="27" t="s">
        <v>8</v>
      </c>
      <c r="LS540" s="27" t="s">
        <v>8</v>
      </c>
      <c r="LT540" s="27" t="s">
        <v>7</v>
      </c>
    </row>
    <row r="541" spans="1:332" x14ac:dyDescent="0.25">
      <c r="A541" s="7">
        <v>2.4866112894073726</v>
      </c>
      <c r="B541"/>
      <c r="C541"/>
      <c r="D541"/>
      <c r="E541"/>
      <c r="KI541" s="27" t="s">
        <v>8</v>
      </c>
      <c r="KK541" s="27" t="s">
        <v>8</v>
      </c>
      <c r="KL541" s="27" t="s">
        <v>7</v>
      </c>
      <c r="LS541" s="27" t="s">
        <v>8</v>
      </c>
      <c r="LT541" s="27" t="s">
        <v>7</v>
      </c>
    </row>
    <row r="542" spans="1:332" x14ac:dyDescent="0.25">
      <c r="A542" s="7">
        <v>2.4378542053013459</v>
      </c>
      <c r="B542"/>
      <c r="C542"/>
      <c r="D542"/>
      <c r="E542"/>
      <c r="KI542" s="27" t="s">
        <v>8</v>
      </c>
      <c r="KJ542" s="27" t="s">
        <v>7</v>
      </c>
      <c r="KK542" s="27" t="s">
        <v>8</v>
      </c>
      <c r="KL542" s="27" t="s">
        <v>7</v>
      </c>
      <c r="LS542" s="27" t="s">
        <v>8</v>
      </c>
      <c r="LT542" s="27" t="s">
        <v>7</v>
      </c>
    </row>
    <row r="543" spans="1:332" x14ac:dyDescent="0.25">
      <c r="A543" s="7">
        <v>2.3900531424522997</v>
      </c>
      <c r="B543"/>
      <c r="C543"/>
      <c r="D543"/>
      <c r="E543"/>
      <c r="KI543" s="27" t="s">
        <v>8</v>
      </c>
      <c r="KJ543" s="27" t="s">
        <v>7</v>
      </c>
      <c r="KK543" s="27" t="s">
        <v>8</v>
      </c>
      <c r="KL543" s="27" t="s">
        <v>7</v>
      </c>
      <c r="LS543" s="27" t="s">
        <v>8</v>
      </c>
      <c r="LT543" s="27" t="s">
        <v>7</v>
      </c>
    </row>
    <row r="544" spans="1:332" x14ac:dyDescent="0.25">
      <c r="A544" s="7">
        <v>2.343189355345392</v>
      </c>
      <c r="B544"/>
      <c r="C544"/>
      <c r="D544"/>
      <c r="E544"/>
      <c r="KI544" s="27" t="s">
        <v>8</v>
      </c>
      <c r="KJ544" s="27" t="s">
        <v>7</v>
      </c>
      <c r="KK544" s="27" t="s">
        <v>8</v>
      </c>
      <c r="KL544" s="27" t="s">
        <v>7</v>
      </c>
      <c r="LQ544" s="27" t="s">
        <v>8</v>
      </c>
      <c r="LS544" s="27" t="s">
        <v>8</v>
      </c>
      <c r="LT544" s="27" t="s">
        <v>7</v>
      </c>
    </row>
    <row r="545" spans="1:356" x14ac:dyDescent="0.25">
      <c r="A545" s="7">
        <v>2.2972444660248938</v>
      </c>
      <c r="B545"/>
      <c r="C545"/>
      <c r="D545"/>
      <c r="E545"/>
      <c r="KI545" s="27" t="s">
        <v>8</v>
      </c>
      <c r="KJ545" s="27" t="s">
        <v>7</v>
      </c>
      <c r="KK545" s="27" t="s">
        <v>8</v>
      </c>
      <c r="KL545" s="27" t="s">
        <v>7</v>
      </c>
      <c r="LQ545" s="27" t="s">
        <v>8</v>
      </c>
      <c r="LR545" s="27" t="s">
        <v>7</v>
      </c>
      <c r="LS545" s="27" t="s">
        <v>8</v>
      </c>
      <c r="LT545" s="27" t="s">
        <v>7</v>
      </c>
    </row>
    <row r="546" spans="1:356" x14ac:dyDescent="0.25">
      <c r="A546" s="7">
        <v>2.252200456887151</v>
      </c>
      <c r="B546"/>
      <c r="C546"/>
      <c r="D546"/>
      <c r="E546"/>
      <c r="KI546" s="27" t="s">
        <v>8</v>
      </c>
      <c r="KJ546" s="27" t="s">
        <v>7</v>
      </c>
      <c r="KK546" s="27" t="s">
        <v>8</v>
      </c>
      <c r="KL546" s="27" t="s">
        <v>7</v>
      </c>
      <c r="LQ546" s="27" t="s">
        <v>8</v>
      </c>
      <c r="LR546" s="27" t="s">
        <v>7</v>
      </c>
      <c r="LS546" s="27" t="s">
        <v>8</v>
      </c>
      <c r="LT546" s="27" t="s">
        <v>7</v>
      </c>
    </row>
    <row r="547" spans="1:356" x14ac:dyDescent="0.25">
      <c r="A547" s="7">
        <v>2.208039663614854</v>
      </c>
      <c r="B547"/>
      <c r="C547"/>
      <c r="D547"/>
      <c r="E547"/>
      <c r="KI547" s="27" t="s">
        <v>8</v>
      </c>
      <c r="KJ547" s="27" t="s">
        <v>7</v>
      </c>
      <c r="KK547" s="27" t="s">
        <v>8</v>
      </c>
      <c r="KL547" s="27" t="s">
        <v>7</v>
      </c>
      <c r="LQ547" s="27" t="s">
        <v>8</v>
      </c>
      <c r="LR547" s="27" t="s">
        <v>7</v>
      </c>
      <c r="LS547" s="27" t="s">
        <v>8</v>
      </c>
      <c r="LT547" s="27" t="s">
        <v>7</v>
      </c>
    </row>
    <row r="548" spans="1:356" x14ac:dyDescent="0.25">
      <c r="A548" s="7">
        <v>2.1647447682498568</v>
      </c>
      <c r="B548"/>
      <c r="C548"/>
      <c r="D548"/>
      <c r="E548"/>
      <c r="KI548" s="27" t="s">
        <v>8</v>
      </c>
      <c r="KJ548" s="27" t="s">
        <v>7</v>
      </c>
      <c r="KK548" s="27" t="s">
        <v>8</v>
      </c>
      <c r="KL548" s="27" t="s">
        <v>7</v>
      </c>
      <c r="LQ548" s="27" t="s">
        <v>8</v>
      </c>
      <c r="LR548" s="27" t="s">
        <v>7</v>
      </c>
      <c r="LS548" s="27" t="s">
        <v>8</v>
      </c>
      <c r="LT548" s="27" t="s">
        <v>7</v>
      </c>
    </row>
    <row r="549" spans="1:356" x14ac:dyDescent="0.25">
      <c r="A549" s="7">
        <v>2.1222987924018204</v>
      </c>
      <c r="B549"/>
      <c r="C549"/>
      <c r="D549"/>
      <c r="E549"/>
      <c r="KI549" s="27" t="s">
        <v>8</v>
      </c>
      <c r="KJ549" s="27" t="s">
        <v>7</v>
      </c>
      <c r="KK549" s="27" t="s">
        <v>8</v>
      </c>
      <c r="KL549" s="27" t="s">
        <v>7</v>
      </c>
      <c r="KM549" s="27" t="s">
        <v>8</v>
      </c>
      <c r="KO549" s="27" t="s">
        <v>8</v>
      </c>
      <c r="LQ549" s="27" t="s">
        <v>8</v>
      </c>
      <c r="LR549" s="27" t="s">
        <v>7</v>
      </c>
      <c r="LS549" s="27" t="s">
        <v>8</v>
      </c>
      <c r="LT549" s="27" t="s">
        <v>7</v>
      </c>
    </row>
    <row r="550" spans="1:356" x14ac:dyDescent="0.25">
      <c r="A550" s="7">
        <v>2.0806850905900198</v>
      </c>
      <c r="B550"/>
      <c r="C550"/>
      <c r="D550"/>
      <c r="E550"/>
      <c r="KI550" s="27" t="s">
        <v>8</v>
      </c>
      <c r="KJ550" s="27" t="s">
        <v>7</v>
      </c>
      <c r="KK550" s="27" t="s">
        <v>8</v>
      </c>
      <c r="KL550" s="27" t="s">
        <v>7</v>
      </c>
      <c r="KM550" s="27" t="s">
        <v>8</v>
      </c>
      <c r="KN550" s="27" t="s">
        <v>7</v>
      </c>
      <c r="KO550" s="27" t="s">
        <v>8</v>
      </c>
      <c r="KP550" s="27" t="s">
        <v>7</v>
      </c>
      <c r="KY550" s="27" t="s">
        <v>8</v>
      </c>
      <c r="LI550" s="27" t="s">
        <v>8</v>
      </c>
      <c r="LO550" s="27" t="s">
        <v>8</v>
      </c>
      <c r="LQ550" s="27" t="s">
        <v>8</v>
      </c>
      <c r="LR550" s="27" t="s">
        <v>7</v>
      </c>
      <c r="LS550" s="27" t="s">
        <v>8</v>
      </c>
      <c r="LT550" s="27" t="s">
        <v>7</v>
      </c>
    </row>
    <row r="551" spans="1:356" x14ac:dyDescent="0.25">
      <c r="A551" s="7">
        <v>2.0398873437157055</v>
      </c>
      <c r="B551"/>
      <c r="C551"/>
      <c r="D551"/>
      <c r="E551"/>
      <c r="KI551" s="27" t="s">
        <v>8</v>
      </c>
      <c r="KJ551" s="27" t="s">
        <v>7</v>
      </c>
      <c r="KK551" s="27" t="s">
        <v>8</v>
      </c>
      <c r="KL551" s="27" t="s">
        <v>7</v>
      </c>
      <c r="KM551" s="27" t="s">
        <v>8</v>
      </c>
      <c r="KN551" s="27" t="s">
        <v>7</v>
      </c>
      <c r="KO551" s="27" t="s">
        <v>8</v>
      </c>
      <c r="KP551" s="27" t="s">
        <v>7</v>
      </c>
      <c r="KQ551" s="27" t="s">
        <v>8</v>
      </c>
      <c r="KY551" s="27" t="s">
        <v>8</v>
      </c>
      <c r="KZ551" s="27" t="s">
        <v>7</v>
      </c>
      <c r="LI551" s="27" t="s">
        <v>8</v>
      </c>
      <c r="LJ551" s="27" t="s">
        <v>7</v>
      </c>
      <c r="LO551" s="27" t="s">
        <v>8</v>
      </c>
      <c r="LP551" s="27" t="s">
        <v>7</v>
      </c>
      <c r="LQ551" s="27" t="s">
        <v>8</v>
      </c>
      <c r="LR551" s="27" t="s">
        <v>7</v>
      </c>
      <c r="LS551" s="27" t="s">
        <v>8</v>
      </c>
      <c r="LT551" s="27" t="s">
        <v>7</v>
      </c>
      <c r="MA551" s="27" t="s">
        <v>8</v>
      </c>
    </row>
    <row r="552" spans="1:356" x14ac:dyDescent="0.25">
      <c r="A552" s="7">
        <v>1.9998895526624565</v>
      </c>
      <c r="B552"/>
      <c r="C552"/>
      <c r="D552"/>
      <c r="E552"/>
      <c r="KI552" s="27" t="s">
        <v>8</v>
      </c>
      <c r="KJ552" s="27" t="s">
        <v>7</v>
      </c>
      <c r="KK552" s="27" t="s">
        <v>8</v>
      </c>
      <c r="KL552" s="27" t="s">
        <v>7</v>
      </c>
      <c r="KM552" s="27" t="s">
        <v>8</v>
      </c>
      <c r="KN552" s="27" t="s">
        <v>7</v>
      </c>
      <c r="KO552" s="27" t="s">
        <v>8</v>
      </c>
      <c r="KP552" s="27" t="s">
        <v>7</v>
      </c>
      <c r="KQ552" s="27" t="s">
        <v>8</v>
      </c>
      <c r="KR552" s="27" t="s">
        <v>7</v>
      </c>
      <c r="KY552" s="27" t="s">
        <v>8</v>
      </c>
      <c r="KZ552" s="27" t="s">
        <v>7</v>
      </c>
      <c r="LA552" s="27" t="s">
        <v>8</v>
      </c>
      <c r="LI552" s="27" t="s">
        <v>8</v>
      </c>
      <c r="LJ552" s="27" t="s">
        <v>7</v>
      </c>
      <c r="LO552" s="27" t="s">
        <v>8</v>
      </c>
      <c r="LP552" s="27" t="s">
        <v>7</v>
      </c>
      <c r="LQ552" s="27" t="s">
        <v>8</v>
      </c>
      <c r="LR552" s="27" t="s">
        <v>7</v>
      </c>
      <c r="LS552" s="27" t="s">
        <v>8</v>
      </c>
      <c r="LT552" s="27" t="s">
        <v>7</v>
      </c>
      <c r="MA552" s="27" t="s">
        <v>8</v>
      </c>
      <c r="MB552" s="27" t="s">
        <v>7</v>
      </c>
    </row>
    <row r="553" spans="1:356" x14ac:dyDescent="0.25">
      <c r="A553" s="7">
        <v>1.9606760320220162</v>
      </c>
      <c r="B553"/>
      <c r="C553"/>
      <c r="D553"/>
      <c r="E553"/>
      <c r="KI553" s="27" t="s">
        <v>8</v>
      </c>
      <c r="KJ553" s="27" t="s">
        <v>7</v>
      </c>
      <c r="KK553" s="27" t="s">
        <v>8</v>
      </c>
      <c r="KL553" s="27" t="s">
        <v>7</v>
      </c>
      <c r="KM553" s="27" t="s">
        <v>8</v>
      </c>
      <c r="KN553" s="27" t="s">
        <v>7</v>
      </c>
      <c r="KO553" s="27" t="s">
        <v>8</v>
      </c>
      <c r="KP553" s="27" t="s">
        <v>7</v>
      </c>
      <c r="KQ553" s="27" t="s">
        <v>8</v>
      </c>
      <c r="KR553" s="27" t="s">
        <v>7</v>
      </c>
      <c r="KY553" s="27" t="s">
        <v>8</v>
      </c>
      <c r="KZ553" s="27" t="s">
        <v>7</v>
      </c>
      <c r="LA553" s="27" t="s">
        <v>8</v>
      </c>
      <c r="LB553" s="27" t="s">
        <v>7</v>
      </c>
      <c r="LI553" s="27" t="s">
        <v>8</v>
      </c>
      <c r="LJ553" s="27" t="s">
        <v>7</v>
      </c>
      <c r="LM553" s="27" t="s">
        <v>8</v>
      </c>
      <c r="LO553" s="27" t="s">
        <v>8</v>
      </c>
      <c r="LP553" s="27" t="s">
        <v>7</v>
      </c>
      <c r="LQ553" s="27" t="s">
        <v>8</v>
      </c>
      <c r="LR553" s="27" t="s">
        <v>7</v>
      </c>
      <c r="LS553" s="27" t="s">
        <v>8</v>
      </c>
      <c r="LT553" s="27" t="s">
        <v>7</v>
      </c>
      <c r="MA553" s="27" t="s">
        <v>8</v>
      </c>
      <c r="MB553" s="27" t="s">
        <v>7</v>
      </c>
    </row>
    <row r="554" spans="1:356" x14ac:dyDescent="0.25">
      <c r="A554" s="7">
        <v>1.9222314039431532</v>
      </c>
      <c r="B554"/>
      <c r="C554"/>
      <c r="D554"/>
      <c r="E554"/>
      <c r="KI554" s="27" t="s">
        <v>8</v>
      </c>
      <c r="KJ554" s="27" t="s">
        <v>7</v>
      </c>
      <c r="KK554" s="27" t="s">
        <v>8</v>
      </c>
      <c r="KL554" s="27" t="s">
        <v>7</v>
      </c>
      <c r="KM554" s="27" t="s">
        <v>8</v>
      </c>
      <c r="KN554" s="27" t="s">
        <v>7</v>
      </c>
      <c r="KP554" s="27" t="s">
        <v>7</v>
      </c>
      <c r="KQ554" s="27" t="s">
        <v>8</v>
      </c>
      <c r="KR554" s="27" t="s">
        <v>7</v>
      </c>
      <c r="KY554" s="27" t="s">
        <v>8</v>
      </c>
      <c r="KZ554" s="27" t="s">
        <v>7</v>
      </c>
      <c r="LA554" s="27" t="s">
        <v>8</v>
      </c>
      <c r="LB554" s="27" t="s">
        <v>7</v>
      </c>
      <c r="LG554" s="27" t="s">
        <v>8</v>
      </c>
      <c r="LI554" s="27" t="s">
        <v>8</v>
      </c>
      <c r="LJ554" s="27" t="s">
        <v>7</v>
      </c>
      <c r="LM554" s="27" t="s">
        <v>8</v>
      </c>
      <c r="LN554" s="27" t="s">
        <v>7</v>
      </c>
      <c r="LO554" s="27" t="s">
        <v>8</v>
      </c>
      <c r="LP554" s="27" t="s">
        <v>7</v>
      </c>
      <c r="LQ554" s="27" t="s">
        <v>8</v>
      </c>
      <c r="LR554" s="27" t="s">
        <v>7</v>
      </c>
      <c r="LS554" s="27" t="s">
        <v>8</v>
      </c>
      <c r="LT554" s="27" t="s">
        <v>7</v>
      </c>
      <c r="MA554" s="27" t="s">
        <v>8</v>
      </c>
      <c r="MB554" s="27" t="s">
        <v>7</v>
      </c>
    </row>
    <row r="555" spans="1:356" x14ac:dyDescent="0.25">
      <c r="A555" s="7">
        <v>1.8845405921011305</v>
      </c>
      <c r="B555"/>
      <c r="C555"/>
      <c r="D555"/>
      <c r="E555"/>
      <c r="KI555" s="27" t="s">
        <v>8</v>
      </c>
      <c r="KJ555" s="27" t="s">
        <v>7</v>
      </c>
      <c r="KK555" s="27" t="s">
        <v>8</v>
      </c>
      <c r="KL555" s="27" t="s">
        <v>7</v>
      </c>
      <c r="KP555" s="27" t="s">
        <v>7</v>
      </c>
      <c r="KQ555" s="27" t="s">
        <v>8</v>
      </c>
      <c r="KR555" s="27" t="s">
        <v>7</v>
      </c>
      <c r="KY555" s="27" t="s">
        <v>8</v>
      </c>
      <c r="KZ555" s="27" t="s">
        <v>7</v>
      </c>
      <c r="LA555" s="27" t="s">
        <v>8</v>
      </c>
      <c r="LB555" s="27" t="s">
        <v>7</v>
      </c>
      <c r="LE555" s="27" t="s">
        <v>8</v>
      </c>
      <c r="LG555" s="27" t="s">
        <v>8</v>
      </c>
      <c r="LH555" s="27" t="s">
        <v>7</v>
      </c>
      <c r="LI555" s="27" t="s">
        <v>8</v>
      </c>
      <c r="LJ555" s="27" t="s">
        <v>7</v>
      </c>
      <c r="LK555" s="27" t="s">
        <v>8</v>
      </c>
      <c r="LM555" s="27" t="s">
        <v>8</v>
      </c>
      <c r="LN555" s="27" t="s">
        <v>7</v>
      </c>
      <c r="LO555" s="27" t="s">
        <v>8</v>
      </c>
      <c r="LP555" s="27" t="s">
        <v>7</v>
      </c>
      <c r="LQ555" s="27" t="s">
        <v>8</v>
      </c>
      <c r="LR555" s="27" t="s">
        <v>7</v>
      </c>
      <c r="LS555" s="27" t="s">
        <v>8</v>
      </c>
      <c r="LT555" s="27" t="s">
        <v>7</v>
      </c>
      <c r="LU555" s="27" t="s">
        <v>8</v>
      </c>
      <c r="MA555" s="27" t="s">
        <v>8</v>
      </c>
      <c r="MB555" s="27" t="s">
        <v>7</v>
      </c>
    </row>
    <row r="556" spans="1:356" x14ac:dyDescent="0.25">
      <c r="A556" s="7">
        <v>1.8475888157854219</v>
      </c>
      <c r="B556"/>
      <c r="C556"/>
      <c r="D556"/>
      <c r="E556"/>
      <c r="KI556" s="27" t="s">
        <v>8</v>
      </c>
      <c r="KJ556" s="27" t="s">
        <v>7</v>
      </c>
      <c r="KP556" s="27" t="s">
        <v>7</v>
      </c>
      <c r="KQ556" s="27" t="s">
        <v>8</v>
      </c>
      <c r="KR556" s="27" t="s">
        <v>7</v>
      </c>
      <c r="KU556" s="27" t="s">
        <v>8</v>
      </c>
      <c r="KY556" s="27" t="s">
        <v>8</v>
      </c>
      <c r="KZ556" s="27" t="s">
        <v>7</v>
      </c>
      <c r="LA556" s="27" t="s">
        <v>8</v>
      </c>
      <c r="LB556" s="27" t="s">
        <v>7</v>
      </c>
      <c r="LC556" s="27" t="s">
        <v>8</v>
      </c>
      <c r="LE556" s="27" t="s">
        <v>8</v>
      </c>
      <c r="LF556" s="27" t="s">
        <v>7</v>
      </c>
      <c r="LG556" s="27" t="s">
        <v>8</v>
      </c>
      <c r="LH556" s="27" t="s">
        <v>7</v>
      </c>
      <c r="LI556" s="27" t="s">
        <v>8</v>
      </c>
      <c r="LJ556" s="27" t="s">
        <v>7</v>
      </c>
      <c r="LK556" s="27" t="s">
        <v>8</v>
      </c>
      <c r="LL556" s="27" t="s">
        <v>7</v>
      </c>
      <c r="LM556" s="27" t="s">
        <v>8</v>
      </c>
      <c r="LN556" s="27" t="s">
        <v>7</v>
      </c>
      <c r="LO556" s="27" t="s">
        <v>8</v>
      </c>
      <c r="LP556" s="27" t="s">
        <v>7</v>
      </c>
      <c r="LR556" s="27" t="s">
        <v>7</v>
      </c>
      <c r="LS556" s="27" t="s">
        <v>8</v>
      </c>
      <c r="LT556" s="27" t="s">
        <v>7</v>
      </c>
      <c r="LU556" s="27" t="s">
        <v>8</v>
      </c>
      <c r="LV556" s="27" t="s">
        <v>7</v>
      </c>
      <c r="LW556" s="27" t="s">
        <v>8</v>
      </c>
      <c r="MA556" s="27" t="s">
        <v>8</v>
      </c>
      <c r="MB556" s="27" t="s">
        <v>7</v>
      </c>
      <c r="MC556" s="27" t="s">
        <v>8</v>
      </c>
    </row>
    <row r="557" spans="1:356" x14ac:dyDescent="0.25">
      <c r="A557" s="7">
        <v>1.8113615841033548</v>
      </c>
      <c r="B557"/>
      <c r="C557"/>
      <c r="D557"/>
      <c r="E557"/>
      <c r="GO557" s="27" t="s">
        <v>8</v>
      </c>
      <c r="KI557" s="27" t="s">
        <v>8</v>
      </c>
      <c r="KP557" s="27" t="s">
        <v>7</v>
      </c>
      <c r="KQ557" s="27" t="s">
        <v>8</v>
      </c>
      <c r="KR557" s="27" t="s">
        <v>7</v>
      </c>
      <c r="KS557" s="27" t="s">
        <v>8</v>
      </c>
      <c r="KU557" s="27" t="s">
        <v>8</v>
      </c>
      <c r="KV557" s="27" t="s">
        <v>7</v>
      </c>
      <c r="KY557" s="27" t="s">
        <v>8</v>
      </c>
      <c r="KZ557" s="27" t="s">
        <v>7</v>
      </c>
      <c r="LA557" s="27" t="s">
        <v>8</v>
      </c>
      <c r="LB557" s="27" t="s">
        <v>7</v>
      </c>
      <c r="LC557" s="27" t="s">
        <v>8</v>
      </c>
      <c r="LD557" s="27" t="s">
        <v>7</v>
      </c>
      <c r="LE557" s="27" t="s">
        <v>8</v>
      </c>
      <c r="LF557" s="27" t="s">
        <v>7</v>
      </c>
      <c r="LG557" s="27" t="s">
        <v>8</v>
      </c>
      <c r="LH557" s="27" t="s">
        <v>7</v>
      </c>
      <c r="LJ557" s="27" t="s">
        <v>7</v>
      </c>
      <c r="LK557" s="27" t="s">
        <v>8</v>
      </c>
      <c r="LL557" s="27" t="s">
        <v>7</v>
      </c>
      <c r="LM557" s="27" t="s">
        <v>8</v>
      </c>
      <c r="LN557" s="27" t="s">
        <v>7</v>
      </c>
      <c r="LR557" s="27" t="s">
        <v>7</v>
      </c>
      <c r="LS557" s="27" t="s">
        <v>8</v>
      </c>
      <c r="LT557" s="27" t="s">
        <v>7</v>
      </c>
      <c r="LU557" s="27" t="s">
        <v>8</v>
      </c>
      <c r="LV557" s="27" t="s">
        <v>7</v>
      </c>
      <c r="LW557" s="27" t="s">
        <v>8</v>
      </c>
      <c r="LX557" s="27" t="s">
        <v>7</v>
      </c>
      <c r="MA557" s="27" t="s">
        <v>8</v>
      </c>
      <c r="MB557" s="27" t="s">
        <v>7</v>
      </c>
      <c r="MC557" s="27" t="s">
        <v>8</v>
      </c>
      <c r="MD557" s="27" t="s">
        <v>7</v>
      </c>
      <c r="MQ557" s="27" t="s">
        <v>8</v>
      </c>
    </row>
    <row r="558" spans="1:356" x14ac:dyDescent="0.25">
      <c r="A558" s="7">
        <v>1.7758446902974065</v>
      </c>
      <c r="B558"/>
      <c r="C558"/>
      <c r="D558"/>
      <c r="E558"/>
      <c r="GO558" s="27" t="s">
        <v>8</v>
      </c>
      <c r="GP558" s="27" t="s">
        <v>7</v>
      </c>
      <c r="HW558" s="31" t="s">
        <v>8</v>
      </c>
      <c r="KI558" s="27" t="s">
        <v>8</v>
      </c>
      <c r="KP558" s="27" t="s">
        <v>7</v>
      </c>
      <c r="KQ558" s="27" t="s">
        <v>8</v>
      </c>
      <c r="KR558" s="27" t="s">
        <v>7</v>
      </c>
      <c r="KS558" s="27" t="s">
        <v>8</v>
      </c>
      <c r="KT558" s="27" t="s">
        <v>7</v>
      </c>
      <c r="KU558" s="27" t="s">
        <v>8</v>
      </c>
      <c r="KV558" s="27" t="s">
        <v>7</v>
      </c>
      <c r="KY558" s="27" t="s">
        <v>8</v>
      </c>
      <c r="KZ558" s="27" t="s">
        <v>7</v>
      </c>
      <c r="LB558" s="27" t="s">
        <v>7</v>
      </c>
      <c r="LC558" s="27" t="s">
        <v>8</v>
      </c>
      <c r="LD558" s="27" t="s">
        <v>7</v>
      </c>
      <c r="LE558" s="27" t="s">
        <v>8</v>
      </c>
      <c r="LF558" s="27" t="s">
        <v>7</v>
      </c>
      <c r="LG558" s="27" t="s">
        <v>8</v>
      </c>
      <c r="LJ558" s="27" t="s">
        <v>7</v>
      </c>
      <c r="LK558" s="27" t="s">
        <v>8</v>
      </c>
      <c r="LL558" s="27" t="s">
        <v>7</v>
      </c>
      <c r="LR558" s="27" t="s">
        <v>7</v>
      </c>
      <c r="LS558" s="27" t="s">
        <v>8</v>
      </c>
      <c r="LT558" s="27" t="s">
        <v>7</v>
      </c>
      <c r="LV558" s="27" t="s">
        <v>7</v>
      </c>
      <c r="LW558" s="27" t="s">
        <v>8</v>
      </c>
      <c r="LX558" s="27" t="s">
        <v>7</v>
      </c>
      <c r="MA558" s="27" t="s">
        <v>8</v>
      </c>
      <c r="MB558" s="27" t="s">
        <v>7</v>
      </c>
      <c r="MC558" s="27" t="s">
        <v>8</v>
      </c>
      <c r="MD558" s="27" t="s">
        <v>7</v>
      </c>
      <c r="MO558" s="27" t="s">
        <v>8</v>
      </c>
      <c r="MQ558" s="27" t="s">
        <v>8</v>
      </c>
      <c r="MR558" s="27" t="s">
        <v>7</v>
      </c>
    </row>
    <row r="559" spans="1:356" x14ac:dyDescent="0.25">
      <c r="A559" s="7">
        <v>1.7410242061739281</v>
      </c>
      <c r="B559"/>
      <c r="C559"/>
      <c r="D559"/>
      <c r="E559"/>
      <c r="GO559" s="27" t="s">
        <v>8</v>
      </c>
      <c r="GP559" s="27" t="s">
        <v>7</v>
      </c>
      <c r="HW559" s="27" t="s">
        <v>8</v>
      </c>
      <c r="HX559" s="31" t="s">
        <v>7</v>
      </c>
      <c r="KI559" s="27" t="s">
        <v>8</v>
      </c>
      <c r="KP559" s="27" t="s">
        <v>7</v>
      </c>
      <c r="KQ559" s="27" t="s">
        <v>8</v>
      </c>
      <c r="KR559" s="27" t="s">
        <v>7</v>
      </c>
      <c r="KS559" s="27" t="s">
        <v>8</v>
      </c>
      <c r="KT559" s="27" t="s">
        <v>7</v>
      </c>
      <c r="KU559" s="27" t="s">
        <v>8</v>
      </c>
      <c r="KV559" s="27" t="s">
        <v>7</v>
      </c>
      <c r="KW559" s="27" t="s">
        <v>8</v>
      </c>
      <c r="KY559" s="27" t="s">
        <v>8</v>
      </c>
      <c r="LB559" s="27" t="s">
        <v>7</v>
      </c>
      <c r="LC559" s="27" t="s">
        <v>8</v>
      </c>
      <c r="LD559" s="27" t="s">
        <v>7</v>
      </c>
      <c r="LF559" s="27" t="s">
        <v>7</v>
      </c>
      <c r="LG559" s="27" t="s">
        <v>8</v>
      </c>
      <c r="LJ559" s="27" t="s">
        <v>7</v>
      </c>
      <c r="LK559" s="27" t="s">
        <v>8</v>
      </c>
      <c r="LR559" s="27" t="s">
        <v>7</v>
      </c>
      <c r="LS559" s="27" t="s">
        <v>8</v>
      </c>
      <c r="LV559" s="27" t="s">
        <v>7</v>
      </c>
      <c r="LW559" s="27" t="s">
        <v>8</v>
      </c>
      <c r="LX559" s="27" t="s">
        <v>7</v>
      </c>
      <c r="MA559" s="27" t="s">
        <v>8</v>
      </c>
      <c r="MB559" s="27" t="s">
        <v>7</v>
      </c>
      <c r="MC559" s="27" t="s">
        <v>8</v>
      </c>
      <c r="MD559" s="27" t="s">
        <v>7</v>
      </c>
      <c r="MO559" s="27" t="s">
        <v>8</v>
      </c>
      <c r="MP559" s="27" t="s">
        <v>7</v>
      </c>
      <c r="MQ559" s="27" t="s">
        <v>8</v>
      </c>
      <c r="MR559" s="27" t="s">
        <v>7</v>
      </c>
    </row>
    <row r="560" spans="1:356" x14ac:dyDescent="0.25">
      <c r="A560" s="7">
        <v>1.7068864766411058</v>
      </c>
      <c r="B560"/>
      <c r="C560"/>
      <c r="D560"/>
      <c r="E560"/>
      <c r="GO560" s="27" t="s">
        <v>8</v>
      </c>
      <c r="GP560" s="27" t="s">
        <v>7</v>
      </c>
      <c r="HW560" s="27" t="s">
        <v>8</v>
      </c>
      <c r="HX560" s="27" t="s">
        <v>7</v>
      </c>
      <c r="HY560" s="31"/>
      <c r="KI560" s="27" t="s">
        <v>8</v>
      </c>
      <c r="KP560" s="27" t="s">
        <v>7</v>
      </c>
      <c r="KQ560" s="27" t="s">
        <v>8</v>
      </c>
      <c r="KR560" s="27" t="s">
        <v>7</v>
      </c>
      <c r="KT560" s="27" t="s">
        <v>7</v>
      </c>
      <c r="KU560" s="27" t="s">
        <v>8</v>
      </c>
      <c r="KV560" s="27" t="s">
        <v>7</v>
      </c>
      <c r="KW560" s="27" t="s">
        <v>8</v>
      </c>
      <c r="KX560" s="27" t="s">
        <v>7</v>
      </c>
      <c r="KY560" s="27" t="s">
        <v>8</v>
      </c>
      <c r="LB560" s="27" t="s">
        <v>7</v>
      </c>
      <c r="LC560" s="27" t="s">
        <v>8</v>
      </c>
      <c r="LF560" s="27" t="s">
        <v>7</v>
      </c>
      <c r="LJ560" s="27" t="s">
        <v>7</v>
      </c>
      <c r="LR560" s="27" t="s">
        <v>7</v>
      </c>
      <c r="LS560" s="27" t="s">
        <v>8</v>
      </c>
      <c r="LV560" s="27" t="s">
        <v>7</v>
      </c>
      <c r="LX560" s="27" t="s">
        <v>7</v>
      </c>
      <c r="LY560" s="27" t="s">
        <v>8</v>
      </c>
      <c r="MA560" s="27" t="s">
        <v>8</v>
      </c>
      <c r="MB560" s="27" t="s">
        <v>7</v>
      </c>
      <c r="MC560" s="27" t="s">
        <v>8</v>
      </c>
      <c r="MD560" s="27" t="s">
        <v>7</v>
      </c>
      <c r="MM560" s="27" t="s">
        <v>8</v>
      </c>
      <c r="MO560" s="27" t="s">
        <v>8</v>
      </c>
      <c r="MP560" s="27" t="s">
        <v>7</v>
      </c>
      <c r="MQ560" s="27" t="s">
        <v>8</v>
      </c>
      <c r="MR560" s="27" t="s">
        <v>7</v>
      </c>
    </row>
    <row r="561" spans="1:364" x14ac:dyDescent="0.25">
      <c r="A561" s="7">
        <v>1.6734181143540252</v>
      </c>
      <c r="B561"/>
      <c r="C561"/>
      <c r="D561"/>
      <c r="E561"/>
      <c r="GO561" s="27" t="s">
        <v>8</v>
      </c>
      <c r="GP561" s="27" t="s">
        <v>7</v>
      </c>
      <c r="GQ561" s="27" t="s">
        <v>8</v>
      </c>
      <c r="HW561" s="27" t="s">
        <v>8</v>
      </c>
      <c r="HX561" s="27" t="s">
        <v>7</v>
      </c>
      <c r="HZ561" s="31"/>
      <c r="II561" s="31" t="s">
        <v>8</v>
      </c>
      <c r="KI561" s="27" t="s">
        <v>8</v>
      </c>
      <c r="KP561" s="27" t="s">
        <v>7</v>
      </c>
      <c r="KQ561" s="27" t="s">
        <v>8</v>
      </c>
      <c r="KT561" s="27" t="s">
        <v>7</v>
      </c>
      <c r="KU561" s="27" t="s">
        <v>8</v>
      </c>
      <c r="KV561" s="27" t="s">
        <v>7</v>
      </c>
      <c r="KW561" s="27" t="s">
        <v>8</v>
      </c>
      <c r="KX561" s="27" t="s">
        <v>7</v>
      </c>
      <c r="KY561" s="27" t="s">
        <v>8</v>
      </c>
      <c r="LB561" s="27" t="s">
        <v>7</v>
      </c>
      <c r="LC561" s="27" t="s">
        <v>8</v>
      </c>
      <c r="LR561" s="27" t="s">
        <v>7</v>
      </c>
      <c r="LS561" s="27" t="s">
        <v>8</v>
      </c>
      <c r="LX561" s="27" t="s">
        <v>7</v>
      </c>
      <c r="LY561" s="27" t="s">
        <v>8</v>
      </c>
      <c r="LZ561" s="27" t="s">
        <v>7</v>
      </c>
      <c r="MA561" s="27" t="s">
        <v>8</v>
      </c>
      <c r="MB561" s="27" t="s">
        <v>7</v>
      </c>
      <c r="MC561" s="27" t="s">
        <v>8</v>
      </c>
      <c r="MD561" s="27" t="s">
        <v>7</v>
      </c>
      <c r="MM561" s="27" t="s">
        <v>8</v>
      </c>
      <c r="MN561" s="27" t="s">
        <v>7</v>
      </c>
      <c r="MO561" s="27" t="s">
        <v>8</v>
      </c>
      <c r="MP561" s="27" t="s">
        <v>7</v>
      </c>
      <c r="MQ561" s="27" t="s">
        <v>8</v>
      </c>
      <c r="MR561" s="27" t="s">
        <v>7</v>
      </c>
    </row>
    <row r="562" spans="1:364" x14ac:dyDescent="0.25">
      <c r="A562" s="7">
        <v>1.6406059944647307</v>
      </c>
      <c r="B562"/>
      <c r="C562"/>
      <c r="D562"/>
      <c r="E562"/>
      <c r="GO562" s="27" t="s">
        <v>8</v>
      </c>
      <c r="GP562" s="27" t="s">
        <v>7</v>
      </c>
      <c r="GQ562" s="27" t="s">
        <v>8</v>
      </c>
      <c r="GR562" s="27" t="s">
        <v>7</v>
      </c>
      <c r="HW562" s="27" t="s">
        <v>8</v>
      </c>
      <c r="HX562" s="27" t="s">
        <v>7</v>
      </c>
      <c r="IA562" s="31"/>
      <c r="II562" s="27" t="s">
        <v>8</v>
      </c>
      <c r="IJ562" s="31" t="s">
        <v>7</v>
      </c>
      <c r="KI562" s="27" t="s">
        <v>8</v>
      </c>
      <c r="KP562" s="27" t="s">
        <v>7</v>
      </c>
      <c r="KQ562" s="27" t="s">
        <v>8</v>
      </c>
      <c r="KT562" s="27" t="s">
        <v>7</v>
      </c>
      <c r="KU562" s="27" t="s">
        <v>8</v>
      </c>
      <c r="KV562" s="27" t="s">
        <v>7</v>
      </c>
      <c r="KW562" s="27" t="s">
        <v>8</v>
      </c>
      <c r="KX562" s="27" t="s">
        <v>7</v>
      </c>
      <c r="KY562" s="27" t="s">
        <v>8</v>
      </c>
      <c r="LB562" s="27" t="s">
        <v>7</v>
      </c>
      <c r="LC562" s="27" t="s">
        <v>8</v>
      </c>
      <c r="LR562" s="27" t="s">
        <v>7</v>
      </c>
      <c r="LS562" s="27" t="s">
        <v>8</v>
      </c>
      <c r="LX562" s="27" t="s">
        <v>7</v>
      </c>
      <c r="LY562" s="27" t="s">
        <v>8</v>
      </c>
      <c r="LZ562" s="27" t="s">
        <v>7</v>
      </c>
      <c r="MA562" s="27" t="s">
        <v>8</v>
      </c>
      <c r="MB562" s="27" t="s">
        <v>7</v>
      </c>
      <c r="MC562" s="27" t="s">
        <v>8</v>
      </c>
      <c r="MD562" s="27" t="s">
        <v>7</v>
      </c>
      <c r="MK562" s="27" t="s">
        <v>8</v>
      </c>
      <c r="MM562" s="27" t="s">
        <v>8</v>
      </c>
      <c r="MN562" s="27" t="s">
        <v>7</v>
      </c>
      <c r="MO562" s="27" t="s">
        <v>8</v>
      </c>
      <c r="MP562" s="27" t="s">
        <v>7</v>
      </c>
      <c r="MR562" s="27" t="s">
        <v>7</v>
      </c>
    </row>
    <row r="563" spans="1:364" x14ac:dyDescent="0.25">
      <c r="A563" s="7">
        <v>1.6084372494752261</v>
      </c>
      <c r="B563"/>
      <c r="C563"/>
      <c r="D563"/>
      <c r="E563"/>
      <c r="GO563" s="27" t="s">
        <v>8</v>
      </c>
      <c r="GP563" s="27" t="s">
        <v>7</v>
      </c>
      <c r="GQ563" s="27" t="s">
        <v>8</v>
      </c>
      <c r="GR563" s="27" t="s">
        <v>7</v>
      </c>
      <c r="HU563" s="27" t="s">
        <v>8</v>
      </c>
      <c r="HW563" s="27" t="s">
        <v>8</v>
      </c>
      <c r="HX563" s="27" t="s">
        <v>7</v>
      </c>
      <c r="IB563" s="31"/>
      <c r="II563" s="27" t="s">
        <v>8</v>
      </c>
      <c r="IJ563" s="27" t="s">
        <v>7</v>
      </c>
      <c r="IK563" s="31"/>
      <c r="KI563" s="27" t="s">
        <v>8</v>
      </c>
      <c r="KP563" s="27" t="s">
        <v>7</v>
      </c>
      <c r="KQ563" s="27" t="s">
        <v>8</v>
      </c>
      <c r="KT563" s="27" t="s">
        <v>7</v>
      </c>
      <c r="KU563" s="27" t="s">
        <v>8</v>
      </c>
      <c r="KV563" s="27" t="s">
        <v>7</v>
      </c>
      <c r="KW563" s="27" t="s">
        <v>8</v>
      </c>
      <c r="KX563" s="27" t="s">
        <v>7</v>
      </c>
      <c r="KY563" s="27" t="s">
        <v>8</v>
      </c>
      <c r="LB563" s="27" t="s">
        <v>7</v>
      </c>
      <c r="LR563" s="27" t="s">
        <v>7</v>
      </c>
      <c r="LS563" s="27" t="s">
        <v>8</v>
      </c>
      <c r="LX563" s="27" t="s">
        <v>7</v>
      </c>
      <c r="LZ563" s="27" t="s">
        <v>7</v>
      </c>
      <c r="MA563" s="27" t="s">
        <v>8</v>
      </c>
      <c r="MB563" s="27" t="s">
        <v>7</v>
      </c>
      <c r="MC563" s="27" t="s">
        <v>8</v>
      </c>
      <c r="MD563" s="27" t="s">
        <v>7</v>
      </c>
      <c r="MK563" s="27" t="s">
        <v>8</v>
      </c>
      <c r="ML563" s="27" t="s">
        <v>7</v>
      </c>
      <c r="MM563" s="27" t="s">
        <v>8</v>
      </c>
      <c r="MN563" s="27" t="s">
        <v>7</v>
      </c>
      <c r="MO563" s="27" t="s">
        <v>8</v>
      </c>
      <c r="MR563" s="27" t="s">
        <v>7</v>
      </c>
    </row>
    <row r="564" spans="1:364" x14ac:dyDescent="0.25">
      <c r="A564" s="7">
        <v>1.5768992641913981</v>
      </c>
      <c r="B564"/>
      <c r="C564"/>
      <c r="D564"/>
      <c r="E564"/>
      <c r="GO564" s="27" t="s">
        <v>8</v>
      </c>
      <c r="GP564" s="27" t="s">
        <v>7</v>
      </c>
      <c r="GQ564" s="27" t="s">
        <v>8</v>
      </c>
      <c r="GR564" s="27" t="s">
        <v>7</v>
      </c>
      <c r="HS564" s="27" t="s">
        <v>8</v>
      </c>
      <c r="HU564" s="27" t="s">
        <v>8</v>
      </c>
      <c r="HV564" s="27" t="s">
        <v>7</v>
      </c>
      <c r="HW564" s="27" t="s">
        <v>8</v>
      </c>
      <c r="HX564" s="27" t="s">
        <v>7</v>
      </c>
      <c r="IC564" s="31"/>
      <c r="II564" s="27" t="s">
        <v>8</v>
      </c>
      <c r="IJ564" s="27" t="s">
        <v>7</v>
      </c>
      <c r="IL564" s="31"/>
      <c r="KI564" s="27" t="s">
        <v>8</v>
      </c>
      <c r="KP564" s="27" t="s">
        <v>7</v>
      </c>
      <c r="KQ564" s="27" t="s">
        <v>8</v>
      </c>
      <c r="KT564" s="27" t="s">
        <v>7</v>
      </c>
      <c r="KV564" s="27" t="s">
        <v>7</v>
      </c>
      <c r="KX564" s="27" t="s">
        <v>7</v>
      </c>
      <c r="LR564" s="27" t="s">
        <v>7</v>
      </c>
      <c r="LZ564" s="27" t="s">
        <v>7</v>
      </c>
      <c r="MB564" s="27" t="s">
        <v>7</v>
      </c>
      <c r="MC564" s="27" t="s">
        <v>8</v>
      </c>
      <c r="MD564" s="27" t="s">
        <v>7</v>
      </c>
      <c r="MK564" s="27" t="s">
        <v>8</v>
      </c>
      <c r="ML564" s="27" t="s">
        <v>7</v>
      </c>
      <c r="MM564" s="27" t="s">
        <v>8</v>
      </c>
      <c r="MN564" s="27" t="s">
        <v>7</v>
      </c>
      <c r="MO564" s="27" t="s">
        <v>8</v>
      </c>
      <c r="MR564" s="27" t="s">
        <v>7</v>
      </c>
      <c r="MS564" s="27" t="s">
        <v>8</v>
      </c>
    </row>
    <row r="565" spans="1:364" x14ac:dyDescent="0.25">
      <c r="A565" s="7">
        <v>1.5459796707758806</v>
      </c>
      <c r="B565"/>
      <c r="C565"/>
      <c r="D565"/>
      <c r="E565"/>
      <c r="GO565" s="27" t="s">
        <v>8</v>
      </c>
      <c r="GP565" s="27" t="s">
        <v>7</v>
      </c>
      <c r="GQ565" s="27" t="s">
        <v>8</v>
      </c>
      <c r="GR565" s="27" t="s">
        <v>7</v>
      </c>
      <c r="HS565" s="27" t="s">
        <v>8</v>
      </c>
      <c r="HT565" s="27" t="s">
        <v>7</v>
      </c>
      <c r="HU565" s="27" t="s">
        <v>8</v>
      </c>
      <c r="HV565" s="27" t="s">
        <v>7</v>
      </c>
      <c r="HW565" s="27" t="s">
        <v>8</v>
      </c>
      <c r="HX565" s="27" t="s">
        <v>7</v>
      </c>
      <c r="ID565" s="31"/>
      <c r="II565" s="27" t="s">
        <v>8</v>
      </c>
      <c r="IJ565" s="27" t="s">
        <v>7</v>
      </c>
      <c r="IM565" s="31"/>
      <c r="KI565" s="27" t="s">
        <v>8</v>
      </c>
      <c r="KP565" s="27" t="s">
        <v>7</v>
      </c>
      <c r="MB565" s="27" t="s">
        <v>7</v>
      </c>
      <c r="MC565" s="27" t="s">
        <v>8</v>
      </c>
      <c r="MD565" s="27" t="s">
        <v>7</v>
      </c>
      <c r="ME565" s="27" t="s">
        <v>8</v>
      </c>
      <c r="MK565" s="27" t="s">
        <v>8</v>
      </c>
      <c r="ML565" s="27" t="s">
        <v>7</v>
      </c>
      <c r="MN565" s="27" t="s">
        <v>7</v>
      </c>
      <c r="MO565" s="27" t="s">
        <v>8</v>
      </c>
      <c r="MR565" s="27" t="s">
        <v>7</v>
      </c>
      <c r="MS565" s="27" t="s">
        <v>8</v>
      </c>
      <c r="MT565" s="27" t="s">
        <v>7</v>
      </c>
    </row>
    <row r="566" spans="1:364" x14ac:dyDescent="0.25">
      <c r="A566" s="7">
        <v>1.5156663438979221</v>
      </c>
      <c r="B566"/>
      <c r="C566"/>
      <c r="D566"/>
      <c r="E566"/>
      <c r="GO566" s="27" t="s">
        <v>8</v>
      </c>
      <c r="GP566" s="27" t="s">
        <v>7</v>
      </c>
      <c r="GQ566" s="27" t="s">
        <v>8</v>
      </c>
      <c r="GR566" s="27" t="s">
        <v>7</v>
      </c>
      <c r="HS566" s="27" t="s">
        <v>8</v>
      </c>
      <c r="HT566" s="27" t="s">
        <v>7</v>
      </c>
      <c r="HU566" s="27" t="s">
        <v>8</v>
      </c>
      <c r="HV566" s="27" t="s">
        <v>7</v>
      </c>
      <c r="HW566" s="27" t="s">
        <v>8</v>
      </c>
      <c r="HX566" s="27" t="s">
        <v>7</v>
      </c>
      <c r="HY566" s="27" t="s">
        <v>8</v>
      </c>
      <c r="IE566" s="31"/>
      <c r="II566" s="27" t="s">
        <v>8</v>
      </c>
      <c r="IJ566" s="27" t="s">
        <v>7</v>
      </c>
      <c r="IM566" s="27" t="s">
        <v>8</v>
      </c>
      <c r="IN566" s="31"/>
      <c r="KI566" s="27" t="s">
        <v>8</v>
      </c>
      <c r="MB566" s="27" t="s">
        <v>7</v>
      </c>
      <c r="MC566" s="27" t="s">
        <v>8</v>
      </c>
      <c r="MD566" s="27" t="s">
        <v>7</v>
      </c>
      <c r="ME566" s="27" t="s">
        <v>8</v>
      </c>
      <c r="MF566" s="27" t="s">
        <v>7</v>
      </c>
      <c r="MK566" s="27" t="s">
        <v>8</v>
      </c>
      <c r="MN566" s="27" t="s">
        <v>7</v>
      </c>
      <c r="MO566" s="27" t="s">
        <v>8</v>
      </c>
      <c r="MR566" s="27" t="s">
        <v>7</v>
      </c>
      <c r="MS566" s="27" t="s">
        <v>8</v>
      </c>
      <c r="MT566" s="27" t="s">
        <v>7</v>
      </c>
    </row>
    <row r="567" spans="1:364" x14ac:dyDescent="0.25">
      <c r="A567" s="7">
        <v>1.4859473959783549</v>
      </c>
      <c r="B567"/>
      <c r="C567"/>
      <c r="D567"/>
      <c r="E567"/>
      <c r="GO567" s="27" t="s">
        <v>8</v>
      </c>
      <c r="GP567" s="27" t="s">
        <v>7</v>
      </c>
      <c r="GQ567" s="27" t="s">
        <v>8</v>
      </c>
      <c r="GR567" s="27" t="s">
        <v>7</v>
      </c>
      <c r="HQ567" s="27" t="s">
        <v>8</v>
      </c>
      <c r="HS567" s="27" t="s">
        <v>8</v>
      </c>
      <c r="HT567" s="27" t="s">
        <v>7</v>
      </c>
      <c r="HU567" s="27" t="s">
        <v>8</v>
      </c>
      <c r="HV567" s="27" t="s">
        <v>7</v>
      </c>
      <c r="HW567" s="27" t="s">
        <v>8</v>
      </c>
      <c r="HX567" s="27" t="s">
        <v>7</v>
      </c>
      <c r="HY567" s="27" t="s">
        <v>8</v>
      </c>
      <c r="HZ567" s="27" t="s">
        <v>7</v>
      </c>
      <c r="IF567" s="31"/>
      <c r="II567" s="27" t="s">
        <v>8</v>
      </c>
      <c r="IJ567" s="27" t="s">
        <v>7</v>
      </c>
      <c r="IK567" s="27" t="s">
        <v>8</v>
      </c>
      <c r="IM567" s="27" t="s">
        <v>8</v>
      </c>
      <c r="IN567" s="27" t="s">
        <v>7</v>
      </c>
      <c r="IO567" s="31"/>
      <c r="KI567" s="27" t="s">
        <v>8</v>
      </c>
      <c r="MB567" s="27" t="s">
        <v>7</v>
      </c>
      <c r="MC567" s="27" t="s">
        <v>8</v>
      </c>
      <c r="MD567" s="27" t="s">
        <v>7</v>
      </c>
      <c r="ME567" s="27" t="s">
        <v>8</v>
      </c>
      <c r="MF567" s="27" t="s">
        <v>7</v>
      </c>
      <c r="MK567" s="27" t="s">
        <v>8</v>
      </c>
      <c r="MN567" s="27" t="s">
        <v>7</v>
      </c>
      <c r="MO567" s="27" t="s">
        <v>8</v>
      </c>
      <c r="MR567" s="27" t="s">
        <v>7</v>
      </c>
      <c r="MS567" s="27" t="s">
        <v>8</v>
      </c>
      <c r="MT567" s="27" t="s">
        <v>7</v>
      </c>
      <c r="MW567" s="27" t="s">
        <v>8</v>
      </c>
    </row>
    <row r="568" spans="1:364" x14ac:dyDescent="0.25">
      <c r="A568" s="7">
        <v>1.4568111725277988</v>
      </c>
      <c r="B568"/>
      <c r="C568"/>
      <c r="D568"/>
      <c r="E568"/>
      <c r="GO568" s="27" t="s">
        <v>8</v>
      </c>
      <c r="GP568" s="27" t="s">
        <v>7</v>
      </c>
      <c r="GQ568" s="27" t="s">
        <v>8</v>
      </c>
      <c r="GR568" s="27" t="s">
        <v>7</v>
      </c>
      <c r="GS568" s="27" t="s">
        <v>8</v>
      </c>
      <c r="GU568" s="27" t="s">
        <v>8</v>
      </c>
      <c r="HO568" s="27" t="s">
        <v>8</v>
      </c>
      <c r="HQ568" s="27" t="s">
        <v>8</v>
      </c>
      <c r="HR568" s="27" t="s">
        <v>7</v>
      </c>
      <c r="HS568" s="27" t="s">
        <v>8</v>
      </c>
      <c r="HT568" s="27" t="s">
        <v>7</v>
      </c>
      <c r="HU568" s="27" t="s">
        <v>8</v>
      </c>
      <c r="HV568" s="27" t="s">
        <v>7</v>
      </c>
      <c r="HW568" s="27" t="s">
        <v>8</v>
      </c>
      <c r="HX568" s="27" t="s">
        <v>7</v>
      </c>
      <c r="HY568" s="27" t="s">
        <v>8</v>
      </c>
      <c r="HZ568" s="27" t="s">
        <v>7</v>
      </c>
      <c r="IG568" s="31" t="s">
        <v>8</v>
      </c>
      <c r="II568" s="27" t="s">
        <v>8</v>
      </c>
      <c r="IJ568" s="27" t="s">
        <v>7</v>
      </c>
      <c r="IK568" s="27" t="s">
        <v>8</v>
      </c>
      <c r="IL568" s="27" t="s">
        <v>7</v>
      </c>
      <c r="IM568" s="27" t="s">
        <v>8</v>
      </c>
      <c r="IN568" s="27" t="s">
        <v>7</v>
      </c>
      <c r="IP568" s="31"/>
      <c r="KI568" s="27" t="s">
        <v>8</v>
      </c>
      <c r="MB568" s="27" t="s">
        <v>7</v>
      </c>
      <c r="MC568" s="27" t="s">
        <v>8</v>
      </c>
      <c r="MD568" s="27" t="s">
        <v>7</v>
      </c>
      <c r="MF568" s="27" t="s">
        <v>7</v>
      </c>
      <c r="MG568" s="27" t="s">
        <v>8</v>
      </c>
      <c r="MK568" s="27" t="s">
        <v>8</v>
      </c>
      <c r="MN568" s="27" t="s">
        <v>7</v>
      </c>
      <c r="MO568" s="27" t="s">
        <v>8</v>
      </c>
      <c r="MR568" s="27" t="s">
        <v>7</v>
      </c>
      <c r="MT568" s="27" t="s">
        <v>7</v>
      </c>
      <c r="MW568" s="27" t="s">
        <v>8</v>
      </c>
      <c r="MX568" s="27" t="s">
        <v>7</v>
      </c>
    </row>
    <row r="569" spans="1:364" x14ac:dyDescent="0.25">
      <c r="A569" s="7">
        <v>1.4282462475762734</v>
      </c>
      <c r="B569"/>
      <c r="C569"/>
      <c r="D569"/>
      <c r="E569"/>
      <c r="GO569" s="27" t="s">
        <v>8</v>
      </c>
      <c r="GP569" s="27" t="s">
        <v>7</v>
      </c>
      <c r="GQ569" s="27" t="s">
        <v>8</v>
      </c>
      <c r="GR569" s="27" t="s">
        <v>7</v>
      </c>
      <c r="GS569" s="27" t="s">
        <v>8</v>
      </c>
      <c r="GT569" s="27" t="s">
        <v>7</v>
      </c>
      <c r="GU569" s="27" t="s">
        <v>8</v>
      </c>
      <c r="GV569" s="27" t="s">
        <v>7</v>
      </c>
      <c r="HM569" s="27" t="s">
        <v>8</v>
      </c>
      <c r="HO569" s="27" t="s">
        <v>8</v>
      </c>
      <c r="HP569" s="27" t="s">
        <v>7</v>
      </c>
      <c r="HQ569" s="27" t="s">
        <v>8</v>
      </c>
      <c r="HR569" s="27" t="s">
        <v>7</v>
      </c>
      <c r="HS569" s="27" t="s">
        <v>8</v>
      </c>
      <c r="HT569" s="27" t="s">
        <v>7</v>
      </c>
      <c r="HU569" s="27" t="s">
        <v>8</v>
      </c>
      <c r="HV569" s="27" t="s">
        <v>7</v>
      </c>
      <c r="HX569" s="27" t="s">
        <v>7</v>
      </c>
      <c r="HY569" s="27" t="s">
        <v>8</v>
      </c>
      <c r="HZ569" s="27" t="s">
        <v>7</v>
      </c>
      <c r="IE569" s="27" t="s">
        <v>8</v>
      </c>
      <c r="IG569" s="27" t="s">
        <v>8</v>
      </c>
      <c r="IH569" s="31" t="s">
        <v>7</v>
      </c>
      <c r="II569" s="27" t="s">
        <v>8</v>
      </c>
      <c r="IJ569" s="27" t="s">
        <v>7</v>
      </c>
      <c r="IK569" s="27" t="s">
        <v>8</v>
      </c>
      <c r="IL569" s="27" t="s">
        <v>7</v>
      </c>
      <c r="IM569" s="27" t="s">
        <v>8</v>
      </c>
      <c r="IN569" s="27" t="s">
        <v>7</v>
      </c>
      <c r="IQ569" s="31"/>
      <c r="KI569" s="27" t="s">
        <v>8</v>
      </c>
      <c r="MB569" s="27" t="s">
        <v>7</v>
      </c>
      <c r="MC569" s="27" t="s">
        <v>8</v>
      </c>
      <c r="MF569" s="27" t="s">
        <v>7</v>
      </c>
      <c r="MG569" s="27" t="s">
        <v>8</v>
      </c>
      <c r="MH569" s="27" t="s">
        <v>7</v>
      </c>
      <c r="MI569" s="27" t="s">
        <v>8</v>
      </c>
      <c r="MK569" s="27" t="s">
        <v>8</v>
      </c>
      <c r="MN569" s="27" t="s">
        <v>7</v>
      </c>
      <c r="MT569" s="27" t="s">
        <v>7</v>
      </c>
      <c r="MU569" s="27" t="s">
        <v>8</v>
      </c>
      <c r="MW569" s="27" t="s">
        <v>8</v>
      </c>
      <c r="MX569" s="27" t="s">
        <v>7</v>
      </c>
      <c r="MY569" s="27" t="s">
        <v>8</v>
      </c>
    </row>
    <row r="570" spans="1:364" x14ac:dyDescent="0.25">
      <c r="A570" s="7">
        <v>1.4002414191924248</v>
      </c>
      <c r="B570"/>
      <c r="C570"/>
      <c r="D570"/>
      <c r="E570"/>
      <c r="GO570" s="27" t="s">
        <v>8</v>
      </c>
      <c r="GP570" s="27" t="s">
        <v>7</v>
      </c>
      <c r="GQ570" s="27" t="s">
        <v>8</v>
      </c>
      <c r="GR570" s="27" t="s">
        <v>7</v>
      </c>
      <c r="GS570" s="27" t="s">
        <v>8</v>
      </c>
      <c r="GT570" s="27" t="s">
        <v>7</v>
      </c>
      <c r="GU570" s="27" t="s">
        <v>8</v>
      </c>
      <c r="GV570" s="27" t="s">
        <v>7</v>
      </c>
      <c r="HM570" s="27" t="s">
        <v>8</v>
      </c>
      <c r="HN570" s="27" t="s">
        <v>7</v>
      </c>
      <c r="HO570" s="27" t="s">
        <v>8</v>
      </c>
      <c r="HP570" s="27" t="s">
        <v>7</v>
      </c>
      <c r="HQ570" s="27" t="s">
        <v>8</v>
      </c>
      <c r="HR570" s="27" t="s">
        <v>7</v>
      </c>
      <c r="HS570" s="27" t="s">
        <v>8</v>
      </c>
      <c r="HT570" s="27" t="s">
        <v>7</v>
      </c>
      <c r="HX570" s="27" t="s">
        <v>7</v>
      </c>
      <c r="HY570" s="27" t="s">
        <v>8</v>
      </c>
      <c r="HZ570" s="27" t="s">
        <v>7</v>
      </c>
      <c r="IE570" s="27" t="s">
        <v>8</v>
      </c>
      <c r="IF570" s="27" t="s">
        <v>7</v>
      </c>
      <c r="IG570" s="27" t="s">
        <v>8</v>
      </c>
      <c r="IH570" s="27" t="s">
        <v>7</v>
      </c>
      <c r="II570" s="27" t="s">
        <v>8</v>
      </c>
      <c r="IJ570" s="27" t="s">
        <v>7</v>
      </c>
      <c r="IK570" s="27" t="s">
        <v>8</v>
      </c>
      <c r="IL570" s="27" t="s">
        <v>7</v>
      </c>
      <c r="IM570" s="27" t="s">
        <v>8</v>
      </c>
      <c r="IN570" s="27" t="s">
        <v>7</v>
      </c>
      <c r="IR570" s="31"/>
      <c r="KI570" s="27" t="s">
        <v>8</v>
      </c>
      <c r="MB570" s="27" t="s">
        <v>7</v>
      </c>
      <c r="MC570" s="27" t="s">
        <v>8</v>
      </c>
      <c r="MF570" s="27" t="s">
        <v>7</v>
      </c>
      <c r="MG570" s="27" t="s">
        <v>8</v>
      </c>
      <c r="MH570" s="27" t="s">
        <v>7</v>
      </c>
      <c r="MI570" s="27" t="s">
        <v>8</v>
      </c>
      <c r="MJ570" s="27" t="s">
        <v>7</v>
      </c>
      <c r="MK570" s="27" t="s">
        <v>8</v>
      </c>
      <c r="MT570" s="27" t="s">
        <v>7</v>
      </c>
      <c r="MU570" s="27" t="s">
        <v>8</v>
      </c>
      <c r="MV570" s="27" t="s">
        <v>7</v>
      </c>
      <c r="MW570" s="27" t="s">
        <v>8</v>
      </c>
      <c r="MX570" s="27" t="s">
        <v>7</v>
      </c>
      <c r="MY570" s="27" t="s">
        <v>8</v>
      </c>
      <c r="MZ570" s="27" t="s">
        <v>7</v>
      </c>
    </row>
    <row r="571" spans="1:364" x14ac:dyDescent="0.25">
      <c r="A571" s="7">
        <v>1.3727857050906125</v>
      </c>
      <c r="B571"/>
      <c r="C571"/>
      <c r="D571"/>
      <c r="E571"/>
      <c r="GO571" s="27" t="s">
        <v>8</v>
      </c>
      <c r="GP571" s="27" t="s">
        <v>7</v>
      </c>
      <c r="GR571" s="27" t="s">
        <v>7</v>
      </c>
      <c r="GS571" s="27" t="s">
        <v>8</v>
      </c>
      <c r="GT571" s="27" t="s">
        <v>7</v>
      </c>
      <c r="GU571" s="27" t="s">
        <v>8</v>
      </c>
      <c r="GV571" s="27" t="s">
        <v>7</v>
      </c>
      <c r="HI571" s="27" t="s">
        <v>8</v>
      </c>
      <c r="HM571" s="27" t="s">
        <v>8</v>
      </c>
      <c r="HN571" s="27" t="s">
        <v>7</v>
      </c>
      <c r="HO571" s="27" t="s">
        <v>8</v>
      </c>
      <c r="HP571" s="27" t="s">
        <v>7</v>
      </c>
      <c r="HQ571" s="27" t="s">
        <v>8</v>
      </c>
      <c r="HR571" s="27" t="s">
        <v>7</v>
      </c>
      <c r="HS571" s="27" t="s">
        <v>8</v>
      </c>
      <c r="HX571" s="27" t="s">
        <v>7</v>
      </c>
      <c r="HY571" s="27" t="s">
        <v>8</v>
      </c>
      <c r="HZ571" s="27" t="s">
        <v>7</v>
      </c>
      <c r="IE571" s="27" t="s">
        <v>8</v>
      </c>
      <c r="IF571" s="27" t="s">
        <v>7</v>
      </c>
      <c r="IG571" s="27" t="s">
        <v>8</v>
      </c>
      <c r="IH571" s="27" t="s">
        <v>7</v>
      </c>
      <c r="II571" s="27" t="s">
        <v>8</v>
      </c>
      <c r="IJ571" s="27" t="s">
        <v>7</v>
      </c>
      <c r="IK571" s="27" t="s">
        <v>8</v>
      </c>
      <c r="IL571" s="27" t="s">
        <v>7</v>
      </c>
      <c r="IM571" s="27" t="s">
        <v>8</v>
      </c>
      <c r="IN571" s="27" t="s">
        <v>7</v>
      </c>
      <c r="IO571" s="27" t="s">
        <v>8</v>
      </c>
      <c r="IS571" s="31"/>
      <c r="KI571" s="27" t="s">
        <v>8</v>
      </c>
      <c r="MB571" s="27" t="s">
        <v>7</v>
      </c>
      <c r="MC571" s="27" t="s">
        <v>8</v>
      </c>
      <c r="MF571" s="27" t="s">
        <v>7</v>
      </c>
      <c r="MG571" s="27" t="s">
        <v>8</v>
      </c>
      <c r="MH571" s="27" t="s">
        <v>7</v>
      </c>
      <c r="MI571" s="27" t="s">
        <v>8</v>
      </c>
      <c r="MJ571" s="27" t="s">
        <v>7</v>
      </c>
      <c r="MK571" s="27" t="s">
        <v>8</v>
      </c>
      <c r="MT571" s="27" t="s">
        <v>7</v>
      </c>
      <c r="MU571" s="27" t="s">
        <v>8</v>
      </c>
      <c r="MV571" s="27" t="s">
        <v>7</v>
      </c>
      <c r="MW571" s="27" t="s">
        <v>8</v>
      </c>
      <c r="MX571" s="27" t="s">
        <v>7</v>
      </c>
      <c r="MY571" s="27" t="s">
        <v>8</v>
      </c>
      <c r="MZ571" s="27" t="s">
        <v>7</v>
      </c>
    </row>
    <row r="572" spans="1:364" x14ac:dyDescent="0.25">
      <c r="A572" s="7">
        <v>1.3458683383241299</v>
      </c>
      <c r="B572"/>
      <c r="C572"/>
      <c r="D572"/>
      <c r="E572"/>
      <c r="GO572" s="27" t="s">
        <v>8</v>
      </c>
      <c r="GR572" s="27" t="s">
        <v>7</v>
      </c>
      <c r="GS572" s="27" t="s">
        <v>8</v>
      </c>
      <c r="GT572" s="27" t="s">
        <v>7</v>
      </c>
      <c r="GU572" s="27" t="s">
        <v>8</v>
      </c>
      <c r="GV572" s="27" t="s">
        <v>7</v>
      </c>
      <c r="GW572" s="27" t="s">
        <v>8</v>
      </c>
      <c r="HG572" s="27" t="s">
        <v>8</v>
      </c>
      <c r="HI572" s="27" t="s">
        <v>8</v>
      </c>
      <c r="HJ572" s="27" t="s">
        <v>7</v>
      </c>
      <c r="HM572" s="27" t="s">
        <v>8</v>
      </c>
      <c r="HN572" s="27" t="s">
        <v>7</v>
      </c>
      <c r="HO572" s="27" t="s">
        <v>8</v>
      </c>
      <c r="HP572" s="27" t="s">
        <v>7</v>
      </c>
      <c r="HQ572" s="27" t="s">
        <v>8</v>
      </c>
      <c r="HR572" s="27" t="s">
        <v>7</v>
      </c>
      <c r="HS572" s="27" t="s">
        <v>8</v>
      </c>
      <c r="HX572" s="27" t="s">
        <v>7</v>
      </c>
      <c r="HY572" s="27" t="s">
        <v>8</v>
      </c>
      <c r="HZ572" s="27" t="s">
        <v>7</v>
      </c>
      <c r="IE572" s="27" t="s">
        <v>8</v>
      </c>
      <c r="IF572" s="27" t="s">
        <v>7</v>
      </c>
      <c r="IH572" s="27" t="s">
        <v>7</v>
      </c>
      <c r="II572" s="27" t="s">
        <v>8</v>
      </c>
      <c r="IJ572" s="27" t="s">
        <v>7</v>
      </c>
      <c r="IK572" s="27" t="s">
        <v>8</v>
      </c>
      <c r="IL572" s="27" t="s">
        <v>7</v>
      </c>
      <c r="IM572" s="27" t="s">
        <v>8</v>
      </c>
      <c r="IN572" s="27" t="s">
        <v>7</v>
      </c>
      <c r="IO572" s="27" t="s">
        <v>8</v>
      </c>
      <c r="IP572" s="27" t="s">
        <v>7</v>
      </c>
      <c r="IT572" s="31"/>
      <c r="KI572" s="27" t="s">
        <v>8</v>
      </c>
      <c r="MB572" s="27" t="s">
        <v>7</v>
      </c>
      <c r="MF572" s="27" t="s">
        <v>7</v>
      </c>
      <c r="MG572" s="27" t="s">
        <v>8</v>
      </c>
      <c r="MH572" s="27" t="s">
        <v>7</v>
      </c>
      <c r="MI572" s="27" t="s">
        <v>8</v>
      </c>
      <c r="MJ572" s="27" t="s">
        <v>7</v>
      </c>
      <c r="MK572" s="27" t="s">
        <v>8</v>
      </c>
      <c r="MT572" s="27" t="s">
        <v>7</v>
      </c>
      <c r="MU572" s="27" t="s">
        <v>8</v>
      </c>
      <c r="MV572" s="27" t="s">
        <v>7</v>
      </c>
      <c r="MW572" s="27" t="s">
        <v>8</v>
      </c>
      <c r="MX572" s="27" t="s">
        <v>7</v>
      </c>
      <c r="MZ572" s="27" t="s">
        <v>7</v>
      </c>
    </row>
    <row r="573" spans="1:364" x14ac:dyDescent="0.25">
      <c r="A573" s="7">
        <v>1.3194787630628724</v>
      </c>
      <c r="B573"/>
      <c r="C573"/>
      <c r="D573"/>
      <c r="E573"/>
      <c r="GO573" s="27" t="s">
        <v>8</v>
      </c>
      <c r="GR573" s="27" t="s">
        <v>7</v>
      </c>
      <c r="GS573" s="27" t="s">
        <v>8</v>
      </c>
      <c r="GT573" s="27" t="s">
        <v>7</v>
      </c>
      <c r="GU573" s="27" t="s">
        <v>8</v>
      </c>
      <c r="GV573" s="27" t="s">
        <v>7</v>
      </c>
      <c r="GW573" s="27" t="s">
        <v>8</v>
      </c>
      <c r="GX573" s="27" t="s">
        <v>7</v>
      </c>
      <c r="HG573" s="27" t="s">
        <v>8</v>
      </c>
      <c r="HH573" s="27" t="s">
        <v>7</v>
      </c>
      <c r="HI573" s="27" t="s">
        <v>8</v>
      </c>
      <c r="HJ573" s="27" t="s">
        <v>7</v>
      </c>
      <c r="HM573" s="27" t="s">
        <v>8</v>
      </c>
      <c r="HN573" s="27" t="s">
        <v>7</v>
      </c>
      <c r="HO573" s="27" t="s">
        <v>8</v>
      </c>
      <c r="HP573" s="27" t="s">
        <v>7</v>
      </c>
      <c r="HQ573" s="27" t="s">
        <v>8</v>
      </c>
      <c r="HR573" s="27" t="s">
        <v>7</v>
      </c>
      <c r="HS573" s="27" t="s">
        <v>8</v>
      </c>
      <c r="HX573" s="27" t="s">
        <v>7</v>
      </c>
      <c r="HY573" s="27" t="s">
        <v>8</v>
      </c>
      <c r="HZ573" s="27" t="s">
        <v>7</v>
      </c>
      <c r="IA573" s="27" t="s">
        <v>8</v>
      </c>
      <c r="IC573" s="27" t="s">
        <v>8</v>
      </c>
      <c r="IE573" s="27" t="s">
        <v>8</v>
      </c>
      <c r="IH573" s="27" t="s">
        <v>7</v>
      </c>
      <c r="II573" s="27" t="s">
        <v>8</v>
      </c>
      <c r="IJ573" s="27" t="s">
        <v>7</v>
      </c>
      <c r="IL573" s="27" t="s">
        <v>7</v>
      </c>
      <c r="IM573" s="27" t="s">
        <v>8</v>
      </c>
      <c r="IN573" s="27" t="s">
        <v>7</v>
      </c>
      <c r="IO573" s="27" t="s">
        <v>8</v>
      </c>
      <c r="IP573" s="27" t="s">
        <v>7</v>
      </c>
      <c r="IU573" s="31"/>
      <c r="KI573" s="27" t="s">
        <v>8</v>
      </c>
      <c r="MF573" s="27" t="s">
        <v>7</v>
      </c>
      <c r="MH573" s="27" t="s">
        <v>7</v>
      </c>
      <c r="MJ573" s="27" t="s">
        <v>7</v>
      </c>
      <c r="MK573" s="27" t="s">
        <v>8</v>
      </c>
      <c r="MT573" s="27" t="s">
        <v>7</v>
      </c>
      <c r="MV573" s="27" t="s">
        <v>7</v>
      </c>
      <c r="MZ573" s="27" t="s">
        <v>7</v>
      </c>
    </row>
    <row r="574" spans="1:364" x14ac:dyDescent="0.25">
      <c r="A574" s="7">
        <v>1.2936066304537963</v>
      </c>
      <c r="B574"/>
      <c r="C574"/>
      <c r="D574"/>
      <c r="E574"/>
      <c r="GO574" s="27" t="s">
        <v>8</v>
      </c>
      <c r="GR574" s="27" t="s">
        <v>7</v>
      </c>
      <c r="GS574" s="27" t="s">
        <v>8</v>
      </c>
      <c r="GT574" s="27" t="s">
        <v>7</v>
      </c>
      <c r="GU574" s="27" t="s">
        <v>8</v>
      </c>
      <c r="GV574" s="27" t="s">
        <v>7</v>
      </c>
      <c r="GW574" s="27" t="s">
        <v>8</v>
      </c>
      <c r="GX574" s="27" t="s">
        <v>7</v>
      </c>
      <c r="HG574" s="27" t="s">
        <v>8</v>
      </c>
      <c r="HH574" s="27" t="s">
        <v>7</v>
      </c>
      <c r="HI574" s="27" t="s">
        <v>8</v>
      </c>
      <c r="HJ574" s="27" t="s">
        <v>7</v>
      </c>
      <c r="HK574" s="27" t="s">
        <v>8</v>
      </c>
      <c r="HM574" s="27" t="s">
        <v>8</v>
      </c>
      <c r="HN574" s="27" t="s">
        <v>7</v>
      </c>
      <c r="HO574" s="27" t="s">
        <v>8</v>
      </c>
      <c r="HP574" s="27" t="s">
        <v>7</v>
      </c>
      <c r="HQ574" s="27" t="s">
        <v>8</v>
      </c>
      <c r="HR574" s="27" t="s">
        <v>7</v>
      </c>
      <c r="HS574" s="27" t="s">
        <v>8</v>
      </c>
      <c r="HX574" s="27" t="s">
        <v>7</v>
      </c>
      <c r="HY574" s="27" t="s">
        <v>8</v>
      </c>
      <c r="HZ574" s="27" t="s">
        <v>7</v>
      </c>
      <c r="IA574" s="27" t="s">
        <v>8</v>
      </c>
      <c r="IB574" s="27" t="s">
        <v>7</v>
      </c>
      <c r="IC574" s="27" t="s">
        <v>8</v>
      </c>
      <c r="ID574" s="27" t="s">
        <v>7</v>
      </c>
      <c r="IE574" s="27" t="s">
        <v>8</v>
      </c>
      <c r="IH574" s="27" t="s">
        <v>7</v>
      </c>
      <c r="II574" s="27" t="s">
        <v>8</v>
      </c>
      <c r="IL574" s="27" t="s">
        <v>7</v>
      </c>
      <c r="IM574" s="27" t="s">
        <v>8</v>
      </c>
      <c r="IN574" s="27" t="s">
        <v>7</v>
      </c>
      <c r="IO574" s="27" t="s">
        <v>8</v>
      </c>
      <c r="IP574" s="27" t="s">
        <v>7</v>
      </c>
      <c r="IV574" s="31"/>
      <c r="KI574" s="27" t="s">
        <v>8</v>
      </c>
      <c r="MJ574" s="27" t="s">
        <v>7</v>
      </c>
      <c r="MK574" s="27" t="s">
        <v>8</v>
      </c>
      <c r="MZ574" s="27" t="s">
        <v>7</v>
      </c>
    </row>
    <row r="575" spans="1:364" x14ac:dyDescent="0.25">
      <c r="A575" s="7">
        <v>1.2682417945625455</v>
      </c>
      <c r="B575"/>
      <c r="C575"/>
      <c r="D575"/>
      <c r="E575"/>
      <c r="GO575" s="27" t="s">
        <v>8</v>
      </c>
      <c r="GR575" s="27" t="s">
        <v>7</v>
      </c>
      <c r="GS575" s="27" t="s">
        <v>8</v>
      </c>
      <c r="GT575" s="27" t="s">
        <v>7</v>
      </c>
      <c r="GU575" s="27" t="s">
        <v>8</v>
      </c>
      <c r="GV575" s="27" t="s">
        <v>7</v>
      </c>
      <c r="GW575" s="27" t="s">
        <v>8</v>
      </c>
      <c r="GX575" s="27" t="s">
        <v>7</v>
      </c>
      <c r="HG575" s="27" t="s">
        <v>8</v>
      </c>
      <c r="HH575" s="27" t="s">
        <v>7</v>
      </c>
      <c r="HI575" s="27" t="s">
        <v>8</v>
      </c>
      <c r="HJ575" s="27" t="s">
        <v>7</v>
      </c>
      <c r="HK575" s="27" t="s">
        <v>8</v>
      </c>
      <c r="HL575" s="27" t="s">
        <v>7</v>
      </c>
      <c r="HM575" s="27" t="s">
        <v>8</v>
      </c>
      <c r="HN575" s="27" t="s">
        <v>7</v>
      </c>
      <c r="HO575" s="27" t="s">
        <v>8</v>
      </c>
      <c r="HP575" s="27" t="s">
        <v>7</v>
      </c>
      <c r="HQ575" s="27" t="s">
        <v>8</v>
      </c>
      <c r="HR575" s="27" t="s">
        <v>7</v>
      </c>
      <c r="HX575" s="27" t="s">
        <v>7</v>
      </c>
      <c r="HY575" s="27" t="s">
        <v>8</v>
      </c>
      <c r="HZ575" s="27" t="s">
        <v>7</v>
      </c>
      <c r="IA575" s="27" t="s">
        <v>8</v>
      </c>
      <c r="IB575" s="27" t="s">
        <v>7</v>
      </c>
      <c r="IC575" s="27" t="s">
        <v>8</v>
      </c>
      <c r="ID575" s="27" t="s">
        <v>7</v>
      </c>
      <c r="IE575" s="27" t="s">
        <v>8</v>
      </c>
      <c r="IH575" s="27" t="s">
        <v>7</v>
      </c>
      <c r="IL575" s="27" t="s">
        <v>7</v>
      </c>
      <c r="IM575" s="27" t="s">
        <v>8</v>
      </c>
      <c r="IN575" s="27" t="s">
        <v>7</v>
      </c>
      <c r="IP575" s="27" t="s">
        <v>7</v>
      </c>
      <c r="IW575" s="31"/>
      <c r="KG575" s="27" t="s">
        <v>8</v>
      </c>
      <c r="KI575" s="27" t="s">
        <v>8</v>
      </c>
      <c r="MJ575" s="27" t="s">
        <v>7</v>
      </c>
      <c r="MZ575" s="27" t="s">
        <v>7</v>
      </c>
    </row>
    <row r="576" spans="1:364" x14ac:dyDescent="0.25">
      <c r="A576" s="7">
        <v>1.2433743083946525</v>
      </c>
      <c r="B576"/>
      <c r="C576"/>
      <c r="D576"/>
      <c r="E576"/>
      <c r="GO576" s="27" t="s">
        <v>8</v>
      </c>
      <c r="GR576" s="27" t="s">
        <v>7</v>
      </c>
      <c r="GS576" s="27" t="s">
        <v>8</v>
      </c>
      <c r="GT576" s="27" t="s">
        <v>7</v>
      </c>
      <c r="GU576" s="27" t="s">
        <v>8</v>
      </c>
      <c r="GV576" s="27" t="s">
        <v>7</v>
      </c>
      <c r="GX576" s="27" t="s">
        <v>7</v>
      </c>
      <c r="HC576" s="27" t="s">
        <v>8</v>
      </c>
      <c r="HG576" s="27" t="s">
        <v>8</v>
      </c>
      <c r="HH576" s="27" t="s">
        <v>7</v>
      </c>
      <c r="HI576" s="27" t="s">
        <v>8</v>
      </c>
      <c r="HJ576" s="27" t="s">
        <v>7</v>
      </c>
      <c r="HK576" s="27" t="s">
        <v>8</v>
      </c>
      <c r="HL576" s="27" t="s">
        <v>7</v>
      </c>
      <c r="HM576" s="27" t="s">
        <v>8</v>
      </c>
      <c r="HN576" s="27" t="s">
        <v>7</v>
      </c>
      <c r="HP576" s="27" t="s">
        <v>7</v>
      </c>
      <c r="HX576" s="31" t="s">
        <v>7</v>
      </c>
      <c r="HY576" s="27" t="s">
        <v>8</v>
      </c>
      <c r="HZ576" s="27" t="s">
        <v>7</v>
      </c>
      <c r="IA576" s="27" t="s">
        <v>8</v>
      </c>
      <c r="IB576" s="27" t="s">
        <v>7</v>
      </c>
      <c r="IC576" s="27" t="s">
        <v>8</v>
      </c>
      <c r="ID576" s="27" t="s">
        <v>7</v>
      </c>
      <c r="IE576" s="27" t="s">
        <v>8</v>
      </c>
      <c r="IL576" s="27" t="s">
        <v>7</v>
      </c>
      <c r="IM576" s="27" t="s">
        <v>8</v>
      </c>
      <c r="IP576" s="27" t="s">
        <v>7</v>
      </c>
      <c r="IX576" s="31"/>
      <c r="KA576" s="27" t="s">
        <v>8</v>
      </c>
      <c r="KG576" s="27" t="s">
        <v>8</v>
      </c>
      <c r="KH576" s="27" t="s">
        <v>7</v>
      </c>
      <c r="KI576" s="27" t="s">
        <v>8</v>
      </c>
      <c r="MZ576" s="27" t="s">
        <v>7</v>
      </c>
    </row>
    <row r="577" spans="1:368" x14ac:dyDescent="0.25">
      <c r="A577" s="7">
        <v>1.2189944199947573</v>
      </c>
      <c r="B577"/>
      <c r="C577"/>
      <c r="D577"/>
      <c r="E577"/>
      <c r="GO577" s="27" t="s">
        <v>8</v>
      </c>
      <c r="GR577" s="27" t="s">
        <v>7</v>
      </c>
      <c r="GT577" s="27" t="s">
        <v>7</v>
      </c>
      <c r="GX577" s="27" t="s">
        <v>7</v>
      </c>
      <c r="HC577" s="27" t="s">
        <v>8</v>
      </c>
      <c r="HD577" s="27" t="s">
        <v>7</v>
      </c>
      <c r="HE577" s="27" t="s">
        <v>8</v>
      </c>
      <c r="HG577" s="27" t="s">
        <v>8</v>
      </c>
      <c r="HH577" s="27" t="s">
        <v>7</v>
      </c>
      <c r="HI577" s="27" t="s">
        <v>8</v>
      </c>
      <c r="HJ577" s="27" t="s">
        <v>7</v>
      </c>
      <c r="HL577" s="27" t="s">
        <v>7</v>
      </c>
      <c r="HM577" s="27" t="s">
        <v>8</v>
      </c>
      <c r="HW577" s="31"/>
      <c r="HX577" s="27" t="s">
        <v>7</v>
      </c>
      <c r="HZ577" s="27" t="s">
        <v>7</v>
      </c>
      <c r="IA577" s="27" t="s">
        <v>8</v>
      </c>
      <c r="IB577" s="27" t="s">
        <v>7</v>
      </c>
      <c r="IC577" s="27" t="s">
        <v>8</v>
      </c>
      <c r="ID577" s="27" t="s">
        <v>7</v>
      </c>
      <c r="IL577" s="27" t="s">
        <v>7</v>
      </c>
      <c r="IP577" s="27" t="s">
        <v>7</v>
      </c>
      <c r="IY577" s="31"/>
      <c r="KA577" s="27" t="s">
        <v>8</v>
      </c>
      <c r="KB577" s="27" t="s">
        <v>7</v>
      </c>
      <c r="KG577" s="27" t="s">
        <v>8</v>
      </c>
      <c r="KH577" s="27" t="s">
        <v>7</v>
      </c>
      <c r="KI577" s="27" t="s">
        <v>8</v>
      </c>
      <c r="MZ577" s="27" t="s">
        <v>7</v>
      </c>
    </row>
    <row r="578" spans="1:368" x14ac:dyDescent="0.25">
      <c r="A578" s="7">
        <v>1.1950925686223111</v>
      </c>
      <c r="B578"/>
      <c r="C578"/>
      <c r="D578"/>
      <c r="E578"/>
      <c r="GO578" s="27" t="s">
        <v>8</v>
      </c>
      <c r="GX578" s="27" t="s">
        <v>7</v>
      </c>
      <c r="HA578" s="27" t="s">
        <v>8</v>
      </c>
      <c r="HC578" s="27" t="s">
        <v>8</v>
      </c>
      <c r="HD578" s="27" t="s">
        <v>7</v>
      </c>
      <c r="HE578" s="27" t="s">
        <v>8</v>
      </c>
      <c r="HF578" s="27" t="s">
        <v>7</v>
      </c>
      <c r="HG578" s="27" t="s">
        <v>8</v>
      </c>
      <c r="HH578" s="27" t="s">
        <v>7</v>
      </c>
      <c r="HI578" s="27" t="s">
        <v>8</v>
      </c>
      <c r="HL578" s="27" t="s">
        <v>7</v>
      </c>
      <c r="HM578" s="27" t="s">
        <v>8</v>
      </c>
      <c r="HV578" s="31"/>
      <c r="HZ578" s="27" t="s">
        <v>7</v>
      </c>
      <c r="IA578" s="27" t="s">
        <v>8</v>
      </c>
      <c r="IB578" s="27" t="s">
        <v>7</v>
      </c>
      <c r="IC578" s="27" t="s">
        <v>8</v>
      </c>
      <c r="IP578" s="27" t="s">
        <v>7</v>
      </c>
      <c r="IZ578" s="31"/>
      <c r="KA578" s="27" t="s">
        <v>8</v>
      </c>
      <c r="KB578" s="27" t="s">
        <v>7</v>
      </c>
      <c r="KG578" s="27" t="s">
        <v>8</v>
      </c>
      <c r="KH578" s="27" t="s">
        <v>7</v>
      </c>
      <c r="MZ578" s="27" t="s">
        <v>7</v>
      </c>
    </row>
    <row r="579" spans="1:368" x14ac:dyDescent="0.25">
      <c r="A579" s="7">
        <v>1.1716593810022657</v>
      </c>
      <c r="B579"/>
      <c r="C579"/>
      <c r="D579"/>
      <c r="E579"/>
      <c r="GO579" s="27" t="s">
        <v>8</v>
      </c>
      <c r="GX579" s="27" t="s">
        <v>7</v>
      </c>
      <c r="GY579" s="27" t="s">
        <v>8</v>
      </c>
      <c r="HA579" s="27" t="s">
        <v>8</v>
      </c>
      <c r="HB579" s="27" t="s">
        <v>7</v>
      </c>
      <c r="HC579" s="27" t="s">
        <v>8</v>
      </c>
      <c r="HD579" s="27" t="s">
        <v>7</v>
      </c>
      <c r="HE579" s="27" t="s">
        <v>8</v>
      </c>
      <c r="HF579" s="27" t="s">
        <v>7</v>
      </c>
      <c r="HG579" s="27" t="s">
        <v>8</v>
      </c>
      <c r="HH579" s="27" t="s">
        <v>7</v>
      </c>
      <c r="HI579" s="27" t="s">
        <v>8</v>
      </c>
      <c r="HL579" s="27" t="s">
        <v>7</v>
      </c>
      <c r="HM579" s="27" t="s">
        <v>8</v>
      </c>
      <c r="HU579" s="31"/>
      <c r="HZ579" s="27" t="s">
        <v>7</v>
      </c>
      <c r="IB579" s="27" t="s">
        <v>7</v>
      </c>
      <c r="IC579" s="27" t="s">
        <v>8</v>
      </c>
      <c r="IP579" s="27" t="s">
        <v>7</v>
      </c>
      <c r="JA579" s="31"/>
      <c r="KA579" s="27" t="s">
        <v>8</v>
      </c>
      <c r="KB579" s="27" t="s">
        <v>7</v>
      </c>
      <c r="KE579" s="27" t="s">
        <v>8</v>
      </c>
      <c r="KG579" s="27" t="s">
        <v>8</v>
      </c>
      <c r="MZ579" s="27" t="s">
        <v>7</v>
      </c>
    </row>
    <row r="580" spans="1:368" x14ac:dyDescent="0.25">
      <c r="A580" s="7">
        <v>1.14868566764928</v>
      </c>
      <c r="B580"/>
      <c r="C580"/>
      <c r="D580"/>
      <c r="E580"/>
      <c r="GO580" s="27" t="s">
        <v>8</v>
      </c>
      <c r="GX580" s="27" t="s">
        <v>7</v>
      </c>
      <c r="GY580" s="27" t="s">
        <v>8</v>
      </c>
      <c r="GZ580" s="27" t="s">
        <v>7</v>
      </c>
      <c r="HA580" s="27" t="s">
        <v>8</v>
      </c>
      <c r="HB580" s="27" t="s">
        <v>7</v>
      </c>
      <c r="HC580" s="27" t="s">
        <v>8</v>
      </c>
      <c r="HD580" s="27" t="s">
        <v>7</v>
      </c>
      <c r="HE580" s="27" t="s">
        <v>8</v>
      </c>
      <c r="HF580" s="27" t="s">
        <v>7</v>
      </c>
      <c r="HG580" s="27" t="s">
        <v>8</v>
      </c>
      <c r="HH580" s="27" t="s">
        <v>7</v>
      </c>
      <c r="HI580" s="27" t="s">
        <v>8</v>
      </c>
      <c r="HL580" s="27" t="s">
        <v>7</v>
      </c>
      <c r="HM580" s="27" t="s">
        <v>8</v>
      </c>
      <c r="HT580" s="31"/>
      <c r="IB580" s="27" t="s">
        <v>7</v>
      </c>
      <c r="IC580" s="27" t="s">
        <v>8</v>
      </c>
      <c r="IP580" s="27" t="s">
        <v>7</v>
      </c>
      <c r="IW580" s="27" t="s">
        <v>8</v>
      </c>
      <c r="JA580" s="27" t="s">
        <v>8</v>
      </c>
      <c r="JB580" s="31"/>
      <c r="KA580" s="27" t="s">
        <v>8</v>
      </c>
      <c r="KB580" s="27" t="s">
        <v>7</v>
      </c>
      <c r="KE580" s="27" t="s">
        <v>8</v>
      </c>
      <c r="KF580" s="27" t="s">
        <v>7</v>
      </c>
      <c r="KG580" s="27" t="s">
        <v>8</v>
      </c>
      <c r="MZ580" s="27" t="s">
        <v>7</v>
      </c>
    </row>
    <row r="581" spans="1:368" x14ac:dyDescent="0.25">
      <c r="A581" s="7">
        <v>1.1261624192640001</v>
      </c>
      <c r="B581"/>
      <c r="C581"/>
      <c r="D581"/>
      <c r="E581"/>
      <c r="GO581" s="27" t="s">
        <v>8</v>
      </c>
      <c r="GX581" s="27" t="s">
        <v>7</v>
      </c>
      <c r="GY581" s="27" t="s">
        <v>8</v>
      </c>
      <c r="GZ581" s="27" t="s">
        <v>7</v>
      </c>
      <c r="HA581" s="27" t="s">
        <v>8</v>
      </c>
      <c r="HB581" s="27" t="s">
        <v>7</v>
      </c>
      <c r="HC581" s="27" t="s">
        <v>8</v>
      </c>
      <c r="HD581" s="27" t="s">
        <v>7</v>
      </c>
      <c r="HE581" s="27" t="s">
        <v>8</v>
      </c>
      <c r="HF581" s="27" t="s">
        <v>7</v>
      </c>
      <c r="HG581" s="27" t="s">
        <v>8</v>
      </c>
      <c r="HH581" s="27" t="s">
        <v>7</v>
      </c>
      <c r="HL581" s="27" t="s">
        <v>7</v>
      </c>
      <c r="HM581" s="27" t="s">
        <v>8</v>
      </c>
      <c r="HS581" s="31"/>
      <c r="IB581" s="27" t="s">
        <v>7</v>
      </c>
      <c r="IC581" s="27" t="s">
        <v>8</v>
      </c>
      <c r="IP581" s="27" t="s">
        <v>7</v>
      </c>
      <c r="IQ581" s="27" t="s">
        <v>8</v>
      </c>
      <c r="IW581" s="27" t="s">
        <v>8</v>
      </c>
      <c r="IX581" s="27" t="s">
        <v>7</v>
      </c>
      <c r="JA581" s="27" t="s">
        <v>8</v>
      </c>
      <c r="JB581" s="27" t="s">
        <v>7</v>
      </c>
      <c r="JC581" s="31"/>
      <c r="KA581" s="27" t="s">
        <v>8</v>
      </c>
      <c r="KB581" s="27" t="s">
        <v>7</v>
      </c>
      <c r="KE581" s="27" t="s">
        <v>8</v>
      </c>
      <c r="KF581" s="27" t="s">
        <v>7</v>
      </c>
      <c r="KG581" s="27" t="s">
        <v>8</v>
      </c>
      <c r="MZ581" s="27" t="s">
        <v>7</v>
      </c>
    </row>
    <row r="582" spans="1:368" x14ac:dyDescent="0.25">
      <c r="A582" s="7">
        <v>1.1040808032</v>
      </c>
      <c r="B582"/>
      <c r="C582"/>
      <c r="D582"/>
      <c r="E582"/>
      <c r="GO582" s="27" t="s">
        <v>8</v>
      </c>
      <c r="GX582" s="27" t="s">
        <v>7</v>
      </c>
      <c r="GY582" s="27" t="s">
        <v>8</v>
      </c>
      <c r="GZ582" s="27" t="s">
        <v>7</v>
      </c>
      <c r="HA582" s="27" t="s">
        <v>8</v>
      </c>
      <c r="HB582" s="27" t="s">
        <v>7</v>
      </c>
      <c r="HC582" s="27" t="s">
        <v>8</v>
      </c>
      <c r="HD582" s="27" t="s">
        <v>7</v>
      </c>
      <c r="HE582" s="27" t="s">
        <v>8</v>
      </c>
      <c r="HF582" s="27" t="s">
        <v>7</v>
      </c>
      <c r="HG582" s="27" t="s">
        <v>8</v>
      </c>
      <c r="HL582" s="31" t="s">
        <v>7</v>
      </c>
      <c r="HM582" s="27" t="s">
        <v>8</v>
      </c>
      <c r="HR582" s="31"/>
      <c r="IB582" s="27" t="s">
        <v>7</v>
      </c>
      <c r="IC582" s="27" t="s">
        <v>8</v>
      </c>
      <c r="IP582" s="27" t="s">
        <v>7</v>
      </c>
      <c r="IQ582" s="27" t="s">
        <v>8</v>
      </c>
      <c r="IR582" s="27" t="s">
        <v>7</v>
      </c>
      <c r="IW582" s="27" t="s">
        <v>8</v>
      </c>
      <c r="IX582" s="27" t="s">
        <v>7</v>
      </c>
      <c r="JA582" s="27" t="s">
        <v>8</v>
      </c>
      <c r="JB582" s="27" t="s">
        <v>7</v>
      </c>
      <c r="JD582" s="31"/>
      <c r="KA582" s="27" t="s">
        <v>8</v>
      </c>
      <c r="KB582" s="27" t="s">
        <v>7</v>
      </c>
      <c r="KE582" s="27" t="s">
        <v>8</v>
      </c>
      <c r="KF582" s="27" t="s">
        <v>7</v>
      </c>
      <c r="KG582" s="27" t="s">
        <v>8</v>
      </c>
      <c r="MZ582" s="27" t="s">
        <v>7</v>
      </c>
    </row>
    <row r="583" spans="1:368" x14ac:dyDescent="0.25">
      <c r="A583" s="7">
        <v>1.08243216</v>
      </c>
      <c r="B583"/>
      <c r="C583"/>
      <c r="D583"/>
      <c r="E583"/>
      <c r="GM583" s="27" t="s">
        <v>8</v>
      </c>
      <c r="GO583" s="27" t="s">
        <v>8</v>
      </c>
      <c r="GX583" s="27" t="s">
        <v>7</v>
      </c>
      <c r="GY583" s="27" t="s">
        <v>8</v>
      </c>
      <c r="GZ583" s="27" t="s">
        <v>7</v>
      </c>
      <c r="HA583" s="27" t="s">
        <v>8</v>
      </c>
      <c r="HB583" s="27" t="s">
        <v>7</v>
      </c>
      <c r="HC583" s="27" t="s">
        <v>8</v>
      </c>
      <c r="HD583" s="27" t="s">
        <v>7</v>
      </c>
      <c r="HE583" s="27" t="s">
        <v>8</v>
      </c>
      <c r="HF583" s="27" t="s">
        <v>7</v>
      </c>
      <c r="HG583" s="27" t="s">
        <v>8</v>
      </c>
      <c r="HK583" s="31"/>
      <c r="HL583" s="27" t="s">
        <v>7</v>
      </c>
      <c r="HM583" s="27" t="s">
        <v>8</v>
      </c>
      <c r="HQ583" s="31"/>
      <c r="IB583" s="27" t="s">
        <v>7</v>
      </c>
      <c r="IC583" s="27" t="s">
        <v>8</v>
      </c>
      <c r="IP583" s="27" t="s">
        <v>7</v>
      </c>
      <c r="IQ583" s="27" t="s">
        <v>8</v>
      </c>
      <c r="IR583" s="27" t="s">
        <v>7</v>
      </c>
      <c r="IW583" s="27" t="s">
        <v>8</v>
      </c>
      <c r="IX583" s="27" t="s">
        <v>7</v>
      </c>
      <c r="IY583" s="27" t="s">
        <v>8</v>
      </c>
      <c r="JA583" s="27" t="s">
        <v>8</v>
      </c>
      <c r="JB583" s="27" t="s">
        <v>7</v>
      </c>
      <c r="JC583" s="27" t="s">
        <v>8</v>
      </c>
      <c r="JE583" s="31" t="s">
        <v>8</v>
      </c>
      <c r="KA583" s="27" t="s">
        <v>8</v>
      </c>
      <c r="KB583" s="27" t="s">
        <v>7</v>
      </c>
      <c r="KE583" s="27" t="s">
        <v>8</v>
      </c>
      <c r="KF583" s="27" t="s">
        <v>7</v>
      </c>
      <c r="MZ583" s="27" t="s">
        <v>7</v>
      </c>
    </row>
    <row r="584" spans="1:368" x14ac:dyDescent="0.25">
      <c r="A584" s="7">
        <v>1.0612079999999999</v>
      </c>
      <c r="B584"/>
      <c r="C584"/>
      <c r="D584"/>
      <c r="E584"/>
      <c r="GM584" s="27" t="s">
        <v>8</v>
      </c>
      <c r="GN584" s="27" t="s">
        <v>7</v>
      </c>
      <c r="GO584" s="27" t="s">
        <v>8</v>
      </c>
      <c r="GX584" s="27" t="s">
        <v>7</v>
      </c>
      <c r="GY584" s="27" t="s">
        <v>8</v>
      </c>
      <c r="GZ584" s="27" t="s">
        <v>7</v>
      </c>
      <c r="HA584" s="27" t="s">
        <v>8</v>
      </c>
      <c r="HB584" s="27" t="s">
        <v>7</v>
      </c>
      <c r="HC584" s="27" t="s">
        <v>8</v>
      </c>
      <c r="HD584" s="27" t="s">
        <v>7</v>
      </c>
      <c r="HE584" s="27" t="s">
        <v>8</v>
      </c>
      <c r="HF584" s="27" t="s">
        <v>7</v>
      </c>
      <c r="HG584" s="27" t="s">
        <v>8</v>
      </c>
      <c r="HJ584" s="31"/>
      <c r="HL584" s="27" t="s">
        <v>7</v>
      </c>
      <c r="HM584" s="27" t="s">
        <v>8</v>
      </c>
      <c r="HP584" s="31"/>
      <c r="IB584" s="27" t="s">
        <v>7</v>
      </c>
      <c r="IC584" s="27" t="s">
        <v>8</v>
      </c>
      <c r="IP584" s="27" t="s">
        <v>7</v>
      </c>
      <c r="IQ584" s="27" t="s">
        <v>8</v>
      </c>
      <c r="IR584" s="27" t="s">
        <v>7</v>
      </c>
      <c r="IW584" s="27" t="s">
        <v>8</v>
      </c>
      <c r="IX584" s="27" t="s">
        <v>7</v>
      </c>
      <c r="IY584" s="27" t="s">
        <v>8</v>
      </c>
      <c r="IZ584" s="27" t="s">
        <v>7</v>
      </c>
      <c r="JA584" s="27" t="s">
        <v>8</v>
      </c>
      <c r="JB584" s="27" t="s">
        <v>7</v>
      </c>
      <c r="JC584" s="27" t="s">
        <v>8</v>
      </c>
      <c r="JD584" s="27" t="s">
        <v>7</v>
      </c>
      <c r="JE584" s="27" t="s">
        <v>8</v>
      </c>
      <c r="JF584" s="31" t="s">
        <v>7</v>
      </c>
      <c r="KA584" s="27" t="s">
        <v>8</v>
      </c>
      <c r="KB584" s="27" t="s">
        <v>7</v>
      </c>
      <c r="KC584" s="27" t="s">
        <v>8</v>
      </c>
      <c r="KE584" s="27" t="s">
        <v>8</v>
      </c>
      <c r="MZ584" s="27" t="s">
        <v>7</v>
      </c>
    </row>
    <row r="585" spans="1:368" x14ac:dyDescent="0.25">
      <c r="A585" s="7">
        <v>1.0404</v>
      </c>
      <c r="B585"/>
      <c r="C585"/>
      <c r="D585"/>
      <c r="E585"/>
      <c r="GM585" s="27" t="s">
        <v>8</v>
      </c>
      <c r="GN585" s="27" t="s">
        <v>7</v>
      </c>
      <c r="GO585" s="27" t="s">
        <v>8</v>
      </c>
      <c r="GX585" s="27" t="s">
        <v>7</v>
      </c>
      <c r="GY585" s="27" t="s">
        <v>8</v>
      </c>
      <c r="GZ585" s="27" t="s">
        <v>7</v>
      </c>
      <c r="HA585" s="27" t="s">
        <v>8</v>
      </c>
      <c r="HB585" s="27" t="s">
        <v>7</v>
      </c>
      <c r="HC585" s="27" t="s">
        <v>8</v>
      </c>
      <c r="HD585" s="27" t="s">
        <v>7</v>
      </c>
      <c r="HE585" s="27" t="s">
        <v>8</v>
      </c>
      <c r="HF585" s="27" t="s">
        <v>7</v>
      </c>
      <c r="HG585" s="27" t="s">
        <v>8</v>
      </c>
      <c r="HI585" s="31"/>
      <c r="HL585" s="27" t="s">
        <v>7</v>
      </c>
      <c r="HM585" s="27" t="s">
        <v>8</v>
      </c>
      <c r="HO585" s="31"/>
      <c r="IB585" s="27" t="s">
        <v>7</v>
      </c>
      <c r="IC585" s="27" t="s">
        <v>8</v>
      </c>
      <c r="IP585" s="27" t="s">
        <v>7</v>
      </c>
      <c r="IQ585" s="27" t="s">
        <v>8</v>
      </c>
      <c r="IR585" s="27" t="s">
        <v>7</v>
      </c>
      <c r="IU585" s="27" t="s">
        <v>8</v>
      </c>
      <c r="IW585" s="27" t="s">
        <v>8</v>
      </c>
      <c r="IX585" s="27" t="s">
        <v>7</v>
      </c>
      <c r="IY585" s="27" t="s">
        <v>8</v>
      </c>
      <c r="IZ585" s="27" t="s">
        <v>7</v>
      </c>
      <c r="JA585" s="27" t="s">
        <v>8</v>
      </c>
      <c r="JB585" s="27" t="s">
        <v>7</v>
      </c>
      <c r="JC585" s="27" t="s">
        <v>8</v>
      </c>
      <c r="JD585" s="27" t="s">
        <v>7</v>
      </c>
      <c r="JE585" s="27" t="s">
        <v>8</v>
      </c>
      <c r="JF585" s="27" t="s">
        <v>7</v>
      </c>
      <c r="JG585" s="31"/>
      <c r="KA585" s="27" t="s">
        <v>8</v>
      </c>
      <c r="KB585" s="27" t="s">
        <v>7</v>
      </c>
      <c r="KC585" s="27" t="s">
        <v>8</v>
      </c>
      <c r="KD585" s="27" t="s">
        <v>7</v>
      </c>
      <c r="KE585" s="27" t="s">
        <v>8</v>
      </c>
      <c r="MZ585" s="27" t="s">
        <v>7</v>
      </c>
    </row>
    <row r="586" spans="1:368" x14ac:dyDescent="0.25">
      <c r="A586" s="7">
        <v>1.02</v>
      </c>
      <c r="B586"/>
      <c r="C586"/>
      <c r="D586"/>
      <c r="E586"/>
      <c r="GM586" s="27" t="s">
        <v>8</v>
      </c>
      <c r="GN586" s="27" t="s">
        <v>7</v>
      </c>
      <c r="GO586" s="27" t="s">
        <v>8</v>
      </c>
      <c r="GX586" s="27" t="s">
        <v>7</v>
      </c>
      <c r="GY586" s="27" t="s">
        <v>8</v>
      </c>
      <c r="GZ586" s="27" t="s">
        <v>7</v>
      </c>
      <c r="HA586" s="27" t="s">
        <v>8</v>
      </c>
      <c r="HB586" s="27" t="s">
        <v>7</v>
      </c>
      <c r="HC586" s="27" t="s">
        <v>8</v>
      </c>
      <c r="HD586" s="27" t="s">
        <v>7</v>
      </c>
      <c r="HF586" s="27" t="s">
        <v>7</v>
      </c>
      <c r="HH586" s="31"/>
      <c r="HL586" s="27" t="s">
        <v>7</v>
      </c>
      <c r="HM586" s="27" t="s">
        <v>8</v>
      </c>
      <c r="HN586" s="31"/>
      <c r="IB586" s="27" t="s">
        <v>7</v>
      </c>
      <c r="IC586" s="27" t="s">
        <v>8</v>
      </c>
      <c r="IP586" s="27" t="s">
        <v>7</v>
      </c>
      <c r="IQ586" s="27" t="s">
        <v>8</v>
      </c>
      <c r="IR586" s="27" t="s">
        <v>7</v>
      </c>
      <c r="IU586" s="27" t="s">
        <v>8</v>
      </c>
      <c r="IV586" s="27" t="s">
        <v>7</v>
      </c>
      <c r="IW586" s="27" t="s">
        <v>8</v>
      </c>
      <c r="IX586" s="27" t="s">
        <v>7</v>
      </c>
      <c r="IY586" s="27" t="s">
        <v>8</v>
      </c>
      <c r="IZ586" s="27" t="s">
        <v>7</v>
      </c>
      <c r="JA586" s="27" t="s">
        <v>8</v>
      </c>
      <c r="JB586" s="27" t="s">
        <v>7</v>
      </c>
      <c r="JC586" s="27" t="s">
        <v>8</v>
      </c>
      <c r="JD586" s="27" t="s">
        <v>7</v>
      </c>
      <c r="JE586" s="27" t="s">
        <v>8</v>
      </c>
      <c r="JF586" s="27" t="s">
        <v>7</v>
      </c>
      <c r="JH586" s="31"/>
      <c r="JY586" s="27" t="s">
        <v>8</v>
      </c>
      <c r="KA586" s="27" t="s">
        <v>8</v>
      </c>
      <c r="KB586" s="27" t="s">
        <v>7</v>
      </c>
      <c r="KC586" s="27" t="s">
        <v>8</v>
      </c>
      <c r="KD586" s="27" t="s">
        <v>7</v>
      </c>
      <c r="KE586" s="27" t="s">
        <v>8</v>
      </c>
      <c r="MZ586" s="27" t="s">
        <v>7</v>
      </c>
    </row>
    <row r="587" spans="1:368" x14ac:dyDescent="0.25">
      <c r="A587" s="7">
        <v>1</v>
      </c>
      <c r="B587"/>
      <c r="C587"/>
      <c r="D587"/>
      <c r="E587" s="29" t="s">
        <v>8</v>
      </c>
      <c r="GM587" s="27" t="s">
        <v>8</v>
      </c>
      <c r="GN587" s="27" t="s">
        <v>7</v>
      </c>
      <c r="GO587" s="27" t="s">
        <v>8</v>
      </c>
      <c r="GX587" s="27" t="s">
        <v>7</v>
      </c>
      <c r="GY587" s="27" t="s">
        <v>8</v>
      </c>
      <c r="GZ587" s="27" t="s">
        <v>7</v>
      </c>
      <c r="HA587" s="27" t="s">
        <v>8</v>
      </c>
      <c r="HB587" s="27" t="s">
        <v>7</v>
      </c>
      <c r="HC587" s="27" t="s">
        <v>8</v>
      </c>
      <c r="HG587" s="31"/>
      <c r="HL587" s="27" t="s">
        <v>7</v>
      </c>
      <c r="HM587" s="31" t="s">
        <v>8</v>
      </c>
      <c r="IB587" s="27" t="s">
        <v>7</v>
      </c>
      <c r="IC587" s="27" t="s">
        <v>8</v>
      </c>
      <c r="IP587" s="27" t="s">
        <v>7</v>
      </c>
      <c r="IQ587" s="27" t="s">
        <v>8</v>
      </c>
      <c r="IR587" s="27" t="s">
        <v>7</v>
      </c>
      <c r="IS587" s="27" t="s">
        <v>8</v>
      </c>
      <c r="IU587" s="27" t="s">
        <v>8</v>
      </c>
      <c r="IV587" s="27" t="s">
        <v>7</v>
      </c>
      <c r="IW587" s="27" t="s">
        <v>8</v>
      </c>
      <c r="IX587" s="27" t="s">
        <v>7</v>
      </c>
      <c r="IY587" s="27" t="s">
        <v>8</v>
      </c>
      <c r="IZ587" s="27" t="s">
        <v>7</v>
      </c>
      <c r="JA587" s="27" t="s">
        <v>8</v>
      </c>
      <c r="JB587" s="27" t="s">
        <v>7</v>
      </c>
      <c r="JC587" s="27" t="s">
        <v>8</v>
      </c>
      <c r="JD587" s="27" t="s">
        <v>7</v>
      </c>
      <c r="JF587" s="27" t="s">
        <v>7</v>
      </c>
      <c r="JI587" s="31"/>
      <c r="JY587" s="27" t="s">
        <v>8</v>
      </c>
      <c r="JZ587" s="27" t="s">
        <v>7</v>
      </c>
      <c r="KA587" s="27" t="s">
        <v>8</v>
      </c>
      <c r="KB587" s="27" t="s">
        <v>7</v>
      </c>
      <c r="KC587" s="27" t="s">
        <v>8</v>
      </c>
      <c r="KD587" s="27" t="s">
        <v>7</v>
      </c>
      <c r="KE587" s="27" t="s">
        <v>8</v>
      </c>
      <c r="MZ587" s="27" t="s">
        <v>7</v>
      </c>
      <c r="NA587" s="27" t="s">
        <v>8</v>
      </c>
    </row>
    <row r="588" spans="1:368" x14ac:dyDescent="0.25">
      <c r="A588" s="7">
        <v>0.98039215686274506</v>
      </c>
      <c r="B588"/>
      <c r="C588"/>
      <c r="D588"/>
      <c r="E588"/>
      <c r="F588" s="27" t="s">
        <v>7</v>
      </c>
      <c r="GM588" s="27" t="s">
        <v>8</v>
      </c>
      <c r="GN588" s="27" t="s">
        <v>7</v>
      </c>
      <c r="GO588" s="27" t="s">
        <v>8</v>
      </c>
      <c r="GX588" s="27" t="s">
        <v>7</v>
      </c>
      <c r="GY588" s="27" t="s">
        <v>8</v>
      </c>
      <c r="GZ588" s="27" t="s">
        <v>7</v>
      </c>
      <c r="HA588" s="27" t="s">
        <v>8</v>
      </c>
      <c r="HB588" s="27" t="s">
        <v>7</v>
      </c>
      <c r="HC588" s="27" t="s">
        <v>8</v>
      </c>
      <c r="HF588" s="31"/>
      <c r="HL588" s="31" t="s">
        <v>7</v>
      </c>
      <c r="IB588" s="27" t="s">
        <v>7</v>
      </c>
      <c r="IC588" s="27" t="s">
        <v>8</v>
      </c>
      <c r="IP588" s="27" t="s">
        <v>7</v>
      </c>
      <c r="IQ588" s="27" t="s">
        <v>8</v>
      </c>
      <c r="IR588" s="27" t="s">
        <v>7</v>
      </c>
      <c r="IS588" s="27" t="s">
        <v>8</v>
      </c>
      <c r="IT588" s="27" t="s">
        <v>7</v>
      </c>
      <c r="IU588" s="27" t="s">
        <v>8</v>
      </c>
      <c r="IV588" s="27" t="s">
        <v>7</v>
      </c>
      <c r="IW588" s="27" t="s">
        <v>8</v>
      </c>
      <c r="IX588" s="27" t="s">
        <v>7</v>
      </c>
      <c r="IY588" s="27" t="s">
        <v>8</v>
      </c>
      <c r="IZ588" s="27" t="s">
        <v>7</v>
      </c>
      <c r="JA588" s="27" t="s">
        <v>8</v>
      </c>
      <c r="JB588" s="27" t="s">
        <v>7</v>
      </c>
      <c r="JC588" s="27" t="s">
        <v>8</v>
      </c>
      <c r="JF588" s="27" t="s">
        <v>7</v>
      </c>
      <c r="JJ588" s="31"/>
      <c r="JY588" s="27" t="s">
        <v>8</v>
      </c>
      <c r="JZ588" s="27" t="s">
        <v>7</v>
      </c>
      <c r="KA588" s="27" t="s">
        <v>8</v>
      </c>
      <c r="KB588" s="27" t="s">
        <v>7</v>
      </c>
      <c r="KC588" s="27" t="s">
        <v>8</v>
      </c>
      <c r="KD588" s="27" t="s">
        <v>7</v>
      </c>
      <c r="MZ588" s="27" t="s">
        <v>7</v>
      </c>
      <c r="NA588" s="27" t="s">
        <v>8</v>
      </c>
      <c r="NB588" s="27" t="s">
        <v>7</v>
      </c>
      <c r="NC588" s="27" t="s">
        <v>8</v>
      </c>
    </row>
    <row r="589" spans="1:368" x14ac:dyDescent="0.25">
      <c r="A589" s="7">
        <v>0.96116878123798544</v>
      </c>
      <c r="B589"/>
      <c r="C589"/>
      <c r="D589"/>
      <c r="E589"/>
      <c r="F589" s="27" t="s">
        <v>7</v>
      </c>
      <c r="GM589" s="27" t="s">
        <v>8</v>
      </c>
      <c r="GN589" s="27" t="s">
        <v>7</v>
      </c>
      <c r="GO589" s="27" t="s">
        <v>8</v>
      </c>
      <c r="GX589" s="27" t="s">
        <v>7</v>
      </c>
      <c r="GY589" s="27" t="s">
        <v>8</v>
      </c>
      <c r="GZ589" s="27" t="s">
        <v>7</v>
      </c>
      <c r="HA589" s="27" t="s">
        <v>8</v>
      </c>
      <c r="HB589" s="27" t="s">
        <v>7</v>
      </c>
      <c r="HC589" s="27" t="s">
        <v>8</v>
      </c>
      <c r="HE589" s="31"/>
      <c r="IB589" s="27" t="s">
        <v>7</v>
      </c>
      <c r="IC589" s="27" t="s">
        <v>8</v>
      </c>
      <c r="IP589" s="27" t="s">
        <v>7</v>
      </c>
      <c r="IQ589" s="27" t="s">
        <v>8</v>
      </c>
      <c r="IR589" s="27" t="s">
        <v>7</v>
      </c>
      <c r="IS589" s="27" t="s">
        <v>8</v>
      </c>
      <c r="IT589" s="27" t="s">
        <v>7</v>
      </c>
      <c r="IU589" s="27" t="s">
        <v>8</v>
      </c>
      <c r="IV589" s="27" t="s">
        <v>7</v>
      </c>
      <c r="IW589" s="27" t="s">
        <v>8</v>
      </c>
      <c r="IX589" s="27" t="s">
        <v>7</v>
      </c>
      <c r="IZ589" s="27" t="s">
        <v>7</v>
      </c>
      <c r="JA589" s="27" t="s">
        <v>8</v>
      </c>
      <c r="JB589" s="27" t="s">
        <v>7</v>
      </c>
      <c r="JC589" s="27" t="s">
        <v>8</v>
      </c>
      <c r="JF589" s="27" t="s">
        <v>7</v>
      </c>
      <c r="JK589" s="31"/>
      <c r="JW589" s="27" t="s">
        <v>8</v>
      </c>
      <c r="JY589" s="27" t="s">
        <v>8</v>
      </c>
      <c r="JZ589" s="27" t="s">
        <v>7</v>
      </c>
      <c r="KA589" s="27" t="s">
        <v>8</v>
      </c>
      <c r="KB589" s="27" t="s">
        <v>7</v>
      </c>
      <c r="MZ589" s="27" t="s">
        <v>7</v>
      </c>
      <c r="NA589" s="27" t="s">
        <v>8</v>
      </c>
      <c r="NB589" s="27" t="s">
        <v>7</v>
      </c>
      <c r="NC589" s="27" t="s">
        <v>8</v>
      </c>
      <c r="ND589" s="27" t="s">
        <v>7</v>
      </c>
    </row>
    <row r="590" spans="1:368" x14ac:dyDescent="0.25">
      <c r="A590" s="7">
        <v>0.94232233454704462</v>
      </c>
      <c r="B590"/>
      <c r="C590"/>
      <c r="D590"/>
      <c r="E590"/>
      <c r="F590" s="27" t="s">
        <v>7</v>
      </c>
      <c r="GM590" s="27" t="s">
        <v>8</v>
      </c>
      <c r="GN590" s="27" t="s">
        <v>7</v>
      </c>
      <c r="GO590" s="27" t="s">
        <v>8</v>
      </c>
      <c r="GX590" s="27" t="s">
        <v>7</v>
      </c>
      <c r="GY590" s="27" t="s">
        <v>8</v>
      </c>
      <c r="GZ590" s="27" t="s">
        <v>7</v>
      </c>
      <c r="HA590" s="27" t="s">
        <v>8</v>
      </c>
      <c r="HB590" s="27" t="s">
        <v>7</v>
      </c>
      <c r="HD590" s="31"/>
      <c r="IB590" s="27" t="s">
        <v>7</v>
      </c>
      <c r="IC590" s="27" t="s">
        <v>8</v>
      </c>
      <c r="IP590" s="27" t="s">
        <v>7</v>
      </c>
      <c r="IQ590" s="27" t="s">
        <v>8</v>
      </c>
      <c r="IR590" s="27" t="s">
        <v>7</v>
      </c>
      <c r="IS590" s="27" t="s">
        <v>8</v>
      </c>
      <c r="IT590" s="27" t="s">
        <v>7</v>
      </c>
      <c r="IU590" s="27" t="s">
        <v>8</v>
      </c>
      <c r="IV590" s="27" t="s">
        <v>7</v>
      </c>
      <c r="IW590" s="27" t="s">
        <v>8</v>
      </c>
      <c r="IZ590" s="27" t="s">
        <v>7</v>
      </c>
      <c r="JA590" s="27" t="s">
        <v>8</v>
      </c>
      <c r="JB590" s="27" t="s">
        <v>7</v>
      </c>
      <c r="JC590" s="27" t="s">
        <v>8</v>
      </c>
      <c r="JF590" s="27" t="s">
        <v>7</v>
      </c>
      <c r="JL590" s="31"/>
      <c r="JW590" s="27" t="s">
        <v>8</v>
      </c>
      <c r="JX590" s="27" t="s">
        <v>7</v>
      </c>
      <c r="JY590" s="27" t="s">
        <v>8</v>
      </c>
      <c r="JZ590" s="27" t="s">
        <v>7</v>
      </c>
      <c r="KA590" s="27" t="s">
        <v>8</v>
      </c>
      <c r="MZ590" s="27" t="s">
        <v>7</v>
      </c>
      <c r="NA590" s="27" t="s">
        <v>8</v>
      </c>
      <c r="NB590" s="27" t="s">
        <v>7</v>
      </c>
      <c r="NC590" s="27" t="s">
        <v>8</v>
      </c>
      <c r="ND590" s="27" t="s">
        <v>7</v>
      </c>
    </row>
    <row r="591" spans="1:368" x14ac:dyDescent="0.25">
      <c r="A591" s="7">
        <v>0.92384542602651432</v>
      </c>
      <c r="B591"/>
      <c r="C591"/>
      <c r="D591"/>
      <c r="E591"/>
      <c r="F591" s="27" t="s">
        <v>7</v>
      </c>
      <c r="GM591" s="27" t="s">
        <v>8</v>
      </c>
      <c r="GN591" s="27" t="s">
        <v>7</v>
      </c>
      <c r="GX591" s="27" t="s">
        <v>7</v>
      </c>
      <c r="GY591" s="27" t="s">
        <v>8</v>
      </c>
      <c r="GZ591" s="27" t="s">
        <v>7</v>
      </c>
      <c r="HA591" s="27" t="s">
        <v>8</v>
      </c>
      <c r="HC591" s="31"/>
      <c r="IB591" s="27" t="s">
        <v>7</v>
      </c>
      <c r="IP591" s="27" t="s">
        <v>7</v>
      </c>
      <c r="IQ591" s="27" t="s">
        <v>8</v>
      </c>
      <c r="IR591" s="27" t="s">
        <v>7</v>
      </c>
      <c r="IS591" s="27" t="s">
        <v>8</v>
      </c>
      <c r="IT591" s="27" t="s">
        <v>7</v>
      </c>
      <c r="IU591" s="27" t="s">
        <v>8</v>
      </c>
      <c r="IV591" s="27" t="s">
        <v>7</v>
      </c>
      <c r="IW591" s="27" t="s">
        <v>8</v>
      </c>
      <c r="IZ591" s="27" t="s">
        <v>7</v>
      </c>
      <c r="JA591" s="27" t="s">
        <v>8</v>
      </c>
      <c r="JB591" s="27" t="s">
        <v>7</v>
      </c>
      <c r="JF591" s="27" t="s">
        <v>7</v>
      </c>
      <c r="JI591" s="27" t="s">
        <v>8</v>
      </c>
      <c r="JM591" s="31" t="s">
        <v>8</v>
      </c>
      <c r="JQ591" s="31" t="s">
        <v>8</v>
      </c>
      <c r="JW591" s="27" t="s">
        <v>8</v>
      </c>
      <c r="JX591" s="27" t="s">
        <v>7</v>
      </c>
      <c r="JY591" s="27" t="s">
        <v>8</v>
      </c>
      <c r="JZ591" s="27" t="s">
        <v>7</v>
      </c>
      <c r="KA591" s="27" t="s">
        <v>8</v>
      </c>
      <c r="MZ591" s="27" t="s">
        <v>7</v>
      </c>
      <c r="NA591" s="27" t="s">
        <v>8</v>
      </c>
      <c r="NB591" s="27" t="s">
        <v>7</v>
      </c>
      <c r="NC591" s="27" t="s">
        <v>8</v>
      </c>
      <c r="ND591" s="27" t="s">
        <v>7</v>
      </c>
    </row>
    <row r="592" spans="1:368" x14ac:dyDescent="0.25">
      <c r="A592" s="7">
        <v>0.90573080982991594</v>
      </c>
      <c r="B592"/>
      <c r="C592"/>
      <c r="D592"/>
      <c r="E592"/>
      <c r="F592" s="27" t="s">
        <v>7</v>
      </c>
      <c r="GM592" s="27" t="s">
        <v>8</v>
      </c>
      <c r="GX592" s="27" t="s">
        <v>7</v>
      </c>
      <c r="GY592" s="27" t="s">
        <v>8</v>
      </c>
      <c r="GZ592" s="27" t="s">
        <v>7</v>
      </c>
      <c r="HB592" s="31"/>
      <c r="IP592" s="27" t="s">
        <v>7</v>
      </c>
      <c r="IQ592" s="27" t="s">
        <v>8</v>
      </c>
      <c r="IR592" s="27" t="s">
        <v>7</v>
      </c>
      <c r="IS592" s="27" t="s">
        <v>8</v>
      </c>
      <c r="IT592" s="27" t="s">
        <v>7</v>
      </c>
      <c r="IU592" s="27" t="s">
        <v>8</v>
      </c>
      <c r="IV592" s="27" t="s">
        <v>7</v>
      </c>
      <c r="IW592" s="27" t="s">
        <v>8</v>
      </c>
      <c r="IZ592" s="27" t="s">
        <v>7</v>
      </c>
      <c r="JA592" s="27" t="s">
        <v>8</v>
      </c>
      <c r="JF592" s="31" t="s">
        <v>7</v>
      </c>
      <c r="JI592" s="27" t="s">
        <v>8</v>
      </c>
      <c r="JJ592" s="27" t="s">
        <v>7</v>
      </c>
      <c r="JK592" s="27" t="s">
        <v>8</v>
      </c>
      <c r="JM592" s="27" t="s">
        <v>8</v>
      </c>
      <c r="JN592" s="31" t="s">
        <v>7</v>
      </c>
      <c r="JO592" s="27" t="s">
        <v>8</v>
      </c>
      <c r="JQ592" s="27" t="s">
        <v>8</v>
      </c>
      <c r="JR592" s="31" t="s">
        <v>7</v>
      </c>
      <c r="JW592" s="27" t="s">
        <v>8</v>
      </c>
      <c r="JX592" s="27" t="s">
        <v>7</v>
      </c>
      <c r="JY592" s="27" t="s">
        <v>8</v>
      </c>
      <c r="JZ592" s="27" t="s">
        <v>7</v>
      </c>
      <c r="KA592" s="27" t="s">
        <v>8</v>
      </c>
      <c r="MZ592" s="27" t="s">
        <v>7</v>
      </c>
      <c r="NA592" s="27" t="s">
        <v>8</v>
      </c>
      <c r="NB592" s="27" t="s">
        <v>7</v>
      </c>
      <c r="NC592" s="27" t="s">
        <v>8</v>
      </c>
      <c r="ND592" s="27" t="s">
        <v>7</v>
      </c>
    </row>
    <row r="593" spans="1:367" x14ac:dyDescent="0.25">
      <c r="A593" s="7">
        <v>0.8879713821861922</v>
      </c>
      <c r="B593"/>
      <c r="C593"/>
      <c r="D593"/>
      <c r="E593"/>
      <c r="F593" s="27" t="s">
        <v>7</v>
      </c>
      <c r="GK593" s="27" t="s">
        <v>8</v>
      </c>
      <c r="GM593" s="27" t="s">
        <v>8</v>
      </c>
      <c r="GX593" s="27" t="s">
        <v>7</v>
      </c>
      <c r="GY593" s="27" t="s">
        <v>8</v>
      </c>
      <c r="HA593" s="31"/>
      <c r="IP593" s="27" t="s">
        <v>7</v>
      </c>
      <c r="IQ593" s="27" t="s">
        <v>8</v>
      </c>
      <c r="IR593" s="27" t="s">
        <v>7</v>
      </c>
      <c r="IS593" s="27" t="s">
        <v>8</v>
      </c>
      <c r="IT593" s="27" t="s">
        <v>7</v>
      </c>
      <c r="IU593" s="27" t="s">
        <v>8</v>
      </c>
      <c r="IV593" s="27" t="s">
        <v>7</v>
      </c>
      <c r="IW593" s="27" t="s">
        <v>8</v>
      </c>
      <c r="IZ593" s="27" t="s">
        <v>7</v>
      </c>
      <c r="JA593" s="27" t="s">
        <v>8</v>
      </c>
      <c r="JE593" s="31"/>
      <c r="JF593" s="27" t="s">
        <v>7</v>
      </c>
      <c r="JG593" s="27" t="s">
        <v>8</v>
      </c>
      <c r="JI593" s="27" t="s">
        <v>8</v>
      </c>
      <c r="JJ593" s="27" t="s">
        <v>7</v>
      </c>
      <c r="JK593" s="27" t="s">
        <v>8</v>
      </c>
      <c r="JL593" s="27" t="s">
        <v>7</v>
      </c>
      <c r="JM593" s="27" t="s">
        <v>8</v>
      </c>
      <c r="JN593" s="27" t="s">
        <v>7</v>
      </c>
      <c r="JO593" s="31" t="s">
        <v>8</v>
      </c>
      <c r="JP593" s="27" t="s">
        <v>7</v>
      </c>
      <c r="JQ593" s="27" t="s">
        <v>8</v>
      </c>
      <c r="JR593" s="27" t="s">
        <v>7</v>
      </c>
      <c r="JS593" s="31"/>
      <c r="JU593" s="27" t="s">
        <v>8</v>
      </c>
      <c r="JW593" s="27" t="s">
        <v>8</v>
      </c>
      <c r="JX593" s="27" t="s">
        <v>7</v>
      </c>
      <c r="JY593" s="27" t="s">
        <v>8</v>
      </c>
      <c r="JZ593" s="27" t="s">
        <v>7</v>
      </c>
      <c r="KA593" s="27" t="s">
        <v>8</v>
      </c>
      <c r="MZ593" s="27" t="s">
        <v>7</v>
      </c>
      <c r="NA593" s="27" t="s">
        <v>8</v>
      </c>
      <c r="NB593" s="27" t="s">
        <v>7</v>
      </c>
      <c r="NC593" s="27" t="s">
        <v>8</v>
      </c>
    </row>
    <row r="594" spans="1:367" x14ac:dyDescent="0.25">
      <c r="A594" s="7">
        <v>0.87056017861391399</v>
      </c>
      <c r="B594"/>
      <c r="C594"/>
      <c r="D594"/>
      <c r="E594"/>
      <c r="F594" s="27" t="s">
        <v>7</v>
      </c>
      <c r="GK594" s="27" t="s">
        <v>8</v>
      </c>
      <c r="GL594" s="27" t="s">
        <v>7</v>
      </c>
      <c r="GM594" s="27" t="s">
        <v>8</v>
      </c>
      <c r="GX594" s="27" t="s">
        <v>7</v>
      </c>
      <c r="GY594" s="27" t="s">
        <v>8</v>
      </c>
      <c r="GZ594" s="31"/>
      <c r="IP594" s="27" t="s">
        <v>7</v>
      </c>
      <c r="IQ594" s="27" t="s">
        <v>8</v>
      </c>
      <c r="IR594" s="27" t="s">
        <v>7</v>
      </c>
      <c r="IS594" s="27" t="s">
        <v>8</v>
      </c>
      <c r="IT594" s="27" t="s">
        <v>7</v>
      </c>
      <c r="IV594" s="27" t="s">
        <v>7</v>
      </c>
      <c r="IW594" s="27" t="s">
        <v>8</v>
      </c>
      <c r="IZ594" s="27" t="s">
        <v>7</v>
      </c>
      <c r="JD594" s="31"/>
      <c r="JF594" s="27" t="s">
        <v>7</v>
      </c>
      <c r="JG594" s="27" t="s">
        <v>8</v>
      </c>
      <c r="JH594" s="27" t="s">
        <v>7</v>
      </c>
      <c r="JI594" s="27" t="s">
        <v>8</v>
      </c>
      <c r="JJ594" s="27" t="s">
        <v>7</v>
      </c>
      <c r="JK594" s="27" t="s">
        <v>8</v>
      </c>
      <c r="JL594" s="27" t="s">
        <v>7</v>
      </c>
      <c r="JM594" s="27" t="s">
        <v>8</v>
      </c>
      <c r="JN594" s="27" t="s">
        <v>7</v>
      </c>
      <c r="JO594" s="27" t="s">
        <v>8</v>
      </c>
      <c r="JP594" s="27" t="s">
        <v>7</v>
      </c>
      <c r="JQ594" s="27" t="s">
        <v>8</v>
      </c>
      <c r="JR594" s="27" t="s">
        <v>7</v>
      </c>
      <c r="JS594" s="27" t="s">
        <v>8</v>
      </c>
      <c r="JT594" s="31"/>
      <c r="JU594" s="27" t="s">
        <v>8</v>
      </c>
      <c r="JV594" s="27" t="s">
        <v>7</v>
      </c>
      <c r="JW594" s="27" t="s">
        <v>8</v>
      </c>
      <c r="JX594" s="27" t="s">
        <v>7</v>
      </c>
      <c r="JY594" s="27" t="s">
        <v>8</v>
      </c>
      <c r="JZ594" s="27" t="s">
        <v>7</v>
      </c>
      <c r="KA594" s="27" t="s">
        <v>8</v>
      </c>
      <c r="MZ594" s="27" t="s">
        <v>7</v>
      </c>
      <c r="NA594" s="27" t="s">
        <v>8</v>
      </c>
      <c r="NB594" s="27" t="s">
        <v>7</v>
      </c>
      <c r="NC594" s="27" t="s">
        <v>8</v>
      </c>
    </row>
    <row r="595" spans="1:367" x14ac:dyDescent="0.25">
      <c r="A595" s="7">
        <v>0.85349037119011173</v>
      </c>
      <c r="B595"/>
      <c r="C595"/>
      <c r="D595"/>
      <c r="E595"/>
      <c r="F595" s="27" t="s">
        <v>7</v>
      </c>
      <c r="GK595" s="27" t="s">
        <v>8</v>
      </c>
      <c r="GL595" s="27" t="s">
        <v>7</v>
      </c>
      <c r="GM595" s="27" t="s">
        <v>8</v>
      </c>
      <c r="GX595" s="27" t="s">
        <v>7</v>
      </c>
      <c r="GY595" s="31" t="s">
        <v>8</v>
      </c>
      <c r="IP595" s="27" t="s">
        <v>7</v>
      </c>
      <c r="IQ595" s="27" t="s">
        <v>8</v>
      </c>
      <c r="IR595" s="27" t="s">
        <v>7</v>
      </c>
      <c r="IS595" s="27" t="s">
        <v>8</v>
      </c>
      <c r="IV595" s="27" t="s">
        <v>7</v>
      </c>
      <c r="IW595" s="27" t="s">
        <v>8</v>
      </c>
      <c r="JC595" s="31"/>
      <c r="JF595" s="27" t="s">
        <v>7</v>
      </c>
      <c r="JG595" s="27" t="s">
        <v>8</v>
      </c>
      <c r="JH595" s="27" t="s">
        <v>7</v>
      </c>
      <c r="JI595" s="27" t="s">
        <v>8</v>
      </c>
      <c r="JJ595" s="27" t="s">
        <v>7</v>
      </c>
      <c r="JK595" s="27" t="s">
        <v>8</v>
      </c>
      <c r="JL595" s="27" t="s">
        <v>7</v>
      </c>
      <c r="JN595" s="27" t="s">
        <v>7</v>
      </c>
      <c r="JO595" s="27" t="s">
        <v>8</v>
      </c>
      <c r="JP595" s="27" t="s">
        <v>7</v>
      </c>
      <c r="JQ595" s="27" t="s">
        <v>8</v>
      </c>
      <c r="JR595" s="27" t="s">
        <v>7</v>
      </c>
      <c r="JS595" s="27" t="s">
        <v>8</v>
      </c>
      <c r="JT595" s="27" t="s">
        <v>7</v>
      </c>
      <c r="JU595" s="31" t="s">
        <v>8</v>
      </c>
      <c r="JV595" s="27" t="s">
        <v>7</v>
      </c>
      <c r="JW595" s="27" t="s">
        <v>8</v>
      </c>
      <c r="JX595" s="27" t="s">
        <v>7</v>
      </c>
      <c r="JZ595" s="27" t="s">
        <v>7</v>
      </c>
      <c r="MZ595" s="27" t="s">
        <v>7</v>
      </c>
      <c r="NA595" s="27" t="s">
        <v>8</v>
      </c>
      <c r="NB595" s="27" t="s">
        <v>7</v>
      </c>
      <c r="NC595" s="27" t="s">
        <v>8</v>
      </c>
    </row>
    <row r="596" spans="1:367" x14ac:dyDescent="0.25">
      <c r="A596" s="7">
        <v>0.83675526587265858</v>
      </c>
      <c r="B596"/>
      <c r="C596"/>
      <c r="D596"/>
      <c r="E596"/>
      <c r="F596" s="27" t="s">
        <v>7</v>
      </c>
      <c r="GK596" s="27" t="s">
        <v>8</v>
      </c>
      <c r="GL596" s="27" t="s">
        <v>7</v>
      </c>
      <c r="GM596" s="27" t="s">
        <v>8</v>
      </c>
      <c r="GX596" s="31" t="s">
        <v>7</v>
      </c>
      <c r="IP596" s="27" t="s">
        <v>7</v>
      </c>
      <c r="IQ596" s="27" t="s">
        <v>8</v>
      </c>
      <c r="IR596" s="27" t="s">
        <v>7</v>
      </c>
      <c r="IS596" s="27" t="s">
        <v>8</v>
      </c>
      <c r="IV596" s="27" t="s">
        <v>7</v>
      </c>
      <c r="IW596" s="27" t="s">
        <v>8</v>
      </c>
      <c r="JB596" s="31"/>
      <c r="JF596" s="27" t="s">
        <v>7</v>
      </c>
      <c r="JG596" s="27" t="s">
        <v>8</v>
      </c>
      <c r="JH596" s="27" t="s">
        <v>7</v>
      </c>
      <c r="JI596" s="27" t="s">
        <v>8</v>
      </c>
      <c r="JJ596" s="27" t="s">
        <v>7</v>
      </c>
      <c r="JK596" s="27" t="s">
        <v>8</v>
      </c>
      <c r="JN596" s="27" t="s">
        <v>7</v>
      </c>
      <c r="JP596" s="27" t="s">
        <v>7</v>
      </c>
      <c r="JQ596" s="27" t="s">
        <v>8</v>
      </c>
      <c r="JR596" s="27" t="s">
        <v>7</v>
      </c>
      <c r="JS596" s="27" t="s">
        <v>8</v>
      </c>
      <c r="JT596" s="27" t="s">
        <v>7</v>
      </c>
      <c r="JU596" s="27" t="s">
        <v>8</v>
      </c>
      <c r="JV596" s="31" t="s">
        <v>7</v>
      </c>
      <c r="JW596" s="27" t="s">
        <v>8</v>
      </c>
      <c r="MZ596" s="27" t="s">
        <v>7</v>
      </c>
      <c r="NA596" s="27" t="s">
        <v>8</v>
      </c>
      <c r="NB596" s="27" t="s">
        <v>7</v>
      </c>
      <c r="NC596" s="27" t="s">
        <v>8</v>
      </c>
    </row>
    <row r="597" spans="1:367" x14ac:dyDescent="0.25">
      <c r="A597" s="7">
        <v>0.82034829987515545</v>
      </c>
      <c r="B597"/>
      <c r="C597"/>
      <c r="D597"/>
      <c r="E597"/>
      <c r="F597" s="27" t="s">
        <v>7</v>
      </c>
      <c r="GK597" s="27" t="s">
        <v>8</v>
      </c>
      <c r="GL597" s="27" t="s">
        <v>7</v>
      </c>
      <c r="GM597" s="27" t="s">
        <v>8</v>
      </c>
      <c r="IP597" s="27" t="s">
        <v>7</v>
      </c>
      <c r="IQ597" s="27" t="s">
        <v>8</v>
      </c>
      <c r="IR597" s="27" t="s">
        <v>7</v>
      </c>
      <c r="IS597" s="27" t="s">
        <v>8</v>
      </c>
      <c r="IV597" s="27" t="s">
        <v>7</v>
      </c>
      <c r="IW597" s="27" t="s">
        <v>8</v>
      </c>
      <c r="JA597" s="31"/>
      <c r="JF597" s="27" t="s">
        <v>7</v>
      </c>
      <c r="JG597" s="27" t="s">
        <v>8</v>
      </c>
      <c r="JH597" s="27" t="s">
        <v>7</v>
      </c>
      <c r="JI597" s="27" t="s">
        <v>8</v>
      </c>
      <c r="JJ597" s="27" t="s">
        <v>7</v>
      </c>
      <c r="JK597" s="27" t="s">
        <v>8</v>
      </c>
      <c r="JP597" s="31" t="s">
        <v>7</v>
      </c>
      <c r="JQ597" s="27" t="s">
        <v>8</v>
      </c>
      <c r="JR597" s="27" t="s">
        <v>7</v>
      </c>
      <c r="JT597" s="27" t="s">
        <v>7</v>
      </c>
      <c r="JU597" s="27" t="s">
        <v>8</v>
      </c>
      <c r="JV597" s="27" t="s">
        <v>7</v>
      </c>
      <c r="JW597" s="31"/>
      <c r="MZ597" s="27" t="s">
        <v>7</v>
      </c>
      <c r="NA597" s="27" t="s">
        <v>8</v>
      </c>
      <c r="NB597" s="27" t="s">
        <v>7</v>
      </c>
    </row>
    <row r="598" spans="1:367" x14ac:dyDescent="0.25">
      <c r="A598" s="7">
        <v>0.80426303909328967</v>
      </c>
      <c r="B598"/>
      <c r="C598"/>
      <c r="D598"/>
      <c r="E598"/>
      <c r="F598" s="27" t="s">
        <v>7</v>
      </c>
      <c r="GK598" s="27" t="s">
        <v>8</v>
      </c>
      <c r="GL598" s="27" t="s">
        <v>7</v>
      </c>
      <c r="GM598" s="27" t="s">
        <v>8</v>
      </c>
      <c r="IP598" s="27" t="s">
        <v>7</v>
      </c>
      <c r="IQ598" s="27" t="s">
        <v>8</v>
      </c>
      <c r="IR598" s="27" t="s">
        <v>7</v>
      </c>
      <c r="IS598" s="27" t="s">
        <v>8</v>
      </c>
      <c r="IV598" s="27" t="s">
        <v>7</v>
      </c>
      <c r="IW598" s="27" t="s">
        <v>8</v>
      </c>
      <c r="IZ598" s="31"/>
      <c r="JF598" s="27" t="s">
        <v>7</v>
      </c>
      <c r="JG598" s="27" t="s">
        <v>8</v>
      </c>
      <c r="JH598" s="27" t="s">
        <v>7</v>
      </c>
      <c r="JI598" s="27" t="s">
        <v>8</v>
      </c>
      <c r="JJ598" s="27" t="s">
        <v>7</v>
      </c>
      <c r="JO598" s="31"/>
      <c r="JP598" s="27" t="s">
        <v>7</v>
      </c>
      <c r="JQ598" s="27" t="s">
        <v>8</v>
      </c>
      <c r="JT598" s="27" t="s">
        <v>7</v>
      </c>
      <c r="JX598" s="31"/>
      <c r="MZ598" s="27" t="s">
        <v>7</v>
      </c>
    </row>
    <row r="599" spans="1:367" x14ac:dyDescent="0.25">
      <c r="A599" s="7">
        <v>0.78849317558165644</v>
      </c>
      <c r="B599"/>
      <c r="C599"/>
      <c r="D599"/>
      <c r="E599"/>
      <c r="F599" s="27" t="s">
        <v>7</v>
      </c>
      <c r="GK599" s="27" t="s">
        <v>8</v>
      </c>
      <c r="GL599" s="27" t="s">
        <v>7</v>
      </c>
      <c r="GM599" s="27" t="s">
        <v>8</v>
      </c>
      <c r="IP599" s="27" t="s">
        <v>7</v>
      </c>
      <c r="IQ599" s="27" t="s">
        <v>8</v>
      </c>
      <c r="IR599" s="27" t="s">
        <v>7</v>
      </c>
      <c r="IS599" s="27" t="s">
        <v>8</v>
      </c>
      <c r="IV599" s="27" t="s">
        <v>7</v>
      </c>
      <c r="IY599" s="31"/>
      <c r="JF599" s="27" t="s">
        <v>7</v>
      </c>
      <c r="JG599" s="27" t="s">
        <v>8</v>
      </c>
      <c r="JH599" s="27" t="s">
        <v>7</v>
      </c>
      <c r="JI599" s="27" t="s">
        <v>8</v>
      </c>
      <c r="JN599" s="31"/>
      <c r="JP599" s="27" t="s">
        <v>7</v>
      </c>
      <c r="JQ599" s="27" t="s">
        <v>8</v>
      </c>
      <c r="JY599" s="31"/>
    </row>
    <row r="600" spans="1:367" x14ac:dyDescent="0.25">
      <c r="A600" s="7">
        <v>0.77303252508005538</v>
      </c>
      <c r="B600"/>
      <c r="C600"/>
      <c r="D600"/>
      <c r="E600"/>
      <c r="F600" s="27" t="s">
        <v>7</v>
      </c>
      <c r="GK600" s="27" t="s">
        <v>8</v>
      </c>
      <c r="GL600" s="27" t="s">
        <v>7</v>
      </c>
      <c r="GM600" s="27" t="s">
        <v>8</v>
      </c>
      <c r="IP600" s="27" t="s">
        <v>7</v>
      </c>
      <c r="IQ600" s="27" t="s">
        <v>8</v>
      </c>
      <c r="IR600" s="27" t="s">
        <v>7</v>
      </c>
      <c r="IS600" s="27" t="s">
        <v>8</v>
      </c>
      <c r="IX600" s="31"/>
      <c r="JF600" s="27" t="s">
        <v>7</v>
      </c>
      <c r="JG600" s="27" t="s">
        <v>8</v>
      </c>
      <c r="JH600" s="27" t="s">
        <v>7</v>
      </c>
      <c r="JM600" s="31"/>
      <c r="JP600" s="27" t="s">
        <v>7</v>
      </c>
      <c r="JQ600" s="27" t="s">
        <v>8</v>
      </c>
    </row>
    <row r="601" spans="1:367" x14ac:dyDescent="0.25">
      <c r="A601" s="7">
        <v>0.75787502458828959</v>
      </c>
      <c r="B601"/>
      <c r="C601"/>
      <c r="D601"/>
      <c r="E601"/>
      <c r="F601" s="27" t="s">
        <v>7</v>
      </c>
      <c r="CY601" s="27" t="s">
        <v>8</v>
      </c>
      <c r="GK601" s="27" t="s">
        <v>8</v>
      </c>
      <c r="GL601" s="27" t="s">
        <v>7</v>
      </c>
      <c r="GM601" s="27" t="s">
        <v>8</v>
      </c>
      <c r="IP601" s="27" t="s">
        <v>7</v>
      </c>
      <c r="IR601" s="27" t="s">
        <v>7</v>
      </c>
      <c r="IS601" s="27" t="s">
        <v>8</v>
      </c>
      <c r="IW601" s="31"/>
      <c r="JF601" s="27" t="s">
        <v>7</v>
      </c>
      <c r="JG601" s="27" t="s">
        <v>8</v>
      </c>
      <c r="JL601" s="31"/>
      <c r="JP601" s="18" t="s">
        <v>7</v>
      </c>
      <c r="JQ601" s="27" t="s">
        <v>8</v>
      </c>
      <c r="JU601" s="31"/>
    </row>
    <row r="602" spans="1:367" x14ac:dyDescent="0.25">
      <c r="A602" s="7">
        <v>0.74301472998851925</v>
      </c>
      <c r="B602"/>
      <c r="C602"/>
      <c r="D602"/>
      <c r="E602"/>
      <c r="F602" s="27" t="s">
        <v>7</v>
      </c>
      <c r="CY602" s="27" t="s">
        <v>8</v>
      </c>
      <c r="CZ602" s="27" t="s">
        <v>7</v>
      </c>
      <c r="GK602" s="27" t="s">
        <v>8</v>
      </c>
      <c r="GL602" s="27" t="s">
        <v>7</v>
      </c>
      <c r="IR602" s="27" t="s">
        <v>7</v>
      </c>
      <c r="IS602" s="27" t="s">
        <v>8</v>
      </c>
      <c r="IV602" s="31"/>
      <c r="JF602" s="27" t="s">
        <v>7</v>
      </c>
      <c r="JG602" s="27" t="s">
        <v>8</v>
      </c>
      <c r="JK602" s="31"/>
      <c r="JP602" s="27" t="s">
        <v>7</v>
      </c>
      <c r="JQ602" s="27" t="s">
        <v>8</v>
      </c>
      <c r="JT602" s="31"/>
    </row>
    <row r="603" spans="1:367" x14ac:dyDescent="0.25">
      <c r="A603" s="7">
        <v>0.72844581371423456</v>
      </c>
      <c r="B603"/>
      <c r="C603"/>
      <c r="D603"/>
      <c r="E603"/>
      <c r="F603" s="27" t="s">
        <v>7</v>
      </c>
      <c r="CY603" s="27" t="s">
        <v>8</v>
      </c>
      <c r="CZ603" s="27" t="s">
        <v>7</v>
      </c>
      <c r="GK603" s="27" t="s">
        <v>8</v>
      </c>
      <c r="IR603" s="27" t="s">
        <v>7</v>
      </c>
      <c r="IS603" s="27" t="s">
        <v>8</v>
      </c>
      <c r="IU603" s="31"/>
      <c r="JF603" s="27" t="s">
        <v>7</v>
      </c>
      <c r="JG603" s="27" t="s">
        <v>8</v>
      </c>
      <c r="JJ603" s="31"/>
      <c r="JP603" s="27" t="s">
        <v>7</v>
      </c>
      <c r="JQ603" s="27" t="s">
        <v>8</v>
      </c>
      <c r="JS603" s="31"/>
    </row>
    <row r="604" spans="1:367" x14ac:dyDescent="0.25">
      <c r="A604" s="7">
        <v>0.71416256246493581</v>
      </c>
      <c r="B604"/>
      <c r="C604"/>
      <c r="D604"/>
      <c r="E604"/>
      <c r="F604" s="27" t="s">
        <v>7</v>
      </c>
      <c r="CY604" s="27" t="s">
        <v>8</v>
      </c>
      <c r="CZ604" s="27" t="s">
        <v>7</v>
      </c>
      <c r="GK604" s="27" t="s">
        <v>8</v>
      </c>
      <c r="IR604" s="27" t="s">
        <v>7</v>
      </c>
      <c r="IS604" s="27" t="s">
        <v>8</v>
      </c>
      <c r="IT604" s="31"/>
      <c r="JF604" s="27" t="s">
        <v>7</v>
      </c>
      <c r="JG604" s="27" t="s">
        <v>8</v>
      </c>
      <c r="JI604" s="31"/>
      <c r="JP604" s="27" t="s">
        <v>7</v>
      </c>
      <c r="JQ604" s="27" t="s">
        <v>8</v>
      </c>
      <c r="JR604" s="31"/>
    </row>
    <row r="605" spans="1:367" x14ac:dyDescent="0.25">
      <c r="A605" s="7">
        <v>0.7001593749656233</v>
      </c>
      <c r="B605"/>
      <c r="C605"/>
      <c r="D605"/>
      <c r="E605"/>
      <c r="F605" s="27" t="s">
        <v>7</v>
      </c>
      <c r="CY605" s="27" t="s">
        <v>8</v>
      </c>
      <c r="CZ605" s="27" t="s">
        <v>7</v>
      </c>
      <c r="GI605" s="27" t="s">
        <v>8</v>
      </c>
      <c r="GK605" s="27" t="s">
        <v>8</v>
      </c>
      <c r="IR605" s="27" t="s">
        <v>7</v>
      </c>
      <c r="IS605" s="31" t="s">
        <v>8</v>
      </c>
      <c r="JF605" s="27" t="s">
        <v>7</v>
      </c>
      <c r="JG605" s="27" t="s">
        <v>8</v>
      </c>
      <c r="JH605" s="31"/>
      <c r="JP605" s="27" t="s">
        <v>7</v>
      </c>
      <c r="JQ605" s="31" t="s">
        <v>8</v>
      </c>
    </row>
    <row r="606" spans="1:367" x14ac:dyDescent="0.25">
      <c r="A606" s="7">
        <v>0.68643075977021883</v>
      </c>
      <c r="B606"/>
      <c r="C606"/>
      <c r="D606"/>
      <c r="E606"/>
      <c r="F606" s="27" t="s">
        <v>7</v>
      </c>
      <c r="CY606" s="27" t="s">
        <v>8</v>
      </c>
      <c r="CZ606" s="27" t="s">
        <v>7</v>
      </c>
      <c r="DA606" s="27" t="s">
        <v>8</v>
      </c>
      <c r="GI606" s="27" t="s">
        <v>8</v>
      </c>
      <c r="GJ606" s="27" t="s">
        <v>7</v>
      </c>
      <c r="GK606" s="27" t="s">
        <v>8</v>
      </c>
      <c r="IR606" s="31" t="s">
        <v>7</v>
      </c>
      <c r="JF606" s="27" t="s">
        <v>7</v>
      </c>
      <c r="JG606" s="31" t="s">
        <v>8</v>
      </c>
      <c r="JP606" s="31" t="s">
        <v>7</v>
      </c>
    </row>
    <row r="607" spans="1:367" x14ac:dyDescent="0.25">
      <c r="A607" s="7">
        <v>0.67297133310805768</v>
      </c>
      <c r="B607"/>
      <c r="C607"/>
      <c r="D607"/>
      <c r="E607"/>
      <c r="F607" s="27" t="s">
        <v>7</v>
      </c>
      <c r="CY607" s="27" t="s">
        <v>8</v>
      </c>
      <c r="CZ607" s="27" t="s">
        <v>7</v>
      </c>
      <c r="DA607" s="27" t="s">
        <v>8</v>
      </c>
      <c r="DB607" s="27" t="s">
        <v>7</v>
      </c>
      <c r="GI607" s="27" t="s">
        <v>8</v>
      </c>
      <c r="GJ607" s="27" t="s">
        <v>7</v>
      </c>
      <c r="GK607" s="27" t="s">
        <v>8</v>
      </c>
      <c r="JF607" s="31" t="s">
        <v>7</v>
      </c>
    </row>
    <row r="608" spans="1:367" x14ac:dyDescent="0.25">
      <c r="A608" s="7">
        <v>0.65977581677260566</v>
      </c>
      <c r="B608"/>
      <c r="C608"/>
      <c r="D608"/>
      <c r="E608"/>
      <c r="F608" s="27" t="s">
        <v>7</v>
      </c>
      <c r="CY608" s="27" t="s">
        <v>8</v>
      </c>
      <c r="CZ608" s="27" t="s">
        <v>7</v>
      </c>
      <c r="DA608" s="27" t="s">
        <v>8</v>
      </c>
      <c r="DB608" s="27" t="s">
        <v>7</v>
      </c>
      <c r="DC608" s="27" t="s">
        <v>8</v>
      </c>
      <c r="DE608" s="27" t="s">
        <v>8</v>
      </c>
      <c r="GI608" s="27" t="s">
        <v>8</v>
      </c>
      <c r="GJ608" s="27" t="s">
        <v>7</v>
      </c>
      <c r="GK608" s="27" t="s">
        <v>8</v>
      </c>
    </row>
    <row r="609" spans="1:193" x14ac:dyDescent="0.25">
      <c r="A609" s="7">
        <v>0.64683903605157422</v>
      </c>
      <c r="B609"/>
      <c r="C609"/>
      <c r="D609"/>
      <c r="E609"/>
      <c r="F609" s="27" t="s">
        <v>7</v>
      </c>
      <c r="CY609" s="27" t="s">
        <v>8</v>
      </c>
      <c r="CZ609" s="27" t="s">
        <v>7</v>
      </c>
      <c r="DA609" s="27" t="s">
        <v>8</v>
      </c>
      <c r="DB609" s="27" t="s">
        <v>7</v>
      </c>
      <c r="DC609" s="27" t="s">
        <v>8</v>
      </c>
      <c r="DD609" s="27" t="s">
        <v>7</v>
      </c>
      <c r="DE609" s="27" t="s">
        <v>8</v>
      </c>
      <c r="DF609" s="27" t="s">
        <v>7</v>
      </c>
      <c r="GI609" s="27" t="s">
        <v>8</v>
      </c>
      <c r="GJ609" s="27" t="s">
        <v>7</v>
      </c>
      <c r="GK609" s="27" t="s">
        <v>8</v>
      </c>
    </row>
    <row r="610" spans="1:193" x14ac:dyDescent="0.25">
      <c r="A610" s="7">
        <v>0.63415591769762181</v>
      </c>
      <c r="B610"/>
      <c r="C610"/>
      <c r="D610"/>
      <c r="E610"/>
      <c r="F610" s="27" t="s">
        <v>7</v>
      </c>
      <c r="CY610" s="27" t="s">
        <v>8</v>
      </c>
      <c r="CZ610" s="27" t="s">
        <v>7</v>
      </c>
      <c r="DA610" s="27" t="s">
        <v>8</v>
      </c>
      <c r="DB610" s="27" t="s">
        <v>7</v>
      </c>
      <c r="DC610" s="27" t="s">
        <v>8</v>
      </c>
      <c r="DD610" s="27" t="s">
        <v>7</v>
      </c>
      <c r="DE610" s="27" t="s">
        <v>8</v>
      </c>
      <c r="DF610" s="27" t="s">
        <v>7</v>
      </c>
      <c r="GG610" s="27" t="s">
        <v>8</v>
      </c>
      <c r="GI610" s="27" t="s">
        <v>8</v>
      </c>
      <c r="GJ610" s="27" t="s">
        <v>7</v>
      </c>
      <c r="GK610" s="27" t="s">
        <v>8</v>
      </c>
    </row>
    <row r="611" spans="1:193" x14ac:dyDescent="0.25">
      <c r="A611" s="7">
        <v>0.62172148793884496</v>
      </c>
      <c r="B611"/>
      <c r="C611"/>
      <c r="D611"/>
      <c r="E611"/>
      <c r="F611" s="27" t="s">
        <v>7</v>
      </c>
      <c r="CY611" s="27" t="s">
        <v>8</v>
      </c>
      <c r="CZ611" s="27" t="s">
        <v>7</v>
      </c>
      <c r="DA611" s="27" t="s">
        <v>8</v>
      </c>
      <c r="DB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GG611" s="27" t="s">
        <v>8</v>
      </c>
      <c r="GH611" s="27" t="s">
        <v>7</v>
      </c>
      <c r="GI611" s="27" t="s">
        <v>8</v>
      </c>
      <c r="GJ611" s="27" t="s">
        <v>7</v>
      </c>
    </row>
    <row r="612" spans="1:193" x14ac:dyDescent="0.25">
      <c r="A612" s="7">
        <v>0.60953087052827937</v>
      </c>
      <c r="B612"/>
      <c r="C612"/>
      <c r="D612"/>
      <c r="E612"/>
      <c r="F612" s="27" t="s">
        <v>7</v>
      </c>
      <c r="CY612" s="27" t="s">
        <v>8</v>
      </c>
      <c r="CZ612" s="27" t="s">
        <v>7</v>
      </c>
      <c r="DA612" s="27" t="s">
        <v>8</v>
      </c>
      <c r="DB612" s="27" t="s">
        <v>7</v>
      </c>
      <c r="DC612" s="27" t="s">
        <v>8</v>
      </c>
      <c r="DD612" s="27" t="s">
        <v>7</v>
      </c>
      <c r="DE612" s="27" t="s">
        <v>8</v>
      </c>
      <c r="DF612" s="27" t="s">
        <v>7</v>
      </c>
      <c r="GG612" s="27" t="s">
        <v>8</v>
      </c>
      <c r="GH612" s="27" t="s">
        <v>7</v>
      </c>
      <c r="GI612" s="27" t="s">
        <v>8</v>
      </c>
    </row>
    <row r="613" spans="1:193" x14ac:dyDescent="0.25">
      <c r="A613" s="7">
        <v>0.59757928483164646</v>
      </c>
      <c r="B613"/>
      <c r="C613"/>
      <c r="D613"/>
      <c r="E613"/>
      <c r="F613" s="27" t="s">
        <v>7</v>
      </c>
      <c r="CY613" s="27" t="s">
        <v>8</v>
      </c>
      <c r="CZ613" s="27" t="s">
        <v>7</v>
      </c>
      <c r="DA613" s="27" t="s">
        <v>8</v>
      </c>
      <c r="DB613" s="27" t="s">
        <v>7</v>
      </c>
      <c r="DC613" s="27" t="s">
        <v>8</v>
      </c>
      <c r="DD613" s="27" t="s">
        <v>7</v>
      </c>
      <c r="DE613" s="27" t="s">
        <v>8</v>
      </c>
      <c r="DF613" s="27" t="s">
        <v>7</v>
      </c>
      <c r="GE613" s="27" t="s">
        <v>8</v>
      </c>
      <c r="GG613" s="27" t="s">
        <v>8</v>
      </c>
      <c r="GH613" s="27" t="s">
        <v>7</v>
      </c>
      <c r="GI613" s="27" t="s">
        <v>8</v>
      </c>
    </row>
    <row r="614" spans="1:193" x14ac:dyDescent="0.25">
      <c r="A614" s="7">
        <v>0.58586204395259456</v>
      </c>
      <c r="B614"/>
      <c r="C614"/>
      <c r="D614"/>
      <c r="E614"/>
      <c r="F614" s="27" t="s">
        <v>7</v>
      </c>
      <c r="CY614" s="27" t="s">
        <v>8</v>
      </c>
      <c r="CZ614" s="27" t="s">
        <v>7</v>
      </c>
      <c r="DB614" s="27" t="s">
        <v>7</v>
      </c>
      <c r="DC614" s="27" t="s">
        <v>8</v>
      </c>
      <c r="DD614" s="27" t="s">
        <v>7</v>
      </c>
      <c r="DE614" s="27" t="s">
        <v>8</v>
      </c>
      <c r="DF614" s="27" t="s">
        <v>7</v>
      </c>
      <c r="DG614" s="27" t="s">
        <v>8</v>
      </c>
      <c r="GE614" s="27" t="s">
        <v>8</v>
      </c>
      <c r="GF614" s="27" t="s">
        <v>7</v>
      </c>
      <c r="GG614" s="27" t="s">
        <v>8</v>
      </c>
      <c r="GH614" s="27" t="s">
        <v>7</v>
      </c>
      <c r="GI614" s="27" t="s">
        <v>8</v>
      </c>
    </row>
    <row r="615" spans="1:193" x14ac:dyDescent="0.25">
      <c r="A615" s="7">
        <v>0.57437455289470052</v>
      </c>
      <c r="B615"/>
      <c r="C615"/>
      <c r="D615"/>
      <c r="E615"/>
      <c r="F615" s="27" t="s">
        <v>7</v>
      </c>
      <c r="CY615" s="27" t="s">
        <v>8</v>
      </c>
      <c r="DB615" s="27" t="s">
        <v>7</v>
      </c>
      <c r="DC615" s="27" t="s">
        <v>8</v>
      </c>
      <c r="DD615" s="27" t="s">
        <v>7</v>
      </c>
      <c r="DE615" s="27" t="s">
        <v>8</v>
      </c>
      <c r="DF615" s="27" t="s">
        <v>7</v>
      </c>
      <c r="DG615" s="27" t="s">
        <v>8</v>
      </c>
      <c r="DH615" s="27" t="s">
        <v>7</v>
      </c>
      <c r="GE615" s="27" t="s">
        <v>8</v>
      </c>
      <c r="GF615" s="27" t="s">
        <v>7</v>
      </c>
      <c r="GG615" s="27" t="s">
        <v>8</v>
      </c>
      <c r="GH615" s="27" t="s">
        <v>7</v>
      </c>
      <c r="GI615" s="27" t="s">
        <v>8</v>
      </c>
    </row>
    <row r="616" spans="1:193" x14ac:dyDescent="0.25">
      <c r="A616" s="7">
        <v>0.56311230675951029</v>
      </c>
      <c r="B616"/>
      <c r="C616"/>
      <c r="D616"/>
      <c r="E616"/>
      <c r="F616" s="27" t="s">
        <v>7</v>
      </c>
      <c r="CY616" s="27" t="s">
        <v>8</v>
      </c>
      <c r="DB616" s="27" t="s">
        <v>7</v>
      </c>
      <c r="DC616" s="27" t="s">
        <v>8</v>
      </c>
      <c r="DD616" s="27" t="s">
        <v>7</v>
      </c>
      <c r="DE616" s="27" t="s">
        <v>8</v>
      </c>
      <c r="DF616" s="27" t="s">
        <v>7</v>
      </c>
      <c r="DG616" s="27" t="s">
        <v>8</v>
      </c>
      <c r="DH616" s="27" t="s">
        <v>7</v>
      </c>
      <c r="GE616" s="27" t="s">
        <v>8</v>
      </c>
      <c r="GF616" s="27" t="s">
        <v>7</v>
      </c>
      <c r="GG616" s="27" t="s">
        <v>8</v>
      </c>
      <c r="GH616" s="27" t="s">
        <v>7</v>
      </c>
      <c r="GI616" s="27" t="s">
        <v>8</v>
      </c>
    </row>
    <row r="617" spans="1:193" x14ac:dyDescent="0.25">
      <c r="A617" s="7">
        <v>0.55207088897991208</v>
      </c>
      <c r="B617"/>
      <c r="C617"/>
      <c r="D617"/>
      <c r="E617"/>
      <c r="F617" s="27" t="s">
        <v>7</v>
      </c>
      <c r="CY617" s="27" t="s">
        <v>8</v>
      </c>
      <c r="DB617" s="27" t="s">
        <v>7</v>
      </c>
      <c r="DC617" s="27" t="s">
        <v>8</v>
      </c>
      <c r="DD617" s="27" t="s">
        <v>7</v>
      </c>
      <c r="DE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GE617" s="27" t="s">
        <v>8</v>
      </c>
      <c r="GF617" s="27" t="s">
        <v>7</v>
      </c>
      <c r="GG617" s="27" t="s">
        <v>8</v>
      </c>
      <c r="GH617" s="27" t="s">
        <v>7</v>
      </c>
      <c r="GI617" s="27" t="s">
        <v>8</v>
      </c>
    </row>
    <row r="618" spans="1:193" x14ac:dyDescent="0.25">
      <c r="A618" s="7">
        <v>0.54124596958814908</v>
      </c>
      <c r="B618"/>
      <c r="C618"/>
      <c r="D618"/>
      <c r="E618"/>
      <c r="F618" s="27" t="s">
        <v>7</v>
      </c>
      <c r="CY618" s="27" t="s">
        <v>8</v>
      </c>
      <c r="DB618" s="27" t="s">
        <v>7</v>
      </c>
      <c r="DC618" s="27" t="s">
        <v>8</v>
      </c>
      <c r="DD618" s="27" t="s">
        <v>7</v>
      </c>
      <c r="DE618" s="27" t="s">
        <v>8</v>
      </c>
      <c r="DF618" s="27" t="s">
        <v>7</v>
      </c>
      <c r="DG618" s="27" t="s">
        <v>8</v>
      </c>
      <c r="DH618" s="27" t="s">
        <v>7</v>
      </c>
      <c r="DI618" s="27" t="s">
        <v>8</v>
      </c>
      <c r="DJ618" s="27" t="s">
        <v>7</v>
      </c>
      <c r="GE618" s="27" t="s">
        <v>8</v>
      </c>
      <c r="GF618" s="27" t="s">
        <v>7</v>
      </c>
      <c r="GG618" s="27" t="s">
        <v>8</v>
      </c>
      <c r="GH618" s="27" t="s">
        <v>7</v>
      </c>
      <c r="GI618" s="27" t="s">
        <v>8</v>
      </c>
    </row>
    <row r="619" spans="1:193" x14ac:dyDescent="0.25">
      <c r="A619" s="7">
        <v>0.53063330351779314</v>
      </c>
      <c r="B619"/>
      <c r="C619"/>
      <c r="D619"/>
      <c r="E619"/>
      <c r="F619" s="27" t="s">
        <v>7</v>
      </c>
      <c r="CY619" s="27" t="s">
        <v>8</v>
      </c>
      <c r="DB619" s="27" t="s">
        <v>7</v>
      </c>
      <c r="DC619" s="27" t="s">
        <v>8</v>
      </c>
      <c r="DD619" s="27" t="s">
        <v>7</v>
      </c>
      <c r="DE619" s="27" t="s">
        <v>8</v>
      </c>
      <c r="DF619" s="27" t="s">
        <v>7</v>
      </c>
      <c r="DH619" s="27" t="s">
        <v>7</v>
      </c>
      <c r="DI619" s="27" t="s">
        <v>8</v>
      </c>
      <c r="DJ619" s="27" t="s">
        <v>7</v>
      </c>
      <c r="GE619" s="27" t="s">
        <v>8</v>
      </c>
      <c r="GF619" s="27" t="s">
        <v>7</v>
      </c>
      <c r="GG619" s="27" t="s">
        <v>8</v>
      </c>
      <c r="GH619" s="27" t="s">
        <v>7</v>
      </c>
    </row>
    <row r="620" spans="1:193" x14ac:dyDescent="0.25">
      <c r="A620" s="7">
        <v>0.52022872893901284</v>
      </c>
      <c r="B620"/>
      <c r="C620"/>
      <c r="D620"/>
      <c r="E620"/>
      <c r="F620" s="27" t="s">
        <v>7</v>
      </c>
      <c r="CY620" s="27" t="s">
        <v>8</v>
      </c>
      <c r="DB620" s="27" t="s">
        <v>7</v>
      </c>
      <c r="DC620" s="27" t="s">
        <v>8</v>
      </c>
      <c r="DD620" s="27" t="s">
        <v>7</v>
      </c>
      <c r="DH620" s="27" t="s">
        <v>7</v>
      </c>
      <c r="DI620" s="27" t="s">
        <v>8</v>
      </c>
      <c r="DJ620" s="27" t="s">
        <v>7</v>
      </c>
      <c r="GA620" s="27" t="s">
        <v>8</v>
      </c>
      <c r="GE620" s="27" t="s">
        <v>8</v>
      </c>
      <c r="GF620" s="27" t="s">
        <v>7</v>
      </c>
      <c r="GG620" s="27" t="s">
        <v>8</v>
      </c>
    </row>
    <row r="621" spans="1:193" x14ac:dyDescent="0.25">
      <c r="A621" s="7">
        <v>0.51002816562648323</v>
      </c>
      <c r="B621"/>
      <c r="C621"/>
      <c r="D621"/>
      <c r="E621"/>
      <c r="F621" s="27" t="s">
        <v>7</v>
      </c>
      <c r="CY621" s="27" t="s">
        <v>8</v>
      </c>
      <c r="DB621" s="27" t="s">
        <v>7</v>
      </c>
      <c r="DC621" s="27" t="s">
        <v>8</v>
      </c>
      <c r="DH621" s="27" t="s">
        <v>7</v>
      </c>
      <c r="DI621" s="27" t="s">
        <v>8</v>
      </c>
      <c r="DJ621" s="27" t="s">
        <v>7</v>
      </c>
      <c r="GA621" s="27" t="s">
        <v>8</v>
      </c>
      <c r="GB621" s="27" t="s">
        <v>7</v>
      </c>
      <c r="GC621" s="27" t="s">
        <v>8</v>
      </c>
      <c r="GE621" s="27" t="s">
        <v>8</v>
      </c>
      <c r="GF621" s="27" t="s">
        <v>7</v>
      </c>
      <c r="GG621" s="27" t="s">
        <v>8</v>
      </c>
    </row>
    <row r="622" spans="1:193" x14ac:dyDescent="0.25">
      <c r="A622" s="7">
        <v>0.50002761335929735</v>
      </c>
      <c r="B622"/>
      <c r="C622"/>
      <c r="D622"/>
      <c r="E622"/>
      <c r="F622" s="27" t="s">
        <v>7</v>
      </c>
      <c r="AC622" s="27" t="s">
        <v>8</v>
      </c>
      <c r="CY622" s="27" t="s">
        <v>8</v>
      </c>
      <c r="DB622" s="27" t="s">
        <v>7</v>
      </c>
      <c r="DH622" s="27" t="s">
        <v>7</v>
      </c>
      <c r="DI622" s="27" t="s">
        <v>8</v>
      </c>
      <c r="DJ622" s="27" t="s">
        <v>7</v>
      </c>
      <c r="GA622" s="27" t="s">
        <v>8</v>
      </c>
      <c r="GB622" s="27" t="s">
        <v>7</v>
      </c>
      <c r="GC622" s="27" t="s">
        <v>8</v>
      </c>
      <c r="GD622" s="27" t="s">
        <v>7</v>
      </c>
      <c r="GE622" s="27" t="s">
        <v>8</v>
      </c>
      <c r="GF622" s="27" t="s">
        <v>7</v>
      </c>
      <c r="GG622" s="27" t="s">
        <v>8</v>
      </c>
    </row>
    <row r="623" spans="1:193" x14ac:dyDescent="0.25">
      <c r="A623" s="7">
        <v>0.49022315035225228</v>
      </c>
      <c r="B623"/>
      <c r="C623"/>
      <c r="D623"/>
      <c r="E623"/>
      <c r="F623" s="27" t="s">
        <v>7</v>
      </c>
      <c r="AC623" s="27" t="s">
        <v>8</v>
      </c>
      <c r="AD623" s="27" t="s">
        <v>7</v>
      </c>
      <c r="CY623" s="27" t="s">
        <v>8</v>
      </c>
      <c r="DH623" s="27" t="s">
        <v>7</v>
      </c>
      <c r="DJ623" s="27" t="s">
        <v>7</v>
      </c>
      <c r="GA623" s="27" t="s">
        <v>8</v>
      </c>
      <c r="GB623" s="27" t="s">
        <v>7</v>
      </c>
      <c r="GC623" s="27" t="s">
        <v>8</v>
      </c>
      <c r="GD623" s="27" t="s">
        <v>7</v>
      </c>
      <c r="GE623" s="27" t="s">
        <v>8</v>
      </c>
      <c r="GF623" s="27" t="s">
        <v>7</v>
      </c>
      <c r="GG623" s="27" t="s">
        <v>8</v>
      </c>
    </row>
    <row r="624" spans="1:193" x14ac:dyDescent="0.25">
      <c r="A624" s="7">
        <v>0.48061093171789437</v>
      </c>
      <c r="B624"/>
      <c r="C624"/>
      <c r="D624"/>
      <c r="E624"/>
      <c r="F624" s="27" t="s">
        <v>7</v>
      </c>
      <c r="AC624" s="27" t="s">
        <v>8</v>
      </c>
      <c r="AD624" s="27" t="s">
        <v>7</v>
      </c>
      <c r="CW624" s="27" t="s">
        <v>8</v>
      </c>
      <c r="CY624" s="27" t="s">
        <v>8</v>
      </c>
      <c r="DJ624" s="27" t="s">
        <v>7</v>
      </c>
      <c r="GA624" s="27" t="s">
        <v>8</v>
      </c>
      <c r="GB624" s="27" t="s">
        <v>7</v>
      </c>
      <c r="GC624" s="27" t="s">
        <v>8</v>
      </c>
      <c r="GD624" s="27" t="s">
        <v>7</v>
      </c>
      <c r="GE624" s="27" t="s">
        <v>8</v>
      </c>
      <c r="GF624" s="27" t="s">
        <v>7</v>
      </c>
      <c r="GG624" s="27" t="s">
        <v>8</v>
      </c>
    </row>
    <row r="625" spans="1:189" x14ac:dyDescent="0.25">
      <c r="A625" s="7">
        <v>0.47118718795871994</v>
      </c>
      <c r="B625"/>
      <c r="C625"/>
      <c r="D625"/>
      <c r="E625"/>
      <c r="F625" s="27" t="s">
        <v>7</v>
      </c>
      <c r="AA625" s="27" t="s">
        <v>8</v>
      </c>
      <c r="AC625" s="27" t="s">
        <v>8</v>
      </c>
      <c r="AD625" s="27" t="s">
        <v>7</v>
      </c>
      <c r="CW625" s="27" t="s">
        <v>8</v>
      </c>
      <c r="CX625" s="27" t="s">
        <v>7</v>
      </c>
      <c r="CY625" s="27" t="s">
        <v>8</v>
      </c>
      <c r="DJ625" s="27" t="s">
        <v>7</v>
      </c>
      <c r="GA625" s="27" t="s">
        <v>8</v>
      </c>
      <c r="GB625" s="27" t="s">
        <v>7</v>
      </c>
      <c r="GC625" s="27" t="s">
        <v>8</v>
      </c>
      <c r="GD625" s="27" t="s">
        <v>7</v>
      </c>
      <c r="GE625" s="27" t="s">
        <v>8</v>
      </c>
      <c r="GF625" s="27" t="s">
        <v>7</v>
      </c>
      <c r="GG625" s="27" t="s">
        <v>8</v>
      </c>
    </row>
    <row r="626" spans="1:189" x14ac:dyDescent="0.25">
      <c r="A626" s="7">
        <v>0.46194822348894116</v>
      </c>
      <c r="B626"/>
      <c r="C626"/>
      <c r="D626"/>
      <c r="E626"/>
      <c r="F626" s="27" t="s">
        <v>7</v>
      </c>
      <c r="AA626" s="27" t="s">
        <v>8</v>
      </c>
      <c r="AB626" s="27" t="s">
        <v>7</v>
      </c>
      <c r="AC626" s="27" t="s">
        <v>8</v>
      </c>
      <c r="AD626" s="27" t="s">
        <v>7</v>
      </c>
      <c r="CW626" s="27" t="s">
        <v>8</v>
      </c>
      <c r="CX626" s="27" t="s">
        <v>7</v>
      </c>
      <c r="CY626" s="27" t="s">
        <v>8</v>
      </c>
      <c r="DJ626" s="27" t="s">
        <v>7</v>
      </c>
      <c r="FY626" s="27" t="s">
        <v>8</v>
      </c>
      <c r="GA626" s="27" t="s">
        <v>8</v>
      </c>
      <c r="GB626" s="27" t="s">
        <v>7</v>
      </c>
      <c r="GC626" s="27" t="s">
        <v>8</v>
      </c>
      <c r="GD626" s="27" t="s">
        <v>7</v>
      </c>
      <c r="GE626" s="27" t="s">
        <v>8</v>
      </c>
      <c r="GF626" s="27" t="s">
        <v>7</v>
      </c>
      <c r="GG626" s="27" t="s">
        <v>8</v>
      </c>
    </row>
    <row r="627" spans="1:189" x14ac:dyDescent="0.25">
      <c r="A627" s="7">
        <v>0.45289041518523643</v>
      </c>
      <c r="B627"/>
      <c r="C627"/>
      <c r="D627"/>
      <c r="E627"/>
      <c r="F627" s="27" t="s">
        <v>7</v>
      </c>
      <c r="AA627" s="27" t="s">
        <v>8</v>
      </c>
      <c r="AB627" s="27" t="s">
        <v>7</v>
      </c>
      <c r="AC627" s="27" t="s">
        <v>8</v>
      </c>
      <c r="AD627" s="27" t="s">
        <v>7</v>
      </c>
      <c r="CW627" s="27" t="s">
        <v>8</v>
      </c>
      <c r="CX627" s="27" t="s">
        <v>7</v>
      </c>
      <c r="CY627" s="27" t="s">
        <v>8</v>
      </c>
      <c r="DJ627" s="27" t="s">
        <v>7</v>
      </c>
      <c r="FY627" s="27" t="s">
        <v>8</v>
      </c>
      <c r="FZ627" s="27" t="s">
        <v>7</v>
      </c>
      <c r="GA627" s="27" t="s">
        <v>8</v>
      </c>
      <c r="GB627" s="27" t="s">
        <v>7</v>
      </c>
      <c r="GC627" s="27" t="s">
        <v>8</v>
      </c>
      <c r="GD627" s="27" t="s">
        <v>7</v>
      </c>
      <c r="GE627" s="27" t="s">
        <v>8</v>
      </c>
      <c r="GF627" s="27" t="s">
        <v>7</v>
      </c>
      <c r="GG627" s="27" t="s">
        <v>8</v>
      </c>
    </row>
    <row r="628" spans="1:189" x14ac:dyDescent="0.25">
      <c r="A628" s="7">
        <v>0.44401021096591808</v>
      </c>
      <c r="B628"/>
      <c r="C628"/>
      <c r="D628"/>
      <c r="E628"/>
      <c r="F628" s="27" t="s">
        <v>7</v>
      </c>
      <c r="AA628" s="27" t="s">
        <v>8</v>
      </c>
      <c r="AB628" s="27" t="s">
        <v>7</v>
      </c>
      <c r="AC628" s="27" t="s">
        <v>8</v>
      </c>
      <c r="AD628" s="27" t="s">
        <v>7</v>
      </c>
      <c r="CW628" s="27" t="s">
        <v>8</v>
      </c>
      <c r="CX628" s="27" t="s">
        <v>7</v>
      </c>
      <c r="CY628" s="27" t="s">
        <v>8</v>
      </c>
      <c r="DJ628" s="27" t="s">
        <v>7</v>
      </c>
      <c r="DO628" s="27" t="s">
        <v>8</v>
      </c>
      <c r="FY628" s="27" t="s">
        <v>8</v>
      </c>
      <c r="FZ628" s="27" t="s">
        <v>7</v>
      </c>
      <c r="GA628" s="27" t="s">
        <v>8</v>
      </c>
      <c r="GB628" s="27" t="s">
        <v>7</v>
      </c>
      <c r="GC628" s="27" t="s">
        <v>8</v>
      </c>
      <c r="GD628" s="27" t="s">
        <v>7</v>
      </c>
      <c r="GE628" s="27" t="s">
        <v>8</v>
      </c>
      <c r="GF628" s="27" t="s">
        <v>7</v>
      </c>
      <c r="GG628" s="27" t="s">
        <v>8</v>
      </c>
    </row>
    <row r="629" spans="1:189" x14ac:dyDescent="0.25">
      <c r="A629" s="7">
        <v>0.4353041283979589</v>
      </c>
      <c r="B629"/>
      <c r="C629"/>
      <c r="D629"/>
      <c r="E629"/>
      <c r="F629" s="27" t="s">
        <v>7</v>
      </c>
      <c r="AA629" s="27" t="s">
        <v>8</v>
      </c>
      <c r="AB629" s="27" t="s">
        <v>7</v>
      </c>
      <c r="AC629" s="27" t="s">
        <v>8</v>
      </c>
      <c r="AD629" s="27" t="s">
        <v>7</v>
      </c>
      <c r="CW629" s="27" t="s">
        <v>8</v>
      </c>
      <c r="CX629" s="27" t="s">
        <v>7</v>
      </c>
      <c r="CY629" s="27" t="s">
        <v>8</v>
      </c>
      <c r="DJ629" s="27" t="s">
        <v>7</v>
      </c>
      <c r="DO629" s="27" t="s">
        <v>8</v>
      </c>
      <c r="DP629" s="27" t="s">
        <v>7</v>
      </c>
      <c r="FY629" s="27" t="s">
        <v>8</v>
      </c>
      <c r="FZ629" s="27" t="s">
        <v>7</v>
      </c>
      <c r="GA629" s="27" t="s">
        <v>8</v>
      </c>
      <c r="GB629" s="27" t="s">
        <v>7</v>
      </c>
      <c r="GC629" s="27" t="s">
        <v>8</v>
      </c>
      <c r="GD629" s="27" t="s">
        <v>7</v>
      </c>
      <c r="GE629" s="27" t="s">
        <v>8</v>
      </c>
      <c r="GF629" s="27" t="s">
        <v>7</v>
      </c>
    </row>
    <row r="630" spans="1:189" x14ac:dyDescent="0.25">
      <c r="A630" s="7">
        <v>0.4267687533313323</v>
      </c>
      <c r="B630"/>
      <c r="C630"/>
      <c r="D630"/>
      <c r="E630"/>
      <c r="F630" s="27" t="s">
        <v>7</v>
      </c>
      <c r="AA630" s="27" t="s">
        <v>8</v>
      </c>
      <c r="AB630" s="27" t="s">
        <v>7</v>
      </c>
      <c r="AC630" s="27" t="s">
        <v>8</v>
      </c>
      <c r="AD630" s="27" t="s">
        <v>7</v>
      </c>
      <c r="CW630" s="27" t="s">
        <v>8</v>
      </c>
      <c r="CX630" s="27" t="s">
        <v>7</v>
      </c>
      <c r="CY630" s="27" t="s">
        <v>8</v>
      </c>
      <c r="DJ630" s="27" t="s">
        <v>7</v>
      </c>
      <c r="DO630" s="27" t="s">
        <v>8</v>
      </c>
      <c r="DP630" s="27" t="s">
        <v>7</v>
      </c>
      <c r="FY630" s="27" t="s">
        <v>8</v>
      </c>
      <c r="FZ630" s="27" t="s">
        <v>7</v>
      </c>
      <c r="GA630" s="27" t="s">
        <v>8</v>
      </c>
      <c r="GB630" s="27" t="s">
        <v>7</v>
      </c>
      <c r="GC630" s="27" t="s">
        <v>8</v>
      </c>
      <c r="GD630" s="27" t="s">
        <v>7</v>
      </c>
      <c r="GE630" s="27" t="s">
        <v>8</v>
      </c>
    </row>
    <row r="631" spans="1:189" x14ac:dyDescent="0.25">
      <c r="A631" s="7">
        <v>0.41840073856012971</v>
      </c>
      <c r="B631"/>
      <c r="C631"/>
      <c r="D631"/>
      <c r="E631"/>
      <c r="F631" s="27" t="s">
        <v>7</v>
      </c>
      <c r="AA631" s="27" t="s">
        <v>8</v>
      </c>
      <c r="AB631" s="27" t="s">
        <v>7</v>
      </c>
      <c r="AD631" s="27" t="s">
        <v>7</v>
      </c>
      <c r="CW631" s="27" t="s">
        <v>8</v>
      </c>
      <c r="CX631" s="27" t="s">
        <v>7</v>
      </c>
      <c r="CY631" s="27" t="s">
        <v>8</v>
      </c>
      <c r="DJ631" s="27" t="s">
        <v>7</v>
      </c>
      <c r="DO631" s="27" t="s">
        <v>8</v>
      </c>
      <c r="DP631" s="27" t="s">
        <v>7</v>
      </c>
      <c r="FC631" s="27" t="s">
        <v>8</v>
      </c>
      <c r="FY631" s="27" t="s">
        <v>8</v>
      </c>
      <c r="FZ631" s="27" t="s">
        <v>7</v>
      </c>
      <c r="GA631" s="27" t="s">
        <v>8</v>
      </c>
      <c r="GB631" s="27" t="s">
        <v>7</v>
      </c>
      <c r="GC631" s="27" t="s">
        <v>8</v>
      </c>
      <c r="GD631" s="27" t="s">
        <v>7</v>
      </c>
      <c r="GE631" s="27" t="s">
        <v>8</v>
      </c>
    </row>
    <row r="632" spans="1:189" x14ac:dyDescent="0.25">
      <c r="A632" s="7">
        <v>0.41019680250993112</v>
      </c>
      <c r="B632"/>
      <c r="C632"/>
      <c r="D632"/>
      <c r="E632"/>
      <c r="F632" s="27" t="s">
        <v>7</v>
      </c>
      <c r="U632" s="27" t="s">
        <v>8</v>
      </c>
      <c r="AA632" s="27" t="s">
        <v>8</v>
      </c>
      <c r="AD632" s="27" t="s">
        <v>7</v>
      </c>
      <c r="AI632" s="27" t="s">
        <v>8</v>
      </c>
      <c r="CW632" s="27" t="s">
        <v>8</v>
      </c>
      <c r="CX632" s="27" t="s">
        <v>7</v>
      </c>
      <c r="CY632" s="27" t="s">
        <v>8</v>
      </c>
      <c r="DJ632" s="27" t="s">
        <v>7</v>
      </c>
      <c r="DO632" s="27" t="s">
        <v>8</v>
      </c>
      <c r="DP632" s="27" t="s">
        <v>7</v>
      </c>
      <c r="FC632" s="27" t="s">
        <v>8</v>
      </c>
      <c r="FD632" s="27" t="s">
        <v>7</v>
      </c>
      <c r="FY632" s="27" t="s">
        <v>8</v>
      </c>
      <c r="FZ632" s="27" t="s">
        <v>7</v>
      </c>
      <c r="GA632" s="27" t="s">
        <v>8</v>
      </c>
      <c r="GB632" s="27" t="s">
        <v>7</v>
      </c>
      <c r="GD632" s="27" t="s">
        <v>7</v>
      </c>
      <c r="GE632" s="27" t="s">
        <v>8</v>
      </c>
    </row>
    <row r="633" spans="1:189" x14ac:dyDescent="0.25">
      <c r="A633" s="7">
        <v>0.40215372795091286</v>
      </c>
      <c r="B633"/>
      <c r="C633"/>
      <c r="D633"/>
      <c r="E633"/>
      <c r="F633" s="27" t="s">
        <v>7</v>
      </c>
      <c r="U633" s="27" t="s">
        <v>8</v>
      </c>
      <c r="V633" s="27" t="s">
        <v>7</v>
      </c>
      <c r="AA633" s="27" t="s">
        <v>8</v>
      </c>
      <c r="AD633" s="27" t="s">
        <v>7</v>
      </c>
      <c r="AI633" s="27" t="s">
        <v>8</v>
      </c>
      <c r="AJ633" s="27" t="s">
        <v>7</v>
      </c>
      <c r="CW633" s="27" t="s">
        <v>8</v>
      </c>
      <c r="CX633" s="27" t="s">
        <v>7</v>
      </c>
      <c r="DJ633" s="27" t="s">
        <v>7</v>
      </c>
      <c r="DO633" s="27" t="s">
        <v>8</v>
      </c>
      <c r="DP633" s="27" t="s">
        <v>7</v>
      </c>
      <c r="FC633" s="27" t="s">
        <v>8</v>
      </c>
      <c r="FD633" s="27" t="s">
        <v>7</v>
      </c>
      <c r="FY633" s="27" t="s">
        <v>8</v>
      </c>
      <c r="FZ633" s="27" t="s">
        <v>7</v>
      </c>
      <c r="GA633" s="27" t="s">
        <v>8</v>
      </c>
      <c r="GD633" s="27" t="s">
        <v>7</v>
      </c>
      <c r="GE633" s="27" t="s">
        <v>8</v>
      </c>
    </row>
    <row r="634" spans="1:189" x14ac:dyDescent="0.25">
      <c r="A634" s="7">
        <v>0.39426836073618904</v>
      </c>
      <c r="B634"/>
      <c r="C634"/>
      <c r="D634"/>
      <c r="E634"/>
      <c r="F634" s="27" t="s">
        <v>7</v>
      </c>
      <c r="U634" s="27" t="s">
        <v>8</v>
      </c>
      <c r="V634" s="27" t="s">
        <v>7</v>
      </c>
      <c r="AA634" s="27" t="s">
        <v>8</v>
      </c>
      <c r="AD634" s="27" t="s">
        <v>7</v>
      </c>
      <c r="AE634" s="27" t="s">
        <v>8</v>
      </c>
      <c r="AI634" s="27" t="s">
        <v>8</v>
      </c>
      <c r="AJ634" s="27" t="s">
        <v>7</v>
      </c>
      <c r="CO634" s="27" t="s">
        <v>8</v>
      </c>
      <c r="CW634" s="27" t="s">
        <v>8</v>
      </c>
      <c r="DJ634" s="27" t="s">
        <v>7</v>
      </c>
      <c r="DK634" s="27" t="s">
        <v>8</v>
      </c>
      <c r="DO634" s="27" t="s">
        <v>8</v>
      </c>
      <c r="DP634" s="27" t="s">
        <v>7</v>
      </c>
      <c r="FC634" s="27" t="s">
        <v>8</v>
      </c>
      <c r="FD634" s="27" t="s">
        <v>7</v>
      </c>
      <c r="FY634" s="27" t="s">
        <v>8</v>
      </c>
      <c r="FZ634" s="27" t="s">
        <v>7</v>
      </c>
      <c r="GA634" s="27" t="s">
        <v>8</v>
      </c>
      <c r="GD634" s="27" t="s">
        <v>7</v>
      </c>
      <c r="GE634" s="27" t="s">
        <v>8</v>
      </c>
    </row>
    <row r="635" spans="1:189" x14ac:dyDescent="0.25">
      <c r="A635" s="7">
        <v>0.38653760856489122</v>
      </c>
      <c r="B635"/>
      <c r="C635"/>
      <c r="D635"/>
      <c r="E635"/>
      <c r="F635" s="27" t="s">
        <v>7</v>
      </c>
      <c r="U635" s="27" t="s">
        <v>8</v>
      </c>
      <c r="V635" s="27" t="s">
        <v>7</v>
      </c>
      <c r="W635" s="27" t="s">
        <v>8</v>
      </c>
      <c r="AA635" s="27" t="s">
        <v>8</v>
      </c>
      <c r="AD635" s="27" t="s">
        <v>7</v>
      </c>
      <c r="AE635" s="27" t="s">
        <v>8</v>
      </c>
      <c r="AF635" s="27" t="s">
        <v>7</v>
      </c>
      <c r="AG635" s="27" t="s">
        <v>8</v>
      </c>
      <c r="AI635" s="27" t="s">
        <v>8</v>
      </c>
      <c r="AJ635" s="27" t="s">
        <v>7</v>
      </c>
      <c r="CM635" s="27" t="s">
        <v>8</v>
      </c>
      <c r="CO635" s="27" t="s">
        <v>8</v>
      </c>
      <c r="CP635" s="27" t="s">
        <v>7</v>
      </c>
      <c r="CW635" s="27" t="s">
        <v>8</v>
      </c>
      <c r="DJ635" s="27" t="s">
        <v>7</v>
      </c>
      <c r="DK635" s="27" t="s">
        <v>8</v>
      </c>
      <c r="DL635" s="27" t="s">
        <v>7</v>
      </c>
      <c r="DO635" s="27" t="s">
        <v>8</v>
      </c>
      <c r="DP635" s="27" t="s">
        <v>7</v>
      </c>
      <c r="DQ635" s="27" t="s">
        <v>8</v>
      </c>
      <c r="FC635" s="27" t="s">
        <v>8</v>
      </c>
      <c r="FD635" s="27" t="s">
        <v>7</v>
      </c>
      <c r="FY635" s="27" t="s">
        <v>8</v>
      </c>
      <c r="FZ635" s="27" t="s">
        <v>7</v>
      </c>
      <c r="GA635" s="27" t="s">
        <v>8</v>
      </c>
      <c r="GD635" s="27" t="s">
        <v>7</v>
      </c>
      <c r="GE635" s="27" t="s">
        <v>8</v>
      </c>
    </row>
    <row r="636" spans="1:189" x14ac:dyDescent="0.25">
      <c r="A636" s="7">
        <v>0.37895843976950117</v>
      </c>
      <c r="B636"/>
      <c r="C636"/>
      <c r="D636"/>
      <c r="E636"/>
      <c r="F636" s="27" t="s">
        <v>7</v>
      </c>
      <c r="U636" s="27" t="s">
        <v>8</v>
      </c>
      <c r="V636" s="27" t="s">
        <v>7</v>
      </c>
      <c r="W636" s="27" t="s">
        <v>8</v>
      </c>
      <c r="X636" s="27" t="s">
        <v>7</v>
      </c>
      <c r="AA636" s="27" t="s">
        <v>8</v>
      </c>
      <c r="AD636" s="27" t="s">
        <v>7</v>
      </c>
      <c r="AE636" s="27" t="s">
        <v>8</v>
      </c>
      <c r="AF636" s="27" t="s">
        <v>7</v>
      </c>
      <c r="AG636" s="27" t="s">
        <v>8</v>
      </c>
      <c r="AH636" s="27" t="s">
        <v>7</v>
      </c>
      <c r="AI636" s="27" t="s">
        <v>8</v>
      </c>
      <c r="AJ636" s="27" t="s">
        <v>7</v>
      </c>
      <c r="CM636" s="27" t="s">
        <v>8</v>
      </c>
      <c r="CN636" s="27" t="s">
        <v>7</v>
      </c>
      <c r="CO636" s="27" t="s">
        <v>8</v>
      </c>
      <c r="CP636" s="27" t="s">
        <v>7</v>
      </c>
      <c r="CW636" s="27" t="s">
        <v>8</v>
      </c>
      <c r="DJ636" s="27" t="s">
        <v>7</v>
      </c>
      <c r="DK636" s="27" t="s">
        <v>8</v>
      </c>
      <c r="DL636" s="27" t="s">
        <v>7</v>
      </c>
      <c r="DM636" s="27" t="s">
        <v>8</v>
      </c>
      <c r="DO636" s="27" t="s">
        <v>8</v>
      </c>
      <c r="DP636" s="27" t="s">
        <v>7</v>
      </c>
      <c r="DQ636" s="27" t="s">
        <v>8</v>
      </c>
      <c r="DR636" s="27" t="s">
        <v>7</v>
      </c>
      <c r="FC636" s="27" t="s">
        <v>8</v>
      </c>
      <c r="FD636" s="27" t="s">
        <v>7</v>
      </c>
      <c r="FO636" s="27" t="s">
        <v>8</v>
      </c>
      <c r="FY636" s="27" t="s">
        <v>8</v>
      </c>
      <c r="FZ636" s="27" t="s">
        <v>7</v>
      </c>
      <c r="GA636" s="27" t="s">
        <v>8</v>
      </c>
      <c r="GD636" s="27" t="s">
        <v>7</v>
      </c>
      <c r="GE636" s="27" t="s">
        <v>8</v>
      </c>
    </row>
    <row r="637" spans="1:189" x14ac:dyDescent="0.25">
      <c r="A637" s="7">
        <v>0.37152788212696197</v>
      </c>
      <c r="B637"/>
      <c r="C637"/>
      <c r="D637"/>
      <c r="E637"/>
      <c r="F637" s="27" t="s">
        <v>7</v>
      </c>
      <c r="U637" s="27" t="s">
        <v>8</v>
      </c>
      <c r="V637" s="27" t="s">
        <v>7</v>
      </c>
      <c r="W637" s="27" t="s">
        <v>8</v>
      </c>
      <c r="X637" s="27" t="s">
        <v>7</v>
      </c>
      <c r="AA637" s="27" t="s">
        <v>8</v>
      </c>
      <c r="AD637" s="27" t="s">
        <v>7</v>
      </c>
      <c r="AE637" s="27" t="s">
        <v>8</v>
      </c>
      <c r="AF637" s="27" t="s">
        <v>7</v>
      </c>
      <c r="AG637" s="27" t="s">
        <v>8</v>
      </c>
      <c r="AH637" s="27" t="s">
        <v>7</v>
      </c>
      <c r="AI637" s="27" t="s">
        <v>8</v>
      </c>
      <c r="AJ637" s="27" t="s">
        <v>7</v>
      </c>
      <c r="CM637" s="27" t="s">
        <v>8</v>
      </c>
      <c r="CN637" s="27" t="s">
        <v>7</v>
      </c>
      <c r="CO637" s="27" t="s">
        <v>8</v>
      </c>
      <c r="CP637" s="27" t="s">
        <v>7</v>
      </c>
      <c r="CW637" s="27" t="s">
        <v>8</v>
      </c>
      <c r="DJ637" s="27" t="s">
        <v>7</v>
      </c>
      <c r="DK637" s="27" t="s">
        <v>8</v>
      </c>
      <c r="DL637" s="27" t="s">
        <v>7</v>
      </c>
      <c r="DM637" s="27" t="s">
        <v>8</v>
      </c>
      <c r="DN637" s="27" t="s">
        <v>7</v>
      </c>
      <c r="DO637" s="27" t="s">
        <v>8</v>
      </c>
      <c r="DP637" s="27" t="s">
        <v>7</v>
      </c>
      <c r="DQ637" s="27" t="s">
        <v>8</v>
      </c>
      <c r="DR637" s="27" t="s">
        <v>7</v>
      </c>
      <c r="DS637" s="27" t="s">
        <v>8</v>
      </c>
      <c r="EA637" s="27" t="s">
        <v>8</v>
      </c>
      <c r="FC637" s="27" t="s">
        <v>8</v>
      </c>
      <c r="FD637" s="27" t="s">
        <v>7</v>
      </c>
      <c r="FI637" s="27" t="s">
        <v>8</v>
      </c>
      <c r="FO637" s="27" t="s">
        <v>8</v>
      </c>
      <c r="FP637" s="27" t="s">
        <v>7</v>
      </c>
      <c r="FY637" s="27" t="s">
        <v>8</v>
      </c>
      <c r="FZ637" s="27" t="s">
        <v>7</v>
      </c>
      <c r="GD637" s="27" t="s">
        <v>7</v>
      </c>
    </row>
    <row r="638" spans="1:189" x14ac:dyDescent="0.25">
      <c r="A638" s="7">
        <v>0.36424302169310002</v>
      </c>
      <c r="B638"/>
      <c r="C638"/>
      <c r="D638"/>
      <c r="E638"/>
      <c r="F638" s="27" t="s">
        <v>7</v>
      </c>
      <c r="U638" s="27" t="s">
        <v>8</v>
      </c>
      <c r="V638" s="27" t="s">
        <v>7</v>
      </c>
      <c r="W638" s="27" t="s">
        <v>8</v>
      </c>
      <c r="X638" s="27" t="s">
        <v>7</v>
      </c>
      <c r="AA638" s="27" t="s">
        <v>8</v>
      </c>
      <c r="AD638" s="27" t="s">
        <v>7</v>
      </c>
      <c r="AE638" s="27" t="s">
        <v>8</v>
      </c>
      <c r="AF638" s="27" t="s">
        <v>7</v>
      </c>
      <c r="AG638" s="27" t="s">
        <v>8</v>
      </c>
      <c r="AH638" s="27" t="s">
        <v>7</v>
      </c>
      <c r="AI638" s="27" t="s">
        <v>8</v>
      </c>
      <c r="AJ638" s="27" t="s">
        <v>7</v>
      </c>
      <c r="CM638" s="27" t="s">
        <v>8</v>
      </c>
      <c r="CN638" s="27" t="s">
        <v>7</v>
      </c>
      <c r="CO638" s="27" t="s">
        <v>8</v>
      </c>
      <c r="CP638" s="27" t="s">
        <v>7</v>
      </c>
      <c r="CW638" s="27" t="s">
        <v>8</v>
      </c>
      <c r="DJ638" s="27" t="s">
        <v>7</v>
      </c>
      <c r="DK638" s="27" t="s">
        <v>8</v>
      </c>
      <c r="DL638" s="27" t="s">
        <v>7</v>
      </c>
      <c r="DM638" s="27" t="s">
        <v>8</v>
      </c>
      <c r="DN638" s="27" t="s">
        <v>7</v>
      </c>
      <c r="DO638" s="27" t="s">
        <v>8</v>
      </c>
      <c r="DP638" s="27" t="s">
        <v>7</v>
      </c>
      <c r="DQ638" s="27" t="s">
        <v>8</v>
      </c>
      <c r="DR638" s="27" t="s">
        <v>7</v>
      </c>
      <c r="DS638" s="27" t="s">
        <v>8</v>
      </c>
      <c r="DT638" s="27" t="s">
        <v>7</v>
      </c>
      <c r="EA638" s="27" t="s">
        <v>8</v>
      </c>
      <c r="EB638" s="27" t="s">
        <v>7</v>
      </c>
      <c r="FC638" s="27" t="s">
        <v>8</v>
      </c>
      <c r="FD638" s="27" t="s">
        <v>7</v>
      </c>
      <c r="FI638" s="27" t="s">
        <v>8</v>
      </c>
      <c r="FJ638" s="27" t="s">
        <v>7</v>
      </c>
      <c r="FO638" s="27" t="s">
        <v>8</v>
      </c>
      <c r="FP638" s="27" t="s">
        <v>7</v>
      </c>
      <c r="FY638" s="27" t="s">
        <v>8</v>
      </c>
    </row>
    <row r="639" spans="1:189" x14ac:dyDescent="0.25">
      <c r="A639" s="7">
        <v>0.35710100165990194</v>
      </c>
      <c r="B639"/>
      <c r="C639"/>
      <c r="D639"/>
      <c r="E639"/>
      <c r="F639" s="27" t="s">
        <v>7</v>
      </c>
      <c r="U639" s="27" t="s">
        <v>8</v>
      </c>
      <c r="V639" s="27" t="s">
        <v>7</v>
      </c>
      <c r="W639" s="27" t="s">
        <v>8</v>
      </c>
      <c r="X639" s="27" t="s">
        <v>7</v>
      </c>
      <c r="AA639" s="27" t="s">
        <v>8</v>
      </c>
      <c r="AD639" s="27" t="s">
        <v>7</v>
      </c>
      <c r="AE639" s="27" t="s">
        <v>8</v>
      </c>
      <c r="AF639" s="27" t="s">
        <v>7</v>
      </c>
      <c r="AG639" s="27" t="s">
        <v>8</v>
      </c>
      <c r="AH639" s="27" t="s">
        <v>7</v>
      </c>
      <c r="AJ639" s="27" t="s">
        <v>7</v>
      </c>
      <c r="CM639" s="27" t="s">
        <v>8</v>
      </c>
      <c r="CN639" s="27" t="s">
        <v>7</v>
      </c>
      <c r="CO639" s="27" t="s">
        <v>8</v>
      </c>
      <c r="CP639" s="27" t="s">
        <v>7</v>
      </c>
      <c r="CQ639" s="27" t="s">
        <v>8</v>
      </c>
      <c r="CW639" s="27" t="s">
        <v>8</v>
      </c>
      <c r="DJ639" s="27" t="s">
        <v>7</v>
      </c>
      <c r="DK639" s="27" t="s">
        <v>8</v>
      </c>
      <c r="DL639" s="27" t="s">
        <v>7</v>
      </c>
      <c r="DM639" s="27" t="s">
        <v>8</v>
      </c>
      <c r="DN639" s="27" t="s">
        <v>7</v>
      </c>
      <c r="DO639" s="27" t="s">
        <v>8</v>
      </c>
      <c r="DP639" s="27" t="s">
        <v>7</v>
      </c>
      <c r="DR639" s="27" t="s">
        <v>7</v>
      </c>
      <c r="DS639" s="27" t="s">
        <v>8</v>
      </c>
      <c r="DT639" s="27" t="s">
        <v>7</v>
      </c>
      <c r="EA639" s="27" t="s">
        <v>8</v>
      </c>
      <c r="EB639" s="27" t="s">
        <v>7</v>
      </c>
      <c r="EI639" s="27" t="s">
        <v>8</v>
      </c>
      <c r="FC639" s="27" t="s">
        <v>8</v>
      </c>
      <c r="FD639" s="27" t="s">
        <v>7</v>
      </c>
      <c r="FI639" s="27" t="s">
        <v>8</v>
      </c>
      <c r="FJ639" s="27" t="s">
        <v>7</v>
      </c>
      <c r="FO639" s="27" t="s">
        <v>8</v>
      </c>
      <c r="FP639" s="27" t="s">
        <v>7</v>
      </c>
      <c r="FU639" s="27" t="s">
        <v>8</v>
      </c>
      <c r="FW639" s="27" t="s">
        <v>8</v>
      </c>
      <c r="FY639" s="27" t="s">
        <v>8</v>
      </c>
    </row>
    <row r="640" spans="1:189" x14ac:dyDescent="0.25">
      <c r="A640" s="7">
        <v>0.35009902123519804</v>
      </c>
      <c r="B640"/>
      <c r="C640"/>
      <c r="D640"/>
      <c r="E640"/>
      <c r="F640" s="27" t="s">
        <v>7</v>
      </c>
      <c r="U640" s="27" t="s">
        <v>8</v>
      </c>
      <c r="V640" s="27" t="s">
        <v>7</v>
      </c>
      <c r="W640" s="27" t="s">
        <v>8</v>
      </c>
      <c r="X640" s="27" t="s">
        <v>7</v>
      </c>
      <c r="Y640" s="27" t="s">
        <v>8</v>
      </c>
      <c r="AA640" s="27" t="s">
        <v>8</v>
      </c>
      <c r="AD640" s="27" t="s">
        <v>7</v>
      </c>
      <c r="AE640" s="27" t="s">
        <v>8</v>
      </c>
      <c r="AF640" s="27" t="s">
        <v>7</v>
      </c>
      <c r="AG640" s="27" t="s">
        <v>8</v>
      </c>
      <c r="AJ640" s="27" t="s">
        <v>7</v>
      </c>
      <c r="CM640" s="27" t="s">
        <v>8</v>
      </c>
      <c r="CN640" s="27" t="s">
        <v>7</v>
      </c>
      <c r="CO640" s="27" t="s">
        <v>8</v>
      </c>
      <c r="CP640" s="27" t="s">
        <v>7</v>
      </c>
      <c r="CQ640" s="27" t="s">
        <v>8</v>
      </c>
      <c r="CR640" s="27" t="s">
        <v>7</v>
      </c>
      <c r="CW640" s="27" t="s">
        <v>8</v>
      </c>
      <c r="DJ640" s="27" t="s">
        <v>7</v>
      </c>
      <c r="DK640" s="27" t="s">
        <v>8</v>
      </c>
      <c r="DL640" s="27" t="s">
        <v>7</v>
      </c>
      <c r="DM640" s="27" t="s">
        <v>8</v>
      </c>
      <c r="DN640" s="27" t="s">
        <v>7</v>
      </c>
      <c r="DO640" s="27" t="s">
        <v>8</v>
      </c>
      <c r="DR640" s="27" t="s">
        <v>7</v>
      </c>
      <c r="DS640" s="27" t="s">
        <v>8</v>
      </c>
      <c r="DT640" s="27" t="s">
        <v>7</v>
      </c>
      <c r="DY640" s="27" t="s">
        <v>8</v>
      </c>
      <c r="EA640" s="27" t="s">
        <v>8</v>
      </c>
      <c r="EB640" s="27" t="s">
        <v>7</v>
      </c>
      <c r="EI640" s="27" t="s">
        <v>8</v>
      </c>
      <c r="EJ640" s="27" t="s">
        <v>7</v>
      </c>
      <c r="FC640" s="27" t="s">
        <v>8</v>
      </c>
      <c r="FD640" s="27" t="s">
        <v>7</v>
      </c>
      <c r="FI640" s="27" t="s">
        <v>8</v>
      </c>
      <c r="FJ640" s="27" t="s">
        <v>7</v>
      </c>
      <c r="FO640" s="27" t="s">
        <v>8</v>
      </c>
      <c r="FP640" s="27" t="s">
        <v>7</v>
      </c>
      <c r="FQ640" s="27" t="s">
        <v>8</v>
      </c>
      <c r="FU640" s="27" t="s">
        <v>8</v>
      </c>
      <c r="FV640" s="27" t="s">
        <v>7</v>
      </c>
      <c r="FW640" s="27" t="s">
        <v>8</v>
      </c>
      <c r="FX640" s="27" t="s">
        <v>7</v>
      </c>
      <c r="FY640" s="27" t="s">
        <v>8</v>
      </c>
    </row>
    <row r="641" spans="1:181" x14ac:dyDescent="0.25">
      <c r="A641" s="7">
        <v>0.34323433454431179</v>
      </c>
      <c r="B641"/>
      <c r="C641"/>
      <c r="D641"/>
      <c r="E641"/>
      <c r="F641" s="27" t="s">
        <v>7</v>
      </c>
      <c r="U641" s="27" t="s">
        <v>8</v>
      </c>
      <c r="V641" s="27" t="s">
        <v>7</v>
      </c>
      <c r="X641" s="27" t="s">
        <v>7</v>
      </c>
      <c r="Y641" s="27" t="s">
        <v>8</v>
      </c>
      <c r="Z641" s="27" t="s">
        <v>7</v>
      </c>
      <c r="AA641" s="27" t="s">
        <v>8</v>
      </c>
      <c r="AD641" s="27" t="s">
        <v>7</v>
      </c>
      <c r="AF641" s="27" t="s">
        <v>7</v>
      </c>
      <c r="AG641" s="27" t="s">
        <v>8</v>
      </c>
      <c r="AJ641" s="27" t="s">
        <v>7</v>
      </c>
      <c r="CM641" s="27" t="s">
        <v>8</v>
      </c>
      <c r="CN641" s="27" t="s">
        <v>7</v>
      </c>
      <c r="CO641" s="27" t="s">
        <v>8</v>
      </c>
      <c r="CP641" s="27" t="s">
        <v>7</v>
      </c>
      <c r="CQ641" s="27" t="s">
        <v>8</v>
      </c>
      <c r="CR641" s="27" t="s">
        <v>7</v>
      </c>
      <c r="CU641" s="27" t="s">
        <v>8</v>
      </c>
      <c r="CW641" s="27" t="s">
        <v>8</v>
      </c>
      <c r="DJ641" s="27" t="s">
        <v>7</v>
      </c>
      <c r="DK641" s="27" t="s">
        <v>8</v>
      </c>
      <c r="DL641" s="27" t="s">
        <v>7</v>
      </c>
      <c r="DM641" s="27" t="s">
        <v>8</v>
      </c>
      <c r="DN641" s="27" t="s">
        <v>7</v>
      </c>
      <c r="DR641" s="27" t="s">
        <v>7</v>
      </c>
      <c r="DT641" s="27" t="s">
        <v>7</v>
      </c>
      <c r="DY641" s="27" t="s">
        <v>8</v>
      </c>
      <c r="DZ641" s="27" t="s">
        <v>7</v>
      </c>
      <c r="EA641" s="27" t="s">
        <v>8</v>
      </c>
      <c r="EB641" s="27" t="s">
        <v>7</v>
      </c>
      <c r="EI641" s="27" t="s">
        <v>8</v>
      </c>
      <c r="EJ641" s="27" t="s">
        <v>7</v>
      </c>
      <c r="FC641" s="27" t="s">
        <v>8</v>
      </c>
      <c r="FD641" s="27" t="s">
        <v>7</v>
      </c>
      <c r="FG641" s="27" t="s">
        <v>8</v>
      </c>
      <c r="FI641" s="27" t="s">
        <v>8</v>
      </c>
      <c r="FJ641" s="27" t="s">
        <v>7</v>
      </c>
      <c r="FK641" s="27" t="s">
        <v>8</v>
      </c>
      <c r="FO641" s="27" t="s">
        <v>8</v>
      </c>
      <c r="FP641" s="27" t="s">
        <v>7</v>
      </c>
      <c r="FQ641" s="27" t="s">
        <v>8</v>
      </c>
      <c r="FR641" s="27" t="s">
        <v>7</v>
      </c>
      <c r="FU641" s="27" t="s">
        <v>8</v>
      </c>
      <c r="FV641" s="27" t="s">
        <v>7</v>
      </c>
      <c r="FW641" s="27" t="s">
        <v>8</v>
      </c>
      <c r="FX641" s="27" t="s">
        <v>7</v>
      </c>
      <c r="FY641" s="27" t="s">
        <v>8</v>
      </c>
    </row>
    <row r="642" spans="1:181" x14ac:dyDescent="0.25">
      <c r="A642" s="7">
        <v>0.33650424955324681</v>
      </c>
      <c r="B642"/>
      <c r="C642"/>
      <c r="D642"/>
      <c r="E642"/>
      <c r="F642" s="27" t="s">
        <v>7</v>
      </c>
      <c r="U642" s="27" t="s">
        <v>8</v>
      </c>
      <c r="X642" s="27" t="s">
        <v>7</v>
      </c>
      <c r="Y642" s="27" t="s">
        <v>8</v>
      </c>
      <c r="Z642" s="27" t="s">
        <v>7</v>
      </c>
      <c r="AA642" s="27" t="s">
        <v>8</v>
      </c>
      <c r="AF642" s="27" t="s">
        <v>7</v>
      </c>
      <c r="AG642" s="27" t="s">
        <v>8</v>
      </c>
      <c r="AJ642" s="27" t="s">
        <v>7</v>
      </c>
      <c r="CM642" s="27" t="s">
        <v>8</v>
      </c>
      <c r="CN642" s="27" t="s">
        <v>7</v>
      </c>
      <c r="CP642" s="27" t="s">
        <v>7</v>
      </c>
      <c r="CR642" s="27" t="s">
        <v>7</v>
      </c>
      <c r="CS642" s="27" t="s">
        <v>8</v>
      </c>
      <c r="CU642" s="27" t="s">
        <v>8</v>
      </c>
      <c r="CV642" s="27" t="s">
        <v>7</v>
      </c>
      <c r="CW642" s="27" t="s">
        <v>8</v>
      </c>
      <c r="DJ642" s="27" t="s">
        <v>7</v>
      </c>
      <c r="DL642" s="27" t="s">
        <v>7</v>
      </c>
      <c r="DM642" s="27" t="s">
        <v>8</v>
      </c>
      <c r="DT642" s="27" t="s">
        <v>7</v>
      </c>
      <c r="DW642" s="27" t="s">
        <v>8</v>
      </c>
      <c r="DY642" s="27" t="s">
        <v>8</v>
      </c>
      <c r="DZ642" s="27" t="s">
        <v>7</v>
      </c>
      <c r="EA642" s="27" t="s">
        <v>8</v>
      </c>
      <c r="EB642" s="27" t="s">
        <v>7</v>
      </c>
      <c r="EG642" s="27" t="s">
        <v>8</v>
      </c>
      <c r="EI642" s="27" t="s">
        <v>8</v>
      </c>
      <c r="EJ642" s="27" t="s">
        <v>7</v>
      </c>
      <c r="FC642" s="27" t="s">
        <v>8</v>
      </c>
      <c r="FD642" s="27" t="s">
        <v>7</v>
      </c>
      <c r="FG642" s="27" t="s">
        <v>8</v>
      </c>
      <c r="FH642" s="27" t="s">
        <v>7</v>
      </c>
      <c r="FI642" s="27" t="s">
        <v>8</v>
      </c>
      <c r="FJ642" s="27" t="s">
        <v>7</v>
      </c>
      <c r="FK642" s="27" t="s">
        <v>8</v>
      </c>
      <c r="FL642" s="27" t="s">
        <v>7</v>
      </c>
      <c r="FO642" s="27" t="s">
        <v>8</v>
      </c>
      <c r="FP642" s="27" t="s">
        <v>7</v>
      </c>
      <c r="FQ642" s="27" t="s">
        <v>8</v>
      </c>
      <c r="FR642" s="27" t="s">
        <v>7</v>
      </c>
      <c r="FU642" s="27" t="s">
        <v>8</v>
      </c>
      <c r="FV642" s="27" t="s">
        <v>7</v>
      </c>
      <c r="FW642" s="27" t="s">
        <v>8</v>
      </c>
      <c r="FX642" s="27" t="s">
        <v>7</v>
      </c>
      <c r="FY642" s="27" t="s">
        <v>8</v>
      </c>
    </row>
    <row r="643" spans="1:181" x14ac:dyDescent="0.25">
      <c r="A643" s="7">
        <v>0.3299061270129871</v>
      </c>
      <c r="B643"/>
      <c r="C643"/>
      <c r="D643"/>
      <c r="E643"/>
      <c r="F643" s="27" t="s">
        <v>7</v>
      </c>
      <c r="U643" s="27" t="s">
        <v>8</v>
      </c>
      <c r="X643" s="27" t="s">
        <v>7</v>
      </c>
      <c r="Y643" s="27" t="s">
        <v>8</v>
      </c>
      <c r="Z643" s="27" t="s">
        <v>7</v>
      </c>
      <c r="AA643" s="27" t="s">
        <v>8</v>
      </c>
      <c r="AF643" s="27" t="s">
        <v>7</v>
      </c>
      <c r="AG643" s="27" t="s">
        <v>8</v>
      </c>
      <c r="AJ643" s="27" t="s">
        <v>7</v>
      </c>
      <c r="CM643" s="27" t="s">
        <v>8</v>
      </c>
      <c r="CR643" s="27" t="s">
        <v>7</v>
      </c>
      <c r="CS643" s="27" t="s">
        <v>8</v>
      </c>
      <c r="CT643" s="27" t="s">
        <v>7</v>
      </c>
      <c r="CU643" s="27" t="s">
        <v>8</v>
      </c>
      <c r="CV643" s="27" t="s">
        <v>7</v>
      </c>
      <c r="CW643" s="27" t="s">
        <v>8</v>
      </c>
      <c r="DL643" s="27" t="s">
        <v>7</v>
      </c>
      <c r="DM643" s="27" t="s">
        <v>8</v>
      </c>
      <c r="DT643" s="27" t="s">
        <v>7</v>
      </c>
      <c r="DW643" s="27" t="s">
        <v>8</v>
      </c>
      <c r="DX643" s="27" t="s">
        <v>7</v>
      </c>
      <c r="DY643" s="27" t="s">
        <v>8</v>
      </c>
      <c r="DZ643" s="27" t="s">
        <v>7</v>
      </c>
      <c r="EA643" s="27" t="s">
        <v>8</v>
      </c>
      <c r="EB643" s="27" t="s">
        <v>7</v>
      </c>
      <c r="EG643" s="27" t="s">
        <v>8</v>
      </c>
      <c r="EH643" s="27" t="s">
        <v>7</v>
      </c>
      <c r="EI643" s="27" t="s">
        <v>8</v>
      </c>
      <c r="EJ643" s="27" t="s">
        <v>7</v>
      </c>
      <c r="FC643" s="27" t="s">
        <v>8</v>
      </c>
      <c r="FD643" s="27" t="s">
        <v>7</v>
      </c>
      <c r="FG643" s="27" t="s">
        <v>8</v>
      </c>
      <c r="FH643" s="27" t="s">
        <v>7</v>
      </c>
      <c r="FI643" s="27" t="s">
        <v>8</v>
      </c>
      <c r="FJ643" s="27" t="s">
        <v>7</v>
      </c>
      <c r="FK643" s="27" t="s">
        <v>8</v>
      </c>
      <c r="FL643" s="27" t="s">
        <v>7</v>
      </c>
      <c r="FO643" s="27" t="s">
        <v>8</v>
      </c>
      <c r="FP643" s="27" t="s">
        <v>7</v>
      </c>
      <c r="FQ643" s="27" t="s">
        <v>8</v>
      </c>
      <c r="FR643" s="27" t="s">
        <v>7</v>
      </c>
      <c r="FU643" s="27" t="s">
        <v>8</v>
      </c>
      <c r="FV643" s="27" t="s">
        <v>7</v>
      </c>
      <c r="FW643" s="27" t="s">
        <v>8</v>
      </c>
      <c r="FX643" s="27" t="s">
        <v>7</v>
      </c>
      <c r="FY643" s="27" t="s">
        <v>8</v>
      </c>
    </row>
    <row r="644" spans="1:181" x14ac:dyDescent="0.25">
      <c r="A644" s="7">
        <v>0.32343737942449713</v>
      </c>
      <c r="B644"/>
      <c r="C644"/>
      <c r="D644"/>
      <c r="E644"/>
      <c r="F644" s="27" t="s">
        <v>7</v>
      </c>
      <c r="U644" s="27" t="s">
        <v>8</v>
      </c>
      <c r="X644" s="27" t="s">
        <v>7</v>
      </c>
      <c r="Y644" s="27" t="s">
        <v>8</v>
      </c>
      <c r="Z644" s="27" t="s">
        <v>7</v>
      </c>
      <c r="AA644" s="27" t="s">
        <v>8</v>
      </c>
      <c r="AF644" s="27" t="s">
        <v>7</v>
      </c>
      <c r="AG644" s="27" t="s">
        <v>8</v>
      </c>
      <c r="AJ644" s="27" t="s">
        <v>7</v>
      </c>
      <c r="CM644" s="27" t="s">
        <v>8</v>
      </c>
      <c r="CR644" s="27" t="s">
        <v>7</v>
      </c>
      <c r="CS644" s="27" t="s">
        <v>8</v>
      </c>
      <c r="CT644" s="27" t="s">
        <v>7</v>
      </c>
      <c r="CU644" s="27" t="s">
        <v>8</v>
      </c>
      <c r="CV644" s="27" t="s">
        <v>7</v>
      </c>
      <c r="CW644" s="27" t="s">
        <v>8</v>
      </c>
      <c r="DL644" s="27" t="s">
        <v>7</v>
      </c>
      <c r="DT644" s="27" t="s">
        <v>7</v>
      </c>
      <c r="DW644" s="27" t="s">
        <v>8</v>
      </c>
      <c r="DX644" s="27" t="s">
        <v>7</v>
      </c>
      <c r="DY644" s="27" t="s">
        <v>8</v>
      </c>
      <c r="DZ644" s="27" t="s">
        <v>7</v>
      </c>
      <c r="EB644" s="27" t="s">
        <v>7</v>
      </c>
      <c r="EC644" s="27" t="s">
        <v>8</v>
      </c>
      <c r="EG644" s="27" t="s">
        <v>8</v>
      </c>
      <c r="EH644" s="27" t="s">
        <v>7</v>
      </c>
      <c r="EI644" s="27" t="s">
        <v>8</v>
      </c>
      <c r="EJ644" s="27" t="s">
        <v>7</v>
      </c>
      <c r="EM644" s="27" t="s">
        <v>8</v>
      </c>
      <c r="FA644" s="27" t="s">
        <v>8</v>
      </c>
      <c r="FC644" s="27" t="s">
        <v>8</v>
      </c>
      <c r="FD644" s="27" t="s">
        <v>7</v>
      </c>
      <c r="FE644" s="27" t="s">
        <v>8</v>
      </c>
      <c r="FG644" s="27" t="s">
        <v>8</v>
      </c>
      <c r="FH644" s="27" t="s">
        <v>7</v>
      </c>
      <c r="FI644" s="27" t="s">
        <v>8</v>
      </c>
      <c r="FJ644" s="27" t="s">
        <v>7</v>
      </c>
      <c r="FK644" s="27" t="s">
        <v>8</v>
      </c>
      <c r="FL644" s="27" t="s">
        <v>7</v>
      </c>
      <c r="FO644" s="27" t="s">
        <v>8</v>
      </c>
      <c r="FP644" s="27" t="s">
        <v>7</v>
      </c>
      <c r="FQ644" s="27" t="s">
        <v>8</v>
      </c>
      <c r="FR644" s="27" t="s">
        <v>7</v>
      </c>
      <c r="FS644" s="27" t="s">
        <v>8</v>
      </c>
      <c r="FU644" s="27" t="s">
        <v>8</v>
      </c>
      <c r="FV644" s="27" t="s">
        <v>7</v>
      </c>
      <c r="FX644" s="27" t="s">
        <v>7</v>
      </c>
      <c r="FY644" s="27" t="s">
        <v>8</v>
      </c>
    </row>
    <row r="645" spans="1:181" x14ac:dyDescent="0.25">
      <c r="A645" s="7">
        <v>0.31709547002401678</v>
      </c>
      <c r="B645"/>
      <c r="C645"/>
      <c r="D645"/>
      <c r="E645"/>
      <c r="F645" s="27" t="s">
        <v>7</v>
      </c>
      <c r="S645" s="27" t="s">
        <v>8</v>
      </c>
      <c r="U645" s="27" t="s">
        <v>8</v>
      </c>
      <c r="X645" s="27" t="s">
        <v>7</v>
      </c>
      <c r="Y645" s="27" t="s">
        <v>8</v>
      </c>
      <c r="Z645" s="27" t="s">
        <v>7</v>
      </c>
      <c r="AA645" s="27" t="s">
        <v>8</v>
      </c>
      <c r="AF645" s="27" t="s">
        <v>7</v>
      </c>
      <c r="AG645" s="27" t="s">
        <v>8</v>
      </c>
      <c r="AJ645" s="27" t="s">
        <v>7</v>
      </c>
      <c r="CM645" s="27" t="s">
        <v>8</v>
      </c>
      <c r="CR645" s="27" t="s">
        <v>7</v>
      </c>
      <c r="CS645" s="27" t="s">
        <v>8</v>
      </c>
      <c r="CT645" s="27" t="s">
        <v>7</v>
      </c>
      <c r="CU645" s="27" t="s">
        <v>8</v>
      </c>
      <c r="CV645" s="27" t="s">
        <v>7</v>
      </c>
      <c r="CW645" s="27" t="s">
        <v>8</v>
      </c>
      <c r="DT645" s="27" t="s">
        <v>7</v>
      </c>
      <c r="DW645" s="27" t="s">
        <v>8</v>
      </c>
      <c r="DX645" s="27" t="s">
        <v>7</v>
      </c>
      <c r="DY645" s="27" t="s">
        <v>8</v>
      </c>
      <c r="EB645" s="27" t="s">
        <v>7</v>
      </c>
      <c r="EC645" s="27" t="s">
        <v>8</v>
      </c>
      <c r="ED645" s="27" t="s">
        <v>7</v>
      </c>
      <c r="EG645" s="27" t="s">
        <v>8</v>
      </c>
      <c r="EH645" s="27" t="s">
        <v>7</v>
      </c>
      <c r="EJ645" s="27" t="s">
        <v>7</v>
      </c>
      <c r="EK645" s="27" t="s">
        <v>8</v>
      </c>
      <c r="EM645" s="27" t="s">
        <v>8</v>
      </c>
      <c r="EN645" s="27" t="s">
        <v>7</v>
      </c>
      <c r="FA645" s="27" t="s">
        <v>8</v>
      </c>
      <c r="FB645" s="27" t="s">
        <v>7</v>
      </c>
      <c r="FC645" s="27" t="s">
        <v>8</v>
      </c>
      <c r="FD645" s="27" t="s">
        <v>7</v>
      </c>
      <c r="FE645" s="27" t="s">
        <v>8</v>
      </c>
      <c r="FF645" s="27" t="s">
        <v>7</v>
      </c>
      <c r="FG645" s="27" t="s">
        <v>8</v>
      </c>
      <c r="FH645" s="27" t="s">
        <v>7</v>
      </c>
      <c r="FI645" s="27" t="s">
        <v>8</v>
      </c>
      <c r="FJ645" s="27" t="s">
        <v>7</v>
      </c>
      <c r="FL645" s="27" t="s">
        <v>7</v>
      </c>
      <c r="FO645" s="27" t="s">
        <v>8</v>
      </c>
      <c r="FP645" s="27" t="s">
        <v>7</v>
      </c>
      <c r="FR645" s="27" t="s">
        <v>7</v>
      </c>
      <c r="FS645" s="27" t="s">
        <v>8</v>
      </c>
      <c r="FT645" s="27" t="s">
        <v>7</v>
      </c>
      <c r="FU645" s="27" t="s">
        <v>8</v>
      </c>
      <c r="FX645" s="27" t="s">
        <v>7</v>
      </c>
    </row>
    <row r="646" spans="1:181" x14ac:dyDescent="0.25">
      <c r="A646" s="7">
        <v>0.31087791178825175</v>
      </c>
      <c r="B646"/>
      <c r="C646"/>
      <c r="D646"/>
      <c r="E646"/>
      <c r="F646" s="27" t="s">
        <v>7</v>
      </c>
      <c r="S646" s="27" t="s">
        <v>8</v>
      </c>
      <c r="T646" s="27" t="s">
        <v>7</v>
      </c>
      <c r="U646" s="27" t="s">
        <v>8</v>
      </c>
      <c r="X646" s="27" t="s">
        <v>7</v>
      </c>
      <c r="Y646" s="27" t="s">
        <v>8</v>
      </c>
      <c r="Z646" s="27" t="s">
        <v>7</v>
      </c>
      <c r="AF646" s="27" t="s">
        <v>7</v>
      </c>
      <c r="AJ646" s="27" t="s">
        <v>7</v>
      </c>
      <c r="CM646" s="27" t="s">
        <v>8</v>
      </c>
      <c r="CR646" s="27" t="s">
        <v>7</v>
      </c>
      <c r="CT646" s="27" t="s">
        <v>7</v>
      </c>
      <c r="CU646" s="27" t="s">
        <v>8</v>
      </c>
      <c r="CV646" s="27" t="s">
        <v>7</v>
      </c>
      <c r="CW646" s="27" t="s">
        <v>8</v>
      </c>
      <c r="DT646" s="27" t="s">
        <v>7</v>
      </c>
      <c r="DU646" s="27" t="s">
        <v>8</v>
      </c>
      <c r="DW646" s="27" t="s">
        <v>8</v>
      </c>
      <c r="DX646" s="27" t="s">
        <v>7</v>
      </c>
      <c r="DY646" s="27" t="s">
        <v>8</v>
      </c>
      <c r="EB646" s="27" t="s">
        <v>7</v>
      </c>
      <c r="EC646" s="27" t="s">
        <v>8</v>
      </c>
      <c r="ED646" s="27" t="s">
        <v>7</v>
      </c>
      <c r="EE646" s="27" t="s">
        <v>8</v>
      </c>
      <c r="EG646" s="27" t="s">
        <v>8</v>
      </c>
      <c r="EJ646" s="27" t="s">
        <v>7</v>
      </c>
      <c r="EK646" s="27" t="s">
        <v>8</v>
      </c>
      <c r="EL646" s="27" t="s">
        <v>7</v>
      </c>
      <c r="EM646" s="27" t="s">
        <v>8</v>
      </c>
      <c r="EN646" s="27" t="s">
        <v>7</v>
      </c>
      <c r="FA646" s="27" t="s">
        <v>8</v>
      </c>
      <c r="FB646" s="27" t="s">
        <v>7</v>
      </c>
      <c r="FC646" s="27" t="s">
        <v>8</v>
      </c>
      <c r="FD646" s="27" t="s">
        <v>7</v>
      </c>
      <c r="FE646" s="27" t="s">
        <v>8</v>
      </c>
      <c r="FF646" s="27" t="s">
        <v>7</v>
      </c>
      <c r="FG646" s="27" t="s">
        <v>8</v>
      </c>
      <c r="FH646" s="27" t="s">
        <v>7</v>
      </c>
      <c r="FI646" s="27" t="s">
        <v>8</v>
      </c>
      <c r="FL646" s="27" t="s">
        <v>7</v>
      </c>
      <c r="FO646" s="27" t="s">
        <v>8</v>
      </c>
      <c r="FR646" s="27" t="s">
        <v>7</v>
      </c>
      <c r="FS646" s="27" t="s">
        <v>8</v>
      </c>
      <c r="FT646" s="27" t="s">
        <v>7</v>
      </c>
      <c r="FU646" s="27" t="s">
        <v>8</v>
      </c>
    </row>
    <row r="647" spans="1:181" x14ac:dyDescent="0.25">
      <c r="A647" s="7">
        <v>0.30478226645907036</v>
      </c>
      <c r="B647"/>
      <c r="C647"/>
      <c r="D647"/>
      <c r="E647"/>
      <c r="F647" s="27" t="s">
        <v>7</v>
      </c>
      <c r="S647" s="27" t="s">
        <v>8</v>
      </c>
      <c r="T647" s="27" t="s">
        <v>7</v>
      </c>
      <c r="U647" s="27" t="s">
        <v>8</v>
      </c>
      <c r="X647" s="27" t="s">
        <v>7</v>
      </c>
      <c r="Y647" s="27" t="s">
        <v>8</v>
      </c>
      <c r="AJ647" s="27" t="s">
        <v>7</v>
      </c>
      <c r="CM647" s="27" t="s">
        <v>8</v>
      </c>
      <c r="CT647" s="27" t="s">
        <v>7</v>
      </c>
      <c r="CU647" s="27" t="s">
        <v>8</v>
      </c>
      <c r="CV647" s="27" t="s">
        <v>7</v>
      </c>
      <c r="CW647" s="27" t="s">
        <v>8</v>
      </c>
      <c r="DT647" s="27" t="s">
        <v>7</v>
      </c>
      <c r="DU647" s="27" t="s">
        <v>8</v>
      </c>
      <c r="DV647" s="27" t="s">
        <v>7</v>
      </c>
      <c r="DW647" s="27" t="s">
        <v>8</v>
      </c>
      <c r="DX647" s="27" t="s">
        <v>7</v>
      </c>
      <c r="EB647" s="27" t="s">
        <v>7</v>
      </c>
      <c r="EC647" s="27" t="s">
        <v>8</v>
      </c>
      <c r="ED647" s="27" t="s">
        <v>7</v>
      </c>
      <c r="EE647" s="27" t="s">
        <v>8</v>
      </c>
      <c r="EF647" s="27" t="s">
        <v>7</v>
      </c>
      <c r="EG647" s="27" t="s">
        <v>8</v>
      </c>
      <c r="EJ647" s="27" t="s">
        <v>7</v>
      </c>
      <c r="EK647" s="27" t="s">
        <v>8</v>
      </c>
      <c r="EL647" s="27" t="s">
        <v>7</v>
      </c>
      <c r="EM647" s="27" t="s">
        <v>8</v>
      </c>
      <c r="EN647" s="27" t="s">
        <v>7</v>
      </c>
      <c r="FA647" s="27" t="s">
        <v>8</v>
      </c>
      <c r="FB647" s="27" t="s">
        <v>7</v>
      </c>
      <c r="FC647" s="27" t="s">
        <v>8</v>
      </c>
      <c r="FD647" s="27" t="s">
        <v>7</v>
      </c>
      <c r="FE647" s="27" t="s">
        <v>8</v>
      </c>
      <c r="FF647" s="27" t="s">
        <v>7</v>
      </c>
      <c r="FH647" s="27" t="s">
        <v>7</v>
      </c>
      <c r="FI647" s="27" t="s">
        <v>8</v>
      </c>
      <c r="FL647" s="27" t="s">
        <v>7</v>
      </c>
      <c r="FM647" s="27" t="s">
        <v>8</v>
      </c>
      <c r="FO647" s="27" t="s">
        <v>8</v>
      </c>
      <c r="FR647" s="27" t="s">
        <v>7</v>
      </c>
      <c r="FS647" s="27" t="s">
        <v>8</v>
      </c>
      <c r="FT647" s="27" t="s">
        <v>7</v>
      </c>
    </row>
    <row r="648" spans="1:181" x14ac:dyDescent="0.25">
      <c r="A648" s="7">
        <v>0.29880614358732388</v>
      </c>
      <c r="B648"/>
      <c r="C648"/>
      <c r="D648"/>
      <c r="E648"/>
      <c r="F648" s="27" t="s">
        <v>7</v>
      </c>
      <c r="S648" s="27" t="s">
        <v>8</v>
      </c>
      <c r="T648" s="27" t="s">
        <v>7</v>
      </c>
      <c r="U648" s="27" t="s">
        <v>8</v>
      </c>
      <c r="X648" s="27" t="s">
        <v>7</v>
      </c>
      <c r="Y648" s="27" t="s">
        <v>8</v>
      </c>
      <c r="AJ648" s="27" t="s">
        <v>7</v>
      </c>
      <c r="CM648" s="27" t="s">
        <v>8</v>
      </c>
      <c r="CT648" s="27" t="s">
        <v>7</v>
      </c>
      <c r="CU648" s="27" t="s">
        <v>8</v>
      </c>
      <c r="CV648" s="27" t="s">
        <v>7</v>
      </c>
      <c r="CW648" s="27" t="s">
        <v>8</v>
      </c>
      <c r="DT648" s="27" t="s">
        <v>7</v>
      </c>
      <c r="DU648" s="27" t="s">
        <v>8</v>
      </c>
      <c r="DV648" s="27" t="s">
        <v>7</v>
      </c>
      <c r="DW648" s="27" t="s">
        <v>8</v>
      </c>
      <c r="EB648" s="27" t="s">
        <v>7</v>
      </c>
      <c r="EC648" s="27" t="s">
        <v>8</v>
      </c>
      <c r="ED648" s="27" t="s">
        <v>7</v>
      </c>
      <c r="EE648" s="27" t="s">
        <v>8</v>
      </c>
      <c r="EF648" s="27" t="s">
        <v>7</v>
      </c>
      <c r="EG648" s="27" t="s">
        <v>8</v>
      </c>
      <c r="EJ648" s="27" t="s">
        <v>7</v>
      </c>
      <c r="EL648" s="27" t="s">
        <v>7</v>
      </c>
      <c r="EM648" s="27" t="s">
        <v>8</v>
      </c>
      <c r="EN648" s="27" t="s">
        <v>7</v>
      </c>
      <c r="FA648" s="27" t="s">
        <v>8</v>
      </c>
      <c r="FB648" s="27" t="s">
        <v>7</v>
      </c>
      <c r="FC648" s="27" t="s">
        <v>8</v>
      </c>
      <c r="FD648" s="27" t="s">
        <v>7</v>
      </c>
      <c r="FE648" s="27" t="s">
        <v>8</v>
      </c>
      <c r="FH648" s="27" t="s">
        <v>7</v>
      </c>
      <c r="FL648" s="27" t="s">
        <v>7</v>
      </c>
      <c r="FM648" s="27" t="s">
        <v>8</v>
      </c>
      <c r="FN648" s="27" t="s">
        <v>7</v>
      </c>
      <c r="FO648" s="27" t="s">
        <v>8</v>
      </c>
      <c r="FR648" s="27" t="s">
        <v>7</v>
      </c>
      <c r="FS648" s="27" t="s">
        <v>8</v>
      </c>
    </row>
    <row r="649" spans="1:181" x14ac:dyDescent="0.25">
      <c r="A649" s="7">
        <v>0.2929471995954156</v>
      </c>
      <c r="B649"/>
      <c r="C649"/>
      <c r="D649"/>
      <c r="E649"/>
      <c r="F649" s="27" t="s">
        <v>7</v>
      </c>
      <c r="S649" s="27" t="s">
        <v>8</v>
      </c>
      <c r="T649" s="27" t="s">
        <v>7</v>
      </c>
      <c r="X649" s="27" t="s">
        <v>7</v>
      </c>
      <c r="Y649" s="27" t="s">
        <v>8</v>
      </c>
      <c r="AJ649" s="27" t="s">
        <v>7</v>
      </c>
      <c r="AK649" s="27" t="s">
        <v>8</v>
      </c>
      <c r="CK649" s="27" t="s">
        <v>8</v>
      </c>
      <c r="CM649" s="27" t="s">
        <v>8</v>
      </c>
      <c r="CT649" s="27" t="s">
        <v>7</v>
      </c>
      <c r="CU649" s="27" t="s">
        <v>8</v>
      </c>
      <c r="CV649" s="27" t="s">
        <v>7</v>
      </c>
      <c r="CW649" s="27" t="s">
        <v>8</v>
      </c>
      <c r="DT649" s="27" t="s">
        <v>7</v>
      </c>
      <c r="DU649" s="27" t="s">
        <v>8</v>
      </c>
      <c r="DV649" s="27" t="s">
        <v>7</v>
      </c>
      <c r="DW649" s="27" t="s">
        <v>8</v>
      </c>
      <c r="EB649" s="27" t="s">
        <v>7</v>
      </c>
      <c r="ED649" s="27" t="s">
        <v>7</v>
      </c>
      <c r="EE649" s="27" t="s">
        <v>8</v>
      </c>
      <c r="EF649" s="27" t="s">
        <v>7</v>
      </c>
      <c r="EL649" s="27" t="s">
        <v>7</v>
      </c>
      <c r="EM649" s="27" t="s">
        <v>8</v>
      </c>
      <c r="EN649" s="27" t="s">
        <v>7</v>
      </c>
      <c r="ES649" s="27" t="s">
        <v>8</v>
      </c>
      <c r="EU649" s="27" t="s">
        <v>8</v>
      </c>
      <c r="FA649" s="27" t="s">
        <v>8</v>
      </c>
      <c r="FB649" s="27" t="s">
        <v>7</v>
      </c>
      <c r="FC649" s="27" t="s">
        <v>8</v>
      </c>
      <c r="FD649" s="27" t="s">
        <v>7</v>
      </c>
      <c r="FE649" s="27" t="s">
        <v>8</v>
      </c>
      <c r="FL649" s="27" t="s">
        <v>7</v>
      </c>
      <c r="FM649" s="27" t="s">
        <v>8</v>
      </c>
      <c r="FN649" s="27" t="s">
        <v>7</v>
      </c>
      <c r="FO649" s="27" t="s">
        <v>8</v>
      </c>
      <c r="FR649" s="27" t="s">
        <v>7</v>
      </c>
      <c r="FS649" s="27" t="s">
        <v>8</v>
      </c>
    </row>
    <row r="650" spans="1:181" x14ac:dyDescent="0.25">
      <c r="A650" s="7">
        <v>0.28720313685825055</v>
      </c>
      <c r="B650"/>
      <c r="C650"/>
      <c r="D650"/>
      <c r="E650"/>
      <c r="F650" s="27" t="s">
        <v>7</v>
      </c>
      <c r="Q650" s="27" t="s">
        <v>8</v>
      </c>
      <c r="S650" s="27" t="s">
        <v>8</v>
      </c>
      <c r="X650" s="27" t="s">
        <v>7</v>
      </c>
      <c r="AJ650" s="27" t="s">
        <v>7</v>
      </c>
      <c r="AK650" s="27" t="s">
        <v>8</v>
      </c>
      <c r="AL650" s="27" t="s">
        <v>7</v>
      </c>
      <c r="CK650" s="27" t="s">
        <v>8</v>
      </c>
      <c r="CL650" s="27" t="s">
        <v>7</v>
      </c>
      <c r="CM650" s="27" t="s">
        <v>8</v>
      </c>
      <c r="CT650" s="27" t="s">
        <v>7</v>
      </c>
      <c r="CU650" s="27" t="s">
        <v>8</v>
      </c>
      <c r="CV650" s="27" t="s">
        <v>7</v>
      </c>
      <c r="CW650" s="27" t="s">
        <v>8</v>
      </c>
      <c r="DT650" s="27" t="s">
        <v>7</v>
      </c>
      <c r="DU650" s="27" t="s">
        <v>8</v>
      </c>
      <c r="DV650" s="27" t="s">
        <v>7</v>
      </c>
      <c r="DW650" s="27" t="s">
        <v>8</v>
      </c>
      <c r="ED650" s="27" t="s">
        <v>7</v>
      </c>
      <c r="EE650" s="27" t="s">
        <v>8</v>
      </c>
      <c r="EL650" s="27" t="s">
        <v>7</v>
      </c>
      <c r="EM650" s="27" t="s">
        <v>8</v>
      </c>
      <c r="EN650" s="27" t="s">
        <v>7</v>
      </c>
      <c r="ES650" s="27" t="s">
        <v>8</v>
      </c>
      <c r="ET650" s="27" t="s">
        <v>7</v>
      </c>
      <c r="EU650" s="27" t="s">
        <v>8</v>
      </c>
      <c r="EV650" s="27" t="s">
        <v>7</v>
      </c>
      <c r="FA650" s="27" t="s">
        <v>8</v>
      </c>
      <c r="FB650" s="27" t="s">
        <v>7</v>
      </c>
      <c r="FC650" s="27" t="s">
        <v>8</v>
      </c>
      <c r="FD650" s="27" t="s">
        <v>7</v>
      </c>
      <c r="FE650" s="27" t="s">
        <v>8</v>
      </c>
      <c r="FL650" s="27" t="s">
        <v>7</v>
      </c>
      <c r="FN650" s="27" t="s">
        <v>7</v>
      </c>
      <c r="FO650" s="27" t="s">
        <v>8</v>
      </c>
      <c r="FR650" s="27" t="s">
        <v>7</v>
      </c>
      <c r="FS650" s="27" t="s">
        <v>8</v>
      </c>
    </row>
    <row r="651" spans="1:181" x14ac:dyDescent="0.25">
      <c r="A651" s="7">
        <v>0.28157170280220645</v>
      </c>
      <c r="B651"/>
      <c r="C651"/>
      <c r="D651"/>
      <c r="E651"/>
      <c r="F651" s="27" t="s">
        <v>7</v>
      </c>
      <c r="Q651" s="27" t="s">
        <v>8</v>
      </c>
      <c r="R651" s="27" t="s">
        <v>7</v>
      </c>
      <c r="S651" s="27" t="s">
        <v>8</v>
      </c>
      <c r="AJ651" s="27" t="s">
        <v>7</v>
      </c>
      <c r="AK651" s="27" t="s">
        <v>8</v>
      </c>
      <c r="AL651" s="27" t="s">
        <v>7</v>
      </c>
      <c r="CK651" s="27" t="s">
        <v>8</v>
      </c>
      <c r="CL651" s="27" t="s">
        <v>7</v>
      </c>
      <c r="CM651" s="27" t="s">
        <v>8</v>
      </c>
      <c r="CT651" s="27" t="s">
        <v>7</v>
      </c>
      <c r="CU651" s="27" t="s">
        <v>8</v>
      </c>
      <c r="CV651" s="27" t="s">
        <v>7</v>
      </c>
      <c r="CW651" s="27" t="s">
        <v>8</v>
      </c>
      <c r="DT651" s="27" t="s">
        <v>7</v>
      </c>
      <c r="DU651" s="27" t="s">
        <v>8</v>
      </c>
      <c r="DV651" s="27" t="s">
        <v>7</v>
      </c>
      <c r="DW651" s="27" t="s">
        <v>8</v>
      </c>
      <c r="ED651" s="27" t="s">
        <v>7</v>
      </c>
      <c r="EL651" s="27" t="s">
        <v>7</v>
      </c>
      <c r="EN651" s="27" t="s">
        <v>7</v>
      </c>
      <c r="ES651" s="27" t="s">
        <v>8</v>
      </c>
      <c r="ET651" s="27" t="s">
        <v>7</v>
      </c>
      <c r="EU651" s="27" t="s">
        <v>8</v>
      </c>
      <c r="EV651" s="27" t="s">
        <v>7</v>
      </c>
      <c r="EW651" s="27" t="s">
        <v>8</v>
      </c>
      <c r="FA651" s="27" t="s">
        <v>8</v>
      </c>
      <c r="FB651" s="27" t="s">
        <v>7</v>
      </c>
      <c r="FD651" s="27" t="s">
        <v>7</v>
      </c>
      <c r="FE651" s="27" t="s">
        <v>8</v>
      </c>
      <c r="FN651" s="27" t="s">
        <v>7</v>
      </c>
      <c r="FR651" s="27" t="s">
        <v>7</v>
      </c>
    </row>
    <row r="652" spans="1:181" x14ac:dyDescent="0.25">
      <c r="A652" s="7">
        <v>0.27605068902177105</v>
      </c>
      <c r="B652"/>
      <c r="C652"/>
      <c r="D652"/>
      <c r="E652"/>
      <c r="F652" s="27" t="s">
        <v>7</v>
      </c>
      <c r="Q652" s="27" t="s">
        <v>8</v>
      </c>
      <c r="R652" s="27" t="s">
        <v>7</v>
      </c>
      <c r="S652" s="27" t="s">
        <v>8</v>
      </c>
      <c r="AJ652" s="27" t="s">
        <v>7</v>
      </c>
      <c r="AK652" s="27" t="s">
        <v>8</v>
      </c>
      <c r="AL652" s="27" t="s">
        <v>7</v>
      </c>
      <c r="CK652" s="27" t="s">
        <v>8</v>
      </c>
      <c r="CL652" s="27" t="s">
        <v>7</v>
      </c>
      <c r="CM652" s="27" t="s">
        <v>8</v>
      </c>
      <c r="CT652" s="27" t="s">
        <v>7</v>
      </c>
      <c r="CU652" s="27" t="s">
        <v>8</v>
      </c>
      <c r="CV652" s="27" t="s">
        <v>7</v>
      </c>
      <c r="CW652" s="27" t="s">
        <v>8</v>
      </c>
      <c r="DT652" s="27" t="s">
        <v>7</v>
      </c>
      <c r="DV652" s="27" t="s">
        <v>7</v>
      </c>
      <c r="DW652" s="27" t="s">
        <v>8</v>
      </c>
      <c r="EN652" s="27" t="s">
        <v>7</v>
      </c>
      <c r="ES652" s="27" t="s">
        <v>8</v>
      </c>
      <c r="ET652" s="27" t="s">
        <v>7</v>
      </c>
      <c r="EU652" s="27" t="s">
        <v>8</v>
      </c>
      <c r="EV652" s="27" t="s">
        <v>7</v>
      </c>
      <c r="EW652" s="27" t="s">
        <v>8</v>
      </c>
      <c r="EX652" s="27" t="s">
        <v>7</v>
      </c>
      <c r="EY652" s="27" t="s">
        <v>8</v>
      </c>
      <c r="FA652" s="27" t="s">
        <v>8</v>
      </c>
      <c r="FD652" s="27" t="s">
        <v>7</v>
      </c>
    </row>
    <row r="653" spans="1:181" x14ac:dyDescent="0.25">
      <c r="A653" s="7">
        <v>0.27063793041350104</v>
      </c>
      <c r="B653"/>
      <c r="C653"/>
      <c r="D653"/>
      <c r="E653"/>
      <c r="F653" s="27" t="s">
        <v>7</v>
      </c>
      <c r="Q653" s="27" t="s">
        <v>8</v>
      </c>
      <c r="R653" s="27" t="s">
        <v>7</v>
      </c>
      <c r="S653" s="27" t="s">
        <v>8</v>
      </c>
      <c r="AJ653" s="27" t="s">
        <v>7</v>
      </c>
      <c r="AK653" s="27" t="s">
        <v>8</v>
      </c>
      <c r="AL653" s="27" t="s">
        <v>7</v>
      </c>
      <c r="CK653" s="27" t="s">
        <v>8</v>
      </c>
      <c r="CL653" s="27" t="s">
        <v>7</v>
      </c>
      <c r="CM653" s="27" t="s">
        <v>8</v>
      </c>
      <c r="CT653" s="27" t="s">
        <v>7</v>
      </c>
      <c r="CV653" s="27" t="s">
        <v>7</v>
      </c>
      <c r="CW653" s="27" t="s">
        <v>8</v>
      </c>
      <c r="DV653" s="27" t="s">
        <v>7</v>
      </c>
      <c r="DW653" s="27" t="s">
        <v>8</v>
      </c>
      <c r="EN653" s="27" t="s">
        <v>7</v>
      </c>
      <c r="ES653" s="27" t="s">
        <v>8</v>
      </c>
      <c r="ET653" s="27" t="s">
        <v>7</v>
      </c>
      <c r="EU653" s="27" t="s">
        <v>8</v>
      </c>
      <c r="EV653" s="27" t="s">
        <v>7</v>
      </c>
      <c r="EW653" s="27" t="s">
        <v>8</v>
      </c>
      <c r="EX653" s="27" t="s">
        <v>7</v>
      </c>
      <c r="EY653" s="27" t="s">
        <v>8</v>
      </c>
      <c r="EZ653" s="27" t="s">
        <v>7</v>
      </c>
      <c r="FA653" s="27" t="s">
        <v>8</v>
      </c>
    </row>
    <row r="654" spans="1:181" x14ac:dyDescent="0.25">
      <c r="A654" s="7">
        <v>0.26533130432696184</v>
      </c>
      <c r="B654"/>
      <c r="C654"/>
      <c r="D654"/>
      <c r="E654"/>
      <c r="F654" s="27" t="s">
        <v>7</v>
      </c>
      <c r="K654" s="27" t="s">
        <v>8</v>
      </c>
      <c r="Q654" s="27" t="s">
        <v>8</v>
      </c>
      <c r="R654" s="27" t="s">
        <v>7</v>
      </c>
      <c r="AJ654" s="27" t="s">
        <v>7</v>
      </c>
      <c r="AK654" s="27" t="s">
        <v>8</v>
      </c>
      <c r="AL654" s="27" t="s">
        <v>7</v>
      </c>
      <c r="CK654" s="27" t="s">
        <v>8</v>
      </c>
      <c r="CL654" s="27" t="s">
        <v>7</v>
      </c>
      <c r="CM654" s="27" t="s">
        <v>8</v>
      </c>
      <c r="CV654" s="27" t="s">
        <v>7</v>
      </c>
      <c r="CW654" s="27" t="s">
        <v>8</v>
      </c>
      <c r="DV654" s="27" t="s">
        <v>7</v>
      </c>
      <c r="EN654" s="27" t="s">
        <v>7</v>
      </c>
      <c r="ES654" s="27" t="s">
        <v>8</v>
      </c>
      <c r="ET654" s="27" t="s">
        <v>7</v>
      </c>
      <c r="EU654" s="27" t="s">
        <v>8</v>
      </c>
      <c r="EV654" s="27" t="s">
        <v>7</v>
      </c>
      <c r="EW654" s="27" t="s">
        <v>8</v>
      </c>
      <c r="EX654" s="27" t="s">
        <v>7</v>
      </c>
      <c r="EY654" s="27" t="s">
        <v>8</v>
      </c>
      <c r="EZ654" s="27" t="s">
        <v>7</v>
      </c>
      <c r="FA654" s="27" t="s">
        <v>8</v>
      </c>
    </row>
    <row r="655" spans="1:181" x14ac:dyDescent="0.25">
      <c r="A655" s="7">
        <v>0.26012872973231554</v>
      </c>
      <c r="B655"/>
      <c r="C655"/>
      <c r="D655"/>
      <c r="E655"/>
      <c r="F655" s="27" t="s">
        <v>7</v>
      </c>
      <c r="K655" s="27" t="s">
        <v>8</v>
      </c>
      <c r="L655" s="27" t="s">
        <v>7</v>
      </c>
      <c r="O655" s="27" t="s">
        <v>8</v>
      </c>
      <c r="Q655" s="27" t="s">
        <v>8</v>
      </c>
      <c r="AJ655" s="27" t="s">
        <v>7</v>
      </c>
      <c r="AK655" s="27" t="s">
        <v>8</v>
      </c>
      <c r="AL655" s="27" t="s">
        <v>7</v>
      </c>
      <c r="BW655" s="27" t="s">
        <v>8</v>
      </c>
      <c r="CK655" s="27" t="s">
        <v>8</v>
      </c>
      <c r="CL655" s="27" t="s">
        <v>7</v>
      </c>
      <c r="CM655" s="27" t="s">
        <v>8</v>
      </c>
      <c r="CV655" s="27" t="s">
        <v>7</v>
      </c>
      <c r="EN655" s="27" t="s">
        <v>7</v>
      </c>
      <c r="EO655" s="27" t="s">
        <v>8</v>
      </c>
      <c r="EQ655" s="27" t="s">
        <v>8</v>
      </c>
      <c r="ES655" s="27" t="s">
        <v>8</v>
      </c>
      <c r="ET655" s="27" t="s">
        <v>7</v>
      </c>
      <c r="EU655" s="27" t="s">
        <v>8</v>
      </c>
      <c r="EV655" s="27" t="s">
        <v>7</v>
      </c>
      <c r="EX655" s="27" t="s">
        <v>7</v>
      </c>
      <c r="EY655" s="27" t="s">
        <v>8</v>
      </c>
      <c r="EZ655" s="27" t="s">
        <v>7</v>
      </c>
      <c r="FA655" s="27" t="s">
        <v>8</v>
      </c>
    </row>
    <row r="656" spans="1:181" x14ac:dyDescent="0.25">
      <c r="A656" s="7">
        <v>0.25502816640423093</v>
      </c>
      <c r="B656"/>
      <c r="C656"/>
      <c r="D656"/>
      <c r="E656"/>
      <c r="F656" s="27" t="s">
        <v>7</v>
      </c>
      <c r="I656" s="27" t="s">
        <v>8</v>
      </c>
      <c r="K656" s="27" t="s">
        <v>8</v>
      </c>
      <c r="L656" s="27" t="s">
        <v>7</v>
      </c>
      <c r="M656" s="27" t="s">
        <v>8</v>
      </c>
      <c r="O656" s="27" t="s">
        <v>8</v>
      </c>
      <c r="P656" s="27" t="s">
        <v>7</v>
      </c>
      <c r="Q656" s="27" t="s">
        <v>8</v>
      </c>
      <c r="AJ656" s="27" t="s">
        <v>7</v>
      </c>
      <c r="AK656" s="27" t="s">
        <v>8</v>
      </c>
      <c r="AL656" s="27" t="s">
        <v>7</v>
      </c>
      <c r="BW656" s="27" t="s">
        <v>8</v>
      </c>
      <c r="BX656" s="27" t="s">
        <v>7</v>
      </c>
      <c r="CE656" s="27" t="s">
        <v>8</v>
      </c>
      <c r="CK656" s="27" t="s">
        <v>8</v>
      </c>
      <c r="CL656" s="27" t="s">
        <v>7</v>
      </c>
      <c r="CM656" s="27" t="s">
        <v>8</v>
      </c>
      <c r="EN656" s="27" t="s">
        <v>7</v>
      </c>
      <c r="EO656" s="27" t="s">
        <v>8</v>
      </c>
      <c r="EP656" s="27" t="s">
        <v>7</v>
      </c>
      <c r="EQ656" s="27" t="s">
        <v>8</v>
      </c>
      <c r="ER656" s="27" t="s">
        <v>7</v>
      </c>
      <c r="ES656" s="27" t="s">
        <v>8</v>
      </c>
      <c r="ET656" s="27" t="s">
        <v>7</v>
      </c>
      <c r="EX656" s="27" t="s">
        <v>7</v>
      </c>
      <c r="EY656" s="27" t="s">
        <v>8</v>
      </c>
      <c r="EZ656" s="27" t="s">
        <v>7</v>
      </c>
    </row>
    <row r="657" spans="1:154" x14ac:dyDescent="0.25">
      <c r="A657" s="7">
        <v>0.25002761412179503</v>
      </c>
      <c r="B657"/>
      <c r="C657"/>
      <c r="D657"/>
      <c r="E657"/>
      <c r="F657" s="27" t="s">
        <v>7</v>
      </c>
      <c r="I657" s="27" t="s">
        <v>8</v>
      </c>
      <c r="J657" s="27" t="s">
        <v>7</v>
      </c>
      <c r="K657" s="27" t="s">
        <v>8</v>
      </c>
      <c r="L657" s="27" t="s">
        <v>7</v>
      </c>
      <c r="M657" s="27" t="s">
        <v>8</v>
      </c>
      <c r="N657" s="27" t="s">
        <v>7</v>
      </c>
      <c r="O657" s="27" t="s">
        <v>8</v>
      </c>
      <c r="P657" s="27" t="s">
        <v>7</v>
      </c>
      <c r="Q657" s="27" t="s">
        <v>8</v>
      </c>
      <c r="AJ657" s="27" t="s">
        <v>7</v>
      </c>
      <c r="AL657" s="27" t="s">
        <v>7</v>
      </c>
      <c r="BW657" s="27" t="s">
        <v>8</v>
      </c>
      <c r="BX657" s="27" t="s">
        <v>7</v>
      </c>
      <c r="BY657" s="27" t="s">
        <v>8</v>
      </c>
      <c r="CC657" s="27" t="s">
        <v>8</v>
      </c>
      <c r="CE657" s="27" t="s">
        <v>8</v>
      </c>
      <c r="CF657" s="27" t="s">
        <v>7</v>
      </c>
      <c r="CI657" s="27" t="s">
        <v>8</v>
      </c>
      <c r="CK657" s="27" t="s">
        <v>8</v>
      </c>
      <c r="CL657" s="27" t="s">
        <v>7</v>
      </c>
      <c r="EN657" s="27" t="s">
        <v>7</v>
      </c>
      <c r="EO657" s="27" t="s">
        <v>8</v>
      </c>
      <c r="EP657" s="27" t="s">
        <v>7</v>
      </c>
      <c r="EQ657" s="27" t="s">
        <v>8</v>
      </c>
      <c r="ER657" s="27" t="s">
        <v>7</v>
      </c>
      <c r="ES657" s="27" t="s">
        <v>8</v>
      </c>
      <c r="EX657" s="27" t="s">
        <v>7</v>
      </c>
    </row>
    <row r="658" spans="1:154" x14ac:dyDescent="0.25">
      <c r="A658" s="7">
        <v>0.24512511188411276</v>
      </c>
      <c r="B658"/>
      <c r="C658"/>
      <c r="D658"/>
      <c r="E658"/>
      <c r="F658" s="27" t="s">
        <v>7</v>
      </c>
      <c r="I658" s="27" t="s">
        <v>8</v>
      </c>
      <c r="J658" s="27" t="s">
        <v>7</v>
      </c>
      <c r="K658" s="27" t="s">
        <v>8</v>
      </c>
      <c r="L658" s="27" t="s">
        <v>7</v>
      </c>
      <c r="M658" s="27" t="s">
        <v>8</v>
      </c>
      <c r="N658" s="27" t="s">
        <v>7</v>
      </c>
      <c r="O658" s="27" t="s">
        <v>8</v>
      </c>
      <c r="P658" s="27" t="s">
        <v>7</v>
      </c>
      <c r="AL658" s="27" t="s">
        <v>7</v>
      </c>
      <c r="BW658" s="27" t="s">
        <v>8</v>
      </c>
      <c r="BX658" s="27" t="s">
        <v>7</v>
      </c>
      <c r="BY658" s="27" t="s">
        <v>8</v>
      </c>
      <c r="BZ658" s="27" t="s">
        <v>7</v>
      </c>
      <c r="CA658" s="27" t="s">
        <v>8</v>
      </c>
      <c r="CC658" s="27" t="s">
        <v>8</v>
      </c>
      <c r="CD658" s="27" t="s">
        <v>7</v>
      </c>
      <c r="CE658" s="27" t="s">
        <v>8</v>
      </c>
      <c r="CF658" s="27" t="s">
        <v>7</v>
      </c>
      <c r="CI658" s="27" t="s">
        <v>8</v>
      </c>
      <c r="CJ658" s="27" t="s">
        <v>7</v>
      </c>
      <c r="CK658" s="27" t="s">
        <v>8</v>
      </c>
      <c r="EN658" s="27" t="s">
        <v>7</v>
      </c>
      <c r="EO658" s="27" t="s">
        <v>8</v>
      </c>
      <c r="EP658" s="27" t="s">
        <v>7</v>
      </c>
      <c r="ER658" s="27" t="s">
        <v>7</v>
      </c>
      <c r="ES658" s="27" t="s">
        <v>8</v>
      </c>
    </row>
    <row r="659" spans="1:154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I659" s="27" t="s">
        <v>8</v>
      </c>
      <c r="J659" s="27" t="s">
        <v>7</v>
      </c>
      <c r="K659" s="27" t="s">
        <v>8</v>
      </c>
      <c r="L659" s="27" t="s">
        <v>7</v>
      </c>
      <c r="M659" s="27" t="s">
        <v>8</v>
      </c>
      <c r="N659" s="27" t="s">
        <v>7</v>
      </c>
      <c r="O659" s="27" t="s">
        <v>8</v>
      </c>
      <c r="AL659" s="27" t="s">
        <v>7</v>
      </c>
      <c r="BW659" s="27" t="s">
        <v>8</v>
      </c>
      <c r="BX659" s="27" t="s">
        <v>7</v>
      </c>
      <c r="BY659" s="27" t="s">
        <v>8</v>
      </c>
      <c r="BZ659" s="27" t="s">
        <v>7</v>
      </c>
      <c r="CA659" s="27" t="s">
        <v>8</v>
      </c>
      <c r="CB659" s="27" t="s">
        <v>7</v>
      </c>
      <c r="CC659" s="27" t="s">
        <v>8</v>
      </c>
      <c r="CD659" s="27" t="s">
        <v>7</v>
      </c>
      <c r="CE659" s="27" t="s">
        <v>8</v>
      </c>
      <c r="CF659" s="27" t="s">
        <v>7</v>
      </c>
      <c r="CI659" s="27" t="s">
        <v>8</v>
      </c>
      <c r="CJ659" s="27" t="s">
        <v>7</v>
      </c>
      <c r="CK659" s="27" t="s">
        <v>8</v>
      </c>
      <c r="EN659" s="27" t="s">
        <v>7</v>
      </c>
      <c r="ER659" s="27" t="s">
        <v>7</v>
      </c>
      <c r="ES659" s="27" t="s">
        <v>8</v>
      </c>
    </row>
    <row r="660" spans="1:154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H660" s="27" t="s">
        <v>7</v>
      </c>
      <c r="I660" s="27" t="s">
        <v>8</v>
      </c>
      <c r="J660" s="27" t="s">
        <v>7</v>
      </c>
      <c r="L660" s="27" t="s">
        <v>7</v>
      </c>
      <c r="N660" s="27" t="s">
        <v>7</v>
      </c>
      <c r="O660" s="27" t="s">
        <v>8</v>
      </c>
      <c r="AL660" s="27" t="s">
        <v>7</v>
      </c>
      <c r="BW660" s="27" t="s">
        <v>8</v>
      </c>
      <c r="BX660" s="27" t="s">
        <v>7</v>
      </c>
      <c r="BY660" s="27" t="s">
        <v>8</v>
      </c>
      <c r="BZ660" s="27" t="s">
        <v>7</v>
      </c>
      <c r="CA660" s="27" t="s">
        <v>8</v>
      </c>
      <c r="CB660" s="27" t="s">
        <v>7</v>
      </c>
      <c r="CC660" s="27" t="s">
        <v>8</v>
      </c>
      <c r="CD660" s="27" t="s">
        <v>7</v>
      </c>
      <c r="CE660" s="27" t="s">
        <v>8</v>
      </c>
      <c r="CF660" s="27" t="s">
        <v>7</v>
      </c>
      <c r="CI660" s="27" t="s">
        <v>8</v>
      </c>
      <c r="CJ660" s="27" t="s">
        <v>7</v>
      </c>
      <c r="CK660" s="27" t="s">
        <v>8</v>
      </c>
      <c r="ER660" s="27" t="s">
        <v>7</v>
      </c>
      <c r="ES660" s="27" t="s">
        <v>8</v>
      </c>
    </row>
    <row r="661" spans="1:154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H661" s="27" t="s">
        <v>7</v>
      </c>
      <c r="I661" s="27" t="s">
        <v>8</v>
      </c>
      <c r="N661" s="27" t="s">
        <v>7</v>
      </c>
      <c r="AL661" s="27" t="s">
        <v>7</v>
      </c>
      <c r="BG661" s="27" t="s">
        <v>8</v>
      </c>
      <c r="BI661" s="27" t="s">
        <v>8</v>
      </c>
      <c r="BW661" s="27" t="s">
        <v>8</v>
      </c>
      <c r="BX661" s="27" t="s">
        <v>7</v>
      </c>
      <c r="BY661" s="27" t="s">
        <v>8</v>
      </c>
      <c r="BZ661" s="27" t="s">
        <v>7</v>
      </c>
      <c r="CA661" s="27" t="s">
        <v>8</v>
      </c>
      <c r="CB661" s="27" t="s">
        <v>7</v>
      </c>
      <c r="CC661" s="27" t="s">
        <v>8</v>
      </c>
      <c r="CD661" s="27" t="s">
        <v>7</v>
      </c>
      <c r="CE661" s="27" t="s">
        <v>8</v>
      </c>
      <c r="CF661" s="27" t="s">
        <v>7</v>
      </c>
      <c r="CI661" s="27" t="s">
        <v>8</v>
      </c>
      <c r="CJ661" s="27" t="s">
        <v>7</v>
      </c>
      <c r="ER661" s="27" t="s">
        <v>7</v>
      </c>
      <c r="ES661" s="27" t="s">
        <v>8</v>
      </c>
    </row>
    <row r="662" spans="1:154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H662" s="27" t="s">
        <v>7</v>
      </c>
      <c r="I662" s="27" t="s">
        <v>8</v>
      </c>
      <c r="AL662" s="27" t="s">
        <v>7</v>
      </c>
      <c r="BG662" s="27" t="s">
        <v>8</v>
      </c>
      <c r="BH662" s="27" t="s">
        <v>7</v>
      </c>
      <c r="BI662" s="27" t="s">
        <v>8</v>
      </c>
      <c r="BJ662" s="27" t="s">
        <v>7</v>
      </c>
      <c r="BW662" s="27" t="s">
        <v>8</v>
      </c>
      <c r="BX662" s="27" t="s">
        <v>7</v>
      </c>
      <c r="BZ662" s="27" t="s">
        <v>7</v>
      </c>
      <c r="CB662" s="27" t="s">
        <v>7</v>
      </c>
      <c r="CC662" s="27" t="s">
        <v>8</v>
      </c>
      <c r="CD662" s="27" t="s">
        <v>7</v>
      </c>
      <c r="CF662" s="27" t="s">
        <v>7</v>
      </c>
      <c r="CI662" s="27" t="s">
        <v>8</v>
      </c>
      <c r="ER662" s="27" t="s">
        <v>7</v>
      </c>
    </row>
    <row r="663" spans="1:154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H663" s="27" t="s">
        <v>7</v>
      </c>
      <c r="AL663" s="27" t="s">
        <v>7</v>
      </c>
      <c r="BG663" s="27" t="s">
        <v>8</v>
      </c>
      <c r="BH663" s="27" t="s">
        <v>7</v>
      </c>
      <c r="BI663" s="27" t="s">
        <v>8</v>
      </c>
      <c r="BJ663" s="27" t="s">
        <v>7</v>
      </c>
      <c r="BK663" s="27" t="s">
        <v>8</v>
      </c>
      <c r="BO663" s="27" t="s">
        <v>8</v>
      </c>
      <c r="BW663" s="27" t="s">
        <v>8</v>
      </c>
      <c r="CB663" s="27" t="s">
        <v>7</v>
      </c>
      <c r="CC663" s="27" t="s">
        <v>8</v>
      </c>
      <c r="CF663" s="27" t="s">
        <v>7</v>
      </c>
      <c r="CI663" s="27" t="s">
        <v>8</v>
      </c>
    </row>
    <row r="664" spans="1:154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AL664" s="27" t="s">
        <v>7</v>
      </c>
      <c r="BG664" s="27" t="s">
        <v>8</v>
      </c>
      <c r="BH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O664" s="27" t="s">
        <v>8</v>
      </c>
      <c r="BP664" s="27" t="s">
        <v>7</v>
      </c>
      <c r="BW664" s="27" t="s">
        <v>8</v>
      </c>
      <c r="CB664" s="27" t="s">
        <v>7</v>
      </c>
      <c r="CC664" s="27" t="s">
        <v>8</v>
      </c>
      <c r="CF664" s="27" t="s">
        <v>7</v>
      </c>
      <c r="CG664" s="27" t="s">
        <v>8</v>
      </c>
      <c r="CI664" s="27" t="s">
        <v>8</v>
      </c>
    </row>
    <row r="665" spans="1:154" x14ac:dyDescent="0.25">
      <c r="A665" s="7">
        <v>0.21339616118458882</v>
      </c>
      <c r="B665"/>
      <c r="C665"/>
      <c r="D665"/>
      <c r="E665"/>
      <c r="F665" s="27" t="s">
        <v>7</v>
      </c>
      <c r="AL665" s="27" t="s">
        <v>7</v>
      </c>
      <c r="BG665" s="27" t="s">
        <v>8</v>
      </c>
      <c r="BH665" s="27" t="s">
        <v>7</v>
      </c>
      <c r="BI665" s="27" t="s">
        <v>8</v>
      </c>
      <c r="BJ665" s="27" t="s">
        <v>7</v>
      </c>
      <c r="BK665" s="27" t="s">
        <v>8</v>
      </c>
      <c r="BL665" s="27" t="s">
        <v>7</v>
      </c>
      <c r="BO665" s="27" t="s">
        <v>8</v>
      </c>
      <c r="BP665" s="27" t="s">
        <v>7</v>
      </c>
      <c r="BS665" s="27" t="s">
        <v>8</v>
      </c>
      <c r="BW665" s="27" t="s">
        <v>8</v>
      </c>
      <c r="CB665" s="27" t="s">
        <v>7</v>
      </c>
      <c r="CF665" s="27" t="s">
        <v>7</v>
      </c>
      <c r="CG665" s="27" t="s">
        <v>8</v>
      </c>
      <c r="CH665" s="27" t="s">
        <v>7</v>
      </c>
      <c r="CI665" s="27" t="s">
        <v>8</v>
      </c>
    </row>
    <row r="666" spans="1:154" x14ac:dyDescent="0.25">
      <c r="A666" s="7">
        <v>0.20921192272998904</v>
      </c>
      <c r="B666"/>
      <c r="C666"/>
      <c r="D666"/>
      <c r="E666"/>
      <c r="AL666" s="27" t="s">
        <v>7</v>
      </c>
      <c r="AY666" s="27" t="s">
        <v>8</v>
      </c>
      <c r="BG666" s="27" t="s">
        <v>8</v>
      </c>
      <c r="BH666" s="27" t="s">
        <v>7</v>
      </c>
      <c r="BJ666" s="27" t="s">
        <v>7</v>
      </c>
      <c r="BK666" s="27" t="s">
        <v>8</v>
      </c>
      <c r="BL666" s="27" t="s">
        <v>7</v>
      </c>
      <c r="BM666" s="27" t="s">
        <v>8</v>
      </c>
      <c r="BO666" s="27" t="s">
        <v>8</v>
      </c>
      <c r="BP666" s="27" t="s">
        <v>7</v>
      </c>
      <c r="BS666" s="27" t="s">
        <v>8</v>
      </c>
      <c r="BT666" s="27" t="s">
        <v>7</v>
      </c>
      <c r="BU666" s="27" t="s">
        <v>8</v>
      </c>
      <c r="BW666" s="27" t="s">
        <v>8</v>
      </c>
      <c r="CF666" s="27" t="s">
        <v>7</v>
      </c>
      <c r="CG666" s="27" t="s">
        <v>8</v>
      </c>
      <c r="CH666" s="27" t="s">
        <v>7</v>
      </c>
      <c r="CI666" s="27" t="s">
        <v>8</v>
      </c>
    </row>
    <row r="667" spans="1:154" x14ac:dyDescent="0.25">
      <c r="A667" s="7">
        <v>0.20510972816665593</v>
      </c>
      <c r="B667"/>
      <c r="C667"/>
      <c r="D667"/>
      <c r="E667"/>
      <c r="AL667" s="27" t="s">
        <v>7</v>
      </c>
      <c r="AY667" s="27" t="s">
        <v>8</v>
      </c>
      <c r="AZ667" s="27" t="s">
        <v>7</v>
      </c>
      <c r="BG667" s="27" t="s">
        <v>8</v>
      </c>
      <c r="BJ667" s="27" t="s">
        <v>7</v>
      </c>
      <c r="BL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  <c r="BS667" s="27" t="s">
        <v>8</v>
      </c>
      <c r="BT667" s="27" t="s">
        <v>7</v>
      </c>
      <c r="BU667" s="27" t="s">
        <v>8</v>
      </c>
      <c r="BV667" s="27" t="s">
        <v>7</v>
      </c>
      <c r="BW667" s="27" t="s">
        <v>8</v>
      </c>
      <c r="CF667" s="27" t="s">
        <v>7</v>
      </c>
      <c r="CG667" s="27" t="s">
        <v>8</v>
      </c>
      <c r="CH667" s="27" t="s">
        <v>7</v>
      </c>
      <c r="CI667" s="27" t="s">
        <v>8</v>
      </c>
    </row>
    <row r="668" spans="1:154" x14ac:dyDescent="0.25">
      <c r="A668" s="7">
        <v>0.20108796879083912</v>
      </c>
      <c r="B668"/>
      <c r="C668"/>
      <c r="D668"/>
      <c r="E668"/>
      <c r="AL668" s="27" t="s">
        <v>7</v>
      </c>
      <c r="AY668" s="27" t="s">
        <v>8</v>
      </c>
      <c r="AZ668" s="27" t="s">
        <v>7</v>
      </c>
      <c r="BE668" s="27" t="s">
        <v>8</v>
      </c>
      <c r="BG668" s="27" t="s">
        <v>8</v>
      </c>
      <c r="BL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BQ668" s="27" t="s">
        <v>8</v>
      </c>
      <c r="BS668" s="27" t="s">
        <v>8</v>
      </c>
      <c r="BT668" s="27" t="s">
        <v>7</v>
      </c>
      <c r="BU668" s="27" t="s">
        <v>8</v>
      </c>
      <c r="BV668" s="27" t="s">
        <v>7</v>
      </c>
      <c r="BW668" s="27" t="s">
        <v>8</v>
      </c>
      <c r="CF668" s="27" t="s">
        <v>7</v>
      </c>
      <c r="CG668" s="27" t="s">
        <v>8</v>
      </c>
      <c r="CH668" s="27" t="s">
        <v>7</v>
      </c>
    </row>
    <row r="669" spans="1:154" x14ac:dyDescent="0.25">
      <c r="A669" s="7">
        <v>0.19714506744199917</v>
      </c>
      <c r="B669"/>
      <c r="C669"/>
      <c r="D669"/>
      <c r="E669"/>
      <c r="AL669" s="27" t="s">
        <v>7</v>
      </c>
      <c r="AY669" s="27" t="s">
        <v>8</v>
      </c>
      <c r="AZ669" s="27" t="s">
        <v>7</v>
      </c>
      <c r="BE669" s="27" t="s">
        <v>8</v>
      </c>
      <c r="BF669" s="27" t="s">
        <v>7</v>
      </c>
      <c r="BG669" s="27" t="s">
        <v>8</v>
      </c>
      <c r="BL669" s="27" t="s">
        <v>7</v>
      </c>
      <c r="BM669" s="27" t="s">
        <v>8</v>
      </c>
      <c r="BN669" s="27" t="s">
        <v>7</v>
      </c>
      <c r="BP669" s="27" t="s">
        <v>7</v>
      </c>
      <c r="BQ669" s="27" t="s">
        <v>8</v>
      </c>
      <c r="BR669" s="27" t="s">
        <v>7</v>
      </c>
      <c r="BS669" s="27" t="s">
        <v>8</v>
      </c>
      <c r="BT669" s="27" t="s">
        <v>7</v>
      </c>
      <c r="BU669" s="27" t="s">
        <v>8</v>
      </c>
      <c r="BV669" s="27" t="s">
        <v>7</v>
      </c>
      <c r="CF669" s="27" t="s">
        <v>7</v>
      </c>
    </row>
    <row r="670" spans="1:154" x14ac:dyDescent="0.25">
      <c r="A670" s="7">
        <v>0.19327947788431293</v>
      </c>
      <c r="B670"/>
      <c r="C670"/>
      <c r="D670"/>
      <c r="E670"/>
      <c r="AL670" s="27" t="s">
        <v>7</v>
      </c>
      <c r="AY670" s="27" t="s">
        <v>8</v>
      </c>
      <c r="AZ670" s="27" t="s">
        <v>7</v>
      </c>
      <c r="BE670" s="27" t="s">
        <v>8</v>
      </c>
      <c r="BF670" s="27" t="s">
        <v>7</v>
      </c>
      <c r="BG670" s="27" t="s">
        <v>8</v>
      </c>
      <c r="BL670" s="27" t="s">
        <v>7</v>
      </c>
      <c r="BM670" s="27" t="s">
        <v>8</v>
      </c>
      <c r="BP670" s="27" t="s">
        <v>7</v>
      </c>
      <c r="BQ670" s="27" t="s">
        <v>8</v>
      </c>
      <c r="BR670" s="27" t="s">
        <v>7</v>
      </c>
      <c r="BS670" s="27" t="s">
        <v>8</v>
      </c>
      <c r="BT670" s="27" t="s">
        <v>7</v>
      </c>
      <c r="BU670" s="27" t="s">
        <v>8</v>
      </c>
    </row>
    <row r="671" spans="1:154" x14ac:dyDescent="0.25">
      <c r="A671" s="7">
        <v>0.18948968420030682</v>
      </c>
      <c r="B671"/>
      <c r="C671"/>
      <c r="D671"/>
      <c r="E671"/>
      <c r="AL671" s="27" t="s">
        <v>7</v>
      </c>
      <c r="AY671" s="27" t="s">
        <v>8</v>
      </c>
      <c r="AZ671" s="27" t="s">
        <v>7</v>
      </c>
      <c r="BE671" s="27" t="s">
        <v>8</v>
      </c>
      <c r="BF671" s="27" t="s">
        <v>7</v>
      </c>
      <c r="BG671" s="27" t="s">
        <v>8</v>
      </c>
      <c r="BL671" s="27" t="s">
        <v>7</v>
      </c>
      <c r="BP671" s="27" t="s">
        <v>7</v>
      </c>
      <c r="BQ671" s="27" t="s">
        <v>8</v>
      </c>
      <c r="BR671" s="27" t="s">
        <v>7</v>
      </c>
      <c r="BT671" s="27" t="s">
        <v>7</v>
      </c>
      <c r="BU671" s="27" t="s">
        <v>8</v>
      </c>
    </row>
    <row r="672" spans="1:154" x14ac:dyDescent="0.25">
      <c r="A672" s="7">
        <v>0.18577420019637925</v>
      </c>
      <c r="B672"/>
      <c r="C672"/>
      <c r="D672"/>
      <c r="E672"/>
      <c r="AL672" s="27" t="s">
        <v>7</v>
      </c>
      <c r="AQ672" s="27" t="s">
        <v>8</v>
      </c>
      <c r="AY672" s="27" t="s">
        <v>8</v>
      </c>
      <c r="AZ672" s="27" t="s">
        <v>7</v>
      </c>
      <c r="BA672" s="27" t="s">
        <v>8</v>
      </c>
      <c r="BE672" s="27" t="s">
        <v>8</v>
      </c>
      <c r="BF672" s="27" t="s">
        <v>7</v>
      </c>
      <c r="BG672" s="27" t="s">
        <v>8</v>
      </c>
      <c r="BP672" s="27" t="s">
        <v>7</v>
      </c>
      <c r="BQ672" s="27" t="s">
        <v>8</v>
      </c>
      <c r="BT672" s="27" t="s">
        <v>7</v>
      </c>
    </row>
    <row r="673" spans="1:69" x14ac:dyDescent="0.25">
      <c r="A673" s="7">
        <v>0.18213156881997963</v>
      </c>
      <c r="B673"/>
      <c r="C673"/>
      <c r="D673"/>
      <c r="E673"/>
      <c r="AL673" s="27" t="s">
        <v>7</v>
      </c>
      <c r="AQ673" s="27" t="s">
        <v>8</v>
      </c>
      <c r="AR673" s="27" t="s">
        <v>7</v>
      </c>
      <c r="AY673" s="27" t="s">
        <v>8</v>
      </c>
      <c r="AZ673" s="27" t="s">
        <v>7</v>
      </c>
      <c r="BA673" s="27" t="s">
        <v>8</v>
      </c>
      <c r="BB673" s="27" t="s">
        <v>7</v>
      </c>
      <c r="BC673" s="27" t="s">
        <v>8</v>
      </c>
      <c r="BE673" s="27" t="s">
        <v>8</v>
      </c>
      <c r="BF673" s="27" t="s">
        <v>7</v>
      </c>
      <c r="BG673" s="27" t="s">
        <v>8</v>
      </c>
      <c r="BP673" s="27" t="s">
        <v>7</v>
      </c>
      <c r="BQ673" s="27" t="s">
        <v>8</v>
      </c>
    </row>
    <row r="674" spans="1:69" x14ac:dyDescent="0.25">
      <c r="A674" s="7">
        <v>0.17856036158821534</v>
      </c>
      <c r="B674"/>
      <c r="C674"/>
      <c r="D674"/>
      <c r="E674"/>
      <c r="AL674" s="27" t="s">
        <v>7</v>
      </c>
      <c r="AQ674" s="27" t="s">
        <v>8</v>
      </c>
      <c r="AR674" s="27" t="s">
        <v>7</v>
      </c>
      <c r="AY674" s="27" t="s">
        <v>8</v>
      </c>
      <c r="AZ674" s="27" t="s">
        <v>7</v>
      </c>
      <c r="BA674" s="27" t="s">
        <v>8</v>
      </c>
      <c r="BB674" s="27" t="s">
        <v>7</v>
      </c>
      <c r="BC674" s="27" t="s">
        <v>8</v>
      </c>
      <c r="BD674" s="27" t="s">
        <v>7</v>
      </c>
      <c r="BE674" s="27" t="s">
        <v>8</v>
      </c>
      <c r="BF674" s="27" t="s">
        <v>7</v>
      </c>
      <c r="BG674" s="27" t="s">
        <v>8</v>
      </c>
      <c r="BP674" s="27" t="s">
        <v>7</v>
      </c>
      <c r="BQ674" s="27" t="s">
        <v>8</v>
      </c>
    </row>
    <row r="675" spans="1:69" x14ac:dyDescent="0.25">
      <c r="A675" s="7">
        <v>0.17505917802766208</v>
      </c>
      <c r="B675"/>
      <c r="C675"/>
      <c r="D675"/>
      <c r="E675"/>
      <c r="AL675" s="27" t="s">
        <v>7</v>
      </c>
      <c r="AQ675" s="27" t="s">
        <v>8</v>
      </c>
      <c r="AR675" s="27" t="s">
        <v>7</v>
      </c>
      <c r="AY675" s="27" t="s">
        <v>8</v>
      </c>
      <c r="AZ675" s="27" t="s">
        <v>7</v>
      </c>
      <c r="BA675" s="27" t="s">
        <v>8</v>
      </c>
      <c r="BB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P675" s="27" t="s">
        <v>7</v>
      </c>
    </row>
    <row r="676" spans="1:69" x14ac:dyDescent="0.25">
      <c r="A676" s="7">
        <v>0.17162664512515888</v>
      </c>
      <c r="B676"/>
      <c r="C676"/>
      <c r="D676"/>
      <c r="E676"/>
      <c r="AL676" s="27" t="s">
        <v>7</v>
      </c>
      <c r="AQ676" s="27" t="s">
        <v>8</v>
      </c>
      <c r="AR676" s="27" t="s">
        <v>7</v>
      </c>
      <c r="AY676" s="27" t="s">
        <v>8</v>
      </c>
      <c r="AZ676" s="27" t="s">
        <v>7</v>
      </c>
      <c r="BB676" s="27" t="s">
        <v>7</v>
      </c>
      <c r="BC676" s="27" t="s">
        <v>8</v>
      </c>
      <c r="BD676" s="27" t="s">
        <v>7</v>
      </c>
      <c r="BE676" s="27" t="s">
        <v>8</v>
      </c>
    </row>
    <row r="677" spans="1:69" x14ac:dyDescent="0.25">
      <c r="A677" s="7">
        <v>0.16826141678937145</v>
      </c>
      <c r="B677"/>
      <c r="C677"/>
      <c r="D677"/>
      <c r="E677"/>
      <c r="AL677" s="27" t="s">
        <v>7</v>
      </c>
      <c r="AQ677" s="27" t="s">
        <v>8</v>
      </c>
      <c r="AR677" s="27" t="s">
        <v>7</v>
      </c>
      <c r="AW677" s="27" t="s">
        <v>8</v>
      </c>
      <c r="AY677" s="27" t="s">
        <v>8</v>
      </c>
      <c r="BB677" s="27" t="s">
        <v>7</v>
      </c>
      <c r="BD677" s="27" t="s">
        <v>7</v>
      </c>
      <c r="BE677" s="27" t="s">
        <v>8</v>
      </c>
    </row>
    <row r="678" spans="1:69" x14ac:dyDescent="0.25">
      <c r="A678" s="7">
        <v>0.16496217332291319</v>
      </c>
      <c r="B678"/>
      <c r="C678"/>
      <c r="D678"/>
      <c r="E678"/>
      <c r="AL678" s="27" t="s">
        <v>7</v>
      </c>
      <c r="AM678" s="27" t="s">
        <v>8</v>
      </c>
      <c r="AQ678" s="27" t="s">
        <v>8</v>
      </c>
      <c r="AR678" s="27" t="s">
        <v>7</v>
      </c>
      <c r="AW678" s="27" t="s">
        <v>8</v>
      </c>
      <c r="AX678" s="27" t="s">
        <v>7</v>
      </c>
      <c r="AY678" s="27" t="s">
        <v>8</v>
      </c>
      <c r="BD678" s="27" t="s">
        <v>7</v>
      </c>
      <c r="BE678" s="27" t="s">
        <v>8</v>
      </c>
    </row>
    <row r="679" spans="1:69" x14ac:dyDescent="0.25">
      <c r="A679" s="7">
        <v>0.16172762090481685</v>
      </c>
      <c r="B679"/>
      <c r="C679"/>
      <c r="D679"/>
      <c r="E679"/>
      <c r="AL679" s="27" t="s">
        <v>7</v>
      </c>
      <c r="AM679" s="27" t="s">
        <v>8</v>
      </c>
      <c r="AN679" s="27" t="s">
        <v>7</v>
      </c>
      <c r="AQ679" s="27" t="s">
        <v>8</v>
      </c>
      <c r="AR679" s="27" t="s">
        <v>7</v>
      </c>
      <c r="AS679" s="27" t="s">
        <v>8</v>
      </c>
      <c r="AU679" s="27" t="s">
        <v>8</v>
      </c>
      <c r="AW679" s="27" t="s">
        <v>8</v>
      </c>
      <c r="AX679" s="27" t="s">
        <v>7</v>
      </c>
      <c r="AY679" s="27" t="s">
        <v>8</v>
      </c>
      <c r="BD679" s="27" t="s">
        <v>7</v>
      </c>
    </row>
    <row r="680" spans="1:69" x14ac:dyDescent="0.25">
      <c r="A680" s="7">
        <v>0.15855649108315376</v>
      </c>
      <c r="B680"/>
      <c r="C680"/>
      <c r="D680"/>
      <c r="E680"/>
      <c r="AL680" s="27" t="s">
        <v>7</v>
      </c>
      <c r="AM680" s="27" t="s">
        <v>8</v>
      </c>
      <c r="AN680" s="27" t="s">
        <v>7</v>
      </c>
      <c r="AQ680" s="27" t="s">
        <v>8</v>
      </c>
      <c r="AR680" s="27" t="s">
        <v>7</v>
      </c>
      <c r="AS680" s="27" t="s">
        <v>8</v>
      </c>
      <c r="AT680" s="27" t="s">
        <v>7</v>
      </c>
      <c r="AU680" s="27" t="s">
        <v>8</v>
      </c>
      <c r="AV680" s="27" t="s">
        <v>7</v>
      </c>
      <c r="AW680" s="27" t="s">
        <v>8</v>
      </c>
      <c r="AX680" s="27" t="s">
        <v>7</v>
      </c>
      <c r="AY680" s="27" t="s">
        <v>8</v>
      </c>
    </row>
    <row r="681" spans="1:69" x14ac:dyDescent="0.25">
      <c r="A681" s="7">
        <v>0.15544754027760171</v>
      </c>
      <c r="B681"/>
      <c r="C681"/>
      <c r="D681"/>
      <c r="E681"/>
      <c r="AL681" s="27" t="s">
        <v>7</v>
      </c>
      <c r="AM681" s="27" t="s">
        <v>8</v>
      </c>
      <c r="AN681" s="27" t="s">
        <v>7</v>
      </c>
      <c r="AQ681" s="27" t="s">
        <v>8</v>
      </c>
      <c r="AR681" s="27" t="s">
        <v>7</v>
      </c>
      <c r="AS681" s="27" t="s">
        <v>8</v>
      </c>
      <c r="AT681" s="27" t="s">
        <v>7</v>
      </c>
      <c r="AU681" s="27" t="s">
        <v>8</v>
      </c>
      <c r="AV681" s="27" t="s">
        <v>7</v>
      </c>
      <c r="AW681" s="27" t="s">
        <v>8</v>
      </c>
      <c r="AX681" s="27" t="s">
        <v>7</v>
      </c>
      <c r="AY681" s="27" t="s">
        <v>8</v>
      </c>
    </row>
    <row r="682" spans="1:69" x14ac:dyDescent="0.25">
      <c r="A682" s="7">
        <v>0.15239954929176638</v>
      </c>
      <c r="B682"/>
      <c r="C682"/>
      <c r="D682"/>
      <c r="E682"/>
      <c r="AL682" s="27" t="s">
        <v>7</v>
      </c>
      <c r="AM682" s="27" t="s">
        <v>8</v>
      </c>
      <c r="AN682" s="27" t="s">
        <v>7</v>
      </c>
      <c r="AQ682" s="27" t="s">
        <v>8</v>
      </c>
      <c r="AR682" s="27" t="s">
        <v>7</v>
      </c>
      <c r="AS682" s="27" t="s">
        <v>8</v>
      </c>
      <c r="AT682" s="27" t="s">
        <v>7</v>
      </c>
      <c r="AV682" s="27" t="s">
        <v>7</v>
      </c>
      <c r="AX682" s="27" t="s">
        <v>7</v>
      </c>
      <c r="AY682" s="27" t="s">
        <v>8</v>
      </c>
    </row>
    <row r="683" spans="1:69" x14ac:dyDescent="0.25">
      <c r="A683" s="7">
        <v>0.14941132283506509</v>
      </c>
      <c r="B683"/>
      <c r="C683"/>
      <c r="D683"/>
      <c r="E683"/>
      <c r="AL683" s="27" t="s">
        <v>7</v>
      </c>
      <c r="AM683" s="27" t="s">
        <v>8</v>
      </c>
      <c r="AN683" s="27" t="s">
        <v>7</v>
      </c>
      <c r="AO683" s="27" t="s">
        <v>8</v>
      </c>
      <c r="AQ683" s="27" t="s">
        <v>8</v>
      </c>
      <c r="AR683" s="27" t="s">
        <v>7</v>
      </c>
      <c r="AS683" s="27" t="s">
        <v>8</v>
      </c>
      <c r="AX683" s="27" t="s">
        <v>7</v>
      </c>
      <c r="AY683" s="27" t="s">
        <v>8</v>
      </c>
    </row>
    <row r="684" spans="1:69" x14ac:dyDescent="0.25">
      <c r="A684" s="7">
        <v>0.14648168905398537</v>
      </c>
      <c r="B684"/>
      <c r="C684"/>
      <c r="D684"/>
      <c r="E684"/>
      <c r="AL684" s="27" t="s">
        <v>7</v>
      </c>
      <c r="AM684" s="27" t="s">
        <v>8</v>
      </c>
      <c r="AN684" s="27" t="s">
        <v>7</v>
      </c>
      <c r="AO684" s="27" t="s">
        <v>8</v>
      </c>
      <c r="AP684" s="27" t="s">
        <v>7</v>
      </c>
      <c r="AQ684" s="27" t="s">
        <v>8</v>
      </c>
      <c r="AR684" s="27" t="s">
        <v>7</v>
      </c>
      <c r="AS684" s="27" t="s">
        <v>8</v>
      </c>
      <c r="AX684" s="27" t="s">
        <v>7</v>
      </c>
      <c r="AY684" s="27" t="s">
        <v>8</v>
      </c>
    </row>
    <row r="685" spans="1:69" x14ac:dyDescent="0.25">
      <c r="A685" s="7">
        <v>0.14360949907253467</v>
      </c>
      <c r="B685"/>
      <c r="C685"/>
      <c r="D685"/>
      <c r="E685"/>
      <c r="AL685" s="27" t="s">
        <v>7</v>
      </c>
      <c r="AM685" s="27" t="s">
        <v>8</v>
      </c>
      <c r="AN685" s="27" t="s">
        <v>7</v>
      </c>
      <c r="AO685" s="27" t="s">
        <v>8</v>
      </c>
      <c r="AP685" s="27" t="s">
        <v>7</v>
      </c>
      <c r="AQ685" s="27" t="s">
        <v>8</v>
      </c>
      <c r="AR685" s="27" t="s">
        <v>7</v>
      </c>
      <c r="AX685" s="27" t="s">
        <v>7</v>
      </c>
    </row>
    <row r="686" spans="1:69" x14ac:dyDescent="0.25">
      <c r="A686" s="7">
        <v>0.14079362654170066</v>
      </c>
      <c r="B686"/>
      <c r="C686"/>
      <c r="D686"/>
      <c r="E686"/>
      <c r="AL686" s="27" t="s">
        <v>7</v>
      </c>
      <c r="AM686" s="27" t="s">
        <v>8</v>
      </c>
      <c r="AN686" s="27" t="s">
        <v>7</v>
      </c>
      <c r="AO686" s="27" t="s">
        <v>8</v>
      </c>
      <c r="AP686" s="27" t="s">
        <v>7</v>
      </c>
      <c r="AQ686" s="27" t="s">
        <v>8</v>
      </c>
    </row>
    <row r="687" spans="1:69" x14ac:dyDescent="0.25">
      <c r="A687" s="7">
        <v>0.13803296719774574</v>
      </c>
      <c r="B687"/>
      <c r="C687"/>
      <c r="D687"/>
      <c r="E687"/>
      <c r="AL687" s="27" t="s">
        <v>7</v>
      </c>
      <c r="AM687" s="27" t="s">
        <v>8</v>
      </c>
      <c r="AN687" s="27" t="s">
        <v>7</v>
      </c>
      <c r="AO687" s="27" t="s">
        <v>8</v>
      </c>
      <c r="AP687" s="27" t="s">
        <v>7</v>
      </c>
      <c r="AQ687" s="27" t="s">
        <v>8</v>
      </c>
    </row>
    <row r="688" spans="1:69" x14ac:dyDescent="0.25">
      <c r="A688" s="7">
        <v>0.1353264384291625</v>
      </c>
      <c r="B688"/>
      <c r="C688"/>
      <c r="D688"/>
      <c r="E688"/>
      <c r="AL688" s="27" t="s">
        <v>7</v>
      </c>
      <c r="AM688" s="27" t="s">
        <v>8</v>
      </c>
      <c r="AN688" s="27" t="s">
        <v>7</v>
      </c>
      <c r="AO688" s="27" t="s">
        <v>8</v>
      </c>
      <c r="AP688" s="27" t="s">
        <v>7</v>
      </c>
      <c r="AQ688" s="27" t="s">
        <v>8</v>
      </c>
    </row>
    <row r="689" spans="1:43" x14ac:dyDescent="0.25">
      <c r="A689" s="7">
        <v>0.13267297885212009</v>
      </c>
      <c r="B689"/>
      <c r="C689"/>
      <c r="D689"/>
      <c r="E689"/>
      <c r="AL689" s="27" t="s">
        <v>7</v>
      </c>
      <c r="AM689" s="27" t="s">
        <v>8</v>
      </c>
      <c r="AN689" s="27" t="s">
        <v>7</v>
      </c>
      <c r="AO689" s="27" t="s">
        <v>8</v>
      </c>
      <c r="AP689" s="27" t="s">
        <v>7</v>
      </c>
      <c r="AQ689" s="27" t="s">
        <v>8</v>
      </c>
    </row>
    <row r="690" spans="1:43" x14ac:dyDescent="0.25">
      <c r="A690" s="7">
        <v>0.13007154789423539</v>
      </c>
      <c r="B690"/>
      <c r="C690"/>
      <c r="D690"/>
      <c r="E690"/>
      <c r="AL690" s="27" t="s">
        <v>7</v>
      </c>
      <c r="AM690" s="27" t="s">
        <v>8</v>
      </c>
      <c r="AN690" s="27" t="s">
        <v>7</v>
      </c>
      <c r="AO690" s="27" t="s">
        <v>8</v>
      </c>
      <c r="AP690" s="27" t="s">
        <v>7</v>
      </c>
      <c r="AQ690" s="27" t="s">
        <v>8</v>
      </c>
    </row>
    <row r="691" spans="1:43" x14ac:dyDescent="0.25">
      <c r="A691" s="7">
        <v>0.12752112538650529</v>
      </c>
      <c r="B691"/>
      <c r="C691"/>
      <c r="D691"/>
      <c r="E691"/>
      <c r="AL691" s="27" t="s">
        <v>7</v>
      </c>
      <c r="AM691" s="27" t="s">
        <v>8</v>
      </c>
      <c r="AN691" s="27" t="s">
        <v>7</v>
      </c>
      <c r="AO691" s="27" t="s">
        <v>8</v>
      </c>
      <c r="AP691" s="27" t="s">
        <v>7</v>
      </c>
    </row>
    <row r="692" spans="1:43" x14ac:dyDescent="0.25">
      <c r="A692" s="7">
        <v>0.12502071116324048</v>
      </c>
      <c r="B692"/>
      <c r="C692"/>
      <c r="D692"/>
      <c r="E692"/>
      <c r="AL692" s="27" t="s">
        <v>7</v>
      </c>
      <c r="AM692" s="27" t="s">
        <v>8</v>
      </c>
      <c r="AN692" s="27" t="s">
        <v>7</v>
      </c>
      <c r="AO692" s="27" t="s">
        <v>8</v>
      </c>
    </row>
    <row r="693" spans="1:43" x14ac:dyDescent="0.25">
      <c r="A693" s="7">
        <v>0.1225693246698436</v>
      </c>
      <c r="B693"/>
      <c r="C693"/>
      <c r="D693"/>
      <c r="E693"/>
      <c r="AL693" s="27" t="s">
        <v>7</v>
      </c>
      <c r="AM693" s="27" t="s">
        <v>8</v>
      </c>
      <c r="AN693" s="27" t="s">
        <v>7</v>
      </c>
      <c r="AO693" s="27" t="s">
        <v>8</v>
      </c>
    </row>
    <row r="694" spans="1:43" x14ac:dyDescent="0.25">
      <c r="A694" s="7">
        <v>0.12016600457827803</v>
      </c>
      <c r="B694"/>
      <c r="C694"/>
      <c r="D694"/>
      <c r="E694"/>
      <c r="AL694" s="27" t="s">
        <v>7</v>
      </c>
      <c r="AM694" s="27" t="s">
        <v>8</v>
      </c>
      <c r="AN694" s="27" t="s">
        <v>7</v>
      </c>
      <c r="AO694" s="27" t="s">
        <v>8</v>
      </c>
    </row>
    <row r="695" spans="1:43" x14ac:dyDescent="0.25">
      <c r="A695" s="7">
        <v>0.1178098084100765</v>
      </c>
      <c r="B695"/>
      <c r="C695"/>
      <c r="D695"/>
      <c r="E695"/>
      <c r="AL695" s="27" t="s">
        <v>7</v>
      </c>
      <c r="AM695" s="27" t="s">
        <v>8</v>
      </c>
      <c r="AN695" s="27" t="s">
        <v>7</v>
      </c>
      <c r="AO695" s="27" t="s">
        <v>8</v>
      </c>
    </row>
    <row r="696" spans="1:43" x14ac:dyDescent="0.25">
      <c r="A696" s="7">
        <v>0.11549981216674166</v>
      </c>
      <c r="B696"/>
      <c r="C696"/>
      <c r="D696"/>
      <c r="E696"/>
      <c r="AL696" s="27" t="s">
        <v>7</v>
      </c>
      <c r="AM696" s="27" t="s">
        <v>8</v>
      </c>
      <c r="AN696" s="27" t="s">
        <v>7</v>
      </c>
    </row>
    <row r="697" spans="1:43" x14ac:dyDescent="0.25">
      <c r="A697" s="7">
        <v>0.11323510996739378</v>
      </c>
      <c r="B697"/>
      <c r="C697"/>
      <c r="D697"/>
      <c r="E697"/>
      <c r="AL697" s="27" t="s">
        <v>7</v>
      </c>
      <c r="AM697" s="27" t="s">
        <v>8</v>
      </c>
    </row>
    <row r="698" spans="1:43" x14ac:dyDescent="0.25">
      <c r="A698" s="7">
        <v>0.11101481369352331</v>
      </c>
      <c r="B698"/>
      <c r="C698"/>
      <c r="D698"/>
      <c r="E698"/>
      <c r="AL698" s="27" t="s">
        <v>7</v>
      </c>
      <c r="AM698" s="27" t="s">
        <v>8</v>
      </c>
    </row>
    <row r="699" spans="1:43" x14ac:dyDescent="0.25">
      <c r="A699" s="7">
        <v>0.10883805264070913</v>
      </c>
      <c r="B699"/>
      <c r="C699"/>
      <c r="D699"/>
      <c r="E699"/>
      <c r="AL699" s="27" t="s">
        <v>7</v>
      </c>
      <c r="AM699" s="27" t="s">
        <v>8</v>
      </c>
    </row>
    <row r="700" spans="1:43" x14ac:dyDescent="0.25">
      <c r="A700" s="7">
        <v>0.10670397317716582</v>
      </c>
      <c r="B700"/>
      <c r="C700"/>
      <c r="D700"/>
      <c r="E700"/>
      <c r="AL700" s="27" t="s">
        <v>7</v>
      </c>
      <c r="AM700" s="27" t="s">
        <v>8</v>
      </c>
    </row>
    <row r="701" spans="1:43" x14ac:dyDescent="0.25">
      <c r="A701" s="7">
        <v>0.1046117384089861</v>
      </c>
      <c r="B701"/>
      <c r="C701"/>
      <c r="D701"/>
      <c r="E701"/>
      <c r="AL701" s="27" t="s">
        <v>7</v>
      </c>
      <c r="AM701" s="27" t="s">
        <v>8</v>
      </c>
    </row>
    <row r="702" spans="1:43" x14ac:dyDescent="0.25">
      <c r="A702" s="7">
        <v>0.10256052785194716</v>
      </c>
      <c r="B702"/>
      <c r="C702"/>
      <c r="D702"/>
      <c r="E702"/>
      <c r="AL702" s="27" t="s">
        <v>7</v>
      </c>
      <c r="AM702" s="27" t="s">
        <v>8</v>
      </c>
    </row>
    <row r="703" spans="1:43" x14ac:dyDescent="0.25">
      <c r="A703" s="7">
        <v>0.10054953710975212</v>
      </c>
      <c r="B703"/>
      <c r="C703"/>
      <c r="D703"/>
      <c r="E703"/>
      <c r="AL703" s="27" t="s">
        <v>7</v>
      </c>
      <c r="AM703" s="27" t="s">
        <v>8</v>
      </c>
    </row>
    <row r="704" spans="1:43" x14ac:dyDescent="0.25">
      <c r="A704" s="7">
        <v>9.8577977558580512E-2</v>
      </c>
      <c r="B704"/>
      <c r="C704"/>
      <c r="D704"/>
      <c r="E704"/>
      <c r="AL704" s="27" t="s">
        <v>7</v>
      </c>
      <c r="AM704" s="27" t="s">
        <v>8</v>
      </c>
    </row>
    <row r="705" spans="1:38" x14ac:dyDescent="0.25">
      <c r="A705" s="7">
        <v>9.6645076037824032E-2</v>
      </c>
      <c r="B705"/>
      <c r="C705"/>
      <c r="D705"/>
      <c r="E705"/>
      <c r="AL705" s="27" t="s">
        <v>7</v>
      </c>
    </row>
    <row r="706" spans="1:38" x14ac:dyDescent="0.25">
      <c r="A706" s="7">
        <v>9.4750074546886304E-2</v>
      </c>
      <c r="B706"/>
      <c r="C706"/>
      <c r="D706"/>
      <c r="E706"/>
    </row>
    <row r="707" spans="1:38" x14ac:dyDescent="0.25">
      <c r="A707" s="7">
        <v>9.2892229947927743E-2</v>
      </c>
      <c r="B707"/>
      <c r="C707"/>
      <c r="D707"/>
      <c r="E707"/>
    </row>
    <row r="708" spans="1:38" x14ac:dyDescent="0.25">
      <c r="A708" s="7">
        <v>9.1070813674438963E-2</v>
      </c>
      <c r="B708"/>
      <c r="C708"/>
      <c r="D708"/>
      <c r="E708"/>
    </row>
    <row r="709" spans="1:38" x14ac:dyDescent="0.25">
      <c r="A709" s="7">
        <v>8.9285111445528392E-2</v>
      </c>
      <c r="B709"/>
      <c r="C709"/>
      <c r="D709"/>
      <c r="E709"/>
    </row>
    <row r="710" spans="1:38" x14ac:dyDescent="0.25">
      <c r="A710" s="7">
        <v>8.7534422985812155E-2</v>
      </c>
      <c r="B710"/>
      <c r="C710"/>
      <c r="D710"/>
      <c r="E710"/>
    </row>
    <row r="711" spans="1:38" x14ac:dyDescent="0.25">
      <c r="A711" s="7">
        <v>8.5818061750796232E-2</v>
      </c>
      <c r="B711"/>
      <c r="C711"/>
      <c r="D711"/>
      <c r="E711"/>
    </row>
    <row r="712" spans="1:38" x14ac:dyDescent="0.25">
      <c r="A712" s="7">
        <v>8.4135354657643366E-2</v>
      </c>
      <c r="B712"/>
      <c r="C712"/>
      <c r="D712"/>
      <c r="E712"/>
    </row>
    <row r="713" spans="1:38" x14ac:dyDescent="0.25">
      <c r="A713" s="7">
        <v>8.248564182121898E-2</v>
      </c>
      <c r="B713"/>
      <c r="C713"/>
      <c r="D713"/>
      <c r="E713"/>
    </row>
    <row r="714" spans="1:38" x14ac:dyDescent="0.25">
      <c r="A714" s="7">
        <v>8.0868276295312735E-2</v>
      </c>
      <c r="B714"/>
      <c r="C714"/>
      <c r="D714"/>
      <c r="E714"/>
    </row>
    <row r="715" spans="1:38" x14ac:dyDescent="0.25">
      <c r="A715" s="7">
        <v>7.9282623818934056E-2</v>
      </c>
      <c r="B715"/>
      <c r="C715"/>
      <c r="D715"/>
      <c r="E715"/>
    </row>
    <row r="716" spans="1:38" x14ac:dyDescent="0.25">
      <c r="A716" s="7">
        <v>7.7728062567582412E-2</v>
      </c>
      <c r="B716"/>
      <c r="C716"/>
      <c r="D716"/>
      <c r="E716"/>
    </row>
    <row r="717" spans="1:38" x14ac:dyDescent="0.25">
      <c r="A717" s="7">
        <v>7.6203982909394521E-2</v>
      </c>
      <c r="B717"/>
      <c r="C717"/>
      <c r="D717"/>
      <c r="E717"/>
    </row>
    <row r="718" spans="1:38" x14ac:dyDescent="0.25">
      <c r="A718" s="7">
        <v>7.4709787166073058E-2</v>
      </c>
      <c r="B718"/>
      <c r="C718"/>
      <c r="D718"/>
      <c r="E718"/>
    </row>
    <row r="719" spans="1:38" x14ac:dyDescent="0.25">
      <c r="A719" s="7">
        <v>7.3244889378503E-2</v>
      </c>
      <c r="B719"/>
      <c r="C719"/>
      <c r="D719"/>
      <c r="E719"/>
    </row>
    <row r="720" spans="1:38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6" operator="equal">
      <formula>$U$1</formula>
    </cfRule>
    <cfRule type="cellIs" dxfId="89" priority="1167" operator="equal">
      <formula>$S$1</formula>
    </cfRule>
  </conditionalFormatting>
  <conditionalFormatting sqref="D27">
    <cfRule type="cellIs" dxfId="88" priority="1164" operator="equal">
      <formula>$S$1</formula>
    </cfRule>
    <cfRule type="cellIs" dxfId="87" priority="1165" operator="equal">
      <formula>$U$1</formula>
    </cfRule>
  </conditionalFormatting>
  <conditionalFormatting sqref="C164">
    <cfRule type="cellIs" dxfId="86" priority="1162" operator="equal">
      <formula>$U$1</formula>
    </cfRule>
    <cfRule type="cellIs" dxfId="85" priority="1163" operator="equal">
      <formula>$S$1</formula>
    </cfRule>
  </conditionalFormatting>
  <conditionalFormatting sqref="D164">
    <cfRule type="cellIs" dxfId="84" priority="1160" operator="equal">
      <formula>$S$1</formula>
    </cfRule>
    <cfRule type="cellIs" dxfId="83" priority="1161" operator="equal">
      <formula>$U$1</formula>
    </cfRule>
  </conditionalFormatting>
  <conditionalFormatting sqref="C55">
    <cfRule type="cellIs" dxfId="82" priority="1158" operator="equal">
      <formula>$U$1</formula>
    </cfRule>
    <cfRule type="cellIs" dxfId="81" priority="1159" operator="equal">
      <formula>$S$1</formula>
    </cfRule>
  </conditionalFormatting>
  <conditionalFormatting sqref="D55">
    <cfRule type="cellIs" dxfId="80" priority="1156" operator="equal">
      <formula>$S$1</formula>
    </cfRule>
    <cfRule type="cellIs" dxfId="79" priority="1157" operator="equal">
      <formula>$U$1</formula>
    </cfRule>
  </conditionalFormatting>
  <conditionalFormatting sqref="C89">
    <cfRule type="cellIs" dxfId="78" priority="1154" operator="equal">
      <formula>$U$1</formula>
    </cfRule>
    <cfRule type="cellIs" dxfId="77" priority="1155" operator="equal">
      <formula>$S$1</formula>
    </cfRule>
  </conditionalFormatting>
  <conditionalFormatting sqref="D89">
    <cfRule type="cellIs" dxfId="76" priority="1152" operator="equal">
      <formula>$S$1</formula>
    </cfRule>
    <cfRule type="cellIs" dxfId="75" priority="1153" operator="equal">
      <formula>$U$1</formula>
    </cfRule>
  </conditionalFormatting>
  <conditionalFormatting sqref="C136">
    <cfRule type="cellIs" dxfId="74" priority="1150" operator="equal">
      <formula>$U$1</formula>
    </cfRule>
    <cfRule type="cellIs" dxfId="73" priority="1151" operator="equal">
      <formula>$S$1</formula>
    </cfRule>
  </conditionalFormatting>
  <conditionalFormatting sqref="D136">
    <cfRule type="cellIs" dxfId="72" priority="1148" operator="equal">
      <formula>$S$1</formula>
    </cfRule>
    <cfRule type="cellIs" dxfId="71" priority="1149" operator="equal">
      <formula>$U$1</formula>
    </cfRule>
  </conditionalFormatting>
  <conditionalFormatting sqref="C1">
    <cfRule type="cellIs" dxfId="70" priority="114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5" zoomScale="90" zoomScaleNormal="90" workbookViewId="0">
      <pane xSplit="4" topLeftCell="CR1" activePane="topRight" state="frozen"/>
      <selection activeCell="A109" sqref="A109"/>
      <selection pane="topRight" activeCell="EQ241" sqref="EQ24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$A$240</v>
      </c>
      <c r="D111" s="1" t="str">
        <f>ADDRESS(C121-1,D121,1,1)</f>
        <v>$EQ$240</v>
      </c>
      <c r="E111"/>
    </row>
    <row r="112" spans="1:5" x14ac:dyDescent="0.25">
      <c r="A112" s="30">
        <v>515.50191262726139</v>
      </c>
      <c r="C112" s="1" t="str">
        <f>ADDRESS(C121,1,1,1)</f>
        <v>$A$241</v>
      </c>
      <c r="D112" s="1" t="str">
        <f>ADDRESS(C121,D121-1,1,1)</f>
        <v>$EP$241</v>
      </c>
      <c r="E112"/>
    </row>
    <row r="113" spans="1:5" x14ac:dyDescent="0.25">
      <c r="A113" s="30">
        <v>490.95420250215363</v>
      </c>
      <c r="C113" s="1" t="str">
        <f>ADDRESS(C121+1,1,1,1)</f>
        <v>$A$242</v>
      </c>
      <c r="D113" s="1" t="str">
        <f>ADDRESS(C121-1,D121+1,1,1)</f>
        <v>$ER$240</v>
      </c>
    </row>
    <row r="114" spans="1:5" x14ac:dyDescent="0.25">
      <c r="A114" s="30">
        <v>467.57543095443202</v>
      </c>
      <c r="C114" s="1" t="str">
        <f>ADDRESS(C121,D121,1,1)</f>
        <v>$EQ$241</v>
      </c>
      <c r="D114" s="1" t="str">
        <f>ADDRESS(C121+1,D121+1,1,1)</f>
        <v>$ER$242</v>
      </c>
    </row>
    <row r="115" spans="1:5" x14ac:dyDescent="0.25">
      <c r="A115" s="30">
        <v>445.30993424231622</v>
      </c>
      <c r="C115" s="1" t="str">
        <f>ADDRESS(C121+1,D121,1,1)</f>
        <v>$EQ$242</v>
      </c>
    </row>
    <row r="116" spans="1:5" x14ac:dyDescent="0.25">
      <c r="A116" s="30">
        <v>424.10469927839637</v>
      </c>
      <c r="C116" s="1">
        <f>C117-1</f>
        <v>240</v>
      </c>
    </row>
    <row r="117" spans="1:5" x14ac:dyDescent="0.25">
      <c r="A117" s="30">
        <v>403.9092374079965</v>
      </c>
      <c r="C117" s="1">
        <f>C121</f>
        <v>241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242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241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R241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0.952380952380952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41" x14ac:dyDescent="0.25">
      <c r="A209" s="30">
        <v>4.5380394939082018</v>
      </c>
      <c r="E209"/>
    </row>
    <row r="210" spans="1:141" x14ac:dyDescent="0.25">
      <c r="A210" s="30">
        <v>4.3219423751506678</v>
      </c>
      <c r="C210"/>
      <c r="E210"/>
    </row>
    <row r="211" spans="1:141" x14ac:dyDescent="0.25">
      <c r="A211" s="30">
        <v>4.1161355953815884</v>
      </c>
      <c r="E211"/>
    </row>
    <row r="212" spans="1:141" x14ac:dyDescent="0.25">
      <c r="A212" s="30">
        <v>3.9201291384586554</v>
      </c>
      <c r="E212"/>
    </row>
    <row r="213" spans="1:141" x14ac:dyDescent="0.25">
      <c r="A213" s="30">
        <v>3.7334563223415764</v>
      </c>
      <c r="E213"/>
    </row>
    <row r="214" spans="1:141" x14ac:dyDescent="0.25">
      <c r="A214" s="30">
        <v>3.5556726879443583</v>
      </c>
      <c r="E214"/>
    </row>
    <row r="215" spans="1:141" x14ac:dyDescent="0.25">
      <c r="A215" s="30">
        <v>3.3863549408993889</v>
      </c>
      <c r="E215"/>
    </row>
    <row r="216" spans="1:141" x14ac:dyDescent="0.25">
      <c r="A216" s="30">
        <v>3.2250999437137038</v>
      </c>
      <c r="E216"/>
    </row>
    <row r="217" spans="1:141" x14ac:dyDescent="0.25">
      <c r="A217" s="30">
        <v>3.0715237559178128</v>
      </c>
      <c r="E217"/>
    </row>
    <row r="218" spans="1:141" x14ac:dyDescent="0.25">
      <c r="A218" s="30">
        <v>2.9252607199217264</v>
      </c>
      <c r="E218"/>
      <c r="EE218" s="31" t="s">
        <v>8</v>
      </c>
    </row>
    <row r="219" spans="1:141" x14ac:dyDescent="0.25">
      <c r="A219" s="30">
        <v>2.7859625904016441</v>
      </c>
      <c r="E219"/>
      <c r="EE219" s="27" t="s">
        <v>8</v>
      </c>
      <c r="EF219" s="31" t="s">
        <v>7</v>
      </c>
    </row>
    <row r="220" spans="1:141" x14ac:dyDescent="0.25">
      <c r="A220" s="30">
        <v>2.6532977051444226</v>
      </c>
      <c r="E220"/>
      <c r="EE220" s="27" t="s">
        <v>8</v>
      </c>
      <c r="EF220" s="27" t="s">
        <v>7</v>
      </c>
      <c r="EG220" s="31"/>
    </row>
    <row r="221" spans="1:141" x14ac:dyDescent="0.25">
      <c r="A221" s="30">
        <v>2.5269501953756404</v>
      </c>
      <c r="E221"/>
      <c r="DS221" s="27" t="s">
        <v>8</v>
      </c>
      <c r="EE221" s="27" t="s">
        <v>8</v>
      </c>
      <c r="EF221" s="27" t="s">
        <v>7</v>
      </c>
      <c r="EH221" s="31"/>
    </row>
    <row r="222" spans="1:141" x14ac:dyDescent="0.25">
      <c r="A222" s="30">
        <v>2.4066192336910861</v>
      </c>
      <c r="E222"/>
      <c r="DQ222" s="27" t="s">
        <v>8</v>
      </c>
      <c r="DS222" s="27" t="s">
        <v>8</v>
      </c>
      <c r="DT222" s="27" t="s">
        <v>7</v>
      </c>
      <c r="EE222" s="27" t="s">
        <v>8</v>
      </c>
      <c r="EF222" s="27" t="s">
        <v>7</v>
      </c>
      <c r="EI222" s="31"/>
    </row>
    <row r="223" spans="1:141" x14ac:dyDescent="0.25">
      <c r="A223" s="30">
        <v>2.2920183178010345</v>
      </c>
      <c r="E223"/>
      <c r="DQ223" s="27" t="s">
        <v>8</v>
      </c>
      <c r="DR223" s="27" t="s">
        <v>7</v>
      </c>
      <c r="DS223" s="27" t="s">
        <v>8</v>
      </c>
      <c r="DT223" s="27" t="s">
        <v>7</v>
      </c>
      <c r="EA223" s="32" t="s">
        <v>8</v>
      </c>
      <c r="EC223" s="32" t="s">
        <v>8</v>
      </c>
      <c r="EE223" s="27" t="s">
        <v>8</v>
      </c>
      <c r="EF223" s="27" t="s">
        <v>7</v>
      </c>
      <c r="EJ223" s="31"/>
    </row>
    <row r="224" spans="1:141" x14ac:dyDescent="0.25">
      <c r="A224" s="30">
        <v>2.1828745883819374</v>
      </c>
      <c r="E224"/>
      <c r="DQ224" s="27" t="s">
        <v>8</v>
      </c>
      <c r="DR224" s="27" t="s">
        <v>7</v>
      </c>
      <c r="DS224" s="27" t="s">
        <v>8</v>
      </c>
      <c r="DT224" s="27" t="s">
        <v>7</v>
      </c>
      <c r="EA224" s="27" t="s">
        <v>8</v>
      </c>
      <c r="EB224" s="27" t="s">
        <v>7</v>
      </c>
      <c r="EC224" s="27" t="s">
        <v>8</v>
      </c>
      <c r="ED224" s="27" t="s">
        <v>7</v>
      </c>
      <c r="EE224" s="27" t="s">
        <v>8</v>
      </c>
      <c r="EF224" s="27" t="s">
        <v>7</v>
      </c>
      <c r="EK224" s="31"/>
    </row>
    <row r="225" spans="1:145" x14ac:dyDescent="0.25">
      <c r="A225" s="30">
        <v>2.0789281794113688</v>
      </c>
      <c r="E225"/>
      <c r="DQ225" s="27" t="s">
        <v>8</v>
      </c>
      <c r="DR225" s="27" t="s">
        <v>7</v>
      </c>
      <c r="DS225" s="27" t="s">
        <v>8</v>
      </c>
      <c r="DT225" s="27" t="s">
        <v>7</v>
      </c>
      <c r="DW225" s="32" t="s">
        <v>8</v>
      </c>
      <c r="DY225" s="32" t="s">
        <v>8</v>
      </c>
      <c r="EA225" s="27" t="s">
        <v>8</v>
      </c>
      <c r="EB225" s="27" t="s">
        <v>7</v>
      </c>
      <c r="EC225" s="27" t="s">
        <v>8</v>
      </c>
      <c r="ED225" s="27" t="s">
        <v>7</v>
      </c>
      <c r="EE225" s="27" t="s">
        <v>8</v>
      </c>
      <c r="EF225" s="27" t="s">
        <v>7</v>
      </c>
      <c r="EL225" s="31"/>
    </row>
    <row r="226" spans="1:145" x14ac:dyDescent="0.25">
      <c r="A226" s="30">
        <v>1.9799315994393987</v>
      </c>
      <c r="E226"/>
      <c r="DQ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W226" s="27" t="s">
        <v>8</v>
      </c>
      <c r="DX226" s="27" t="s">
        <v>7</v>
      </c>
      <c r="DY226" s="27" t="s">
        <v>8</v>
      </c>
      <c r="DZ226" s="27" t="s">
        <v>7</v>
      </c>
      <c r="EA226" s="27" t="s">
        <v>8</v>
      </c>
      <c r="EB226" s="27" t="s">
        <v>7</v>
      </c>
      <c r="EC226" s="27" t="s">
        <v>8</v>
      </c>
      <c r="ED226" s="27" t="s">
        <v>7</v>
      </c>
      <c r="EE226" s="27" t="s">
        <v>8</v>
      </c>
      <c r="EF226" s="27" t="s">
        <v>7</v>
      </c>
      <c r="EG226" s="27" t="s">
        <v>8</v>
      </c>
      <c r="EM226" s="31"/>
    </row>
    <row r="227" spans="1:145" x14ac:dyDescent="0.25">
      <c r="A227" s="30">
        <v>1.8856491423232367</v>
      </c>
      <c r="E227"/>
      <c r="DQ227" s="27" t="s">
        <v>8</v>
      </c>
      <c r="DR227" s="27" t="s">
        <v>7</v>
      </c>
      <c r="DT227" s="27" t="s">
        <v>7</v>
      </c>
      <c r="DU227" s="27" t="s">
        <v>8</v>
      </c>
      <c r="DV227" s="27" t="s">
        <v>7</v>
      </c>
      <c r="DW227" s="27" t="s">
        <v>8</v>
      </c>
      <c r="DX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  <c r="ED227" s="27" t="s">
        <v>7</v>
      </c>
      <c r="EE227" s="31" t="s">
        <v>8</v>
      </c>
      <c r="EF227" s="27" t="s">
        <v>7</v>
      </c>
      <c r="EG227" s="27" t="s">
        <v>8</v>
      </c>
      <c r="EH227" s="27" t="s">
        <v>7</v>
      </c>
    </row>
    <row r="228" spans="1:145" x14ac:dyDescent="0.25">
      <c r="A228" s="30">
        <v>1.7958563260221301</v>
      </c>
      <c r="C228" s="7"/>
      <c r="D228"/>
      <c r="E228"/>
      <c r="BU228" s="27" t="s">
        <v>8</v>
      </c>
      <c r="CQ228" s="27" t="s">
        <v>8</v>
      </c>
      <c r="DQ228" s="27" t="s">
        <v>8</v>
      </c>
      <c r="DT228" s="27" t="s">
        <v>7</v>
      </c>
      <c r="DU228" s="27" t="s">
        <v>8</v>
      </c>
      <c r="DV228" s="27" t="s">
        <v>7</v>
      </c>
      <c r="DW228" s="27" t="s">
        <v>8</v>
      </c>
      <c r="DX228" s="27" t="s">
        <v>7</v>
      </c>
      <c r="DY228" s="27" t="s">
        <v>8</v>
      </c>
      <c r="DZ228" s="27" t="s">
        <v>7</v>
      </c>
      <c r="EA228" s="27" t="s">
        <v>8</v>
      </c>
      <c r="ED228" s="31" t="s">
        <v>7</v>
      </c>
      <c r="EE228" s="27" t="s">
        <v>8</v>
      </c>
      <c r="EF228" s="27" t="s">
        <v>7</v>
      </c>
      <c r="EG228" s="27" t="s">
        <v>8</v>
      </c>
      <c r="EH228" s="27" t="s">
        <v>7</v>
      </c>
      <c r="EI228" s="27" t="s">
        <v>8</v>
      </c>
      <c r="EM228" s="27" t="s">
        <v>8</v>
      </c>
    </row>
    <row r="229" spans="1:145" x14ac:dyDescent="0.25">
      <c r="A229" s="30">
        <v>1.7103393581163142</v>
      </c>
      <c r="E229"/>
      <c r="BU229" s="27" t="s">
        <v>8</v>
      </c>
      <c r="BV229" s="27" t="s">
        <v>7</v>
      </c>
      <c r="CQ229" s="27" t="s">
        <v>8</v>
      </c>
      <c r="CR229" s="27" t="s">
        <v>7</v>
      </c>
      <c r="DQ229" s="27" t="s">
        <v>8</v>
      </c>
      <c r="DT229" s="27" t="s">
        <v>7</v>
      </c>
      <c r="DU229" s="27" t="s">
        <v>8</v>
      </c>
      <c r="DV229" s="27" t="s">
        <v>7</v>
      </c>
      <c r="DW229" s="27" t="s">
        <v>8</v>
      </c>
      <c r="DX229" s="27" t="s">
        <v>7</v>
      </c>
      <c r="DY229" s="27" t="s">
        <v>8</v>
      </c>
      <c r="DZ229" s="27" t="s">
        <v>7</v>
      </c>
      <c r="EC229" s="31"/>
      <c r="ED229" s="27" t="s">
        <v>7</v>
      </c>
      <c r="EE229" s="27" t="s">
        <v>8</v>
      </c>
      <c r="EF229" s="27" t="s">
        <v>7</v>
      </c>
      <c r="EG229" s="27" t="s">
        <v>8</v>
      </c>
      <c r="EH229" s="27" t="s">
        <v>7</v>
      </c>
      <c r="EI229" s="27" t="s">
        <v>8</v>
      </c>
      <c r="EJ229" s="27" t="s">
        <v>7</v>
      </c>
      <c r="EK229" s="27" t="s">
        <v>8</v>
      </c>
      <c r="EM229" s="27" t="s">
        <v>8</v>
      </c>
      <c r="EN229" s="27" t="s">
        <v>7</v>
      </c>
    </row>
    <row r="230" spans="1:145" x14ac:dyDescent="0.25">
      <c r="A230" s="30">
        <v>1.628894626777442</v>
      </c>
      <c r="E230"/>
      <c r="BU230" s="27" t="s">
        <v>8</v>
      </c>
      <c r="BV230" s="27" t="s">
        <v>7</v>
      </c>
      <c r="BW230" s="27" t="s">
        <v>8</v>
      </c>
      <c r="CQ230" s="27" t="s">
        <v>8</v>
      </c>
      <c r="CR230" s="27" t="s">
        <v>7</v>
      </c>
      <c r="CU230" s="31" t="s">
        <v>8</v>
      </c>
      <c r="DQ230" s="27" t="s">
        <v>8</v>
      </c>
      <c r="DT230" s="27" t="s">
        <v>7</v>
      </c>
      <c r="DU230" s="27" t="s">
        <v>8</v>
      </c>
      <c r="DV230" s="27" t="s">
        <v>7</v>
      </c>
      <c r="DW230" s="27" t="s">
        <v>8</v>
      </c>
      <c r="DX230" s="27" t="s">
        <v>7</v>
      </c>
      <c r="EB230" s="31"/>
      <c r="ED230" s="32" t="s">
        <v>7</v>
      </c>
      <c r="EF230" s="32" t="s">
        <v>7</v>
      </c>
      <c r="EH230" s="27" t="s">
        <v>7</v>
      </c>
      <c r="EI230" s="27" t="s">
        <v>8</v>
      </c>
      <c r="EJ230" s="27" t="s">
        <v>7</v>
      </c>
      <c r="EK230" s="27" t="s">
        <v>8</v>
      </c>
      <c r="EL230" s="27" t="s">
        <v>7</v>
      </c>
      <c r="EM230" s="27" t="s">
        <v>8</v>
      </c>
      <c r="EN230" s="27" t="s">
        <v>7</v>
      </c>
    </row>
    <row r="231" spans="1:145" x14ac:dyDescent="0.25">
      <c r="A231" s="30">
        <v>1.5513282159785162</v>
      </c>
      <c r="C231"/>
      <c r="D231"/>
      <c r="E231"/>
      <c r="BU231" s="27" t="s">
        <v>8</v>
      </c>
      <c r="BV231" s="27" t="s">
        <v>7</v>
      </c>
      <c r="BW231" s="27" t="s">
        <v>8</v>
      </c>
      <c r="BX231" s="27" t="s">
        <v>7</v>
      </c>
      <c r="CQ231" s="27" t="s">
        <v>8</v>
      </c>
      <c r="CR231" s="27" t="s">
        <v>7</v>
      </c>
      <c r="CU231" s="33" t="s">
        <v>8</v>
      </c>
      <c r="CV231" s="31" t="s">
        <v>7</v>
      </c>
      <c r="DQ231" s="27" t="s">
        <v>8</v>
      </c>
      <c r="DT231" s="32" t="s">
        <v>7</v>
      </c>
      <c r="DV231" s="32" t="s">
        <v>7</v>
      </c>
      <c r="EA231" s="31"/>
      <c r="EH231" s="27" t="s">
        <v>7</v>
      </c>
      <c r="EI231" s="27" t="s">
        <v>8</v>
      </c>
      <c r="EJ231" s="27" t="s">
        <v>7</v>
      </c>
      <c r="EK231" s="27" t="s">
        <v>8</v>
      </c>
      <c r="EL231" s="27" t="s">
        <v>7</v>
      </c>
      <c r="EM231" s="27" t="s">
        <v>8</v>
      </c>
      <c r="EN231" s="31" t="s">
        <v>7</v>
      </c>
    </row>
    <row r="232" spans="1:145" x14ac:dyDescent="0.25">
      <c r="A232" s="30">
        <v>1.477455443789063</v>
      </c>
      <c r="E232"/>
      <c r="BU232" s="27" t="s">
        <v>8</v>
      </c>
      <c r="BV232" s="27" t="s">
        <v>7</v>
      </c>
      <c r="BW232" s="27" t="s">
        <v>8</v>
      </c>
      <c r="BX232" s="27" t="s">
        <v>7</v>
      </c>
      <c r="CA232" s="27" t="s">
        <v>8</v>
      </c>
      <c r="CO232" s="27" t="s">
        <v>8</v>
      </c>
      <c r="CQ232" s="27" t="s">
        <v>8</v>
      </c>
      <c r="CR232" s="27" t="s">
        <v>7</v>
      </c>
      <c r="CS232" s="27" t="s">
        <v>8</v>
      </c>
      <c r="CU232" s="27" t="s">
        <v>8</v>
      </c>
      <c r="CV232" s="27" t="s">
        <v>7</v>
      </c>
      <c r="CW232" s="31" t="s">
        <v>8</v>
      </c>
      <c r="DO232" s="27" t="s">
        <v>8</v>
      </c>
      <c r="DQ232" s="27" t="s">
        <v>8</v>
      </c>
      <c r="DZ232" s="31"/>
      <c r="EH232" s="27" t="s">
        <v>7</v>
      </c>
      <c r="EI232" s="27" t="s">
        <v>8</v>
      </c>
      <c r="EJ232" s="27" t="s">
        <v>7</v>
      </c>
      <c r="EK232" s="27" t="s">
        <v>8</v>
      </c>
      <c r="EL232" s="27" t="s">
        <v>7</v>
      </c>
      <c r="EM232" s="31" t="s">
        <v>8</v>
      </c>
      <c r="EN232" s="27" t="s">
        <v>7</v>
      </c>
    </row>
    <row r="233" spans="1:145" x14ac:dyDescent="0.25">
      <c r="A233" s="30">
        <v>1.4071004226562505</v>
      </c>
      <c r="E233"/>
      <c r="BU233" s="27" t="s">
        <v>8</v>
      </c>
      <c r="BV233" s="27" t="s">
        <v>7</v>
      </c>
      <c r="BX233" s="27" t="s">
        <v>7</v>
      </c>
      <c r="BY233" s="27" t="s">
        <v>8</v>
      </c>
      <c r="CA233" s="27" t="s">
        <v>8</v>
      </c>
      <c r="CB233" s="27" t="s">
        <v>7</v>
      </c>
      <c r="CO233" s="33" t="s">
        <v>8</v>
      </c>
      <c r="CP233" s="27" t="s">
        <v>7</v>
      </c>
      <c r="CQ233" s="27" t="s">
        <v>8</v>
      </c>
      <c r="CR233" s="27" t="s">
        <v>7</v>
      </c>
      <c r="CS233" s="27" t="s">
        <v>8</v>
      </c>
      <c r="CT233" s="27" t="s">
        <v>7</v>
      </c>
      <c r="CU233" s="27" t="s">
        <v>8</v>
      </c>
      <c r="CV233" s="27" t="s">
        <v>7</v>
      </c>
      <c r="CW233" s="27" t="s">
        <v>8</v>
      </c>
      <c r="CX233" s="31" t="s">
        <v>7</v>
      </c>
      <c r="DO233" s="27" t="s">
        <v>8</v>
      </c>
      <c r="DP233" s="27" t="s">
        <v>7</v>
      </c>
      <c r="DQ233" s="27" t="s">
        <v>8</v>
      </c>
      <c r="DY233" s="31"/>
      <c r="EH233" s="27" t="s">
        <v>7</v>
      </c>
      <c r="EI233" s="27" t="s">
        <v>8</v>
      </c>
      <c r="EJ233" s="27" t="s">
        <v>7</v>
      </c>
      <c r="EK233" s="27" t="s">
        <v>8</v>
      </c>
      <c r="EL233" s="31" t="s">
        <v>7</v>
      </c>
      <c r="EN233" s="27" t="s">
        <v>7</v>
      </c>
    </row>
    <row r="234" spans="1:145" x14ac:dyDescent="0.25">
      <c r="A234" s="30">
        <v>1.3400956406250004</v>
      </c>
      <c r="E234"/>
      <c r="BU234" s="27" t="s">
        <v>8</v>
      </c>
      <c r="BX234" s="27" t="s">
        <v>7</v>
      </c>
      <c r="BY234" s="27" t="s">
        <v>8</v>
      </c>
      <c r="BZ234" s="27" t="s">
        <v>7</v>
      </c>
      <c r="CA234" s="27" t="s">
        <v>8</v>
      </c>
      <c r="CB234" s="27" t="s">
        <v>7</v>
      </c>
      <c r="CK234" s="27" t="s">
        <v>8</v>
      </c>
      <c r="CM234" s="27" t="s">
        <v>8</v>
      </c>
      <c r="CO234" s="27" t="s">
        <v>8</v>
      </c>
      <c r="CP234" s="27" t="s">
        <v>7</v>
      </c>
      <c r="CQ234" s="27" t="s">
        <v>8</v>
      </c>
      <c r="CR234" s="27" t="s">
        <v>7</v>
      </c>
      <c r="CS234" s="27" t="s">
        <v>8</v>
      </c>
      <c r="CT234" s="27" t="s">
        <v>7</v>
      </c>
      <c r="CU234" s="27" t="s">
        <v>8</v>
      </c>
      <c r="CV234" s="27" t="s">
        <v>7</v>
      </c>
      <c r="CW234" s="27" t="s">
        <v>8</v>
      </c>
      <c r="CX234" s="27" t="s">
        <v>7</v>
      </c>
      <c r="CY234" s="31"/>
      <c r="DO234" s="27" t="s">
        <v>8</v>
      </c>
      <c r="DP234" s="27" t="s">
        <v>7</v>
      </c>
      <c r="DQ234" s="27" t="s">
        <v>8</v>
      </c>
      <c r="DX234" s="31"/>
      <c r="EH234" s="27" t="s">
        <v>7</v>
      </c>
      <c r="EJ234" s="27" t="s">
        <v>7</v>
      </c>
      <c r="EK234" s="31" t="s">
        <v>8</v>
      </c>
      <c r="EN234" s="27" t="s">
        <v>7</v>
      </c>
    </row>
    <row r="235" spans="1:145" x14ac:dyDescent="0.25">
      <c r="A235" s="30">
        <v>1.2762815625000004</v>
      </c>
      <c r="C235"/>
      <c r="E235"/>
      <c r="BU235" s="27" t="s">
        <v>8</v>
      </c>
      <c r="BX235" s="27" t="s">
        <v>7</v>
      </c>
      <c r="BY235" s="27" t="s">
        <v>8</v>
      </c>
      <c r="BZ235" s="27" t="s">
        <v>7</v>
      </c>
      <c r="CA235" s="27" t="s">
        <v>8</v>
      </c>
      <c r="CB235" s="27" t="s">
        <v>7</v>
      </c>
      <c r="CK235" s="27" t="s">
        <v>8</v>
      </c>
      <c r="CL235" s="27" t="s">
        <v>7</v>
      </c>
      <c r="CM235" s="27" t="s">
        <v>8</v>
      </c>
      <c r="CN235" s="27" t="s">
        <v>7</v>
      </c>
      <c r="CO235" s="27" t="s">
        <v>8</v>
      </c>
      <c r="CP235" s="27" t="s">
        <v>7</v>
      </c>
      <c r="CR235" s="27" t="s">
        <v>7</v>
      </c>
      <c r="CS235" s="27" t="s">
        <v>8</v>
      </c>
      <c r="CT235" s="27" t="s">
        <v>7</v>
      </c>
      <c r="CU235" s="27" t="s">
        <v>8</v>
      </c>
      <c r="CV235" s="27" t="s">
        <v>7</v>
      </c>
      <c r="CW235" s="27" t="s">
        <v>8</v>
      </c>
      <c r="CX235" s="27" t="s">
        <v>7</v>
      </c>
      <c r="CZ235" s="31"/>
      <c r="DO235" s="27" t="s">
        <v>8</v>
      </c>
      <c r="DP235" s="27" t="s">
        <v>7</v>
      </c>
      <c r="DQ235" s="27" t="s">
        <v>8</v>
      </c>
      <c r="DW235" s="31"/>
      <c r="EJ235" s="31" t="s">
        <v>7</v>
      </c>
      <c r="EN235" s="27" t="s">
        <v>7</v>
      </c>
    </row>
    <row r="236" spans="1:145" x14ac:dyDescent="0.25">
      <c r="A236" s="30">
        <v>1.2155062500000002</v>
      </c>
      <c r="E236"/>
      <c r="BU236" s="27" t="s">
        <v>8</v>
      </c>
      <c r="BX236" s="27" t="s">
        <v>7</v>
      </c>
      <c r="BZ236" s="27" t="s">
        <v>7</v>
      </c>
      <c r="CB236" s="27" t="s">
        <v>7</v>
      </c>
      <c r="CG236" s="33" t="s">
        <v>8</v>
      </c>
      <c r="CI236" s="27" t="s">
        <v>8</v>
      </c>
      <c r="CK236" s="27" t="s">
        <v>8</v>
      </c>
      <c r="CL236" s="27" t="s">
        <v>7</v>
      </c>
      <c r="CM236" s="31" t="s">
        <v>8</v>
      </c>
      <c r="CN236" s="27" t="s">
        <v>7</v>
      </c>
      <c r="CO236" s="27" t="s">
        <v>8</v>
      </c>
      <c r="CR236" s="34" t="s">
        <v>7</v>
      </c>
      <c r="CT236" s="27" t="s">
        <v>7</v>
      </c>
      <c r="CU236" s="27" t="s">
        <v>8</v>
      </c>
      <c r="CV236" s="27" t="s">
        <v>7</v>
      </c>
      <c r="CX236" s="27" t="s">
        <v>7</v>
      </c>
      <c r="DA236" s="31"/>
      <c r="DM236" s="27" t="s">
        <v>8</v>
      </c>
      <c r="DO236" s="27" t="s">
        <v>8</v>
      </c>
      <c r="DP236" s="27" t="s">
        <v>7</v>
      </c>
      <c r="DQ236" s="27" t="s">
        <v>8</v>
      </c>
      <c r="DV236" s="31"/>
      <c r="EN236" s="27" t="s">
        <v>7</v>
      </c>
    </row>
    <row r="237" spans="1:14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U237" s="27" t="s">
        <v>8</v>
      </c>
      <c r="CB237" s="34" t="s">
        <v>7</v>
      </c>
      <c r="CC237" s="27" t="s">
        <v>8</v>
      </c>
      <c r="CE237" s="27" t="s">
        <v>8</v>
      </c>
      <c r="CG237" s="27" t="s">
        <v>8</v>
      </c>
      <c r="CH237" s="27" t="s">
        <v>7</v>
      </c>
      <c r="CI237" s="27" t="s">
        <v>8</v>
      </c>
      <c r="CJ237" s="27" t="s">
        <v>7</v>
      </c>
      <c r="CK237" s="27" t="s">
        <v>8</v>
      </c>
      <c r="CL237" s="31" t="s">
        <v>7</v>
      </c>
      <c r="CN237" s="27" t="s">
        <v>7</v>
      </c>
      <c r="CO237" s="27" t="s">
        <v>8</v>
      </c>
      <c r="CT237" s="27" t="s">
        <v>7</v>
      </c>
      <c r="CU237" s="27" t="s">
        <v>8</v>
      </c>
      <c r="CX237" s="33" t="s">
        <v>7</v>
      </c>
      <c r="DB237" s="31"/>
      <c r="DM237" s="27" t="s">
        <v>8</v>
      </c>
      <c r="DN237" s="27" t="s">
        <v>7</v>
      </c>
      <c r="DO237" s="27" t="s">
        <v>8</v>
      </c>
      <c r="DP237" s="27" t="s">
        <v>7</v>
      </c>
      <c r="DQ237" s="27" t="s">
        <v>8</v>
      </c>
      <c r="DU237" s="31"/>
      <c r="EN237" s="27" t="s">
        <v>7</v>
      </c>
    </row>
    <row r="238" spans="1:145" x14ac:dyDescent="0.25">
      <c r="A238" s="30">
        <v>1.1025</v>
      </c>
      <c r="E238"/>
      <c r="BU238" s="27" t="s">
        <v>8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G238" s="27" t="s">
        <v>8</v>
      </c>
      <c r="CH238" s="27" t="s">
        <v>7</v>
      </c>
      <c r="CI238" s="27" t="s">
        <v>8</v>
      </c>
      <c r="CJ238" s="27" t="s">
        <v>7</v>
      </c>
      <c r="CK238" s="31" t="s">
        <v>8</v>
      </c>
      <c r="CN238" s="34" t="s">
        <v>7</v>
      </c>
      <c r="CO238" s="27" t="s">
        <v>8</v>
      </c>
      <c r="CT238" s="27" t="s">
        <v>7</v>
      </c>
      <c r="CU238" s="27" t="s">
        <v>8</v>
      </c>
      <c r="CX238" s="27" t="s">
        <v>7</v>
      </c>
      <c r="CY238" s="27" t="s">
        <v>8</v>
      </c>
      <c r="DC238" s="31"/>
      <c r="DE238" s="32" t="s">
        <v>8</v>
      </c>
      <c r="DG238" s="32" t="s">
        <v>8</v>
      </c>
      <c r="DM238" s="27" t="s">
        <v>8</v>
      </c>
      <c r="DN238" s="27" t="s">
        <v>7</v>
      </c>
      <c r="DO238" s="27" t="s">
        <v>8</v>
      </c>
      <c r="DP238" s="27" t="s">
        <v>7</v>
      </c>
      <c r="DQ238" s="27" t="s">
        <v>8</v>
      </c>
      <c r="DT238" s="31"/>
      <c r="EN238" s="27" t="s">
        <v>7</v>
      </c>
    </row>
    <row r="239" spans="1:145" x14ac:dyDescent="0.25">
      <c r="A239" s="30">
        <v>1.05</v>
      </c>
      <c r="E239"/>
      <c r="BU239" s="27" t="s">
        <v>8</v>
      </c>
      <c r="CB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G239" s="27" t="s">
        <v>8</v>
      </c>
      <c r="CH239" s="27" t="s">
        <v>7</v>
      </c>
      <c r="CJ239" s="31" t="s">
        <v>7</v>
      </c>
      <c r="CN239" s="27" t="s">
        <v>7</v>
      </c>
      <c r="CO239" s="27" t="s">
        <v>8</v>
      </c>
      <c r="CT239" s="27" t="s">
        <v>7</v>
      </c>
      <c r="CU239" s="27" t="s">
        <v>8</v>
      </c>
      <c r="CX239" s="27" t="s">
        <v>7</v>
      </c>
      <c r="CY239" s="27" t="s">
        <v>8</v>
      </c>
      <c r="CZ239" s="27" t="s">
        <v>7</v>
      </c>
      <c r="DC239" s="27" t="s">
        <v>8</v>
      </c>
      <c r="DD239" s="31"/>
      <c r="DE239" s="27" t="s">
        <v>8</v>
      </c>
      <c r="DF239" s="27" t="s">
        <v>7</v>
      </c>
      <c r="DG239" s="27" t="s">
        <v>8</v>
      </c>
      <c r="DH239" s="31" t="s">
        <v>7</v>
      </c>
      <c r="DM239" s="27" t="s">
        <v>8</v>
      </c>
      <c r="DN239" s="27" t="s">
        <v>7</v>
      </c>
      <c r="DO239" s="27" t="s">
        <v>8</v>
      </c>
      <c r="DP239" s="27" t="s">
        <v>7</v>
      </c>
      <c r="DS239" s="31"/>
      <c r="EN239" s="27" t="s">
        <v>7</v>
      </c>
    </row>
    <row r="240" spans="1:145" x14ac:dyDescent="0.25">
      <c r="A240" s="30">
        <v>1</v>
      </c>
      <c r="E240" s="29" t="s">
        <v>8</v>
      </c>
      <c r="BU240" s="27" t="s">
        <v>8</v>
      </c>
      <c r="CB240" s="27" t="s">
        <v>7</v>
      </c>
      <c r="CC240" s="27" t="s">
        <v>8</v>
      </c>
      <c r="CD240" s="27" t="s">
        <v>7</v>
      </c>
      <c r="CE240" s="27" t="s">
        <v>8</v>
      </c>
      <c r="CF240" s="27" t="s">
        <v>7</v>
      </c>
      <c r="CG240" s="27" t="s">
        <v>8</v>
      </c>
      <c r="CI240" s="31"/>
      <c r="CN240" s="27" t="s">
        <v>7</v>
      </c>
      <c r="CT240" s="27" t="s">
        <v>7</v>
      </c>
      <c r="CU240" s="27" t="s">
        <v>8</v>
      </c>
      <c r="CX240" s="27" t="s">
        <v>7</v>
      </c>
      <c r="CY240" s="27" t="s">
        <v>8</v>
      </c>
      <c r="CZ240" s="27" t="s">
        <v>7</v>
      </c>
      <c r="DA240" s="27" t="s">
        <v>8</v>
      </c>
      <c r="DC240" s="27" t="s">
        <v>8</v>
      </c>
      <c r="DD240" s="27" t="s">
        <v>7</v>
      </c>
      <c r="DE240" s="31" t="s">
        <v>8</v>
      </c>
      <c r="DF240" s="27" t="s">
        <v>7</v>
      </c>
      <c r="DG240" s="27" t="s">
        <v>8</v>
      </c>
      <c r="DH240" s="27" t="s">
        <v>7</v>
      </c>
      <c r="DI240" s="31"/>
      <c r="DK240" s="27" t="s">
        <v>8</v>
      </c>
      <c r="DM240" s="27" t="s">
        <v>8</v>
      </c>
      <c r="DN240" s="27" t="s">
        <v>7</v>
      </c>
      <c r="DR240" s="31"/>
      <c r="EN240" s="27" t="s">
        <v>7</v>
      </c>
      <c r="EO240" s="27" t="s">
        <v>8</v>
      </c>
    </row>
    <row r="241" spans="1:147" x14ac:dyDescent="0.25">
      <c r="A241" s="30">
        <v>0.952380952380952</v>
      </c>
      <c r="B241"/>
      <c r="C241"/>
      <c r="D241"/>
      <c r="E241"/>
      <c r="F241" s="27" t="s">
        <v>7</v>
      </c>
      <c r="BU241" s="27" t="s">
        <v>8</v>
      </c>
      <c r="CB241" s="27" t="s">
        <v>7</v>
      </c>
      <c r="CC241" s="27" t="s">
        <v>8</v>
      </c>
      <c r="CD241" s="27" t="s">
        <v>7</v>
      </c>
      <c r="CE241" s="27" t="s">
        <v>8</v>
      </c>
      <c r="CF241" s="27" t="s">
        <v>7</v>
      </c>
      <c r="CH241" s="31"/>
      <c r="CT241" s="27" t="s">
        <v>7</v>
      </c>
      <c r="CX241" s="27" t="s">
        <v>7</v>
      </c>
      <c r="CY241" s="27" t="s">
        <v>8</v>
      </c>
      <c r="CZ241" s="27" t="s">
        <v>7</v>
      </c>
      <c r="DA241" s="27" t="s">
        <v>8</v>
      </c>
      <c r="DB241" s="27" t="s">
        <v>7</v>
      </c>
      <c r="DC241" s="27" t="s">
        <v>8</v>
      </c>
      <c r="DD241" s="27" t="s">
        <v>7</v>
      </c>
      <c r="DE241" s="27" t="s">
        <v>8</v>
      </c>
      <c r="DF241" s="27" t="s">
        <v>7</v>
      </c>
      <c r="DG241" s="27" t="s">
        <v>8</v>
      </c>
      <c r="DH241" s="27" t="s">
        <v>7</v>
      </c>
      <c r="DJ241" s="31"/>
      <c r="DK241" s="33" t="s">
        <v>8</v>
      </c>
      <c r="DL241" s="27" t="s">
        <v>7</v>
      </c>
      <c r="DM241" s="27" t="s">
        <v>8</v>
      </c>
      <c r="DQ241" s="31"/>
      <c r="EN241" s="27" t="s">
        <v>7</v>
      </c>
      <c r="EO241" s="27" t="s">
        <v>8</v>
      </c>
      <c r="EP241" s="27" t="s">
        <v>7</v>
      </c>
      <c r="EQ241" s="27" t="s">
        <v>8</v>
      </c>
    </row>
    <row r="242" spans="1:147" x14ac:dyDescent="0.25">
      <c r="A242" s="30">
        <v>0.90702947845804915</v>
      </c>
      <c r="B242"/>
      <c r="C242"/>
      <c r="D242"/>
      <c r="E242"/>
      <c r="F242" s="27" t="s">
        <v>7</v>
      </c>
      <c r="BU242" s="27" t="s">
        <v>8</v>
      </c>
      <c r="CB242" s="27" t="s">
        <v>7</v>
      </c>
      <c r="CC242" s="27" t="s">
        <v>8</v>
      </c>
      <c r="CD242" s="27" t="s">
        <v>7</v>
      </c>
      <c r="CG242" s="31"/>
      <c r="CX242" s="27" t="s">
        <v>7</v>
      </c>
      <c r="CY242" s="27" t="s">
        <v>8</v>
      </c>
      <c r="CZ242" s="27" t="s">
        <v>7</v>
      </c>
      <c r="DA242" s="27" t="s">
        <v>8</v>
      </c>
      <c r="DB242" s="27" t="s">
        <v>7</v>
      </c>
      <c r="DC242" s="27" t="s">
        <v>8</v>
      </c>
      <c r="DD242" s="27" t="s">
        <v>7</v>
      </c>
      <c r="DE242" s="27" t="s">
        <v>8</v>
      </c>
      <c r="DF242" s="27" t="s">
        <v>7</v>
      </c>
      <c r="DG242" s="27" t="s">
        <v>8</v>
      </c>
      <c r="DH242" s="27" t="s">
        <v>7</v>
      </c>
      <c r="DI242" s="27" t="s">
        <v>8</v>
      </c>
      <c r="DK242" s="31" t="s">
        <v>8</v>
      </c>
      <c r="DL242" s="27" t="s">
        <v>7</v>
      </c>
      <c r="DM242" s="27" t="s">
        <v>8</v>
      </c>
      <c r="DP242" s="31"/>
      <c r="EN242" s="27" t="s">
        <v>7</v>
      </c>
      <c r="EO242" s="27" t="s">
        <v>8</v>
      </c>
      <c r="EP242" s="27" t="s">
        <v>7</v>
      </c>
      <c r="EQ242" s="27" t="s">
        <v>8</v>
      </c>
    </row>
    <row r="243" spans="1:147" x14ac:dyDescent="0.25">
      <c r="A243" s="30">
        <v>0.86383759853147501</v>
      </c>
      <c r="B243"/>
      <c r="C243"/>
      <c r="D243"/>
      <c r="E243"/>
      <c r="F243" s="27" t="s">
        <v>7</v>
      </c>
      <c r="BS243" s="27" t="s">
        <v>8</v>
      </c>
      <c r="BU243" s="27" t="s">
        <v>8</v>
      </c>
      <c r="CB243" s="27" t="s">
        <v>7</v>
      </c>
      <c r="CF243" s="31"/>
      <c r="CX243" s="27" t="s">
        <v>7</v>
      </c>
      <c r="CY243" s="27" t="s">
        <v>8</v>
      </c>
      <c r="CZ243" s="27" t="s">
        <v>7</v>
      </c>
      <c r="DB243" s="27" t="s">
        <v>7</v>
      </c>
      <c r="DC243" s="27" t="s">
        <v>8</v>
      </c>
      <c r="DD243" s="27" t="s">
        <v>7</v>
      </c>
      <c r="DE243" s="27" t="s">
        <v>8</v>
      </c>
      <c r="DF243" s="27" t="s">
        <v>7</v>
      </c>
      <c r="DH243" s="27" t="s">
        <v>7</v>
      </c>
      <c r="DI243" s="27" t="s">
        <v>8</v>
      </c>
      <c r="DJ243" s="27" t="s">
        <v>7</v>
      </c>
      <c r="DK243" s="27" t="s">
        <v>8</v>
      </c>
      <c r="DL243" s="31" t="s">
        <v>7</v>
      </c>
      <c r="DO243" s="31"/>
      <c r="EN243" s="27" t="s">
        <v>7</v>
      </c>
      <c r="EO243" s="27" t="s">
        <v>8</v>
      </c>
      <c r="EP243" s="27" t="s">
        <v>7</v>
      </c>
      <c r="EQ243" s="27" t="s">
        <v>8</v>
      </c>
    </row>
    <row r="244" spans="1:147" x14ac:dyDescent="0.25">
      <c r="A244" s="30">
        <v>0.82270247479188063</v>
      </c>
      <c r="B244"/>
      <c r="C244"/>
      <c r="D244"/>
      <c r="E244"/>
      <c r="F244" s="27" t="s">
        <v>7</v>
      </c>
      <c r="BS244" s="27" t="s">
        <v>8</v>
      </c>
      <c r="BT244" s="27" t="s">
        <v>7</v>
      </c>
      <c r="BU244" s="27" t="s">
        <v>8</v>
      </c>
      <c r="CE244" s="31"/>
      <c r="CX244" s="27" t="s">
        <v>7</v>
      </c>
      <c r="CY244" s="27" t="s">
        <v>8</v>
      </c>
      <c r="DB244" s="34" t="s">
        <v>7</v>
      </c>
      <c r="DC244" s="27" t="s">
        <v>8</v>
      </c>
      <c r="DD244" s="27" t="s">
        <v>7</v>
      </c>
      <c r="DE244" s="27" t="s">
        <v>8</v>
      </c>
      <c r="DH244" s="27" t="s">
        <v>7</v>
      </c>
      <c r="DI244" s="27" t="s">
        <v>8</v>
      </c>
      <c r="DJ244" s="27" t="s">
        <v>7</v>
      </c>
      <c r="DK244" s="27" t="s">
        <v>8</v>
      </c>
      <c r="DM244" s="19"/>
      <c r="DN244" s="31"/>
      <c r="EN244" s="27" t="s">
        <v>7</v>
      </c>
      <c r="EP244" s="27" t="s">
        <v>7</v>
      </c>
    </row>
    <row r="245" spans="1:147" x14ac:dyDescent="0.25">
      <c r="A245" s="30">
        <v>0.78352616646845741</v>
      </c>
      <c r="B245"/>
      <c r="C245"/>
      <c r="D245"/>
      <c r="E245"/>
      <c r="F245" s="27" t="s">
        <v>7</v>
      </c>
      <c r="BS245" s="27" t="s">
        <v>8</v>
      </c>
      <c r="BT245" s="27" t="s">
        <v>7</v>
      </c>
      <c r="BU245" s="27" t="s">
        <v>8</v>
      </c>
      <c r="CD245" s="31"/>
      <c r="CX245" s="27" t="s">
        <v>7</v>
      </c>
      <c r="DB245" s="27" t="s">
        <v>7</v>
      </c>
      <c r="DC245" s="27" t="s">
        <v>8</v>
      </c>
      <c r="DD245" s="27" t="s">
        <v>7</v>
      </c>
      <c r="DH245" s="27" t="s">
        <v>7</v>
      </c>
      <c r="DI245" s="27" t="s">
        <v>8</v>
      </c>
      <c r="DJ245" s="18" t="s">
        <v>7</v>
      </c>
      <c r="DK245" s="27" t="s">
        <v>8</v>
      </c>
      <c r="DM245" s="31"/>
      <c r="DN245" s="19"/>
    </row>
    <row r="246" spans="1:147" x14ac:dyDescent="0.25">
      <c r="A246" s="30">
        <v>0.74621539663662584</v>
      </c>
      <c r="B246"/>
      <c r="C246"/>
      <c r="D246"/>
      <c r="E246"/>
      <c r="F246" s="27" t="s">
        <v>7</v>
      </c>
      <c r="AO246" s="27" t="s">
        <v>8</v>
      </c>
      <c r="BS246" s="27" t="s">
        <v>8</v>
      </c>
      <c r="BT246" s="27" t="s">
        <v>7</v>
      </c>
      <c r="CC246" s="31"/>
      <c r="DB246" s="27" t="s">
        <v>7</v>
      </c>
      <c r="DC246" s="27" t="s">
        <v>8</v>
      </c>
      <c r="DH246" s="27" t="s">
        <v>7</v>
      </c>
      <c r="DI246" s="27" t="s">
        <v>8</v>
      </c>
      <c r="DJ246" s="27" t="s">
        <v>7</v>
      </c>
      <c r="DK246" s="27" t="s">
        <v>8</v>
      </c>
      <c r="DL246" s="31"/>
    </row>
    <row r="247" spans="1:147" x14ac:dyDescent="0.25">
      <c r="A247" s="30">
        <v>0.71068133013011958</v>
      </c>
      <c r="B247"/>
      <c r="C247"/>
      <c r="D247"/>
      <c r="E247"/>
      <c r="F247" s="27" t="s">
        <v>7</v>
      </c>
      <c r="AO247" s="27" t="s">
        <v>8</v>
      </c>
      <c r="AP247" s="27" t="s">
        <v>7</v>
      </c>
      <c r="BS247" s="27" t="s">
        <v>8</v>
      </c>
      <c r="CB247" s="31"/>
      <c r="DB247" s="27" t="s">
        <v>7</v>
      </c>
      <c r="DH247" s="27" t="s">
        <v>7</v>
      </c>
      <c r="DI247" s="27" t="s">
        <v>8</v>
      </c>
      <c r="DJ247" s="27" t="s">
        <v>7</v>
      </c>
      <c r="DK247" s="31" t="s">
        <v>8</v>
      </c>
    </row>
    <row r="248" spans="1:147" x14ac:dyDescent="0.25">
      <c r="A248" s="30">
        <v>0.676839362028685</v>
      </c>
      <c r="B248"/>
      <c r="C248"/>
      <c r="D248"/>
      <c r="E248"/>
      <c r="F248" s="27" t="s">
        <v>7</v>
      </c>
      <c r="AO248" s="27" t="s">
        <v>8</v>
      </c>
      <c r="AP248" s="27" t="s">
        <v>7</v>
      </c>
      <c r="BS248" s="27" t="s">
        <v>8</v>
      </c>
      <c r="CA248" s="31"/>
      <c r="DH248" s="32" t="s">
        <v>7</v>
      </c>
      <c r="DJ248" s="32" t="s">
        <v>7</v>
      </c>
    </row>
    <row r="249" spans="1:147" x14ac:dyDescent="0.25">
      <c r="A249" s="30">
        <v>0.64460891621779492</v>
      </c>
      <c r="B249"/>
      <c r="C249"/>
      <c r="D249"/>
      <c r="E249"/>
      <c r="F249" s="27" t="s">
        <v>7</v>
      </c>
      <c r="AO249" s="27" t="s">
        <v>8</v>
      </c>
      <c r="AP249" s="27" t="s">
        <v>7</v>
      </c>
      <c r="AQ249" s="27" t="s">
        <v>8</v>
      </c>
      <c r="AS249" s="27" t="s">
        <v>8</v>
      </c>
      <c r="BS249" s="27" t="s">
        <v>8</v>
      </c>
      <c r="BZ249" s="31"/>
    </row>
    <row r="250" spans="1:147" x14ac:dyDescent="0.25">
      <c r="A250" s="30">
        <v>0.61391325354075688</v>
      </c>
      <c r="B250"/>
      <c r="C250"/>
      <c r="D250"/>
      <c r="E250"/>
      <c r="F250" s="27" t="s">
        <v>7</v>
      </c>
      <c r="AO250" s="27" t="s">
        <v>8</v>
      </c>
      <c r="AP250" s="27" t="s">
        <v>7</v>
      </c>
      <c r="AQ250" s="27" t="s">
        <v>8</v>
      </c>
      <c r="AR250" s="27" t="s">
        <v>7</v>
      </c>
      <c r="AS250" s="27" t="s">
        <v>8</v>
      </c>
      <c r="AT250" s="27" t="s">
        <v>7</v>
      </c>
      <c r="BQ250" s="27" t="s">
        <v>8</v>
      </c>
      <c r="BS250" s="27" t="s">
        <v>8</v>
      </c>
      <c r="BY250" s="31"/>
    </row>
    <row r="251" spans="1:147" x14ac:dyDescent="0.25">
      <c r="A251" s="30">
        <v>0.58467928908643485</v>
      </c>
      <c r="B251"/>
      <c r="C251"/>
      <c r="D251"/>
      <c r="E251"/>
      <c r="F251" s="27" t="s">
        <v>7</v>
      </c>
      <c r="AO251" s="27" t="s">
        <v>8</v>
      </c>
      <c r="AP251" s="27" t="s">
        <v>7</v>
      </c>
      <c r="AQ251" s="27" t="s">
        <v>8</v>
      </c>
      <c r="AR251" s="27" t="s">
        <v>7</v>
      </c>
      <c r="AS251" s="27" t="s">
        <v>8</v>
      </c>
      <c r="AT251" s="27" t="s">
        <v>7</v>
      </c>
      <c r="BO251" s="27" t="s">
        <v>8</v>
      </c>
      <c r="BQ251" s="27" t="s">
        <v>8</v>
      </c>
      <c r="BR251" s="27" t="s">
        <v>7</v>
      </c>
      <c r="BS251" s="27" t="s">
        <v>8</v>
      </c>
      <c r="BX251" s="31"/>
    </row>
    <row r="252" spans="1:147" x14ac:dyDescent="0.25">
      <c r="A252" s="30">
        <v>0.55683741817755672</v>
      </c>
      <c r="B252"/>
      <c r="C252"/>
      <c r="D252"/>
      <c r="E252"/>
      <c r="F252" s="27" t="s">
        <v>7</v>
      </c>
      <c r="AO252" s="27" t="s">
        <v>8</v>
      </c>
      <c r="AP252" s="27" t="s">
        <v>7</v>
      </c>
      <c r="AQ252" s="27" t="s">
        <v>8</v>
      </c>
      <c r="AR252" s="27" t="s">
        <v>7</v>
      </c>
      <c r="AS252" s="27" t="s">
        <v>8</v>
      </c>
      <c r="AT252" s="27" t="s">
        <v>7</v>
      </c>
      <c r="BO252" s="27" t="s">
        <v>8</v>
      </c>
      <c r="BP252" s="27" t="s">
        <v>7</v>
      </c>
      <c r="BQ252" s="27" t="s">
        <v>8</v>
      </c>
      <c r="BR252" s="27" t="s">
        <v>7</v>
      </c>
      <c r="BS252" s="27" t="s">
        <v>8</v>
      </c>
      <c r="BW252" s="31"/>
    </row>
    <row r="253" spans="1:147" x14ac:dyDescent="0.25">
      <c r="A253" s="30">
        <v>0.53032135064529184</v>
      </c>
      <c r="B253"/>
      <c r="C253"/>
      <c r="D253"/>
      <c r="E253"/>
      <c r="F253" s="27" t="s">
        <v>7</v>
      </c>
      <c r="AO253" s="27" t="s">
        <v>8</v>
      </c>
      <c r="AP253" s="27" t="s">
        <v>7</v>
      </c>
      <c r="AQ253" s="27" t="s">
        <v>8</v>
      </c>
      <c r="AR253" s="27" t="s">
        <v>7</v>
      </c>
      <c r="AT253" s="27" t="s">
        <v>7</v>
      </c>
      <c r="BO253" s="33" t="s">
        <v>8</v>
      </c>
      <c r="BP253" s="27" t="s">
        <v>7</v>
      </c>
      <c r="BQ253" s="27" t="s">
        <v>8</v>
      </c>
      <c r="BR253" s="27" t="s">
        <v>7</v>
      </c>
      <c r="BV253" s="31"/>
    </row>
    <row r="254" spans="1:147" x14ac:dyDescent="0.25">
      <c r="A254" s="30">
        <v>0.50506795299551588</v>
      </c>
      <c r="B254"/>
      <c r="C254"/>
      <c r="D254"/>
      <c r="E254"/>
      <c r="F254" s="27" t="s">
        <v>7</v>
      </c>
      <c r="AO254" s="27" t="s">
        <v>8</v>
      </c>
      <c r="AP254" s="27" t="s">
        <v>7</v>
      </c>
      <c r="AT254" s="27" t="s">
        <v>7</v>
      </c>
      <c r="BK254" s="32" t="s">
        <v>8</v>
      </c>
      <c r="BM254" s="32" t="s">
        <v>8</v>
      </c>
      <c r="BO254" s="27" t="s">
        <v>8</v>
      </c>
      <c r="BP254" s="27" t="s">
        <v>7</v>
      </c>
      <c r="BQ254" s="27" t="s">
        <v>8</v>
      </c>
      <c r="BU254" s="31"/>
    </row>
    <row r="255" spans="1:147" x14ac:dyDescent="0.25">
      <c r="A255" s="30">
        <v>0.48101709809096732</v>
      </c>
      <c r="E255"/>
      <c r="F255" s="27" t="s">
        <v>7</v>
      </c>
      <c r="K255" s="27" t="s">
        <v>8</v>
      </c>
      <c r="AM255" s="27" t="s">
        <v>8</v>
      </c>
      <c r="AO255" s="27" t="s">
        <v>8</v>
      </c>
      <c r="AT255" s="27" t="s">
        <v>7</v>
      </c>
      <c r="BK255" s="27" t="s">
        <v>8</v>
      </c>
      <c r="BL255" s="27" t="s">
        <v>7</v>
      </c>
      <c r="BM255" s="27" t="s">
        <v>8</v>
      </c>
      <c r="BN255" s="27" t="s">
        <v>7</v>
      </c>
      <c r="BO255" s="27" t="s">
        <v>8</v>
      </c>
      <c r="BP255" s="27" t="s">
        <v>7</v>
      </c>
      <c r="BQ255" s="27" t="s">
        <v>8</v>
      </c>
      <c r="BT255" s="31"/>
    </row>
    <row r="256" spans="1:147" x14ac:dyDescent="0.25">
      <c r="A256" s="30">
        <v>0.45811152199139726</v>
      </c>
      <c r="E256"/>
      <c r="F256" s="27" t="s">
        <v>7</v>
      </c>
      <c r="K256" s="27" t="s">
        <v>8</v>
      </c>
      <c r="L256" s="27" t="s">
        <v>7</v>
      </c>
      <c r="AM256" s="27" t="s">
        <v>8</v>
      </c>
      <c r="AN256" s="27" t="s">
        <v>7</v>
      </c>
      <c r="AO256" s="27" t="s">
        <v>8</v>
      </c>
      <c r="AT256" s="27" t="s">
        <v>7</v>
      </c>
      <c r="BI256" s="27" t="s">
        <v>8</v>
      </c>
      <c r="BK256" s="27" t="s">
        <v>8</v>
      </c>
      <c r="BL256" s="27" t="s">
        <v>7</v>
      </c>
      <c r="BM256" s="27" t="s">
        <v>8</v>
      </c>
      <c r="BN256" s="27" t="s">
        <v>7</v>
      </c>
      <c r="BO256" s="27" t="s">
        <v>8</v>
      </c>
      <c r="BP256" s="27" t="s">
        <v>7</v>
      </c>
      <c r="BQ256" s="27" t="s">
        <v>8</v>
      </c>
      <c r="BS256" s="31"/>
    </row>
    <row r="257" spans="1:70" x14ac:dyDescent="0.25">
      <c r="A257" s="30">
        <v>0.43629668761085438</v>
      </c>
      <c r="B257"/>
      <c r="C257"/>
      <c r="D257"/>
      <c r="E257"/>
      <c r="F257" s="27" t="s">
        <v>7</v>
      </c>
      <c r="K257" s="27" t="s">
        <v>8</v>
      </c>
      <c r="L257" s="27" t="s">
        <v>7</v>
      </c>
      <c r="AM257" s="27" t="s">
        <v>8</v>
      </c>
      <c r="AN257" s="27" t="s">
        <v>7</v>
      </c>
      <c r="AO257" s="27" t="s">
        <v>8</v>
      </c>
      <c r="AT257" s="27" t="s">
        <v>7</v>
      </c>
      <c r="AU257" s="27" t="s">
        <v>8</v>
      </c>
      <c r="BI257" s="27" t="s">
        <v>8</v>
      </c>
      <c r="BJ257" s="27" t="s">
        <v>7</v>
      </c>
      <c r="BK257" s="27" t="s">
        <v>8</v>
      </c>
      <c r="BL257" s="27" t="s">
        <v>7</v>
      </c>
      <c r="BM257" s="27" t="s">
        <v>8</v>
      </c>
      <c r="BN257" s="27" t="s">
        <v>7</v>
      </c>
      <c r="BO257" s="27" t="s">
        <v>8</v>
      </c>
      <c r="BP257" s="27" t="s">
        <v>7</v>
      </c>
      <c r="BR257" s="31"/>
    </row>
    <row r="258" spans="1:70" x14ac:dyDescent="0.25">
      <c r="A258" s="30">
        <v>0.41552065486748019</v>
      </c>
      <c r="B258"/>
      <c r="C258"/>
      <c r="D258"/>
      <c r="E258"/>
      <c r="F258" s="27" t="s">
        <v>7</v>
      </c>
      <c r="K258" s="27" t="s">
        <v>8</v>
      </c>
      <c r="L258" s="27" t="s">
        <v>7</v>
      </c>
      <c r="AM258" s="27" t="s">
        <v>8</v>
      </c>
      <c r="AN258" s="27" t="s">
        <v>7</v>
      </c>
      <c r="AT258" s="27" t="s">
        <v>7</v>
      </c>
      <c r="AU258" s="27" t="s">
        <v>8</v>
      </c>
      <c r="AV258" s="27" t="s">
        <v>7</v>
      </c>
      <c r="BC258" s="27" t="s">
        <v>8</v>
      </c>
      <c r="BI258" s="27" t="s">
        <v>8</v>
      </c>
      <c r="BJ258" s="27" t="s">
        <v>7</v>
      </c>
      <c r="BK258" s="27" t="s">
        <v>8</v>
      </c>
      <c r="BL258" s="27" t="s">
        <v>7</v>
      </c>
      <c r="BN258" s="27" t="s">
        <v>7</v>
      </c>
      <c r="BO258" s="27" t="s">
        <v>8</v>
      </c>
      <c r="BQ258" s="31"/>
    </row>
    <row r="259" spans="1:70" x14ac:dyDescent="0.25">
      <c r="A259" s="30">
        <v>0.39573395701664765</v>
      </c>
      <c r="B259"/>
      <c r="C259"/>
      <c r="D259"/>
      <c r="E259"/>
      <c r="F259" s="27" t="s">
        <v>7</v>
      </c>
      <c r="I259" s="27" t="s">
        <v>8</v>
      </c>
      <c r="K259" s="27" t="s">
        <v>8</v>
      </c>
      <c r="L259" s="27" t="s">
        <v>7</v>
      </c>
      <c r="M259" s="27" t="s">
        <v>8</v>
      </c>
      <c r="O259" s="27" t="s">
        <v>8</v>
      </c>
      <c r="AI259" s="27" t="s">
        <v>8</v>
      </c>
      <c r="AM259" s="27" t="s">
        <v>8</v>
      </c>
      <c r="AT259" s="27" t="s">
        <v>7</v>
      </c>
      <c r="AU259" s="27" t="s">
        <v>8</v>
      </c>
      <c r="AV259" s="27" t="s">
        <v>7</v>
      </c>
      <c r="BC259" s="27" t="s">
        <v>8</v>
      </c>
      <c r="BD259" s="27" t="s">
        <v>7</v>
      </c>
      <c r="BI259" s="33" t="s">
        <v>8</v>
      </c>
      <c r="BJ259" s="27" t="s">
        <v>7</v>
      </c>
      <c r="BK259" s="27" t="s">
        <v>8</v>
      </c>
      <c r="BN259" s="34" t="s">
        <v>7</v>
      </c>
      <c r="BO259" s="27" t="s">
        <v>8</v>
      </c>
      <c r="BP259" s="31"/>
    </row>
    <row r="260" spans="1:70" x14ac:dyDescent="0.25">
      <c r="A260" s="30">
        <v>0.37688948287299762</v>
      </c>
      <c r="B260"/>
      <c r="C260"/>
      <c r="D260"/>
      <c r="E260"/>
      <c r="F260" s="27" t="s">
        <v>7</v>
      </c>
      <c r="I260" s="27" t="s">
        <v>8</v>
      </c>
      <c r="J260" s="27" t="s">
        <v>7</v>
      </c>
      <c r="K260" s="27" t="s">
        <v>8</v>
      </c>
      <c r="L260" s="27" t="s">
        <v>7</v>
      </c>
      <c r="M260" s="27" t="s">
        <v>8</v>
      </c>
      <c r="N260" s="27" t="s">
        <v>7</v>
      </c>
      <c r="O260" s="27" t="s">
        <v>8</v>
      </c>
      <c r="P260" s="27" t="s">
        <v>7</v>
      </c>
      <c r="AI260" s="27" t="s">
        <v>8</v>
      </c>
      <c r="AJ260" s="27" t="s">
        <v>7</v>
      </c>
      <c r="AM260" s="27" t="s">
        <v>8</v>
      </c>
      <c r="AT260" s="27" t="s">
        <v>7</v>
      </c>
      <c r="AU260" s="27" t="s">
        <v>8</v>
      </c>
      <c r="AV260" s="27" t="s">
        <v>7</v>
      </c>
      <c r="BC260" s="27" t="s">
        <v>8</v>
      </c>
      <c r="BD260" s="27" t="s">
        <v>7</v>
      </c>
      <c r="BG260" s="27" t="s">
        <v>8</v>
      </c>
      <c r="BI260" s="27" t="s">
        <v>8</v>
      </c>
      <c r="BJ260" s="27" t="s">
        <v>7</v>
      </c>
      <c r="BN260" s="27" t="s">
        <v>7</v>
      </c>
      <c r="BO260" s="31"/>
    </row>
    <row r="261" spans="1:70" x14ac:dyDescent="0.25">
      <c r="A261" s="30">
        <v>0.35894236464094997</v>
      </c>
      <c r="B261"/>
      <c r="C261"/>
      <c r="D261"/>
      <c r="E261"/>
      <c r="F261" s="27" t="s">
        <v>7</v>
      </c>
      <c r="I261" s="27" t="s">
        <v>8</v>
      </c>
      <c r="J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AI261" s="27" t="s">
        <v>8</v>
      </c>
      <c r="AJ261" s="27" t="s">
        <v>7</v>
      </c>
      <c r="AM261" s="27" t="s">
        <v>8</v>
      </c>
      <c r="AT261" s="27" t="s">
        <v>7</v>
      </c>
      <c r="AU261" s="27" t="s">
        <v>8</v>
      </c>
      <c r="AV261" s="27" t="s">
        <v>7</v>
      </c>
      <c r="AW261" s="27" t="s">
        <v>8</v>
      </c>
      <c r="AY261" s="27" t="s">
        <v>8</v>
      </c>
      <c r="BC261" s="27" t="s">
        <v>8</v>
      </c>
      <c r="BD261" s="27" t="s">
        <v>7</v>
      </c>
      <c r="BE261" s="27" t="s">
        <v>8</v>
      </c>
      <c r="BG261" s="27" t="s">
        <v>8</v>
      </c>
      <c r="BH261" s="27" t="s">
        <v>7</v>
      </c>
      <c r="BI261" s="27" t="s">
        <v>8</v>
      </c>
      <c r="BN261" s="31"/>
    </row>
    <row r="262" spans="1:70" x14ac:dyDescent="0.25">
      <c r="A262" s="30">
        <v>0.34184987108661891</v>
      </c>
      <c r="B262"/>
      <c r="C262"/>
      <c r="D262"/>
      <c r="E262"/>
      <c r="F262" s="27" t="s">
        <v>7</v>
      </c>
      <c r="I262" s="27" t="s">
        <v>8</v>
      </c>
      <c r="J262" s="27" t="s">
        <v>7</v>
      </c>
      <c r="K262" s="27" t="s">
        <v>8</v>
      </c>
      <c r="L262" s="27" t="s">
        <v>7</v>
      </c>
      <c r="N262" s="27" t="s">
        <v>7</v>
      </c>
      <c r="O262" s="27" t="s">
        <v>8</v>
      </c>
      <c r="P262" s="27" t="s">
        <v>7</v>
      </c>
      <c r="AI262" s="27" t="s">
        <v>8</v>
      </c>
      <c r="AJ262" s="27" t="s">
        <v>7</v>
      </c>
      <c r="AK262" s="27" t="s">
        <v>8</v>
      </c>
      <c r="AM262" s="27" t="s">
        <v>8</v>
      </c>
      <c r="AT262" s="27" t="s">
        <v>7</v>
      </c>
      <c r="AU262" s="27" t="s">
        <v>8</v>
      </c>
      <c r="AV262" s="27" t="s">
        <v>7</v>
      </c>
      <c r="AW262" s="27" t="s">
        <v>8</v>
      </c>
      <c r="AX262" s="27" t="s">
        <v>7</v>
      </c>
      <c r="AY262" s="27" t="s">
        <v>8</v>
      </c>
      <c r="AZ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  <c r="BM262" s="31"/>
    </row>
    <row r="263" spans="1:70" x14ac:dyDescent="0.25">
      <c r="A263" s="30">
        <v>0.32557130579677979</v>
      </c>
      <c r="B263"/>
      <c r="C263"/>
      <c r="D263"/>
      <c r="E263"/>
      <c r="F263" s="27" t="s">
        <v>7</v>
      </c>
      <c r="I263" s="27" t="s">
        <v>8</v>
      </c>
      <c r="J263" s="27" t="s">
        <v>7</v>
      </c>
      <c r="K263" s="27" t="s">
        <v>8</v>
      </c>
      <c r="N263" s="27" t="s">
        <v>7</v>
      </c>
      <c r="O263" s="27" t="s">
        <v>8</v>
      </c>
      <c r="P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M263" s="27" t="s">
        <v>8</v>
      </c>
      <c r="AT263" s="27" t="s">
        <v>7</v>
      </c>
      <c r="AV263" s="27" t="s">
        <v>7</v>
      </c>
      <c r="AW263" s="27" t="s">
        <v>8</v>
      </c>
      <c r="AX263" s="27" t="s">
        <v>7</v>
      </c>
      <c r="AY263" s="27" t="s">
        <v>8</v>
      </c>
      <c r="AZ263" s="27" t="s">
        <v>7</v>
      </c>
      <c r="BC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  <c r="BL263" s="31"/>
    </row>
    <row r="264" spans="1:70" x14ac:dyDescent="0.25">
      <c r="A264" s="30">
        <v>0.3100679102826473</v>
      </c>
      <c r="B264"/>
      <c r="C264"/>
      <c r="D264"/>
      <c r="E264"/>
      <c r="F264" s="27" t="s">
        <v>7</v>
      </c>
      <c r="I264" s="27" t="s">
        <v>8</v>
      </c>
      <c r="J264" s="27" t="s">
        <v>7</v>
      </c>
      <c r="K264" s="27" t="s">
        <v>8</v>
      </c>
      <c r="N264" s="27" t="s">
        <v>7</v>
      </c>
      <c r="P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M264" s="27" t="s">
        <v>8</v>
      </c>
      <c r="AV264" s="27" t="s">
        <v>7</v>
      </c>
      <c r="AW264" s="27" t="s">
        <v>8</v>
      </c>
      <c r="AX264" s="27" t="s">
        <v>7</v>
      </c>
      <c r="AY264" s="27" t="s">
        <v>8</v>
      </c>
      <c r="AZ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  <c r="BK264" s="31"/>
    </row>
    <row r="265" spans="1:70" x14ac:dyDescent="0.25">
      <c r="A265" s="30">
        <v>0.2953027716977592</v>
      </c>
      <c r="B265"/>
      <c r="C265"/>
      <c r="D265"/>
      <c r="E265"/>
      <c r="F265" s="27" t="s">
        <v>7</v>
      </c>
      <c r="I265" s="27" t="s">
        <v>8</v>
      </c>
      <c r="J265" s="27" t="s">
        <v>7</v>
      </c>
      <c r="P265" s="27" t="s">
        <v>7</v>
      </c>
      <c r="Q265" s="27" t="s">
        <v>8</v>
      </c>
      <c r="AI265" s="27" t="s">
        <v>8</v>
      </c>
      <c r="AJ265" s="27" t="s">
        <v>7</v>
      </c>
      <c r="AK265" s="27" t="s">
        <v>8</v>
      </c>
      <c r="AL265" s="27" t="s">
        <v>7</v>
      </c>
      <c r="AM265" s="27" t="s">
        <v>8</v>
      </c>
      <c r="AV265" s="27" t="s">
        <v>7</v>
      </c>
      <c r="AW265" s="27" t="s">
        <v>8</v>
      </c>
      <c r="AX265" s="27" t="s">
        <v>7</v>
      </c>
      <c r="AY265" s="27" t="s">
        <v>8</v>
      </c>
      <c r="AZ265" s="27" t="s">
        <v>7</v>
      </c>
      <c r="BA265" s="27" t="s">
        <v>8</v>
      </c>
      <c r="BC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I265" s="27" t="s">
        <v>8</v>
      </c>
      <c r="BJ265" s="31"/>
    </row>
    <row r="266" spans="1:70" x14ac:dyDescent="0.25">
      <c r="A266" s="30">
        <v>0.28124073495024676</v>
      </c>
      <c r="B266"/>
      <c r="C266"/>
      <c r="D266"/>
      <c r="E266"/>
      <c r="F266" s="27" t="s">
        <v>7</v>
      </c>
      <c r="I266" s="27" t="s">
        <v>8</v>
      </c>
      <c r="P266" s="27" t="s">
        <v>7</v>
      </c>
      <c r="Q266" s="27" t="s">
        <v>8</v>
      </c>
      <c r="R266" s="27" t="s">
        <v>7</v>
      </c>
      <c r="AI266" s="27" t="s">
        <v>8</v>
      </c>
      <c r="AJ266" s="27" t="s">
        <v>7</v>
      </c>
      <c r="AL266" s="27" t="s">
        <v>7</v>
      </c>
      <c r="AM266" s="27" t="s">
        <v>8</v>
      </c>
      <c r="AV266" s="27" t="s">
        <v>7</v>
      </c>
      <c r="AW266" s="27" t="s">
        <v>8</v>
      </c>
      <c r="AX266" s="27" t="s">
        <v>7</v>
      </c>
      <c r="AZ266" s="27" t="s">
        <v>7</v>
      </c>
      <c r="BA266" s="27" t="s">
        <v>8</v>
      </c>
      <c r="BB266" s="27" t="s">
        <v>7</v>
      </c>
      <c r="BC266" s="27" t="s">
        <v>8</v>
      </c>
      <c r="BD266" s="27" t="s">
        <v>7</v>
      </c>
      <c r="BF266" s="27" t="s">
        <v>7</v>
      </c>
      <c r="BH266" s="27" t="s">
        <v>7</v>
      </c>
      <c r="BI266" s="31" t="s">
        <v>8</v>
      </c>
    </row>
    <row r="267" spans="1:70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I267" s="27" t="s">
        <v>8</v>
      </c>
      <c r="P267" s="27" t="s">
        <v>7</v>
      </c>
      <c r="Q267" s="27" t="s">
        <v>8</v>
      </c>
      <c r="R267" s="27" t="s">
        <v>7</v>
      </c>
      <c r="AI267" s="27" t="s">
        <v>8</v>
      </c>
      <c r="AL267" s="27" t="s">
        <v>7</v>
      </c>
      <c r="AV267" s="27" t="s">
        <v>7</v>
      </c>
      <c r="AZ267" s="27" t="s">
        <v>7</v>
      </c>
      <c r="BA267" s="27" t="s">
        <v>8</v>
      </c>
      <c r="BB267" s="27" t="s">
        <v>7</v>
      </c>
      <c r="BC267" s="27" t="s">
        <v>8</v>
      </c>
      <c r="BH267" s="31" t="s">
        <v>7</v>
      </c>
    </row>
    <row r="268" spans="1:70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I268" s="27" t="s">
        <v>8</v>
      </c>
      <c r="P268" s="27" t="s">
        <v>7</v>
      </c>
      <c r="R268" s="27" t="s">
        <v>7</v>
      </c>
      <c r="AE268" s="27" t="s">
        <v>8</v>
      </c>
      <c r="AG268" s="27" t="s">
        <v>8</v>
      </c>
      <c r="AI268" s="27" t="s">
        <v>8</v>
      </c>
      <c r="AZ268" s="27" t="s">
        <v>7</v>
      </c>
      <c r="BA268" s="27" t="s">
        <v>8</v>
      </c>
      <c r="BB268" s="27" t="s">
        <v>7</v>
      </c>
    </row>
    <row r="269" spans="1:70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I269" s="27" t="s">
        <v>8</v>
      </c>
      <c r="R269" s="27" t="s">
        <v>7</v>
      </c>
      <c r="AE269" s="27" t="s">
        <v>8</v>
      </c>
      <c r="AF269" s="27" t="s">
        <v>7</v>
      </c>
      <c r="AG269" s="27" t="s">
        <v>8</v>
      </c>
      <c r="AH269" s="27" t="s">
        <v>7</v>
      </c>
      <c r="AI269" s="27" t="s">
        <v>8</v>
      </c>
      <c r="AZ269" s="27" t="s">
        <v>7</v>
      </c>
      <c r="BA269" s="27" t="s">
        <v>8</v>
      </c>
    </row>
    <row r="270" spans="1:70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R270" s="27" t="s">
        <v>7</v>
      </c>
      <c r="AA270" s="27" t="s">
        <v>8</v>
      </c>
      <c r="AE270" s="27" t="s">
        <v>8</v>
      </c>
      <c r="AF270" s="27" t="s">
        <v>7</v>
      </c>
      <c r="AG270" s="27" t="s">
        <v>8</v>
      </c>
      <c r="AH270" s="27" t="s">
        <v>7</v>
      </c>
      <c r="AI270" s="27" t="s">
        <v>8</v>
      </c>
      <c r="AZ270" s="27" t="s">
        <v>7</v>
      </c>
    </row>
    <row r="271" spans="1:70" x14ac:dyDescent="0.25">
      <c r="A271" s="30">
        <v>0.22035947491033836</v>
      </c>
      <c r="B271"/>
      <c r="C271"/>
      <c r="D271"/>
      <c r="E271"/>
      <c r="F271" s="27" t="s">
        <v>7</v>
      </c>
      <c r="R271" s="27" t="s">
        <v>7</v>
      </c>
      <c r="AA271" s="27" t="s">
        <v>8</v>
      </c>
      <c r="AB271" s="27" t="s">
        <v>7</v>
      </c>
      <c r="AC271" s="27" t="s">
        <v>8</v>
      </c>
      <c r="AE271" s="27" t="s">
        <v>8</v>
      </c>
      <c r="AF271" s="27" t="s">
        <v>7</v>
      </c>
      <c r="AH271" s="27" t="s">
        <v>7</v>
      </c>
      <c r="AI271" s="27" t="s">
        <v>8</v>
      </c>
    </row>
    <row r="272" spans="1:70" x14ac:dyDescent="0.25">
      <c r="A272" s="30">
        <v>0.20986616658127455</v>
      </c>
      <c r="B272"/>
      <c r="C272"/>
      <c r="D272"/>
      <c r="E272"/>
      <c r="R272" s="27" t="s">
        <v>7</v>
      </c>
      <c r="Y272" s="27" t="s">
        <v>8</v>
      </c>
      <c r="AA272" s="27" t="s">
        <v>8</v>
      </c>
      <c r="AB272" s="27" t="s">
        <v>7</v>
      </c>
      <c r="AC272" s="27" t="s">
        <v>8</v>
      </c>
      <c r="AD272" s="27" t="s">
        <v>7</v>
      </c>
      <c r="AE272" s="27" t="s">
        <v>8</v>
      </c>
      <c r="AH272" s="27" t="s">
        <v>7</v>
      </c>
      <c r="AI272" s="27" t="s">
        <v>8</v>
      </c>
    </row>
    <row r="273" spans="1:34" x14ac:dyDescent="0.25">
      <c r="A273" s="30">
        <v>0.19987253960121379</v>
      </c>
      <c r="B273"/>
      <c r="C273"/>
      <c r="D273"/>
      <c r="E273"/>
      <c r="R273" s="27" t="s">
        <v>7</v>
      </c>
      <c r="Y273" s="27" t="s">
        <v>8</v>
      </c>
      <c r="Z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AE273" s="27" t="s">
        <v>8</v>
      </c>
      <c r="AH273" s="27" t="s">
        <v>7</v>
      </c>
    </row>
    <row r="274" spans="1:34" x14ac:dyDescent="0.25">
      <c r="A274" s="30">
        <v>0.19035479962020352</v>
      </c>
      <c r="B274"/>
      <c r="C274"/>
      <c r="D274"/>
      <c r="E274"/>
      <c r="R274" s="27" t="s">
        <v>7</v>
      </c>
      <c r="Y274" s="27" t="s">
        <v>8</v>
      </c>
      <c r="Z274" s="27" t="s">
        <v>7</v>
      </c>
      <c r="AA274" s="27" t="s">
        <v>8</v>
      </c>
      <c r="AB274" s="27" t="s">
        <v>7</v>
      </c>
      <c r="AD274" s="27" t="s">
        <v>7</v>
      </c>
      <c r="AE274" s="27" t="s">
        <v>8</v>
      </c>
    </row>
    <row r="275" spans="1:34" x14ac:dyDescent="0.25">
      <c r="A275" s="30">
        <v>0.18129028535257471</v>
      </c>
      <c r="B275"/>
      <c r="C275"/>
      <c r="D275"/>
      <c r="E275"/>
      <c r="R275" s="27" t="s">
        <v>7</v>
      </c>
      <c r="W275" s="27" t="s">
        <v>8</v>
      </c>
      <c r="Y275" s="27" t="s">
        <v>8</v>
      </c>
      <c r="Z275" s="27" t="s">
        <v>7</v>
      </c>
      <c r="AA275" s="27" t="s">
        <v>8</v>
      </c>
      <c r="AD275" s="27" t="s">
        <v>7</v>
      </c>
    </row>
    <row r="276" spans="1:34" x14ac:dyDescent="0.25">
      <c r="A276" s="30">
        <v>0.17265741462149967</v>
      </c>
      <c r="B276"/>
      <c r="C276"/>
      <c r="D276"/>
      <c r="E276"/>
      <c r="R276" s="27" t="s">
        <v>7</v>
      </c>
      <c r="W276" s="27" t="s">
        <v>8</v>
      </c>
      <c r="X276" s="27" t="s">
        <v>7</v>
      </c>
      <c r="Y276" s="27" t="s">
        <v>8</v>
      </c>
      <c r="Z276" s="27" t="s">
        <v>7</v>
      </c>
      <c r="AA276" s="27" t="s">
        <v>8</v>
      </c>
    </row>
    <row r="277" spans="1:34" x14ac:dyDescent="0.25">
      <c r="A277" s="30">
        <v>0.16443563297285677</v>
      </c>
      <c r="B277"/>
      <c r="C277"/>
      <c r="D277"/>
      <c r="E277"/>
      <c r="R277" s="27" t="s">
        <v>7</v>
      </c>
      <c r="S277" s="27" t="s">
        <v>8</v>
      </c>
      <c r="W277" s="27" t="s">
        <v>8</v>
      </c>
      <c r="X277" s="27" t="s">
        <v>7</v>
      </c>
      <c r="Y277" s="27" t="s">
        <v>8</v>
      </c>
      <c r="Z277" s="27" t="s">
        <v>7</v>
      </c>
    </row>
    <row r="278" spans="1:34" x14ac:dyDescent="0.25">
      <c r="A278" s="30">
        <v>0.15660536473605399</v>
      </c>
      <c r="B278"/>
      <c r="C278"/>
      <c r="D278"/>
      <c r="E278"/>
      <c r="R278" s="27" t="s">
        <v>7</v>
      </c>
      <c r="S278" s="27" t="s">
        <v>8</v>
      </c>
      <c r="T278" s="27" t="s">
        <v>7</v>
      </c>
      <c r="W278" s="27" t="s">
        <v>8</v>
      </c>
      <c r="X278" s="27" t="s">
        <v>7</v>
      </c>
      <c r="Y278" s="27" t="s">
        <v>8</v>
      </c>
    </row>
    <row r="279" spans="1:34" x14ac:dyDescent="0.25">
      <c r="A279" s="30">
        <v>0.14914796641528946</v>
      </c>
      <c r="B279"/>
      <c r="C279"/>
      <c r="D279"/>
      <c r="E279"/>
      <c r="R279" s="27" t="s">
        <v>7</v>
      </c>
      <c r="S279" s="27" t="s">
        <v>8</v>
      </c>
      <c r="T279" s="27" t="s">
        <v>7</v>
      </c>
      <c r="U279" s="27" t="s">
        <v>8</v>
      </c>
      <c r="W279" s="27" t="s">
        <v>8</v>
      </c>
      <c r="X279" s="27" t="s">
        <v>7</v>
      </c>
      <c r="Y279" s="27" t="s">
        <v>8</v>
      </c>
    </row>
    <row r="280" spans="1:34" x14ac:dyDescent="0.25">
      <c r="A280" s="30">
        <v>0.14204568230027562</v>
      </c>
      <c r="B280"/>
      <c r="C280"/>
      <c r="D280"/>
      <c r="E280"/>
      <c r="R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  <c r="X280" s="27" t="s">
        <v>7</v>
      </c>
    </row>
    <row r="281" spans="1:34" x14ac:dyDescent="0.25">
      <c r="A281" s="30">
        <v>0.13528160219073862</v>
      </c>
      <c r="B281"/>
      <c r="C281"/>
      <c r="D281"/>
      <c r="E281"/>
      <c r="R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</row>
    <row r="282" spans="1:34" x14ac:dyDescent="0.25">
      <c r="A282" s="30">
        <v>0.12883962113403674</v>
      </c>
      <c r="B282"/>
      <c r="C282"/>
      <c r="D282"/>
      <c r="E282"/>
      <c r="R282" s="27" t="s">
        <v>7</v>
      </c>
      <c r="S282" s="27" t="s">
        <v>8</v>
      </c>
      <c r="T282" s="27" t="s">
        <v>7</v>
      </c>
      <c r="U282" s="27" t="s">
        <v>8</v>
      </c>
      <c r="V282" s="27" t="s">
        <v>7</v>
      </c>
    </row>
    <row r="283" spans="1:34" x14ac:dyDescent="0.25">
      <c r="A283" s="30">
        <v>0.12270440108003494</v>
      </c>
      <c r="B283"/>
      <c r="C283"/>
      <c r="D283"/>
      <c r="E283"/>
      <c r="R283" s="27" t="s">
        <v>7</v>
      </c>
      <c r="S283" s="27" t="s">
        <v>8</v>
      </c>
      <c r="T283" s="27" t="s">
        <v>7</v>
      </c>
      <c r="U283" s="27" t="s">
        <v>8</v>
      </c>
    </row>
    <row r="284" spans="1:34" x14ac:dyDescent="0.25">
      <c r="A284" s="30">
        <v>0.11686133436193799</v>
      </c>
      <c r="B284"/>
      <c r="C284"/>
      <c r="D284"/>
      <c r="E284"/>
      <c r="R284" s="27" t="s">
        <v>7</v>
      </c>
      <c r="S284" s="27" t="s">
        <v>8</v>
      </c>
      <c r="T284" s="27" t="s">
        <v>7</v>
      </c>
    </row>
    <row r="285" spans="1:34" x14ac:dyDescent="0.25">
      <c r="A285" s="30">
        <v>0.11129650891613138</v>
      </c>
      <c r="B285"/>
      <c r="C285"/>
      <c r="D285"/>
      <c r="E285"/>
      <c r="R285" s="27" t="s">
        <v>7</v>
      </c>
      <c r="S285" s="27" t="s">
        <v>8</v>
      </c>
    </row>
    <row r="286" spans="1:34" x14ac:dyDescent="0.25">
      <c r="A286" s="30">
        <v>0.10599667515822032</v>
      </c>
      <c r="B286"/>
      <c r="C286"/>
      <c r="D286"/>
      <c r="E286"/>
      <c r="R286" s="27" t="s">
        <v>7</v>
      </c>
      <c r="S286" s="27" t="s">
        <v>8</v>
      </c>
    </row>
    <row r="287" spans="1:34" x14ac:dyDescent="0.25">
      <c r="A287" s="30">
        <v>0.10094921443640027</v>
      </c>
      <c r="B287"/>
      <c r="C287"/>
      <c r="D287"/>
      <c r="E287"/>
      <c r="R287" s="27" t="s">
        <v>7</v>
      </c>
      <c r="S287" s="27" t="s">
        <v>8</v>
      </c>
    </row>
    <row r="288" spans="1:34" x14ac:dyDescent="0.25">
      <c r="A288" s="30">
        <v>9.6142108987047836E-2</v>
      </c>
      <c r="B288"/>
      <c r="C288"/>
      <c r="D288"/>
      <c r="E288"/>
      <c r="R288" s="27" t="s">
        <v>7</v>
      </c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81" operator="equal">
      <formula>$U$1</formula>
    </cfRule>
    <cfRule type="cellIs" dxfId="67" priority="1182" operator="equal">
      <formula>$S$1</formula>
    </cfRule>
  </conditionalFormatting>
  <conditionalFormatting sqref="D136">
    <cfRule type="cellIs" dxfId="66" priority="1179" operator="equal">
      <formula>$S$1</formula>
    </cfRule>
    <cfRule type="cellIs" dxfId="65" priority="1180" operator="equal">
      <formula>$U$1</formula>
    </cfRule>
  </conditionalFormatting>
  <conditionalFormatting sqref="C162">
    <cfRule type="cellIs" dxfId="64" priority="1177" operator="equal">
      <formula>$U$1</formula>
    </cfRule>
    <cfRule type="cellIs" dxfId="63" priority="1178" operator="equal">
      <formula>$S$1</formula>
    </cfRule>
  </conditionalFormatting>
  <conditionalFormatting sqref="D162">
    <cfRule type="cellIs" dxfId="62" priority="1175" operator="equal">
      <formula>$S$1</formula>
    </cfRule>
    <cfRule type="cellIs" dxfId="61" priority="1176" operator="equal">
      <formula>$U$1</formula>
    </cfRule>
  </conditionalFormatting>
  <conditionalFormatting sqref="C187">
    <cfRule type="cellIs" dxfId="60" priority="1173" operator="equal">
      <formula>$U$1</formula>
    </cfRule>
    <cfRule type="cellIs" dxfId="59" priority="1174" operator="equal">
      <formula>$S$1</formula>
    </cfRule>
  </conditionalFormatting>
  <conditionalFormatting sqref="D187">
    <cfRule type="cellIs" dxfId="58" priority="1171" operator="equal">
      <formula>$S$1</formula>
    </cfRule>
    <cfRule type="cellIs" dxfId="57" priority="1172" operator="equal">
      <formula>$U$1</formula>
    </cfRule>
  </conditionalFormatting>
  <conditionalFormatting sqref="C212">
    <cfRule type="cellIs" dxfId="56" priority="1169" operator="equal">
      <formula>$U$1</formula>
    </cfRule>
    <cfRule type="cellIs" dxfId="55" priority="1170" operator="equal">
      <formula>$S$1</formula>
    </cfRule>
  </conditionalFormatting>
  <conditionalFormatting sqref="D212">
    <cfRule type="cellIs" dxfId="54" priority="1167" operator="equal">
      <formula>$S$1</formula>
    </cfRule>
    <cfRule type="cellIs" dxfId="53" priority="1168" operator="equal">
      <formula>$U$1</formula>
    </cfRule>
  </conditionalFormatting>
  <conditionalFormatting sqref="C237">
    <cfRule type="cellIs" dxfId="52" priority="1165" operator="equal">
      <formula>$U$1</formula>
    </cfRule>
    <cfRule type="cellIs" dxfId="51" priority="1166" operator="equal">
      <formula>$S$1</formula>
    </cfRule>
  </conditionalFormatting>
  <conditionalFormatting sqref="D237">
    <cfRule type="cellIs" dxfId="50" priority="1163" operator="equal">
      <formula>$S$1</formula>
    </cfRule>
    <cfRule type="cellIs" dxfId="49" priority="1164" operator="equal">
      <formula>$U$1</formula>
    </cfRule>
  </conditionalFormatting>
  <conditionalFormatting sqref="C106">
    <cfRule type="cellIs" dxfId="48" priority="1161" operator="equal">
      <formula>$U$1</formula>
    </cfRule>
    <cfRule type="cellIs" dxfId="47" priority="1162" operator="equal">
      <formula>$S$1</formula>
    </cfRule>
  </conditionalFormatting>
  <conditionalFormatting sqref="D106">
    <cfRule type="cellIs" dxfId="46" priority="1159" operator="equal">
      <formula>$S$1</formula>
    </cfRule>
    <cfRule type="cellIs" dxfId="45" priority="1160" operator="equal">
      <formula>$U$1</formula>
    </cfRule>
  </conditionalFormatting>
  <conditionalFormatting sqref="C81">
    <cfRule type="cellIs" dxfId="44" priority="1157" operator="equal">
      <formula>$U$1</formula>
    </cfRule>
    <cfRule type="cellIs" dxfId="43" priority="1158" operator="equal">
      <formula>$S$1</formula>
    </cfRule>
  </conditionalFormatting>
  <conditionalFormatting sqref="D81">
    <cfRule type="cellIs" dxfId="42" priority="1155" operator="equal">
      <formula>$S$1</formula>
    </cfRule>
    <cfRule type="cellIs" dxfId="41" priority="1156" operator="equal">
      <formula>$U$1</formula>
    </cfRule>
  </conditionalFormatting>
  <conditionalFormatting sqref="C56">
    <cfRule type="cellIs" dxfId="40" priority="1153" operator="equal">
      <formula>$U$1</formula>
    </cfRule>
    <cfRule type="cellIs" dxfId="39" priority="1154" operator="equal">
      <formula>$S$1</formula>
    </cfRule>
  </conditionalFormatting>
  <conditionalFormatting sqref="D56">
    <cfRule type="cellIs" dxfId="38" priority="1151" operator="equal">
      <formula>$S$1</formula>
    </cfRule>
    <cfRule type="cellIs" dxfId="37" priority="1152" operator="equal">
      <formula>$U$1</formula>
    </cfRule>
  </conditionalFormatting>
  <conditionalFormatting sqref="C31">
    <cfRule type="cellIs" dxfId="36" priority="1149" operator="equal">
      <formula>$U$1</formula>
    </cfRule>
    <cfRule type="cellIs" dxfId="35" priority="1150" operator="equal">
      <formula>$S$1</formula>
    </cfRule>
  </conditionalFormatting>
  <conditionalFormatting sqref="D31">
    <cfRule type="cellIs" dxfId="34" priority="1147" operator="equal">
      <formula>$S$1</formula>
    </cfRule>
    <cfRule type="cellIs" dxfId="33" priority="114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5" zoomScale="90" zoomScaleNormal="90" workbookViewId="0">
      <pane xSplit="4" topLeftCell="G1" activePane="topRight" state="frozen"/>
      <selection activeCell="A109" sqref="A109"/>
      <selection pane="topRight" activeCell="AX123" sqref="AX12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6" x14ac:dyDescent="0.25">
      <c r="A97" s="30">
        <v>9.849732675807628</v>
      </c>
      <c r="E97"/>
    </row>
    <row r="98" spans="1:46" x14ac:dyDescent="0.25">
      <c r="A98" s="30">
        <v>8.9543024325523888</v>
      </c>
      <c r="C98" s="1" t="s">
        <v>13</v>
      </c>
      <c r="E98"/>
    </row>
    <row r="99" spans="1:46" x14ac:dyDescent="0.25">
      <c r="A99" s="30">
        <v>8.140274938683989</v>
      </c>
      <c r="C99" s="1">
        <f>C88</f>
        <v>0</v>
      </c>
      <c r="E99"/>
    </row>
    <row r="100" spans="1:46" x14ac:dyDescent="0.25">
      <c r="A100" s="30">
        <v>7.4002499442581717</v>
      </c>
      <c r="C100"/>
      <c r="D100"/>
      <c r="E100"/>
    </row>
    <row r="101" spans="1:46" x14ac:dyDescent="0.25">
      <c r="A101" s="30">
        <v>6.72749994932561</v>
      </c>
      <c r="C101" s="1" t="s">
        <v>14</v>
      </c>
      <c r="E101"/>
    </row>
    <row r="102" spans="1:4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6" x14ac:dyDescent="0.25">
      <c r="A103" s="30">
        <v>5.5599173134922388</v>
      </c>
      <c r="E103"/>
    </row>
    <row r="104" spans="1:46" x14ac:dyDescent="0.25">
      <c r="A104" s="30">
        <v>5.0544702849929442</v>
      </c>
      <c r="E104"/>
    </row>
    <row r="105" spans="1:46" x14ac:dyDescent="0.25">
      <c r="A105" s="30">
        <v>4.594972986357222</v>
      </c>
      <c r="E105"/>
    </row>
    <row r="106" spans="1:46" x14ac:dyDescent="0.25">
      <c r="A106" s="30">
        <v>4.1772481694156562</v>
      </c>
      <c r="E106"/>
    </row>
    <row r="107" spans="1:46" x14ac:dyDescent="0.25">
      <c r="A107" s="30">
        <v>3.7974983358324148</v>
      </c>
      <c r="E107"/>
    </row>
    <row r="108" spans="1:46" x14ac:dyDescent="0.25">
      <c r="A108" s="30">
        <v>3.4522712143931042</v>
      </c>
      <c r="E108"/>
    </row>
    <row r="109" spans="1:46" x14ac:dyDescent="0.25">
      <c r="A109" s="30">
        <v>3.1384283767210035</v>
      </c>
      <c r="E109"/>
    </row>
    <row r="110" spans="1:46" x14ac:dyDescent="0.25">
      <c r="A110" s="30">
        <v>2.8531167061100029</v>
      </c>
      <c r="E110"/>
      <c r="AS110" s="27" t="s">
        <v>8</v>
      </c>
    </row>
    <row r="111" spans="1:46" x14ac:dyDescent="0.25">
      <c r="A111" s="30">
        <v>2.5937424601000023</v>
      </c>
      <c r="C111" s="1" t="str">
        <f>ADDRESS(C121-1,1,1,1)</f>
        <v>$A$122</v>
      </c>
      <c r="D111" s="1" t="str">
        <f>ADDRESS(C121-1,D121,1,1)</f>
        <v>$AX$122</v>
      </c>
      <c r="E111"/>
      <c r="AS111" s="27" t="s">
        <v>8</v>
      </c>
      <c r="AT111" s="27" t="s">
        <v>7</v>
      </c>
    </row>
    <row r="112" spans="1:46" x14ac:dyDescent="0.25">
      <c r="A112" s="30">
        <v>2.3579476910000019</v>
      </c>
      <c r="C112" s="1" t="str">
        <f>ADDRESS(C121,1,1,1)</f>
        <v>$A$123</v>
      </c>
      <c r="D112" s="1" t="str">
        <f>ADDRESS(C121,D121-1,1,1)</f>
        <v>$AW$123</v>
      </c>
      <c r="E112"/>
      <c r="AO112" s="27" t="s">
        <v>8</v>
      </c>
      <c r="AQ112" s="27" t="s">
        <v>8</v>
      </c>
      <c r="AS112" s="27" t="s">
        <v>8</v>
      </c>
      <c r="AT112" s="27" t="s">
        <v>7</v>
      </c>
    </row>
    <row r="113" spans="1:50" x14ac:dyDescent="0.25">
      <c r="A113" s="30">
        <v>2.1435888100000016</v>
      </c>
      <c r="C113" s="1" t="str">
        <f>ADDRESS(C121+1,1,1,1)</f>
        <v>$A$124</v>
      </c>
      <c r="D113" s="1" t="str">
        <f>ADDRESS(C121-1,D121+1,1,1)</f>
        <v>$AY$122</v>
      </c>
      <c r="AO113" s="27" t="s">
        <v>8</v>
      </c>
      <c r="AP113" s="27" t="s">
        <v>7</v>
      </c>
      <c r="AQ113" s="27" t="s">
        <v>8</v>
      </c>
      <c r="AR113" s="27" t="s">
        <v>7</v>
      </c>
      <c r="AS113" s="27" t="s">
        <v>8</v>
      </c>
      <c r="AT113" s="27" t="s">
        <v>7</v>
      </c>
    </row>
    <row r="114" spans="1:50" x14ac:dyDescent="0.25">
      <c r="A114" s="30">
        <v>1.9487171000000014</v>
      </c>
      <c r="C114" s="1" t="str">
        <f>ADDRESS(C121,D121,1,1)</f>
        <v>$AX$123</v>
      </c>
      <c r="D114" s="1" t="str">
        <f>ADDRESS(C121+1,D121+1,1,1)</f>
        <v>$AY$124</v>
      </c>
      <c r="AO114" s="27" t="s">
        <v>8</v>
      </c>
      <c r="AP114" s="27" t="s">
        <v>7</v>
      </c>
      <c r="AQ114" s="27" t="s">
        <v>8</v>
      </c>
      <c r="AR114" s="27" t="s">
        <v>7</v>
      </c>
      <c r="AS114" s="27" t="s">
        <v>8</v>
      </c>
      <c r="AT114" s="27" t="s">
        <v>7</v>
      </c>
    </row>
    <row r="115" spans="1:50" x14ac:dyDescent="0.25">
      <c r="A115" s="30">
        <v>1.7715610000000011</v>
      </c>
      <c r="C115" s="1" t="str">
        <f>ADDRESS(C121+1,D121,1,1)</f>
        <v>$AX$124</v>
      </c>
      <c r="Y115" s="27" t="s">
        <v>8</v>
      </c>
      <c r="AC115" s="27" t="s">
        <v>8</v>
      </c>
      <c r="AO115" s="27" t="s">
        <v>8</v>
      </c>
      <c r="AP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  <c r="AU115" s="32" t="s">
        <v>8</v>
      </c>
      <c r="AW115" s="32" t="s">
        <v>8</v>
      </c>
    </row>
    <row r="116" spans="1:50" x14ac:dyDescent="0.25">
      <c r="A116" s="30">
        <v>1.6105100000000008</v>
      </c>
      <c r="C116" s="1">
        <f>C117-1</f>
        <v>122</v>
      </c>
      <c r="Y116" s="27" t="s">
        <v>8</v>
      </c>
      <c r="Z116" s="27" t="s">
        <v>7</v>
      </c>
      <c r="AC116" s="27" t="s">
        <v>8</v>
      </c>
      <c r="AD116" s="27" t="s">
        <v>7</v>
      </c>
      <c r="AE116" s="31" t="s">
        <v>8</v>
      </c>
      <c r="AO116" s="27" t="s">
        <v>8</v>
      </c>
      <c r="AP116" s="27" t="s">
        <v>7</v>
      </c>
      <c r="AR116" s="27" t="s">
        <v>7</v>
      </c>
      <c r="AT116" s="27" t="s">
        <v>7</v>
      </c>
      <c r="AU116" s="27" t="s">
        <v>8</v>
      </c>
      <c r="AV116" s="27" t="s">
        <v>7</v>
      </c>
      <c r="AW116" s="27" t="s">
        <v>8</v>
      </c>
      <c r="AX116" s="27" t="s">
        <v>7</v>
      </c>
    </row>
    <row r="117" spans="1:50" x14ac:dyDescent="0.25">
      <c r="A117" s="30">
        <v>1.4641000000000006</v>
      </c>
      <c r="C117" s="1">
        <f>C121</f>
        <v>123</v>
      </c>
      <c r="D117" s="1">
        <f>D121</f>
        <v>50</v>
      </c>
      <c r="Y117" s="27" t="s">
        <v>8</v>
      </c>
      <c r="Z117" s="27" t="s">
        <v>7</v>
      </c>
      <c r="AC117" s="27" t="s">
        <v>8</v>
      </c>
      <c r="AD117" s="27" t="s">
        <v>7</v>
      </c>
      <c r="AE117" s="27" t="s">
        <v>8</v>
      </c>
      <c r="AF117" s="31" t="s">
        <v>7</v>
      </c>
      <c r="AM117" s="27" t="s">
        <v>8</v>
      </c>
      <c r="AO117" s="27" t="s">
        <v>8</v>
      </c>
      <c r="AT117" s="31" t="s">
        <v>7</v>
      </c>
      <c r="AU117" s="27" t="s">
        <v>8</v>
      </c>
      <c r="AV117" s="27" t="s">
        <v>7</v>
      </c>
      <c r="AW117" s="27" t="s">
        <v>8</v>
      </c>
      <c r="AX117" s="27" t="s">
        <v>7</v>
      </c>
    </row>
    <row r="118" spans="1:50" x14ac:dyDescent="0.25">
      <c r="A118" s="30">
        <v>1.3310000000000004</v>
      </c>
      <c r="C118" s="1">
        <f>C117+1</f>
        <v>124</v>
      </c>
      <c r="D118" s="1">
        <f>D117+1</f>
        <v>51</v>
      </c>
      <c r="Y118" s="27" t="s">
        <v>8</v>
      </c>
      <c r="Z118" s="27" t="s">
        <v>7</v>
      </c>
      <c r="AA118" s="27" t="s">
        <v>8</v>
      </c>
      <c r="AC118" s="27" t="s">
        <v>8</v>
      </c>
      <c r="AD118" s="27" t="s">
        <v>7</v>
      </c>
      <c r="AE118" s="27" t="s">
        <v>8</v>
      </c>
      <c r="AF118" s="27" t="s">
        <v>7</v>
      </c>
      <c r="AG118" s="31"/>
      <c r="AM118" s="27" t="s">
        <v>8</v>
      </c>
      <c r="AN118" s="27" t="s">
        <v>7</v>
      </c>
      <c r="AO118" s="27" t="s">
        <v>8</v>
      </c>
      <c r="AS118" s="31"/>
      <c r="AT118" s="32" t="s">
        <v>7</v>
      </c>
      <c r="AV118" s="32" t="s">
        <v>7</v>
      </c>
      <c r="AX118" s="27" t="s">
        <v>7</v>
      </c>
    </row>
    <row r="119" spans="1:50" x14ac:dyDescent="0.25">
      <c r="A119" s="30">
        <v>1.2100000000000002</v>
      </c>
      <c r="Y119" s="27" t="s">
        <v>8</v>
      </c>
      <c r="Z119" s="27" t="s">
        <v>7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H119" s="31"/>
      <c r="AM119" s="27" t="s">
        <v>8</v>
      </c>
      <c r="AN119" s="27" t="s">
        <v>7</v>
      </c>
      <c r="AO119" s="27" t="s">
        <v>8</v>
      </c>
      <c r="AR119" s="31"/>
      <c r="AX119" s="27" t="s">
        <v>7</v>
      </c>
    </row>
    <row r="120" spans="1:50" x14ac:dyDescent="0.25">
      <c r="A120" s="30">
        <v>1.1000000000000001</v>
      </c>
      <c r="C120" s="1" t="s">
        <v>9</v>
      </c>
      <c r="Y120" s="27" t="s">
        <v>8</v>
      </c>
      <c r="Z120" s="27" t="s">
        <v>7</v>
      </c>
      <c r="AA120" s="27" t="s">
        <v>8</v>
      </c>
      <c r="AB120" s="27" t="s">
        <v>7</v>
      </c>
      <c r="AC120" s="27" t="s">
        <v>8</v>
      </c>
      <c r="AD120" s="27" t="s">
        <v>7</v>
      </c>
      <c r="AE120" s="27" t="s">
        <v>8</v>
      </c>
      <c r="AF120" s="27" t="s">
        <v>7</v>
      </c>
      <c r="AG120" s="32" t="s">
        <v>8</v>
      </c>
      <c r="AI120" s="32" t="s">
        <v>8</v>
      </c>
      <c r="AM120" s="27" t="s">
        <v>8</v>
      </c>
      <c r="AN120" s="27" t="s">
        <v>7</v>
      </c>
      <c r="AQ120" s="31"/>
      <c r="AX120" s="27" t="s">
        <v>7</v>
      </c>
    </row>
    <row r="121" spans="1:50" x14ac:dyDescent="0.25">
      <c r="A121" s="30">
        <v>1</v>
      </c>
      <c r="C121" s="18">
        <v>123</v>
      </c>
      <c r="D121" s="19">
        <v>50</v>
      </c>
      <c r="E121" s="18" t="s">
        <v>8</v>
      </c>
      <c r="Y121" s="27" t="s">
        <v>8</v>
      </c>
      <c r="Z121" s="27" t="s">
        <v>7</v>
      </c>
      <c r="AA121" s="27" t="s">
        <v>8</v>
      </c>
      <c r="AB121" s="32" t="s">
        <v>7</v>
      </c>
      <c r="AD121" s="32" t="s">
        <v>7</v>
      </c>
      <c r="AF121" s="27" t="s">
        <v>7</v>
      </c>
      <c r="AG121" s="27" t="s">
        <v>8</v>
      </c>
      <c r="AH121" s="27" t="s">
        <v>7</v>
      </c>
      <c r="AI121" s="27" t="s">
        <v>8</v>
      </c>
      <c r="AJ121" s="31" t="s">
        <v>7</v>
      </c>
      <c r="AM121" s="27" t="s">
        <v>8</v>
      </c>
      <c r="AP121" s="31"/>
      <c r="AX121" s="27" t="s">
        <v>7</v>
      </c>
    </row>
    <row r="122" spans="1:50" x14ac:dyDescent="0.25">
      <c r="A122" s="30">
        <v>0.90909090909090895</v>
      </c>
      <c r="C122" s="1" t="str">
        <f>INDEX(1:1048576,C117,D117)</f>
        <v>O</v>
      </c>
      <c r="F122" s="27" t="s">
        <v>7</v>
      </c>
      <c r="Y122" s="27" t="s">
        <v>8</v>
      </c>
      <c r="Z122" s="27" t="s">
        <v>7</v>
      </c>
      <c r="AF122" s="34" t="s">
        <v>7</v>
      </c>
      <c r="AG122" s="27" t="s">
        <v>8</v>
      </c>
      <c r="AH122" s="27" t="s">
        <v>7</v>
      </c>
      <c r="AI122" s="27" t="s">
        <v>8</v>
      </c>
      <c r="AJ122" s="27" t="s">
        <v>7</v>
      </c>
      <c r="AK122" s="31" t="s">
        <v>8</v>
      </c>
      <c r="AM122" s="27" t="s">
        <v>8</v>
      </c>
      <c r="AO122" s="31"/>
      <c r="AX122" s="27" t="s">
        <v>7</v>
      </c>
    </row>
    <row r="123" spans="1:50" x14ac:dyDescent="0.25">
      <c r="A123" s="30">
        <v>0.82644628099173523</v>
      </c>
      <c r="C123" s="1" t="str">
        <f>"R"&amp;C121</f>
        <v>R123</v>
      </c>
      <c r="D123" s="1" t="str">
        <f>"C"&amp;D121</f>
        <v>C50</v>
      </c>
      <c r="F123" s="27" t="s">
        <v>7</v>
      </c>
      <c r="Y123" s="27" t="s">
        <v>8</v>
      </c>
      <c r="AF123" s="27" t="s">
        <v>7</v>
      </c>
      <c r="AG123" s="31"/>
      <c r="AH123" s="27" t="s">
        <v>7</v>
      </c>
      <c r="AI123" s="27" t="s">
        <v>8</v>
      </c>
      <c r="AJ123" s="27" t="s">
        <v>7</v>
      </c>
      <c r="AK123" s="27" t="s">
        <v>8</v>
      </c>
      <c r="AL123" s="31" t="s">
        <v>7</v>
      </c>
      <c r="AM123" s="27" t="s">
        <v>8</v>
      </c>
      <c r="AN123" s="31"/>
      <c r="AX123" s="27" t="s">
        <v>7</v>
      </c>
    </row>
    <row r="124" spans="1:5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O124" s="27" t="s">
        <v>8</v>
      </c>
      <c r="Y124" s="27" t="s">
        <v>8</v>
      </c>
      <c r="AF124" s="31"/>
      <c r="AH124" s="27" t="s">
        <v>7</v>
      </c>
      <c r="AI124" s="27" t="s">
        <v>8</v>
      </c>
      <c r="AJ124" s="27" t="s">
        <v>7</v>
      </c>
      <c r="AK124" s="27" t="s">
        <v>8</v>
      </c>
      <c r="AL124" s="27" t="s">
        <v>7</v>
      </c>
      <c r="AM124" s="31" t="s">
        <v>8</v>
      </c>
    </row>
    <row r="125" spans="1:50" x14ac:dyDescent="0.25">
      <c r="A125" s="30">
        <v>0.68301345536507019</v>
      </c>
      <c r="F125" s="27" t="s">
        <v>7</v>
      </c>
      <c r="O125" s="27" t="s">
        <v>8</v>
      </c>
      <c r="P125" s="27" t="s">
        <v>7</v>
      </c>
      <c r="Y125" s="27" t="s">
        <v>8</v>
      </c>
      <c r="AE125" s="31"/>
      <c r="AH125" s="32" t="s">
        <v>7</v>
      </c>
      <c r="AJ125" s="32" t="s">
        <v>7</v>
      </c>
      <c r="AL125" s="32" t="s">
        <v>7</v>
      </c>
    </row>
    <row r="126" spans="1:50" x14ac:dyDescent="0.25">
      <c r="A126" s="30">
        <v>0.6209213230591546</v>
      </c>
      <c r="C126" s="1" t="s">
        <v>10</v>
      </c>
      <c r="F126" s="27" t="s">
        <v>7</v>
      </c>
      <c r="O126" s="27" t="s">
        <v>8</v>
      </c>
      <c r="P126" s="27" t="s">
        <v>7</v>
      </c>
      <c r="Y126" s="27" t="s">
        <v>8</v>
      </c>
      <c r="AD126" s="31"/>
    </row>
    <row r="127" spans="1:50" x14ac:dyDescent="0.25">
      <c r="A127" s="30">
        <v>0.56447393005377677</v>
      </c>
      <c r="C127" s="30">
        <v>0.82644628099173523</v>
      </c>
      <c r="D127"/>
      <c r="F127" s="27" t="s">
        <v>7</v>
      </c>
      <c r="O127" s="27" t="s">
        <v>8</v>
      </c>
      <c r="P127" s="27" t="s">
        <v>7</v>
      </c>
      <c r="Y127" s="27" t="s">
        <v>8</v>
      </c>
      <c r="AC127" s="31"/>
    </row>
    <row r="128" spans="1:50" x14ac:dyDescent="0.25">
      <c r="A128" s="30">
        <v>0.51315811823070612</v>
      </c>
      <c r="F128" s="27" t="s">
        <v>7</v>
      </c>
      <c r="O128" s="27" t="s">
        <v>8</v>
      </c>
      <c r="P128" s="27" t="s">
        <v>7</v>
      </c>
      <c r="W128" s="27" t="s">
        <v>8</v>
      </c>
      <c r="Y128" s="27" t="s">
        <v>8</v>
      </c>
      <c r="AB128" s="31"/>
    </row>
    <row r="129" spans="1:2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O129" s="27" t="s">
        <v>8</v>
      </c>
      <c r="P129" s="27" t="s">
        <v>7</v>
      </c>
      <c r="W129" s="27" t="s">
        <v>8</v>
      </c>
      <c r="X129" s="27" t="s">
        <v>7</v>
      </c>
      <c r="Y129" s="27" t="s">
        <v>8</v>
      </c>
      <c r="AA129" s="31"/>
    </row>
    <row r="130" spans="1:27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J130" s="27" t="s">
        <v>7</v>
      </c>
      <c r="O130" s="27" t="s">
        <v>8</v>
      </c>
      <c r="P130" s="27" t="s">
        <v>7</v>
      </c>
      <c r="Q130" s="27" t="s">
        <v>8</v>
      </c>
      <c r="W130" s="27" t="s">
        <v>8</v>
      </c>
      <c r="X130" s="27" t="s">
        <v>7</v>
      </c>
      <c r="Y130" s="27" t="s">
        <v>8</v>
      </c>
      <c r="Z130" s="31"/>
    </row>
    <row r="131" spans="1:27" x14ac:dyDescent="0.25">
      <c r="A131" s="30">
        <v>0.38554328942953109</v>
      </c>
      <c r="E131"/>
      <c r="F131" s="27" t="s">
        <v>7</v>
      </c>
      <c r="G131" s="27" t="s">
        <v>8</v>
      </c>
      <c r="I131" s="27" t="s">
        <v>8</v>
      </c>
      <c r="J131" s="27" t="s">
        <v>7</v>
      </c>
      <c r="M131" s="27" t="s">
        <v>8</v>
      </c>
      <c r="O131" s="27" t="s">
        <v>8</v>
      </c>
      <c r="P131" s="27" t="s">
        <v>7</v>
      </c>
      <c r="Q131" s="27" t="s">
        <v>8</v>
      </c>
      <c r="R131" s="27" t="s">
        <v>7</v>
      </c>
      <c r="U131" s="33" t="s">
        <v>8</v>
      </c>
      <c r="W131" s="27" t="s">
        <v>8</v>
      </c>
      <c r="X131" s="27" t="s">
        <v>7</v>
      </c>
      <c r="Y131" s="31"/>
    </row>
    <row r="132" spans="1:27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S132" s="27" t="s">
        <v>8</v>
      </c>
      <c r="U132" s="27" t="s">
        <v>8</v>
      </c>
      <c r="V132" s="27" t="s">
        <v>7</v>
      </c>
      <c r="W132" s="27" t="s">
        <v>8</v>
      </c>
      <c r="X132" s="31"/>
    </row>
    <row r="133" spans="1:27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  <c r="R133" s="27" t="s">
        <v>7</v>
      </c>
      <c r="S133" s="27" t="s">
        <v>8</v>
      </c>
      <c r="T133" s="27" t="s">
        <v>7</v>
      </c>
      <c r="U133" s="27" t="s">
        <v>8</v>
      </c>
      <c r="V133" s="27" t="s">
        <v>7</v>
      </c>
      <c r="W133" s="31" t="s">
        <v>8</v>
      </c>
    </row>
    <row r="134" spans="1:27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J134" s="27" t="s">
        <v>7</v>
      </c>
      <c r="M134" s="27" t="s">
        <v>8</v>
      </c>
      <c r="N134" s="27" t="s">
        <v>7</v>
      </c>
      <c r="O134" s="27" t="s">
        <v>8</v>
      </c>
      <c r="R134" s="34" t="s">
        <v>7</v>
      </c>
      <c r="S134" s="27" t="s">
        <v>8</v>
      </c>
      <c r="T134" s="27" t="s">
        <v>7</v>
      </c>
      <c r="U134" s="27" t="s">
        <v>8</v>
      </c>
      <c r="V134" s="31" t="s">
        <v>7</v>
      </c>
    </row>
    <row r="135" spans="1:27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J135" s="27" t="s">
        <v>7</v>
      </c>
      <c r="M135" s="27" t="s">
        <v>8</v>
      </c>
      <c r="N135" s="27" t="s">
        <v>7</v>
      </c>
      <c r="R135" s="27" t="s">
        <v>7</v>
      </c>
      <c r="T135" s="31" t="s">
        <v>7</v>
      </c>
      <c r="U135" s="31" t="s">
        <v>8</v>
      </c>
    </row>
    <row r="136" spans="1:2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J136" s="27" t="s">
        <v>7</v>
      </c>
      <c r="M136" s="27" t="s">
        <v>8</v>
      </c>
      <c r="S136" s="31"/>
      <c r="T136" s="27" t="s">
        <v>7</v>
      </c>
    </row>
    <row r="137" spans="1:27" x14ac:dyDescent="0.25">
      <c r="A137" s="30">
        <v>0.2176291357901482</v>
      </c>
      <c r="E137"/>
      <c r="F137" s="27" t="s">
        <v>7</v>
      </c>
      <c r="J137" s="27" t="s">
        <v>7</v>
      </c>
      <c r="M137" s="27" t="s">
        <v>8</v>
      </c>
      <c r="R137" s="31"/>
    </row>
    <row r="138" spans="1:2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J138" s="27" t="s">
        <v>7</v>
      </c>
      <c r="M138" s="27" t="s">
        <v>8</v>
      </c>
      <c r="Q138" s="31"/>
    </row>
    <row r="139" spans="1:27" x14ac:dyDescent="0.25">
      <c r="A139" s="30">
        <v>0.17985878990921333</v>
      </c>
      <c r="E139"/>
      <c r="J139" s="27" t="s">
        <v>7</v>
      </c>
      <c r="M139" s="33" t="s">
        <v>8</v>
      </c>
      <c r="P139" s="31"/>
    </row>
    <row r="140" spans="1:27" x14ac:dyDescent="0.25">
      <c r="A140" s="30">
        <v>0.16350799082655756</v>
      </c>
      <c r="C140" s="1">
        <v>0</v>
      </c>
      <c r="E140"/>
      <c r="J140" s="27" t="s">
        <v>7</v>
      </c>
      <c r="K140" s="27" t="s">
        <v>8</v>
      </c>
      <c r="M140" s="27" t="s">
        <v>8</v>
      </c>
      <c r="O140" s="31"/>
    </row>
    <row r="141" spans="1:27" x14ac:dyDescent="0.25">
      <c r="A141" s="30">
        <v>0.14864362802414322</v>
      </c>
      <c r="C141" s="1">
        <v>1</v>
      </c>
      <c r="E141"/>
      <c r="J141" s="27" t="s">
        <v>7</v>
      </c>
      <c r="K141" s="27" t="s">
        <v>8</v>
      </c>
      <c r="L141" s="27" t="s">
        <v>7</v>
      </c>
      <c r="M141" s="27" t="s">
        <v>8</v>
      </c>
      <c r="N141" s="31"/>
    </row>
    <row r="142" spans="1:27" x14ac:dyDescent="0.25">
      <c r="A142" s="30">
        <v>0.13513057093103928</v>
      </c>
      <c r="C142" s="1">
        <v>2</v>
      </c>
      <c r="E142"/>
      <c r="J142" s="27" t="s">
        <v>7</v>
      </c>
      <c r="K142" s="27" t="s">
        <v>8</v>
      </c>
      <c r="L142" s="27" t="s">
        <v>7</v>
      </c>
      <c r="M142" s="31" t="s">
        <v>8</v>
      </c>
    </row>
    <row r="143" spans="1:27" x14ac:dyDescent="0.25">
      <c r="A143" s="30">
        <v>0.12284597357367205</v>
      </c>
      <c r="C143" s="1">
        <v>3</v>
      </c>
      <c r="E143"/>
      <c r="J143" s="27" t="s">
        <v>7</v>
      </c>
      <c r="K143" s="27" t="s">
        <v>8</v>
      </c>
      <c r="L143" s="31" t="s">
        <v>7</v>
      </c>
    </row>
    <row r="144" spans="1:27" x14ac:dyDescent="0.25">
      <c r="A144" s="30">
        <v>0.11167815779424731</v>
      </c>
      <c r="C144" s="1">
        <v>4</v>
      </c>
      <c r="E144"/>
      <c r="J144" s="27" t="s">
        <v>7</v>
      </c>
      <c r="K144" s="31" t="s">
        <v>8</v>
      </c>
    </row>
    <row r="145" spans="1:10" x14ac:dyDescent="0.25">
      <c r="A145" s="30">
        <v>0.10152559799477026</v>
      </c>
      <c r="B145"/>
      <c r="C145"/>
      <c r="D145"/>
      <c r="E145"/>
      <c r="J145" s="31" t="s">
        <v>7</v>
      </c>
    </row>
    <row r="146" spans="1:10" x14ac:dyDescent="0.25">
      <c r="A146" s="30">
        <v>9.2295998177063854E-2</v>
      </c>
      <c r="B146"/>
      <c r="C146"/>
      <c r="D146"/>
      <c r="E146"/>
    </row>
    <row r="147" spans="1:10" x14ac:dyDescent="0.25">
      <c r="A147" s="30">
        <v>8.3905452888239848E-2</v>
      </c>
      <c r="B147"/>
      <c r="C147"/>
      <c r="D147"/>
      <c r="E147"/>
    </row>
    <row r="148" spans="1:10" x14ac:dyDescent="0.25">
      <c r="A148" s="30">
        <v>7.6277684443854396E-2</v>
      </c>
      <c r="B148"/>
      <c r="C148"/>
      <c r="D148"/>
      <c r="E148"/>
    </row>
    <row r="149" spans="1:10" x14ac:dyDescent="0.25">
      <c r="A149" s="30">
        <v>6.9343349494413078E-2</v>
      </c>
      <c r="B149"/>
      <c r="C149"/>
      <c r="D149"/>
      <c r="E149"/>
    </row>
    <row r="150" spans="1:10" x14ac:dyDescent="0.25">
      <c r="A150" s="30">
        <v>6.3039408631284613E-2</v>
      </c>
      <c r="B150"/>
      <c r="C150"/>
      <c r="D150"/>
      <c r="E150"/>
    </row>
    <row r="151" spans="1:10" x14ac:dyDescent="0.25">
      <c r="A151" s="30">
        <v>5.7308553301167818E-2</v>
      </c>
      <c r="B151"/>
      <c r="C151"/>
      <c r="D151"/>
      <c r="E151"/>
    </row>
    <row r="152" spans="1:10" x14ac:dyDescent="0.25">
      <c r="A152" s="30">
        <v>5.2098684819243464E-2</v>
      </c>
      <c r="B152"/>
      <c r="C152"/>
      <c r="D152"/>
      <c r="E152"/>
    </row>
    <row r="153" spans="1:10" x14ac:dyDescent="0.25">
      <c r="A153" s="30">
        <v>4.7362440744766775E-2</v>
      </c>
      <c r="B153"/>
      <c r="C153"/>
      <c r="D153"/>
      <c r="E153"/>
    </row>
    <row r="154" spans="1:10" x14ac:dyDescent="0.25">
      <c r="A154" s="30">
        <v>4.3056764313424332E-2</v>
      </c>
      <c r="B154"/>
      <c r="C154"/>
      <c r="D154"/>
      <c r="E154"/>
    </row>
    <row r="155" spans="1:10" x14ac:dyDescent="0.25">
      <c r="A155" s="30">
        <v>3.9142513012203929E-2</v>
      </c>
      <c r="B155"/>
      <c r="C155"/>
      <c r="D155"/>
      <c r="E155"/>
    </row>
    <row r="156" spans="1:10" x14ac:dyDescent="0.25">
      <c r="A156" s="30">
        <v>3.55841027383672E-2</v>
      </c>
      <c r="B156"/>
      <c r="C156"/>
      <c r="D156"/>
      <c r="E156"/>
    </row>
    <row r="157" spans="1:10" x14ac:dyDescent="0.25">
      <c r="A157" s="30">
        <v>3.2349184307606541E-2</v>
      </c>
      <c r="B157"/>
      <c r="C157"/>
      <c r="D157"/>
      <c r="E157"/>
    </row>
    <row r="158" spans="1:10" x14ac:dyDescent="0.25">
      <c r="A158" s="30">
        <v>2.9408349370551395E-2</v>
      </c>
      <c r="B158"/>
      <c r="C158"/>
      <c r="D158"/>
      <c r="E158"/>
    </row>
    <row r="159" spans="1:10" x14ac:dyDescent="0.25">
      <c r="A159" s="30">
        <v>2.6734863064137627E-2</v>
      </c>
      <c r="B159"/>
      <c r="C159"/>
      <c r="D159"/>
      <c r="E159"/>
    </row>
    <row r="160" spans="1:1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5" operator="equal">
      <formula>$U$1</formula>
    </cfRule>
    <cfRule type="cellIs" dxfId="30" priority="1166" operator="equal">
      <formula>$S$1</formula>
    </cfRule>
  </conditionalFormatting>
  <conditionalFormatting sqref="D136">
    <cfRule type="cellIs" dxfId="29" priority="1163" operator="equal">
      <formula>$S$1</formula>
    </cfRule>
    <cfRule type="cellIs" dxfId="28" priority="1164" operator="equal">
      <formula>$U$1</formula>
    </cfRule>
  </conditionalFormatting>
  <conditionalFormatting sqref="C102">
    <cfRule type="cellIs" dxfId="27" priority="1161" operator="equal">
      <formula>$U$1</formula>
    </cfRule>
    <cfRule type="cellIs" dxfId="26" priority="1162" operator="equal">
      <formula>$S$1</formula>
    </cfRule>
  </conditionalFormatting>
  <conditionalFormatting sqref="D102">
    <cfRule type="cellIs" dxfId="25" priority="1159" operator="equal">
      <formula>$S$1</formula>
    </cfRule>
    <cfRule type="cellIs" dxfId="24" priority="1160" operator="equal">
      <formula>$U$1</formula>
    </cfRule>
  </conditionalFormatting>
  <conditionalFormatting sqref="C77">
    <cfRule type="cellIs" dxfId="23" priority="1157" operator="equal">
      <formula>$U$1</formula>
    </cfRule>
    <cfRule type="cellIs" dxfId="22" priority="1158" operator="equal">
      <formula>$S$1</formula>
    </cfRule>
  </conditionalFormatting>
  <conditionalFormatting sqref="D77">
    <cfRule type="cellIs" dxfId="21" priority="1155" operator="equal">
      <formula>$S$1</formula>
    </cfRule>
    <cfRule type="cellIs" dxfId="20" priority="1156" operator="equal">
      <formula>$U$1</formula>
    </cfRule>
  </conditionalFormatting>
  <conditionalFormatting sqref="C52">
    <cfRule type="cellIs" dxfId="19" priority="1153" operator="equal">
      <formula>$U$1</formula>
    </cfRule>
    <cfRule type="cellIs" dxfId="18" priority="1154" operator="equal">
      <formula>$S$1</formula>
    </cfRule>
  </conditionalFormatting>
  <conditionalFormatting sqref="D52">
    <cfRule type="cellIs" dxfId="17" priority="1151" operator="equal">
      <formula>$S$1</formula>
    </cfRule>
    <cfRule type="cellIs" dxfId="16" priority="1152" operator="equal">
      <formula>$U$1</formula>
    </cfRule>
  </conditionalFormatting>
  <conditionalFormatting sqref="C26">
    <cfRule type="cellIs" dxfId="15" priority="1149" operator="equal">
      <formula>$U$1</formula>
    </cfRule>
    <cfRule type="cellIs" dxfId="14" priority="1150" operator="equal">
      <formula>$S$1</formula>
    </cfRule>
  </conditionalFormatting>
  <conditionalFormatting sqref="D26">
    <cfRule type="cellIs" dxfId="13" priority="1147" operator="equal">
      <formula>$S$1</formula>
    </cfRule>
    <cfRule type="cellIs" dxfId="12" priority="114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0.676839362028685</v>
      </c>
      <c r="F3" s="30">
        <v>0.71068133013011958</v>
      </c>
      <c r="G3" s="30">
        <v>1</v>
      </c>
      <c r="H3" s="25">
        <f>IF(G3="","",(3*(G3-F3))+E3)</f>
        <v>1.5447953716383263</v>
      </c>
      <c r="I3" s="7"/>
      <c r="J3" s="7">
        <f>(E3+G3)/2</f>
        <v>0.8384196810143425</v>
      </c>
      <c r="K3" s="7">
        <f>H3/2</f>
        <v>0.77239768581916313</v>
      </c>
      <c r="M3" s="26">
        <f>IF(OR(J3="",H3=""),"",H3/J3)</f>
        <v>1.8425084794877329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2022-01-28T01:13:28Z</dcterms:modified>
</cp:coreProperties>
</file>