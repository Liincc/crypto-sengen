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730F62B4-80F0-459E-81B8-7EBE921F251C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976" i="1"/>
  <c r="Q976" i="1" s="1"/>
  <c r="R976" i="1" s="1"/>
  <c r="P975" i="1"/>
  <c r="Q975" i="1" s="1"/>
  <c r="P974" i="1"/>
  <c r="Q974" i="1" s="1"/>
  <c r="P973" i="1"/>
  <c r="Q973" i="1" s="1"/>
  <c r="P972" i="1"/>
  <c r="Q972" i="1" s="1"/>
  <c r="P971" i="1"/>
  <c r="Q971" i="1" s="1"/>
  <c r="P970" i="1"/>
  <c r="Q970" i="1" s="1"/>
  <c r="P969" i="1"/>
  <c r="Q969" i="1" s="1"/>
  <c r="P968" i="1"/>
  <c r="Q968" i="1" s="1"/>
  <c r="P967" i="1"/>
  <c r="Q967" i="1" s="1"/>
  <c r="P966" i="1"/>
  <c r="Q966" i="1" s="1"/>
  <c r="P965" i="1"/>
  <c r="Q965" i="1" s="1"/>
  <c r="P964" i="1"/>
  <c r="Q964" i="1" s="1"/>
  <c r="P963" i="1"/>
  <c r="Q963" i="1" s="1"/>
  <c r="P962" i="1"/>
  <c r="Q962" i="1" s="1"/>
  <c r="P961" i="1"/>
  <c r="Q961" i="1" s="1"/>
  <c r="P960" i="1"/>
  <c r="Q960" i="1" s="1"/>
  <c r="P959" i="1"/>
  <c r="Q959" i="1" s="1"/>
  <c r="P958" i="1"/>
  <c r="Q958" i="1" s="1"/>
  <c r="P957" i="1"/>
  <c r="Q957" i="1" s="1"/>
  <c r="P956" i="1"/>
  <c r="Q956" i="1" s="1"/>
  <c r="P955" i="1"/>
  <c r="Q955" i="1" s="1"/>
  <c r="P954" i="1"/>
  <c r="Q954" i="1" s="1"/>
  <c r="P953" i="1"/>
  <c r="Q953" i="1" s="1"/>
  <c r="P952" i="1"/>
  <c r="Q952" i="1" s="1"/>
  <c r="P951" i="1"/>
  <c r="Q951" i="1" s="1"/>
  <c r="P950" i="1"/>
  <c r="Q950" i="1" s="1"/>
  <c r="P949" i="1"/>
  <c r="Q949" i="1" s="1"/>
  <c r="P948" i="1"/>
  <c r="Q948" i="1" s="1"/>
  <c r="P947" i="1"/>
  <c r="Q947" i="1" s="1"/>
  <c r="P946" i="1"/>
  <c r="Q946" i="1" s="1"/>
  <c r="P945" i="1"/>
  <c r="Q945" i="1" s="1"/>
  <c r="P944" i="1"/>
  <c r="Q944" i="1" s="1"/>
  <c r="P943" i="1"/>
  <c r="Q943" i="1" s="1"/>
  <c r="P942" i="1"/>
  <c r="Q942" i="1" s="1"/>
  <c r="P941" i="1"/>
  <c r="Q941" i="1" s="1"/>
  <c r="P940" i="1"/>
  <c r="Q940" i="1" s="1"/>
  <c r="P939" i="1"/>
  <c r="Q939" i="1" s="1"/>
  <c r="P938" i="1"/>
  <c r="Q938" i="1" s="1"/>
  <c r="P937" i="1"/>
  <c r="Q937" i="1" s="1"/>
  <c r="P936" i="1"/>
  <c r="Q936" i="1" s="1"/>
  <c r="P935" i="1"/>
  <c r="Q935" i="1" s="1"/>
  <c r="P934" i="1"/>
  <c r="Q934" i="1" s="1"/>
  <c r="P933" i="1"/>
  <c r="Q933" i="1" s="1"/>
  <c r="P932" i="1"/>
  <c r="Q932" i="1" s="1"/>
  <c r="P931" i="1"/>
  <c r="Q931" i="1" s="1"/>
  <c r="P930" i="1"/>
  <c r="Q930" i="1" s="1"/>
  <c r="P929" i="1"/>
  <c r="Q929" i="1" s="1"/>
  <c r="P928" i="1"/>
  <c r="Q928" i="1" s="1"/>
  <c r="P927" i="1"/>
  <c r="Q927" i="1" s="1"/>
  <c r="P926" i="1"/>
  <c r="Q926" i="1" s="1"/>
  <c r="P925" i="1"/>
  <c r="Q925" i="1" s="1"/>
  <c r="P924" i="1"/>
  <c r="Q924" i="1" s="1"/>
  <c r="P923" i="1"/>
  <c r="Q923" i="1" s="1"/>
  <c r="P922" i="1"/>
  <c r="Q922" i="1" s="1"/>
  <c r="P921" i="1"/>
  <c r="Q921" i="1" s="1"/>
  <c r="P920" i="1"/>
  <c r="Q920" i="1" s="1"/>
  <c r="P919" i="1"/>
  <c r="Q919" i="1" s="1"/>
  <c r="P918" i="1"/>
  <c r="Q918" i="1" s="1"/>
  <c r="P917" i="1"/>
  <c r="Q917" i="1" s="1"/>
  <c r="P916" i="1"/>
  <c r="Q916" i="1" s="1"/>
  <c r="P915" i="1"/>
  <c r="Q915" i="1" s="1"/>
  <c r="P914" i="1"/>
  <c r="Q914" i="1" s="1"/>
  <c r="P913" i="1"/>
  <c r="Q913" i="1" s="1"/>
  <c r="P912" i="1"/>
  <c r="Q912" i="1" s="1"/>
  <c r="P911" i="1"/>
  <c r="Q911" i="1" s="1"/>
  <c r="P910" i="1"/>
  <c r="Q910" i="1" s="1"/>
  <c r="P909" i="1"/>
  <c r="Q909" i="1" s="1"/>
  <c r="P908" i="1"/>
  <c r="Q908" i="1" s="1"/>
  <c r="P907" i="1"/>
  <c r="Q907" i="1" s="1"/>
  <c r="P906" i="1"/>
  <c r="Q906" i="1" s="1"/>
  <c r="P905" i="1"/>
  <c r="Q905" i="1" s="1"/>
  <c r="P904" i="1"/>
  <c r="Q904" i="1" s="1"/>
  <c r="P903" i="1"/>
  <c r="Q903" i="1" s="1"/>
  <c r="P902" i="1"/>
  <c r="Q902" i="1" s="1"/>
  <c r="P901" i="1"/>
  <c r="Q901" i="1" s="1"/>
  <c r="P900" i="1"/>
  <c r="Q900" i="1" s="1"/>
  <c r="P899" i="1"/>
  <c r="Q899" i="1" s="1"/>
  <c r="P898" i="1"/>
  <c r="Q898" i="1" s="1"/>
  <c r="P897" i="1"/>
  <c r="Q897" i="1" s="1"/>
  <c r="P896" i="1"/>
  <c r="Q896" i="1" s="1"/>
  <c r="P895" i="1"/>
  <c r="Q895" i="1" s="1"/>
  <c r="P894" i="1"/>
  <c r="Q894" i="1" s="1"/>
  <c r="P893" i="1"/>
  <c r="Q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976" i="1"/>
  <c r="T97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8" i="5"/>
  <c r="C122" i="5"/>
  <c r="C133" i="5" s="1"/>
  <c r="C136" i="5" s="1"/>
  <c r="C116" i="4"/>
  <c r="C118" i="3"/>
  <c r="C122" i="4"/>
  <c r="C133" i="4" s="1"/>
  <c r="C136" i="4" s="1"/>
  <c r="C122" i="3"/>
  <c r="C133" i="3" s="1"/>
  <c r="C136" i="3" s="1"/>
  <c r="R975" i="1"/>
  <c r="D136" i="5" l="1"/>
  <c r="C138" i="5" s="1"/>
  <c r="D136" i="4"/>
  <c r="C138" i="4" s="1"/>
  <c r="D136" i="3"/>
  <c r="C138" i="3" s="1"/>
  <c r="R974" i="1"/>
  <c r="S975" i="1"/>
  <c r="T975" i="1" s="1"/>
  <c r="R973" i="1" l="1"/>
  <c r="S974" i="1"/>
  <c r="T974" i="1" s="1"/>
  <c r="R972" i="1" l="1"/>
  <c r="S973" i="1"/>
  <c r="T973" i="1" s="1"/>
  <c r="R971" i="1" l="1"/>
  <c r="S972" i="1"/>
  <c r="T972" i="1" s="1"/>
  <c r="R970" i="1" l="1"/>
  <c r="S971" i="1"/>
  <c r="T971" i="1" s="1"/>
  <c r="R969" i="1" l="1"/>
  <c r="S970" i="1"/>
  <c r="T970" i="1" s="1"/>
  <c r="R968" i="1" l="1"/>
  <c r="S969" i="1"/>
  <c r="T969" i="1" s="1"/>
  <c r="R967" i="1" l="1"/>
  <c r="S968" i="1"/>
  <c r="T968" i="1" s="1"/>
  <c r="R966" i="1" l="1"/>
  <c r="S967" i="1"/>
  <c r="T967" i="1" s="1"/>
  <c r="R965" i="1" l="1"/>
  <c r="S966" i="1"/>
  <c r="T966" i="1" s="1"/>
  <c r="R964" i="1" l="1"/>
  <c r="S965" i="1"/>
  <c r="T965" i="1" s="1"/>
  <c r="R963" i="1" l="1"/>
  <c r="S964" i="1"/>
  <c r="T964" i="1" s="1"/>
  <c r="R962" i="1" l="1"/>
  <c r="S963" i="1"/>
  <c r="T963" i="1" s="1"/>
  <c r="R961" i="1" l="1"/>
  <c r="S962" i="1"/>
  <c r="T962" i="1" s="1"/>
  <c r="R960" i="1" l="1"/>
  <c r="S961" i="1"/>
  <c r="T961" i="1" s="1"/>
  <c r="R959" i="1" l="1"/>
  <c r="S960" i="1"/>
  <c r="T960" i="1" s="1"/>
  <c r="R958" i="1" l="1"/>
  <c r="S959" i="1"/>
  <c r="T959" i="1" s="1"/>
  <c r="R957" i="1" l="1"/>
  <c r="S958" i="1"/>
  <c r="T958" i="1" s="1"/>
  <c r="R956" i="1" l="1"/>
  <c r="S957" i="1"/>
  <c r="T957" i="1" s="1"/>
  <c r="R955" i="1" l="1"/>
  <c r="S956" i="1"/>
  <c r="T956" i="1" s="1"/>
  <c r="R954" i="1" l="1"/>
  <c r="S955" i="1"/>
  <c r="T955" i="1" s="1"/>
  <c r="R953" i="1" l="1"/>
  <c r="S954" i="1"/>
  <c r="T954" i="1" s="1"/>
  <c r="R952" i="1" l="1"/>
  <c r="S953" i="1"/>
  <c r="T953" i="1" s="1"/>
  <c r="R951" i="1" l="1"/>
  <c r="S952" i="1"/>
  <c r="T952" i="1" s="1"/>
  <c r="R950" i="1" l="1"/>
  <c r="S951" i="1"/>
  <c r="T951" i="1" s="1"/>
  <c r="R949" i="1" l="1"/>
  <c r="S950" i="1"/>
  <c r="T950" i="1" s="1"/>
  <c r="R948" i="1" l="1"/>
  <c r="S949" i="1"/>
  <c r="T949" i="1" s="1"/>
  <c r="R947" i="1" l="1"/>
  <c r="S948" i="1"/>
  <c r="T948" i="1" s="1"/>
  <c r="R946" i="1" l="1"/>
  <c r="S947" i="1"/>
  <c r="T947" i="1" s="1"/>
  <c r="R945" i="1" l="1"/>
  <c r="S946" i="1"/>
  <c r="T946" i="1" s="1"/>
  <c r="R944" i="1" l="1"/>
  <c r="S945" i="1"/>
  <c r="T945" i="1" s="1"/>
  <c r="R943" i="1" l="1"/>
  <c r="S944" i="1"/>
  <c r="T944" i="1" s="1"/>
  <c r="R942" i="1" l="1"/>
  <c r="S943" i="1"/>
  <c r="T943" i="1" s="1"/>
  <c r="R941" i="1" l="1"/>
  <c r="S942" i="1"/>
  <c r="T942" i="1" s="1"/>
  <c r="R940" i="1" l="1"/>
  <c r="S941" i="1"/>
  <c r="T941" i="1" s="1"/>
  <c r="R939" i="1" l="1"/>
  <c r="S940" i="1"/>
  <c r="T940" i="1" s="1"/>
  <c r="R938" i="1" l="1"/>
  <c r="S939" i="1"/>
  <c r="T939" i="1" s="1"/>
  <c r="R937" i="1" l="1"/>
  <c r="S938" i="1"/>
  <c r="T938" i="1" s="1"/>
  <c r="R936" i="1" l="1"/>
  <c r="S937" i="1"/>
  <c r="T937" i="1" s="1"/>
  <c r="R935" i="1" l="1"/>
  <c r="S936" i="1"/>
  <c r="T936" i="1" s="1"/>
  <c r="R934" i="1" l="1"/>
  <c r="S935" i="1"/>
  <c r="T935" i="1" s="1"/>
  <c r="R933" i="1" l="1"/>
  <c r="S934" i="1"/>
  <c r="T934" i="1" s="1"/>
  <c r="R932" i="1" l="1"/>
  <c r="S933" i="1"/>
  <c r="T933" i="1" s="1"/>
  <c r="R931" i="1" l="1"/>
  <c r="S932" i="1"/>
  <c r="T932" i="1" s="1"/>
  <c r="R930" i="1" l="1"/>
  <c r="S931" i="1"/>
  <c r="T931" i="1" s="1"/>
  <c r="R929" i="1" l="1"/>
  <c r="S930" i="1"/>
  <c r="T930" i="1" s="1"/>
  <c r="R928" i="1" l="1"/>
  <c r="S929" i="1"/>
  <c r="T929" i="1" s="1"/>
  <c r="R927" i="1" l="1"/>
  <c r="S928" i="1"/>
  <c r="T928" i="1" s="1"/>
  <c r="R926" i="1" l="1"/>
  <c r="S927" i="1"/>
  <c r="T927" i="1" s="1"/>
  <c r="R925" i="1" l="1"/>
  <c r="S926" i="1"/>
  <c r="T926" i="1" s="1"/>
  <c r="R924" i="1" l="1"/>
  <c r="S925" i="1"/>
  <c r="T925" i="1" s="1"/>
  <c r="R923" i="1" l="1"/>
  <c r="S924" i="1"/>
  <c r="T924" i="1" s="1"/>
  <c r="R922" i="1" l="1"/>
  <c r="S923" i="1"/>
  <c r="T923" i="1" s="1"/>
  <c r="R921" i="1" l="1"/>
  <c r="S922" i="1"/>
  <c r="T922" i="1" s="1"/>
  <c r="R920" i="1" l="1"/>
  <c r="S921" i="1"/>
  <c r="T921" i="1" s="1"/>
  <c r="R919" i="1" l="1"/>
  <c r="S920" i="1"/>
  <c r="T920" i="1" s="1"/>
  <c r="R918" i="1" l="1"/>
  <c r="S919" i="1"/>
  <c r="T919" i="1" s="1"/>
  <c r="R917" i="1" l="1"/>
  <c r="S918" i="1"/>
  <c r="T918" i="1" s="1"/>
  <c r="R916" i="1" l="1"/>
  <c r="S917" i="1"/>
  <c r="T917" i="1" s="1"/>
  <c r="R915" i="1" l="1"/>
  <c r="S916" i="1"/>
  <c r="T916" i="1" s="1"/>
  <c r="R914" i="1" l="1"/>
  <c r="S915" i="1"/>
  <c r="T915" i="1" s="1"/>
  <c r="R913" i="1" l="1"/>
  <c r="S914" i="1"/>
  <c r="T914" i="1" s="1"/>
  <c r="R912" i="1" l="1"/>
  <c r="S913" i="1"/>
  <c r="T913" i="1" s="1"/>
  <c r="R911" i="1" l="1"/>
  <c r="S912" i="1"/>
  <c r="T912" i="1" s="1"/>
  <c r="R910" i="1" l="1"/>
  <c r="S911" i="1"/>
  <c r="T911" i="1" s="1"/>
  <c r="R909" i="1" l="1"/>
  <c r="S910" i="1"/>
  <c r="T910" i="1" s="1"/>
  <c r="R908" i="1" l="1"/>
  <c r="S909" i="1"/>
  <c r="T909" i="1" s="1"/>
  <c r="R907" i="1" l="1"/>
  <c r="S908" i="1"/>
  <c r="T908" i="1" s="1"/>
  <c r="R906" i="1" l="1"/>
  <c r="S907" i="1"/>
  <c r="T907" i="1" s="1"/>
  <c r="R905" i="1" l="1"/>
  <c r="S906" i="1"/>
  <c r="T906" i="1" s="1"/>
  <c r="R904" i="1" l="1"/>
  <c r="S905" i="1"/>
  <c r="T905" i="1" s="1"/>
  <c r="R903" i="1" l="1"/>
  <c r="S904" i="1"/>
  <c r="T904" i="1" s="1"/>
  <c r="R902" i="1" l="1"/>
  <c r="S903" i="1"/>
  <c r="T903" i="1" s="1"/>
  <c r="R901" i="1" l="1"/>
  <c r="S902" i="1"/>
  <c r="T902" i="1" s="1"/>
  <c r="R900" i="1" l="1"/>
  <c r="S901" i="1"/>
  <c r="T901" i="1" s="1"/>
  <c r="R899" i="1" l="1"/>
  <c r="S900" i="1"/>
  <c r="T900" i="1" s="1"/>
  <c r="R898" i="1" l="1"/>
  <c r="S899" i="1"/>
  <c r="T899" i="1" s="1"/>
  <c r="R897" i="1" l="1"/>
  <c r="S898" i="1"/>
  <c r="T898" i="1" s="1"/>
  <c r="R896" i="1" l="1"/>
  <c r="S897" i="1"/>
  <c r="T897" i="1" s="1"/>
  <c r="R895" i="1" l="1"/>
  <c r="S896" i="1"/>
  <c r="T896" i="1" s="1"/>
  <c r="R894" i="1" l="1"/>
  <c r="S895" i="1"/>
  <c r="T895" i="1" s="1"/>
  <c r="R893" i="1" l="1"/>
  <c r="S894" i="1"/>
  <c r="T894" i="1" s="1"/>
  <c r="R892" i="1" l="1"/>
  <c r="S893" i="1"/>
  <c r="T893" i="1" s="1"/>
  <c r="R891" i="1" l="1"/>
  <c r="S892" i="1"/>
  <c r="T892" i="1" s="1"/>
  <c r="R890" i="1" l="1"/>
  <c r="S891" i="1"/>
  <c r="T891" i="1" s="1"/>
  <c r="R889" i="1" l="1"/>
  <c r="S890" i="1"/>
  <c r="T890" i="1" s="1"/>
  <c r="R888" i="1" l="1"/>
  <c r="S889" i="1"/>
  <c r="T889" i="1" s="1"/>
  <c r="R887" i="1" l="1"/>
  <c r="S888" i="1"/>
  <c r="T888" i="1" s="1"/>
  <c r="R886" i="1" l="1"/>
  <c r="S887" i="1"/>
  <c r="T887" i="1" s="1"/>
  <c r="R885" i="1" l="1"/>
  <c r="S886" i="1"/>
  <c r="T886" i="1" s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R878" i="1" l="1"/>
  <c r="S879" i="1"/>
  <c r="T879" i="1" s="1"/>
  <c r="R877" i="1" l="1"/>
  <c r="S878" i="1"/>
  <c r="T878" i="1" s="1"/>
  <c r="R876" i="1" l="1"/>
  <c r="S877" i="1"/>
  <c r="T877" i="1" s="1"/>
  <c r="R875" i="1" l="1"/>
  <c r="S876" i="1"/>
  <c r="T876" i="1" s="1"/>
  <c r="R874" i="1" l="1"/>
  <c r="S875" i="1"/>
  <c r="T875" i="1" s="1"/>
  <c r="R873" i="1" l="1"/>
  <c r="S874" i="1"/>
  <c r="T874" i="1" s="1"/>
  <c r="R872" i="1" l="1"/>
  <c r="S873" i="1"/>
  <c r="T873" i="1" s="1"/>
  <c r="R871" i="1" l="1"/>
  <c r="S872" i="1"/>
  <c r="T872" i="1" s="1"/>
  <c r="R870" i="1" l="1"/>
  <c r="S871" i="1"/>
  <c r="T871" i="1" s="1"/>
  <c r="R869" i="1" l="1"/>
  <c r="S870" i="1"/>
  <c r="T870" i="1" s="1"/>
  <c r="R868" i="1" l="1"/>
  <c r="S869" i="1"/>
  <c r="T869" i="1" s="1"/>
  <c r="R867" i="1" l="1"/>
  <c r="S868" i="1"/>
  <c r="T868" i="1" s="1"/>
  <c r="R866" i="1" l="1"/>
  <c r="S867" i="1"/>
  <c r="T867" i="1" s="1"/>
  <c r="R865" i="1" l="1"/>
  <c r="S866" i="1"/>
  <c r="T866" i="1" s="1"/>
  <c r="R864" i="1" l="1"/>
  <c r="S865" i="1"/>
  <c r="T865" i="1" s="1"/>
  <c r="R863" i="1" l="1"/>
  <c r="S864" i="1"/>
  <c r="T864" i="1" s="1"/>
  <c r="R862" i="1" l="1"/>
  <c r="S863" i="1"/>
  <c r="T863" i="1" s="1"/>
  <c r="R861" i="1" l="1"/>
  <c r="S862" i="1"/>
  <c r="T862" i="1" s="1"/>
  <c r="R860" i="1" l="1"/>
  <c r="S861" i="1"/>
  <c r="T861" i="1" s="1"/>
  <c r="R859" i="1" l="1"/>
  <c r="S860" i="1"/>
  <c r="T860" i="1" s="1"/>
  <c r="R858" i="1" l="1"/>
  <c r="S859" i="1"/>
  <c r="T859" i="1" s="1"/>
  <c r="R857" i="1" l="1"/>
  <c r="S858" i="1"/>
  <c r="T858" i="1" s="1"/>
  <c r="R856" i="1" l="1"/>
  <c r="S857" i="1"/>
  <c r="T857" i="1" s="1"/>
  <c r="R855" i="1" l="1"/>
  <c r="S856" i="1"/>
  <c r="T856" i="1" s="1"/>
  <c r="R854" i="1" l="1"/>
  <c r="S855" i="1"/>
  <c r="T855" i="1" s="1"/>
  <c r="R853" i="1" l="1"/>
  <c r="S854" i="1"/>
  <c r="T854" i="1" s="1"/>
  <c r="R852" i="1" l="1"/>
  <c r="S853" i="1"/>
  <c r="T853" i="1" s="1"/>
  <c r="R851" i="1" l="1"/>
  <c r="S852" i="1"/>
  <c r="T852" i="1" s="1"/>
  <c r="R850" i="1" l="1"/>
  <c r="S851" i="1"/>
  <c r="T851" i="1" s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R845" i="1" l="1"/>
  <c r="S846" i="1"/>
  <c r="T846" i="1" s="1"/>
  <c r="R844" i="1" l="1"/>
  <c r="S845" i="1"/>
  <c r="T845" i="1" s="1"/>
  <c r="R843" i="1" l="1"/>
  <c r="S844" i="1"/>
  <c r="T844" i="1" s="1"/>
  <c r="R842" i="1" l="1"/>
  <c r="S843" i="1"/>
  <c r="T843" i="1" s="1"/>
  <c r="R841" i="1" l="1"/>
  <c r="S842" i="1"/>
  <c r="T842" i="1" s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R831" i="1" l="1"/>
  <c r="S832" i="1"/>
  <c r="T832" i="1" s="1"/>
  <c r="R830" i="1" l="1"/>
  <c r="S831" i="1"/>
  <c r="T831" i="1" s="1"/>
  <c r="R829" i="1" l="1"/>
  <c r="S830" i="1"/>
  <c r="T830" i="1" s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S41" i="1" l="1"/>
  <c r="T41" i="1" s="1"/>
  <c r="R40" i="1"/>
  <c r="S40" i="1" l="1"/>
  <c r="T40" i="1" s="1"/>
  <c r="R39" i="1"/>
  <c r="R38" i="1" l="1"/>
  <c r="S39" i="1"/>
  <c r="T39" i="1" s="1"/>
  <c r="R37" i="1" l="1"/>
  <c r="S38" i="1"/>
  <c r="T38" i="1" s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<sst xmlns="http://schemas.openxmlformats.org/spreadsheetml/2006/main" count="10454" uniqueCount="34">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</sst>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0.18049999999999999</c:v>
                </c:pt>
                <c:pt idx="1">
                  <c:v>0.18612000000000001</c:v>
                </c:pt>
                <c:pt idx="2">
                  <c:v>0.19092000000000001</c:v>
                </c:pt>
                <c:pt idx="3">
                  <c:v>0.19112999999999999</c:v>
                </c:pt>
                <c:pt idx="4">
                  <c:v>0.20596</c:v>
                </c:pt>
                <c:pt idx="5">
                  <c:v>0.1933</c:v>
                </c:pt>
                <c:pt idx="6">
                  <c:v>0.21454999999999999</c:v>
                </c:pt>
                <c:pt idx="7">
                  <c:v>0.26128000000000001</c:v>
                </c:pt>
                <c:pt idx="8">
                  <c:v>0.28332000000000002</c:v>
                </c:pt>
                <c:pt idx="9">
                  <c:v>0.31798999999999999</c:v>
                </c:pt>
                <c:pt idx="10">
                  <c:v>0.31657000000000002</c:v>
                </c:pt>
                <c:pt idx="11">
                  <c:v>0.35032999999999997</c:v>
                </c:pt>
                <c:pt idx="12">
                  <c:v>0.33809</c:v>
                </c:pt>
                <c:pt idx="13">
                  <c:v>0.35587999999999997</c:v>
                </c:pt>
                <c:pt idx="14">
                  <c:v>0.34965000000000002</c:v>
                </c:pt>
                <c:pt idx="15">
                  <c:v>0.34477999999999998</c:v>
                </c:pt>
                <c:pt idx="16">
                  <c:v>0.30238999999999999</c:v>
                </c:pt>
                <c:pt idx="17">
                  <c:v>0.27485999999999999</c:v>
                </c:pt>
                <c:pt idx="18">
                  <c:v>0.29049999999999998</c:v>
                </c:pt>
                <c:pt idx="19">
                  <c:v>0.30625999999999998</c:v>
                </c:pt>
                <c:pt idx="20">
                  <c:v>0.30274000000000001</c:v>
                </c:pt>
                <c:pt idx="21">
                  <c:v>0.30895</c:v>
                </c:pt>
                <c:pt idx="22">
                  <c:v>0.27949000000000002</c:v>
                </c:pt>
                <c:pt idx="23">
                  <c:v>0.30284</c:v>
                </c:pt>
                <c:pt idx="24">
                  <c:v>0.31219999999999998</c:v>
                </c:pt>
                <c:pt idx="25">
                  <c:v>0.29210999999999998</c:v>
                </c:pt>
                <c:pt idx="26">
                  <c:v>0.26794000000000001</c:v>
                </c:pt>
                <c:pt idx="27">
                  <c:v>0.23352999999999999</c:v>
                </c:pt>
                <c:pt idx="28">
                  <c:v>0.22874</c:v>
                </c:pt>
                <c:pt idx="29">
                  <c:v>0.22528000000000001</c:v>
                </c:pt>
                <c:pt idx="30">
                  <c:v>0.23638999999999999</c:v>
                </c:pt>
                <c:pt idx="31">
                  <c:v>0.26217000000000001</c:v>
                </c:pt>
                <c:pt idx="32">
                  <c:v>0.26584000000000002</c:v>
                </c:pt>
                <c:pt idx="33">
                  <c:v>0.25252999999999998</c:v>
                </c:pt>
                <c:pt idx="34">
                  <c:v>0.24493999999999999</c:v>
                </c:pt>
                <c:pt idx="35">
                  <c:v>0.25666</c:v>
                </c:pt>
                <c:pt idx="36">
                  <c:v>0.24454999999999999</c:v>
                </c:pt>
                <c:pt idx="37">
                  <c:v>0.23929</c:v>
                </c:pt>
                <c:pt idx="38">
                  <c:v>0.23777000000000001</c:v>
                </c:pt>
                <c:pt idx="39">
                  <c:v>0.24540000000000001</c:v>
                </c:pt>
                <c:pt idx="40">
                  <c:v>0.20932000000000001</c:v>
                </c:pt>
                <c:pt idx="41">
                  <c:v>0.20041</c:v>
                </c:pt>
                <c:pt idx="42">
                  <c:v>0.19520999999999999</c:v>
                </c:pt>
                <c:pt idx="43">
                  <c:v>0.18962000000000001</c:v>
                </c:pt>
                <c:pt idx="44">
                  <c:v>0.17258000000000001</c:v>
                </c:pt>
                <c:pt idx="45">
                  <c:v>0.16800000000000001</c:v>
                </c:pt>
                <c:pt idx="46">
                  <c:v>0.18822</c:v>
                </c:pt>
                <c:pt idx="47">
                  <c:v>0.16733000000000001</c:v>
                </c:pt>
                <c:pt idx="48">
                  <c:v>0.16535</c:v>
                </c:pt>
                <c:pt idx="49">
                  <c:v>0.17684</c:v>
                </c:pt>
                <c:pt idx="50">
                  <c:v>0.19797999999999999</c:v>
                </c:pt>
                <c:pt idx="51">
                  <c:v>0.19772000000000001</c:v>
                </c:pt>
                <c:pt idx="52">
                  <c:v>0.18632000000000001</c:v>
                </c:pt>
                <c:pt idx="53">
                  <c:v>0.18273</c:v>
                </c:pt>
                <c:pt idx="54">
                  <c:v>0.20111000000000001</c:v>
                </c:pt>
                <c:pt idx="55">
                  <c:v>0.23139000000000001</c:v>
                </c:pt>
                <c:pt idx="56">
                  <c:v>0.25448999999999999</c:v>
                </c:pt>
                <c:pt idx="57">
                  <c:v>0.24303</c:v>
                </c:pt>
                <c:pt idx="58">
                  <c:v>0.25213999999999998</c:v>
                </c:pt>
                <c:pt idx="59">
                  <c:v>0.26876</c:v>
                </c:pt>
                <c:pt idx="60">
                  <c:v>0.26679999999999998</c:v>
                </c:pt>
                <c:pt idx="61">
                  <c:v>0.26028000000000001</c:v>
                </c:pt>
                <c:pt idx="62">
                  <c:v>0.26307999999999998</c:v>
                </c:pt>
                <c:pt idx="63">
                  <c:v>0.30719000000000002</c:v>
                </c:pt>
                <c:pt idx="64">
                  <c:v>0.31546000000000002</c:v>
                </c:pt>
                <c:pt idx="65">
                  <c:v>0.32976</c:v>
                </c:pt>
                <c:pt idx="66">
                  <c:v>0.28716000000000003</c:v>
                </c:pt>
                <c:pt idx="67">
                  <c:v>0.30925999999999998</c:v>
                </c:pt>
                <c:pt idx="68">
                  <c:v>0.29028999999999999</c:v>
                </c:pt>
                <c:pt idx="69">
                  <c:v>0.25072</c:v>
                </c:pt>
                <c:pt idx="70">
                  <c:v>0.23691999999999999</c:v>
                </c:pt>
                <c:pt idx="71">
                  <c:v>0.26205000000000001</c:v>
                </c:pt>
                <c:pt idx="72">
                  <c:v>0.25406000000000001</c:v>
                </c:pt>
                <c:pt idx="73">
                  <c:v>0.28949999999999998</c:v>
                </c:pt>
                <c:pt idx="74">
                  <c:v>0.27554000000000001</c:v>
                </c:pt>
                <c:pt idx="75">
                  <c:v>0.28047</c:v>
                </c:pt>
                <c:pt idx="76">
                  <c:v>0.27422000000000002</c:v>
                </c:pt>
                <c:pt idx="77">
                  <c:v>0.27834999999999999</c:v>
                </c:pt>
                <c:pt idx="78">
                  <c:v>0.27786</c:v>
                </c:pt>
                <c:pt idx="79">
                  <c:v>0.30259999999999998</c:v>
                </c:pt>
                <c:pt idx="80">
                  <c:v>0.32312000000000002</c:v>
                </c:pt>
                <c:pt idx="81">
                  <c:v>0.30048000000000002</c:v>
                </c:pt>
                <c:pt idx="82">
                  <c:v>0.28867999999999999</c:v>
                </c:pt>
                <c:pt idx="83">
                  <c:v>0.28386</c:v>
                </c:pt>
                <c:pt idx="84">
                  <c:v>0.28051999999999999</c:v>
                </c:pt>
                <c:pt idx="85">
                  <c:v>0.29926999999999998</c:v>
                </c:pt>
                <c:pt idx="86">
                  <c:v>0.28866999999999998</c:v>
                </c:pt>
                <c:pt idx="87">
                  <c:v>0.28947000000000001</c:v>
                </c:pt>
                <c:pt idx="88">
                  <c:v>0.30438999999999999</c:v>
                </c:pt>
                <c:pt idx="89">
                  <c:v>0.30659999999999998</c:v>
                </c:pt>
                <c:pt idx="90">
                  <c:v>0.32561000000000001</c:v>
                </c:pt>
                <c:pt idx="91">
                  <c:v>0.34226000000000001</c:v>
                </c:pt>
                <c:pt idx="92">
                  <c:v>0.31114000000000003</c:v>
                </c:pt>
                <c:pt idx="93">
                  <c:v>0.34589999999999999</c:v>
                </c:pt>
                <c:pt idx="94">
                  <c:v>0.3448</c:v>
                </c:pt>
                <c:pt idx="95">
                  <c:v>0.29139999999999999</c:v>
                </c:pt>
                <c:pt idx="96">
                  <c:v>0.26929999999999998</c:v>
                </c:pt>
                <c:pt idx="97">
                  <c:v>0.26856000000000002</c:v>
                </c:pt>
                <c:pt idx="98">
                  <c:v>0.23937</c:v>
                </c:pt>
                <c:pt idx="99">
                  <c:v>0.25428000000000001</c:v>
                </c:pt>
                <c:pt idx="100">
                  <c:v>0.23324</c:v>
                </c:pt>
                <c:pt idx="101">
                  <c:v>0.22322</c:v>
                </c:pt>
                <c:pt idx="102">
                  <c:v>0.22878999999999999</c:v>
                </c:pt>
                <c:pt idx="103">
                  <c:v>0.21742</c:v>
                </c:pt>
                <c:pt idx="104">
                  <c:v>0.21731</c:v>
                </c:pt>
                <c:pt idx="105">
                  <c:v>0.22214999999999999</c:v>
                </c:pt>
                <c:pt idx="106">
                  <c:v>0.22317999999999999</c:v>
                </c:pt>
                <c:pt idx="107">
                  <c:v>0.23641999999999999</c:v>
                </c:pt>
                <c:pt idx="108">
                  <c:v>0.23405000000000001</c:v>
                </c:pt>
                <c:pt idx="109">
                  <c:v>0.25557000000000002</c:v>
                </c:pt>
                <c:pt idx="110">
                  <c:v>0.21934000000000001</c:v>
                </c:pt>
                <c:pt idx="111">
                  <c:v>0.22827</c:v>
                </c:pt>
                <c:pt idx="112">
                  <c:v>0.17654</c:v>
                </c:pt>
                <c:pt idx="113">
                  <c:v>0.16807</c:v>
                </c:pt>
                <c:pt idx="114">
                  <c:v>0.17509</c:v>
                </c:pt>
                <c:pt idx="115">
                  <c:v>0.17860999999999999</c:v>
                </c:pt>
                <c:pt idx="116">
                  <c:v>0.17927999999999999</c:v>
                </c:pt>
                <c:pt idx="117">
                  <c:v>0.16311999999999999</c:v>
                </c:pt>
                <c:pt idx="118">
                  <c:v>0.15945999999999999</c:v>
                </c:pt>
                <c:pt idx="119">
                  <c:v>0.15064</c:v>
                </c:pt>
                <c:pt idx="120">
                  <c:v>0.14398</c:v>
                </c:pt>
                <c:pt idx="121">
                  <c:v>0.14582999999999999</c:v>
                </c:pt>
                <c:pt idx="122">
                  <c:v>0.15770999999999999</c:v>
                </c:pt>
                <c:pt idx="123">
                  <c:v>0.17813999999999999</c:v>
                </c:pt>
                <c:pt idx="124">
                  <c:v>0.16220999999999999</c:v>
                </c:pt>
                <c:pt idx="125">
                  <c:v>0.15054999999999999</c:v>
                </c:pt>
                <c:pt idx="126">
                  <c:v>0.15873999999999999</c:v>
                </c:pt>
                <c:pt idx="127">
                  <c:v>0.13672999999999999</c:v>
                </c:pt>
                <c:pt idx="128">
                  <c:v>0.12106</c:v>
                </c:pt>
                <c:pt idx="129">
                  <c:v>0.13705000000000001</c:v>
                </c:pt>
                <c:pt idx="130">
                  <c:v>0.15662000000000001</c:v>
                </c:pt>
                <c:pt idx="131">
                  <c:v>0.16603000000000001</c:v>
                </c:pt>
                <c:pt idx="132">
                  <c:v>0.15282999999999999</c:v>
                </c:pt>
                <c:pt idx="133">
                  <c:v>0.16356999999999999</c:v>
                </c:pt>
                <c:pt idx="134">
                  <c:v>0.17263999999999999</c:v>
                </c:pt>
                <c:pt idx="135">
                  <c:v>0.17208000000000001</c:v>
                </c:pt>
                <c:pt idx="136">
                  <c:v>0.18428</c:v>
                </c:pt>
                <c:pt idx="137">
                  <c:v>0.21665000000000001</c:v>
                </c:pt>
                <c:pt idx="138">
                  <c:v>0.1792</c:v>
                </c:pt>
                <c:pt idx="139">
                  <c:v>0.17201</c:v>
                </c:pt>
                <c:pt idx="140">
                  <c:v>0.20086000000000001</c:v>
                </c:pt>
                <c:pt idx="141">
                  <c:v>0.14202000000000001</c:v>
                </c:pt>
                <c:pt idx="142">
                  <c:v>0.11971</c:v>
                </c:pt>
                <c:pt idx="143">
                  <c:v>0.13020999999999999</c:v>
                </c:pt>
                <c:pt idx="144">
                  <c:v>0.13242999999999999</c:v>
                </c:pt>
                <c:pt idx="145">
                  <c:v>0.12422</c:v>
                </c:pt>
                <c:pt idx="146">
                  <c:v>0.12189999999999999</c:v>
                </c:pt>
                <c:pt idx="147">
                  <c:v>0.11931</c:v>
                </c:pt>
                <c:pt idx="148">
                  <c:v>0.12259</c:v>
                </c:pt>
                <c:pt idx="149">
                  <c:v>0.11858</c:v>
                </c:pt>
                <c:pt idx="150">
                  <c:v>0.11541</c:v>
                </c:pt>
                <c:pt idx="151">
                  <c:v>0.10123</c:v>
                </c:pt>
                <c:pt idx="152">
                  <c:v>0.10027999999999999</c:v>
                </c:pt>
                <c:pt idx="153">
                  <c:v>0.10525</c:v>
                </c:pt>
                <c:pt idx="154">
                  <c:v>9.9030000000000007E-2</c:v>
                </c:pt>
                <c:pt idx="155">
                  <c:v>0.10954</c:v>
                </c:pt>
                <c:pt idx="156">
                  <c:v>0.10663</c:v>
                </c:pt>
                <c:pt idx="157">
                  <c:v>0.11563</c:v>
                </c:pt>
                <c:pt idx="158">
                  <c:v>0.11222</c:v>
                </c:pt>
                <c:pt idx="159">
                  <c:v>0.10871</c:v>
                </c:pt>
                <c:pt idx="160">
                  <c:v>0.11083999999999999</c:v>
                </c:pt>
                <c:pt idx="161">
                  <c:v>0.10111000000000001</c:v>
                </c:pt>
                <c:pt idx="162">
                  <c:v>9.7369999999999998E-2</c:v>
                </c:pt>
                <c:pt idx="163">
                  <c:v>9.5490000000000005E-2</c:v>
                </c:pt>
                <c:pt idx="164">
                  <c:v>0.10377</c:v>
                </c:pt>
                <c:pt idx="165">
                  <c:v>0.10834000000000001</c:v>
                </c:pt>
                <c:pt idx="166">
                  <c:v>9.7919999999999993E-2</c:v>
                </c:pt>
                <c:pt idx="167">
                  <c:v>9.8210000000000006E-2</c:v>
                </c:pt>
                <c:pt idx="168">
                  <c:v>9.257E-2</c:v>
                </c:pt>
                <c:pt idx="169">
                  <c:v>9.7670000000000007E-2</c:v>
                </c:pt>
                <c:pt idx="170">
                  <c:v>9.1130000000000003E-2</c:v>
                </c:pt>
                <c:pt idx="171">
                  <c:v>9.3450000000000005E-2</c:v>
                </c:pt>
                <c:pt idx="172">
                  <c:v>8.1210000000000004E-2</c:v>
                </c:pt>
                <c:pt idx="173">
                  <c:v>8.3879999999999996E-2</c:v>
                </c:pt>
                <c:pt idx="174">
                  <c:v>8.0909999999999996E-2</c:v>
                </c:pt>
                <c:pt idx="175">
                  <c:v>7.7840000000000006E-2</c:v>
                </c:pt>
                <c:pt idx="176">
                  <c:v>7.8030000000000002E-2</c:v>
                </c:pt>
                <c:pt idx="177">
                  <c:v>7.374E-2</c:v>
                </c:pt>
                <c:pt idx="178">
                  <c:v>7.7399999999999997E-2</c:v>
                </c:pt>
                <c:pt idx="179">
                  <c:v>7.6090000000000005E-2</c:v>
                </c:pt>
                <c:pt idx="180">
                  <c:v>7.8460000000000002E-2</c:v>
                </c:pt>
                <c:pt idx="181">
                  <c:v>7.6399999999999996E-2</c:v>
                </c:pt>
                <c:pt idx="182">
                  <c:v>7.3779999999999998E-2</c:v>
                </c:pt>
                <c:pt idx="183">
                  <c:v>7.1910000000000002E-2</c:v>
                </c:pt>
                <c:pt idx="184">
                  <c:v>7.5009999999999993E-2</c:v>
                </c:pt>
                <c:pt idx="185">
                  <c:v>7.2700000000000001E-2</c:v>
                </c:pt>
                <c:pt idx="186">
                  <c:v>7.2559999999999999E-2</c:v>
                </c:pt>
                <c:pt idx="187">
                  <c:v>7.2609999999999994E-2</c:v>
                </c:pt>
                <c:pt idx="188">
                  <c:v>6.9919999999999996E-2</c:v>
                </c:pt>
                <c:pt idx="189">
                  <c:v>6.4449999999999993E-2</c:v>
                </c:pt>
                <c:pt idx="190">
                  <c:v>6.3780000000000003E-2</c:v>
                </c:pt>
                <c:pt idx="191">
                  <c:v>5.6919999999999998E-2</c:v>
                </c:pt>
                <c:pt idx="192">
                  <c:v>5.9360000000000003E-2</c:v>
                </c:pt>
                <c:pt idx="193">
                  <c:v>6.4490000000000006E-2</c:v>
                </c:pt>
                <c:pt idx="194">
                  <c:v>6.6070000000000004E-2</c:v>
                </c:pt>
                <c:pt idx="195">
                  <c:v>6.7150000000000001E-2</c:v>
                </c:pt>
                <c:pt idx="196">
                  <c:v>7.3539999999999994E-2</c:v>
                </c:pt>
                <c:pt idx="197">
                  <c:v>7.9689999999999997E-2</c:v>
                </c:pt>
                <c:pt idx="198">
                  <c:v>8.2439999999999999E-2</c:v>
                </c:pt>
                <c:pt idx="199">
                  <c:v>7.8600000000000003E-2</c:v>
                </c:pt>
                <c:pt idx="200">
                  <c:v>8.208E-2</c:v>
                </c:pt>
                <c:pt idx="201">
                  <c:v>8.2309999999999994E-2</c:v>
                </c:pt>
                <c:pt idx="202">
                  <c:v>8.9499999999999996E-2</c:v>
                </c:pt>
                <c:pt idx="203">
                  <c:v>8.1259999999999999E-2</c:v>
                </c:pt>
                <c:pt idx="204">
                  <c:v>8.4220000000000003E-2</c:v>
                </c:pt>
                <c:pt idx="205">
                  <c:v>7.2160000000000002E-2</c:v>
                </c:pt>
                <c:pt idx="206">
                  <c:v>6.3070000000000001E-2</c:v>
                </c:pt>
                <c:pt idx="207">
                  <c:v>6.6780000000000006E-2</c:v>
                </c:pt>
                <c:pt idx="208">
                  <c:v>6.4500000000000002E-2</c:v>
                </c:pt>
                <c:pt idx="209">
                  <c:v>6.2710000000000002E-2</c:v>
                </c:pt>
                <c:pt idx="210">
                  <c:v>6.3280000000000003E-2</c:v>
                </c:pt>
                <c:pt idx="211">
                  <c:v>6.7140000000000005E-2</c:v>
                </c:pt>
                <c:pt idx="212">
                  <c:v>6.5979999999999997E-2</c:v>
                </c:pt>
                <c:pt idx="213">
                  <c:v>6.5310000000000007E-2</c:v>
                </c:pt>
                <c:pt idx="214">
                  <c:v>6.7510000000000001E-2</c:v>
                </c:pt>
                <c:pt idx="215">
                  <c:v>5.885E-2</c:v>
                </c:pt>
                <c:pt idx="216">
                  <c:v>5.5329999999999997E-2</c:v>
                </c:pt>
                <c:pt idx="217">
                  <c:v>6.0429999999999998E-2</c:v>
                </c:pt>
                <c:pt idx="218">
                  <c:v>5.9310000000000002E-2</c:v>
                </c:pt>
                <c:pt idx="219">
                  <c:v>5.1790000000000003E-2</c:v>
                </c:pt>
                <c:pt idx="220">
                  <c:v>5.663E-2</c:v>
                </c:pt>
                <c:pt idx="221">
                  <c:v>7.2709999999999997E-2</c:v>
                </c:pt>
                <c:pt idx="222">
                  <c:v>7.1599999999999997E-2</c:v>
                </c:pt>
                <c:pt idx="223">
                  <c:v>7.3819999999999997E-2</c:v>
                </c:pt>
                <c:pt idx="224">
                  <c:v>7.9979999999999996E-2</c:v>
                </c:pt>
                <c:pt idx="225">
                  <c:v>8.0530000000000004E-2</c:v>
                </c:pt>
                <c:pt idx="226">
                  <c:v>8.3659999999999998E-2</c:v>
                </c:pt>
                <c:pt idx="227">
                  <c:v>8.3229999999999998E-2</c:v>
                </c:pt>
                <c:pt idx="228">
                  <c:v>8.2280000000000006E-2</c:v>
                </c:pt>
                <c:pt idx="229">
                  <c:v>7.6689999999999994E-2</c:v>
                </c:pt>
                <c:pt idx="230">
                  <c:v>7.8579999999999997E-2</c:v>
                </c:pt>
                <c:pt idx="231">
                  <c:v>8.2710000000000006E-2</c:v>
                </c:pt>
                <c:pt idx="232">
                  <c:v>9.0939999999999993E-2</c:v>
                </c:pt>
                <c:pt idx="233">
                  <c:v>8.5819999999999994E-2</c:v>
                </c:pt>
                <c:pt idx="234">
                  <c:v>8.5959999999999995E-2</c:v>
                </c:pt>
                <c:pt idx="235">
                  <c:v>9.6250000000000002E-2</c:v>
                </c:pt>
                <c:pt idx="236">
                  <c:v>9.2380000000000004E-2</c:v>
                </c:pt>
                <c:pt idx="237">
                  <c:v>9.8449999999999996E-2</c:v>
                </c:pt>
                <c:pt idx="238">
                  <c:v>0.10999</c:v>
                </c:pt>
                <c:pt idx="239">
                  <c:v>0.10153</c:v>
                </c:pt>
                <c:pt idx="240">
                  <c:v>9.7390000000000004E-2</c:v>
                </c:pt>
                <c:pt idx="241">
                  <c:v>0.10145</c:v>
                </c:pt>
                <c:pt idx="242">
                  <c:v>9.2850000000000002E-2</c:v>
                </c:pt>
                <c:pt idx="243">
                  <c:v>8.2839999999999997E-2</c:v>
                </c:pt>
                <c:pt idx="244">
                  <c:v>9.0490000000000001E-2</c:v>
                </c:pt>
                <c:pt idx="245">
                  <c:v>0.10503</c:v>
                </c:pt>
                <c:pt idx="246">
                  <c:v>0.1124</c:v>
                </c:pt>
                <c:pt idx="247">
                  <c:v>0.10431</c:v>
                </c:pt>
                <c:pt idx="248">
                  <c:v>0.1081</c:v>
                </c:pt>
                <c:pt idx="249">
                  <c:v>8.0589999999999995E-2</c:v>
                </c:pt>
                <c:pt idx="250">
                  <c:v>8.9319999999999997E-2</c:v>
                </c:pt>
                <c:pt idx="251">
                  <c:v>0.10445</c:v>
                </c:pt>
                <c:pt idx="252">
                  <c:v>0.12139</c:v>
                </c:pt>
                <c:pt idx="253">
                  <c:v>0.10765</c:v>
                </c:pt>
                <c:pt idx="254">
                  <c:v>0.17543</c:v>
                </c:pt>
                <c:pt idx="255">
                  <c:v>0.13447999999999999</c:v>
                </c:pt>
                <c:pt idx="256">
                  <c:v>0.14885999999999999</c:v>
                </c:pt>
                <c:pt idx="257">
                  <c:v>0.15842000000000001</c:v>
                </c:pt>
                <c:pt idx="258">
                  <c:v>0.11548</c:v>
                </c:pt>
                <c:pt idx="259">
                  <c:v>0.10902000000000001</c:v>
                </c:pt>
                <c:pt idx="260">
                  <c:v>0.10663</c:v>
                </c:pt>
                <c:pt idx="261">
                  <c:v>0.12458</c:v>
                </c:pt>
                <c:pt idx="262">
                  <c:v>0.12173</c:v>
                </c:pt>
                <c:pt idx="263">
                  <c:v>0.13120999999999999</c:v>
                </c:pt>
                <c:pt idx="264">
                  <c:v>0.12731999999999999</c:v>
                </c:pt>
                <c:pt idx="265">
                  <c:v>0.13009999999999999</c:v>
                </c:pt>
                <c:pt idx="266">
                  <c:v>0.12751000000000001</c:v>
                </c:pt>
                <c:pt idx="267">
                  <c:v>0.13089999999999999</c:v>
                </c:pt>
                <c:pt idx="268">
                  <c:v>0.12243999999999999</c:v>
                </c:pt>
                <c:pt idx="269">
                  <c:v>0.14133999999999999</c:v>
                </c:pt>
                <c:pt idx="270">
                  <c:v>0.14035</c:v>
                </c:pt>
                <c:pt idx="271">
                  <c:v>0.1459</c:v>
                </c:pt>
                <c:pt idx="272">
                  <c:v>0.15268000000000001</c:v>
                </c:pt>
                <c:pt idx="273">
                  <c:v>0.13236000000000001</c:v>
                </c:pt>
                <c:pt idx="274">
                  <c:v>0.13256000000000001</c:v>
                </c:pt>
                <c:pt idx="275">
                  <c:v>0.14191999999999999</c:v>
                </c:pt>
                <c:pt idx="276">
                  <c:v>0.13624</c:v>
                </c:pt>
                <c:pt idx="277">
                  <c:v>9.5640000000000003E-2</c:v>
                </c:pt>
                <c:pt idx="278">
                  <c:v>9.9290000000000003E-2</c:v>
                </c:pt>
                <c:pt idx="279">
                  <c:v>0.10625999999999999</c:v>
                </c:pt>
                <c:pt idx="280">
                  <c:v>0.10434</c:v>
                </c:pt>
                <c:pt idx="281">
                  <c:v>0.11453000000000001</c:v>
                </c:pt>
                <c:pt idx="282">
                  <c:v>0.11962</c:v>
                </c:pt>
                <c:pt idx="283">
                  <c:v>0.11587</c:v>
                </c:pt>
                <c:pt idx="284">
                  <c:v>0.12834999999999999</c:v>
                </c:pt>
                <c:pt idx="285">
                  <c:v>0.14338000000000001</c:v>
                </c:pt>
                <c:pt idx="286">
                  <c:v>0.14116000000000001</c:v>
                </c:pt>
                <c:pt idx="287">
                  <c:v>0.15379999999999999</c:v>
                </c:pt>
                <c:pt idx="288">
                  <c:v>0.14964</c:v>
                </c:pt>
                <c:pt idx="289">
                  <c:v>0.14724000000000001</c:v>
                </c:pt>
                <c:pt idx="290">
                  <c:v>0.14935999999999999</c:v>
                </c:pt>
                <c:pt idx="291">
                  <c:v>0.14247000000000001</c:v>
                </c:pt>
                <c:pt idx="292">
                  <c:v>0.15029000000000001</c:v>
                </c:pt>
                <c:pt idx="293">
                  <c:v>0.15740999999999999</c:v>
                </c:pt>
                <c:pt idx="294">
                  <c:v>0.16084999999999999</c:v>
                </c:pt>
                <c:pt idx="295">
                  <c:v>0.15476999999999999</c:v>
                </c:pt>
                <c:pt idx="296">
                  <c:v>0.14504</c:v>
                </c:pt>
                <c:pt idx="297">
                  <c:v>0.15432999999999999</c:v>
                </c:pt>
                <c:pt idx="298">
                  <c:v>0.15867999999999999</c:v>
                </c:pt>
                <c:pt idx="299">
                  <c:v>0.15165999999999999</c:v>
                </c:pt>
                <c:pt idx="300">
                  <c:v>0.16905999999999999</c:v>
                </c:pt>
                <c:pt idx="301">
                  <c:v>0.17699000000000001</c:v>
                </c:pt>
                <c:pt idx="302">
                  <c:v>0.17621999999999999</c:v>
                </c:pt>
                <c:pt idx="303">
                  <c:v>0.18989</c:v>
                </c:pt>
                <c:pt idx="304">
                  <c:v>0.19846</c:v>
                </c:pt>
                <c:pt idx="305">
                  <c:v>0.20116000000000001</c:v>
                </c:pt>
                <c:pt idx="306">
                  <c:v>0.16447999999999999</c:v>
                </c:pt>
                <c:pt idx="307">
                  <c:v>0.18096000000000001</c:v>
                </c:pt>
                <c:pt idx="308">
                  <c:v>0.17852999999999999</c:v>
                </c:pt>
                <c:pt idx="309">
                  <c:v>0.19799</c:v>
                </c:pt>
                <c:pt idx="310">
                  <c:v>0.15772</c:v>
                </c:pt>
                <c:pt idx="311">
                  <c:v>0.15511</c:v>
                </c:pt>
                <c:pt idx="312">
                  <c:v>0.17651</c:v>
                </c:pt>
                <c:pt idx="313">
                  <c:v>0.11328000000000001</c:v>
                </c:pt>
                <c:pt idx="314">
                  <c:v>0.11644</c:v>
                </c:pt>
                <c:pt idx="315">
                  <c:v>9.5170000000000005E-2</c:v>
                </c:pt>
                <c:pt idx="316">
                  <c:v>8.2210000000000005E-2</c:v>
                </c:pt>
                <c:pt idx="317">
                  <c:v>8.4250000000000005E-2</c:v>
                </c:pt>
                <c:pt idx="318">
                  <c:v>8.6419999999999997E-2</c:v>
                </c:pt>
                <c:pt idx="319">
                  <c:v>8.1199999999999994E-2</c:v>
                </c:pt>
                <c:pt idx="320">
                  <c:v>5.3120000000000001E-2</c:v>
                </c:pt>
                <c:pt idx="321">
                  <c:v>5.8659999999999997E-2</c:v>
                </c:pt>
                <c:pt idx="322">
                  <c:v>4.2110000000000002E-2</c:v>
                </c:pt>
                <c:pt idx="323">
                  <c:v>4.1300000000000003E-2</c:v>
                </c:pt>
                <c:pt idx="324">
                  <c:v>4.1910000000000003E-2</c:v>
                </c:pt>
                <c:pt idx="325">
                  <c:v>3.6229999999999998E-2</c:v>
                </c:pt>
                <c:pt idx="326">
                  <c:v>3.705E-2</c:v>
                </c:pt>
                <c:pt idx="327">
                  <c:v>3.7659999999999999E-2</c:v>
                </c:pt>
                <c:pt idx="328">
                  <c:v>3.619E-2</c:v>
                </c:pt>
                <c:pt idx="329">
                  <c:v>3.2570000000000002E-2</c:v>
                </c:pt>
                <c:pt idx="330">
                  <c:v>2.998E-2</c:v>
                </c:pt>
                <c:pt idx="331">
                  <c:v>2.8819999999999998E-2</c:v>
                </c:pt>
                <c:pt idx="332">
                  <c:v>2.913E-2</c:v>
                </c:pt>
                <c:pt idx="333">
                  <c:v>2.4140000000000002E-2</c:v>
                </c:pt>
                <c:pt idx="334">
                  <c:v>2.5739999999999999E-2</c:v>
                </c:pt>
                <c:pt idx="335">
                  <c:v>2.8590000000000001E-2</c:v>
                </c:pt>
                <c:pt idx="336">
                  <c:v>2.4160000000000001E-2</c:v>
                </c:pt>
                <c:pt idx="337">
                  <c:v>2.2960000000000001E-2</c:v>
                </c:pt>
                <c:pt idx="338">
                  <c:v>2.051E-2</c:v>
                </c:pt>
                <c:pt idx="339">
                  <c:v>2.5999999999999999E-2</c:v>
                </c:pt>
                <c:pt idx="340">
                  <c:v>2.938E-2</c:v>
                </c:pt>
                <c:pt idx="341">
                  <c:v>2.9700000000000001E-2</c:v>
                </c:pt>
                <c:pt idx="342">
                  <c:v>3.27E-2</c:v>
                </c:pt>
                <c:pt idx="343">
                  <c:v>2.7980000000000001E-2</c:v>
                </c:pt>
                <c:pt idx="344">
                  <c:v>2.7029999999999998E-2</c:v>
                </c:pt>
                <c:pt idx="345">
                  <c:v>2.835E-2</c:v>
                </c:pt>
                <c:pt idx="346">
                  <c:v>3.057E-2</c:v>
                </c:pt>
                <c:pt idx="347">
                  <c:v>3.5060000000000001E-2</c:v>
                </c:pt>
                <c:pt idx="348">
                  <c:v>2.861E-2</c:v>
                </c:pt>
                <c:pt idx="349">
                  <c:v>2.1850000000000001E-2</c:v>
                </c:pt>
                <c:pt idx="350">
                  <c:v>1.8440000000000002E-2</c:v>
                </c:pt>
                <c:pt idx="351">
                  <c:v>1.8749999999999999E-2</c:v>
                </c:pt>
                <c:pt idx="352">
                  <c:v>2.077E-2</c:v>
                </c:pt>
                <c:pt idx="353">
                  <c:v>1.302E-2</c:v>
                </c:pt>
                <c:pt idx="354">
                  <c:v>1.065E-2</c:v>
                </c:pt>
                <c:pt idx="355">
                  <c:v>1.0710000000000001E-2</c:v>
                </c:pt>
                <c:pt idx="356">
                  <c:v>1.15E-2</c:v>
                </c:pt>
                <c:pt idx="357">
                  <c:v>1.051E-2</c:v>
                </c:pt>
                <c:pt idx="358">
                  <c:v>1.056E-2</c:v>
                </c:pt>
                <c:pt idx="359">
                  <c:v>9.2999999999999992E-3</c:v>
                </c:pt>
                <c:pt idx="360">
                  <c:v>8.4499999999999992E-3</c:v>
                </c:pt>
                <c:pt idx="361">
                  <c:v>8.6099999999999996E-3</c:v>
                </c:pt>
                <c:pt idx="362">
                  <c:v>9.0200000000000002E-3</c:v>
                </c:pt>
                <c:pt idx="363">
                  <c:v>8.5699999999999995E-3</c:v>
                </c:pt>
                <c:pt idx="364">
                  <c:v>8.1700000000000002E-3</c:v>
                </c:pt>
                <c:pt idx="365">
                  <c:v>6.9699999999999996E-3</c:v>
                </c:pt>
                <c:pt idx="366">
                  <c:v>7.26E-3</c:v>
                </c:pt>
                <c:pt idx="367">
                  <c:v>7.26E-3</c:v>
                </c:pt>
                <c:pt idx="368">
                  <c:v>7.4400000000000004E-3</c:v>
                </c:pt>
                <c:pt idx="369">
                  <c:v>7.5500000000000003E-3</c:v>
                </c:pt>
                <c:pt idx="370">
                  <c:v>7.1599999999999997E-3</c:v>
                </c:pt>
                <c:pt idx="371">
                  <c:v>6.9899999999999997E-3</c:v>
                </c:pt>
                <c:pt idx="372">
                  <c:v>7.5799999999999999E-3</c:v>
                </c:pt>
                <c:pt idx="373">
                  <c:v>7.6E-3</c:v>
                </c:pt>
                <c:pt idx="374">
                  <c:v>7.6899999999999998E-3</c:v>
                </c:pt>
                <c:pt idx="375">
                  <c:v>7.0899999999999999E-3</c:v>
                </c:pt>
                <c:pt idx="376">
                  <c:v>7.0899999999999999E-3</c:v>
                </c:pt>
                <c:pt idx="377">
                  <c:v>7.1599999999999997E-3</c:v>
                </c:pt>
                <c:pt idx="378">
                  <c:v>7.1599999999999997E-3</c:v>
                </c:pt>
                <c:pt idx="379">
                  <c:v>6.5700000000000003E-3</c:v>
                </c:pt>
                <c:pt idx="380">
                  <c:v>6.0600000000000003E-3</c:v>
                </c:pt>
                <c:pt idx="381">
                  <c:v>6.2300000000000003E-3</c:v>
                </c:pt>
                <c:pt idx="382">
                  <c:v>6.8199999999999997E-3</c:v>
                </c:pt>
                <c:pt idx="383">
                  <c:v>7.4799999999999997E-3</c:v>
                </c:pt>
                <c:pt idx="384">
                  <c:v>6.6499999999999997E-3</c:v>
                </c:pt>
                <c:pt idx="385">
                  <c:v>6.2500000000000003E-3</c:v>
                </c:pt>
                <c:pt idx="386">
                  <c:v>5.5599999999999998E-3</c:v>
                </c:pt>
                <c:pt idx="387">
                  <c:v>5.0099999999999997E-3</c:v>
                </c:pt>
                <c:pt idx="388">
                  <c:v>4.9399999999999999E-3</c:v>
                </c:pt>
                <c:pt idx="389">
                  <c:v>4.8799999999999998E-3</c:v>
                </c:pt>
                <c:pt idx="390">
                  <c:v>4.2300000000000003E-3</c:v>
                </c:pt>
                <c:pt idx="391">
                  <c:v>4.2300000000000003E-3</c:v>
                </c:pt>
                <c:pt idx="392">
                  <c:v>4.2300000000000003E-3</c:v>
                </c:pt>
                <c:pt idx="393">
                  <c:v>4.1000000000000003E-3</c:v>
                </c:pt>
                <c:pt idx="394">
                  <c:v>4.4400000000000004E-3</c:v>
                </c:pt>
                <c:pt idx="395">
                  <c:v>4.7999999999999996E-3</c:v>
                </c:pt>
                <c:pt idx="396">
                  <c:v>4.9199999999999999E-3</c:v>
                </c:pt>
                <c:pt idx="397">
                  <c:v>4.7600000000000003E-3</c:v>
                </c:pt>
                <c:pt idx="398">
                  <c:v>4.7499999999999999E-3</c:v>
                </c:pt>
                <c:pt idx="399">
                  <c:v>4.7200000000000002E-3</c:v>
                </c:pt>
                <c:pt idx="400">
                  <c:v>4.3499999999999997E-3</c:v>
                </c:pt>
                <c:pt idx="401">
                  <c:v>5.11E-3</c:v>
                </c:pt>
                <c:pt idx="402">
                  <c:v>5.0299999999999997E-3</c:v>
                </c:pt>
                <c:pt idx="403">
                  <c:v>5.28E-3</c:v>
                </c:pt>
                <c:pt idx="404">
                  <c:v>5.2100000000000002E-3</c:v>
                </c:pt>
                <c:pt idx="405">
                  <c:v>5.1799999999999997E-3</c:v>
                </c:pt>
                <c:pt idx="406">
                  <c:v>5.1200000000000004E-3</c:v>
                </c:pt>
                <c:pt idx="407">
                  <c:v>5.5700000000000003E-3</c:v>
                </c:pt>
                <c:pt idx="408">
                  <c:v>5.4000000000000003E-3</c:v>
                </c:pt>
                <c:pt idx="409">
                  <c:v>5.2300000000000003E-3</c:v>
                </c:pt>
                <c:pt idx="410">
                  <c:v>5.4099999999999999E-3</c:v>
                </c:pt>
                <c:pt idx="411">
                  <c:v>5.2599999999999999E-3</c:v>
                </c:pt>
                <c:pt idx="412">
                  <c:v>4.5500000000000002E-3</c:v>
                </c:pt>
                <c:pt idx="413">
                  <c:v>4.8199999999999996E-3</c:v>
                </c:pt>
                <c:pt idx="414">
                  <c:v>5.1399999999999996E-3</c:v>
                </c:pt>
                <c:pt idx="415">
                  <c:v>4.7400000000000003E-3</c:v>
                </c:pt>
                <c:pt idx="416">
                  <c:v>5.1700000000000001E-3</c:v>
                </c:pt>
                <c:pt idx="417">
                  <c:v>5.11E-3</c:v>
                </c:pt>
                <c:pt idx="418">
                  <c:v>5.1799999999999997E-3</c:v>
                </c:pt>
                <c:pt idx="419">
                  <c:v>5.0800000000000003E-3</c:v>
                </c:pt>
                <c:pt idx="420">
                  <c:v>5.3099999999999996E-3</c:v>
                </c:pt>
                <c:pt idx="421">
                  <c:v>5.4000000000000003E-3</c:v>
                </c:pt>
                <c:pt idx="422">
                  <c:v>5.3099999999999996E-3</c:v>
                </c:pt>
                <c:pt idx="423">
                  <c:v>5.5900000000000004E-3</c:v>
                </c:pt>
                <c:pt idx="424">
                  <c:v>5.4099999999999999E-3</c:v>
                </c:pt>
                <c:pt idx="425">
                  <c:v>5.3499999999999997E-3</c:v>
                </c:pt>
                <c:pt idx="426">
                  <c:v>5.0000000000000001E-3</c:v>
                </c:pt>
                <c:pt idx="427">
                  <c:v>5.2900000000000004E-3</c:v>
                </c:pt>
                <c:pt idx="428">
                  <c:v>6.0600000000000003E-3</c:v>
                </c:pt>
                <c:pt idx="429">
                  <c:v>5.9699999999999996E-3</c:v>
                </c:pt>
                <c:pt idx="430">
                  <c:v>5.45E-3</c:v>
                </c:pt>
                <c:pt idx="431">
                  <c:v>5.1900000000000002E-3</c:v>
                </c:pt>
                <c:pt idx="432">
                  <c:v>5.5700000000000003E-3</c:v>
                </c:pt>
                <c:pt idx="433">
                  <c:v>5.11E-3</c:v>
                </c:pt>
                <c:pt idx="434">
                  <c:v>4.6499999999999996E-3</c:v>
                </c:pt>
                <c:pt idx="435">
                  <c:v>4.7600000000000003E-3</c:v>
                </c:pt>
                <c:pt idx="436">
                  <c:v>4.9899999999999996E-3</c:v>
                </c:pt>
                <c:pt idx="437">
                  <c:v>4.9100000000000003E-3</c:v>
                </c:pt>
                <c:pt idx="438">
                  <c:v>4.7400000000000003E-3</c:v>
                </c:pt>
                <c:pt idx="439">
                  <c:v>4.8599999999999997E-3</c:v>
                </c:pt>
                <c:pt idx="440">
                  <c:v>5.2199999999999998E-3</c:v>
                </c:pt>
                <c:pt idx="441">
                  <c:v>5.0499999999999998E-3</c:v>
                </c:pt>
                <c:pt idx="442">
                  <c:v>5.1599999999999997E-3</c:v>
                </c:pt>
                <c:pt idx="443">
                  <c:v>5.3499999999999997E-3</c:v>
                </c:pt>
                <c:pt idx="444">
                  <c:v>5.28E-3</c:v>
                </c:pt>
                <c:pt idx="445">
                  <c:v>5.0200000000000002E-3</c:v>
                </c:pt>
                <c:pt idx="446">
                  <c:v>4.7299999999999998E-3</c:v>
                </c:pt>
                <c:pt idx="447">
                  <c:v>4.8799999999999998E-3</c:v>
                </c:pt>
                <c:pt idx="448">
                  <c:v>4.2500000000000003E-3</c:v>
                </c:pt>
                <c:pt idx="449">
                  <c:v>4.2500000000000003E-3</c:v>
                </c:pt>
                <c:pt idx="450">
                  <c:v>4.1200000000000004E-3</c:v>
                </c:pt>
                <c:pt idx="451">
                  <c:v>4.3800000000000002E-3</c:v>
                </c:pt>
                <c:pt idx="452">
                  <c:v>4.8500000000000001E-3</c:v>
                </c:pt>
                <c:pt idx="453">
                  <c:v>4.4099999999999999E-3</c:v>
                </c:pt>
                <c:pt idx="454">
                  <c:v>4.1999999999999997E-3</c:v>
                </c:pt>
                <c:pt idx="455">
                  <c:v>4.2399999999999998E-3</c:v>
                </c:pt>
                <c:pt idx="456">
                  <c:v>4.1799999999999997E-3</c:v>
                </c:pt>
                <c:pt idx="457">
                  <c:v>4.2700000000000004E-3</c:v>
                </c:pt>
                <c:pt idx="458">
                  <c:v>4.6600000000000001E-3</c:v>
                </c:pt>
                <c:pt idx="459">
                  <c:v>4.7099999999999998E-3</c:v>
                </c:pt>
                <c:pt idx="460">
                  <c:v>4.7999999999999996E-3</c:v>
                </c:pt>
                <c:pt idx="461">
                  <c:v>4.8399999999999997E-3</c:v>
                </c:pt>
                <c:pt idx="462">
                  <c:v>4.7999999999999996E-3</c:v>
                </c:pt>
                <c:pt idx="463">
                  <c:v>4.7499999999999999E-3</c:v>
                </c:pt>
                <c:pt idx="464">
                  <c:v>4.7400000000000003E-3</c:v>
                </c:pt>
                <c:pt idx="465">
                  <c:v>5.2100000000000002E-3</c:v>
                </c:pt>
                <c:pt idx="466">
                  <c:v>5.4400000000000004E-3</c:v>
                </c:pt>
                <c:pt idx="467">
                  <c:v>5.0699999999999999E-3</c:v>
                </c:pt>
                <c:pt idx="468">
                  <c:v>4.7499999999999999E-3</c:v>
                </c:pt>
                <c:pt idx="469">
                  <c:v>5.11E-3</c:v>
                </c:pt>
                <c:pt idx="470">
                  <c:v>5.4099999999999999E-3</c:v>
                </c:pt>
                <c:pt idx="471">
                  <c:v>5.4299999999999999E-3</c:v>
                </c:pt>
                <c:pt idx="472">
                  <c:v>5.28E-3</c:v>
                </c:pt>
                <c:pt idx="473">
                  <c:v>5.3E-3</c:v>
                </c:pt>
                <c:pt idx="474">
                  <c:v>5.3099999999999996E-3</c:v>
                </c:pt>
                <c:pt idx="475">
                  <c:v>5.4099999999999999E-3</c:v>
                </c:pt>
                <c:pt idx="476">
                  <c:v>5.2100000000000002E-3</c:v>
                </c:pt>
                <c:pt idx="477">
                  <c:v>4.7800000000000004E-3</c:v>
                </c:pt>
                <c:pt idx="478">
                  <c:v>4.47E-3</c:v>
                </c:pt>
                <c:pt idx="479">
                  <c:v>5.3200000000000001E-3</c:v>
                </c:pt>
                <c:pt idx="480">
                  <c:v>5.3699999999999998E-3</c:v>
                </c:pt>
                <c:pt idx="481">
                  <c:v>5.4099999999999999E-3</c:v>
                </c:pt>
                <c:pt idx="482">
                  <c:v>5.6100000000000004E-3</c:v>
                </c:pt>
                <c:pt idx="483">
                  <c:v>5.4599999999999996E-3</c:v>
                </c:pt>
                <c:pt idx="484">
                  <c:v>5.6800000000000002E-3</c:v>
                </c:pt>
                <c:pt idx="485">
                  <c:v>5.1000000000000004E-3</c:v>
                </c:pt>
                <c:pt idx="486">
                  <c:v>5.0099999999999997E-3</c:v>
                </c:pt>
                <c:pt idx="487">
                  <c:v>5.1200000000000004E-3</c:v>
                </c:pt>
                <c:pt idx="488">
                  <c:v>5.3699999999999998E-3</c:v>
                </c:pt>
                <c:pt idx="489">
                  <c:v>5.45E-3</c:v>
                </c:pt>
                <c:pt idx="490">
                  <c:v>5.1700000000000001E-3</c:v>
                </c:pt>
                <c:pt idx="491">
                  <c:v>4.6699999999999997E-3</c:v>
                </c:pt>
                <c:pt idx="492">
                  <c:v>5.6499999999999996E-3</c:v>
                </c:pt>
                <c:pt idx="493">
                  <c:v>5.11E-3</c:v>
                </c:pt>
                <c:pt idx="494">
                  <c:v>5.5300000000000002E-3</c:v>
                </c:pt>
                <c:pt idx="495">
                  <c:v>6.0099999999999997E-3</c:v>
                </c:pt>
                <c:pt idx="496">
                  <c:v>6.0200000000000002E-3</c:v>
                </c:pt>
                <c:pt idx="497">
                  <c:v>5.9699999999999996E-3</c:v>
                </c:pt>
                <c:pt idx="498">
                  <c:v>6.2100000000000002E-3</c:v>
                </c:pt>
                <c:pt idx="499">
                  <c:v>6.6100000000000004E-3</c:v>
                </c:pt>
                <c:pt idx="500">
                  <c:v>7.0699999999999999E-3</c:v>
                </c:pt>
                <c:pt idx="501">
                  <c:v>7.4200000000000004E-3</c:v>
                </c:pt>
                <c:pt idx="502">
                  <c:v>7.8399999999999997E-3</c:v>
                </c:pt>
                <c:pt idx="503">
                  <c:v>7.3000000000000001E-3</c:v>
                </c:pt>
                <c:pt idx="504">
                  <c:v>6.8500000000000002E-3</c:v>
                </c:pt>
                <c:pt idx="505">
                  <c:v>6.5599999999999999E-3</c:v>
                </c:pt>
                <c:pt idx="506">
                  <c:v>6.3299999999999997E-3</c:v>
                </c:pt>
                <c:pt idx="507">
                  <c:v>6.6499999999999997E-3</c:v>
                </c:pt>
                <c:pt idx="508">
                  <c:v>7.1799999999999998E-3</c:v>
                </c:pt>
                <c:pt idx="509">
                  <c:v>6.9300000000000004E-3</c:v>
                </c:pt>
                <c:pt idx="510">
                  <c:v>8.2299999999999995E-3</c:v>
                </c:pt>
                <c:pt idx="511">
                  <c:v>7.9299999999999995E-3</c:v>
                </c:pt>
                <c:pt idx="512">
                  <c:v>1.043E-2</c:v>
                </c:pt>
                <c:pt idx="513">
                  <c:v>1.0120000000000001E-2</c:v>
                </c:pt>
                <c:pt idx="514">
                  <c:v>1.009E-2</c:v>
                </c:pt>
                <c:pt idx="515">
                  <c:v>1.0580000000000001E-2</c:v>
                </c:pt>
                <c:pt idx="516">
                  <c:v>1.0410000000000001E-2</c:v>
                </c:pt>
                <c:pt idx="517">
                  <c:v>1.077E-2</c:v>
                </c:pt>
                <c:pt idx="518">
                  <c:v>1.102E-2</c:v>
                </c:pt>
                <c:pt idx="519">
                  <c:v>1.089E-2</c:v>
                </c:pt>
                <c:pt idx="520">
                  <c:v>1.0070000000000001E-2</c:v>
                </c:pt>
                <c:pt idx="521">
                  <c:v>1.136E-2</c:v>
                </c:pt>
                <c:pt idx="522">
                  <c:v>1.06E-2</c:v>
                </c:pt>
                <c:pt idx="523">
                  <c:v>1.059E-2</c:v>
                </c:pt>
                <c:pt idx="524">
                  <c:v>1.048E-2</c:v>
                </c:pt>
                <c:pt idx="525">
                  <c:v>1.2E-2</c:v>
                </c:pt>
                <c:pt idx="526">
                  <c:v>1.0659999999999999E-2</c:v>
                </c:pt>
                <c:pt idx="527">
                  <c:v>1.15E-2</c:v>
                </c:pt>
                <c:pt idx="528">
                  <c:v>1.255E-2</c:v>
                </c:pt>
                <c:pt idx="529">
                  <c:v>1.303E-2</c:v>
                </c:pt>
                <c:pt idx="530">
                  <c:v>1.2800000000000001E-2</c:v>
                </c:pt>
                <c:pt idx="531">
                  <c:v>1.3299999999999999E-2</c:v>
                </c:pt>
                <c:pt idx="532">
                  <c:v>1.196E-2</c:v>
                </c:pt>
                <c:pt idx="533">
                  <c:v>1.119E-2</c:v>
                </c:pt>
                <c:pt idx="534">
                  <c:v>1.0999999999999999E-2</c:v>
                </c:pt>
                <c:pt idx="535">
                  <c:v>1.145E-2</c:v>
                </c:pt>
                <c:pt idx="536">
                  <c:v>1.0290000000000001E-2</c:v>
                </c:pt>
                <c:pt idx="537">
                  <c:v>1.013E-2</c:v>
                </c:pt>
                <c:pt idx="538">
                  <c:v>9.8700000000000003E-3</c:v>
                </c:pt>
                <c:pt idx="539">
                  <c:v>9.7000000000000003E-3</c:v>
                </c:pt>
                <c:pt idx="540">
                  <c:v>9.0299999999999998E-3</c:v>
                </c:pt>
                <c:pt idx="541">
                  <c:v>8.26E-3</c:v>
                </c:pt>
                <c:pt idx="542">
                  <c:v>8.0099999999999998E-3</c:v>
                </c:pt>
                <c:pt idx="543">
                  <c:v>8.0400000000000003E-3</c:v>
                </c:pt>
                <c:pt idx="544">
                  <c:v>8.3999999999999995E-3</c:v>
                </c:pt>
                <c:pt idx="545">
                  <c:v>8.6899999999999998E-3</c:v>
                </c:pt>
                <c:pt idx="546">
                  <c:v>8.7200000000000003E-3</c:v>
                </c:pt>
                <c:pt idx="547">
                  <c:v>8.4100000000000008E-3</c:v>
                </c:pt>
                <c:pt idx="548">
                  <c:v>9.1699999999999993E-3</c:v>
                </c:pt>
                <c:pt idx="549">
                  <c:v>1.01E-2</c:v>
                </c:pt>
                <c:pt idx="550">
                  <c:v>7.6600000000000001E-3</c:v>
                </c:pt>
                <c:pt idx="551">
                  <c:v>7.8600000000000007E-3</c:v>
                </c:pt>
                <c:pt idx="552">
                  <c:v>7.5399999999999998E-3</c:v>
                </c:pt>
                <c:pt idx="553">
                  <c:v>6.8399999999999997E-3</c:v>
                </c:pt>
                <c:pt idx="554">
                  <c:v>7.1000000000000004E-3</c:v>
                </c:pt>
                <c:pt idx="555">
                  <c:v>7.2100000000000003E-3</c:v>
                </c:pt>
                <c:pt idx="556">
                  <c:v>6.6699999999999997E-3</c:v>
                </c:pt>
                <c:pt idx="557">
                  <c:v>6.43E-3</c:v>
                </c:pt>
                <c:pt idx="558">
                  <c:v>5.8199999999999997E-3</c:v>
                </c:pt>
                <c:pt idx="559">
                  <c:v>5.7999999999999996E-3</c:v>
                </c:pt>
                <c:pt idx="560">
                  <c:v>5.8900000000000003E-3</c:v>
                </c:pt>
                <c:pt idx="561">
                  <c:v>5.62E-3</c:v>
                </c:pt>
                <c:pt idx="562">
                  <c:v>5.8799999999999998E-3</c:v>
                </c:pt>
                <c:pt idx="563">
                  <c:v>6.0499999999999998E-3</c:v>
                </c:pt>
                <c:pt idx="564">
                  <c:v>6.0299999999999998E-3</c:v>
                </c:pt>
                <c:pt idx="565">
                  <c:v>6.0299999999999998E-3</c:v>
                </c:pt>
                <c:pt idx="566">
                  <c:v>6.1799999999999997E-3</c:v>
                </c:pt>
                <c:pt idx="567">
                  <c:v>6.1000000000000004E-3</c:v>
                </c:pt>
                <c:pt idx="568">
                  <c:v>6.1599999999999997E-3</c:v>
                </c:pt>
                <c:pt idx="569">
                  <c:v>5.5399999999999998E-3</c:v>
                </c:pt>
                <c:pt idx="570">
                  <c:v>5.1799999999999997E-3</c:v>
                </c:pt>
                <c:pt idx="571">
                  <c:v>4.9300000000000004E-3</c:v>
                </c:pt>
                <c:pt idx="572">
                  <c:v>5.1500000000000001E-3</c:v>
                </c:pt>
                <c:pt idx="573">
                  <c:v>5.2399999999999999E-3</c:v>
                </c:pt>
                <c:pt idx="574">
                  <c:v>5.1599999999999997E-3</c:v>
                </c:pt>
                <c:pt idx="575">
                  <c:v>4.6899999999999997E-3</c:v>
                </c:pt>
                <c:pt idx="576">
                  <c:v>4.4600000000000004E-3</c:v>
                </c:pt>
                <c:pt idx="577">
                  <c:v>4.4600000000000004E-3</c:v>
                </c:pt>
                <c:pt idx="578">
                  <c:v>4.64E-3</c:v>
                </c:pt>
                <c:pt idx="579">
                  <c:v>3.96E-3</c:v>
                </c:pt>
                <c:pt idx="580">
                  <c:v>4.3200000000000001E-3</c:v>
                </c:pt>
                <c:pt idx="581">
                  <c:v>4.6299999999999996E-3</c:v>
                </c:pt>
                <c:pt idx="582">
                  <c:v>4.6899999999999997E-3</c:v>
                </c:pt>
                <c:pt idx="583">
                  <c:v>4.9100000000000003E-3</c:v>
                </c:pt>
                <c:pt idx="584">
                  <c:v>4.9899999999999996E-3</c:v>
                </c:pt>
                <c:pt idx="585">
                  <c:v>4.8999999999999998E-3</c:v>
                </c:pt>
                <c:pt idx="586">
                  <c:v>4.8700000000000002E-3</c:v>
                </c:pt>
                <c:pt idx="587">
                  <c:v>4.8300000000000001E-3</c:v>
                </c:pt>
                <c:pt idx="588">
                  <c:v>4.4200000000000003E-3</c:v>
                </c:pt>
                <c:pt idx="589">
                  <c:v>4.3299999999999996E-3</c:v>
                </c:pt>
                <c:pt idx="590">
                  <c:v>4.5100000000000001E-3</c:v>
                </c:pt>
                <c:pt idx="591">
                  <c:v>4.2500000000000003E-3</c:v>
                </c:pt>
                <c:pt idx="592">
                  <c:v>4.1999999999999997E-3</c:v>
                </c:pt>
                <c:pt idx="593">
                  <c:v>4.3800000000000002E-3</c:v>
                </c:pt>
                <c:pt idx="594">
                  <c:v>3.7499999999999999E-3</c:v>
                </c:pt>
                <c:pt idx="595">
                  <c:v>3.5899999999999999E-3</c:v>
                </c:pt>
                <c:pt idx="596">
                  <c:v>3.96E-3</c:v>
                </c:pt>
                <c:pt idx="597">
                  <c:v>3.8999999999999998E-3</c:v>
                </c:pt>
                <c:pt idx="598">
                  <c:v>3.9899999999999996E-3</c:v>
                </c:pt>
                <c:pt idx="599">
                  <c:v>3.9500000000000004E-3</c:v>
                </c:pt>
                <c:pt idx="600">
                  <c:v>3.8600000000000001E-3</c:v>
                </c:pt>
                <c:pt idx="601">
                  <c:v>3.7000000000000002E-3</c:v>
                </c:pt>
                <c:pt idx="602">
                  <c:v>3.7299999999999998E-3</c:v>
                </c:pt>
                <c:pt idx="603">
                  <c:v>3.7699999999999999E-3</c:v>
                </c:pt>
                <c:pt idx="604">
                  <c:v>3.7000000000000002E-3</c:v>
                </c:pt>
                <c:pt idx="605">
                  <c:v>3.9300000000000003E-3</c:v>
                </c:pt>
                <c:pt idx="606">
                  <c:v>3.6600000000000001E-3</c:v>
                </c:pt>
                <c:pt idx="607">
                  <c:v>4.0000000000000001E-3</c:v>
                </c:pt>
                <c:pt idx="608">
                  <c:v>3.7100000000000002E-3</c:v>
                </c:pt>
                <c:pt idx="609">
                  <c:v>3.96E-3</c:v>
                </c:pt>
                <c:pt idx="610">
                  <c:v>4.1700000000000001E-3</c:v>
                </c:pt>
                <c:pt idx="611">
                  <c:v>3.7399999999999998E-3</c:v>
                </c:pt>
                <c:pt idx="612">
                  <c:v>3.82E-3</c:v>
                </c:pt>
                <c:pt idx="613">
                  <c:v>3.4199999999999999E-3</c:v>
                </c:pt>
                <c:pt idx="614">
                  <c:v>3.5200000000000001E-3</c:v>
                </c:pt>
                <c:pt idx="615">
                  <c:v>3.6099999999999999E-3</c:v>
                </c:pt>
                <c:pt idx="616">
                  <c:v>3.31E-3</c:v>
                </c:pt>
                <c:pt idx="617">
                  <c:v>3.31E-3</c:v>
                </c:pt>
                <c:pt idx="618">
                  <c:v>3.3700000000000002E-3</c:v>
                </c:pt>
                <c:pt idx="619">
                  <c:v>3.47E-3</c:v>
                </c:pt>
                <c:pt idx="620">
                  <c:v>3.2100000000000002E-3</c:v>
                </c:pt>
                <c:pt idx="621">
                  <c:v>3.32E-3</c:v>
                </c:pt>
                <c:pt idx="622">
                  <c:v>3.3E-3</c:v>
                </c:pt>
                <c:pt idx="623">
                  <c:v>3.29E-3</c:v>
                </c:pt>
                <c:pt idx="624">
                  <c:v>2.82E-3</c:v>
                </c:pt>
                <c:pt idx="625">
                  <c:v>2.6700000000000001E-3</c:v>
                </c:pt>
                <c:pt idx="626">
                  <c:v>2.7200000000000002E-3</c:v>
                </c:pt>
                <c:pt idx="627">
                  <c:v>2.63E-3</c:v>
                </c:pt>
                <c:pt idx="628">
                  <c:v>2.8900000000000002E-3</c:v>
                </c:pt>
                <c:pt idx="629">
                  <c:v>2.63E-3</c:v>
                </c:pt>
                <c:pt idx="630">
                  <c:v>2.5400000000000002E-3</c:v>
                </c:pt>
                <c:pt idx="631">
                  <c:v>2.5400000000000002E-3</c:v>
                </c:pt>
                <c:pt idx="632">
                  <c:v>2.4399999999999999E-3</c:v>
                </c:pt>
                <c:pt idx="633">
                  <c:v>2.4099999999999998E-3</c:v>
                </c:pt>
                <c:pt idx="634">
                  <c:v>2.4299999999999999E-3</c:v>
                </c:pt>
                <c:pt idx="635">
                  <c:v>2.5300000000000001E-3</c:v>
                </c:pt>
                <c:pt idx="636">
                  <c:v>2.5600000000000002E-3</c:v>
                </c:pt>
                <c:pt idx="637">
                  <c:v>2.5300000000000001E-3</c:v>
                </c:pt>
                <c:pt idx="638">
                  <c:v>2.5999999999999999E-3</c:v>
                </c:pt>
                <c:pt idx="639">
                  <c:v>2.5200000000000001E-3</c:v>
                </c:pt>
                <c:pt idx="640">
                  <c:v>2.5400000000000002E-3</c:v>
                </c:pt>
                <c:pt idx="641">
                  <c:v>2.64E-3</c:v>
                </c:pt>
                <c:pt idx="642">
                  <c:v>2.64E-3</c:v>
                </c:pt>
                <c:pt idx="643">
                  <c:v>2.5600000000000002E-3</c:v>
                </c:pt>
                <c:pt idx="644">
                  <c:v>2.65E-3</c:v>
                </c:pt>
                <c:pt idx="645">
                  <c:v>2.5300000000000001E-3</c:v>
                </c:pt>
                <c:pt idx="646">
                  <c:v>2.1800000000000001E-3</c:v>
                </c:pt>
                <c:pt idx="647">
                  <c:v>2.1700000000000001E-3</c:v>
                </c:pt>
                <c:pt idx="648">
                  <c:v>2.3600000000000001E-3</c:v>
                </c:pt>
                <c:pt idx="649">
                  <c:v>2.2899999999999999E-3</c:v>
                </c:pt>
                <c:pt idx="650">
                  <c:v>2.2100000000000002E-3</c:v>
                </c:pt>
                <c:pt idx="651">
                  <c:v>2.2300000000000002E-3</c:v>
                </c:pt>
                <c:pt idx="652">
                  <c:v>2.0899999999999998E-3</c:v>
                </c:pt>
                <c:pt idx="653">
                  <c:v>2.14E-3</c:v>
                </c:pt>
                <c:pt idx="654">
                  <c:v>2.14E-3</c:v>
                </c:pt>
                <c:pt idx="655">
                  <c:v>2.2399999999999998E-3</c:v>
                </c:pt>
                <c:pt idx="656">
                  <c:v>2.2499999999999998E-3</c:v>
                </c:pt>
                <c:pt idx="657">
                  <c:v>2.2399999999999998E-3</c:v>
                </c:pt>
                <c:pt idx="658">
                  <c:v>2.48E-3</c:v>
                </c:pt>
                <c:pt idx="659">
                  <c:v>2.4599999999999999E-3</c:v>
                </c:pt>
                <c:pt idx="660">
                  <c:v>2.4199999999999998E-3</c:v>
                </c:pt>
                <c:pt idx="661">
                  <c:v>2.5000000000000001E-3</c:v>
                </c:pt>
                <c:pt idx="662">
                  <c:v>2.3500000000000001E-3</c:v>
                </c:pt>
                <c:pt idx="663">
                  <c:v>2.3700000000000001E-3</c:v>
                </c:pt>
                <c:pt idx="664">
                  <c:v>2.4599999999999999E-3</c:v>
                </c:pt>
                <c:pt idx="665">
                  <c:v>2.32E-3</c:v>
                </c:pt>
                <c:pt idx="666">
                  <c:v>2.2000000000000001E-3</c:v>
                </c:pt>
                <c:pt idx="667">
                  <c:v>2.15E-3</c:v>
                </c:pt>
                <c:pt idx="668">
                  <c:v>2.15E-3</c:v>
                </c:pt>
                <c:pt idx="669">
                  <c:v>1.99E-3</c:v>
                </c:pt>
                <c:pt idx="670">
                  <c:v>2.1299999999999999E-3</c:v>
                </c:pt>
                <c:pt idx="671">
                  <c:v>2.1099999999999999E-3</c:v>
                </c:pt>
                <c:pt idx="672">
                  <c:v>2.2000000000000001E-3</c:v>
                </c:pt>
                <c:pt idx="673">
                  <c:v>2.2300000000000002E-3</c:v>
                </c:pt>
                <c:pt idx="674">
                  <c:v>2.1900000000000001E-3</c:v>
                </c:pt>
                <c:pt idx="675">
                  <c:v>2.1199999999999999E-3</c:v>
                </c:pt>
                <c:pt idx="676">
                  <c:v>1.9400000000000001E-3</c:v>
                </c:pt>
                <c:pt idx="677">
                  <c:v>2.2200000000000002E-3</c:v>
                </c:pt>
                <c:pt idx="678">
                  <c:v>2.2699999999999999E-3</c:v>
                </c:pt>
                <c:pt idx="679">
                  <c:v>2.3999999999999998E-3</c:v>
                </c:pt>
                <c:pt idx="680">
                  <c:v>1.9599999999999999E-3</c:v>
                </c:pt>
                <c:pt idx="681">
                  <c:v>1.8600000000000001E-3</c:v>
                </c:pt>
                <c:pt idx="682">
                  <c:v>1.6100000000000001E-3</c:v>
                </c:pt>
                <c:pt idx="683">
                  <c:v>1.83E-3</c:v>
                </c:pt>
                <c:pt idx="684">
                  <c:v>1.7700000000000001E-3</c:v>
                </c:pt>
                <c:pt idx="685">
                  <c:v>1.9499999999999999E-3</c:v>
                </c:pt>
                <c:pt idx="686">
                  <c:v>1.74E-3</c:v>
                </c:pt>
                <c:pt idx="687">
                  <c:v>3.6800000000000001E-3</c:v>
                </c:pt>
                <c:pt idx="688">
                  <c:v>3.79E-3</c:v>
                </c:pt>
                <c:pt idx="689">
                  <c:v>3.8899999999999998E-3</c:v>
                </c:pt>
                <c:pt idx="690">
                  <c:v>4.0099999999999997E-3</c:v>
                </c:pt>
                <c:pt idx="691">
                  <c:v>4.7699999999999999E-3</c:v>
                </c:pt>
                <c:pt idx="692">
                  <c:v>5.1200000000000004E-3</c:v>
                </c:pt>
                <c:pt idx="693">
                  <c:v>5.11E-3</c:v>
                </c:pt>
                <c:pt idx="694">
                  <c:v>4.96E-3</c:v>
                </c:pt>
                <c:pt idx="695">
                  <c:v>4.7099999999999998E-3</c:v>
                </c:pt>
                <c:pt idx="696">
                  <c:v>4.6699999999999997E-3</c:v>
                </c:pt>
                <c:pt idx="697">
                  <c:v>4.3600000000000002E-3</c:v>
                </c:pt>
                <c:pt idx="698">
                  <c:v>4.4799999999999996E-3</c:v>
                </c:pt>
                <c:pt idx="699">
                  <c:v>4.4799999999999996E-3</c:v>
                </c:pt>
                <c:pt idx="700">
                  <c:v>4.3E-3</c:v>
                </c:pt>
                <c:pt idx="701">
                  <c:v>4.2100000000000002E-3</c:v>
                </c:pt>
                <c:pt idx="702">
                  <c:v>4.7000000000000002E-3</c:v>
                </c:pt>
                <c:pt idx="703">
                  <c:v>5.3299999999999997E-3</c:v>
                </c:pt>
                <c:pt idx="704">
                  <c:v>5.5799999999999999E-3</c:v>
                </c:pt>
                <c:pt idx="705">
                  <c:v>5.4000000000000003E-3</c:v>
                </c:pt>
                <c:pt idx="706">
                  <c:v>5.47E-3</c:v>
                </c:pt>
                <c:pt idx="707">
                  <c:v>5.4099999999999999E-3</c:v>
                </c:pt>
                <c:pt idx="708">
                  <c:v>5.4900000000000001E-3</c:v>
                </c:pt>
                <c:pt idx="709">
                  <c:v>6.0600000000000003E-3</c:v>
                </c:pt>
                <c:pt idx="710">
                  <c:v>5.7200000000000003E-3</c:v>
                </c:pt>
                <c:pt idx="711">
                  <c:v>5.96E-3</c:v>
                </c:pt>
                <c:pt idx="712">
                  <c:v>6.4700000000000001E-3</c:v>
                </c:pt>
                <c:pt idx="713">
                  <c:v>7.2700000000000004E-3</c:v>
                </c:pt>
                <c:pt idx="714">
                  <c:v>6.7299999999999999E-3</c:v>
                </c:pt>
                <c:pt idx="715">
                  <c:v>6.7400000000000003E-3</c:v>
                </c:pt>
                <c:pt idx="716">
                  <c:v>6.6400000000000001E-3</c:v>
                </c:pt>
                <c:pt idx="717">
                  <c:v>6.3299999999999997E-3</c:v>
                </c:pt>
                <c:pt idx="718">
                  <c:v>6.3400000000000001E-3</c:v>
                </c:pt>
                <c:pt idx="719">
                  <c:v>6.2599999999999999E-3</c:v>
                </c:pt>
                <c:pt idx="720">
                  <c:v>6.77E-3</c:v>
                </c:pt>
                <c:pt idx="721">
                  <c:v>6.3299999999999997E-3</c:v>
                </c:pt>
                <c:pt idx="722">
                  <c:v>5.8199999999999997E-3</c:v>
                </c:pt>
                <c:pt idx="723">
                  <c:v>5.5999999999999999E-3</c:v>
                </c:pt>
                <c:pt idx="724">
                  <c:v>5.7600000000000004E-3</c:v>
                </c:pt>
                <c:pt idx="725">
                  <c:v>5.2599999999999999E-3</c:v>
                </c:pt>
                <c:pt idx="726">
                  <c:v>5.1999999999999998E-3</c:v>
                </c:pt>
                <c:pt idx="727">
                  <c:v>5.1900000000000002E-3</c:v>
                </c:pt>
                <c:pt idx="728">
                  <c:v>5.1599999999999997E-3</c:v>
                </c:pt>
                <c:pt idx="729">
                  <c:v>5.0099999999999997E-3</c:v>
                </c:pt>
                <c:pt idx="730">
                  <c:v>5.0899999999999999E-3</c:v>
                </c:pt>
                <c:pt idx="731">
                  <c:v>5.0800000000000003E-3</c:v>
                </c:pt>
                <c:pt idx="732">
                  <c:v>5.0800000000000003E-3</c:v>
                </c:pt>
                <c:pt idx="733">
                  <c:v>5.1000000000000004E-3</c:v>
                </c:pt>
                <c:pt idx="734">
                  <c:v>5.1999999999999998E-3</c:v>
                </c:pt>
                <c:pt idx="735">
                  <c:v>5.2199999999999998E-3</c:v>
                </c:pt>
                <c:pt idx="736">
                  <c:v>4.8900000000000002E-3</c:v>
                </c:pt>
                <c:pt idx="737">
                  <c:v>4.9300000000000004E-3</c:v>
                </c:pt>
                <c:pt idx="738">
                  <c:v>4.9800000000000001E-3</c:v>
                </c:pt>
                <c:pt idx="739">
                  <c:v>4.7999999999999996E-3</c:v>
                </c:pt>
                <c:pt idx="740">
                  <c:v>5.0600000000000003E-3</c:v>
                </c:pt>
                <c:pt idx="741">
                  <c:v>5.1799999999999997E-3</c:v>
                </c:pt>
                <c:pt idx="742">
                  <c:v>4.9300000000000004E-3</c:v>
                </c:pt>
                <c:pt idx="743">
                  <c:v>5.0400000000000002E-3</c:v>
                </c:pt>
                <c:pt idx="744">
                  <c:v>4.8999999999999998E-3</c:v>
                </c:pt>
                <c:pt idx="745">
                  <c:v>4.7699999999999999E-3</c:v>
                </c:pt>
                <c:pt idx="746">
                  <c:v>4.64E-3</c:v>
                </c:pt>
                <c:pt idx="747">
                  <c:v>4.62E-3</c:v>
                </c:pt>
                <c:pt idx="748">
                  <c:v>4.6299999999999996E-3</c:v>
                </c:pt>
                <c:pt idx="749">
                  <c:v>4.5799999999999999E-3</c:v>
                </c:pt>
                <c:pt idx="750">
                  <c:v>4.5999999999999999E-3</c:v>
                </c:pt>
                <c:pt idx="751">
                  <c:v>4.5500000000000002E-3</c:v>
                </c:pt>
                <c:pt idx="752">
                  <c:v>4.7600000000000003E-3</c:v>
                </c:pt>
                <c:pt idx="753">
                  <c:v>4.6600000000000001E-3</c:v>
                </c:pt>
                <c:pt idx="754">
                  <c:v>4.7499999999999999E-3</c:v>
                </c:pt>
                <c:pt idx="755">
                  <c:v>4.7800000000000004E-3</c:v>
                </c:pt>
                <c:pt idx="756">
                  <c:v>4.7000000000000002E-3</c:v>
                </c:pt>
                <c:pt idx="757">
                  <c:v>4.6600000000000001E-3</c:v>
                </c:pt>
                <c:pt idx="758">
                  <c:v>4.5700000000000003E-3</c:v>
                </c:pt>
                <c:pt idx="759">
                  <c:v>4.6800000000000001E-3</c:v>
                </c:pt>
                <c:pt idx="760">
                  <c:v>4.79E-3</c:v>
                </c:pt>
                <c:pt idx="761">
                  <c:v>4.7800000000000004E-3</c:v>
                </c:pt>
                <c:pt idx="762">
                  <c:v>4.7999999999999996E-3</c:v>
                </c:pt>
                <c:pt idx="763">
                  <c:v>4.8399999999999997E-3</c:v>
                </c:pt>
                <c:pt idx="764">
                  <c:v>4.7499999999999999E-3</c:v>
                </c:pt>
                <c:pt idx="765">
                  <c:v>4.8799999999999998E-3</c:v>
                </c:pt>
                <c:pt idx="766">
                  <c:v>4.8599999999999997E-3</c:v>
                </c:pt>
                <c:pt idx="767">
                  <c:v>5.11E-3</c:v>
                </c:pt>
                <c:pt idx="768">
                  <c:v>5.0800000000000003E-3</c:v>
                </c:pt>
                <c:pt idx="769">
                  <c:v>4.8999999999999998E-3</c:v>
                </c:pt>
                <c:pt idx="770">
                  <c:v>4.64E-3</c:v>
                </c:pt>
                <c:pt idx="771">
                  <c:v>4.45E-3</c:v>
                </c:pt>
                <c:pt idx="772">
                  <c:v>4.0299999999999997E-3</c:v>
                </c:pt>
                <c:pt idx="773">
                  <c:v>4.5100000000000001E-3</c:v>
                </c:pt>
                <c:pt idx="774">
                  <c:v>4.9399999999999999E-3</c:v>
                </c:pt>
                <c:pt idx="775">
                  <c:v>4.7499999999999999E-3</c:v>
                </c:pt>
                <c:pt idx="776">
                  <c:v>5.4200000000000003E-3</c:v>
                </c:pt>
                <c:pt idx="777">
                  <c:v>5.3600000000000002E-3</c:v>
                </c:pt>
                <c:pt idx="778">
                  <c:v>5.7099999999999998E-3</c:v>
                </c:pt>
                <c:pt idx="779">
                  <c:v>5.3499999999999997E-3</c:v>
                </c:pt>
                <c:pt idx="780">
                  <c:v>7.3000000000000001E-3</c:v>
                </c:pt>
                <c:pt idx="781">
                  <c:v>7.5900000000000004E-3</c:v>
                </c:pt>
                <c:pt idx="782">
                  <c:v>7.1199999999999996E-3</c:v>
                </c:pt>
                <c:pt idx="783">
                  <c:v>6.3699999999999998E-3</c:v>
                </c:pt>
                <c:pt idx="784">
                  <c:v>6.0099999999999997E-3</c:v>
                </c:pt>
                <c:pt idx="785">
                  <c:v>6.13E-3</c:v>
                </c:pt>
                <c:pt idx="786">
                  <c:v>5.8799999999999998E-3</c:v>
                </c:pt>
                <c:pt idx="787">
                  <c:v>5.3499999999999997E-3</c:v>
                </c:pt>
                <c:pt idx="788">
                  <c:v>5.45E-3</c:v>
                </c:pt>
                <c:pt idx="789">
                  <c:v>5.9500000000000004E-3</c:v>
                </c:pt>
                <c:pt idx="790">
                  <c:v>6.0000000000000001E-3</c:v>
                </c:pt>
                <c:pt idx="791">
                  <c:v>6.1700000000000001E-3</c:v>
                </c:pt>
                <c:pt idx="792">
                  <c:v>6.4099999999999999E-3</c:v>
                </c:pt>
                <c:pt idx="793">
                  <c:v>6.5300000000000002E-3</c:v>
                </c:pt>
                <c:pt idx="794">
                  <c:v>6.28E-3</c:v>
                </c:pt>
                <c:pt idx="795">
                  <c:v>5.3099999999999996E-3</c:v>
                </c:pt>
                <c:pt idx="796">
                  <c:v>5.28E-3</c:v>
                </c:pt>
                <c:pt idx="797">
                  <c:v>5.0400000000000002E-3</c:v>
                </c:pt>
                <c:pt idx="798">
                  <c:v>5.5399999999999998E-3</c:v>
                </c:pt>
                <c:pt idx="799">
                  <c:v>5.7299999999999999E-3</c:v>
                </c:pt>
                <c:pt idx="800">
                  <c:v>5.7600000000000004E-3</c:v>
                </c:pt>
                <c:pt idx="801">
                  <c:v>5.5799999999999999E-3</c:v>
                </c:pt>
                <c:pt idx="802">
                  <c:v>5.8999999999999999E-3</c:v>
                </c:pt>
                <c:pt idx="803">
                  <c:v>6.2300000000000003E-3</c:v>
                </c:pt>
                <c:pt idx="804">
                  <c:v>5.3600000000000002E-3</c:v>
                </c:pt>
                <c:pt idx="805">
                  <c:v>5.4999999999999997E-3</c:v>
                </c:pt>
                <c:pt idx="806">
                  <c:v>5.6299999999999996E-3</c:v>
                </c:pt>
                <c:pt idx="807">
                  <c:v>5.7000000000000002E-3</c:v>
                </c:pt>
                <c:pt idx="808">
                  <c:v>5.6600000000000001E-3</c:v>
                </c:pt>
                <c:pt idx="809">
                  <c:v>5.7499999999999999E-3</c:v>
                </c:pt>
                <c:pt idx="810">
                  <c:v>5.6699999999999997E-3</c:v>
                </c:pt>
                <c:pt idx="811">
                  <c:v>5.6699999999999997E-3</c:v>
                </c:pt>
                <c:pt idx="812">
                  <c:v>6.0600000000000003E-3</c:v>
                </c:pt>
                <c:pt idx="813">
                  <c:v>5.94E-3</c:v>
                </c:pt>
                <c:pt idx="814">
                  <c:v>6.2599999999999999E-3</c:v>
                </c:pt>
                <c:pt idx="815">
                  <c:v>5.7200000000000003E-3</c:v>
                </c:pt>
                <c:pt idx="816">
                  <c:v>5.5300000000000002E-3</c:v>
                </c:pt>
                <c:pt idx="817">
                  <c:v>5.6899999999999997E-3</c:v>
                </c:pt>
                <c:pt idx="818">
                  <c:v>5.3299999999999997E-3</c:v>
                </c:pt>
                <c:pt idx="819">
                  <c:v>5.1999999999999998E-3</c:v>
                </c:pt>
                <c:pt idx="820">
                  <c:v>5.1000000000000004E-3</c:v>
                </c:pt>
                <c:pt idx="821">
                  <c:v>5.2199999999999998E-3</c:v>
                </c:pt>
                <c:pt idx="822">
                  <c:v>5.13E-3</c:v>
                </c:pt>
                <c:pt idx="823">
                  <c:v>5.1799999999999997E-3</c:v>
                </c:pt>
                <c:pt idx="824">
                  <c:v>5.0099999999999997E-3</c:v>
                </c:pt>
                <c:pt idx="825">
                  <c:v>5.2199999999999998E-3</c:v>
                </c:pt>
                <c:pt idx="826">
                  <c:v>4.9199999999999999E-3</c:v>
                </c:pt>
                <c:pt idx="827">
                  <c:v>4.81E-3</c:v>
                </c:pt>
                <c:pt idx="828">
                  <c:v>5.4099999999999999E-3</c:v>
                </c:pt>
                <c:pt idx="829">
                  <c:v>5.7000000000000002E-3</c:v>
                </c:pt>
                <c:pt idx="830">
                  <c:v>5.62E-3</c:v>
                </c:pt>
                <c:pt idx="831">
                  <c:v>5.64E-3</c:v>
                </c:pt>
                <c:pt idx="832">
                  <c:v>5.9300000000000004E-3</c:v>
                </c:pt>
                <c:pt idx="833">
                  <c:v>5.9199999999999999E-3</c:v>
                </c:pt>
                <c:pt idx="834">
                  <c:v>5.7999999999999996E-3</c:v>
                </c:pt>
                <c:pt idx="835">
                  <c:v>6.4200000000000004E-3</c:v>
                </c:pt>
                <c:pt idx="836">
                  <c:v>6.1599999999999997E-3</c:v>
                </c:pt>
                <c:pt idx="837">
                  <c:v>6.0800000000000003E-3</c:v>
                </c:pt>
                <c:pt idx="838">
                  <c:v>6.3899999999999998E-3</c:v>
                </c:pt>
                <c:pt idx="839">
                  <c:v>6.3699999999999998E-3</c:v>
                </c:pt>
                <c:pt idx="840">
                  <c:v>6.2500000000000003E-3</c:v>
                </c:pt>
                <c:pt idx="841">
                  <c:v>5.8599999999999998E-3</c:v>
                </c:pt>
                <c:pt idx="842">
                  <c:v>5.8300000000000001E-3</c:v>
                </c:pt>
                <c:pt idx="843">
                  <c:v>5.4900000000000001E-3</c:v>
                </c:pt>
                <c:pt idx="844">
                  <c:v>4.9500000000000004E-3</c:v>
                </c:pt>
                <c:pt idx="845">
                  <c:v>5.0499999999999998E-3</c:v>
                </c:pt>
                <c:pt idx="846">
                  <c:v>5.0800000000000003E-3</c:v>
                </c:pt>
                <c:pt idx="847">
                  <c:v>5.0000000000000001E-3</c:v>
                </c:pt>
                <c:pt idx="848">
                  <c:v>5.0099999999999997E-3</c:v>
                </c:pt>
                <c:pt idx="849">
                  <c:v>5.0400000000000002E-3</c:v>
                </c:pt>
                <c:pt idx="850">
                  <c:v>5.1500000000000001E-3</c:v>
                </c:pt>
                <c:pt idx="851">
                  <c:v>5.0800000000000003E-3</c:v>
                </c:pt>
                <c:pt idx="852">
                  <c:v>5.0299999999999997E-3</c:v>
                </c:pt>
                <c:pt idx="853">
                  <c:v>5.0499999999999998E-3</c:v>
                </c:pt>
                <c:pt idx="854">
                  <c:v>5.0299999999999997E-3</c:v>
                </c:pt>
                <c:pt idx="855">
                  <c:v>5.4099999999999999E-3</c:v>
                </c:pt>
                <c:pt idx="856">
                  <c:v>5.4000000000000003E-3</c:v>
                </c:pt>
                <c:pt idx="857">
                  <c:v>6.7000000000000002E-3</c:v>
                </c:pt>
                <c:pt idx="858">
                  <c:v>7.2399999999999999E-3</c:v>
                </c:pt>
                <c:pt idx="859">
                  <c:v>7.5900000000000004E-3</c:v>
                </c:pt>
                <c:pt idx="860">
                  <c:v>7.7499999999999999E-3</c:v>
                </c:pt>
                <c:pt idx="861">
                  <c:v>7.77E-3</c:v>
                </c:pt>
                <c:pt idx="862">
                  <c:v>8.2199999999999999E-3</c:v>
                </c:pt>
                <c:pt idx="863">
                  <c:v>7.8899999999999994E-3</c:v>
                </c:pt>
                <c:pt idx="864">
                  <c:v>7.7099999999999998E-3</c:v>
                </c:pt>
                <c:pt idx="865">
                  <c:v>7.6299999999999996E-3</c:v>
                </c:pt>
                <c:pt idx="866">
                  <c:v>7.5599999999999999E-3</c:v>
                </c:pt>
                <c:pt idx="867">
                  <c:v>7.6600000000000001E-3</c:v>
                </c:pt>
                <c:pt idx="868">
                  <c:v>7.9000000000000008E-3</c:v>
                </c:pt>
                <c:pt idx="869">
                  <c:v>8.2400000000000008E-3</c:v>
                </c:pt>
                <c:pt idx="870">
                  <c:v>8.4399999999999996E-3</c:v>
                </c:pt>
                <c:pt idx="871">
                  <c:v>8.7799999999999996E-3</c:v>
                </c:pt>
                <c:pt idx="872">
                  <c:v>8.7500000000000008E-3</c:v>
                </c:pt>
                <c:pt idx="873">
                  <c:v>8.8900000000000003E-3</c:v>
                </c:pt>
                <c:pt idx="874">
                  <c:v>8.9099999999999995E-3</c:v>
                </c:pt>
                <c:pt idx="875">
                  <c:v>8.7600000000000004E-3</c:v>
                </c:pt>
                <c:pt idx="876">
                  <c:v>8.4499999999999992E-3</c:v>
                </c:pt>
                <c:pt idx="877">
                  <c:v>8.7799999999999996E-3</c:v>
                </c:pt>
                <c:pt idx="878">
                  <c:v>8.9899999999999997E-3</c:v>
                </c:pt>
                <c:pt idx="879">
                  <c:v>8.3499999999999998E-3</c:v>
                </c:pt>
                <c:pt idx="880">
                  <c:v>8.3800000000000003E-3</c:v>
                </c:pt>
                <c:pt idx="881">
                  <c:v>8.7100000000000007E-3</c:v>
                </c:pt>
                <c:pt idx="882">
                  <c:v>8.8100000000000001E-3</c:v>
                </c:pt>
                <c:pt idx="883">
                  <c:v>9.2599999999999991E-3</c:v>
                </c:pt>
                <c:pt idx="884">
                  <c:v>1.0200000000000001E-2</c:v>
                </c:pt>
                <c:pt idx="885">
                  <c:v>1.004E-2</c:v>
                </c:pt>
                <c:pt idx="886">
                  <c:v>1.008E-2</c:v>
                </c:pt>
                <c:pt idx="887">
                  <c:v>1.056E-2</c:v>
                </c:pt>
                <c:pt idx="888">
                  <c:v>1.0800000000000001E-2</c:v>
                </c:pt>
                <c:pt idx="889">
                  <c:v>1.1440000000000001E-2</c:v>
                </c:pt>
                <c:pt idx="890">
                  <c:v>1.111E-2</c:v>
                </c:pt>
                <c:pt idx="891">
                  <c:v>1.1849999999999999E-2</c:v>
                </c:pt>
                <c:pt idx="892">
                  <c:v>1.1650000000000001E-2</c:v>
                </c:pt>
                <c:pt idx="893">
                  <c:v>1.0880000000000001E-2</c:v>
                </c:pt>
                <c:pt idx="894">
                  <c:v>1.039E-2</c:v>
                </c:pt>
                <c:pt idx="895">
                  <c:v>1.005E-2</c:v>
                </c:pt>
                <c:pt idx="896">
                  <c:v>1.001E-2</c:v>
                </c:pt>
                <c:pt idx="897">
                  <c:v>9.9799999999999993E-3</c:v>
                </c:pt>
                <c:pt idx="898">
                  <c:v>1.1730000000000001E-2</c:v>
                </c:pt>
                <c:pt idx="899">
                  <c:v>1.17E-2</c:v>
                </c:pt>
                <c:pt idx="900">
                  <c:v>1.123E-2</c:v>
                </c:pt>
                <c:pt idx="901">
                  <c:v>1.102E-2</c:v>
                </c:pt>
                <c:pt idx="902">
                  <c:v>1.0059999999999999E-2</c:v>
                </c:pt>
                <c:pt idx="903">
                  <c:v>1.184E-2</c:v>
                </c:pt>
                <c:pt idx="904">
                  <c:v>1.208E-2</c:v>
                </c:pt>
                <c:pt idx="905">
                  <c:v>1.2359999999999999E-2</c:v>
                </c:pt>
                <c:pt idx="906">
                  <c:v>1.1679999999999999E-2</c:v>
                </c:pt>
                <c:pt idx="907">
                  <c:v>9.6500000000000006E-3</c:v>
                </c:pt>
                <c:pt idx="908">
                  <c:v>1.0120000000000001E-2</c:v>
                </c:pt>
                <c:pt idx="909">
                  <c:v>1.0370000000000001E-2</c:v>
                </c:pt>
                <c:pt idx="910">
                  <c:v>9.8200000000000006E-3</c:v>
                </c:pt>
                <c:pt idx="911">
                  <c:v>1.061E-2</c:v>
                </c:pt>
                <c:pt idx="912">
                  <c:v>1.0710000000000001E-2</c:v>
                </c:pt>
                <c:pt idx="913">
                  <c:v>1.031E-2</c:v>
                </c:pt>
                <c:pt idx="914">
                  <c:v>1.0710000000000001E-2</c:v>
                </c:pt>
                <c:pt idx="915">
                  <c:v>1.108E-2</c:v>
                </c:pt>
                <c:pt idx="916">
                  <c:v>1.129E-2</c:v>
                </c:pt>
                <c:pt idx="917">
                  <c:v>1.094E-2</c:v>
                </c:pt>
                <c:pt idx="918">
                  <c:v>1.094E-2</c:v>
                </c:pt>
                <c:pt idx="919">
                  <c:v>1.055E-2</c:v>
                </c:pt>
                <c:pt idx="920">
                  <c:v>1.1849999999999999E-2</c:v>
                </c:pt>
                <c:pt idx="921">
                  <c:v>1.255E-2</c:v>
                </c:pt>
                <c:pt idx="922">
                  <c:v>1.306E-2</c:v>
                </c:pt>
                <c:pt idx="923">
                  <c:v>1.2869999999999999E-2</c:v>
                </c:pt>
                <c:pt idx="924">
                  <c:v>1.298E-2</c:v>
                </c:pt>
                <c:pt idx="925">
                  <c:v>1.336E-2</c:v>
                </c:pt>
                <c:pt idx="926">
                  <c:v>1.145E-2</c:v>
                </c:pt>
                <c:pt idx="927">
                  <c:v>1.345E-2</c:v>
                </c:pt>
                <c:pt idx="928">
                  <c:v>1.285E-2</c:v>
                </c:pt>
                <c:pt idx="929">
                  <c:v>1.5810000000000001E-2</c:v>
                </c:pt>
                <c:pt idx="930">
                  <c:v>1.38E-2</c:v>
                </c:pt>
                <c:pt idx="931">
                  <c:v>1.2109999999999999E-2</c:v>
                </c:pt>
                <c:pt idx="932">
                  <c:v>1.4019999999999999E-2</c:v>
                </c:pt>
                <c:pt idx="933">
                  <c:v>1.404E-2</c:v>
                </c:pt>
                <c:pt idx="934">
                  <c:v>1.436E-2</c:v>
                </c:pt>
                <c:pt idx="935">
                  <c:v>1.5970000000000002E-2</c:v>
                </c:pt>
                <c:pt idx="936">
                  <c:v>1.541E-2</c:v>
                </c:pt>
                <c:pt idx="937">
                  <c:v>1.55E-2</c:v>
                </c:pt>
                <c:pt idx="938">
                  <c:v>1.5689999999999999E-2</c:v>
                </c:pt>
                <c:pt idx="939">
                  <c:v>1.7139999999999999E-2</c:v>
                </c:pt>
                <c:pt idx="940">
                  <c:v>1.7520000000000001E-2</c:v>
                </c:pt>
                <c:pt idx="941">
                  <c:v>1.934E-2</c:v>
                </c:pt>
                <c:pt idx="942">
                  <c:v>1.9220000000000001E-2</c:v>
                </c:pt>
                <c:pt idx="943">
                  <c:v>2.0219999999999998E-2</c:v>
                </c:pt>
                <c:pt idx="944">
                  <c:v>1.8550000000000001E-2</c:v>
                </c:pt>
                <c:pt idx="945">
                  <c:v>1.8200000000000001E-2</c:v>
                </c:pt>
                <c:pt idx="946">
                  <c:v>1.84E-2</c:v>
                </c:pt>
                <c:pt idx="947">
                  <c:v>1.9259999999999999E-2</c:v>
                </c:pt>
                <c:pt idx="948">
                  <c:v>2.068E-2</c:v>
                </c:pt>
                <c:pt idx="949">
                  <c:v>2.1100000000000001E-2</c:v>
                </c:pt>
                <c:pt idx="950">
                  <c:v>2.1409999999999998E-2</c:v>
                </c:pt>
                <c:pt idx="951">
                  <c:v>2.044E-2</c:v>
                </c:pt>
                <c:pt idx="952">
                  <c:v>2.232E-2</c:v>
                </c:pt>
                <c:pt idx="953">
                  <c:v>2.3089999999999999E-2</c:v>
                </c:pt>
                <c:pt idx="954">
                  <c:v>2.3E-2</c:v>
                </c:pt>
                <c:pt idx="955">
                  <c:v>2.044E-2</c:v>
                </c:pt>
                <c:pt idx="956">
                  <c:v>2.1600000000000001E-2</c:v>
                </c:pt>
                <c:pt idx="957">
                  <c:v>2.1590000000000002E-2</c:v>
                </c:pt>
                <c:pt idx="958">
                  <c:v>2.0469999999999999E-2</c:v>
                </c:pt>
                <c:pt idx="959">
                  <c:v>2.2290000000000001E-2</c:v>
                </c:pt>
                <c:pt idx="960">
                  <c:v>2.2259999999999999E-2</c:v>
                </c:pt>
                <c:pt idx="961">
                  <c:v>2.2499999999999999E-2</c:v>
                </c:pt>
                <c:pt idx="962">
                  <c:v>2.5590000000000002E-2</c:v>
                </c:pt>
                <c:pt idx="963">
                  <c:v>2.426E-2</c:v>
                </c:pt>
                <c:pt idx="964">
                  <c:v>2.6069999999999999E-2</c:v>
                </c:pt>
                <c:pt idx="965">
                  <c:v>2.5860000000000001E-2</c:v>
                </c:pt>
                <c:pt idx="966">
                  <c:v>2.6349999999999998E-2</c:v>
                </c:pt>
                <c:pt idx="967">
                  <c:v>2.835E-2</c:v>
                </c:pt>
                <c:pt idx="968">
                  <c:v>2.35E-2</c:v>
                </c:pt>
                <c:pt idx="969">
                  <c:v>2.1270000000000001E-2</c:v>
                </c:pt>
                <c:pt idx="970">
                  <c:v>2.104E-2</c:v>
                </c:pt>
                <c:pt idx="971">
                  <c:v>2.402E-2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0F-4CD2-A835-AF675455124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21.650129031810131</c:v>
                </c:pt>
                <c:pt idx="1">
                  <c:v>21.848375038829481</c:v>
                </c:pt>
                <c:pt idx="2">
                  <c:v>25.286930312065138</c:v>
                </c:pt>
                <c:pt idx="3">
                  <c:v>24.091286404344359</c:v>
                </c:pt>
                <c:pt idx="4">
                  <c:v>22.771258703816017</c:v>
                </c:pt>
                <c:pt idx="5">
                  <c:v>22.355733206456041</c:v>
                </c:pt>
                <c:pt idx="6">
                  <c:v>21.886550630245008</c:v>
                </c:pt>
                <c:pt idx="7">
                  <c:v>25.931655073840226</c:v>
                </c:pt>
                <c:pt idx="8">
                  <c:v>28.901284526586164</c:v>
                </c:pt>
                <c:pt idx="9">
                  <c:v>31.810456252541623</c:v>
                </c:pt>
                <c:pt idx="10">
                  <c:v>32.360994047293367</c:v>
                </c:pt>
                <c:pt idx="11">
                  <c:v>34.447482536281491</c:v>
                </c:pt>
                <c:pt idx="12">
                  <c:v>32.04492291706179</c:v>
                </c:pt>
                <c:pt idx="13">
                  <c:v>34.112765991960238</c:v>
                </c:pt>
                <c:pt idx="14">
                  <c:v>35.852197639690807</c:v>
                </c:pt>
                <c:pt idx="15">
                  <c:v>35.333923548599557</c:v>
                </c:pt>
                <c:pt idx="16">
                  <c:v>31.334233628288793</c:v>
                </c:pt>
                <c:pt idx="17">
                  <c:v>28.725513011349502</c:v>
                </c:pt>
                <c:pt idx="18">
                  <c:v>28.652543385224714</c:v>
                </c:pt>
                <c:pt idx="19">
                  <c:v>32.427228707877894</c:v>
                </c:pt>
                <c:pt idx="20">
                  <c:v>32.338775785342023</c:v>
                </c:pt>
                <c:pt idx="21">
                  <c:v>32.208989276975842</c:v>
                </c:pt>
                <c:pt idx="22">
                  <c:v>28.383030153874728</c:v>
                </c:pt>
                <c:pt idx="23">
                  <c:v>30.144877504535415</c:v>
                </c:pt>
                <c:pt idx="24">
                  <c:v>33.816381681779944</c:v>
                </c:pt>
                <c:pt idx="25">
                  <c:v>30.6349366389464</c:v>
                </c:pt>
                <c:pt idx="26">
                  <c:v>27.149964739438186</c:v>
                </c:pt>
                <c:pt idx="27">
                  <c:v>24.919694984257493</c:v>
                </c:pt>
                <c:pt idx="28">
                  <c:v>24.906468903052524</c:v>
                </c:pt>
                <c:pt idx="29">
                  <c:v>24.502541648264359</c:v>
                </c:pt>
                <c:pt idx="30">
                  <c:v>25.664818887684778</c:v>
                </c:pt>
                <c:pt idx="31">
                  <c:v>27.674647149099822</c:v>
                </c:pt>
                <c:pt idx="32">
                  <c:v>29.465812566399023</c:v>
                </c:pt>
                <c:pt idx="33">
                  <c:v>28.278823490770307</c:v>
                </c:pt>
                <c:pt idx="34">
                  <c:v>27.567042136368251</c:v>
                </c:pt>
                <c:pt idx="35">
                  <c:v>28.619711497255842</c:v>
                </c:pt>
                <c:pt idx="36">
                  <c:v>26.944469079518921</c:v>
                </c:pt>
                <c:pt idx="37">
                  <c:v>28.741766677830629</c:v>
                </c:pt>
                <c:pt idx="38">
                  <c:v>30.076445207872247</c:v>
                </c:pt>
                <c:pt idx="39">
                  <c:v>27.995024767606996</c:v>
                </c:pt>
                <c:pt idx="40">
                  <c:v>24.432300354440589</c:v>
                </c:pt>
                <c:pt idx="41">
                  <c:v>23.55337900816582</c:v>
                </c:pt>
                <c:pt idx="42">
                  <c:v>22.746564354804406</c:v>
                </c:pt>
                <c:pt idx="43">
                  <c:v>24.385017713984595</c:v>
                </c:pt>
                <c:pt idx="44">
                  <c:v>23.378593043447871</c:v>
                </c:pt>
                <c:pt idx="45">
                  <c:v>22.355136116165493</c:v>
                </c:pt>
                <c:pt idx="46">
                  <c:v>23.867971201829313</c:v>
                </c:pt>
                <c:pt idx="47">
                  <c:v>22.973598387665731</c:v>
                </c:pt>
                <c:pt idx="48">
                  <c:v>22.907270365621287</c:v>
                </c:pt>
                <c:pt idx="49">
                  <c:v>24.392393743438916</c:v>
                </c:pt>
                <c:pt idx="50">
                  <c:v>26.012932239878097</c:v>
                </c:pt>
                <c:pt idx="51">
                  <c:v>24.196448513269967</c:v>
                </c:pt>
                <c:pt idx="52">
                  <c:v>23.518438280385627</c:v>
                </c:pt>
                <c:pt idx="53">
                  <c:v>20.358155716968639</c:v>
                </c:pt>
                <c:pt idx="54">
                  <c:v>21.490834731858321</c:v>
                </c:pt>
                <c:pt idx="55">
                  <c:v>19.359764793358067</c:v>
                </c:pt>
                <c:pt idx="56">
                  <c:v>20.716058948795567</c:v>
                </c:pt>
                <c:pt idx="57">
                  <c:v>18.813596109351948</c:v>
                </c:pt>
                <c:pt idx="58">
                  <c:v>20.083107003514812</c:v>
                </c:pt>
                <c:pt idx="59">
                  <c:v>21.711907140482285</c:v>
                </c:pt>
                <c:pt idx="60">
                  <c:v>21.006260060761857</c:v>
                </c:pt>
                <c:pt idx="61">
                  <c:v>18.942111727896574</c:v>
                </c:pt>
                <c:pt idx="62">
                  <c:v>19.501156472600204</c:v>
                </c:pt>
                <c:pt idx="63">
                  <c:v>21.702552359448873</c:v>
                </c:pt>
                <c:pt idx="64">
                  <c:v>23.516975621304844</c:v>
                </c:pt>
                <c:pt idx="65">
                  <c:v>24.474558688601995</c:v>
                </c:pt>
                <c:pt idx="66">
                  <c:v>21.08960891199364</c:v>
                </c:pt>
                <c:pt idx="67">
                  <c:v>22.966465677460963</c:v>
                </c:pt>
                <c:pt idx="68">
                  <c:v>20.647299561665026</c:v>
                </c:pt>
                <c:pt idx="69">
                  <c:v>17.220898973624823</c:v>
                </c:pt>
                <c:pt idx="70">
                  <c:v>16.138075854893124</c:v>
                </c:pt>
                <c:pt idx="71">
                  <c:v>18.38871736846702</c:v>
                </c:pt>
                <c:pt idx="72">
                  <c:v>16.205618675680615</c:v>
                </c:pt>
                <c:pt idx="73">
                  <c:v>17.46595838400707</c:v>
                </c:pt>
                <c:pt idx="74">
                  <c:v>16.939894530923215</c:v>
                </c:pt>
                <c:pt idx="75">
                  <c:v>17.008833688554727</c:v>
                </c:pt>
                <c:pt idx="76">
                  <c:v>16.669936585617787</c:v>
                </c:pt>
                <c:pt idx="77">
                  <c:v>15.412527767752252</c:v>
                </c:pt>
                <c:pt idx="78">
                  <c:v>17.494361810534592</c:v>
                </c:pt>
                <c:pt idx="79">
                  <c:v>18.132035921617558</c:v>
                </c:pt>
                <c:pt idx="80">
                  <c:v>20.250028922841352</c:v>
                </c:pt>
                <c:pt idx="81">
                  <c:v>17.366290960635251</c:v>
                </c:pt>
                <c:pt idx="82">
                  <c:v>17.987172416299977</c:v>
                </c:pt>
                <c:pt idx="83">
                  <c:v>16.387084630537462</c:v>
                </c:pt>
                <c:pt idx="84">
                  <c:v>18.275134264127189</c:v>
                </c:pt>
                <c:pt idx="85">
                  <c:v>19.844508286553115</c:v>
                </c:pt>
                <c:pt idx="86">
                  <c:v>19.795173343161945</c:v>
                </c:pt>
                <c:pt idx="87">
                  <c:v>20.938731555444377</c:v>
                </c:pt>
                <c:pt idx="88">
                  <c:v>22.672053954001807</c:v>
                </c:pt>
                <c:pt idx="89">
                  <c:v>20.704182538275191</c:v>
                </c:pt>
                <c:pt idx="90">
                  <c:v>23.326345068393159</c:v>
                </c:pt>
                <c:pt idx="91">
                  <c:v>25.108632294815827</c:v>
                </c:pt>
                <c:pt idx="92">
                  <c:v>25.068724469547849</c:v>
                </c:pt>
                <c:pt idx="93">
                  <c:v>27.66152343289912</c:v>
                </c:pt>
                <c:pt idx="94">
                  <c:v>30.957037399118299</c:v>
                </c:pt>
                <c:pt idx="95">
                  <c:v>24.666415294989982</c:v>
                </c:pt>
                <c:pt idx="96">
                  <c:v>25.412603456774679</c:v>
                </c:pt>
                <c:pt idx="97">
                  <c:v>25.577894430113076</c:v>
                </c:pt>
                <c:pt idx="98">
                  <c:v>21.640213954476625</c:v>
                </c:pt>
                <c:pt idx="99">
                  <c:v>24.512365047912269</c:v>
                </c:pt>
                <c:pt idx="100">
                  <c:v>20.776004799288589</c:v>
                </c:pt>
                <c:pt idx="101">
                  <c:v>20.297744436124191</c:v>
                </c:pt>
                <c:pt idx="102">
                  <c:v>21.031329033791518</c:v>
                </c:pt>
                <c:pt idx="103">
                  <c:v>20.481855653667388</c:v>
                </c:pt>
                <c:pt idx="104">
                  <c:v>21.839921832977403</c:v>
                </c:pt>
                <c:pt idx="105">
                  <c:v>22.087128657116594</c:v>
                </c:pt>
                <c:pt idx="106">
                  <c:v>24.801803683623444</c:v>
                </c:pt>
                <c:pt idx="107">
                  <c:v>30.672915810072816</c:v>
                </c:pt>
                <c:pt idx="108">
                  <c:v>25.7042230061585</c:v>
                </c:pt>
                <c:pt idx="109">
                  <c:v>29.65786012057319</c:v>
                </c:pt>
                <c:pt idx="110">
                  <c:v>21.472005045722753</c:v>
                </c:pt>
                <c:pt idx="111">
                  <c:v>25.176203691212496</c:v>
                </c:pt>
                <c:pt idx="112">
                  <c:v>15.902276813492877</c:v>
                </c:pt>
                <c:pt idx="113">
                  <c:v>13.962602417300108</c:v>
                </c:pt>
                <c:pt idx="114">
                  <c:v>13.809184160572839</c:v>
                </c:pt>
                <c:pt idx="115">
                  <c:v>15.342083005052178</c:v>
                </c:pt>
                <c:pt idx="116">
                  <c:v>14.608242701931161</c:v>
                </c:pt>
                <c:pt idx="117">
                  <c:v>11.892624308056901</c:v>
                </c:pt>
                <c:pt idx="118">
                  <c:v>12.076608653738873</c:v>
                </c:pt>
                <c:pt idx="119">
                  <c:v>9.9979394846599305</c:v>
                </c:pt>
                <c:pt idx="120">
                  <c:v>8.9686900355836681</c:v>
                </c:pt>
                <c:pt idx="121">
                  <c:v>10.783268513647963</c:v>
                </c:pt>
                <c:pt idx="122">
                  <c:v>14.720227726807471</c:v>
                </c:pt>
                <c:pt idx="123">
                  <c:v>19.955553967538872</c:v>
                </c:pt>
                <c:pt idx="124">
                  <c:v>12.853388146606521</c:v>
                </c:pt>
                <c:pt idx="125">
                  <c:v>14.309857616610309</c:v>
                </c:pt>
                <c:pt idx="126">
                  <c:v>10.374168750367218</c:v>
                </c:pt>
                <c:pt idx="127">
                  <c:v>3.9071949070970331</c:v>
                </c:pt>
                <c:pt idx="128">
                  <c:v>-0.35244384491174219</c:v>
                </c:pt>
                <c:pt idx="129">
                  <c:v>5.3707046303147354</c:v>
                </c:pt>
                <c:pt idx="130">
                  <c:v>7.4917362523211013</c:v>
                </c:pt>
                <c:pt idx="131">
                  <c:v>8.8561812050622617</c:v>
                </c:pt>
                <c:pt idx="132">
                  <c:v>7.9266719984796739</c:v>
                </c:pt>
                <c:pt idx="133">
                  <c:v>9.5787185807245709</c:v>
                </c:pt>
                <c:pt idx="134">
                  <c:v>11.21130344449754</c:v>
                </c:pt>
                <c:pt idx="135">
                  <c:v>12.090568379015014</c:v>
                </c:pt>
                <c:pt idx="136">
                  <c:v>14.399465332402542</c:v>
                </c:pt>
                <c:pt idx="137">
                  <c:v>19.603859003987083</c:v>
                </c:pt>
                <c:pt idx="138">
                  <c:v>13.606561624262422</c:v>
                </c:pt>
                <c:pt idx="139">
                  <c:v>16.718395085724698</c:v>
                </c:pt>
                <c:pt idx="140">
                  <c:v>21.998260654019905</c:v>
                </c:pt>
                <c:pt idx="141">
                  <c:v>10.837784502955117</c:v>
                </c:pt>
                <c:pt idx="142">
                  <c:v>6.8227938196915225</c:v>
                </c:pt>
                <c:pt idx="143">
                  <c:v>10.483563365588624</c:v>
                </c:pt>
                <c:pt idx="144">
                  <c:v>9.9353393958762588</c:v>
                </c:pt>
                <c:pt idx="145">
                  <c:v>8.2130842118435989</c:v>
                </c:pt>
                <c:pt idx="146">
                  <c:v>8.6775037065686487</c:v>
                </c:pt>
                <c:pt idx="147">
                  <c:v>8.5320754682850684</c:v>
                </c:pt>
                <c:pt idx="148">
                  <c:v>10.246641337972752</c:v>
                </c:pt>
                <c:pt idx="149">
                  <c:v>9.0973632344619944</c:v>
                </c:pt>
                <c:pt idx="150">
                  <c:v>14.958821009916131</c:v>
                </c:pt>
                <c:pt idx="151">
                  <c:v>14.036916724195779</c:v>
                </c:pt>
                <c:pt idx="152">
                  <c:v>13.48245128919578</c:v>
                </c:pt>
                <c:pt idx="153">
                  <c:v>14.148663152474072</c:v>
                </c:pt>
                <c:pt idx="154">
                  <c:v>12.650983822870673</c:v>
                </c:pt>
                <c:pt idx="155">
                  <c:v>13.768066530026594</c:v>
                </c:pt>
                <c:pt idx="156">
                  <c:v>13.36432928972112</c:v>
                </c:pt>
                <c:pt idx="157">
                  <c:v>14.97189567250591</c:v>
                </c:pt>
                <c:pt idx="158">
                  <c:v>16.107677227208168</c:v>
                </c:pt>
                <c:pt idx="159">
                  <c:v>15.835141884128168</c:v>
                </c:pt>
                <c:pt idx="160">
                  <c:v>15.6054105166728</c:v>
                </c:pt>
                <c:pt idx="161">
                  <c:v>14.390342328216834</c:v>
                </c:pt>
                <c:pt idx="162">
                  <c:v>13.350034299776681</c:v>
                </c:pt>
                <c:pt idx="163">
                  <c:v>12.920966947835197</c:v>
                </c:pt>
                <c:pt idx="164">
                  <c:v>14.882176892771341</c:v>
                </c:pt>
                <c:pt idx="165">
                  <c:v>18.436129660139112</c:v>
                </c:pt>
                <c:pt idx="166">
                  <c:v>16.661922332356387</c:v>
                </c:pt>
                <c:pt idx="167">
                  <c:v>16.869192782052426</c:v>
                </c:pt>
                <c:pt idx="168">
                  <c:v>15.693480378010754</c:v>
                </c:pt>
                <c:pt idx="169">
                  <c:v>16.412041936602623</c:v>
                </c:pt>
                <c:pt idx="170">
                  <c:v>15.764830896139658</c:v>
                </c:pt>
                <c:pt idx="171">
                  <c:v>16.825111774707899</c:v>
                </c:pt>
                <c:pt idx="172">
                  <c:v>13.900804627166439</c:v>
                </c:pt>
                <c:pt idx="173">
                  <c:v>15.379761551163352</c:v>
                </c:pt>
                <c:pt idx="174">
                  <c:v>14.334317946291652</c:v>
                </c:pt>
                <c:pt idx="175">
                  <c:v>13.541316859778046</c:v>
                </c:pt>
                <c:pt idx="176">
                  <c:v>12.776003294265102</c:v>
                </c:pt>
                <c:pt idx="177">
                  <c:v>12.036633399265101</c:v>
                </c:pt>
                <c:pt idx="178">
                  <c:v>12.541268636244721</c:v>
                </c:pt>
                <c:pt idx="179">
                  <c:v>12.326716921909959</c:v>
                </c:pt>
                <c:pt idx="180">
                  <c:v>13.475738207847307</c:v>
                </c:pt>
                <c:pt idx="181">
                  <c:v>12.896891357103121</c:v>
                </c:pt>
                <c:pt idx="182">
                  <c:v>11.91908902096133</c:v>
                </c:pt>
                <c:pt idx="183">
                  <c:v>11.47905502282868</c:v>
                </c:pt>
                <c:pt idx="184">
                  <c:v>11.90590101278195</c:v>
                </c:pt>
                <c:pt idx="185">
                  <c:v>11.242230946039594</c:v>
                </c:pt>
                <c:pt idx="186">
                  <c:v>13.571500153282534</c:v>
                </c:pt>
                <c:pt idx="187">
                  <c:v>13.053918407758287</c:v>
                </c:pt>
                <c:pt idx="188">
                  <c:v>12.679886590581443</c:v>
                </c:pt>
                <c:pt idx="189">
                  <c:v>11.427849965581443</c:v>
                </c:pt>
                <c:pt idx="190">
                  <c:v>11.714388483274879</c:v>
                </c:pt>
                <c:pt idx="191">
                  <c:v>10.542033099618163</c:v>
                </c:pt>
                <c:pt idx="192">
                  <c:v>10.564649113769397</c:v>
                </c:pt>
                <c:pt idx="193">
                  <c:v>11.491728140040712</c:v>
                </c:pt>
                <c:pt idx="194">
                  <c:v>12.154216707506118</c:v>
                </c:pt>
                <c:pt idx="195">
                  <c:v>12.675198356831489</c:v>
                </c:pt>
                <c:pt idx="196">
                  <c:v>14.255356098735161</c:v>
                </c:pt>
                <c:pt idx="197">
                  <c:v>15.302200133755507</c:v>
                </c:pt>
                <c:pt idx="198">
                  <c:v>14.94110661455419</c:v>
                </c:pt>
                <c:pt idx="199">
                  <c:v>14.529067517208736</c:v>
                </c:pt>
                <c:pt idx="200">
                  <c:v>15.105256158576475</c:v>
                </c:pt>
                <c:pt idx="201">
                  <c:v>15.179990655777436</c:v>
                </c:pt>
                <c:pt idx="202">
                  <c:v>16.263495371196854</c:v>
                </c:pt>
                <c:pt idx="203">
                  <c:v>12.694538481450051</c:v>
                </c:pt>
                <c:pt idx="204">
                  <c:v>14.690824043781211</c:v>
                </c:pt>
                <c:pt idx="205">
                  <c:v>13.376695417173357</c:v>
                </c:pt>
                <c:pt idx="206">
                  <c:v>11.173241250638144</c:v>
                </c:pt>
                <c:pt idx="207">
                  <c:v>11.774730923491475</c:v>
                </c:pt>
                <c:pt idx="208">
                  <c:v>11.47349903314392</c:v>
                </c:pt>
                <c:pt idx="209">
                  <c:v>11.478031558601751</c:v>
                </c:pt>
                <c:pt idx="210">
                  <c:v>11.351149614461125</c:v>
                </c:pt>
                <c:pt idx="211">
                  <c:v>11.667988814130464</c:v>
                </c:pt>
                <c:pt idx="212">
                  <c:v>9.9650137193551789</c:v>
                </c:pt>
                <c:pt idx="213">
                  <c:v>11.259113570313035</c:v>
                </c:pt>
                <c:pt idx="214">
                  <c:v>11.933313951050618</c:v>
                </c:pt>
                <c:pt idx="215">
                  <c:v>8.1734041686544678</c:v>
                </c:pt>
                <c:pt idx="216">
                  <c:v>6.3981784781601956</c:v>
                </c:pt>
                <c:pt idx="217">
                  <c:v>7.6157301206268651</c:v>
                </c:pt>
                <c:pt idx="218">
                  <c:v>6.890262842126865</c:v>
                </c:pt>
                <c:pt idx="219">
                  <c:v>5.8947421471173813</c:v>
                </c:pt>
                <c:pt idx="220">
                  <c:v>7.4873861730803419</c:v>
                </c:pt>
                <c:pt idx="221">
                  <c:v>10.012403181385388</c:v>
                </c:pt>
                <c:pt idx="222">
                  <c:v>9.0259927871086028</c:v>
                </c:pt>
                <c:pt idx="223">
                  <c:v>9.9663765785776537</c:v>
                </c:pt>
                <c:pt idx="224">
                  <c:v>10.644497866931077</c:v>
                </c:pt>
                <c:pt idx="225">
                  <c:v>10.723578312490012</c:v>
                </c:pt>
                <c:pt idx="226">
                  <c:v>11.081012596832867</c:v>
                </c:pt>
                <c:pt idx="227">
                  <c:v>11.518920304632866</c:v>
                </c:pt>
                <c:pt idx="228">
                  <c:v>11.563695335998892</c:v>
                </c:pt>
                <c:pt idx="229">
                  <c:v>11.230300024381114</c:v>
                </c:pt>
                <c:pt idx="230">
                  <c:v>10.573693415763612</c:v>
                </c:pt>
                <c:pt idx="231">
                  <c:v>11.37414621806737</c:v>
                </c:pt>
                <c:pt idx="232">
                  <c:v>12.439391970203445</c:v>
                </c:pt>
                <c:pt idx="233">
                  <c:v>10.139895644251956</c:v>
                </c:pt>
                <c:pt idx="234">
                  <c:v>9.0470421820993021</c:v>
                </c:pt>
                <c:pt idx="235">
                  <c:v>11.21951721578912</c:v>
                </c:pt>
                <c:pt idx="236">
                  <c:v>10.610188419701313</c:v>
                </c:pt>
                <c:pt idx="237">
                  <c:v>12.336851572973583</c:v>
                </c:pt>
                <c:pt idx="238">
                  <c:v>13.409492794707473</c:v>
                </c:pt>
                <c:pt idx="239">
                  <c:v>12.241474084835186</c:v>
                </c:pt>
                <c:pt idx="240">
                  <c:v>11.344345230428701</c:v>
                </c:pt>
                <c:pt idx="241">
                  <c:v>13.369027264813317</c:v>
                </c:pt>
                <c:pt idx="242">
                  <c:v>10.172199819063763</c:v>
                </c:pt>
                <c:pt idx="243">
                  <c:v>8.900037172476301</c:v>
                </c:pt>
                <c:pt idx="244">
                  <c:v>10.416123530835518</c:v>
                </c:pt>
                <c:pt idx="245">
                  <c:v>14.05468277619411</c:v>
                </c:pt>
                <c:pt idx="246">
                  <c:v>15.777826751886151</c:v>
                </c:pt>
                <c:pt idx="247">
                  <c:v>14.406417894906994</c:v>
                </c:pt>
                <c:pt idx="248">
                  <c:v>15.598612603710604</c:v>
                </c:pt>
                <c:pt idx="249">
                  <c:v>10.745066651046507</c:v>
                </c:pt>
                <c:pt idx="250">
                  <c:v>8.6687163694869334</c:v>
                </c:pt>
                <c:pt idx="251">
                  <c:v>13.251976713972864</c:v>
                </c:pt>
                <c:pt idx="252">
                  <c:v>14.024909889176444</c:v>
                </c:pt>
                <c:pt idx="253">
                  <c:v>11.925010448958227</c:v>
                </c:pt>
                <c:pt idx="254">
                  <c:v>18.669808567641912</c:v>
                </c:pt>
                <c:pt idx="255">
                  <c:v>9.0541983164637383</c:v>
                </c:pt>
                <c:pt idx="256">
                  <c:v>18.7546069599078</c:v>
                </c:pt>
                <c:pt idx="257">
                  <c:v>36.591080126658866</c:v>
                </c:pt>
                <c:pt idx="258">
                  <c:v>29.076935756738568</c:v>
                </c:pt>
                <c:pt idx="259">
                  <c:v>29.296803425720789</c:v>
                </c:pt>
                <c:pt idx="260">
                  <c:v>28.125468420387069</c:v>
                </c:pt>
                <c:pt idx="261">
                  <c:v>32.10261009575143</c:v>
                </c:pt>
                <c:pt idx="262">
                  <c:v>31.092733087614668</c:v>
                </c:pt>
                <c:pt idx="263">
                  <c:v>35.268632745051057</c:v>
                </c:pt>
                <c:pt idx="264">
                  <c:v>32.853275116312219</c:v>
                </c:pt>
                <c:pt idx="265">
                  <c:v>33.891971362362341</c:v>
                </c:pt>
                <c:pt idx="266">
                  <c:v>35.142482372963272</c:v>
                </c:pt>
                <c:pt idx="267">
                  <c:v>35.201995358294269</c:v>
                </c:pt>
                <c:pt idx="268">
                  <c:v>34.409476173051999</c:v>
                </c:pt>
                <c:pt idx="269">
                  <c:v>37.620413506085306</c:v>
                </c:pt>
                <c:pt idx="270">
                  <c:v>39.133081847613091</c:v>
                </c:pt>
                <c:pt idx="271">
                  <c:v>39.512438092768974</c:v>
                </c:pt>
                <c:pt idx="272">
                  <c:v>40.691681415868381</c:v>
                </c:pt>
                <c:pt idx="273">
                  <c:v>36.627279933504852</c:v>
                </c:pt>
                <c:pt idx="274">
                  <c:v>38.156861793361927</c:v>
                </c:pt>
                <c:pt idx="275">
                  <c:v>40.855717143543913</c:v>
                </c:pt>
                <c:pt idx="276">
                  <c:v>40.837228976616657</c:v>
                </c:pt>
                <c:pt idx="277">
                  <c:v>32.809722958542601</c:v>
                </c:pt>
                <c:pt idx="278">
                  <c:v>33.024243234624066</c:v>
                </c:pt>
                <c:pt idx="279">
                  <c:v>34.795840590740859</c:v>
                </c:pt>
                <c:pt idx="280">
                  <c:v>26.833124089689473</c:v>
                </c:pt>
                <c:pt idx="281">
                  <c:v>30.224842004342737</c:v>
                </c:pt>
                <c:pt idx="282">
                  <c:v>33.335021904333864</c:v>
                </c:pt>
                <c:pt idx="283">
                  <c:v>30.315214230157995</c:v>
                </c:pt>
                <c:pt idx="284">
                  <c:v>34.881010885606912</c:v>
                </c:pt>
                <c:pt idx="285">
                  <c:v>32.75923636242964</c:v>
                </c:pt>
                <c:pt idx="286">
                  <c:v>37.173138153826827</c:v>
                </c:pt>
                <c:pt idx="287">
                  <c:v>40.577372900705875</c:v>
                </c:pt>
                <c:pt idx="288">
                  <c:v>41.068112003787</c:v>
                </c:pt>
                <c:pt idx="289">
                  <c:v>38.445409842186557</c:v>
                </c:pt>
                <c:pt idx="290">
                  <c:v>44.038173136292748</c:v>
                </c:pt>
                <c:pt idx="291">
                  <c:v>38.632083317233487</c:v>
                </c:pt>
                <c:pt idx="292">
                  <c:v>42.383912588789698</c:v>
                </c:pt>
                <c:pt idx="293">
                  <c:v>44.543921498179429</c:v>
                </c:pt>
                <c:pt idx="294">
                  <c:v>47.123958383655982</c:v>
                </c:pt>
                <c:pt idx="295">
                  <c:v>50.066336494405775</c:v>
                </c:pt>
                <c:pt idx="296">
                  <c:v>43.418529625496596</c:v>
                </c:pt>
                <c:pt idx="297">
                  <c:v>44.346656622761394</c:v>
                </c:pt>
                <c:pt idx="298">
                  <c:v>48.335905111799853</c:v>
                </c:pt>
                <c:pt idx="299">
                  <c:v>48.790851747769565</c:v>
                </c:pt>
                <c:pt idx="300">
                  <c:v>54.016723792662219</c:v>
                </c:pt>
                <c:pt idx="301">
                  <c:v>56.377068803924644</c:v>
                </c:pt>
                <c:pt idx="302">
                  <c:v>60.278796795531569</c:v>
                </c:pt>
                <c:pt idx="303">
                  <c:v>62.563763239474774</c:v>
                </c:pt>
                <c:pt idx="304">
                  <c:v>65.936571720684242</c:v>
                </c:pt>
                <c:pt idx="305">
                  <c:v>73.493406884809843</c:v>
                </c:pt>
                <c:pt idx="306">
                  <c:v>65.059539372630937</c:v>
                </c:pt>
                <c:pt idx="307">
                  <c:v>71.088355968981062</c:v>
                </c:pt>
                <c:pt idx="308">
                  <c:v>74.694331273274969</c:v>
                </c:pt>
                <c:pt idx="309">
                  <c:v>79.276467462318607</c:v>
                </c:pt>
                <c:pt idx="310">
                  <c:v>72.206533385677716</c:v>
                </c:pt>
                <c:pt idx="311">
                  <c:v>75.890139861021069</c:v>
                </c:pt>
                <c:pt idx="312">
                  <c:v>93.192270957523348</c:v>
                </c:pt>
                <c:pt idx="313">
                  <c:v>63.547800672119671</c:v>
                </c:pt>
                <c:pt idx="314">
                  <c:v>67.191148113949524</c:v>
                </c:pt>
                <c:pt idx="315">
                  <c:v>55.111522095553383</c:v>
                </c:pt>
                <c:pt idx="316">
                  <c:v>48.962258052570135</c:v>
                </c:pt>
                <c:pt idx="317">
                  <c:v>47.959075431825944</c:v>
                </c:pt>
                <c:pt idx="318">
                  <c:v>53.612522201752093</c:v>
                </c:pt>
                <c:pt idx="319">
                  <c:v>68.969804755288422</c:v>
                </c:pt>
                <c:pt idx="320">
                  <c:v>54.169364293418795</c:v>
                </c:pt>
                <c:pt idx="321">
                  <c:v>71.911090514335839</c:v>
                </c:pt>
                <c:pt idx="322">
                  <c:v>58.318533107555766</c:v>
                </c:pt>
                <c:pt idx="323">
                  <c:v>54.815590279153881</c:v>
                </c:pt>
                <c:pt idx="324">
                  <c:v>59.404982704775271</c:v>
                </c:pt>
                <c:pt idx="325">
                  <c:v>54.638151356628278</c:v>
                </c:pt>
                <c:pt idx="326">
                  <c:v>55.075593430449977</c:v>
                </c:pt>
                <c:pt idx="327">
                  <c:v>55.475041517246986</c:v>
                </c:pt>
                <c:pt idx="328">
                  <c:v>60.793938713407975</c:v>
                </c:pt>
                <c:pt idx="329">
                  <c:v>54.952100556977967</c:v>
                </c:pt>
                <c:pt idx="330">
                  <c:v>52.337748261654198</c:v>
                </c:pt>
                <c:pt idx="331">
                  <c:v>52.315585604236979</c:v>
                </c:pt>
                <c:pt idx="332">
                  <c:v>53.461141962852039</c:v>
                </c:pt>
                <c:pt idx="333">
                  <c:v>50.541048040574353</c:v>
                </c:pt>
                <c:pt idx="334">
                  <c:v>49.751962153641159</c:v>
                </c:pt>
                <c:pt idx="335">
                  <c:v>51.795613649606224</c:v>
                </c:pt>
                <c:pt idx="336">
                  <c:v>46.148283698946095</c:v>
                </c:pt>
                <c:pt idx="337">
                  <c:v>48.218485521529203</c:v>
                </c:pt>
                <c:pt idx="338">
                  <c:v>46.715845803555425</c:v>
                </c:pt>
                <c:pt idx="339">
                  <c:v>48.34734614963542</c:v>
                </c:pt>
                <c:pt idx="340">
                  <c:v>48.049213582609198</c:v>
                </c:pt>
                <c:pt idx="341">
                  <c:v>50.198335082609198</c:v>
                </c:pt>
                <c:pt idx="342">
                  <c:v>53.347982229123488</c:v>
                </c:pt>
                <c:pt idx="343">
                  <c:v>49.009306334795752</c:v>
                </c:pt>
                <c:pt idx="344">
                  <c:v>48.213482710203166</c:v>
                </c:pt>
                <c:pt idx="345">
                  <c:v>49.811567738002346</c:v>
                </c:pt>
                <c:pt idx="346">
                  <c:v>52.581001744965761</c:v>
                </c:pt>
                <c:pt idx="347">
                  <c:v>54.130329441552533</c:v>
                </c:pt>
                <c:pt idx="348">
                  <c:v>47.666927887237257</c:v>
                </c:pt>
                <c:pt idx="349">
                  <c:v>39.540286587758864</c:v>
                </c:pt>
                <c:pt idx="350">
                  <c:v>35.802867962688154</c:v>
                </c:pt>
                <c:pt idx="351">
                  <c:v>38.313368186721299</c:v>
                </c:pt>
                <c:pt idx="352">
                  <c:v>39.90613151336364</c:v>
                </c:pt>
                <c:pt idx="353">
                  <c:v>27.019177740624723</c:v>
                </c:pt>
                <c:pt idx="354">
                  <c:v>20.64682640321616</c:v>
                </c:pt>
                <c:pt idx="355">
                  <c:v>21.125829869787591</c:v>
                </c:pt>
                <c:pt idx="356">
                  <c:v>22.49162061938436</c:v>
                </c:pt>
                <c:pt idx="357">
                  <c:v>20.792566769865843</c:v>
                </c:pt>
                <c:pt idx="358">
                  <c:v>25.707974966115842</c:v>
                </c:pt>
                <c:pt idx="359">
                  <c:v>22.697194540204844</c:v>
                </c:pt>
                <c:pt idx="360">
                  <c:v>20.042405511718872</c:v>
                </c:pt>
                <c:pt idx="361">
                  <c:v>20.188411007597665</c:v>
                </c:pt>
                <c:pt idx="362">
                  <c:v>20.399463429438789</c:v>
                </c:pt>
                <c:pt idx="363">
                  <c:v>19.366534178838787</c:v>
                </c:pt>
                <c:pt idx="364">
                  <c:v>22.229618865618328</c:v>
                </c:pt>
                <c:pt idx="365">
                  <c:v>23.779235660485917</c:v>
                </c:pt>
                <c:pt idx="366">
                  <c:v>22.189059555064865</c:v>
                </c:pt>
                <c:pt idx="367">
                  <c:v>20.09476434747663</c:v>
                </c:pt>
                <c:pt idx="368">
                  <c:v>22.350762876057281</c:v>
                </c:pt>
                <c:pt idx="369">
                  <c:v>24.401695028939631</c:v>
                </c:pt>
                <c:pt idx="370">
                  <c:v>22.238113851606293</c:v>
                </c:pt>
                <c:pt idx="371">
                  <c:v>19.857344113780208</c:v>
                </c:pt>
                <c:pt idx="372">
                  <c:v>22.555532989740207</c:v>
                </c:pt>
                <c:pt idx="373">
                  <c:v>20.06270087444609</c:v>
                </c:pt>
                <c:pt idx="374">
                  <c:v>22.459604224446089</c:v>
                </c:pt>
                <c:pt idx="375">
                  <c:v>18.983657238884298</c:v>
                </c:pt>
                <c:pt idx="376">
                  <c:v>18.053001729936931</c:v>
                </c:pt>
                <c:pt idx="377">
                  <c:v>20.538486724829237</c:v>
                </c:pt>
                <c:pt idx="378">
                  <c:v>19.360522349243034</c:v>
                </c:pt>
                <c:pt idx="379">
                  <c:v>18.0142747867664</c:v>
                </c:pt>
                <c:pt idx="380">
                  <c:v>16.275645164532357</c:v>
                </c:pt>
                <c:pt idx="381">
                  <c:v>17.929127760566836</c:v>
                </c:pt>
                <c:pt idx="382">
                  <c:v>16.261155290769214</c:v>
                </c:pt>
                <c:pt idx="383">
                  <c:v>17.131609589886004</c:v>
                </c:pt>
                <c:pt idx="384">
                  <c:v>18.117504160979131</c:v>
                </c:pt>
                <c:pt idx="385">
                  <c:v>13.164199786402209</c:v>
                </c:pt>
                <c:pt idx="386">
                  <c:v>8.0621385263281304</c:v>
                </c:pt>
                <c:pt idx="387">
                  <c:v>3.2565490679751865</c:v>
                </c:pt>
                <c:pt idx="388">
                  <c:v>5.9652866334007211</c:v>
                </c:pt>
                <c:pt idx="389">
                  <c:v>8.4264270968752957</c:v>
                </c:pt>
                <c:pt idx="390">
                  <c:v>1.246314165975301</c:v>
                </c:pt>
                <c:pt idx="391">
                  <c:v>3.0353783109752941</c:v>
                </c:pt>
                <c:pt idx="392">
                  <c:v>5.1398339503086268</c:v>
                </c:pt>
                <c:pt idx="393">
                  <c:v>3.2426062625844914</c:v>
                </c:pt>
                <c:pt idx="394">
                  <c:v>5.5990715168868102</c:v>
                </c:pt>
                <c:pt idx="395">
                  <c:v>6.2495271422868077</c:v>
                </c:pt>
                <c:pt idx="396">
                  <c:v>7.9558910154044655</c:v>
                </c:pt>
                <c:pt idx="397">
                  <c:v>7.5385904576593639</c:v>
                </c:pt>
                <c:pt idx="398">
                  <c:v>7.1415841863652458</c:v>
                </c:pt>
                <c:pt idx="399">
                  <c:v>6.9194771924828924</c:v>
                </c:pt>
                <c:pt idx="400">
                  <c:v>5.2207281343010745</c:v>
                </c:pt>
                <c:pt idx="401">
                  <c:v>7.3586909314897557</c:v>
                </c:pt>
                <c:pt idx="402">
                  <c:v>6.7434509286248909</c:v>
                </c:pt>
                <c:pt idx="403">
                  <c:v>6.841792433334569</c:v>
                </c:pt>
                <c:pt idx="404">
                  <c:v>7.1327812347735886</c:v>
                </c:pt>
                <c:pt idx="405">
                  <c:v>8.6314198065335734</c:v>
                </c:pt>
                <c:pt idx="406">
                  <c:v>7.658103347830882</c:v>
                </c:pt>
                <c:pt idx="407">
                  <c:v>12.621185659518378</c:v>
                </c:pt>
                <c:pt idx="408">
                  <c:v>10.068417997018368</c:v>
                </c:pt>
                <c:pt idx="409">
                  <c:v>8.7873287040183641</c:v>
                </c:pt>
                <c:pt idx="410">
                  <c:v>8.6451036492288846</c:v>
                </c:pt>
                <c:pt idx="411">
                  <c:v>7.551327601228885</c:v>
                </c:pt>
                <c:pt idx="412">
                  <c:v>4.5197348501888897</c:v>
                </c:pt>
                <c:pt idx="413">
                  <c:v>6.3459380195114701</c:v>
                </c:pt>
                <c:pt idx="414">
                  <c:v>7.6841505203114719</c:v>
                </c:pt>
                <c:pt idx="415">
                  <c:v>5.3128744461045816</c:v>
                </c:pt>
                <c:pt idx="416">
                  <c:v>6.7671278976339924</c:v>
                </c:pt>
                <c:pt idx="417">
                  <c:v>5.2977438235874814</c:v>
                </c:pt>
                <c:pt idx="418">
                  <c:v>5.6343592882396543</c:v>
                </c:pt>
                <c:pt idx="419">
                  <c:v>5.021878612367864</c:v>
                </c:pt>
                <c:pt idx="420">
                  <c:v>6.1930050424548133</c:v>
                </c:pt>
                <c:pt idx="421">
                  <c:v>6.9739252723495673</c:v>
                </c:pt>
                <c:pt idx="422">
                  <c:v>6.2849017333495603</c:v>
                </c:pt>
                <c:pt idx="423">
                  <c:v>7.8342948256599101</c:v>
                </c:pt>
                <c:pt idx="424">
                  <c:v>6.2241455494599034</c:v>
                </c:pt>
                <c:pt idx="425">
                  <c:v>7.1833541463487913</c:v>
                </c:pt>
                <c:pt idx="426">
                  <c:v>5.5946090666429154</c:v>
                </c:pt>
                <c:pt idx="427">
                  <c:v>6.3822008885659924</c:v>
                </c:pt>
                <c:pt idx="428">
                  <c:v>9.0060705465719781</c:v>
                </c:pt>
                <c:pt idx="429">
                  <c:v>11.410530497273729</c:v>
                </c:pt>
                <c:pt idx="430">
                  <c:v>9.9272418863181748</c:v>
                </c:pt>
                <c:pt idx="431">
                  <c:v>10.613040676074275</c:v>
                </c:pt>
                <c:pt idx="432">
                  <c:v>12.535932770555286</c:v>
                </c:pt>
                <c:pt idx="433">
                  <c:v>9.2717976341916408</c:v>
                </c:pt>
                <c:pt idx="434">
                  <c:v>7.5656382820294779</c:v>
                </c:pt>
                <c:pt idx="435">
                  <c:v>8.3624070509319193</c:v>
                </c:pt>
                <c:pt idx="436">
                  <c:v>8.2254299143128708</c:v>
                </c:pt>
                <c:pt idx="437">
                  <c:v>8.6373338496462075</c:v>
                </c:pt>
                <c:pt idx="438">
                  <c:v>8.0569936352932654</c:v>
                </c:pt>
                <c:pt idx="439">
                  <c:v>8.7955564336090486</c:v>
                </c:pt>
                <c:pt idx="440">
                  <c:v>9.9550411867519077</c:v>
                </c:pt>
                <c:pt idx="441">
                  <c:v>9.4272147218719073</c:v>
                </c:pt>
                <c:pt idx="442">
                  <c:v>9.190995419094131</c:v>
                </c:pt>
                <c:pt idx="443">
                  <c:v>9.845191913494137</c:v>
                </c:pt>
                <c:pt idx="444">
                  <c:v>9.0713188249486851</c:v>
                </c:pt>
                <c:pt idx="445">
                  <c:v>7.8612576154820184</c:v>
                </c:pt>
                <c:pt idx="446">
                  <c:v>7.1693158903192264</c:v>
                </c:pt>
                <c:pt idx="447">
                  <c:v>7.6191098848419552</c:v>
                </c:pt>
                <c:pt idx="448">
                  <c:v>5.23228817364196</c:v>
                </c:pt>
                <c:pt idx="449">
                  <c:v>5.23228817364196</c:v>
                </c:pt>
                <c:pt idx="450">
                  <c:v>5.0901112453987158</c:v>
                </c:pt>
                <c:pt idx="451">
                  <c:v>5.6045567398851999</c:v>
                </c:pt>
                <c:pt idx="452">
                  <c:v>7.5027964634930395</c:v>
                </c:pt>
                <c:pt idx="453">
                  <c:v>8.4486678854394661</c:v>
                </c:pt>
                <c:pt idx="454">
                  <c:v>7.9877932181151428</c:v>
                </c:pt>
                <c:pt idx="455">
                  <c:v>7.3612006000199042</c:v>
                </c:pt>
                <c:pt idx="456">
                  <c:v>7.4954954849146391</c:v>
                </c:pt>
                <c:pt idx="457">
                  <c:v>7.8684324625813105</c:v>
                </c:pt>
                <c:pt idx="458">
                  <c:v>9.093715387581307</c:v>
                </c:pt>
                <c:pt idx="459">
                  <c:v>8.8802380307813049</c:v>
                </c:pt>
                <c:pt idx="460">
                  <c:v>8.7689926508813034</c:v>
                </c:pt>
                <c:pt idx="461">
                  <c:v>9.3699727984813066</c:v>
                </c:pt>
                <c:pt idx="462">
                  <c:v>8.6256985084813138</c:v>
                </c:pt>
                <c:pt idx="463">
                  <c:v>9.8687023164098875</c:v>
                </c:pt>
                <c:pt idx="464">
                  <c:v>11.206064682150629</c:v>
                </c:pt>
                <c:pt idx="465">
                  <c:v>12.644153593598904</c:v>
                </c:pt>
                <c:pt idx="466">
                  <c:v>12.874136980487789</c:v>
                </c:pt>
                <c:pt idx="467">
                  <c:v>12.165315721487787</c:v>
                </c:pt>
                <c:pt idx="468">
                  <c:v>11.549521292792134</c:v>
                </c:pt>
                <c:pt idx="469">
                  <c:v>12.406427890606087</c:v>
                </c:pt>
                <c:pt idx="470">
                  <c:v>12.975184187780002</c:v>
                </c:pt>
                <c:pt idx="471">
                  <c:v>13.369900049780002</c:v>
                </c:pt>
                <c:pt idx="472">
                  <c:v>13.281060412665719</c:v>
                </c:pt>
                <c:pt idx="473">
                  <c:v>14.236248095742644</c:v>
                </c:pt>
                <c:pt idx="474">
                  <c:v>14.236248095742644</c:v>
                </c:pt>
                <c:pt idx="475">
                  <c:v>15.447757166520423</c:v>
                </c:pt>
                <c:pt idx="476">
                  <c:v>15.362976528556787</c:v>
                </c:pt>
                <c:pt idx="477">
                  <c:v>14.037189707723453</c:v>
                </c:pt>
                <c:pt idx="478">
                  <c:v>13.058864762758535</c:v>
                </c:pt>
                <c:pt idx="479">
                  <c:v>15.093660829591869</c:v>
                </c:pt>
                <c:pt idx="480">
                  <c:v>14.941213245709513</c:v>
                </c:pt>
                <c:pt idx="481">
                  <c:v>14.692922798709514</c:v>
                </c:pt>
                <c:pt idx="482">
                  <c:v>15.796874307894699</c:v>
                </c:pt>
                <c:pt idx="483">
                  <c:v>14.685547120691801</c:v>
                </c:pt>
                <c:pt idx="484">
                  <c:v>15.636369821427655</c:v>
                </c:pt>
                <c:pt idx="485">
                  <c:v>13.431224890145602</c:v>
                </c:pt>
                <c:pt idx="486">
                  <c:v>13.243161995645597</c:v>
                </c:pt>
                <c:pt idx="487">
                  <c:v>15.122735006756713</c:v>
                </c:pt>
                <c:pt idx="488">
                  <c:v>15.935153392756707</c:v>
                </c:pt>
                <c:pt idx="489">
                  <c:v>15.796215295413852</c:v>
                </c:pt>
                <c:pt idx="490">
                  <c:v>14.552048937141128</c:v>
                </c:pt>
                <c:pt idx="491">
                  <c:v>12.075466194382503</c:v>
                </c:pt>
                <c:pt idx="492">
                  <c:v>14.056517715745334</c:v>
                </c:pt>
                <c:pt idx="493">
                  <c:v>11.093034934366029</c:v>
                </c:pt>
                <c:pt idx="494">
                  <c:v>11.492081081922549</c:v>
                </c:pt>
                <c:pt idx="495">
                  <c:v>12.585814080890293</c:v>
                </c:pt>
                <c:pt idx="496">
                  <c:v>13.056375452079486</c:v>
                </c:pt>
                <c:pt idx="497">
                  <c:v>12.171015814679487</c:v>
                </c:pt>
                <c:pt idx="498">
                  <c:v>13.346573693472594</c:v>
                </c:pt>
                <c:pt idx="499">
                  <c:v>15.37027954470336</c:v>
                </c:pt>
                <c:pt idx="500">
                  <c:v>17.386955499461976</c:v>
                </c:pt>
                <c:pt idx="501">
                  <c:v>19.111067516814916</c:v>
                </c:pt>
                <c:pt idx="502">
                  <c:v>19.619429158529201</c:v>
                </c:pt>
                <c:pt idx="503">
                  <c:v>19.781909713957781</c:v>
                </c:pt>
                <c:pt idx="504">
                  <c:v>17.650208265591925</c:v>
                </c:pt>
                <c:pt idx="505">
                  <c:v>17.80281583899772</c:v>
                </c:pt>
                <c:pt idx="506">
                  <c:v>17.700446819780332</c:v>
                </c:pt>
                <c:pt idx="507">
                  <c:v>18.808750042073019</c:v>
                </c:pt>
                <c:pt idx="508">
                  <c:v>19.029342043710944</c:v>
                </c:pt>
                <c:pt idx="509">
                  <c:v>16.805761610326332</c:v>
                </c:pt>
                <c:pt idx="510">
                  <c:v>18.199475399926335</c:v>
                </c:pt>
                <c:pt idx="511">
                  <c:v>15.347300864830446</c:v>
                </c:pt>
                <c:pt idx="512">
                  <c:v>18.810077902114493</c:v>
                </c:pt>
                <c:pt idx="513">
                  <c:v>14.551706843499584</c:v>
                </c:pt>
                <c:pt idx="514">
                  <c:v>14.508839620299577</c:v>
                </c:pt>
                <c:pt idx="515">
                  <c:v>16.440680993909336</c:v>
                </c:pt>
                <c:pt idx="516">
                  <c:v>16.371898528598987</c:v>
                </c:pt>
                <c:pt idx="517">
                  <c:v>17.704051523265655</c:v>
                </c:pt>
                <c:pt idx="518">
                  <c:v>17.612703270648009</c:v>
                </c:pt>
                <c:pt idx="519">
                  <c:v>18.685753505416223</c:v>
                </c:pt>
                <c:pt idx="520">
                  <c:v>15.037497203568122</c:v>
                </c:pt>
                <c:pt idx="521">
                  <c:v>17.211791688846468</c:v>
                </c:pt>
                <c:pt idx="522">
                  <c:v>15.112930205635458</c:v>
                </c:pt>
                <c:pt idx="523">
                  <c:v>14.262073605102128</c:v>
                </c:pt>
                <c:pt idx="524">
                  <c:v>13.233768405102126</c:v>
                </c:pt>
                <c:pt idx="525">
                  <c:v>15.19468378060728</c:v>
                </c:pt>
                <c:pt idx="526">
                  <c:v>13.055181485444489</c:v>
                </c:pt>
                <c:pt idx="527">
                  <c:v>13.543073576264717</c:v>
                </c:pt>
                <c:pt idx="528">
                  <c:v>15.134837440838909</c:v>
                </c:pt>
                <c:pt idx="529">
                  <c:v>15.063951416393525</c:v>
                </c:pt>
                <c:pt idx="530">
                  <c:v>15.317831758371302</c:v>
                </c:pt>
                <c:pt idx="531">
                  <c:v>16.283429988037959</c:v>
                </c:pt>
                <c:pt idx="532">
                  <c:v>15.16176789539281</c:v>
                </c:pt>
                <c:pt idx="533">
                  <c:v>11.714184793763177</c:v>
                </c:pt>
                <c:pt idx="534">
                  <c:v>10.827353941763173</c:v>
                </c:pt>
                <c:pt idx="535">
                  <c:v>12.990062749033635</c:v>
                </c:pt>
                <c:pt idx="536">
                  <c:v>10.079672541138899</c:v>
                </c:pt>
                <c:pt idx="537">
                  <c:v>7.7334426075025364</c:v>
                </c:pt>
                <c:pt idx="538">
                  <c:v>7.6204249699767637</c:v>
                </c:pt>
                <c:pt idx="539">
                  <c:v>6.4388936777820742</c:v>
                </c:pt>
                <c:pt idx="540">
                  <c:v>4.3136337862820735</c:v>
                </c:pt>
                <c:pt idx="541">
                  <c:v>1.6536349691392147</c:v>
                </c:pt>
                <c:pt idx="542">
                  <c:v>0.14251083245836185</c:v>
                </c:pt>
                <c:pt idx="543">
                  <c:v>1.2774717854583668</c:v>
                </c:pt>
                <c:pt idx="544">
                  <c:v>2.3458766301480205</c:v>
                </c:pt>
                <c:pt idx="545">
                  <c:v>6.2119206861327605</c:v>
                </c:pt>
                <c:pt idx="546">
                  <c:v>2.6888419612918555</c:v>
                </c:pt>
                <c:pt idx="547">
                  <c:v>2.8144755287337113</c:v>
                </c:pt>
                <c:pt idx="548">
                  <c:v>5.3302419173438764</c:v>
                </c:pt>
                <c:pt idx="549">
                  <c:v>6.9566845619789177</c:v>
                </c:pt>
                <c:pt idx="550">
                  <c:v>2.1404737909080143</c:v>
                </c:pt>
                <c:pt idx="551">
                  <c:v>1.7745649083255963</c:v>
                </c:pt>
                <c:pt idx="552">
                  <c:v>2.5308987142933299</c:v>
                </c:pt>
                <c:pt idx="553">
                  <c:v>0.73378140225884836</c:v>
                </c:pt>
                <c:pt idx="554">
                  <c:v>1.9599686255649704</c:v>
                </c:pt>
                <c:pt idx="555">
                  <c:v>4.7188945271649674</c:v>
                </c:pt>
                <c:pt idx="556">
                  <c:v>2.5434071925020425</c:v>
                </c:pt>
                <c:pt idx="557">
                  <c:v>4.5487271550181729</c:v>
                </c:pt>
                <c:pt idx="558">
                  <c:v>2.5181496950181717</c:v>
                </c:pt>
                <c:pt idx="559">
                  <c:v>1.9894691324181735</c:v>
                </c:pt>
                <c:pt idx="560">
                  <c:v>2.8291485286302995</c:v>
                </c:pt>
                <c:pt idx="561">
                  <c:v>1.9008061040747428</c:v>
                </c:pt>
                <c:pt idx="562">
                  <c:v>2.6914349398642186</c:v>
                </c:pt>
                <c:pt idx="563">
                  <c:v>2.8092182440308853</c:v>
                </c:pt>
                <c:pt idx="564">
                  <c:v>3.4634589510835179</c:v>
                </c:pt>
                <c:pt idx="565">
                  <c:v>3.9241817872263742</c:v>
                </c:pt>
                <c:pt idx="566">
                  <c:v>4.8198958621211094</c:v>
                </c:pt>
                <c:pt idx="567">
                  <c:v>4.4163096326068239</c:v>
                </c:pt>
                <c:pt idx="568">
                  <c:v>4.6692661302431864</c:v>
                </c:pt>
                <c:pt idx="569">
                  <c:v>2.1442875571876345</c:v>
                </c:pt>
                <c:pt idx="570">
                  <c:v>1.395250540702788</c:v>
                </c:pt>
                <c:pt idx="571">
                  <c:v>0.53456156220279183</c:v>
                </c:pt>
                <c:pt idx="572">
                  <c:v>0.80203773260278954</c:v>
                </c:pt>
                <c:pt idx="573">
                  <c:v>0.85151471019538427</c:v>
                </c:pt>
                <c:pt idx="574">
                  <c:v>2.2425955813677976</c:v>
                </c:pt>
                <c:pt idx="575">
                  <c:v>0.20568590050113725</c:v>
                </c:pt>
                <c:pt idx="576">
                  <c:v>-0.78393661867834774</c:v>
                </c:pt>
                <c:pt idx="577">
                  <c:v>-0.51676497937835153</c:v>
                </c:pt>
                <c:pt idx="578">
                  <c:v>3.2698925621646946E-2</c:v>
                </c:pt>
                <c:pt idx="579">
                  <c:v>-1.3651639549729475</c:v>
                </c:pt>
                <c:pt idx="580">
                  <c:v>-1.0386692465246716</c:v>
                </c:pt>
                <c:pt idx="581">
                  <c:v>-1.4413369472038272E-2</c:v>
                </c:pt>
                <c:pt idx="582">
                  <c:v>-7.2396459648506495E-2</c:v>
                </c:pt>
                <c:pt idx="583">
                  <c:v>0.90065657612927374</c:v>
                </c:pt>
                <c:pt idx="584">
                  <c:v>1.6592211571292717</c:v>
                </c:pt>
                <c:pt idx="585">
                  <c:v>0.85137110662927407</c:v>
                </c:pt>
                <c:pt idx="586">
                  <c:v>1.8523530584754313</c:v>
                </c:pt>
                <c:pt idx="587">
                  <c:v>1.5866079870603338</c:v>
                </c:pt>
                <c:pt idx="588">
                  <c:v>-0.88590176928295494</c:v>
                </c:pt>
                <c:pt idx="589">
                  <c:v>-0.54063611868296013</c:v>
                </c:pt>
                <c:pt idx="590">
                  <c:v>-7.1640335987307124E-2</c:v>
                </c:pt>
                <c:pt idx="591">
                  <c:v>-1.0798163980373094</c:v>
                </c:pt>
                <c:pt idx="592">
                  <c:v>-2.8462486400373139</c:v>
                </c:pt>
                <c:pt idx="593">
                  <c:v>2.5011807639626911</c:v>
                </c:pt>
                <c:pt idx="594">
                  <c:v>-0.81064111385922544</c:v>
                </c:pt>
                <c:pt idx="595">
                  <c:v>-1.1621849878592243</c:v>
                </c:pt>
                <c:pt idx="596">
                  <c:v>-1.4822061474607502E-2</c:v>
                </c:pt>
                <c:pt idx="597">
                  <c:v>-1.4822061474604662E-2</c:v>
                </c:pt>
                <c:pt idx="598">
                  <c:v>3.7779940643042666E-2</c:v>
                </c:pt>
                <c:pt idx="599">
                  <c:v>0.32293609230971732</c:v>
                </c:pt>
                <c:pt idx="600">
                  <c:v>-0.16403076858683824</c:v>
                </c:pt>
                <c:pt idx="601">
                  <c:v>-0.88506463887255471</c:v>
                </c:pt>
                <c:pt idx="602">
                  <c:v>-0.61543799850892078</c:v>
                </c:pt>
                <c:pt idx="603">
                  <c:v>-1.0592390396993943</c:v>
                </c:pt>
                <c:pt idx="604">
                  <c:v>-0.69126752426461002</c:v>
                </c:pt>
                <c:pt idx="605">
                  <c:v>-0.15889752937175908</c:v>
                </c:pt>
                <c:pt idx="606">
                  <c:v>-0.32016239887176307</c:v>
                </c:pt>
                <c:pt idx="607">
                  <c:v>2.1535094621282354</c:v>
                </c:pt>
                <c:pt idx="608">
                  <c:v>-9.3579912343984384E-2</c:v>
                </c:pt>
                <c:pt idx="609">
                  <c:v>1.2105951741560141</c:v>
                </c:pt>
                <c:pt idx="610">
                  <c:v>2.3804044354305249</c:v>
                </c:pt>
                <c:pt idx="611">
                  <c:v>0.78086041169917841</c:v>
                </c:pt>
                <c:pt idx="612">
                  <c:v>0.56918981094918042</c:v>
                </c:pt>
                <c:pt idx="613">
                  <c:v>-1.21341263567151</c:v>
                </c:pt>
                <c:pt idx="614">
                  <c:v>-0.11133990932015672</c:v>
                </c:pt>
                <c:pt idx="615">
                  <c:v>0.85742963865281396</c:v>
                </c:pt>
                <c:pt idx="616">
                  <c:v>-0.76189290168051849</c:v>
                </c:pt>
                <c:pt idx="617">
                  <c:v>-1.6153054699158147</c:v>
                </c:pt>
                <c:pt idx="618">
                  <c:v>-1.331650440749147</c:v>
                </c:pt>
                <c:pt idx="619">
                  <c:v>-0.1826833872491479</c:v>
                </c:pt>
                <c:pt idx="620">
                  <c:v>-1.9873174680038665</c:v>
                </c:pt>
                <c:pt idx="621">
                  <c:v>-0.77713403569617523</c:v>
                </c:pt>
                <c:pt idx="622">
                  <c:v>0.2922509878690428</c:v>
                </c:pt>
                <c:pt idx="623">
                  <c:v>0.2922509878690428</c:v>
                </c:pt>
                <c:pt idx="624">
                  <c:v>-3.3752309642289959</c:v>
                </c:pt>
                <c:pt idx="625">
                  <c:v>-4.3133361440471809</c:v>
                </c:pt>
                <c:pt idx="626">
                  <c:v>-3.8929246261524462</c:v>
                </c:pt>
                <c:pt idx="627">
                  <c:v>-5.8461865677034677</c:v>
                </c:pt>
                <c:pt idx="628">
                  <c:v>-6.3236724340978325</c:v>
                </c:pt>
                <c:pt idx="629">
                  <c:v>-8.9809459690978404</c:v>
                </c:pt>
                <c:pt idx="630">
                  <c:v>-9.4854924953200612</c:v>
                </c:pt>
                <c:pt idx="631">
                  <c:v>-8.1135626570157147</c:v>
                </c:pt>
                <c:pt idx="632">
                  <c:v>-8.2951820855157177</c:v>
                </c:pt>
                <c:pt idx="633">
                  <c:v>-8.4904129852299999</c:v>
                </c:pt>
                <c:pt idx="634">
                  <c:v>-8.73985492330692</c:v>
                </c:pt>
                <c:pt idx="635">
                  <c:v>-8.1142580006753366</c:v>
                </c:pt>
                <c:pt idx="636">
                  <c:v>-7.9524435751753391</c:v>
                </c:pt>
                <c:pt idx="637">
                  <c:v>-8.1185873547753413</c:v>
                </c:pt>
                <c:pt idx="638">
                  <c:v>-8.1185873547753431</c:v>
                </c:pt>
                <c:pt idx="639">
                  <c:v>-8.0146915365988676</c:v>
                </c:pt>
                <c:pt idx="640">
                  <c:v>-7.63156368559887</c:v>
                </c:pt>
                <c:pt idx="641">
                  <c:v>-7.2787729099988709</c:v>
                </c:pt>
                <c:pt idx="642">
                  <c:v>-8.5648820694583279</c:v>
                </c:pt>
                <c:pt idx="643">
                  <c:v>-8.8799463049583256</c:v>
                </c:pt>
                <c:pt idx="644">
                  <c:v>-7.4209421157361035</c:v>
                </c:pt>
                <c:pt idx="645">
                  <c:v>-8.2368919106694385</c:v>
                </c:pt>
                <c:pt idx="646">
                  <c:v>-10.636895200214898</c:v>
                </c:pt>
                <c:pt idx="647">
                  <c:v>-10.972966648964899</c:v>
                </c:pt>
                <c:pt idx="648">
                  <c:v>-10.175148120008378</c:v>
                </c:pt>
                <c:pt idx="649">
                  <c:v>-10.754794585341712</c:v>
                </c:pt>
                <c:pt idx="650">
                  <c:v>-10.952253989957095</c:v>
                </c:pt>
                <c:pt idx="651">
                  <c:v>-10.813265239290427</c:v>
                </c:pt>
                <c:pt idx="652">
                  <c:v>-11.624483189213509</c:v>
                </c:pt>
                <c:pt idx="653">
                  <c:v>-11.587963480680173</c:v>
                </c:pt>
                <c:pt idx="654">
                  <c:v>-11.702776092680171</c:v>
                </c:pt>
                <c:pt idx="655">
                  <c:v>-11.609020025457946</c:v>
                </c:pt>
                <c:pt idx="656">
                  <c:v>-11.442072001611789</c:v>
                </c:pt>
                <c:pt idx="657">
                  <c:v>-11.470532159073329</c:v>
                </c:pt>
                <c:pt idx="658">
                  <c:v>-10.965152969073326</c:v>
                </c:pt>
                <c:pt idx="659">
                  <c:v>-11.580409713739993</c:v>
                </c:pt>
                <c:pt idx="660">
                  <c:v>-11.497685793839993</c:v>
                </c:pt>
                <c:pt idx="661">
                  <c:v>-11.078459093535644</c:v>
                </c:pt>
                <c:pt idx="662">
                  <c:v>-12.097377128535646</c:v>
                </c:pt>
                <c:pt idx="663">
                  <c:v>-11.971185754202313</c:v>
                </c:pt>
                <c:pt idx="664">
                  <c:v>-11.727257134702315</c:v>
                </c:pt>
                <c:pt idx="665">
                  <c:v>-12.332247786183794</c:v>
                </c:pt>
                <c:pt idx="666">
                  <c:v>-12.496719917563105</c:v>
                </c:pt>
                <c:pt idx="667">
                  <c:v>-13.036651006696438</c:v>
                </c:pt>
                <c:pt idx="668">
                  <c:v>-12.889888040982154</c:v>
                </c:pt>
                <c:pt idx="669">
                  <c:v>-13.082072056982154</c:v>
                </c:pt>
                <c:pt idx="670">
                  <c:v>-12.74831776763433</c:v>
                </c:pt>
                <c:pt idx="671">
                  <c:v>-13.233543118069113</c:v>
                </c:pt>
                <c:pt idx="672">
                  <c:v>-12.393887823241524</c:v>
                </c:pt>
                <c:pt idx="673">
                  <c:v>-12.138149541327241</c:v>
                </c:pt>
                <c:pt idx="674">
                  <c:v>-12.3905688105904</c:v>
                </c:pt>
                <c:pt idx="675">
                  <c:v>-12.656697914990401</c:v>
                </c:pt>
                <c:pt idx="676">
                  <c:v>-13.148156533578636</c:v>
                </c:pt>
                <c:pt idx="677">
                  <c:v>-12.417459426078636</c:v>
                </c:pt>
                <c:pt idx="678">
                  <c:v>-12.533162526650067</c:v>
                </c:pt>
                <c:pt idx="679">
                  <c:v>-12.187467722005996</c:v>
                </c:pt>
                <c:pt idx="680">
                  <c:v>-13.488434805231799</c:v>
                </c:pt>
                <c:pt idx="681">
                  <c:v>-14.456249817258827</c:v>
                </c:pt>
                <c:pt idx="682">
                  <c:v>-15.154065850691261</c:v>
                </c:pt>
                <c:pt idx="683">
                  <c:v>-15.178239668464846</c:v>
                </c:pt>
                <c:pt idx="684">
                  <c:v>-14.832165176157156</c:v>
                </c:pt>
                <c:pt idx="685">
                  <c:v>-14.118058260746899</c:v>
                </c:pt>
                <c:pt idx="686">
                  <c:v>-15.404388556704346</c:v>
                </c:pt>
                <c:pt idx="687">
                  <c:v>-13.473716473886569</c:v>
                </c:pt>
                <c:pt idx="688">
                  <c:v>-13.362875209058984</c:v>
                </c:pt>
                <c:pt idx="689">
                  <c:v>-13.037820919647217</c:v>
                </c:pt>
                <c:pt idx="690">
                  <c:v>-12.71559847778358</c:v>
                </c:pt>
                <c:pt idx="691">
                  <c:v>-11.385159639796564</c:v>
                </c:pt>
                <c:pt idx="692">
                  <c:v>-10.734570017483133</c:v>
                </c:pt>
                <c:pt idx="693">
                  <c:v>-10.659224278083133</c:v>
                </c:pt>
                <c:pt idx="694">
                  <c:v>-10.752415424704754</c:v>
                </c:pt>
                <c:pt idx="695">
                  <c:v>-11.056729724066455</c:v>
                </c:pt>
                <c:pt idx="696">
                  <c:v>-11.496932550451071</c:v>
                </c:pt>
                <c:pt idx="697">
                  <c:v>-11.698447322311537</c:v>
                </c:pt>
                <c:pt idx="698">
                  <c:v>-11.621815442988957</c:v>
                </c:pt>
                <c:pt idx="699">
                  <c:v>-11.621815442988957</c:v>
                </c:pt>
                <c:pt idx="700">
                  <c:v>-12.247579285815041</c:v>
                </c:pt>
                <c:pt idx="701">
                  <c:v>-12.386903054815042</c:v>
                </c:pt>
                <c:pt idx="702">
                  <c:v>-12.088646272255042</c:v>
                </c:pt>
                <c:pt idx="703">
                  <c:v>-11.434849712007852</c:v>
                </c:pt>
                <c:pt idx="704">
                  <c:v>-11.182442507589245</c:v>
                </c:pt>
                <c:pt idx="705">
                  <c:v>-11.449242701269245</c:v>
                </c:pt>
                <c:pt idx="706">
                  <c:v>-11.618513706202581</c:v>
                </c:pt>
                <c:pt idx="707">
                  <c:v>-11.527557494702581</c:v>
                </c:pt>
                <c:pt idx="708">
                  <c:v>-11.583177777045439</c:v>
                </c:pt>
                <c:pt idx="709">
                  <c:v>-10.978110116407139</c:v>
                </c:pt>
                <c:pt idx="710">
                  <c:v>-11.429122034868678</c:v>
                </c:pt>
                <c:pt idx="711">
                  <c:v>-11.585828153704746</c:v>
                </c:pt>
                <c:pt idx="712">
                  <c:v>-11.284424639171412</c:v>
                </c:pt>
                <c:pt idx="713">
                  <c:v>-10.183802700573475</c:v>
                </c:pt>
                <c:pt idx="714">
                  <c:v>-11.083765406573475</c:v>
                </c:pt>
                <c:pt idx="715">
                  <c:v>-11.478041040111934</c:v>
                </c:pt>
                <c:pt idx="716">
                  <c:v>-11.101632607580687</c:v>
                </c:pt>
                <c:pt idx="717">
                  <c:v>-11.992459236001739</c:v>
                </c:pt>
                <c:pt idx="718">
                  <c:v>-12.630085071361741</c:v>
                </c:pt>
                <c:pt idx="719">
                  <c:v>-12.901478073179922</c:v>
                </c:pt>
                <c:pt idx="720">
                  <c:v>-12.192263608398671</c:v>
                </c:pt>
                <c:pt idx="721">
                  <c:v>-13.552546916281022</c:v>
                </c:pt>
                <c:pt idx="722">
                  <c:v>-14.524813012216503</c:v>
                </c:pt>
                <c:pt idx="723">
                  <c:v>-14.65418222502138</c:v>
                </c:pt>
                <c:pt idx="724">
                  <c:v>-14.307137484156515</c:v>
                </c:pt>
                <c:pt idx="725">
                  <c:v>-15.28010789967376</c:v>
                </c:pt>
                <c:pt idx="726">
                  <c:v>-14.83851588451247</c:v>
                </c:pt>
                <c:pt idx="727">
                  <c:v>-14.887838533512468</c:v>
                </c:pt>
                <c:pt idx="728">
                  <c:v>-14.928370327272471</c:v>
                </c:pt>
                <c:pt idx="729">
                  <c:v>-15.361429427562793</c:v>
                </c:pt>
                <c:pt idx="730">
                  <c:v>-15.251825473615423</c:v>
                </c:pt>
                <c:pt idx="731">
                  <c:v>-15.511016887615424</c:v>
                </c:pt>
                <c:pt idx="732">
                  <c:v>-15.08817436820366</c:v>
                </c:pt>
                <c:pt idx="733">
                  <c:v>-14.955912991060803</c:v>
                </c:pt>
                <c:pt idx="734">
                  <c:v>-14.61321961772747</c:v>
                </c:pt>
                <c:pt idx="735">
                  <c:v>-15.088085918977468</c:v>
                </c:pt>
                <c:pt idx="736">
                  <c:v>-15.930043979886557</c:v>
                </c:pt>
                <c:pt idx="737">
                  <c:v>-15.878815348522924</c:v>
                </c:pt>
                <c:pt idx="738">
                  <c:v>-15.921937220522922</c:v>
                </c:pt>
                <c:pt idx="739">
                  <c:v>-16.24021757623721</c:v>
                </c:pt>
                <c:pt idx="740">
                  <c:v>-16.077186119334772</c:v>
                </c:pt>
                <c:pt idx="741">
                  <c:v>-16.057079068639123</c:v>
                </c:pt>
                <c:pt idx="742">
                  <c:v>-16.806283785260742</c:v>
                </c:pt>
                <c:pt idx="743">
                  <c:v>-16.777183291645358</c:v>
                </c:pt>
                <c:pt idx="744">
                  <c:v>-16.540915268645357</c:v>
                </c:pt>
                <c:pt idx="745">
                  <c:v>-16.830337606685355</c:v>
                </c:pt>
                <c:pt idx="746">
                  <c:v>-16.924298848847517</c:v>
                </c:pt>
                <c:pt idx="747">
                  <c:v>-16.855997267847513</c:v>
                </c:pt>
                <c:pt idx="748">
                  <c:v>-16.770949955200457</c:v>
                </c:pt>
                <c:pt idx="749">
                  <c:v>-16.939450151200454</c:v>
                </c:pt>
                <c:pt idx="750">
                  <c:v>-16.742552649939586</c:v>
                </c:pt>
                <c:pt idx="751">
                  <c:v>-16.520697103368153</c:v>
                </c:pt>
                <c:pt idx="752">
                  <c:v>-16.258280688822705</c:v>
                </c:pt>
                <c:pt idx="753">
                  <c:v>-16.341961659857187</c:v>
                </c:pt>
                <c:pt idx="754">
                  <c:v>-16.196749054594026</c:v>
                </c:pt>
                <c:pt idx="755">
                  <c:v>-15.933874611866756</c:v>
                </c:pt>
                <c:pt idx="756">
                  <c:v>-16.049752472673209</c:v>
                </c:pt>
                <c:pt idx="757">
                  <c:v>-16.049752472673212</c:v>
                </c:pt>
                <c:pt idx="758">
                  <c:v>-16.064681939606547</c:v>
                </c:pt>
                <c:pt idx="759">
                  <c:v>-16.020557500294043</c:v>
                </c:pt>
                <c:pt idx="760">
                  <c:v>-15.794228327794045</c:v>
                </c:pt>
                <c:pt idx="761">
                  <c:v>-15.710457614936903</c:v>
                </c:pt>
                <c:pt idx="762">
                  <c:v>-15.529807862755083</c:v>
                </c:pt>
                <c:pt idx="763">
                  <c:v>-15.627339088893013</c:v>
                </c:pt>
                <c:pt idx="764">
                  <c:v>-15.662360505893014</c:v>
                </c:pt>
                <c:pt idx="765">
                  <c:v>-15.502322158711195</c:v>
                </c:pt>
                <c:pt idx="766">
                  <c:v>-15.329488226893012</c:v>
                </c:pt>
                <c:pt idx="767">
                  <c:v>-12.929549579350637</c:v>
                </c:pt>
                <c:pt idx="768">
                  <c:v>-13.239900255042944</c:v>
                </c:pt>
                <c:pt idx="769">
                  <c:v>-13.488852601292944</c:v>
                </c:pt>
                <c:pt idx="770">
                  <c:v>-13.993876162062174</c:v>
                </c:pt>
                <c:pt idx="771">
                  <c:v>-14.461073633502174</c:v>
                </c:pt>
                <c:pt idx="772">
                  <c:v>-14.979450999404611</c:v>
                </c:pt>
                <c:pt idx="773">
                  <c:v>-14.16995687107128</c:v>
                </c:pt>
                <c:pt idx="774">
                  <c:v>-13.692793880564784</c:v>
                </c:pt>
                <c:pt idx="775">
                  <c:v>-13.979341240768866</c:v>
                </c:pt>
                <c:pt idx="776">
                  <c:v>-12.789720323121808</c:v>
                </c:pt>
                <c:pt idx="777">
                  <c:v>-13.260303941241812</c:v>
                </c:pt>
                <c:pt idx="778">
                  <c:v>-12.803099701138363</c:v>
                </c:pt>
                <c:pt idx="779">
                  <c:v>-13.657417883471696</c:v>
                </c:pt>
                <c:pt idx="780">
                  <c:v>-10.59389136016234</c:v>
                </c:pt>
                <c:pt idx="781">
                  <c:v>-9.7614482725259748</c:v>
                </c:pt>
                <c:pt idx="782">
                  <c:v>-7.401411942272456</c:v>
                </c:pt>
                <c:pt idx="783">
                  <c:v>-10.284504752885358</c:v>
                </c:pt>
                <c:pt idx="784">
                  <c:v>-11.496867026937988</c:v>
                </c:pt>
                <c:pt idx="785">
                  <c:v>-10.593465760679919</c:v>
                </c:pt>
                <c:pt idx="786">
                  <c:v>-11.556667819597953</c:v>
                </c:pt>
                <c:pt idx="787">
                  <c:v>-13.212967769597952</c:v>
                </c:pt>
                <c:pt idx="788">
                  <c:v>-13.118676125679032</c:v>
                </c:pt>
                <c:pt idx="789">
                  <c:v>-12.462775728152719</c:v>
                </c:pt>
                <c:pt idx="790">
                  <c:v>-11.595292014344215</c:v>
                </c:pt>
                <c:pt idx="791">
                  <c:v>-10.83514781622794</c:v>
                </c:pt>
                <c:pt idx="792">
                  <c:v>-10.37228723341161</c:v>
                </c:pt>
                <c:pt idx="793">
                  <c:v>-11.706465078651609</c:v>
                </c:pt>
                <c:pt idx="794">
                  <c:v>-12.94003035865161</c:v>
                </c:pt>
                <c:pt idx="795">
                  <c:v>-15.02044791343422</c:v>
                </c:pt>
                <c:pt idx="796">
                  <c:v>-14.742814298349883</c:v>
                </c:pt>
                <c:pt idx="797">
                  <c:v>-15.104754698099883</c:v>
                </c:pt>
                <c:pt idx="798">
                  <c:v>-15.093270919748029</c:v>
                </c:pt>
                <c:pt idx="799">
                  <c:v>-15.074177099844805</c:v>
                </c:pt>
                <c:pt idx="800">
                  <c:v>-14.792495834094803</c:v>
                </c:pt>
                <c:pt idx="801">
                  <c:v>-15.166243855328849</c:v>
                </c:pt>
                <c:pt idx="802">
                  <c:v>-14.986134990725073</c:v>
                </c:pt>
                <c:pt idx="803">
                  <c:v>-14.620273602562282</c:v>
                </c:pt>
                <c:pt idx="804">
                  <c:v>-15.589537682591409</c:v>
                </c:pt>
                <c:pt idx="805">
                  <c:v>-15.50043706582218</c:v>
                </c:pt>
                <c:pt idx="806">
                  <c:v>-15.36160656786218</c:v>
                </c:pt>
                <c:pt idx="807">
                  <c:v>-15.275682079340436</c:v>
                </c:pt>
                <c:pt idx="808">
                  <c:v>-15.145181621451549</c:v>
                </c:pt>
                <c:pt idx="809">
                  <c:v>-15.298277027784883</c:v>
                </c:pt>
                <c:pt idx="810">
                  <c:v>-15.311498147107466</c:v>
                </c:pt>
                <c:pt idx="811">
                  <c:v>-15.347001824890073</c:v>
                </c:pt>
                <c:pt idx="812">
                  <c:v>-15.0669511323138</c:v>
                </c:pt>
                <c:pt idx="813">
                  <c:v>-15.600991665579109</c:v>
                </c:pt>
                <c:pt idx="814">
                  <c:v>-14.263957734140511</c:v>
                </c:pt>
                <c:pt idx="815">
                  <c:v>-15.642535453721905</c:v>
                </c:pt>
                <c:pt idx="816">
                  <c:v>-16.008708421795074</c:v>
                </c:pt>
                <c:pt idx="817">
                  <c:v>-15.728385881395075</c:v>
                </c:pt>
                <c:pt idx="818">
                  <c:v>-16.422377554959176</c:v>
                </c:pt>
                <c:pt idx="819">
                  <c:v>-16.647594666030603</c:v>
                </c:pt>
                <c:pt idx="820">
                  <c:v>-16.870365273722911</c:v>
                </c:pt>
                <c:pt idx="821">
                  <c:v>-16.884941787271298</c:v>
                </c:pt>
                <c:pt idx="822">
                  <c:v>-16.648665637937963</c:v>
                </c:pt>
                <c:pt idx="823">
                  <c:v>-15.602167426527707</c:v>
                </c:pt>
                <c:pt idx="824">
                  <c:v>-16.100356025410058</c:v>
                </c:pt>
                <c:pt idx="825">
                  <c:v>-15.47968315694852</c:v>
                </c:pt>
                <c:pt idx="826">
                  <c:v>-15.996873274212673</c:v>
                </c:pt>
                <c:pt idx="827">
                  <c:v>-16.098896165664286</c:v>
                </c:pt>
                <c:pt idx="828">
                  <c:v>-15.277218882171134</c:v>
                </c:pt>
                <c:pt idx="829">
                  <c:v>-14.757390378171133</c:v>
                </c:pt>
                <c:pt idx="830">
                  <c:v>-14.532746880046131</c:v>
                </c:pt>
                <c:pt idx="831">
                  <c:v>-14.689403825987309</c:v>
                </c:pt>
                <c:pt idx="832">
                  <c:v>-14.40429455233866</c:v>
                </c:pt>
                <c:pt idx="833">
                  <c:v>-14.438806028596726</c:v>
                </c:pt>
                <c:pt idx="834">
                  <c:v>-14.470834375249785</c:v>
                </c:pt>
                <c:pt idx="835">
                  <c:v>-13.987468235249786</c:v>
                </c:pt>
                <c:pt idx="836">
                  <c:v>-14.256168514604626</c:v>
                </c:pt>
                <c:pt idx="837">
                  <c:v>-13.97039020493796</c:v>
                </c:pt>
                <c:pt idx="838">
                  <c:v>-13.726737221072288</c:v>
                </c:pt>
                <c:pt idx="839">
                  <c:v>-13.426661886456902</c:v>
                </c:pt>
                <c:pt idx="840">
                  <c:v>-12.14925409033569</c:v>
                </c:pt>
                <c:pt idx="841">
                  <c:v>-13.043151197570257</c:v>
                </c:pt>
                <c:pt idx="842">
                  <c:v>-12.193448774469132</c:v>
                </c:pt>
                <c:pt idx="843">
                  <c:v>-12.901913621832765</c:v>
                </c:pt>
                <c:pt idx="844">
                  <c:v>-13.513545409076011</c:v>
                </c:pt>
                <c:pt idx="845">
                  <c:v>-13.476796433076011</c:v>
                </c:pt>
                <c:pt idx="846">
                  <c:v>-13.581238622576011</c:v>
                </c:pt>
                <c:pt idx="847">
                  <c:v>-13.73595608057601</c:v>
                </c:pt>
                <c:pt idx="848">
                  <c:v>-13.959106344024287</c:v>
                </c:pt>
                <c:pt idx="849">
                  <c:v>-14.029734231624287</c:v>
                </c:pt>
                <c:pt idx="850">
                  <c:v>-13.751878085741936</c:v>
                </c:pt>
                <c:pt idx="851">
                  <c:v>-14.073487063923752</c:v>
                </c:pt>
                <c:pt idx="852">
                  <c:v>-14.343637418358538</c:v>
                </c:pt>
                <c:pt idx="853">
                  <c:v>-14.281758059939182</c:v>
                </c:pt>
                <c:pt idx="854">
                  <c:v>-14.493779061713376</c:v>
                </c:pt>
                <c:pt idx="855">
                  <c:v>-14.362489108003698</c:v>
                </c:pt>
                <c:pt idx="856">
                  <c:v>-14.398364039696004</c:v>
                </c:pt>
                <c:pt idx="857">
                  <c:v>-13.717678251723276</c:v>
                </c:pt>
                <c:pt idx="858">
                  <c:v>-13.056657985319768</c:v>
                </c:pt>
                <c:pt idx="859">
                  <c:v>-13.012403863379472</c:v>
                </c:pt>
                <c:pt idx="860">
                  <c:v>-12.845823892665187</c:v>
                </c:pt>
                <c:pt idx="861">
                  <c:v>-12.585843755998518</c:v>
                </c:pt>
                <c:pt idx="862">
                  <c:v>-12.449274017665186</c:v>
                </c:pt>
                <c:pt idx="863">
                  <c:v>-13.238369438123017</c:v>
                </c:pt>
                <c:pt idx="864">
                  <c:v>-13.346133460593604</c:v>
                </c:pt>
                <c:pt idx="865">
                  <c:v>-13.100813637403732</c:v>
                </c:pt>
                <c:pt idx="866">
                  <c:v>-13.123908560514842</c:v>
                </c:pt>
                <c:pt idx="867">
                  <c:v>-13.112593970688753</c:v>
                </c:pt>
                <c:pt idx="868">
                  <c:v>-12.841256081865225</c:v>
                </c:pt>
                <c:pt idx="869">
                  <c:v>-12.768480167231081</c:v>
                </c:pt>
                <c:pt idx="870">
                  <c:v>-12.432281098425111</c:v>
                </c:pt>
                <c:pt idx="871">
                  <c:v>-12.259599011408717</c:v>
                </c:pt>
                <c:pt idx="872">
                  <c:v>-12.250842666867733</c:v>
                </c:pt>
                <c:pt idx="873">
                  <c:v>-11.971031402067736</c:v>
                </c:pt>
                <c:pt idx="874">
                  <c:v>-12.183434392734402</c:v>
                </c:pt>
                <c:pt idx="875">
                  <c:v>-12.343484127011509</c:v>
                </c:pt>
                <c:pt idx="876">
                  <c:v>-12.551056772434585</c:v>
                </c:pt>
                <c:pt idx="877">
                  <c:v>-12.211868829178767</c:v>
                </c:pt>
                <c:pt idx="878">
                  <c:v>-11.904290307607338</c:v>
                </c:pt>
                <c:pt idx="879">
                  <c:v>-12.16962293162754</c:v>
                </c:pt>
                <c:pt idx="880">
                  <c:v>-11.861849359294206</c:v>
                </c:pt>
                <c:pt idx="881">
                  <c:v>-11.693050659086415</c:v>
                </c:pt>
                <c:pt idx="882">
                  <c:v>-11.146615824545878</c:v>
                </c:pt>
                <c:pt idx="883">
                  <c:v>-10.766757632417166</c:v>
                </c:pt>
                <c:pt idx="884">
                  <c:v>-9.9601336271018504</c:v>
                </c:pt>
                <c:pt idx="885">
                  <c:v>-9.7938519208518535</c:v>
                </c:pt>
                <c:pt idx="886">
                  <c:v>-9.5080488132729073</c:v>
                </c:pt>
                <c:pt idx="887">
                  <c:v>-9.2420417071630183</c:v>
                </c:pt>
                <c:pt idx="888">
                  <c:v>-8.9541581782156516</c:v>
                </c:pt>
                <c:pt idx="889">
                  <c:v>-7.6668730294743952</c:v>
                </c:pt>
                <c:pt idx="890">
                  <c:v>-8.0511253298129795</c:v>
                </c:pt>
                <c:pt idx="891">
                  <c:v>-7.3956425356701221</c:v>
                </c:pt>
                <c:pt idx="892">
                  <c:v>-7.4420669305157601</c:v>
                </c:pt>
                <c:pt idx="893">
                  <c:v>-7.0975677703157629</c:v>
                </c:pt>
                <c:pt idx="894">
                  <c:v>-7.5067930310577005</c:v>
                </c:pt>
                <c:pt idx="895">
                  <c:v>-7.9737811618758805</c:v>
                </c:pt>
                <c:pt idx="896">
                  <c:v>-7.9047280785365936</c:v>
                </c:pt>
                <c:pt idx="897">
                  <c:v>-7.6977626713127112</c:v>
                </c:pt>
                <c:pt idx="898">
                  <c:v>-6.0947909223291035</c:v>
                </c:pt>
                <c:pt idx="899">
                  <c:v>-6.4872914589248527</c:v>
                </c:pt>
                <c:pt idx="900">
                  <c:v>-6.9322597337845036</c:v>
                </c:pt>
                <c:pt idx="901">
                  <c:v>-6.0077750855734964</c:v>
                </c:pt>
                <c:pt idx="902">
                  <c:v>-7.1931883076665208</c:v>
                </c:pt>
                <c:pt idx="903">
                  <c:v>-5.4143218646461122</c:v>
                </c:pt>
                <c:pt idx="904">
                  <c:v>-3.7766792082098708</c:v>
                </c:pt>
                <c:pt idx="905">
                  <c:v>1.3257584560738158</c:v>
                </c:pt>
                <c:pt idx="906">
                  <c:v>2.1450135789236362</c:v>
                </c:pt>
                <c:pt idx="907">
                  <c:v>0.36803100225697294</c:v>
                </c:pt>
                <c:pt idx="908">
                  <c:v>1.269699274405488</c:v>
                </c:pt>
                <c:pt idx="909">
                  <c:v>1.6726767928422683</c:v>
                </c:pt>
                <c:pt idx="910">
                  <c:v>1.2260447826851235</c:v>
                </c:pt>
                <c:pt idx="911">
                  <c:v>1.8135012880058752</c:v>
                </c:pt>
                <c:pt idx="912">
                  <c:v>2.1156932922798473</c:v>
                </c:pt>
                <c:pt idx="913">
                  <c:v>2.2866286534972362</c:v>
                </c:pt>
                <c:pt idx="914">
                  <c:v>2.4966359181928888</c:v>
                </c:pt>
                <c:pt idx="915">
                  <c:v>2.5606946942976498</c:v>
                </c:pt>
                <c:pt idx="916">
                  <c:v>3.2335275984038465</c:v>
                </c:pt>
                <c:pt idx="917">
                  <c:v>2.7784288690228949</c:v>
                </c:pt>
                <c:pt idx="918">
                  <c:v>3.5095833968330199</c:v>
                </c:pt>
                <c:pt idx="919">
                  <c:v>3.2030803363784743</c:v>
                </c:pt>
                <c:pt idx="920">
                  <c:v>4.4370087016605231</c:v>
                </c:pt>
                <c:pt idx="921">
                  <c:v>5.0428918173039348</c:v>
                </c:pt>
                <c:pt idx="922">
                  <c:v>5.5739253494891186</c:v>
                </c:pt>
                <c:pt idx="923">
                  <c:v>5.7658923047082933</c:v>
                </c:pt>
                <c:pt idx="924">
                  <c:v>5.2079191316358315</c:v>
                </c:pt>
                <c:pt idx="925">
                  <c:v>5.8155109648908621</c:v>
                </c:pt>
                <c:pt idx="926">
                  <c:v>4.2431980101122351</c:v>
                </c:pt>
                <c:pt idx="927">
                  <c:v>6.7428281219776194</c:v>
                </c:pt>
                <c:pt idx="928">
                  <c:v>5.4061325546232863</c:v>
                </c:pt>
                <c:pt idx="929">
                  <c:v>8.8460786268529521</c:v>
                </c:pt>
                <c:pt idx="930">
                  <c:v>5.0295328217702364</c:v>
                </c:pt>
                <c:pt idx="931">
                  <c:v>2.8008976440996496</c:v>
                </c:pt>
                <c:pt idx="932">
                  <c:v>4.6480041386837776</c:v>
                </c:pt>
                <c:pt idx="933">
                  <c:v>4.6634823522068567</c:v>
                </c:pt>
                <c:pt idx="934">
                  <c:v>5.7387114269804407</c:v>
                </c:pt>
                <c:pt idx="935">
                  <c:v>7.2436877438554399</c:v>
                </c:pt>
                <c:pt idx="936">
                  <c:v>6.7880588764195373</c:v>
                </c:pt>
                <c:pt idx="937">
                  <c:v>7.2598904940752744</c:v>
                </c:pt>
                <c:pt idx="938">
                  <c:v>8.5246274348181306</c:v>
                </c:pt>
                <c:pt idx="939">
                  <c:v>9.9587628561265475</c:v>
                </c:pt>
                <c:pt idx="940">
                  <c:v>11.870964906472469</c:v>
                </c:pt>
                <c:pt idx="941">
                  <c:v>13.832676480290647</c:v>
                </c:pt>
                <c:pt idx="942">
                  <c:v>13.767168204587833</c:v>
                </c:pt>
                <c:pt idx="943">
                  <c:v>18.98287620199466</c:v>
                </c:pt>
                <c:pt idx="944">
                  <c:v>18.725969037561168</c:v>
                </c:pt>
                <c:pt idx="945">
                  <c:v>20.589699282290898</c:v>
                </c:pt>
                <c:pt idx="946">
                  <c:v>23.318329186690896</c:v>
                </c:pt>
                <c:pt idx="947">
                  <c:v>22.368728246039986</c:v>
                </c:pt>
                <c:pt idx="948">
                  <c:v>24.838220766385934</c:v>
                </c:pt>
                <c:pt idx="949">
                  <c:v>26.091362640407205</c:v>
                </c:pt>
                <c:pt idx="950">
                  <c:v>27.346824098077931</c:v>
                </c:pt>
                <c:pt idx="951">
                  <c:v>26.887449475965266</c:v>
                </c:pt>
                <c:pt idx="952">
                  <c:v>29.732373536986465</c:v>
                </c:pt>
                <c:pt idx="953">
                  <c:v>30.790539963205443</c:v>
                </c:pt>
                <c:pt idx="954">
                  <c:v>34.219033564477343</c:v>
                </c:pt>
                <c:pt idx="955">
                  <c:v>31.268433323861966</c:v>
                </c:pt>
                <c:pt idx="956">
                  <c:v>33.977448365875183</c:v>
                </c:pt>
                <c:pt idx="957">
                  <c:v>31.209234334490557</c:v>
                </c:pt>
                <c:pt idx="958">
                  <c:v>30.074586016676989</c:v>
                </c:pt>
                <c:pt idx="959">
                  <c:v>32.370480884978441</c:v>
                </c:pt>
                <c:pt idx="960">
                  <c:v>36.211285458125587</c:v>
                </c:pt>
                <c:pt idx="961">
                  <c:v>36.054748818190802</c:v>
                </c:pt>
                <c:pt idx="962">
                  <c:v>41.271169721493933</c:v>
                </c:pt>
                <c:pt idx="963">
                  <c:v>36.614930908377332</c:v>
                </c:pt>
                <c:pt idx="964">
                  <c:v>43.685715415801134</c:v>
                </c:pt>
                <c:pt idx="965">
                  <c:v>43.0962491602832</c:v>
                </c:pt>
                <c:pt idx="966">
                  <c:v>45.889780005478194</c:v>
                </c:pt>
                <c:pt idx="967">
                  <c:v>52.865769340482736</c:v>
                </c:pt>
                <c:pt idx="968">
                  <c:v>38.02594810431691</c:v>
                </c:pt>
                <c:pt idx="969">
                  <c:v>32.815534452710082</c:v>
                </c:pt>
                <c:pt idx="970">
                  <c:v>36.3228566892694</c:v>
                </c:pt>
                <c:pt idx="971">
                  <c:v>41.69975697285431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0F-4CD2-A835-AF6754551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8611664"/>
        <c:axId val="800672944"/>
      </c:lineChart>
      <c:dateAx>
        <c:axId val="7486116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672944"/>
        <c:crosses val="autoZero"/>
        <c:auto val="1"/>
        <c:lblOffset val="100"/>
        <c:baseTimeUnit val="days"/>
      </c:dateAx>
      <c:valAx>
        <c:axId val="80067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611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BE64B47-0D9A-4E9B-B559-2CD1B10BF435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0436D7-23D5-4E03-8DD1-D6293E9A545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0.38</v>
      </c>
      <c r="D2" s="4">
        <f>MIN(D3:D1912)</f>
        <v>1.1800000000000001E-3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0.18612999999999999</v>
      </c>
      <c r="C5">
        <v>0.18820999999999999</v>
      </c>
      <c r="D5">
        <v>0.17993999999999999</v>
      </c>
      <c r="E5">
        <v>0.18049999999999999</v>
      </c>
      <c r="F5">
        <v>22929992.699999999</v>
      </c>
      <c r="G5">
        <v>0.18049999999999999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-0.86457073760580294</v>
      </c>
      <c r="Q5">
        <f t="shared" ref="Q5" si="1">F5*P5</f>
        <v>-19824600.701934677</v>
      </c>
      <c r="R5">
        <f t="shared" ref="R5" si="2">R6+Q5</f>
        <v>2165012903.1810131</v>
      </c>
      <c r="S5">
        <f t="shared" ref="S5" si="3">R5/100000</f>
        <v>21650.129031810131</v>
      </c>
      <c r="T5">
        <f t="shared" ref="T5" si="4">S5/1000</f>
        <v>21.650129031810131</v>
      </c>
    </row>
    <row r="6" spans="1:20" x14ac:dyDescent="0.25">
      <c r="A6" s="5">
        <v>44587</v>
      </c>
      <c r="B6">
        <v>0.19108</v>
      </c>
      <c r="C6">
        <v>0.21049000000000001</v>
      </c>
      <c r="D6">
        <v>0.18138000000000001</v>
      </c>
      <c r="E6">
        <v>0.18612000000000001</v>
      </c>
      <c r="F6">
        <v>509915150.30000001</v>
      </c>
      <c r="G6">
        <v>0.18612000000000001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-0.67433871521813848</v>
      </c>
      <c r="Q6">
        <f t="shared" ref="Q6" si="6">F6*P6</f>
        <v>-343855527.32356602</v>
      </c>
      <c r="R6">
        <f t="shared" ref="R6" si="7">R7+Q6</f>
        <v>2184837503.8829479</v>
      </c>
      <c r="S6">
        <f t="shared" ref="S6" si="8">R6/100000</f>
        <v>21848.375038829479</v>
      </c>
      <c r="T6">
        <f t="shared" ref="T6" si="9">S6/1000</f>
        <v>21.848375038829481</v>
      </c>
    </row>
    <row r="7" spans="1:20" x14ac:dyDescent="0.25">
      <c r="A7" s="5">
        <v>44586</v>
      </c>
      <c r="B7">
        <v>0.19112999999999999</v>
      </c>
      <c r="C7">
        <v>0.19755</v>
      </c>
      <c r="D7">
        <v>0.17907000000000001</v>
      </c>
      <c r="E7">
        <v>0.19092000000000001</v>
      </c>
      <c r="F7">
        <v>423285429.39999998</v>
      </c>
      <c r="G7">
        <v>0.19092000000000001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0.28246753246753264</v>
      </c>
      <c r="Q7">
        <f t="shared" ref="Q7" si="11">F7*P7</f>
        <v>119564390.77207799</v>
      </c>
      <c r="R7">
        <f t="shared" ref="R7" si="12">R8+Q7</f>
        <v>2528693031.2065139</v>
      </c>
      <c r="S7">
        <f t="shared" ref="S7" si="13">R7/100000</f>
        <v>25286.930312065138</v>
      </c>
      <c r="T7">
        <f t="shared" ref="T7" si="14">S7/1000</f>
        <v>25.286930312065138</v>
      </c>
    </row>
    <row r="8" spans="1:20" x14ac:dyDescent="0.25">
      <c r="A8" s="5">
        <v>44585</v>
      </c>
      <c r="B8">
        <v>0.20569999999999999</v>
      </c>
      <c r="C8">
        <v>0.20585000000000001</v>
      </c>
      <c r="D8">
        <v>0.16722000000000001</v>
      </c>
      <c r="E8">
        <v>0.19112999999999999</v>
      </c>
      <c r="F8">
        <v>554871273.89999998</v>
      </c>
      <c r="G8">
        <v>0.19112999999999999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0.23789800673051972</v>
      </c>
      <c r="Q8">
        <f t="shared" ref="Q8" si="16">F8*P8</f>
        <v>132002770.05283424</v>
      </c>
      <c r="R8">
        <f t="shared" ref="R8" si="17">R9+Q8</f>
        <v>2409128640.4344358</v>
      </c>
      <c r="S8">
        <f t="shared" ref="S8" si="18">R8/100000</f>
        <v>24091.286404344359</v>
      </c>
      <c r="T8">
        <f t="shared" ref="T8" si="19">S8/1000</f>
        <v>24.091286404344359</v>
      </c>
    </row>
    <row r="9" spans="1:20" x14ac:dyDescent="0.25">
      <c r="A9" s="5">
        <v>44584</v>
      </c>
      <c r="B9">
        <v>0.19344</v>
      </c>
      <c r="C9">
        <v>0.22209000000000001</v>
      </c>
      <c r="D9">
        <v>0.18681</v>
      </c>
      <c r="E9">
        <v>0.20596</v>
      </c>
      <c r="F9">
        <v>485421839.30000001</v>
      </c>
      <c r="G9">
        <v>0.20596</v>
      </c>
      <c r="L9" t="s">
        <v>8</v>
      </c>
      <c r="M9" t="s">
        <v>8</v>
      </c>
      <c r="N9" t="s">
        <v>7</v>
      </c>
      <c r="P9">
        <f t="shared" ref="P9" si="20">IF(C9=D9,0,((E9-D9)-(C9-E9))/(C9-D9))</f>
        <v>8.5600907029478299E-2</v>
      </c>
      <c r="Q9">
        <f t="shared" ref="Q9" si="21">F9*P9</f>
        <v>41552549.735997654</v>
      </c>
      <c r="R9">
        <f t="shared" ref="R9" si="22">R10+Q9</f>
        <v>2277125870.3816018</v>
      </c>
      <c r="S9">
        <f t="shared" ref="S9" si="23">R9/100000</f>
        <v>22771.258703816016</v>
      </c>
      <c r="T9">
        <f t="shared" ref="T9" si="24">S9/1000</f>
        <v>22.771258703816017</v>
      </c>
    </row>
    <row r="10" spans="1:20" x14ac:dyDescent="0.25">
      <c r="A10" s="5">
        <v>44583</v>
      </c>
      <c r="B10">
        <v>0.21461</v>
      </c>
      <c r="C10">
        <v>0.21864</v>
      </c>
      <c r="D10">
        <v>0.16461999999999999</v>
      </c>
      <c r="E10">
        <v>0.1933</v>
      </c>
      <c r="F10">
        <v>758839603.79999995</v>
      </c>
      <c r="G10">
        <v>0.1933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6.1828952239911306E-2</v>
      </c>
      <c r="Q10">
        <f t="shared" ref="Q10" si="26">F10*P10</f>
        <v>46918257.621103413</v>
      </c>
      <c r="R10">
        <f t="shared" ref="R10" si="27">R11+Q10</f>
        <v>2235573320.6456041</v>
      </c>
      <c r="S10">
        <f t="shared" ref="S10" si="28">R10/100000</f>
        <v>22355.73320645604</v>
      </c>
      <c r="T10">
        <f t="shared" ref="T10" si="29">S10/1000</f>
        <v>22.355733206456041</v>
      </c>
    </row>
    <row r="11" spans="1:20" x14ac:dyDescent="0.25">
      <c r="A11" s="5">
        <v>44582</v>
      </c>
      <c r="B11">
        <v>0.26123000000000002</v>
      </c>
      <c r="C11">
        <v>0.2666</v>
      </c>
      <c r="D11">
        <v>0.20721000000000001</v>
      </c>
      <c r="E11">
        <v>0.21454999999999999</v>
      </c>
      <c r="F11">
        <v>537326667.20000005</v>
      </c>
      <c r="G11">
        <v>0.21454999999999999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-0.75282034012460064</v>
      </c>
      <c r="Q11">
        <f t="shared" ref="Q11" si="31">F11*P11</f>
        <v>-404510444.3595221</v>
      </c>
      <c r="R11">
        <f t="shared" ref="R11" si="32">R12+Q11</f>
        <v>2188655063.0245008</v>
      </c>
      <c r="S11">
        <f t="shared" ref="S11" si="33">R11/100000</f>
        <v>21886.550630245009</v>
      </c>
      <c r="T11">
        <f t="shared" ref="T11" si="34">S11/1000</f>
        <v>21.886550630245008</v>
      </c>
    </row>
    <row r="12" spans="1:20" x14ac:dyDescent="0.25">
      <c r="A12" s="5">
        <v>44581</v>
      </c>
      <c r="B12">
        <v>0.28338000000000002</v>
      </c>
      <c r="C12">
        <v>0.3</v>
      </c>
      <c r="D12">
        <v>0.25929999999999997</v>
      </c>
      <c r="E12">
        <v>0.26128000000000001</v>
      </c>
      <c r="F12">
        <v>328970927.39999998</v>
      </c>
      <c r="G12">
        <v>0.26128000000000001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-0.90270270270270092</v>
      </c>
      <c r="Q12">
        <f t="shared" ref="Q12" si="36">F12*P12</f>
        <v>-296962945.27459401</v>
      </c>
      <c r="R12">
        <f t="shared" ref="R12" si="37">R13+Q12</f>
        <v>2593165507.3840227</v>
      </c>
      <c r="S12">
        <f t="shared" ref="S12" si="38">R12/100000</f>
        <v>25931.655073840226</v>
      </c>
      <c r="T12">
        <f t="shared" ref="T12" si="39">S12/1000</f>
        <v>25.931655073840226</v>
      </c>
    </row>
    <row r="13" spans="1:20" x14ac:dyDescent="0.25">
      <c r="A13" s="5">
        <v>44580</v>
      </c>
      <c r="B13">
        <v>0.31796999999999997</v>
      </c>
      <c r="C13">
        <v>0.32140999999999997</v>
      </c>
      <c r="D13">
        <v>0.28100000000000003</v>
      </c>
      <c r="E13">
        <v>0.28332000000000002</v>
      </c>
      <c r="F13">
        <v>328654261.80000001</v>
      </c>
      <c r="G13">
        <v>0.28332000000000002</v>
      </c>
      <c r="L13" t="s">
        <v>7</v>
      </c>
      <c r="M13" t="s">
        <v>7</v>
      </c>
      <c r="N13" t="s">
        <v>8</v>
      </c>
      <c r="P13">
        <f t="shared" ref="P13" si="40">IF(C13=D13,0,((E13-D13)-(C13-E13))/(C13-D13))</f>
        <v>-0.88517693640188111</v>
      </c>
      <c r="Q13">
        <f t="shared" ref="Q13" si="41">F13*P13</f>
        <v>-290917172.59554577</v>
      </c>
      <c r="R13">
        <f t="shared" ref="R13" si="42">R14+Q13</f>
        <v>2890128452.6586165</v>
      </c>
      <c r="S13">
        <f t="shared" ref="S13" si="43">R13/100000</f>
        <v>28901.284526586165</v>
      </c>
      <c r="T13">
        <f t="shared" ref="T13" si="44">S13/1000</f>
        <v>28.901284526586164</v>
      </c>
    </row>
    <row r="14" spans="1:20" x14ac:dyDescent="0.25">
      <c r="A14" s="5">
        <v>44579</v>
      </c>
      <c r="B14">
        <v>0.31655</v>
      </c>
      <c r="C14">
        <v>0.3397</v>
      </c>
      <c r="D14">
        <v>0.30110999999999999</v>
      </c>
      <c r="E14">
        <v>0.31798999999999999</v>
      </c>
      <c r="F14">
        <v>439860320.89999998</v>
      </c>
      <c r="G14">
        <v>0.31798999999999999</v>
      </c>
      <c r="L14" t="s">
        <v>7</v>
      </c>
      <c r="M14" t="s">
        <v>7</v>
      </c>
      <c r="N14" t="s">
        <v>8</v>
      </c>
      <c r="P14">
        <f t="shared" ref="P14" si="45">IF(C14=D14,0,((E14-D14)-(C14-E14))/(C14-D14))</f>
        <v>-0.12516195905675043</v>
      </c>
      <c r="Q14">
        <f t="shared" ref="Q14" si="46">F14*P14</f>
        <v>-55053779.475174904</v>
      </c>
      <c r="R14">
        <f t="shared" ref="R14" si="47">R15+Q14</f>
        <v>3181045625.2541623</v>
      </c>
      <c r="S14">
        <f t="shared" ref="S14" si="48">R14/100000</f>
        <v>31810.456252541622</v>
      </c>
      <c r="T14">
        <f t="shared" ref="T14" si="49">S14/1000</f>
        <v>31.810456252541623</v>
      </c>
    </row>
    <row r="15" spans="1:20" x14ac:dyDescent="0.25">
      <c r="A15" s="5">
        <v>44578</v>
      </c>
      <c r="B15">
        <v>0.35038999999999998</v>
      </c>
      <c r="C15">
        <v>0.35487999999999997</v>
      </c>
      <c r="D15">
        <v>0.30606</v>
      </c>
      <c r="E15">
        <v>0.31657000000000002</v>
      </c>
      <c r="F15">
        <v>366411395.80000001</v>
      </c>
      <c r="G15">
        <v>0.31657000000000002</v>
      </c>
      <c r="L15" t="s">
        <v>7</v>
      </c>
      <c r="M15" t="s">
        <v>7</v>
      </c>
      <c r="N15" t="s">
        <v>8</v>
      </c>
      <c r="P15">
        <f t="shared" ref="P15" si="50">IF(C15=D15,0,((E15-D15)-(C15-E15))/(C15-D15))</f>
        <v>-0.56943875460876592</v>
      </c>
      <c r="Q15">
        <f t="shared" ref="Q15" si="51">F15*P15</f>
        <v>-208648848.89881161</v>
      </c>
      <c r="R15">
        <f t="shared" ref="R15" si="52">R16+Q15</f>
        <v>3236099404.7293372</v>
      </c>
      <c r="S15">
        <f t="shared" ref="S15" si="53">R15/100000</f>
        <v>32360.99404729337</v>
      </c>
      <c r="T15">
        <f t="shared" ref="T15" si="54">S15/1000</f>
        <v>32.360994047293367</v>
      </c>
    </row>
    <row r="16" spans="1:20" x14ac:dyDescent="0.25">
      <c r="A16" s="5">
        <v>44577</v>
      </c>
      <c r="B16">
        <v>0.33807999999999999</v>
      </c>
      <c r="C16">
        <v>0.3574</v>
      </c>
      <c r="D16">
        <v>0.32207999999999998</v>
      </c>
      <c r="E16">
        <v>0.35032999999999997</v>
      </c>
      <c r="F16">
        <v>400653473.80000001</v>
      </c>
      <c r="G16">
        <v>0.35032999999999997</v>
      </c>
      <c r="L16" t="s">
        <v>7</v>
      </c>
      <c r="M16" t="s">
        <v>7</v>
      </c>
      <c r="N16" t="s">
        <v>8</v>
      </c>
      <c r="P16">
        <f t="shared" ref="P16" si="55">IF(C16=D16,0,((E16-D16)-(C16-E16))/(C16-D16))</f>
        <v>0.59966024915062188</v>
      </c>
      <c r="Q16">
        <f t="shared" ref="Q16" si="56">F16*P16</f>
        <v>240255961.92197016</v>
      </c>
      <c r="R16">
        <f t="shared" ref="R16" si="57">R17+Q16</f>
        <v>3444748253.628149</v>
      </c>
      <c r="S16">
        <f t="shared" ref="S16" si="58">R16/100000</f>
        <v>34447.482536281488</v>
      </c>
      <c r="T16">
        <f t="shared" ref="T16" si="59">S16/1000</f>
        <v>34.447482536281491</v>
      </c>
    </row>
    <row r="17" spans="1:20" x14ac:dyDescent="0.25">
      <c r="A17" s="5">
        <v>44576</v>
      </c>
      <c r="B17">
        <v>0.35577999999999999</v>
      </c>
      <c r="C17">
        <v>0.35626999999999998</v>
      </c>
      <c r="D17">
        <v>0.33500000000000002</v>
      </c>
      <c r="E17">
        <v>0.33809</v>
      </c>
      <c r="F17">
        <v>291471320.10000002</v>
      </c>
      <c r="G17">
        <v>0.33809</v>
      </c>
      <c r="L17" t="s">
        <v>7</v>
      </c>
      <c r="M17" t="s">
        <v>8</v>
      </c>
      <c r="N17" t="s">
        <v>8</v>
      </c>
      <c r="P17">
        <f t="shared" ref="P17" si="60">IF(C17=D17,0,((E17-D17)-(C17-E17))/(C17-D17))</f>
        <v>-0.70944992947813934</v>
      </c>
      <c r="Q17">
        <f t="shared" ref="Q17" si="61">F17*P17</f>
        <v>-206784307.48984519</v>
      </c>
      <c r="R17">
        <f t="shared" ref="R17" si="62">R18+Q17</f>
        <v>3204492291.7061787</v>
      </c>
      <c r="S17">
        <f t="shared" ref="S17" si="63">R17/100000</f>
        <v>32044.922917061787</v>
      </c>
      <c r="T17">
        <f t="shared" ref="T17" si="64">S17/1000</f>
        <v>32.04492291706179</v>
      </c>
    </row>
    <row r="18" spans="1:20" x14ac:dyDescent="0.25">
      <c r="A18" s="5">
        <v>44575</v>
      </c>
      <c r="B18">
        <v>0.34965000000000002</v>
      </c>
      <c r="C18">
        <v>0.37896999999999997</v>
      </c>
      <c r="D18">
        <v>0.34308</v>
      </c>
      <c r="E18">
        <v>0.35587999999999997</v>
      </c>
      <c r="F18">
        <v>606688064.5</v>
      </c>
      <c r="G18">
        <v>0.35587999999999997</v>
      </c>
      <c r="L18" t="s">
        <v>8</v>
      </c>
      <c r="M18" t="s">
        <v>8</v>
      </c>
      <c r="N18" t="s">
        <v>8</v>
      </c>
      <c r="P18">
        <f t="shared" ref="P18" si="65">IF(C18=D18,0,((E18-D18)-(C18-E18))/(C18-D18))</f>
        <v>-0.28670938980217409</v>
      </c>
      <c r="Q18">
        <f t="shared" ref="Q18" si="66">F18*P18</f>
        <v>-173943164.77305704</v>
      </c>
      <c r="R18">
        <f t="shared" ref="R18" si="67">R19+Q18</f>
        <v>3411276599.1960239</v>
      </c>
      <c r="S18">
        <f t="shared" ref="S18" si="68">R18/100000</f>
        <v>34112.765991960237</v>
      </c>
      <c r="T18">
        <f t="shared" ref="T18" si="69">S18/1000</f>
        <v>34.112765991960238</v>
      </c>
    </row>
    <row r="19" spans="1:20" x14ac:dyDescent="0.25">
      <c r="A19" s="5">
        <v>44574</v>
      </c>
      <c r="B19">
        <v>0.34476000000000001</v>
      </c>
      <c r="C19">
        <v>0.36499999999999999</v>
      </c>
      <c r="D19">
        <v>0.33156999999999998</v>
      </c>
      <c r="E19">
        <v>0.34965000000000002</v>
      </c>
      <c r="F19">
        <v>634648456.60000002</v>
      </c>
      <c r="G19">
        <v>0.34965000000000002</v>
      </c>
      <c r="L19" t="s">
        <v>8</v>
      </c>
      <c r="M19" t="s">
        <v>8</v>
      </c>
      <c r="N19" t="s">
        <v>8</v>
      </c>
      <c r="P19">
        <f t="shared" ref="P19" si="70">IF(C19=D19,0,((E19-D19)-(C19-E19))/(C19-D19))</f>
        <v>8.1663176787318714E-2</v>
      </c>
      <c r="Q19">
        <f t="shared" ref="Q19" si="71">F19*P19</f>
        <v>51827409.109124772</v>
      </c>
      <c r="R19">
        <f t="shared" ref="R19" si="72">R20+Q19</f>
        <v>3585219763.9690809</v>
      </c>
      <c r="S19">
        <f t="shared" ref="S19" si="73">R19/100000</f>
        <v>35852.197639690807</v>
      </c>
      <c r="T19">
        <f t="shared" ref="T19" si="74">S19/1000</f>
        <v>35.852197639690807</v>
      </c>
    </row>
    <row r="20" spans="1:20" x14ac:dyDescent="0.25">
      <c r="A20" s="5">
        <v>44573</v>
      </c>
      <c r="B20">
        <v>0.30238999999999999</v>
      </c>
      <c r="C20">
        <v>0.34899999999999998</v>
      </c>
      <c r="D20">
        <v>0.30202000000000001</v>
      </c>
      <c r="E20">
        <v>0.34477999999999998</v>
      </c>
      <c r="F20">
        <v>487559503</v>
      </c>
      <c r="G20">
        <v>0.34477999999999998</v>
      </c>
      <c r="L20" t="s">
        <v>8</v>
      </c>
      <c r="M20" t="s">
        <v>8</v>
      </c>
      <c r="N20" t="s">
        <v>8</v>
      </c>
      <c r="P20">
        <f t="shared" ref="P20" si="75">IF(C20=D20,0,((E20-D20)-(C20-E20))/(C20-D20))</f>
        <v>0.8203490847169006</v>
      </c>
      <c r="Q20">
        <f t="shared" ref="Q20" si="76">F20*P20</f>
        <v>399968992.03107697</v>
      </c>
      <c r="R20">
        <f t="shared" ref="R20" si="77">R21+Q20</f>
        <v>3533392354.8599563</v>
      </c>
      <c r="S20">
        <f t="shared" ref="S20" si="78">R20/100000</f>
        <v>35333.92354859956</v>
      </c>
      <c r="T20">
        <f t="shared" ref="T20" si="79">S20/1000</f>
        <v>35.333923548599557</v>
      </c>
    </row>
    <row r="21" spans="1:20" x14ac:dyDescent="0.25">
      <c r="A21" s="5">
        <v>44572</v>
      </c>
      <c r="B21">
        <v>0.27498</v>
      </c>
      <c r="C21">
        <v>0.30723</v>
      </c>
      <c r="D21">
        <v>0.27</v>
      </c>
      <c r="E21">
        <v>0.30238999999999999</v>
      </c>
      <c r="F21">
        <v>352532372.30000001</v>
      </c>
      <c r="G21">
        <v>0.30238999999999999</v>
      </c>
      <c r="L21" t="s">
        <v>8</v>
      </c>
      <c r="M21" t="s">
        <v>8</v>
      </c>
      <c r="N21" t="s">
        <v>8</v>
      </c>
      <c r="P21">
        <f t="shared" ref="P21" si="80">IF(C21=D21,0,((E21-D21)-(C21-E21))/(C21-D21))</f>
        <v>0.73999462798818083</v>
      </c>
      <c r="Q21">
        <f t="shared" ref="Q21" si="81">F21*P21</f>
        <v>260872061.69392937</v>
      </c>
      <c r="R21">
        <f t="shared" ref="R21" si="82">R22+Q21</f>
        <v>3133423362.8288794</v>
      </c>
      <c r="S21">
        <f t="shared" ref="S21" si="83">R21/100000</f>
        <v>31334.233628288792</v>
      </c>
      <c r="T21">
        <f t="shared" ref="T21" si="84">S21/1000</f>
        <v>31.334233628288793</v>
      </c>
    </row>
    <row r="22" spans="1:20" x14ac:dyDescent="0.25">
      <c r="A22" s="5">
        <v>44571</v>
      </c>
      <c r="B22">
        <v>0.29054999999999997</v>
      </c>
      <c r="C22">
        <v>0.29530000000000001</v>
      </c>
      <c r="D22">
        <v>0.25379000000000002</v>
      </c>
      <c r="E22">
        <v>0.27485999999999999</v>
      </c>
      <c r="F22">
        <v>480788758.80000001</v>
      </c>
      <c r="G22">
        <v>0.27485999999999999</v>
      </c>
      <c r="L22" t="s">
        <v>7</v>
      </c>
      <c r="M22" t="s">
        <v>7</v>
      </c>
      <c r="N22" t="s">
        <v>8</v>
      </c>
      <c r="P22">
        <f t="shared" ref="P22" si="85">IF(C22=D22,0,((E22-D22)-(C22-E22))/(C22-D22))</f>
        <v>1.5177065767284125E-2</v>
      </c>
      <c r="Q22">
        <f t="shared" ref="Q22" si="86">F22*P22</f>
        <v>7296962.612478504</v>
      </c>
      <c r="R22">
        <f t="shared" ref="R22" si="87">R23+Q22</f>
        <v>2872551301.1349502</v>
      </c>
      <c r="S22">
        <f t="shared" ref="S22" si="88">R22/100000</f>
        <v>28725.513011349503</v>
      </c>
      <c r="T22">
        <f t="shared" ref="T22" si="89">S22/1000</f>
        <v>28.725513011349502</v>
      </c>
    </row>
    <row r="23" spans="1:20" x14ac:dyDescent="0.25">
      <c r="A23" s="5">
        <v>44570</v>
      </c>
      <c r="B23">
        <v>0.30620999999999998</v>
      </c>
      <c r="C23">
        <v>0.32500000000000001</v>
      </c>
      <c r="D23">
        <v>0.28866999999999998</v>
      </c>
      <c r="E23">
        <v>0.29049999999999998</v>
      </c>
      <c r="F23">
        <v>419756099.69999999</v>
      </c>
      <c r="G23">
        <v>0.29049999999999998</v>
      </c>
      <c r="L23" t="s">
        <v>7</v>
      </c>
      <c r="M23" t="s">
        <v>8</v>
      </c>
      <c r="N23" t="s">
        <v>8</v>
      </c>
      <c r="P23">
        <f t="shared" ref="P23" si="90">IF(C23=D23,0,((E23-D23)-(C23-E23))/(C23-D23))</f>
        <v>-0.89925681255161038</v>
      </c>
      <c r="Q23">
        <f t="shared" ref="Q23" si="91">F23*P23</f>
        <v>-377468532.26531798</v>
      </c>
      <c r="R23">
        <f t="shared" ref="R23" si="92">R24+Q23</f>
        <v>2865254338.5224714</v>
      </c>
      <c r="S23">
        <f t="shared" ref="S23" si="93">R23/100000</f>
        <v>28652.543385224715</v>
      </c>
      <c r="T23">
        <f t="shared" ref="T23" si="94">S23/1000</f>
        <v>28.652543385224714</v>
      </c>
    </row>
    <row r="24" spans="1:20" x14ac:dyDescent="0.25">
      <c r="A24" s="5">
        <v>44569</v>
      </c>
      <c r="B24">
        <v>0.30292000000000002</v>
      </c>
      <c r="C24">
        <v>0.33</v>
      </c>
      <c r="D24">
        <v>0.28177999999999997</v>
      </c>
      <c r="E24">
        <v>0.30625999999999998</v>
      </c>
      <c r="F24">
        <v>576378368.20000005</v>
      </c>
      <c r="G24">
        <v>0.30625999999999998</v>
      </c>
      <c r="L24" t="s">
        <v>8</v>
      </c>
      <c r="M24" t="s">
        <v>8</v>
      </c>
      <c r="N24" t="s">
        <v>8</v>
      </c>
      <c r="P24">
        <f t="shared" ref="P24" si="95">IF(C24=D24,0,((E24-D24)-(C24-E24))/(C24-D24))</f>
        <v>1.5346329323931197E-2</v>
      </c>
      <c r="Q24">
        <f t="shared" ref="Q24" si="96">F24*P24</f>
        <v>8845292.2535872739</v>
      </c>
      <c r="R24">
        <f t="shared" ref="R24" si="97">R25+Q24</f>
        <v>3242722870.7877893</v>
      </c>
      <c r="S24">
        <f t="shared" ref="S24" si="98">R24/100000</f>
        <v>32427.228707877894</v>
      </c>
      <c r="T24">
        <f t="shared" ref="T24" si="99">S24/1000</f>
        <v>32.427228707877894</v>
      </c>
    </row>
    <row r="25" spans="1:20" x14ac:dyDescent="0.25">
      <c r="A25" s="5">
        <v>44568</v>
      </c>
      <c r="B25">
        <v>0.30895</v>
      </c>
      <c r="C25">
        <v>0.32750000000000001</v>
      </c>
      <c r="D25">
        <v>0.27717000000000003</v>
      </c>
      <c r="E25">
        <v>0.30274000000000001</v>
      </c>
      <c r="F25">
        <v>806438884.70000005</v>
      </c>
      <c r="G25">
        <v>0.30274000000000001</v>
      </c>
      <c r="L25" t="s">
        <v>8</v>
      </c>
      <c r="M25" t="s">
        <v>8</v>
      </c>
      <c r="N25" t="s">
        <v>8</v>
      </c>
      <c r="P25">
        <f t="shared" ref="P25" si="100">IF(C25=D25,0,((E25-D25)-(C25-E25))/(C25-D25))</f>
        <v>1.6093781045101879E-2</v>
      </c>
      <c r="Q25">
        <f t="shared" ref="Q25" si="101">F25*P25</f>
        <v>12978650.83661796</v>
      </c>
      <c r="R25">
        <f t="shared" ref="R25" si="102">R26+Q25</f>
        <v>3233877578.5342021</v>
      </c>
      <c r="S25">
        <f t="shared" ref="S25" si="103">R25/100000</f>
        <v>32338.775785342023</v>
      </c>
      <c r="T25">
        <f t="shared" ref="T25" si="104">S25/1000</f>
        <v>32.338775785342023</v>
      </c>
    </row>
    <row r="26" spans="1:20" x14ac:dyDescent="0.25">
      <c r="A26" s="5">
        <v>44567</v>
      </c>
      <c r="B26">
        <v>0.27949000000000002</v>
      </c>
      <c r="C26">
        <v>0.31301000000000001</v>
      </c>
      <c r="D26">
        <v>0.26741999999999999</v>
      </c>
      <c r="E26">
        <v>0.30895</v>
      </c>
      <c r="F26">
        <v>465507009.39999998</v>
      </c>
      <c r="G26">
        <v>0.30895</v>
      </c>
      <c r="L26" t="s">
        <v>8</v>
      </c>
      <c r="M26" t="s">
        <v>8</v>
      </c>
      <c r="N26" t="s">
        <v>8</v>
      </c>
      <c r="P26">
        <f t="shared" ref="P26" si="105">IF(C26=D26,0,((E26-D26)-(C26-E26))/(C26-D26))</f>
        <v>0.82189076551875384</v>
      </c>
      <c r="Q26">
        <f t="shared" ref="Q26" si="106">F26*P26</f>
        <v>382595912.3101117</v>
      </c>
      <c r="R26">
        <f t="shared" ref="R26" si="107">R27+Q26</f>
        <v>3220898927.6975842</v>
      </c>
      <c r="S26">
        <f t="shared" ref="S26" si="108">R26/100000</f>
        <v>32208.989276975841</v>
      </c>
      <c r="T26">
        <f t="shared" ref="T26" si="109">S26/1000</f>
        <v>32.208989276975842</v>
      </c>
    </row>
    <row r="27" spans="1:20" x14ac:dyDescent="0.25">
      <c r="A27" s="5">
        <v>44566</v>
      </c>
      <c r="B27">
        <v>0.30264999999999997</v>
      </c>
      <c r="C27">
        <v>0.32907999999999998</v>
      </c>
      <c r="D27">
        <v>0.25711000000000001</v>
      </c>
      <c r="E27">
        <v>0.27949000000000002</v>
      </c>
      <c r="F27">
        <v>466005710.5</v>
      </c>
      <c r="G27">
        <v>0.27949000000000002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-0.37807419758232547</v>
      </c>
      <c r="Q27">
        <f t="shared" ref="Q27" si="111">F27*P27</f>
        <v>-176184735.06606895</v>
      </c>
      <c r="R27">
        <f t="shared" ref="R27" si="112">R28+Q27</f>
        <v>2838303015.3874726</v>
      </c>
      <c r="S27">
        <f t="shared" ref="S27" si="113">R27/100000</f>
        <v>28383.030153874726</v>
      </c>
      <c r="T27">
        <f t="shared" ref="T27" si="114">S27/1000</f>
        <v>28.383030153874728</v>
      </c>
    </row>
    <row r="28" spans="1:20" x14ac:dyDescent="0.25">
      <c r="A28" s="5">
        <v>44565</v>
      </c>
      <c r="B28">
        <v>0.31234000000000001</v>
      </c>
      <c r="C28">
        <v>0.33100000000000002</v>
      </c>
      <c r="D28">
        <v>0.30041000000000001</v>
      </c>
      <c r="E28">
        <v>0.30284</v>
      </c>
      <c r="F28">
        <v>436499466.69999999</v>
      </c>
      <c r="G28">
        <v>0.30284</v>
      </c>
      <c r="L28" t="s">
        <v>8</v>
      </c>
      <c r="M28" t="s">
        <v>8</v>
      </c>
      <c r="N28" t="s">
        <v>8</v>
      </c>
      <c r="P28">
        <f t="shared" ref="P28" si="115">IF(C28=D28,0,((E28-D28)-(C28-E28))/(C28-D28))</f>
        <v>-0.84112455050670232</v>
      </c>
      <c r="Q28">
        <f t="shared" ref="Q28" si="116">F28*P28</f>
        <v>-367150417.72445279</v>
      </c>
      <c r="R28">
        <f t="shared" ref="R28" si="117">R29+Q28</f>
        <v>3014487750.4535418</v>
      </c>
      <c r="S28">
        <f t="shared" ref="S28" si="118">R28/100000</f>
        <v>30144.877504535416</v>
      </c>
      <c r="T28">
        <f t="shared" ref="T28" si="119">S28/1000</f>
        <v>30.144877504535415</v>
      </c>
    </row>
    <row r="29" spans="1:20" x14ac:dyDescent="0.25">
      <c r="A29" s="5">
        <v>44564</v>
      </c>
      <c r="B29">
        <v>0.29215999999999998</v>
      </c>
      <c r="C29">
        <v>0.318</v>
      </c>
      <c r="D29">
        <v>0.28015000000000001</v>
      </c>
      <c r="E29">
        <v>0.31219999999999998</v>
      </c>
      <c r="F29">
        <v>458734075.69999999</v>
      </c>
      <c r="G29">
        <v>0.31219999999999998</v>
      </c>
      <c r="L29" t="s">
        <v>8</v>
      </c>
      <c r="M29" t="s">
        <v>8</v>
      </c>
      <c r="N29" t="s">
        <v>8</v>
      </c>
      <c r="P29">
        <f t="shared" ref="P29" si="120">IF(C29=D29,0,((E29-D29)-(C29-E29))/(C29-D29))</f>
        <v>0.69352708058124024</v>
      </c>
      <c r="Q29">
        <f t="shared" ref="Q29" si="121">F29*P29</f>
        <v>318144504.28335464</v>
      </c>
      <c r="R29">
        <f t="shared" ref="R29" si="122">R30+Q29</f>
        <v>3381638168.1779947</v>
      </c>
      <c r="S29">
        <f t="shared" ref="S29" si="123">R29/100000</f>
        <v>33816.381681779945</v>
      </c>
      <c r="T29">
        <f t="shared" ref="T29" si="124">S29/1000</f>
        <v>33.816381681779944</v>
      </c>
    </row>
    <row r="30" spans="1:20" x14ac:dyDescent="0.25">
      <c r="A30" s="5">
        <v>44563</v>
      </c>
      <c r="B30">
        <v>0.26790000000000003</v>
      </c>
      <c r="C30">
        <v>0.29524</v>
      </c>
      <c r="D30">
        <v>0.26604</v>
      </c>
      <c r="E30">
        <v>0.29210999999999998</v>
      </c>
      <c r="F30">
        <v>443597120.60000002</v>
      </c>
      <c r="G30">
        <v>0.29210999999999998</v>
      </c>
      <c r="L30" t="s">
        <v>8</v>
      </c>
      <c r="M30" t="s">
        <v>8</v>
      </c>
      <c r="N30" t="s">
        <v>8</v>
      </c>
      <c r="P30">
        <f t="shared" ref="P30" si="125">IF(C30=D30,0,((E30-D30)-(C30-E30))/(C30-D30))</f>
        <v>0.7856164383561629</v>
      </c>
      <c r="Q30">
        <f t="shared" ref="Q30" si="126">F30*P30</f>
        <v>348497189.95082128</v>
      </c>
      <c r="R30">
        <f t="shared" ref="R30" si="127">R31+Q30</f>
        <v>3063493663.89464</v>
      </c>
      <c r="S30">
        <f t="shared" ref="S30" si="128">R30/100000</f>
        <v>30634.936638946401</v>
      </c>
      <c r="T30">
        <f t="shared" ref="T30" si="129">S30/1000</f>
        <v>30.6349366389464</v>
      </c>
    </row>
    <row r="31" spans="1:20" x14ac:dyDescent="0.25">
      <c r="A31" s="5">
        <v>44562</v>
      </c>
      <c r="B31">
        <v>0.23358000000000001</v>
      </c>
      <c r="C31">
        <v>0.26889999999999997</v>
      </c>
      <c r="D31">
        <v>0.23347999999999999</v>
      </c>
      <c r="E31">
        <v>0.26794000000000001</v>
      </c>
      <c r="F31">
        <v>235809417.09999999</v>
      </c>
      <c r="G31">
        <v>0.26794000000000001</v>
      </c>
      <c r="L31" t="s">
        <v>8</v>
      </c>
      <c r="M31" t="s">
        <v>8</v>
      </c>
      <c r="N31" t="s">
        <v>8</v>
      </c>
      <c r="P31">
        <f t="shared" ref="P31" si="130">IF(C31=D31,0,((E31-D31)-(C31-E31))/(C31-D31))</f>
        <v>0.94579333709768709</v>
      </c>
      <c r="Q31">
        <f t="shared" ref="Q31" si="131">F31*P31</f>
        <v>223026975.51806939</v>
      </c>
      <c r="R31">
        <f t="shared" ref="R31" si="132">R32+Q31</f>
        <v>2714996473.9438186</v>
      </c>
      <c r="S31">
        <f t="shared" ref="S31" si="133">R31/100000</f>
        <v>27149.964739438186</v>
      </c>
      <c r="T31">
        <f t="shared" ref="T31" si="134">S31/1000</f>
        <v>27.149964739438186</v>
      </c>
    </row>
    <row r="32" spans="1:20" x14ac:dyDescent="0.25">
      <c r="A32" s="5">
        <v>44561</v>
      </c>
      <c r="B32">
        <v>0.22872999999999999</v>
      </c>
      <c r="C32">
        <v>0.24329999999999999</v>
      </c>
      <c r="D32">
        <v>0.22359000000000001</v>
      </c>
      <c r="E32">
        <v>0.23352999999999999</v>
      </c>
      <c r="F32">
        <v>153344741.5</v>
      </c>
      <c r="G32">
        <v>0.23352999999999999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8.6250634195827458E-3</v>
      </c>
      <c r="Q32">
        <f t="shared" ref="Q32" si="136">F32*P32</f>
        <v>1322608.1204970223</v>
      </c>
      <c r="R32">
        <f t="shared" ref="R32" si="137">R33+Q32</f>
        <v>2491969498.4257493</v>
      </c>
      <c r="S32">
        <f t="shared" ref="S32" si="138">R32/100000</f>
        <v>24919.694984257494</v>
      </c>
      <c r="T32">
        <f t="shared" ref="T32" si="139">S32/1000</f>
        <v>24.919694984257493</v>
      </c>
    </row>
    <row r="33" spans="1:20" x14ac:dyDescent="0.25">
      <c r="A33" s="5">
        <v>44560</v>
      </c>
      <c r="B33">
        <v>0.22506999999999999</v>
      </c>
      <c r="C33">
        <v>0.23447999999999999</v>
      </c>
      <c r="D33">
        <v>0.21725</v>
      </c>
      <c r="E33">
        <v>0.22874</v>
      </c>
      <c r="F33">
        <v>121037680</v>
      </c>
      <c r="G33">
        <v>0.22874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0.33372025536854361</v>
      </c>
      <c r="Q33">
        <f t="shared" ref="Q33" si="141">F33*P33</f>
        <v>40392725.478816062</v>
      </c>
      <c r="R33">
        <f t="shared" ref="R33" si="142">R34+Q33</f>
        <v>2490646890.3052521</v>
      </c>
      <c r="S33">
        <f t="shared" ref="S33" si="143">R33/100000</f>
        <v>24906.468903052522</v>
      </c>
      <c r="T33">
        <f t="shared" ref="T33" si="144">S33/1000</f>
        <v>24.906468903052524</v>
      </c>
    </row>
    <row r="34" spans="1:20" x14ac:dyDescent="0.25">
      <c r="A34" s="5">
        <v>44559</v>
      </c>
      <c r="B34">
        <v>0.23630000000000001</v>
      </c>
      <c r="C34">
        <v>0.24443000000000001</v>
      </c>
      <c r="D34">
        <v>0.222</v>
      </c>
      <c r="E34">
        <v>0.22528000000000001</v>
      </c>
      <c r="F34">
        <v>164271446</v>
      </c>
      <c r="G34">
        <v>0.22528000000000001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-0.70753455193936654</v>
      </c>
      <c r="Q34">
        <f t="shared" ref="Q34" si="146">F34*P34</f>
        <v>-116227723.94204184</v>
      </c>
      <c r="R34">
        <f t="shared" ref="R34" si="147">R35+Q34</f>
        <v>2450254164.826436</v>
      </c>
      <c r="S34">
        <f t="shared" ref="S34" si="148">R34/100000</f>
        <v>24502.54164826436</v>
      </c>
      <c r="T34">
        <f t="shared" ref="T34" si="149">S34/1000</f>
        <v>24.502541648264359</v>
      </c>
    </row>
    <row r="35" spans="1:20" x14ac:dyDescent="0.25">
      <c r="A35" s="5">
        <v>44558</v>
      </c>
      <c r="B35">
        <v>0.26223999999999997</v>
      </c>
      <c r="C35">
        <v>0.26258999999999999</v>
      </c>
      <c r="D35">
        <v>0.23386999999999999</v>
      </c>
      <c r="E35">
        <v>0.23638999999999999</v>
      </c>
      <c r="F35">
        <v>243759576.30000001</v>
      </c>
      <c r="G35">
        <v>0.23638999999999999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-0.82451253481894182</v>
      </c>
      <c r="Q35">
        <f t="shared" ref="Q35" si="151">F35*P35</f>
        <v>-200982826.14150426</v>
      </c>
      <c r="R35">
        <f t="shared" ref="R35" si="152">R36+Q35</f>
        <v>2566481888.7684779</v>
      </c>
      <c r="S35">
        <f t="shared" ref="S35" si="153">R35/100000</f>
        <v>25664.818887684778</v>
      </c>
      <c r="T35">
        <f t="shared" ref="T35" si="154">S35/1000</f>
        <v>25.664818887684778</v>
      </c>
    </row>
    <row r="36" spans="1:20" x14ac:dyDescent="0.25">
      <c r="A36" s="5">
        <v>44557</v>
      </c>
      <c r="B36">
        <v>0.26583000000000001</v>
      </c>
      <c r="C36">
        <v>0.28334999999999999</v>
      </c>
      <c r="D36">
        <v>0.26185999999999998</v>
      </c>
      <c r="E36">
        <v>0.26217000000000001</v>
      </c>
      <c r="F36">
        <v>184437684.80000001</v>
      </c>
      <c r="G36">
        <v>0.26217000000000001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-0.9711493718008346</v>
      </c>
      <c r="Q36">
        <f t="shared" ref="Q36" si="156">F36*P36</f>
        <v>-179116541.72992036</v>
      </c>
      <c r="R36">
        <f t="shared" ref="R36" si="157">R37+Q36</f>
        <v>2767464714.9099822</v>
      </c>
      <c r="S36">
        <f t="shared" ref="S36" si="158">R36/100000</f>
        <v>27674.647149099823</v>
      </c>
      <c r="T36">
        <f t="shared" ref="T36" si="159">S36/1000</f>
        <v>27.674647149099822</v>
      </c>
    </row>
    <row r="37" spans="1:20" x14ac:dyDescent="0.25">
      <c r="A37" s="5">
        <v>44556</v>
      </c>
      <c r="B37">
        <v>0.25269000000000003</v>
      </c>
      <c r="C37">
        <v>0.27362999999999998</v>
      </c>
      <c r="D37">
        <v>0.245</v>
      </c>
      <c r="E37">
        <v>0.26584000000000002</v>
      </c>
      <c r="F37">
        <v>260409940.5</v>
      </c>
      <c r="G37">
        <v>0.26584000000000002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0.45581557806496914</v>
      </c>
      <c r="Q37">
        <f t="shared" ref="Q37" si="161">F37*P37</f>
        <v>118698907.56287172</v>
      </c>
      <c r="R37">
        <f t="shared" ref="R37" si="162">R38+Q37</f>
        <v>2946581256.6399026</v>
      </c>
      <c r="S37">
        <f t="shared" ref="S37" si="163">R37/100000</f>
        <v>29465.812566399025</v>
      </c>
      <c r="T37">
        <f t="shared" ref="T37" si="164">S37/1000</f>
        <v>29.465812566399023</v>
      </c>
    </row>
    <row r="38" spans="1:20" x14ac:dyDescent="0.25">
      <c r="A38" s="5">
        <v>44555</v>
      </c>
      <c r="B38">
        <v>0.24510000000000001</v>
      </c>
      <c r="C38">
        <v>0.255</v>
      </c>
      <c r="D38">
        <v>0.24238999999999999</v>
      </c>
      <c r="E38">
        <v>0.25252999999999998</v>
      </c>
      <c r="F38">
        <v>117021680.3</v>
      </c>
      <c r="G38">
        <v>0.25252999999999998</v>
      </c>
      <c r="L38" t="s">
        <v>7</v>
      </c>
      <c r="M38" t="s">
        <v>8</v>
      </c>
      <c r="N38" t="s">
        <v>8</v>
      </c>
      <c r="P38">
        <f t="shared" ref="P38" si="165">IF(C38=D38,0,((E38-D38)-(C38-E38))/(C38-D38))</f>
        <v>0.60824742268040832</v>
      </c>
      <c r="Q38">
        <f t="shared" ref="Q38" si="166">F38*P38</f>
        <v>71178135.440205708</v>
      </c>
      <c r="R38">
        <f t="shared" ref="R38" si="167">R39+Q38</f>
        <v>2827882349.0770307</v>
      </c>
      <c r="S38">
        <f t="shared" ref="S38" si="168">R38/100000</f>
        <v>28278.823490770308</v>
      </c>
      <c r="T38">
        <f t="shared" ref="T38" si="169">S38/1000</f>
        <v>28.278823490770307</v>
      </c>
    </row>
    <row r="39" spans="1:20" x14ac:dyDescent="0.25">
      <c r="A39" s="5">
        <v>44554</v>
      </c>
      <c r="B39">
        <v>0.25669999999999998</v>
      </c>
      <c r="C39">
        <v>0.26169999999999999</v>
      </c>
      <c r="D39">
        <v>0.23955000000000001</v>
      </c>
      <c r="E39">
        <v>0.24493999999999999</v>
      </c>
      <c r="F39">
        <v>205071471.80000001</v>
      </c>
      <c r="G39">
        <v>0.24493999999999999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-0.51331828442438066</v>
      </c>
      <c r="Q39">
        <f t="shared" ref="Q39" si="171">F39*P39</f>
        <v>-105266936.08875877</v>
      </c>
      <c r="R39">
        <f t="shared" ref="R39" si="172">R40+Q39</f>
        <v>2756704213.6368251</v>
      </c>
      <c r="S39">
        <f t="shared" ref="S39" si="173">R39/100000</f>
        <v>27567.042136368251</v>
      </c>
      <c r="T39">
        <f t="shared" ref="T39" si="174">S39/1000</f>
        <v>27.567042136368251</v>
      </c>
    </row>
    <row r="40" spans="1:20" x14ac:dyDescent="0.25">
      <c r="A40" s="5">
        <v>44553</v>
      </c>
      <c r="B40">
        <v>0.24454999999999999</v>
      </c>
      <c r="C40">
        <v>0.26150000000000001</v>
      </c>
      <c r="D40">
        <v>0.23588000000000001</v>
      </c>
      <c r="E40">
        <v>0.25666</v>
      </c>
      <c r="F40">
        <v>269257909.30000001</v>
      </c>
      <c r="G40">
        <v>0.25666</v>
      </c>
      <c r="L40" t="s">
        <v>7</v>
      </c>
      <c r="M40" t="s">
        <v>8</v>
      </c>
      <c r="N40" t="s">
        <v>8</v>
      </c>
      <c r="P40">
        <f t="shared" ref="P40" si="175">IF(C40=D40,0,((E40-D40)-(C40-E40))/(C40-D40))</f>
        <v>0.62217017954722798</v>
      </c>
      <c r="Q40">
        <f t="shared" ref="Q40" si="176">F40*P40</f>
        <v>167524241.77369222</v>
      </c>
      <c r="R40">
        <f t="shared" ref="R40" si="177">R41+Q40</f>
        <v>2861971149.725584</v>
      </c>
      <c r="S40">
        <f t="shared" ref="S40" si="178">R40/100000</f>
        <v>28619.711497255841</v>
      </c>
      <c r="T40">
        <f t="shared" ref="T40" si="179">S40/1000</f>
        <v>28.619711497255842</v>
      </c>
    </row>
    <row r="41" spans="1:20" x14ac:dyDescent="0.25">
      <c r="A41" s="5">
        <v>44552</v>
      </c>
      <c r="B41">
        <v>0.23938000000000001</v>
      </c>
      <c r="C41">
        <v>0.26695000000000002</v>
      </c>
      <c r="D41">
        <v>0.23782</v>
      </c>
      <c r="E41">
        <v>0.24454999999999999</v>
      </c>
      <c r="F41">
        <v>334111544.60000002</v>
      </c>
      <c r="G41">
        <v>0.24454999999999999</v>
      </c>
      <c r="L41" t="s">
        <v>8</v>
      </c>
      <c r="M41" t="s">
        <v>8</v>
      </c>
      <c r="N41" t="s">
        <v>8</v>
      </c>
      <c r="P41">
        <f t="shared" ref="P41" si="180">IF(C41=D41,0,((E41-D41)-(C41-E41))/(C41-D41))</f>
        <v>-0.53793340199107575</v>
      </c>
      <c r="Q41">
        <f t="shared" ref="Q41" si="181">F41*P41</f>
        <v>-179729759.83117104</v>
      </c>
      <c r="R41">
        <f t="shared" ref="R41" si="182">R42+Q41</f>
        <v>2694446907.9518919</v>
      </c>
      <c r="S41">
        <f t="shared" ref="S41" si="183">R41/100000</f>
        <v>26944.46907951892</v>
      </c>
      <c r="T41">
        <f t="shared" ref="T41" si="184">S41/1000</f>
        <v>26.944469079518921</v>
      </c>
    </row>
    <row r="42" spans="1:20" x14ac:dyDescent="0.25">
      <c r="A42" s="5">
        <v>44551</v>
      </c>
      <c r="B42">
        <v>0.23777999999999999</v>
      </c>
      <c r="C42">
        <v>0.25242999999999999</v>
      </c>
      <c r="D42">
        <v>0.23416999999999999</v>
      </c>
      <c r="E42">
        <v>0.23929</v>
      </c>
      <c r="F42">
        <v>303880672.80000001</v>
      </c>
      <c r="G42">
        <v>0.23929</v>
      </c>
      <c r="L42" t="s">
        <v>7</v>
      </c>
      <c r="M42" t="s">
        <v>8</v>
      </c>
      <c r="N42" t="s">
        <v>8</v>
      </c>
      <c r="P42">
        <f t="shared" ref="P42" si="185">IF(C42=D42,0,((E42-D42)-(C42-E42))/(C42-D42))</f>
        <v>-0.43921139101861839</v>
      </c>
      <c r="Q42">
        <f t="shared" ref="Q42" si="186">F42*P42</f>
        <v>-133467853.00416164</v>
      </c>
      <c r="R42">
        <f t="shared" ref="R42" si="187">R43+Q42</f>
        <v>2874176667.7830629</v>
      </c>
      <c r="S42">
        <f t="shared" ref="S42" si="188">R42/100000</f>
        <v>28741.76667783063</v>
      </c>
      <c r="T42">
        <f t="shared" ref="T42" si="189">S42/1000</f>
        <v>28.741766677830629</v>
      </c>
    </row>
    <row r="43" spans="1:20" x14ac:dyDescent="0.25">
      <c r="A43" s="5">
        <v>44550</v>
      </c>
      <c r="B43">
        <v>0.24549000000000001</v>
      </c>
      <c r="C43">
        <v>0.25219000000000003</v>
      </c>
      <c r="D43">
        <v>0.20695</v>
      </c>
      <c r="E43">
        <v>0.23777000000000001</v>
      </c>
      <c r="F43">
        <v>574167443.39999998</v>
      </c>
      <c r="G43">
        <v>0.23777000000000001</v>
      </c>
      <c r="L43" t="s">
        <v>8</v>
      </c>
      <c r="M43" t="s">
        <v>7</v>
      </c>
      <c r="N43" t="s">
        <v>8</v>
      </c>
      <c r="P43">
        <f t="shared" ref="P43" si="190">IF(C43=D43,0,((E43-D43)-(C43-E43))/(C43-D43))</f>
        <v>0.36251105216622431</v>
      </c>
      <c r="Q43">
        <f t="shared" ref="Q43" si="191">F43*P43</f>
        <v>208142044.02652505</v>
      </c>
      <c r="R43">
        <f t="shared" ref="R43" si="192">R44+Q43</f>
        <v>3007644520.7872248</v>
      </c>
      <c r="S43">
        <f t="shared" ref="S43" si="193">R43/100000</f>
        <v>30076.445207872246</v>
      </c>
      <c r="T43">
        <f t="shared" ref="T43" si="194">S43/1000</f>
        <v>30.076445207872247</v>
      </c>
    </row>
    <row r="44" spans="1:20" x14ac:dyDescent="0.25">
      <c r="A44" s="5">
        <v>44549</v>
      </c>
      <c r="B44">
        <v>0.20943000000000001</v>
      </c>
      <c r="C44">
        <v>0.24904000000000001</v>
      </c>
      <c r="D44">
        <v>0.20391000000000001</v>
      </c>
      <c r="E44">
        <v>0.24540000000000001</v>
      </c>
      <c r="F44">
        <v>424797233.19999999</v>
      </c>
      <c r="G44">
        <v>0.24540000000000001</v>
      </c>
      <c r="L44" t="s">
        <v>8</v>
      </c>
      <c r="M44" t="s">
        <v>8</v>
      </c>
      <c r="N44" t="s">
        <v>8</v>
      </c>
      <c r="P44">
        <f t="shared" ref="P44" si="195">IF(C44=D44,0,((E44-D44)-(C44-E44))/(C44-D44))</f>
        <v>0.83868823399069337</v>
      </c>
      <c r="Q44">
        <f t="shared" ref="Q44" si="196">F44*P44</f>
        <v>356272441.31664073</v>
      </c>
      <c r="R44">
        <f t="shared" ref="R44" si="197">R45+Q44</f>
        <v>2799502476.7606997</v>
      </c>
      <c r="S44">
        <f t="shared" ref="S44" si="198">R44/100000</f>
        <v>27995.024767606996</v>
      </c>
      <c r="T44">
        <f t="shared" ref="T44" si="199">S44/1000</f>
        <v>27.995024767606996</v>
      </c>
    </row>
    <row r="45" spans="1:20" x14ac:dyDescent="0.25">
      <c r="A45" s="5">
        <v>44548</v>
      </c>
      <c r="B45">
        <v>0.20039000000000001</v>
      </c>
      <c r="C45">
        <v>0.21525</v>
      </c>
      <c r="D45">
        <v>0.19253999999999999</v>
      </c>
      <c r="E45">
        <v>0.20932000000000001</v>
      </c>
      <c r="F45">
        <v>183965933.40000001</v>
      </c>
      <c r="G45">
        <v>0.20932000000000001</v>
      </c>
      <c r="L45" t="s">
        <v>8</v>
      </c>
      <c r="M45" t="s">
        <v>8</v>
      </c>
      <c r="N45" t="s">
        <v>8</v>
      </c>
      <c r="P45">
        <f t="shared" ref="P45" si="200">IF(C45=D45,0,((E45-D45)-(C45-E45))/(C45-D45))</f>
        <v>0.47776309995596755</v>
      </c>
      <c r="Q45">
        <f t="shared" ref="Q45" si="201">F45*P45</f>
        <v>87892134.62747708</v>
      </c>
      <c r="R45">
        <f t="shared" ref="R45" si="202">R46+Q45</f>
        <v>2443230035.4440589</v>
      </c>
      <c r="S45">
        <f t="shared" ref="S45" si="203">R45/100000</f>
        <v>24432.300354440587</v>
      </c>
      <c r="T45">
        <f t="shared" ref="T45" si="204">S45/1000</f>
        <v>24.432300354440589</v>
      </c>
    </row>
    <row r="46" spans="1:20" x14ac:dyDescent="0.25">
      <c r="A46" s="5">
        <v>44547</v>
      </c>
      <c r="B46">
        <v>0.19525000000000001</v>
      </c>
      <c r="C46">
        <v>0.20891999999999999</v>
      </c>
      <c r="D46">
        <v>0.18279999999999999</v>
      </c>
      <c r="E46">
        <v>0.20041</v>
      </c>
      <c r="F46">
        <v>231582403.80000001</v>
      </c>
      <c r="G46">
        <v>0.20041</v>
      </c>
      <c r="L46" t="s">
        <v>7</v>
      </c>
      <c r="M46" t="s">
        <v>8</v>
      </c>
      <c r="N46" t="s">
        <v>8</v>
      </c>
      <c r="P46">
        <f t="shared" ref="P46" si="205">IF(C46=D46,0,((E46-D46)-(C46-E46))/(C46-D46))</f>
        <v>0.34839203675344654</v>
      </c>
      <c r="Q46">
        <f t="shared" ref="Q46" si="206">F46*P46</f>
        <v>80681465.336141109</v>
      </c>
      <c r="R46">
        <f t="shared" ref="R46" si="207">R47+Q46</f>
        <v>2355337900.8165817</v>
      </c>
      <c r="S46">
        <f t="shared" ref="S46" si="208">R46/100000</f>
        <v>23553.379008165819</v>
      </c>
      <c r="T46">
        <f t="shared" ref="T46" si="209">S46/1000</f>
        <v>23.55337900816582</v>
      </c>
    </row>
    <row r="47" spans="1:20" x14ac:dyDescent="0.25">
      <c r="A47" s="5">
        <v>44546</v>
      </c>
      <c r="B47">
        <v>0.18970000000000001</v>
      </c>
      <c r="C47">
        <v>0.21292</v>
      </c>
      <c r="D47">
        <v>0.1895</v>
      </c>
      <c r="E47">
        <v>0.19520999999999999</v>
      </c>
      <c r="F47">
        <v>319771480.60000002</v>
      </c>
      <c r="G47">
        <v>0.19520999999999999</v>
      </c>
      <c r="L47" t="s">
        <v>8</v>
      </c>
      <c r="M47" t="s">
        <v>8</v>
      </c>
      <c r="N47" t="s">
        <v>8</v>
      </c>
      <c r="P47">
        <f t="shared" ref="P47" si="210">IF(C47=D47,0,((E47-D47)-(C47-E47))/(C47-D47))</f>
        <v>-0.51238257899231476</v>
      </c>
      <c r="Q47">
        <f t="shared" ref="Q47" si="211">F47*P47</f>
        <v>-163845335.91801897</v>
      </c>
      <c r="R47">
        <f t="shared" ref="R47" si="212">R48+Q47</f>
        <v>2274656435.4804406</v>
      </c>
      <c r="S47">
        <f t="shared" ref="S47" si="213">R47/100000</f>
        <v>22746.564354804406</v>
      </c>
      <c r="T47">
        <f t="shared" ref="T47" si="214">S47/1000</f>
        <v>22.746564354804406</v>
      </c>
    </row>
    <row r="48" spans="1:20" x14ac:dyDescent="0.25">
      <c r="A48" s="5">
        <v>44545</v>
      </c>
      <c r="B48">
        <v>0.17269000000000001</v>
      </c>
      <c r="C48">
        <v>0.2</v>
      </c>
      <c r="D48">
        <v>0.16772999999999999</v>
      </c>
      <c r="E48">
        <v>0.18962000000000001</v>
      </c>
      <c r="F48">
        <v>282166152.19999999</v>
      </c>
      <c r="G48">
        <v>0.18962000000000001</v>
      </c>
      <c r="L48" t="s">
        <v>8</v>
      </c>
      <c r="M48" t="s">
        <v>8</v>
      </c>
      <c r="N48" t="s">
        <v>8</v>
      </c>
      <c r="P48">
        <f t="shared" ref="P48" si="215">IF(C48=D48,0,((E48-D48)-(C48-E48))/(C48-D48))</f>
        <v>0.35667802912922258</v>
      </c>
      <c r="Q48">
        <f t="shared" ref="Q48" si="216">F48*P48</f>
        <v>100642467.05367225</v>
      </c>
      <c r="R48">
        <f t="shared" ref="R48" si="217">R49+Q48</f>
        <v>2438501771.3984594</v>
      </c>
      <c r="S48">
        <f t="shared" ref="S48" si="218">R48/100000</f>
        <v>24385.017713984595</v>
      </c>
      <c r="T48">
        <f t="shared" ref="T48" si="219">S48/1000</f>
        <v>24.385017713984595</v>
      </c>
    </row>
    <row r="49" spans="1:20" x14ac:dyDescent="0.25">
      <c r="A49" s="5">
        <v>44544</v>
      </c>
      <c r="B49">
        <v>0.16805</v>
      </c>
      <c r="C49">
        <v>0.17396</v>
      </c>
      <c r="D49">
        <v>0.16369</v>
      </c>
      <c r="E49">
        <v>0.17258000000000001</v>
      </c>
      <c r="F49">
        <v>139958756.90000001</v>
      </c>
      <c r="G49">
        <v>0.17258000000000001</v>
      </c>
      <c r="L49" t="s">
        <v>7</v>
      </c>
      <c r="M49" t="s">
        <v>7</v>
      </c>
      <c r="N49" t="s">
        <v>8</v>
      </c>
      <c r="P49">
        <f t="shared" ref="P49" si="220">IF(C49=D49,0,((E49-D49)-(C49-E49))/(C49-D49))</f>
        <v>0.73125608568646694</v>
      </c>
      <c r="Q49">
        <f t="shared" ref="Q49" si="221">F49*P49</f>
        <v>102345692.72823779</v>
      </c>
      <c r="R49">
        <f t="shared" ref="R49" si="222">R50+Q49</f>
        <v>2337859304.3447871</v>
      </c>
      <c r="S49">
        <f t="shared" ref="S49" si="223">R49/100000</f>
        <v>23378.593043447872</v>
      </c>
      <c r="T49">
        <f t="shared" ref="T49" si="224">S49/1000</f>
        <v>23.378593043447871</v>
      </c>
    </row>
    <row r="50" spans="1:20" x14ac:dyDescent="0.25">
      <c r="A50" s="5">
        <v>44543</v>
      </c>
      <c r="B50">
        <v>0.18822</v>
      </c>
      <c r="C50">
        <v>0.18991</v>
      </c>
      <c r="D50">
        <v>0.16411999999999999</v>
      </c>
      <c r="E50">
        <v>0.16800000000000001</v>
      </c>
      <c r="F50">
        <v>216394990.90000001</v>
      </c>
      <c r="G50">
        <v>0.16800000000000001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-0.69910818146568277</v>
      </c>
      <c r="Q50">
        <f t="shared" ref="Q50" si="226">F50*P50</f>
        <v>-151283508.56638196</v>
      </c>
      <c r="R50">
        <f t="shared" ref="R50" si="227">R51+Q50</f>
        <v>2235513611.6165495</v>
      </c>
      <c r="S50">
        <f t="shared" ref="S50" si="228">R50/100000</f>
        <v>22355.136116165493</v>
      </c>
      <c r="T50">
        <f t="shared" ref="T50" si="229">S50/1000</f>
        <v>22.355136116165493</v>
      </c>
    </row>
    <row r="51" spans="1:20" x14ac:dyDescent="0.25">
      <c r="A51" s="5">
        <v>44542</v>
      </c>
      <c r="B51">
        <v>0.1772</v>
      </c>
      <c r="C51">
        <v>0.19370999999999999</v>
      </c>
      <c r="D51">
        <v>0.17262</v>
      </c>
      <c r="E51">
        <v>0.18822</v>
      </c>
      <c r="F51">
        <v>186570946.09999999</v>
      </c>
      <c r="G51">
        <v>0.18822</v>
      </c>
      <c r="L51" t="s">
        <v>8</v>
      </c>
      <c r="M51" t="s">
        <v>8</v>
      </c>
      <c r="N51" t="s">
        <v>8</v>
      </c>
      <c r="P51">
        <f t="shared" ref="P51" si="230">IF(C51=D51,0,((E51-D51)-(C51-E51))/(C51-D51))</f>
        <v>0.47937411095305876</v>
      </c>
      <c r="Q51">
        <f t="shared" ref="Q51" si="231">F51*P51</f>
        <v>89437281.416358545</v>
      </c>
      <c r="R51">
        <f t="shared" ref="R51" si="232">R52+Q51</f>
        <v>2386797120.1829314</v>
      </c>
      <c r="S51">
        <f t="shared" ref="S51" si="233">R51/100000</f>
        <v>23867.971201829314</v>
      </c>
      <c r="T51">
        <f t="shared" ref="T51" si="234">S51/1000</f>
        <v>23.867971201829313</v>
      </c>
    </row>
    <row r="52" spans="1:20" x14ac:dyDescent="0.25">
      <c r="A52" s="5">
        <v>44541</v>
      </c>
      <c r="B52">
        <v>0.16544</v>
      </c>
      <c r="C52">
        <v>0.16799</v>
      </c>
      <c r="D52">
        <v>0.16259000000000001</v>
      </c>
      <c r="E52">
        <v>0.16733000000000001</v>
      </c>
      <c r="F52">
        <v>8778708.8000000007</v>
      </c>
      <c r="G52">
        <v>0.16733000000000001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0.75555555555555731</v>
      </c>
      <c r="Q52">
        <f t="shared" ref="Q52" si="236">F52*P52</f>
        <v>6632802.2044444606</v>
      </c>
      <c r="R52">
        <f t="shared" ref="R52" si="237">R53+Q52</f>
        <v>2297359838.766573</v>
      </c>
      <c r="S52">
        <f t="shared" ref="S52" si="238">R52/100000</f>
        <v>22973.59838766573</v>
      </c>
      <c r="T52">
        <f t="shared" ref="T52" si="239">S52/1000</f>
        <v>22.973598387665731</v>
      </c>
    </row>
    <row r="53" spans="1:20" x14ac:dyDescent="0.25">
      <c r="A53" s="5">
        <v>44540</v>
      </c>
      <c r="B53">
        <v>0.17684</v>
      </c>
      <c r="C53">
        <v>0.18481</v>
      </c>
      <c r="D53">
        <v>0.16325999999999999</v>
      </c>
      <c r="E53">
        <v>0.16535</v>
      </c>
      <c r="F53">
        <v>184251058.09999999</v>
      </c>
      <c r="G53">
        <v>0.16535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-0.80603248259860727</v>
      </c>
      <c r="Q53">
        <f t="shared" ref="Q53" si="241">F53*P53</f>
        <v>-148512337.78176323</v>
      </c>
      <c r="R53">
        <f t="shared" ref="R53" si="242">R54+Q53</f>
        <v>2290727036.5621285</v>
      </c>
      <c r="S53">
        <f t="shared" ref="S53" si="243">R53/100000</f>
        <v>22907.270365621287</v>
      </c>
      <c r="T53">
        <f t="shared" ref="T53" si="244">S53/1000</f>
        <v>22.907270365621287</v>
      </c>
    </row>
    <row r="54" spans="1:20" x14ac:dyDescent="0.25">
      <c r="A54" s="5">
        <v>44539</v>
      </c>
      <c r="B54">
        <v>0.19800999999999999</v>
      </c>
      <c r="C54">
        <v>0.20058000000000001</v>
      </c>
      <c r="D54">
        <v>0.17607999999999999</v>
      </c>
      <c r="E54">
        <v>0.17684</v>
      </c>
      <c r="F54">
        <v>172772816.19999999</v>
      </c>
      <c r="G54">
        <v>0.17684</v>
      </c>
      <c r="L54" t="s">
        <v>7</v>
      </c>
      <c r="M54" t="s">
        <v>8</v>
      </c>
      <c r="N54" t="s">
        <v>8</v>
      </c>
      <c r="P54">
        <f t="shared" ref="P54" si="245">IF(C54=D54,0,((E54-D54)-(C54-E54))/(C54-D54))</f>
        <v>-0.93795918367346853</v>
      </c>
      <c r="Q54">
        <f t="shared" ref="Q54" si="246">F54*P54</f>
        <v>-162053849.64391822</v>
      </c>
      <c r="R54">
        <f t="shared" ref="R54" si="247">R55+Q54</f>
        <v>2439239374.3438916</v>
      </c>
      <c r="S54">
        <f t="shared" ref="S54" si="248">R54/100000</f>
        <v>24392.393743438915</v>
      </c>
      <c r="T54">
        <f t="shared" ref="T54" si="249">S54/1000</f>
        <v>24.392393743438916</v>
      </c>
    </row>
    <row r="55" spans="1:20" x14ac:dyDescent="0.25">
      <c r="A55" s="5">
        <v>44538</v>
      </c>
      <c r="B55">
        <v>0.19785</v>
      </c>
      <c r="C55">
        <v>0.19966</v>
      </c>
      <c r="D55">
        <v>0.18121000000000001</v>
      </c>
      <c r="E55">
        <v>0.19797999999999999</v>
      </c>
      <c r="F55">
        <v>222094928.80000001</v>
      </c>
      <c r="G55">
        <v>0.19797999999999999</v>
      </c>
      <c r="L55" t="s">
        <v>7</v>
      </c>
      <c r="M55" t="s">
        <v>8</v>
      </c>
      <c r="N55" t="s">
        <v>8</v>
      </c>
      <c r="P55">
        <f t="shared" ref="P55" si="250">IF(C55=D55,0,((E55-D55)-(C55-E55))/(C55-D55))</f>
        <v>0.81788617886178694</v>
      </c>
      <c r="Q55">
        <f t="shared" ref="Q55" si="251">F55*P55</f>
        <v>181648372.66081265</v>
      </c>
      <c r="R55">
        <f t="shared" ref="R55" si="252">R56+Q55</f>
        <v>2601293223.9878097</v>
      </c>
      <c r="S55">
        <f t="shared" ref="S55" si="253">R55/100000</f>
        <v>26012.932239878097</v>
      </c>
      <c r="T55">
        <f t="shared" ref="T55" si="254">S55/1000</f>
        <v>26.012932239878097</v>
      </c>
    </row>
    <row r="56" spans="1:20" x14ac:dyDescent="0.25">
      <c r="A56" s="5">
        <v>44537</v>
      </c>
      <c r="B56">
        <v>0.18632000000000001</v>
      </c>
      <c r="C56">
        <v>0.20610999999999999</v>
      </c>
      <c r="D56">
        <v>0.18536</v>
      </c>
      <c r="E56">
        <v>0.19772000000000001</v>
      </c>
      <c r="F56">
        <v>354375625.5</v>
      </c>
      <c r="G56">
        <v>0.19772000000000001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0.19132530120482077</v>
      </c>
      <c r="Q56">
        <f t="shared" ref="Q56" si="256">F56*P56</f>
        <v>67801023.288434267</v>
      </c>
      <c r="R56">
        <f t="shared" ref="R56" si="257">R57+Q56</f>
        <v>2419644851.3269968</v>
      </c>
      <c r="S56">
        <f t="shared" ref="S56" si="258">R56/100000</f>
        <v>24196.448513269966</v>
      </c>
      <c r="T56">
        <f t="shared" ref="T56" si="259">S56/1000</f>
        <v>24.196448513269967</v>
      </c>
    </row>
    <row r="57" spans="1:20" x14ac:dyDescent="0.25">
      <c r="A57" s="5">
        <v>44536</v>
      </c>
      <c r="B57">
        <v>0.18274000000000001</v>
      </c>
      <c r="C57">
        <v>0.18836</v>
      </c>
      <c r="D57">
        <v>0.15728</v>
      </c>
      <c r="E57">
        <v>0.18632000000000001</v>
      </c>
      <c r="F57">
        <v>363783637.30000001</v>
      </c>
      <c r="G57">
        <v>0.18632000000000001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0.86872586872586954</v>
      </c>
      <c r="Q57">
        <f t="shared" ref="Q57" si="261">F57*P57</f>
        <v>316028256.34169912</v>
      </c>
      <c r="R57">
        <f t="shared" ref="R57" si="262">R58+Q57</f>
        <v>2351843828.0385628</v>
      </c>
      <c r="S57">
        <f t="shared" ref="S57" si="263">R57/100000</f>
        <v>23518.438280385628</v>
      </c>
      <c r="T57">
        <f t="shared" ref="T57" si="264">S57/1000</f>
        <v>23.518438280385627</v>
      </c>
    </row>
    <row r="58" spans="1:20" x14ac:dyDescent="0.25">
      <c r="A58" s="5">
        <v>44535</v>
      </c>
      <c r="B58">
        <v>0.20127999999999999</v>
      </c>
      <c r="C58">
        <v>0.20499000000000001</v>
      </c>
      <c r="D58">
        <v>0.17416999999999999</v>
      </c>
      <c r="E58">
        <v>0.18273</v>
      </c>
      <c r="F58">
        <v>254811439.69999999</v>
      </c>
      <c r="G58">
        <v>0.18273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-0.44451654769630056</v>
      </c>
      <c r="Q58">
        <f t="shared" ref="Q58" si="266">F58*P58</f>
        <v>-113267901.48896806</v>
      </c>
      <c r="R58">
        <f t="shared" ref="R58" si="267">R59+Q58</f>
        <v>2035815571.6968639</v>
      </c>
      <c r="S58">
        <f t="shared" ref="S58" si="268">R58/100000</f>
        <v>20358.155716968638</v>
      </c>
      <c r="T58">
        <f t="shared" ref="T58" si="269">S58/1000</f>
        <v>20.358155716968639</v>
      </c>
    </row>
    <row r="59" spans="1:20" x14ac:dyDescent="0.25">
      <c r="A59" s="5">
        <v>44534</v>
      </c>
      <c r="B59">
        <v>0.23091</v>
      </c>
      <c r="C59">
        <v>0.23329</v>
      </c>
      <c r="D59">
        <v>0.13500000000000001</v>
      </c>
      <c r="E59">
        <v>0.20111000000000001</v>
      </c>
      <c r="F59">
        <v>617338238.29999995</v>
      </c>
      <c r="G59">
        <v>0.20111000000000001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0.34520297080069201</v>
      </c>
      <c r="Q59">
        <f t="shared" ref="Q59" si="271">F59*P59</f>
        <v>213106993.85002553</v>
      </c>
      <c r="R59">
        <f t="shared" ref="R59" si="272">R60+Q59</f>
        <v>2149083473.185832</v>
      </c>
      <c r="S59">
        <f t="shared" ref="S59" si="273">R59/100000</f>
        <v>21490.834731858322</v>
      </c>
      <c r="T59">
        <f t="shared" ref="T59" si="274">S59/1000</f>
        <v>21.490834731858321</v>
      </c>
    </row>
    <row r="60" spans="1:20" x14ac:dyDescent="0.25">
      <c r="A60" s="5">
        <v>44533</v>
      </c>
      <c r="B60">
        <v>0.25463999999999998</v>
      </c>
      <c r="C60">
        <v>0.26166</v>
      </c>
      <c r="D60">
        <v>0.22037999999999999</v>
      </c>
      <c r="E60">
        <v>0.23139000000000001</v>
      </c>
      <c r="F60">
        <v>290694822.10000002</v>
      </c>
      <c r="G60">
        <v>0.23139000000000001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-0.46656976744185963</v>
      </c>
      <c r="Q60">
        <f t="shared" ref="Q60" si="276">F60*P60</f>
        <v>-135629415.54374978</v>
      </c>
      <c r="R60">
        <f t="shared" ref="R60" si="277">R61+Q60</f>
        <v>1935976479.3358066</v>
      </c>
      <c r="S60">
        <f t="shared" ref="S60" si="278">R60/100000</f>
        <v>19359.764793358067</v>
      </c>
      <c r="T60">
        <f t="shared" ref="T60" si="279">S60/1000</f>
        <v>19.359764793358067</v>
      </c>
    </row>
    <row r="61" spans="1:20" x14ac:dyDescent="0.25">
      <c r="A61" s="5">
        <v>44532</v>
      </c>
      <c r="B61">
        <v>0.24292</v>
      </c>
      <c r="C61">
        <v>0.25797999999999999</v>
      </c>
      <c r="D61">
        <v>0.23386000000000001</v>
      </c>
      <c r="E61">
        <v>0.25448999999999999</v>
      </c>
      <c r="F61">
        <v>267721141.69999999</v>
      </c>
      <c r="G61">
        <v>0.25448999999999999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0.71061359867330043</v>
      </c>
      <c r="Q61">
        <f t="shared" ref="Q61" si="281">F61*P61</f>
        <v>190246283.9443616</v>
      </c>
      <c r="R61">
        <f t="shared" ref="R61" si="282">R62+Q61</f>
        <v>2071605894.8795564</v>
      </c>
      <c r="S61">
        <f t="shared" ref="S61" si="283">R61/100000</f>
        <v>20716.058948795566</v>
      </c>
      <c r="T61">
        <f t="shared" ref="T61" si="284">S61/1000</f>
        <v>20.716058948795567</v>
      </c>
    </row>
    <row r="62" spans="1:20" x14ac:dyDescent="0.25">
      <c r="A62" s="5">
        <v>44531</v>
      </c>
      <c r="B62">
        <v>0.25213999999999998</v>
      </c>
      <c r="C62">
        <v>0.25925999999999999</v>
      </c>
      <c r="D62">
        <v>0.23998</v>
      </c>
      <c r="E62">
        <v>0.24303</v>
      </c>
      <c r="F62">
        <v>185706904.69999999</v>
      </c>
      <c r="G62">
        <v>0.24303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-0.68360995850622419</v>
      </c>
      <c r="Q62">
        <f t="shared" ref="Q62" si="286">F62*P62</f>
        <v>-126951089.41628632</v>
      </c>
      <c r="R62">
        <f t="shared" ref="R62" si="287">R63+Q62</f>
        <v>1881359610.9351947</v>
      </c>
      <c r="S62">
        <f t="shared" ref="S62" si="288">R62/100000</f>
        <v>18813.596109351947</v>
      </c>
      <c r="T62">
        <f t="shared" ref="T62" si="289">S62/1000</f>
        <v>18.813596109351948</v>
      </c>
    </row>
    <row r="63" spans="1:20" x14ac:dyDescent="0.25">
      <c r="A63" s="5">
        <v>44530</v>
      </c>
      <c r="B63">
        <v>0.26884000000000002</v>
      </c>
      <c r="C63">
        <v>0.27193000000000001</v>
      </c>
      <c r="D63">
        <v>0.25009999999999999</v>
      </c>
      <c r="E63">
        <v>0.25213999999999998</v>
      </c>
      <c r="F63">
        <v>200319476</v>
      </c>
      <c r="G63">
        <v>0.25213999999999998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-0.81310123683005175</v>
      </c>
      <c r="Q63">
        <f t="shared" ref="Q63" si="291">F63*P63</f>
        <v>-162880013.69674787</v>
      </c>
      <c r="R63">
        <f t="shared" ref="R63" si="292">R64+Q63</f>
        <v>2008310700.351481</v>
      </c>
      <c r="S63">
        <f t="shared" ref="S63" si="293">R63/100000</f>
        <v>20083.107003514811</v>
      </c>
      <c r="T63">
        <f t="shared" ref="T63" si="294">S63/1000</f>
        <v>20.083107003514812</v>
      </c>
    </row>
    <row r="64" spans="1:20" x14ac:dyDescent="0.25">
      <c r="A64" s="5">
        <v>44529</v>
      </c>
      <c r="B64">
        <v>0.26671</v>
      </c>
      <c r="C64">
        <v>0.27445000000000003</v>
      </c>
      <c r="D64">
        <v>0.25796000000000002</v>
      </c>
      <c r="E64">
        <v>0.26876</v>
      </c>
      <c r="F64">
        <v>227712726.90000001</v>
      </c>
      <c r="G64">
        <v>0.26876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0.30988477865372627</v>
      </c>
      <c r="Q64">
        <f t="shared" ref="Q64" si="296">F64*P64</f>
        <v>70564707.972042918</v>
      </c>
      <c r="R64">
        <f t="shared" ref="R64" si="297">R65+Q64</f>
        <v>2171190714.0482287</v>
      </c>
      <c r="S64">
        <f t="shared" ref="S64" si="298">R64/100000</f>
        <v>21711.907140482286</v>
      </c>
      <c r="T64">
        <f t="shared" ref="T64" si="299">S64/1000</f>
        <v>21.711907140482285</v>
      </c>
    </row>
    <row r="65" spans="1:20" x14ac:dyDescent="0.25">
      <c r="A65" s="5">
        <v>44528</v>
      </c>
      <c r="B65">
        <v>0.26022000000000001</v>
      </c>
      <c r="C65">
        <v>0.27066000000000001</v>
      </c>
      <c r="D65">
        <v>0.23383999999999999</v>
      </c>
      <c r="E65">
        <v>0.26679999999999998</v>
      </c>
      <c r="F65">
        <v>261175057.09999999</v>
      </c>
      <c r="G65">
        <v>0.26679999999999998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0.79033134166213859</v>
      </c>
      <c r="Q65">
        <f t="shared" ref="Q65" si="301">F65*P65</f>
        <v>206414833.28652865</v>
      </c>
      <c r="R65">
        <f t="shared" ref="R65" si="302">R66+Q65</f>
        <v>2100626006.0761857</v>
      </c>
      <c r="S65">
        <f t="shared" ref="S65" si="303">R65/100000</f>
        <v>21006.260060761859</v>
      </c>
      <c r="T65">
        <f t="shared" ref="T65" si="304">S65/1000</f>
        <v>21.006260060761857</v>
      </c>
    </row>
    <row r="66" spans="1:20" x14ac:dyDescent="0.25">
      <c r="A66" s="5">
        <v>44527</v>
      </c>
      <c r="B66">
        <v>0.26305000000000001</v>
      </c>
      <c r="C66">
        <v>0.27460000000000001</v>
      </c>
      <c r="D66">
        <v>0.25368000000000002</v>
      </c>
      <c r="E66">
        <v>0.26028000000000001</v>
      </c>
      <c r="F66">
        <v>151492436</v>
      </c>
      <c r="G66">
        <v>0.26028000000000001</v>
      </c>
      <c r="L66" t="s">
        <v>8</v>
      </c>
      <c r="M66" t="s">
        <v>7</v>
      </c>
      <c r="N66" t="s">
        <v>8</v>
      </c>
      <c r="P66">
        <f t="shared" ref="P66" si="305">IF(C66=D66,0,((E66-D66)-(C66-E66))/(C66-D66))</f>
        <v>-0.36902485659655865</v>
      </c>
      <c r="Q66">
        <f t="shared" ref="Q66" si="306">F66*P66</f>
        <v>-55904474.470363341</v>
      </c>
      <c r="R66">
        <f t="shared" ref="R66" si="307">R67+Q66</f>
        <v>1894211172.7896571</v>
      </c>
      <c r="S66">
        <f t="shared" ref="S66" si="308">R66/100000</f>
        <v>18942.111727896572</v>
      </c>
      <c r="T66">
        <f t="shared" ref="T66" si="309">S66/1000</f>
        <v>18.942111727896574</v>
      </c>
    </row>
    <row r="67" spans="1:20" x14ac:dyDescent="0.25">
      <c r="A67" s="5">
        <v>44526</v>
      </c>
      <c r="B67">
        <v>0.30732999999999999</v>
      </c>
      <c r="C67">
        <v>0.30819000000000002</v>
      </c>
      <c r="D67">
        <v>0.25024000000000002</v>
      </c>
      <c r="E67">
        <v>0.26307999999999998</v>
      </c>
      <c r="F67">
        <v>395323494.39999998</v>
      </c>
      <c r="G67">
        <v>0.26307999999999998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-0.55685936151855175</v>
      </c>
      <c r="Q67">
        <f t="shared" ref="Q67" si="311">F67*P67</f>
        <v>-220139588.68486676</v>
      </c>
      <c r="R67">
        <f t="shared" ref="R67" si="312">R68+Q67</f>
        <v>1950115647.2600205</v>
      </c>
      <c r="S67">
        <f t="shared" ref="S67" si="313">R67/100000</f>
        <v>19501.156472600203</v>
      </c>
      <c r="T67">
        <f t="shared" ref="T67" si="314">S67/1000</f>
        <v>19.501156472600204</v>
      </c>
    </row>
    <row r="68" spans="1:20" x14ac:dyDescent="0.25">
      <c r="A68" s="5">
        <v>44525</v>
      </c>
      <c r="B68">
        <v>0.31129000000000001</v>
      </c>
      <c r="C68">
        <v>0.32443</v>
      </c>
      <c r="D68">
        <v>0.30478</v>
      </c>
      <c r="E68">
        <v>0.30719000000000002</v>
      </c>
      <c r="F68">
        <v>240414140.90000001</v>
      </c>
      <c r="G68">
        <v>0.30719000000000002</v>
      </c>
      <c r="L68" t="s">
        <v>7</v>
      </c>
      <c r="M68" t="s">
        <v>8</v>
      </c>
      <c r="N68" t="s">
        <v>8</v>
      </c>
      <c r="P68">
        <f t="shared" ref="P68" si="315">IF(C68=D68,0,((E68-D68)-(C68-E68))/(C68-D68))</f>
        <v>-0.75470737913485775</v>
      </c>
      <c r="Q68">
        <f t="shared" ref="Q68" si="316">F68*P68</f>
        <v>-181442326.18559742</v>
      </c>
      <c r="R68">
        <f t="shared" ref="R68" si="317">R69+Q68</f>
        <v>2170255235.9448872</v>
      </c>
      <c r="S68">
        <f t="shared" ref="S68" si="318">R68/100000</f>
        <v>21702.552359448873</v>
      </c>
      <c r="T68">
        <f t="shared" ref="T68" si="319">S68/1000</f>
        <v>21.702552359448873</v>
      </c>
    </row>
    <row r="69" spans="1:20" x14ac:dyDescent="0.25">
      <c r="A69" s="5">
        <v>44524</v>
      </c>
      <c r="B69">
        <v>0.32976</v>
      </c>
      <c r="C69">
        <v>0.33900000000000002</v>
      </c>
      <c r="D69">
        <v>0.30989</v>
      </c>
      <c r="E69">
        <v>0.31546000000000002</v>
      </c>
      <c r="F69">
        <v>155120996.59999999</v>
      </c>
      <c r="G69">
        <v>0.31546000000000002</v>
      </c>
      <c r="L69" t="s">
        <v>8</v>
      </c>
      <c r="M69" t="s">
        <v>8</v>
      </c>
      <c r="N69" t="s">
        <v>8</v>
      </c>
      <c r="P69">
        <f t="shared" ref="P69" si="320">IF(C69=D69,0,((E69-D69)-(C69-E69))/(C69-D69))</f>
        <v>-0.61731363792511063</v>
      </c>
      <c r="Q69">
        <f t="shared" ref="Q69" si="321">F69*P69</f>
        <v>-95758306.729714707</v>
      </c>
      <c r="R69">
        <f t="shared" ref="R69" si="322">R70+Q69</f>
        <v>2351697562.1304846</v>
      </c>
      <c r="S69">
        <f t="shared" ref="S69" si="323">R69/100000</f>
        <v>23516.975621304846</v>
      </c>
      <c r="T69">
        <f t="shared" ref="T69" si="324">S69/1000</f>
        <v>23.516975621304844</v>
      </c>
    </row>
    <row r="70" spans="1:20" x14ac:dyDescent="0.25">
      <c r="A70" s="5">
        <v>44523</v>
      </c>
      <c r="B70">
        <v>0.28710999999999998</v>
      </c>
      <c r="C70">
        <v>0.34150000000000003</v>
      </c>
      <c r="D70">
        <v>0.27404000000000001</v>
      </c>
      <c r="E70">
        <v>0.32976</v>
      </c>
      <c r="F70">
        <v>519210350</v>
      </c>
      <c r="G70">
        <v>0.32976</v>
      </c>
      <c r="L70" t="s">
        <v>7</v>
      </c>
      <c r="M70" t="s">
        <v>8</v>
      </c>
      <c r="N70" t="s">
        <v>8</v>
      </c>
      <c r="P70">
        <f t="shared" ref="P70" si="325">IF(C70=D70,0,((E70-D70)-(C70-E70))/(C70-D70))</f>
        <v>0.65194189149125337</v>
      </c>
      <c r="Q70">
        <f t="shared" ref="Q70" si="326">F70*P70</f>
        <v>338494977.66083568</v>
      </c>
      <c r="R70">
        <f t="shared" ref="R70" si="327">R71+Q70</f>
        <v>2447455868.8601995</v>
      </c>
      <c r="S70">
        <f t="shared" ref="S70" si="328">R70/100000</f>
        <v>24474.558688601996</v>
      </c>
      <c r="T70">
        <f t="shared" ref="T70" si="329">S70/1000</f>
        <v>24.474558688601995</v>
      </c>
    </row>
    <row r="71" spans="1:20" x14ac:dyDescent="0.25">
      <c r="A71" s="5">
        <v>44522</v>
      </c>
      <c r="B71">
        <v>0.30951000000000001</v>
      </c>
      <c r="C71">
        <v>0.31455</v>
      </c>
      <c r="D71">
        <v>0.27828000000000003</v>
      </c>
      <c r="E71">
        <v>0.28716000000000003</v>
      </c>
      <c r="F71">
        <v>367766585</v>
      </c>
      <c r="G71">
        <v>0.28716000000000003</v>
      </c>
      <c r="L71" t="s">
        <v>7</v>
      </c>
      <c r="M71" t="s">
        <v>8</v>
      </c>
      <c r="N71" t="s">
        <v>8</v>
      </c>
      <c r="P71">
        <f t="shared" ref="P71" si="330">IF(C71=D71,0,((E71-D71)-(C71-E71))/(C71-D71))</f>
        <v>-0.51033912324234865</v>
      </c>
      <c r="Q71">
        <f t="shared" ref="Q71" si="331">F71*P71</f>
        <v>-187685676.54673269</v>
      </c>
      <c r="R71">
        <f t="shared" ref="R71" si="332">R72+Q71</f>
        <v>2108960891.1993639</v>
      </c>
      <c r="S71">
        <f t="shared" ref="S71" si="333">R71/100000</f>
        <v>21089.608911993641</v>
      </c>
      <c r="T71">
        <f t="shared" ref="T71" si="334">S71/1000</f>
        <v>21.08960891199364</v>
      </c>
    </row>
    <row r="72" spans="1:20" x14ac:dyDescent="0.25">
      <c r="A72" s="5">
        <v>44521</v>
      </c>
      <c r="B72">
        <v>0.29032999999999998</v>
      </c>
      <c r="C72">
        <v>0.32</v>
      </c>
      <c r="D72">
        <v>0.28000999999999998</v>
      </c>
      <c r="E72">
        <v>0.30925999999999998</v>
      </c>
      <c r="F72">
        <v>501045126.80000001</v>
      </c>
      <c r="G72">
        <v>0.30925999999999998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0.46286571642910623</v>
      </c>
      <c r="Q72">
        <f t="shared" ref="Q72" si="336">F72*P72</f>
        <v>231916611.57959437</v>
      </c>
      <c r="R72">
        <f t="shared" ref="R72" si="337">R73+Q72</f>
        <v>2296646567.7460966</v>
      </c>
      <c r="S72">
        <f t="shared" ref="S72" si="338">R72/100000</f>
        <v>22966.465677460965</v>
      </c>
      <c r="T72">
        <f t="shared" ref="T72" si="339">S72/1000</f>
        <v>22.966465677460963</v>
      </c>
    </row>
    <row r="73" spans="1:20" x14ac:dyDescent="0.25">
      <c r="A73" s="5">
        <v>44520</v>
      </c>
      <c r="B73">
        <v>0.25074000000000002</v>
      </c>
      <c r="C73">
        <v>0.29829</v>
      </c>
      <c r="D73">
        <v>0.25052999999999997</v>
      </c>
      <c r="E73">
        <v>0.29028999999999999</v>
      </c>
      <c r="F73">
        <v>515254698</v>
      </c>
      <c r="G73">
        <v>0.29028999999999999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0.66499162479061968</v>
      </c>
      <c r="Q73">
        <f t="shared" ref="Q73" si="341">F73*P73</f>
        <v>342640058.80402005</v>
      </c>
      <c r="R73">
        <f t="shared" ref="R73" si="342">R74+Q73</f>
        <v>2064729956.1665025</v>
      </c>
      <c r="S73">
        <f t="shared" ref="S73" si="343">R73/100000</f>
        <v>20647.299561665026</v>
      </c>
      <c r="T73">
        <f t="shared" ref="T73" si="344">S73/1000</f>
        <v>20.647299561665026</v>
      </c>
    </row>
    <row r="74" spans="1:20" x14ac:dyDescent="0.25">
      <c r="A74" s="5">
        <v>44519</v>
      </c>
      <c r="B74">
        <v>0.23719000000000001</v>
      </c>
      <c r="C74">
        <v>0.25697999999999999</v>
      </c>
      <c r="D74">
        <v>0.23089000000000001</v>
      </c>
      <c r="E74">
        <v>0.25072</v>
      </c>
      <c r="F74">
        <v>208186110.30000001</v>
      </c>
      <c r="G74">
        <v>0.25072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0.52012265235722543</v>
      </c>
      <c r="Q74">
        <f t="shared" ref="Q74" si="346">F74*P74</f>
        <v>108282311.8731699</v>
      </c>
      <c r="R74">
        <f t="shared" ref="R74" si="347">R75+Q74</f>
        <v>1722089897.3624823</v>
      </c>
      <c r="S74">
        <f t="shared" ref="S74" si="348">R74/100000</f>
        <v>17220.898973624822</v>
      </c>
      <c r="T74">
        <f t="shared" ref="T74" si="349">S74/1000</f>
        <v>17.220898973624823</v>
      </c>
    </row>
    <row r="75" spans="1:20" x14ac:dyDescent="0.25">
      <c r="A75" s="5">
        <v>44518</v>
      </c>
      <c r="B75">
        <v>0.26195000000000002</v>
      </c>
      <c r="C75">
        <v>0.27481</v>
      </c>
      <c r="D75">
        <v>0.22731000000000001</v>
      </c>
      <c r="E75">
        <v>0.23691999999999999</v>
      </c>
      <c r="F75">
        <v>378025006.69999999</v>
      </c>
      <c r="G75">
        <v>0.23691999999999999</v>
      </c>
      <c r="L75" t="s">
        <v>8</v>
      </c>
      <c r="M75" t="s">
        <v>7</v>
      </c>
      <c r="N75" t="s">
        <v>7</v>
      </c>
      <c r="P75">
        <f t="shared" ref="P75" si="350">IF(C75=D75,0,((E75-D75)-(C75-E75))/(C75-D75))</f>
        <v>-0.59536842105263232</v>
      </c>
      <c r="Q75">
        <f t="shared" ref="Q75" si="351">F75*P75</f>
        <v>-225064151.35738975</v>
      </c>
      <c r="R75">
        <f t="shared" ref="R75" si="352">R76+Q75</f>
        <v>1613807585.4893124</v>
      </c>
      <c r="S75">
        <f t="shared" ref="S75" si="353">R75/100000</f>
        <v>16138.075854893124</v>
      </c>
      <c r="T75">
        <f t="shared" ref="T75" si="354">S75/1000</f>
        <v>16.138075854893124</v>
      </c>
    </row>
    <row r="76" spans="1:20" x14ac:dyDescent="0.25">
      <c r="A76" s="5">
        <v>44517</v>
      </c>
      <c r="B76">
        <v>0.25380999999999998</v>
      </c>
      <c r="C76">
        <v>0.26212999999999997</v>
      </c>
      <c r="D76">
        <v>0.23919000000000001</v>
      </c>
      <c r="E76">
        <v>0.26205000000000001</v>
      </c>
      <c r="F76">
        <v>219843213.40000001</v>
      </c>
      <c r="G76">
        <v>0.26205000000000001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0.99302528334786666</v>
      </c>
      <c r="Q76">
        <f t="shared" ref="Q76" si="356">F76*P76</f>
        <v>218309869.27864051</v>
      </c>
      <c r="R76">
        <f t="shared" ref="R76" si="357">R77+Q76</f>
        <v>1838871736.8467021</v>
      </c>
      <c r="S76">
        <f t="shared" ref="S76" si="358">R76/100000</f>
        <v>18388.71736846702</v>
      </c>
      <c r="T76">
        <f t="shared" ref="T76" si="359">S76/1000</f>
        <v>18.38871736846702</v>
      </c>
    </row>
    <row r="77" spans="1:20" x14ac:dyDescent="0.25">
      <c r="A77" s="5">
        <v>44516</v>
      </c>
      <c r="B77">
        <v>0.28977999999999998</v>
      </c>
      <c r="C77">
        <v>0.29042000000000001</v>
      </c>
      <c r="D77">
        <v>0.23613999999999999</v>
      </c>
      <c r="E77">
        <v>0.25406000000000001</v>
      </c>
      <c r="F77">
        <v>370993705.89999998</v>
      </c>
      <c r="G77">
        <v>0.25406000000000001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-0.33971997052321251</v>
      </c>
      <c r="Q77">
        <f t="shared" ref="Q77" si="361">F77*P77</f>
        <v>-126033970.83264536</v>
      </c>
      <c r="R77">
        <f t="shared" ref="R77" si="362">R78+Q77</f>
        <v>1620561867.5680616</v>
      </c>
      <c r="S77">
        <f t="shared" ref="S77" si="363">R77/100000</f>
        <v>16205.618675680616</v>
      </c>
      <c r="T77">
        <f t="shared" ref="T77" si="364">S77/1000</f>
        <v>16.205618675680615</v>
      </c>
    </row>
    <row r="78" spans="1:20" x14ac:dyDescent="0.25">
      <c r="A78" s="5">
        <v>44515</v>
      </c>
      <c r="B78">
        <v>0.27555000000000002</v>
      </c>
      <c r="C78">
        <v>0.29981000000000002</v>
      </c>
      <c r="D78">
        <v>0.27477000000000001</v>
      </c>
      <c r="E78">
        <v>0.28949999999999998</v>
      </c>
      <c r="F78">
        <v>298023504.10000002</v>
      </c>
      <c r="G78">
        <v>0.28949999999999998</v>
      </c>
      <c r="L78" t="s">
        <v>8</v>
      </c>
      <c r="M78" t="s">
        <v>8</v>
      </c>
      <c r="N78" t="s">
        <v>7</v>
      </c>
      <c r="P78">
        <f t="shared" ref="P78" si="365">IF(C78=D78,0,((E78-D78)-(C78-E78))/(C78-D78))</f>
        <v>0.17651757188498093</v>
      </c>
      <c r="Q78">
        <f t="shared" ref="Q78" si="366">F78*P78</f>
        <v>52606385.308385663</v>
      </c>
      <c r="R78">
        <f t="shared" ref="R78" si="367">R79+Q78</f>
        <v>1746595838.400707</v>
      </c>
      <c r="S78">
        <f t="shared" ref="S78" si="368">R78/100000</f>
        <v>17465.95838400707</v>
      </c>
      <c r="T78">
        <f t="shared" ref="T78" si="369">S78/1000</f>
        <v>17.46595838400707</v>
      </c>
    </row>
    <row r="79" spans="1:20" x14ac:dyDescent="0.25">
      <c r="A79" s="5">
        <v>44514</v>
      </c>
      <c r="B79">
        <v>0.28039999999999998</v>
      </c>
      <c r="C79">
        <v>0.28458</v>
      </c>
      <c r="D79">
        <v>0.26732</v>
      </c>
      <c r="E79">
        <v>0.27554000000000001</v>
      </c>
      <c r="F79">
        <v>145108519.59999999</v>
      </c>
      <c r="G79">
        <v>0.27554000000000001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-4.7508690614136012E-2</v>
      </c>
      <c r="Q79">
        <f t="shared" ref="Q79" si="371">F79*P79</f>
        <v>-6893915.7631516913</v>
      </c>
      <c r="R79">
        <f t="shared" ref="R79" si="372">R80+Q79</f>
        <v>1693989453.0923214</v>
      </c>
      <c r="S79">
        <f t="shared" ref="S79" si="373">R79/100000</f>
        <v>16939.894530923215</v>
      </c>
      <c r="T79">
        <f t="shared" ref="T79" si="374">S79/1000</f>
        <v>16.939894530923215</v>
      </c>
    </row>
    <row r="80" spans="1:20" x14ac:dyDescent="0.25">
      <c r="A80" s="5">
        <v>44513</v>
      </c>
      <c r="B80">
        <v>0.27423999999999998</v>
      </c>
      <c r="C80">
        <v>0.2873</v>
      </c>
      <c r="D80">
        <v>0.27033000000000001</v>
      </c>
      <c r="E80">
        <v>0.28047</v>
      </c>
      <c r="F80">
        <v>173748756.40000001</v>
      </c>
      <c r="G80">
        <v>0.28047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0.19505008839127769</v>
      </c>
      <c r="Q80">
        <f t="shared" ref="Q80" si="376">F80*P80</f>
        <v>33889710.293694578</v>
      </c>
      <c r="R80">
        <f t="shared" ref="R80" si="377">R81+Q80</f>
        <v>1700883368.855473</v>
      </c>
      <c r="S80">
        <f t="shared" ref="S80" si="378">R80/100000</f>
        <v>17008.833688554729</v>
      </c>
      <c r="T80">
        <f t="shared" ref="T80" si="379">S80/1000</f>
        <v>17.008833688554727</v>
      </c>
    </row>
    <row r="81" spans="1:20" x14ac:dyDescent="0.25">
      <c r="A81" s="5">
        <v>44512</v>
      </c>
      <c r="B81">
        <v>0.27829999999999999</v>
      </c>
      <c r="C81">
        <v>0.28281000000000001</v>
      </c>
      <c r="D81">
        <v>0.24994</v>
      </c>
      <c r="E81">
        <v>0.27422000000000002</v>
      </c>
      <c r="F81">
        <v>263422739.59999999</v>
      </c>
      <c r="G81">
        <v>0.27422000000000002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0.47733495588682789</v>
      </c>
      <c r="Q81">
        <f t="shared" ref="Q81" si="381">F81*P81</f>
        <v>125740881.78655335</v>
      </c>
      <c r="R81">
        <f t="shared" ref="R81" si="382">R82+Q81</f>
        <v>1666993658.5617785</v>
      </c>
      <c r="S81">
        <f t="shared" ref="S81" si="383">R81/100000</f>
        <v>16669.936585617786</v>
      </c>
      <c r="T81">
        <f t="shared" ref="T81" si="384">S81/1000</f>
        <v>16.669936585617787</v>
      </c>
    </row>
    <row r="82" spans="1:20" x14ac:dyDescent="0.25">
      <c r="A82" s="5">
        <v>44511</v>
      </c>
      <c r="B82">
        <v>0.27778000000000003</v>
      </c>
      <c r="C82">
        <v>0.30530000000000002</v>
      </c>
      <c r="D82">
        <v>0.27360000000000001</v>
      </c>
      <c r="E82">
        <v>0.27834999999999999</v>
      </c>
      <c r="F82">
        <v>297270897.10000002</v>
      </c>
      <c r="G82">
        <v>0.27834999999999999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-0.70031545741325074</v>
      </c>
      <c r="Q82">
        <f t="shared" ref="Q82" si="386">F82*P82</f>
        <v>-208183404.27823392</v>
      </c>
      <c r="R82">
        <f t="shared" ref="R82" si="387">R83+Q82</f>
        <v>1541252776.7752252</v>
      </c>
      <c r="S82">
        <f t="shared" ref="S82" si="388">R82/100000</f>
        <v>15412.527767752252</v>
      </c>
      <c r="T82">
        <f t="shared" ref="T82" si="389">S82/1000</f>
        <v>15.412527767752252</v>
      </c>
    </row>
    <row r="83" spans="1:20" x14ac:dyDescent="0.25">
      <c r="A83" s="5">
        <v>44510</v>
      </c>
      <c r="B83">
        <v>0.30254999999999999</v>
      </c>
      <c r="C83">
        <v>0.30848999999999999</v>
      </c>
      <c r="D83">
        <v>0.25678000000000001</v>
      </c>
      <c r="E83">
        <v>0.27786</v>
      </c>
      <c r="F83">
        <v>345278830.19999999</v>
      </c>
      <c r="G83">
        <v>0.27786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-0.18468381357571084</v>
      </c>
      <c r="Q83">
        <f t="shared" ref="Q83" si="391">F83*P83</f>
        <v>-63767411.10829632</v>
      </c>
      <c r="R83">
        <f t="shared" ref="R83" si="392">R84+Q83</f>
        <v>1749436181.0534592</v>
      </c>
      <c r="S83">
        <f t="shared" ref="S83" si="393">R83/100000</f>
        <v>17494.361810534592</v>
      </c>
      <c r="T83">
        <f t="shared" ref="T83" si="394">S83/1000</f>
        <v>17.494361810534592</v>
      </c>
    </row>
    <row r="84" spans="1:20" x14ac:dyDescent="0.25">
      <c r="A84" s="5">
        <v>44509</v>
      </c>
      <c r="B84">
        <v>0.32318999999999998</v>
      </c>
      <c r="C84">
        <v>0.32879999999999998</v>
      </c>
      <c r="D84">
        <v>0.30055999999999999</v>
      </c>
      <c r="E84">
        <v>0.30259999999999998</v>
      </c>
      <c r="F84">
        <v>247566731.59999999</v>
      </c>
      <c r="G84">
        <v>0.30259999999999998</v>
      </c>
      <c r="L84" t="s">
        <v>7</v>
      </c>
      <c r="M84" t="s">
        <v>8</v>
      </c>
      <c r="N84" t="s">
        <v>8</v>
      </c>
      <c r="P84">
        <f t="shared" ref="P84" si="395">IF(C84=D84,0,((E84-D84)-(C84-E84))/(C84-D84))</f>
        <v>-0.85552407932011421</v>
      </c>
      <c r="Q84">
        <f t="shared" ref="Q84" si="396">F84*P84</f>
        <v>-211799300.12237981</v>
      </c>
      <c r="R84">
        <f t="shared" ref="R84" si="397">R85+Q84</f>
        <v>1813203592.1617556</v>
      </c>
      <c r="S84">
        <f t="shared" ref="S84" si="398">R84/100000</f>
        <v>18132.035921617557</v>
      </c>
      <c r="T84">
        <f t="shared" ref="T84" si="399">S84/1000</f>
        <v>18.132035921617558</v>
      </c>
    </row>
    <row r="85" spans="1:20" x14ac:dyDescent="0.25">
      <c r="A85" s="5">
        <v>44508</v>
      </c>
      <c r="B85">
        <v>0.30047000000000001</v>
      </c>
      <c r="C85">
        <v>0.32485000000000003</v>
      </c>
      <c r="D85">
        <v>0.29272999999999999</v>
      </c>
      <c r="E85">
        <v>0.32312000000000002</v>
      </c>
      <c r="F85">
        <v>323187939.10000002</v>
      </c>
      <c r="G85">
        <v>0.32312000000000002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0.89227895392278911</v>
      </c>
      <c r="Q85">
        <f t="shared" ref="Q85" si="401">F85*P85</f>
        <v>288373796.22061008</v>
      </c>
      <c r="R85">
        <f t="shared" ref="R85" si="402">R86+Q85</f>
        <v>2025002892.2841353</v>
      </c>
      <c r="S85">
        <f t="shared" ref="S85" si="403">R85/100000</f>
        <v>20250.028922841353</v>
      </c>
      <c r="T85">
        <f t="shared" ref="T85" si="404">S85/1000</f>
        <v>20.250028922841352</v>
      </c>
    </row>
    <row r="86" spans="1:20" x14ac:dyDescent="0.25">
      <c r="A86" s="5">
        <v>44507</v>
      </c>
      <c r="B86">
        <v>0.28870000000000001</v>
      </c>
      <c r="C86">
        <v>0.31841000000000003</v>
      </c>
      <c r="D86">
        <v>0.28732999999999997</v>
      </c>
      <c r="E86">
        <v>0.30048000000000002</v>
      </c>
      <c r="F86">
        <v>403702837.69999999</v>
      </c>
      <c r="G86">
        <v>0.30048000000000002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-0.15379665379665197</v>
      </c>
      <c r="Q86">
        <f t="shared" ref="Q86" si="406">F86*P86</f>
        <v>-62088145.566472881</v>
      </c>
      <c r="R86">
        <f t="shared" ref="R86" si="407">R87+Q86</f>
        <v>1736629096.0635252</v>
      </c>
      <c r="S86">
        <f t="shared" ref="S86" si="408">R86/100000</f>
        <v>17366.290960635251</v>
      </c>
      <c r="T86">
        <f t="shared" ref="T86" si="409">S86/1000</f>
        <v>17.366290960635251</v>
      </c>
    </row>
    <row r="87" spans="1:20" x14ac:dyDescent="0.25">
      <c r="A87" s="5">
        <v>44506</v>
      </c>
      <c r="B87">
        <v>0.2838</v>
      </c>
      <c r="C87">
        <v>0.29099000000000003</v>
      </c>
      <c r="D87">
        <v>0.26644000000000001</v>
      </c>
      <c r="E87">
        <v>0.28867999999999999</v>
      </c>
      <c r="F87">
        <v>197100627.90000001</v>
      </c>
      <c r="G87">
        <v>0.28867999999999999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0.81181262729123971</v>
      </c>
      <c r="Q87">
        <f t="shared" ref="Q87" si="411">F87*P87</f>
        <v>160008778.57625201</v>
      </c>
      <c r="R87">
        <f t="shared" ref="R87" si="412">R88+Q87</f>
        <v>1798717241.629998</v>
      </c>
      <c r="S87">
        <f t="shared" ref="S87" si="413">R87/100000</f>
        <v>17987.172416299978</v>
      </c>
      <c r="T87">
        <f t="shared" ref="T87" si="414">S87/1000</f>
        <v>17.987172416299977</v>
      </c>
    </row>
    <row r="88" spans="1:20" x14ac:dyDescent="0.25">
      <c r="A88" s="5">
        <v>44505</v>
      </c>
      <c r="B88">
        <v>0.28051999999999999</v>
      </c>
      <c r="C88">
        <v>0.30530000000000002</v>
      </c>
      <c r="D88">
        <v>0.28000000000000003</v>
      </c>
      <c r="E88">
        <v>0.28386</v>
      </c>
      <c r="F88">
        <v>271715902.89999998</v>
      </c>
      <c r="G88">
        <v>0.28386</v>
      </c>
      <c r="L88" t="s">
        <v>8</v>
      </c>
      <c r="M88" t="s">
        <v>7</v>
      </c>
      <c r="N88" t="s">
        <v>8</v>
      </c>
      <c r="P88">
        <f t="shared" ref="P88" si="415">IF(C88=D88,0,((E88-D88)-(C88-E88))/(C88-D88))</f>
        <v>-0.69486166007905326</v>
      </c>
      <c r="Q88">
        <f t="shared" ref="Q88" si="416">F88*P88</f>
        <v>-188804963.35897282</v>
      </c>
      <c r="R88">
        <f t="shared" ref="R88" si="417">R89+Q88</f>
        <v>1638708463.053746</v>
      </c>
      <c r="S88">
        <f t="shared" ref="S88" si="418">R88/100000</f>
        <v>16387.084630537462</v>
      </c>
      <c r="T88">
        <f t="shared" ref="T88" si="419">S88/1000</f>
        <v>16.387084630537462</v>
      </c>
    </row>
    <row r="89" spans="1:20" x14ac:dyDescent="0.25">
      <c r="A89" s="5">
        <v>44504</v>
      </c>
      <c r="B89">
        <v>0.29916999999999999</v>
      </c>
      <c r="C89">
        <v>0.29926999999999998</v>
      </c>
      <c r="D89">
        <v>0.27659</v>
      </c>
      <c r="E89">
        <v>0.28051999999999999</v>
      </c>
      <c r="F89">
        <v>240171409.09999999</v>
      </c>
      <c r="G89">
        <v>0.28051999999999999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-0.65343915343915404</v>
      </c>
      <c r="Q89">
        <f t="shared" ref="Q89" si="421">F89*P89</f>
        <v>-156937402.24259272</v>
      </c>
      <c r="R89">
        <f t="shared" ref="R89" si="422">R90+Q89</f>
        <v>1827513426.4127188</v>
      </c>
      <c r="S89">
        <f t="shared" ref="S89" si="423">R89/100000</f>
        <v>18275.134264127188</v>
      </c>
      <c r="T89">
        <f t="shared" ref="T89" si="424">S89/1000</f>
        <v>18.275134264127189</v>
      </c>
    </row>
    <row r="90" spans="1:20" x14ac:dyDescent="0.25">
      <c r="A90" s="5">
        <v>44503</v>
      </c>
      <c r="B90">
        <v>0.28869</v>
      </c>
      <c r="C90">
        <v>0.31448999999999999</v>
      </c>
      <c r="D90">
        <v>0.28366000000000002</v>
      </c>
      <c r="E90">
        <v>0.29926999999999998</v>
      </c>
      <c r="F90">
        <v>389999052.5</v>
      </c>
      <c r="G90">
        <v>0.29926999999999998</v>
      </c>
      <c r="L90" t="s">
        <v>8</v>
      </c>
      <c r="M90" t="s">
        <v>7</v>
      </c>
      <c r="N90" t="s">
        <v>8</v>
      </c>
      <c r="P90">
        <f t="shared" ref="P90" si="425">IF(C90=D90,0,((E90-D90)-(C90-E90))/(C90-D90))</f>
        <v>1.2650016217967771E-2</v>
      </c>
      <c r="Q90">
        <f t="shared" ref="Q90" si="426">F90*P90</f>
        <v>4933494.3391170641</v>
      </c>
      <c r="R90">
        <f t="shared" ref="R90" si="427">R91+Q90</f>
        <v>1984450828.6553116</v>
      </c>
      <c r="S90">
        <f t="shared" ref="S90" si="428">R90/100000</f>
        <v>19844.508286553115</v>
      </c>
      <c r="T90">
        <f t="shared" ref="T90" si="429">S90/1000</f>
        <v>19.844508286553115</v>
      </c>
    </row>
    <row r="91" spans="1:20" x14ac:dyDescent="0.25">
      <c r="A91" s="5">
        <v>44502</v>
      </c>
      <c r="B91">
        <v>0.28947000000000001</v>
      </c>
      <c r="C91">
        <v>0.30499999999999999</v>
      </c>
      <c r="D91">
        <v>0.28064</v>
      </c>
      <c r="E91">
        <v>0.28866999999999998</v>
      </c>
      <c r="F91">
        <v>335627446.39999998</v>
      </c>
      <c r="G91">
        <v>0.28866999999999998</v>
      </c>
      <c r="L91" t="s">
        <v>7</v>
      </c>
      <c r="M91" t="s">
        <v>7</v>
      </c>
      <c r="N91" t="s">
        <v>8</v>
      </c>
      <c r="P91">
        <f t="shared" ref="P91" si="430">IF(C91=D91,0,((E91-D91)-(C91-E91))/(C91-D91))</f>
        <v>-0.34072249589491099</v>
      </c>
      <c r="Q91">
        <f t="shared" ref="Q91" si="431">F91*P91</f>
        <v>-114355821.22824346</v>
      </c>
      <c r="R91">
        <f t="shared" ref="R91" si="432">R92+Q91</f>
        <v>1979517334.3161945</v>
      </c>
      <c r="S91">
        <f t="shared" ref="S91" si="433">R91/100000</f>
        <v>19795.173343161947</v>
      </c>
      <c r="T91">
        <f t="shared" ref="T91" si="434">S91/1000</f>
        <v>19.795173343161945</v>
      </c>
    </row>
    <row r="92" spans="1:20" x14ac:dyDescent="0.25">
      <c r="A92" s="5">
        <v>44501</v>
      </c>
      <c r="B92">
        <v>0.30447999999999997</v>
      </c>
      <c r="C92">
        <v>0.32</v>
      </c>
      <c r="D92">
        <v>0.28090999999999999</v>
      </c>
      <c r="E92">
        <v>0.28947000000000001</v>
      </c>
      <c r="F92">
        <v>308400421.30000001</v>
      </c>
      <c r="G92">
        <v>0.28947000000000001</v>
      </c>
      <c r="L92" t="s">
        <v>8</v>
      </c>
      <c r="M92" t="s">
        <v>7</v>
      </c>
      <c r="N92" t="s">
        <v>8</v>
      </c>
      <c r="P92">
        <f t="shared" ref="P92" si="435">IF(C92=D92,0,((E92-D92)-(C92-E92))/(C92-D92))</f>
        <v>-0.5620363264261955</v>
      </c>
      <c r="Q92">
        <f t="shared" ref="Q92" si="436">F92*P92</f>
        <v>-173332239.85574302</v>
      </c>
      <c r="R92">
        <f t="shared" ref="R92" si="437">R93+Q92</f>
        <v>2093873155.5444379</v>
      </c>
      <c r="S92">
        <f t="shared" ref="S92" si="438">R92/100000</f>
        <v>20938.731555444378</v>
      </c>
      <c r="T92">
        <f t="shared" ref="T92" si="439">S92/1000</f>
        <v>20.938731555444377</v>
      </c>
    </row>
    <row r="93" spans="1:20" x14ac:dyDescent="0.25">
      <c r="A93" s="5">
        <v>44500</v>
      </c>
      <c r="B93">
        <v>0.30659999999999998</v>
      </c>
      <c r="C93">
        <v>0.31122</v>
      </c>
      <c r="D93">
        <v>0.28064</v>
      </c>
      <c r="E93">
        <v>0.30438999999999999</v>
      </c>
      <c r="F93">
        <v>355659030.10000002</v>
      </c>
      <c r="G93">
        <v>0.30438999999999999</v>
      </c>
      <c r="L93" t="s">
        <v>7</v>
      </c>
      <c r="M93" t="s">
        <v>7</v>
      </c>
      <c r="N93" t="s">
        <v>8</v>
      </c>
      <c r="P93">
        <f t="shared" ref="P93" si="440">IF(C93=D93,0,((E93-D93)-(C93-E93))/(C93-D93))</f>
        <v>0.55330281229561784</v>
      </c>
      <c r="Q93">
        <f t="shared" ref="Q93" si="441">F93*P93</f>
        <v>196787141.57266182</v>
      </c>
      <c r="R93">
        <f t="shared" ref="R93" si="442">R94+Q93</f>
        <v>2267205395.4001808</v>
      </c>
      <c r="S93">
        <f t="shared" ref="S93" si="443">R93/100000</f>
        <v>22672.053954001807</v>
      </c>
      <c r="T93">
        <f t="shared" ref="T93" si="444">S93/1000</f>
        <v>22.672053954001807</v>
      </c>
    </row>
    <row r="94" spans="1:20" x14ac:dyDescent="0.25">
      <c r="A94" s="5">
        <v>44499</v>
      </c>
      <c r="B94">
        <v>0.32561000000000001</v>
      </c>
      <c r="C94">
        <v>0.34637000000000001</v>
      </c>
      <c r="D94">
        <v>0.29754000000000003</v>
      </c>
      <c r="E94">
        <v>0.30659999999999998</v>
      </c>
      <c r="F94">
        <v>416933234.60000002</v>
      </c>
      <c r="G94">
        <v>0.30659999999999998</v>
      </c>
      <c r="L94" t="s">
        <v>7</v>
      </c>
      <c r="M94" t="s">
        <v>7</v>
      </c>
      <c r="N94" t="s">
        <v>8</v>
      </c>
      <c r="P94">
        <f t="shared" ref="P94" si="445">IF(C94=D94,0,((E94-D94)-(C94-E94))/(C94-D94))</f>
        <v>-0.62891664960065696</v>
      </c>
      <c r="Q94">
        <f t="shared" ref="Q94" si="446">F94*P94</f>
        <v>-262216253.01179671</v>
      </c>
      <c r="R94">
        <f t="shared" ref="R94" si="447">R95+Q94</f>
        <v>2070418253.8275192</v>
      </c>
      <c r="S94">
        <f t="shared" ref="S94" si="448">R94/100000</f>
        <v>20704.182538275192</v>
      </c>
      <c r="T94">
        <f t="shared" ref="T94" si="449">S94/1000</f>
        <v>20.704182538275191</v>
      </c>
    </row>
    <row r="95" spans="1:20" x14ac:dyDescent="0.25">
      <c r="A95" s="5">
        <v>44498</v>
      </c>
      <c r="B95">
        <v>0.34240999999999999</v>
      </c>
      <c r="C95">
        <v>0.34473999999999999</v>
      </c>
      <c r="D95">
        <v>0.32003999999999999</v>
      </c>
      <c r="E95">
        <v>0.32561000000000001</v>
      </c>
      <c r="F95">
        <v>324649664.39999998</v>
      </c>
      <c r="G95">
        <v>0.32561000000000001</v>
      </c>
      <c r="L95" t="s">
        <v>7</v>
      </c>
      <c r="M95" t="s">
        <v>8</v>
      </c>
      <c r="N95" t="s">
        <v>8</v>
      </c>
      <c r="P95">
        <f t="shared" ref="P95" si="450">IF(C95=D95,0,((E95-D95)-(C95-E95))/(C95-D95))</f>
        <v>-0.5489878542510106</v>
      </c>
      <c r="Q95">
        <f t="shared" ref="Q95" si="451">F95*P95</f>
        <v>-178228722.64226669</v>
      </c>
      <c r="R95">
        <f t="shared" ref="R95" si="452">R96+Q95</f>
        <v>2332634506.8393159</v>
      </c>
      <c r="S95">
        <f t="shared" ref="S95" si="453">R95/100000</f>
        <v>23326.345068393159</v>
      </c>
      <c r="T95">
        <f t="shared" ref="T95" si="454">S95/1000</f>
        <v>23.326345068393159</v>
      </c>
    </row>
    <row r="96" spans="1:20" x14ac:dyDescent="0.25">
      <c r="A96" s="5">
        <v>44497</v>
      </c>
      <c r="B96">
        <v>0.31130000000000002</v>
      </c>
      <c r="C96">
        <v>0.37662000000000001</v>
      </c>
      <c r="D96">
        <v>0.30751000000000001</v>
      </c>
      <c r="E96">
        <v>0.34226000000000001</v>
      </c>
      <c r="F96">
        <v>707187129.29999995</v>
      </c>
      <c r="G96">
        <v>0.34226000000000001</v>
      </c>
      <c r="L96" t="s">
        <v>8</v>
      </c>
      <c r="M96" t="s">
        <v>8</v>
      </c>
      <c r="N96" t="s">
        <v>8</v>
      </c>
      <c r="P96">
        <f t="shared" ref="P96" si="455">IF(C96=D96,0,((E96-D96)-(C96-E96))/(C96-D96))</f>
        <v>5.6431775430473364E-3</v>
      </c>
      <c r="Q96">
        <f t="shared" ref="Q96" si="456">F96*P96</f>
        <v>3990782.5267978725</v>
      </c>
      <c r="R96">
        <f t="shared" ref="R96" si="457">R97+Q96</f>
        <v>2510863229.4815826</v>
      </c>
      <c r="S96">
        <f t="shared" ref="S96" si="458">R96/100000</f>
        <v>25108.632294815827</v>
      </c>
      <c r="T96">
        <f t="shared" ref="T96" si="459">S96/1000</f>
        <v>25.108632294815827</v>
      </c>
    </row>
    <row r="97" spans="1:20" x14ac:dyDescent="0.25">
      <c r="A97" s="5">
        <v>44496</v>
      </c>
      <c r="B97">
        <v>0.34578999999999999</v>
      </c>
      <c r="C97">
        <v>0.36131000000000002</v>
      </c>
      <c r="D97">
        <v>0.28570000000000001</v>
      </c>
      <c r="E97">
        <v>0.31114000000000003</v>
      </c>
      <c r="F97">
        <v>792727576.29999995</v>
      </c>
      <c r="G97">
        <v>0.31114000000000003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-0.32707313847374647</v>
      </c>
      <c r="Q97">
        <f t="shared" ref="Q97" si="461">F97*P97</f>
        <v>-259279896.33512729</v>
      </c>
      <c r="R97">
        <f t="shared" ref="R97" si="462">R98+Q97</f>
        <v>2506872446.9547849</v>
      </c>
      <c r="S97">
        <f t="shared" ref="S97" si="463">R97/100000</f>
        <v>25068.724469547848</v>
      </c>
      <c r="T97">
        <f t="shared" ref="T97" si="464">S97/1000</f>
        <v>25.068724469547849</v>
      </c>
    </row>
    <row r="98" spans="1:20" x14ac:dyDescent="0.25">
      <c r="A98" s="5">
        <v>44495</v>
      </c>
      <c r="B98">
        <v>0.3448</v>
      </c>
      <c r="C98">
        <v>0.38</v>
      </c>
      <c r="D98">
        <v>0.32962999999999998</v>
      </c>
      <c r="E98">
        <v>0.34589999999999999</v>
      </c>
      <c r="F98">
        <v>930987316.20000005</v>
      </c>
      <c r="G98">
        <v>0.34589999999999999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-0.35398054397458811</v>
      </c>
      <c r="Q98">
        <f t="shared" ref="Q98" si="466">F98*P98</f>
        <v>-329551396.6219179</v>
      </c>
      <c r="R98">
        <f t="shared" ref="R98" si="467">R99+Q98</f>
        <v>2766152343.2899122</v>
      </c>
      <c r="S98">
        <f t="shared" ref="S98" si="468">R98/100000</f>
        <v>27661.523432899121</v>
      </c>
      <c r="T98">
        <f t="shared" ref="T98" si="469">S98/1000</f>
        <v>27.66152343289912</v>
      </c>
    </row>
    <row r="99" spans="1:20" x14ac:dyDescent="0.25">
      <c r="A99" s="5">
        <v>44494</v>
      </c>
      <c r="B99">
        <v>0.29143000000000002</v>
      </c>
      <c r="C99">
        <v>0.35349999999999998</v>
      </c>
      <c r="D99">
        <v>0.28788000000000002</v>
      </c>
      <c r="E99">
        <v>0.3448</v>
      </c>
      <c r="F99">
        <v>856056869.5</v>
      </c>
      <c r="G99">
        <v>0.3448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0.73483693995733035</v>
      </c>
      <c r="Q99">
        <f t="shared" ref="Q99" si="471">F99*P99</f>
        <v>629062210.41283166</v>
      </c>
      <c r="R99">
        <f t="shared" ref="R99" si="472">R100+Q99</f>
        <v>3095703739.9118299</v>
      </c>
      <c r="S99">
        <f t="shared" ref="S99" si="473">R99/100000</f>
        <v>30957.037399118301</v>
      </c>
      <c r="T99">
        <f t="shared" ref="T99" si="474">S99/1000</f>
        <v>30.957037399118299</v>
      </c>
    </row>
    <row r="100" spans="1:20" x14ac:dyDescent="0.25">
      <c r="A100" s="5">
        <v>44493</v>
      </c>
      <c r="B100">
        <v>0.26938000000000001</v>
      </c>
      <c r="C100">
        <v>0.32</v>
      </c>
      <c r="D100">
        <v>0.26602999999999999</v>
      </c>
      <c r="E100">
        <v>0.29139999999999999</v>
      </c>
      <c r="F100">
        <v>1246804182.4000001</v>
      </c>
      <c r="G100">
        <v>0.29139999999999999</v>
      </c>
      <c r="L100" t="s">
        <v>8</v>
      </c>
      <c r="M100" t="s">
        <v>8</v>
      </c>
      <c r="N100" t="s">
        <v>8</v>
      </c>
      <c r="P100">
        <f t="shared" ref="P100" si="475">IF(C100=D100,0,((E100-D100)-(C100-E100))/(C100-D100))</f>
        <v>-5.9848063739114499E-2</v>
      </c>
      <c r="Q100">
        <f t="shared" ref="Q100" si="476">F100*P100</f>
        <v>-74618816.178469747</v>
      </c>
      <c r="R100">
        <f t="shared" ref="R100" si="477">R101+Q100</f>
        <v>2466641529.4989982</v>
      </c>
      <c r="S100">
        <f t="shared" ref="S100" si="478">R100/100000</f>
        <v>24666.41529498998</v>
      </c>
      <c r="T100">
        <f t="shared" ref="T100" si="479">S100/1000</f>
        <v>24.666415294989982</v>
      </c>
    </row>
    <row r="101" spans="1:20" x14ac:dyDescent="0.25">
      <c r="A101" s="5">
        <v>44492</v>
      </c>
      <c r="B101">
        <v>0.26871</v>
      </c>
      <c r="C101">
        <v>0.27886</v>
      </c>
      <c r="D101">
        <v>0.26041999999999998</v>
      </c>
      <c r="E101">
        <v>0.26929999999999998</v>
      </c>
      <c r="F101">
        <v>448230227.69999999</v>
      </c>
      <c r="G101">
        <v>0.26929999999999998</v>
      </c>
      <c r="L101" t="s">
        <v>8</v>
      </c>
      <c r="M101" t="s">
        <v>8</v>
      </c>
      <c r="N101" t="s">
        <v>8</v>
      </c>
      <c r="P101">
        <f t="shared" ref="P101" si="480">IF(C101=D101,0,((E101-D101)-(C101-E101))/(C101-D101))</f>
        <v>-3.6876355748373835E-2</v>
      </c>
      <c r="Q101">
        <f t="shared" ref="Q101" si="481">F101*P101</f>
        <v>-16529097.333839808</v>
      </c>
      <c r="R101">
        <f t="shared" ref="R101" si="482">R102+Q101</f>
        <v>2541260345.6774678</v>
      </c>
      <c r="S101">
        <f t="shared" ref="S101" si="483">R101/100000</f>
        <v>25412.603456774679</v>
      </c>
      <c r="T101">
        <f t="shared" ref="T101" si="484">S101/1000</f>
        <v>25.412603456774679</v>
      </c>
    </row>
    <row r="102" spans="1:20" x14ac:dyDescent="0.25">
      <c r="A102" s="5">
        <v>44491</v>
      </c>
      <c r="B102">
        <v>0.23927999999999999</v>
      </c>
      <c r="C102">
        <v>0.27</v>
      </c>
      <c r="D102">
        <v>0.23910999999999999</v>
      </c>
      <c r="E102">
        <v>0.26856000000000002</v>
      </c>
      <c r="F102">
        <v>434255444.10000002</v>
      </c>
      <c r="G102">
        <v>0.26856000000000002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0.90676594367109131</v>
      </c>
      <c r="Q102">
        <f t="shared" ref="Q102" si="486">F102*P102</f>
        <v>393768047.56364536</v>
      </c>
      <c r="R102">
        <f t="shared" ref="R102" si="487">R103+Q102</f>
        <v>2557789443.0113077</v>
      </c>
      <c r="S102">
        <f t="shared" ref="S102" si="488">R102/100000</f>
        <v>25577.894430113076</v>
      </c>
      <c r="T102">
        <f t="shared" ref="T102" si="489">S102/1000</f>
        <v>25.577894430113076</v>
      </c>
    </row>
    <row r="103" spans="1:20" x14ac:dyDescent="0.25">
      <c r="A103" s="5">
        <v>44490</v>
      </c>
      <c r="B103">
        <v>0.25428000000000001</v>
      </c>
      <c r="C103">
        <v>0.26468999999999998</v>
      </c>
      <c r="D103">
        <v>0.23641000000000001</v>
      </c>
      <c r="E103">
        <v>0.23937</v>
      </c>
      <c r="F103">
        <v>363257750.10000002</v>
      </c>
      <c r="G103">
        <v>0.23937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-0.7906647807637911</v>
      </c>
      <c r="Q103">
        <f t="shared" ref="Q103" si="491">F103*P103</f>
        <v>-287215109.34356451</v>
      </c>
      <c r="R103">
        <f t="shared" ref="R103" si="492">R104+Q103</f>
        <v>2164021395.4476624</v>
      </c>
      <c r="S103">
        <f t="shared" ref="S103" si="493">R103/100000</f>
        <v>21640.213954476625</v>
      </c>
      <c r="T103">
        <f t="shared" ref="T103" si="494">S103/1000</f>
        <v>21.640213954476625</v>
      </c>
    </row>
    <row r="104" spans="1:20" x14ac:dyDescent="0.25">
      <c r="A104" s="5">
        <v>44489</v>
      </c>
      <c r="B104">
        <v>0.23318</v>
      </c>
      <c r="C104">
        <v>0.25434000000000001</v>
      </c>
      <c r="D104">
        <v>0.23255000000000001</v>
      </c>
      <c r="E104">
        <v>0.25428000000000001</v>
      </c>
      <c r="F104">
        <v>375705075.30000001</v>
      </c>
      <c r="G104">
        <v>0.25428000000000001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0.99449288664524971</v>
      </c>
      <c r="Q104">
        <f t="shared" ref="Q104" si="496">F104*P104</f>
        <v>373636024.86236793</v>
      </c>
      <c r="R104">
        <f t="shared" ref="R104" si="497">R105+Q104</f>
        <v>2451236504.7912269</v>
      </c>
      <c r="S104">
        <f t="shared" ref="S104" si="498">R104/100000</f>
        <v>24512.36504791227</v>
      </c>
      <c r="T104">
        <f t="shared" ref="T104" si="499">S104/1000</f>
        <v>24.512365047912269</v>
      </c>
    </row>
    <row r="105" spans="1:20" x14ac:dyDescent="0.25">
      <c r="A105" s="5">
        <v>44488</v>
      </c>
      <c r="B105">
        <v>0.22334000000000001</v>
      </c>
      <c r="C105">
        <v>0.24399999999999999</v>
      </c>
      <c r="D105">
        <v>0.21973000000000001</v>
      </c>
      <c r="E105">
        <v>0.23324</v>
      </c>
      <c r="F105">
        <v>422086509.60000002</v>
      </c>
      <c r="G105">
        <v>0.23324</v>
      </c>
      <c r="L105" t="s">
        <v>8</v>
      </c>
      <c r="M105" t="s">
        <v>8</v>
      </c>
      <c r="N105" t="s">
        <v>8</v>
      </c>
      <c r="P105">
        <f t="shared" ref="P105" si="500">IF(C105=D105,0,((E105-D105)-(C105-E105))/(C105-D105))</f>
        <v>0.1133086114544707</v>
      </c>
      <c r="Q105">
        <f t="shared" ref="Q105" si="501">F105*P105</f>
        <v>47826036.31644012</v>
      </c>
      <c r="R105">
        <f t="shared" ref="R105" si="502">R106+Q105</f>
        <v>2077600479.928859</v>
      </c>
      <c r="S105">
        <f t="shared" ref="S105" si="503">R105/100000</f>
        <v>20776.004799288588</v>
      </c>
      <c r="T105">
        <f t="shared" ref="T105" si="504">S105/1000</f>
        <v>20.776004799288589</v>
      </c>
    </row>
    <row r="106" spans="1:20" x14ac:dyDescent="0.25">
      <c r="A106" s="5">
        <v>44487</v>
      </c>
      <c r="B106">
        <v>0.22881000000000001</v>
      </c>
      <c r="C106">
        <v>0.23626</v>
      </c>
      <c r="D106">
        <v>0.21612000000000001</v>
      </c>
      <c r="E106">
        <v>0.22322</v>
      </c>
      <c r="F106">
        <v>248727168.30000001</v>
      </c>
      <c r="G106">
        <v>0.22322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-0.29493545183714021</v>
      </c>
      <c r="Q106">
        <f t="shared" ref="Q106" si="506">F106*P106</f>
        <v>-73358459.766732916</v>
      </c>
      <c r="R106">
        <f t="shared" ref="R106" si="507">R107+Q106</f>
        <v>2029774443.6124189</v>
      </c>
      <c r="S106">
        <f t="shared" ref="S106" si="508">R106/100000</f>
        <v>20297.744436124191</v>
      </c>
      <c r="T106">
        <f t="shared" ref="T106" si="509">S106/1000</f>
        <v>20.297744436124191</v>
      </c>
    </row>
    <row r="107" spans="1:20" x14ac:dyDescent="0.25">
      <c r="A107" s="5">
        <v>44486</v>
      </c>
      <c r="B107">
        <v>0.2175</v>
      </c>
      <c r="C107">
        <v>0.23949999999999999</v>
      </c>
      <c r="D107">
        <v>0.21501000000000001</v>
      </c>
      <c r="E107">
        <v>0.22878999999999999</v>
      </c>
      <c r="F107">
        <v>438325833.19999999</v>
      </c>
      <c r="G107">
        <v>0.22878999999999999</v>
      </c>
      <c r="L107" t="s">
        <v>8</v>
      </c>
      <c r="M107" t="s">
        <v>7</v>
      </c>
      <c r="N107" t="s">
        <v>8</v>
      </c>
      <c r="P107">
        <f t="shared" ref="P107" si="510">IF(C107=D107,0,((E107-D107)-(C107-E107))/(C107-D107))</f>
        <v>0.12535728868926058</v>
      </c>
      <c r="Q107">
        <f t="shared" ref="Q107" si="511">F107*P107</f>
        <v>54947338.012413077</v>
      </c>
      <c r="R107">
        <f t="shared" ref="R107" si="512">R108+Q107</f>
        <v>2103132903.3791518</v>
      </c>
      <c r="S107">
        <f t="shared" ref="S107" si="513">R107/100000</f>
        <v>21031.329033791517</v>
      </c>
      <c r="T107">
        <f t="shared" ref="T107" si="514">S107/1000</f>
        <v>21.031329033791518</v>
      </c>
    </row>
    <row r="108" spans="1:20" x14ac:dyDescent="0.25">
      <c r="A108" s="5">
        <v>44485</v>
      </c>
      <c r="B108">
        <v>0.21731</v>
      </c>
      <c r="C108">
        <v>0.23008999999999999</v>
      </c>
      <c r="D108">
        <v>0.21351000000000001</v>
      </c>
      <c r="E108">
        <v>0.21742</v>
      </c>
      <c r="F108">
        <v>257040379.59999999</v>
      </c>
      <c r="G108">
        <v>0.21742</v>
      </c>
      <c r="L108" t="s">
        <v>8</v>
      </c>
      <c r="M108" t="s">
        <v>7</v>
      </c>
      <c r="N108" t="s">
        <v>8</v>
      </c>
      <c r="P108">
        <f t="shared" ref="P108" si="515">IF(C108=D108,0,((E108-D108)-(C108-E108))/(C108-D108))</f>
        <v>-0.52834740651387202</v>
      </c>
      <c r="Q108">
        <f t="shared" ref="Q108" si="516">F108*P108</f>
        <v>-135806617.93100119</v>
      </c>
      <c r="R108">
        <f t="shared" ref="R108" si="517">R109+Q108</f>
        <v>2048185565.3667388</v>
      </c>
      <c r="S108">
        <f t="shared" ref="S108" si="518">R108/100000</f>
        <v>20481.85565366739</v>
      </c>
      <c r="T108">
        <f t="shared" ref="T108" si="519">S108/1000</f>
        <v>20.481855653667388</v>
      </c>
    </row>
    <row r="109" spans="1:20" x14ac:dyDescent="0.25">
      <c r="A109" s="5">
        <v>44484</v>
      </c>
      <c r="B109">
        <v>0.22212999999999999</v>
      </c>
      <c r="C109">
        <v>0.22689999999999999</v>
      </c>
      <c r="D109">
        <v>0.20893999999999999</v>
      </c>
      <c r="E109">
        <v>0.21731</v>
      </c>
      <c r="F109">
        <v>363920865.69999999</v>
      </c>
      <c r="G109">
        <v>0.21731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-6.792873051224782E-2</v>
      </c>
      <c r="Q109">
        <f t="shared" ref="Q109" si="521">F109*P109</f>
        <v>-24720682.413919229</v>
      </c>
      <c r="R109">
        <f t="shared" ref="R109" si="522">R110+Q109</f>
        <v>2183992183.29774</v>
      </c>
      <c r="S109">
        <f t="shared" ref="S109" si="523">R109/100000</f>
        <v>21839.921832977401</v>
      </c>
      <c r="T109">
        <f t="shared" ref="T109" si="524">S109/1000</f>
        <v>21.839921832977403</v>
      </c>
    </row>
    <row r="110" spans="1:20" x14ac:dyDescent="0.25">
      <c r="A110" s="5">
        <v>44483</v>
      </c>
      <c r="B110">
        <v>0.22322</v>
      </c>
      <c r="C110">
        <v>0.23673</v>
      </c>
      <c r="D110">
        <v>0.21920999999999999</v>
      </c>
      <c r="E110">
        <v>0.22214999999999999</v>
      </c>
      <c r="F110">
        <v>408600571</v>
      </c>
      <c r="G110">
        <v>0.22214999999999999</v>
      </c>
      <c r="L110" t="s">
        <v>7</v>
      </c>
      <c r="M110" t="s">
        <v>7</v>
      </c>
      <c r="N110" t="s">
        <v>8</v>
      </c>
      <c r="P110">
        <f t="shared" ref="P110" si="525">IF(C110=D110,0,((E110-D110)-(C110-E110))/(C110-D110))</f>
        <v>-0.66438356164383594</v>
      </c>
      <c r="Q110">
        <f t="shared" ref="Q110" si="526">F110*P110</f>
        <v>-271467502.65068507</v>
      </c>
      <c r="R110">
        <f t="shared" ref="R110" si="527">R111+Q110</f>
        <v>2208712865.7116594</v>
      </c>
      <c r="S110">
        <f t="shared" ref="S110" si="528">R110/100000</f>
        <v>22087.128657116595</v>
      </c>
      <c r="T110">
        <f t="shared" ref="T110" si="529">S110/1000</f>
        <v>22.087128657116594</v>
      </c>
    </row>
    <row r="111" spans="1:20" x14ac:dyDescent="0.25">
      <c r="A111" s="5">
        <v>44482</v>
      </c>
      <c r="B111">
        <v>0.23632</v>
      </c>
      <c r="C111">
        <v>0.25620999999999999</v>
      </c>
      <c r="D111">
        <v>0.21740000000000001</v>
      </c>
      <c r="E111">
        <v>0.22317999999999999</v>
      </c>
      <c r="F111">
        <v>836175639</v>
      </c>
      <c r="G111">
        <v>0.22317999999999999</v>
      </c>
      <c r="L111" t="s">
        <v>8</v>
      </c>
      <c r="M111" t="s">
        <v>8</v>
      </c>
      <c r="N111" t="s">
        <v>8</v>
      </c>
      <c r="P111">
        <f t="shared" ref="P111" si="530">IF(C111=D111,0,((E111-D111)-(C111-E111))/(C111-D111))</f>
        <v>-0.70213862406596328</v>
      </c>
      <c r="Q111">
        <f t="shared" ref="Q111" si="531">F111*P111</f>
        <v>-587111212.64493763</v>
      </c>
      <c r="R111">
        <f t="shared" ref="R111" si="532">R112+Q111</f>
        <v>2480180368.3623443</v>
      </c>
      <c r="S111">
        <f t="shared" ref="S111" si="533">R111/100000</f>
        <v>24801.803683623442</v>
      </c>
      <c r="T111">
        <f t="shared" ref="T111" si="534">S111/1000</f>
        <v>24.801803683623444</v>
      </c>
    </row>
    <row r="112" spans="1:20" x14ac:dyDescent="0.25">
      <c r="A112" s="5">
        <v>44481</v>
      </c>
      <c r="B112">
        <v>0.23413999999999999</v>
      </c>
      <c r="C112">
        <v>0.24023</v>
      </c>
      <c r="D112">
        <v>0.20649999999999999</v>
      </c>
      <c r="E112">
        <v>0.23641999999999999</v>
      </c>
      <c r="F112">
        <v>641876707.29999995</v>
      </c>
      <c r="G112">
        <v>0.23641999999999999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0.77408834865105203</v>
      </c>
      <c r="Q112">
        <f t="shared" ref="Q112" si="536">F112*P112</f>
        <v>496869280.39143163</v>
      </c>
      <c r="R112">
        <f t="shared" ref="R112" si="537">R113+Q112</f>
        <v>3067291581.0072818</v>
      </c>
      <c r="S112">
        <f t="shared" ref="S112" si="538">R112/100000</f>
        <v>30672.915810072816</v>
      </c>
      <c r="T112">
        <f t="shared" ref="T112" si="539">S112/1000</f>
        <v>30.672915810072816</v>
      </c>
    </row>
    <row r="113" spans="1:20" x14ac:dyDescent="0.25">
      <c r="A113" s="5">
        <v>44480</v>
      </c>
      <c r="B113">
        <v>0.25552999999999998</v>
      </c>
      <c r="C113">
        <v>0.26500000000000001</v>
      </c>
      <c r="D113">
        <v>0.22484999999999999</v>
      </c>
      <c r="E113">
        <v>0.23405000000000001</v>
      </c>
      <c r="F113">
        <v>729832322.5</v>
      </c>
      <c r="G113">
        <v>0.23405000000000001</v>
      </c>
      <c r="L113" t="s">
        <v>8</v>
      </c>
      <c r="M113" t="s">
        <v>8</v>
      </c>
      <c r="N113" t="s">
        <v>8</v>
      </c>
      <c r="P113">
        <f t="shared" ref="P113" si="540">IF(C113=D113,0,((E113-D113)-(C113-E113))/(C113-D113))</f>
        <v>-0.54171855541718505</v>
      </c>
      <c r="Q113">
        <f t="shared" ref="Q113" si="541">F113*P113</f>
        <v>-395363711.44146913</v>
      </c>
      <c r="R113">
        <f t="shared" ref="R113" si="542">R114+Q113</f>
        <v>2570422300.61585</v>
      </c>
      <c r="S113">
        <f t="shared" ref="S113" si="543">R113/100000</f>
        <v>25704.2230061585</v>
      </c>
      <c r="T113">
        <f t="shared" ref="T113" si="544">S113/1000</f>
        <v>25.7042230061585</v>
      </c>
    </row>
    <row r="114" spans="1:20" x14ac:dyDescent="0.25">
      <c r="A114" s="5">
        <v>44479</v>
      </c>
      <c r="B114">
        <v>0.21944</v>
      </c>
      <c r="C114">
        <v>0.26690000000000003</v>
      </c>
      <c r="D114">
        <v>0.20465</v>
      </c>
      <c r="E114">
        <v>0.25557000000000002</v>
      </c>
      <c r="F114">
        <v>1287116641.5999999</v>
      </c>
      <c r="G114">
        <v>0.25557000000000002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0.63598393574297185</v>
      </c>
      <c r="Q114">
        <f t="shared" ref="Q114" si="546">F114*P114</f>
        <v>818585507.48504412</v>
      </c>
      <c r="R114">
        <f t="shared" ref="R114" si="547">R115+Q114</f>
        <v>2965786012.0573192</v>
      </c>
      <c r="S114">
        <f t="shared" ref="S114" si="548">R114/100000</f>
        <v>29657.86012057319</v>
      </c>
      <c r="T114">
        <f t="shared" ref="T114" si="549">S114/1000</f>
        <v>29.65786012057319</v>
      </c>
    </row>
    <row r="115" spans="1:20" x14ac:dyDescent="0.25">
      <c r="A115" s="5">
        <v>44478</v>
      </c>
      <c r="B115">
        <v>0.22827</v>
      </c>
      <c r="C115">
        <v>0.248</v>
      </c>
      <c r="D115">
        <v>0.20802000000000001</v>
      </c>
      <c r="E115">
        <v>0.21934000000000001</v>
      </c>
      <c r="F115">
        <v>854059180.20000005</v>
      </c>
      <c r="G115">
        <v>0.21934000000000001</v>
      </c>
      <c r="L115" t="s">
        <v>7</v>
      </c>
      <c r="M115" t="s">
        <v>7</v>
      </c>
      <c r="N115" t="s">
        <v>8</v>
      </c>
      <c r="P115">
        <f t="shared" ref="P115" si="550">IF(C115=D115,0,((E115-D115)-(C115-E115))/(C115-D115))</f>
        <v>-0.43371685842921459</v>
      </c>
      <c r="Q115">
        <f t="shared" ref="Q115" si="551">F115*P115</f>
        <v>-370419864.54897451</v>
      </c>
      <c r="R115">
        <f t="shared" ref="R115" si="552">R116+Q115</f>
        <v>2147200504.5722752</v>
      </c>
      <c r="S115">
        <f t="shared" ref="S115" si="553">R115/100000</f>
        <v>21472.005045722752</v>
      </c>
      <c r="T115">
        <f t="shared" ref="T115" si="554">S115/1000</f>
        <v>21.472005045722753</v>
      </c>
    </row>
    <row r="116" spans="1:20" x14ac:dyDescent="0.25">
      <c r="A116" s="5">
        <v>44477</v>
      </c>
      <c r="B116">
        <v>0.17655999999999999</v>
      </c>
      <c r="C116">
        <v>0.2467</v>
      </c>
      <c r="D116">
        <v>0.17387</v>
      </c>
      <c r="E116">
        <v>0.22827</v>
      </c>
      <c r="F116">
        <v>1877731705.5999999</v>
      </c>
      <c r="G116">
        <v>0.22827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0.49388988054373195</v>
      </c>
      <c r="Q116">
        <f t="shared" ref="Q116" si="556">F116*P116</f>
        <v>927392687.77196205</v>
      </c>
      <c r="R116">
        <f t="shared" ref="R116" si="557">R117+Q116</f>
        <v>2517620369.1212497</v>
      </c>
      <c r="S116">
        <f t="shared" ref="S116" si="558">R116/100000</f>
        <v>25176.203691212497</v>
      </c>
      <c r="T116">
        <f t="shared" ref="T116" si="559">S116/1000</f>
        <v>25.176203691212496</v>
      </c>
    </row>
    <row r="117" spans="1:20" x14ac:dyDescent="0.25">
      <c r="A117" s="5">
        <v>44476</v>
      </c>
      <c r="B117">
        <v>0.16797000000000001</v>
      </c>
      <c r="C117">
        <v>0.18137</v>
      </c>
      <c r="D117">
        <v>0.16228000000000001</v>
      </c>
      <c r="E117">
        <v>0.17654</v>
      </c>
      <c r="F117">
        <v>392665792.39999998</v>
      </c>
      <c r="G117">
        <v>0.17654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0.49397590361445765</v>
      </c>
      <c r="Q117">
        <f t="shared" ref="Q117" si="561">F117*P117</f>
        <v>193967439.61927703</v>
      </c>
      <c r="R117">
        <f t="shared" ref="R117" si="562">R118+Q117</f>
        <v>1590227681.3492877</v>
      </c>
      <c r="S117">
        <f t="shared" ref="S117" si="563">R117/100000</f>
        <v>15902.276813492877</v>
      </c>
      <c r="T117">
        <f t="shared" ref="T117" si="564">S117/1000</f>
        <v>15.902276813492877</v>
      </c>
    </row>
    <row r="118" spans="1:20" x14ac:dyDescent="0.25">
      <c r="A118" s="5">
        <v>44475</v>
      </c>
      <c r="B118">
        <v>0.17518</v>
      </c>
      <c r="C118">
        <v>0.17638000000000001</v>
      </c>
      <c r="D118">
        <v>0.159</v>
      </c>
      <c r="E118">
        <v>0.16807</v>
      </c>
      <c r="F118">
        <v>350843329.19999999</v>
      </c>
      <c r="G118">
        <v>0.16807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4.3728423475257919E-2</v>
      </c>
      <c r="Q118">
        <f t="shared" ref="Q118" si="566">F118*P118</f>
        <v>15341825.672726922</v>
      </c>
      <c r="R118">
        <f t="shared" ref="R118" si="567">R119+Q118</f>
        <v>1396260241.7300107</v>
      </c>
      <c r="S118">
        <f t="shared" ref="S118" si="568">R118/100000</f>
        <v>13962.602417300108</v>
      </c>
      <c r="T118">
        <f t="shared" ref="T118" si="569">S118/1000</f>
        <v>13.962602417300108</v>
      </c>
    </row>
    <row r="119" spans="1:20" x14ac:dyDescent="0.25">
      <c r="A119" s="5">
        <v>44474</v>
      </c>
      <c r="B119">
        <v>0.1774</v>
      </c>
      <c r="C119">
        <v>0.18567</v>
      </c>
      <c r="D119">
        <v>0.17115</v>
      </c>
      <c r="E119">
        <v>0.17509</v>
      </c>
      <c r="F119">
        <v>335206193.10000002</v>
      </c>
      <c r="G119">
        <v>0.17509</v>
      </c>
      <c r="L119" t="s">
        <v>7</v>
      </c>
      <c r="M119" t="s">
        <v>8</v>
      </c>
      <c r="N119" t="s">
        <v>8</v>
      </c>
      <c r="P119">
        <f t="shared" ref="P119" si="570">IF(C119=D119,0,((E119-D119)-(C119-E119))/(C119-D119))</f>
        <v>-0.45730027548209401</v>
      </c>
      <c r="Q119">
        <f t="shared" ref="Q119" si="571">F119*P119</f>
        <v>-153289884.447934</v>
      </c>
      <c r="R119">
        <f t="shared" ref="R119" si="572">R120+Q119</f>
        <v>1380918416.0572839</v>
      </c>
      <c r="S119">
        <f t="shared" ref="S119" si="573">R119/100000</f>
        <v>13809.184160572839</v>
      </c>
      <c r="T119">
        <f t="shared" ref="T119" si="574">S119/1000</f>
        <v>13.809184160572839</v>
      </c>
    </row>
    <row r="120" spans="1:20" x14ac:dyDescent="0.25">
      <c r="A120" s="5">
        <v>44473</v>
      </c>
      <c r="B120">
        <v>0.18099000000000001</v>
      </c>
      <c r="C120">
        <v>0.18864</v>
      </c>
      <c r="D120">
        <v>0.16600000000000001</v>
      </c>
      <c r="E120">
        <v>0.17860999999999999</v>
      </c>
      <c r="F120">
        <v>643959087.70000005</v>
      </c>
      <c r="G120">
        <v>0.17860999999999999</v>
      </c>
      <c r="L120" t="s">
        <v>8</v>
      </c>
      <c r="M120" t="s">
        <v>8</v>
      </c>
      <c r="N120" t="s">
        <v>8</v>
      </c>
      <c r="P120">
        <f t="shared" ref="P120" si="575">IF(C120=D120,0,((E120-D120)-(C120-E120))/(C120-D120))</f>
        <v>0.11395759717314363</v>
      </c>
      <c r="Q120">
        <f t="shared" ref="Q120" si="576">F120*P120</f>
        <v>73384030.312101677</v>
      </c>
      <c r="R120">
        <f t="shared" ref="R120" si="577">R121+Q120</f>
        <v>1534208300.5052178</v>
      </c>
      <c r="S120">
        <f t="shared" ref="S120" si="578">R120/100000</f>
        <v>15342.083005052178</v>
      </c>
      <c r="T120">
        <f t="shared" ref="T120" si="579">S120/1000</f>
        <v>15.342083005052178</v>
      </c>
    </row>
    <row r="121" spans="1:20" x14ac:dyDescent="0.25">
      <c r="A121" s="5">
        <v>44472</v>
      </c>
      <c r="B121">
        <v>0.16316</v>
      </c>
      <c r="C121">
        <v>0.185</v>
      </c>
      <c r="D121">
        <v>0.15962999999999999</v>
      </c>
      <c r="E121">
        <v>0.17927999999999999</v>
      </c>
      <c r="F121">
        <v>494581756.30000001</v>
      </c>
      <c r="G121">
        <v>0.17927999999999999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0.54907370910524222</v>
      </c>
      <c r="Q121">
        <f t="shared" ref="Q121" si="581">F121*P121</f>
        <v>271561839.38742602</v>
      </c>
      <c r="R121">
        <f t="shared" ref="R121" si="582">R122+Q121</f>
        <v>1460824270.1931162</v>
      </c>
      <c r="S121">
        <f t="shared" ref="S121" si="583">R121/100000</f>
        <v>14608.242701931162</v>
      </c>
      <c r="T121">
        <f t="shared" ref="T121" si="584">S121/1000</f>
        <v>14.608242701931161</v>
      </c>
    </row>
    <row r="122" spans="1:20" x14ac:dyDescent="0.25">
      <c r="A122" s="5">
        <v>44471</v>
      </c>
      <c r="B122">
        <v>0.15944</v>
      </c>
      <c r="C122">
        <v>0.17297000000000001</v>
      </c>
      <c r="D122">
        <v>0.15423000000000001</v>
      </c>
      <c r="E122">
        <v>0.16311999999999999</v>
      </c>
      <c r="F122">
        <v>359152774.80000001</v>
      </c>
      <c r="G122">
        <v>0.16311999999999999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-5.1227321237995935E-2</v>
      </c>
      <c r="Q122">
        <f t="shared" ref="Q122" si="586">F122*P122</f>
        <v>-18398434.568197213</v>
      </c>
      <c r="R122">
        <f t="shared" ref="R122" si="587">R123+Q122</f>
        <v>1189262430.8056901</v>
      </c>
      <c r="S122">
        <f t="shared" ref="S122" si="588">R122/100000</f>
        <v>11892.6243080569</v>
      </c>
      <c r="T122">
        <f t="shared" ref="T122" si="589">S122/1000</f>
        <v>11.892624308056901</v>
      </c>
    </row>
    <row r="123" spans="1:20" x14ac:dyDescent="0.25">
      <c r="A123" s="5">
        <v>44470</v>
      </c>
      <c r="B123">
        <v>0.15062</v>
      </c>
      <c r="C123">
        <v>0.16214000000000001</v>
      </c>
      <c r="D123">
        <v>0.14693999999999999</v>
      </c>
      <c r="E123">
        <v>0.15945999999999999</v>
      </c>
      <c r="F123">
        <v>321095237.5</v>
      </c>
      <c r="G123">
        <v>0.15945999999999999</v>
      </c>
      <c r="L123" t="s">
        <v>8</v>
      </c>
      <c r="M123" t="s">
        <v>7</v>
      </c>
      <c r="N123" t="s">
        <v>8</v>
      </c>
      <c r="P123">
        <f t="shared" ref="P123" si="590">IF(C123=D123,0,((E123-D123)-(C123-E123))/(C123-D123))</f>
        <v>0.64736842105262993</v>
      </c>
      <c r="Q123">
        <f t="shared" ref="Q123" si="591">F123*P123</f>
        <v>207866916.90789419</v>
      </c>
      <c r="R123">
        <f t="shared" ref="R123" si="592">R124+Q123</f>
        <v>1207660865.3738873</v>
      </c>
      <c r="S123">
        <f t="shared" ref="S123" si="593">R123/100000</f>
        <v>12076.608653738873</v>
      </c>
      <c r="T123">
        <f t="shared" ref="T123" si="594">S123/1000</f>
        <v>12.076608653738873</v>
      </c>
    </row>
    <row r="124" spans="1:20" x14ac:dyDescent="0.25">
      <c r="A124" s="5">
        <v>44469</v>
      </c>
      <c r="B124">
        <v>0.14405000000000001</v>
      </c>
      <c r="C124">
        <v>0.15456</v>
      </c>
      <c r="D124">
        <v>0.14288999999999999</v>
      </c>
      <c r="E124">
        <v>0.15064</v>
      </c>
      <c r="F124">
        <v>313612038.39999998</v>
      </c>
      <c r="G124">
        <v>0.15064</v>
      </c>
      <c r="L124" t="s">
        <v>8</v>
      </c>
      <c r="M124" t="s">
        <v>7</v>
      </c>
      <c r="N124" t="s">
        <v>8</v>
      </c>
      <c r="P124">
        <f t="shared" ref="P124" si="595">IF(C124=D124,0,((E124-D124)-(C124-E124))/(C124-D124))</f>
        <v>0.32819194515852573</v>
      </c>
      <c r="Q124">
        <f t="shared" ref="Q124" si="596">F124*P124</f>
        <v>102924944.90762626</v>
      </c>
      <c r="R124">
        <f t="shared" ref="R124" si="597">R125+Q124</f>
        <v>999793948.46599305</v>
      </c>
      <c r="S124">
        <f t="shared" ref="S124" si="598">R124/100000</f>
        <v>9997.9394846599298</v>
      </c>
      <c r="T124">
        <f t="shared" ref="T124" si="599">S124/1000</f>
        <v>9.9979394846599305</v>
      </c>
    </row>
    <row r="125" spans="1:20" x14ac:dyDescent="0.25">
      <c r="A125" s="5">
        <v>44468</v>
      </c>
      <c r="B125">
        <v>0.14591000000000001</v>
      </c>
      <c r="C125">
        <v>0.15784999999999999</v>
      </c>
      <c r="D125">
        <v>0.14011999999999999</v>
      </c>
      <c r="E125">
        <v>0.14398</v>
      </c>
      <c r="F125">
        <v>321403360.80000001</v>
      </c>
      <c r="G125">
        <v>0.14398</v>
      </c>
      <c r="L125" t="s">
        <v>7</v>
      </c>
      <c r="M125" t="s">
        <v>7</v>
      </c>
      <c r="N125" t="s">
        <v>8</v>
      </c>
      <c r="P125">
        <f t="shared" ref="P125" si="600">IF(C125=D125,0,((E125-D125)-(C125-E125))/(C125-D125))</f>
        <v>-0.56457980823463016</v>
      </c>
      <c r="Q125">
        <f t="shared" ref="Q125" si="601">F125*P125</f>
        <v>-181457847.80642965</v>
      </c>
      <c r="R125">
        <f t="shared" ref="R125" si="602">R126+Q125</f>
        <v>896869003.55836678</v>
      </c>
      <c r="S125">
        <f t="shared" ref="S125" si="603">R125/100000</f>
        <v>8968.6900355836679</v>
      </c>
      <c r="T125">
        <f t="shared" ref="T125" si="604">S125/1000</f>
        <v>8.9686900355836681</v>
      </c>
    </row>
    <row r="126" spans="1:20" x14ac:dyDescent="0.25">
      <c r="A126" s="5">
        <v>44467</v>
      </c>
      <c r="B126">
        <v>0.15773999999999999</v>
      </c>
      <c r="C126">
        <v>0.16291</v>
      </c>
      <c r="D126">
        <v>0.14454</v>
      </c>
      <c r="E126">
        <v>0.14582999999999999</v>
      </c>
      <c r="F126">
        <v>458023690.60000002</v>
      </c>
      <c r="G126">
        <v>0.14582999999999999</v>
      </c>
      <c r="L126" t="s">
        <v>7</v>
      </c>
      <c r="M126" t="s">
        <v>7</v>
      </c>
      <c r="N126" t="s">
        <v>8</v>
      </c>
      <c r="P126">
        <f t="shared" ref="P126" si="605">IF(C126=D126,0,((E126-D126)-(C126-E126))/(C126-D126))</f>
        <v>-0.85955362003266345</v>
      </c>
      <c r="Q126">
        <f t="shared" ref="Q126" si="606">F126*P126</f>
        <v>-393695921.31595063</v>
      </c>
      <c r="R126">
        <f t="shared" ref="R126" si="607">R127+Q126</f>
        <v>1078326851.3647964</v>
      </c>
      <c r="S126">
        <f t="shared" ref="S126" si="608">R126/100000</f>
        <v>10783.268513647963</v>
      </c>
      <c r="T126">
        <f t="shared" ref="T126" si="609">S126/1000</f>
        <v>10.783268513647963</v>
      </c>
    </row>
    <row r="127" spans="1:20" x14ac:dyDescent="0.25">
      <c r="A127" s="5">
        <v>44466</v>
      </c>
      <c r="B127">
        <v>0.17787</v>
      </c>
      <c r="C127">
        <v>0.18045</v>
      </c>
      <c r="D127">
        <v>0.15665999999999999</v>
      </c>
      <c r="E127">
        <v>0.15770999999999999</v>
      </c>
      <c r="F127">
        <v>574220430</v>
      </c>
      <c r="G127">
        <v>0.15770999999999999</v>
      </c>
      <c r="L127" t="s">
        <v>7</v>
      </c>
      <c r="M127" t="s">
        <v>8</v>
      </c>
      <c r="N127" t="s">
        <v>8</v>
      </c>
      <c r="P127">
        <f t="shared" ref="P127" si="610">IF(C127=D127,0,((E127-D127)-(C127-E127))/(C127-D127))</f>
        <v>-0.91172761664564983</v>
      </c>
      <c r="Q127">
        <f t="shared" ref="Q127" si="611">F127*P127</f>
        <v>-523532624.0731402</v>
      </c>
      <c r="R127">
        <f t="shared" ref="R127" si="612">R128+Q127</f>
        <v>1472022772.680747</v>
      </c>
      <c r="S127">
        <f t="shared" ref="S127" si="613">R127/100000</f>
        <v>14720.22772680747</v>
      </c>
      <c r="T127">
        <f t="shared" ref="T127" si="614">S127/1000</f>
        <v>14.720227726807471</v>
      </c>
    </row>
    <row r="128" spans="1:20" x14ac:dyDescent="0.25">
      <c r="A128" s="5">
        <v>44465</v>
      </c>
      <c r="B128">
        <v>0.16233</v>
      </c>
      <c r="C128">
        <v>0.18257999999999999</v>
      </c>
      <c r="D128">
        <v>0.14799000000000001</v>
      </c>
      <c r="E128">
        <v>0.17813999999999999</v>
      </c>
      <c r="F128">
        <v>955518925.5</v>
      </c>
      <c r="G128">
        <v>0.17813999999999999</v>
      </c>
      <c r="L128" t="s">
        <v>8</v>
      </c>
      <c r="M128" t="s">
        <v>8</v>
      </c>
      <c r="N128" t="s">
        <v>8</v>
      </c>
      <c r="P128">
        <f t="shared" ref="P128" si="615">IF(C128=D128,0,((E128-D128)-(C128-E128))/(C128-D128))</f>
        <v>0.7432784041630528</v>
      </c>
      <c r="Q128">
        <f t="shared" ref="Q128" si="616">F128*P128</f>
        <v>710216582.0932349</v>
      </c>
      <c r="R128">
        <f t="shared" ref="R128" si="617">R129+Q128</f>
        <v>1995555396.7538872</v>
      </c>
      <c r="S128">
        <f t="shared" ref="S128" si="618">R128/100000</f>
        <v>19955.553967538872</v>
      </c>
      <c r="T128">
        <f t="shared" ref="T128" si="619">S128/1000</f>
        <v>19.955553967538872</v>
      </c>
    </row>
    <row r="129" spans="1:20" x14ac:dyDescent="0.25">
      <c r="A129" s="5">
        <v>44464</v>
      </c>
      <c r="B129">
        <v>0.15068999999999999</v>
      </c>
      <c r="C129">
        <v>0.18</v>
      </c>
      <c r="D129">
        <v>0.14826</v>
      </c>
      <c r="E129">
        <v>0.16220999999999999</v>
      </c>
      <c r="F129">
        <v>1203863046.3</v>
      </c>
      <c r="G129">
        <v>0.16220999999999999</v>
      </c>
      <c r="L129" t="s">
        <v>8</v>
      </c>
      <c r="M129" t="s">
        <v>8</v>
      </c>
      <c r="N129" t="s">
        <v>8</v>
      </c>
      <c r="P129">
        <f t="shared" ref="P129" si="620">IF(C129=D129,0,((E129-D129)-(C129-E129))/(C129-D129))</f>
        <v>-0.12098298676748617</v>
      </c>
      <c r="Q129">
        <f t="shared" ref="Q129" si="621">F129*P129</f>
        <v>-145646947.00037849</v>
      </c>
      <c r="R129">
        <f t="shared" ref="R129" si="622">R130+Q129</f>
        <v>1285338814.6606522</v>
      </c>
      <c r="S129">
        <f t="shared" ref="S129" si="623">R129/100000</f>
        <v>12853.388146606521</v>
      </c>
      <c r="T129">
        <f t="shared" ref="T129" si="624">S129/1000</f>
        <v>12.853388146606521</v>
      </c>
    </row>
    <row r="130" spans="1:20" x14ac:dyDescent="0.25">
      <c r="A130" s="5">
        <v>44463</v>
      </c>
      <c r="B130">
        <v>0.15883</v>
      </c>
      <c r="C130">
        <v>0.15919</v>
      </c>
      <c r="D130">
        <v>0.12661</v>
      </c>
      <c r="E130">
        <v>0.15054999999999999</v>
      </c>
      <c r="F130">
        <v>838070217.39999998</v>
      </c>
      <c r="G130">
        <v>0.15054999999999999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0.4696132596685077</v>
      </c>
      <c r="Q130">
        <f t="shared" ref="Q130" si="626">F130*P130</f>
        <v>393568886.62430888</v>
      </c>
      <c r="R130">
        <f t="shared" ref="R130" si="627">R131+Q130</f>
        <v>1430985761.6610308</v>
      </c>
      <c r="S130">
        <f t="shared" ref="S130" si="628">R130/100000</f>
        <v>14309.857616610308</v>
      </c>
      <c r="T130">
        <f t="shared" ref="T130" si="629">S130/1000</f>
        <v>14.309857616610309</v>
      </c>
    </row>
    <row r="131" spans="1:20" x14ac:dyDescent="0.25">
      <c r="A131" s="5">
        <v>44462</v>
      </c>
      <c r="B131">
        <v>0.13675999999999999</v>
      </c>
      <c r="C131">
        <v>0.15961</v>
      </c>
      <c r="D131">
        <v>0.12952</v>
      </c>
      <c r="E131">
        <v>0.15873999999999999</v>
      </c>
      <c r="F131">
        <v>686388864</v>
      </c>
      <c r="G131">
        <v>0.15873999999999999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0.94217347956131547</v>
      </c>
      <c r="Q131">
        <f t="shared" ref="Q131" si="631">F131*P131</f>
        <v>646697384.3270185</v>
      </c>
      <c r="R131">
        <f t="shared" ref="R131" si="632">R132+Q131</f>
        <v>1037416875.0367218</v>
      </c>
      <c r="S131">
        <f t="shared" ref="S131" si="633">R131/100000</f>
        <v>10374.168750367218</v>
      </c>
      <c r="T131">
        <f t="shared" ref="T131" si="634">S131/1000</f>
        <v>10.374168750367218</v>
      </c>
    </row>
    <row r="132" spans="1:20" x14ac:dyDescent="0.25">
      <c r="A132" s="5">
        <v>44461</v>
      </c>
      <c r="B132">
        <v>0.12084</v>
      </c>
      <c r="C132">
        <v>0.13980000000000001</v>
      </c>
      <c r="D132">
        <v>0.11817</v>
      </c>
      <c r="E132">
        <v>0.13672999999999999</v>
      </c>
      <c r="F132">
        <v>594809465.5</v>
      </c>
      <c r="G132">
        <v>0.13672999999999999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0.71613499768839428</v>
      </c>
      <c r="Q132">
        <f t="shared" ref="Q132" si="636">F132*P132</f>
        <v>425963875.20087755</v>
      </c>
      <c r="R132">
        <f t="shared" ref="R132" si="637">R133+Q132</f>
        <v>390719490.70970333</v>
      </c>
      <c r="S132">
        <f t="shared" ref="S132" si="638">R132/100000</f>
        <v>3907.1949070970331</v>
      </c>
      <c r="T132">
        <f t="shared" ref="T132" si="639">S132/1000</f>
        <v>3.9071949070970331</v>
      </c>
    </row>
    <row r="133" spans="1:20" x14ac:dyDescent="0.25">
      <c r="A133" s="5">
        <v>44460</v>
      </c>
      <c r="B133">
        <v>0.12795999999999999</v>
      </c>
      <c r="C133">
        <v>0.1467</v>
      </c>
      <c r="D133">
        <v>0.11799999999999999</v>
      </c>
      <c r="E133">
        <v>0.12106</v>
      </c>
      <c r="F133">
        <v>727432955</v>
      </c>
      <c r="G133">
        <v>0.12106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-0.78675958188153261</v>
      </c>
      <c r="Q133">
        <f t="shared" ref="Q133" si="641">F133*P133</f>
        <v>-572314847.52264774</v>
      </c>
      <c r="R133">
        <f t="shared" ref="R133" si="642">R134+Q133</f>
        <v>-35244384.491174221</v>
      </c>
      <c r="S133">
        <f t="shared" ref="S133" si="643">R133/100000</f>
        <v>-352.44384491174219</v>
      </c>
      <c r="T133">
        <f t="shared" ref="T133" si="644">S133/1000</f>
        <v>-0.35244384491174219</v>
      </c>
    </row>
    <row r="134" spans="1:20" x14ac:dyDescent="0.25">
      <c r="A134" s="5">
        <v>44459</v>
      </c>
      <c r="B134">
        <v>0.15662000000000001</v>
      </c>
      <c r="C134">
        <v>0.15712999999999999</v>
      </c>
      <c r="D134">
        <v>0.13514999999999999</v>
      </c>
      <c r="E134">
        <v>0.13705000000000001</v>
      </c>
      <c r="F134">
        <v>256437156.5</v>
      </c>
      <c r="G134">
        <v>0.13705000000000001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-0.8271155595996349</v>
      </c>
      <c r="Q134">
        <f t="shared" ref="Q134" si="646">F134*P134</f>
        <v>-212103162.20063666</v>
      </c>
      <c r="R134">
        <f t="shared" ref="R134" si="647">R135+Q134</f>
        <v>537070463.03147352</v>
      </c>
      <c r="S134">
        <f t="shared" ref="S134" si="648">R134/100000</f>
        <v>5370.7046303147354</v>
      </c>
      <c r="T134">
        <f t="shared" ref="T134" si="649">S134/1000</f>
        <v>5.3707046303147354</v>
      </c>
    </row>
    <row r="135" spans="1:20" x14ac:dyDescent="0.25">
      <c r="A135" s="5">
        <v>44458</v>
      </c>
      <c r="B135">
        <v>0.16586999999999999</v>
      </c>
      <c r="C135">
        <v>0.16933999999999999</v>
      </c>
      <c r="D135">
        <v>0.15265000000000001</v>
      </c>
      <c r="E135">
        <v>0.15662000000000001</v>
      </c>
      <c r="F135">
        <v>260258128.69999999</v>
      </c>
      <c r="G135">
        <v>0.15662000000000001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-0.52426602756141338</v>
      </c>
      <c r="Q135">
        <f t="shared" ref="Q135" si="651">F135*P135</f>
        <v>-136444495.27411607</v>
      </c>
      <c r="R135">
        <f t="shared" ref="R135" si="652">R136+Q135</f>
        <v>749173625.23211014</v>
      </c>
      <c r="S135">
        <f t="shared" ref="S135" si="653">R135/100000</f>
        <v>7491.7362523211013</v>
      </c>
      <c r="T135">
        <f t="shared" ref="T135" si="654">S135/1000</f>
        <v>7.4917362523211013</v>
      </c>
    </row>
    <row r="136" spans="1:20" x14ac:dyDescent="0.25">
      <c r="A136" s="5">
        <v>44457</v>
      </c>
      <c r="B136">
        <v>0.15298</v>
      </c>
      <c r="C136">
        <v>0.17773</v>
      </c>
      <c r="D136">
        <v>0.14879000000000001</v>
      </c>
      <c r="E136">
        <v>0.16603000000000001</v>
      </c>
      <c r="F136">
        <v>485559502.5</v>
      </c>
      <c r="G136">
        <v>0.16603000000000001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0.19143054595715336</v>
      </c>
      <c r="Q136">
        <f t="shared" ref="Q136" si="656">F136*P136</f>
        <v>92950920.658258781</v>
      </c>
      <c r="R136">
        <f t="shared" ref="R136" si="657">R137+Q136</f>
        <v>885618120.50622618</v>
      </c>
      <c r="S136">
        <f t="shared" ref="S136" si="658">R136/100000</f>
        <v>8856.1812050622611</v>
      </c>
      <c r="T136">
        <f t="shared" ref="T136" si="659">S136/1000</f>
        <v>8.8561812050622617</v>
      </c>
    </row>
    <row r="137" spans="1:20" x14ac:dyDescent="0.25">
      <c r="A137" s="5">
        <v>44456</v>
      </c>
      <c r="B137">
        <v>0.16339999999999999</v>
      </c>
      <c r="C137">
        <v>0.16456999999999999</v>
      </c>
      <c r="D137">
        <v>0.14888999999999999</v>
      </c>
      <c r="E137">
        <v>0.15282999999999999</v>
      </c>
      <c r="F137">
        <v>332103723.19999999</v>
      </c>
      <c r="G137">
        <v>0.15282999999999999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-0.49744897959183682</v>
      </c>
      <c r="Q137">
        <f t="shared" ref="Q137" si="661">F137*P137</f>
        <v>-165204658.22448981</v>
      </c>
      <c r="R137">
        <f t="shared" ref="R137" si="662">R138+Q137</f>
        <v>792667199.84796739</v>
      </c>
      <c r="S137">
        <f t="shared" ref="S137" si="663">R137/100000</f>
        <v>7926.6719984796737</v>
      </c>
      <c r="T137">
        <f t="shared" ref="T137" si="664">S137/1000</f>
        <v>7.9266719984796739</v>
      </c>
    </row>
    <row r="138" spans="1:20" x14ac:dyDescent="0.25">
      <c r="A138" s="5">
        <v>44455</v>
      </c>
      <c r="B138">
        <v>0.17263999999999999</v>
      </c>
      <c r="C138">
        <v>0.17929999999999999</v>
      </c>
      <c r="D138">
        <v>0.15665999999999999</v>
      </c>
      <c r="E138">
        <v>0.16356999999999999</v>
      </c>
      <c r="F138">
        <v>419067135.10000002</v>
      </c>
      <c r="G138">
        <v>0.16356999999999999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-0.38957597173144864</v>
      </c>
      <c r="Q138">
        <f t="shared" ref="Q138" si="666">F138*P138</f>
        <v>-163258486.37729678</v>
      </c>
      <c r="R138">
        <f t="shared" ref="R138" si="667">R139+Q138</f>
        <v>957871858.07245719</v>
      </c>
      <c r="S138">
        <f t="shared" ref="S138" si="668">R138/100000</f>
        <v>9578.7185807245714</v>
      </c>
      <c r="T138">
        <f t="shared" ref="T138" si="669">S138/1000</f>
        <v>9.5787185807245709</v>
      </c>
    </row>
    <row r="139" spans="1:20" x14ac:dyDescent="0.25">
      <c r="A139" s="5">
        <v>44454</v>
      </c>
      <c r="B139">
        <v>0.17202000000000001</v>
      </c>
      <c r="C139">
        <v>0.18</v>
      </c>
      <c r="D139">
        <v>0.16797999999999999</v>
      </c>
      <c r="E139">
        <v>0.17263999999999999</v>
      </c>
      <c r="F139">
        <v>391435722.69999999</v>
      </c>
      <c r="G139">
        <v>0.17263999999999999</v>
      </c>
      <c r="L139" t="s">
        <v>8</v>
      </c>
      <c r="M139" t="s">
        <v>7</v>
      </c>
      <c r="N139" t="s">
        <v>8</v>
      </c>
      <c r="P139">
        <f t="shared" ref="P139" si="670">IF(C139=D139,0,((E139-D139)-(C139-E139))/(C139-D139))</f>
        <v>-0.22462562396006716</v>
      </c>
      <c r="Q139">
        <f t="shared" ref="Q139" si="671">F139*P139</f>
        <v>-87926493.451747328</v>
      </c>
      <c r="R139">
        <f t="shared" ref="R139" si="672">R140+Q139</f>
        <v>1121130344.449754</v>
      </c>
      <c r="S139">
        <f t="shared" ref="S139" si="673">R139/100000</f>
        <v>11211.30344449754</v>
      </c>
      <c r="T139">
        <f t="shared" ref="T139" si="674">S139/1000</f>
        <v>11.21130344449754</v>
      </c>
    </row>
    <row r="140" spans="1:20" x14ac:dyDescent="0.25">
      <c r="A140" s="5">
        <v>44453</v>
      </c>
      <c r="B140">
        <v>0.18415000000000001</v>
      </c>
      <c r="C140">
        <v>0.18865000000000001</v>
      </c>
      <c r="D140">
        <v>0.16650999999999999</v>
      </c>
      <c r="E140">
        <v>0.17208000000000001</v>
      </c>
      <c r="F140">
        <v>464717986.80000001</v>
      </c>
      <c r="G140">
        <v>0.17208000000000001</v>
      </c>
      <c r="L140" t="s">
        <v>7</v>
      </c>
      <c r="M140" t="s">
        <v>7</v>
      </c>
      <c r="N140" t="s">
        <v>8</v>
      </c>
      <c r="P140">
        <f t="shared" ref="P140" si="675">IF(C140=D140,0,((E140-D140)-(C140-E140))/(C140-D140))</f>
        <v>-0.49683830171634924</v>
      </c>
      <c r="Q140">
        <f t="shared" ref="Q140" si="676">F140*P140</f>
        <v>-230889695.33875281</v>
      </c>
      <c r="R140">
        <f t="shared" ref="R140" si="677">R141+Q140</f>
        <v>1209056837.9015014</v>
      </c>
      <c r="S140">
        <f t="shared" ref="S140" si="678">R140/100000</f>
        <v>12090.568379015014</v>
      </c>
      <c r="T140">
        <f t="shared" ref="T140" si="679">S140/1000</f>
        <v>12.090568379015014</v>
      </c>
    </row>
    <row r="141" spans="1:20" x14ac:dyDescent="0.25">
      <c r="A141" s="5">
        <v>44452</v>
      </c>
      <c r="B141">
        <v>0.21665999999999999</v>
      </c>
      <c r="C141">
        <v>0.22994999999999999</v>
      </c>
      <c r="D141">
        <v>0.17352999999999999</v>
      </c>
      <c r="E141">
        <v>0.18428</v>
      </c>
      <c r="F141">
        <v>840870249</v>
      </c>
      <c r="G141">
        <v>0.18428</v>
      </c>
      <c r="L141" t="s">
        <v>8</v>
      </c>
      <c r="M141" t="s">
        <v>7</v>
      </c>
      <c r="N141" t="s">
        <v>8</v>
      </c>
      <c r="P141">
        <f t="shared" ref="P141" si="680">IF(C141=D141,0,((E141-D141)-(C141-E141))/(C141-D141))</f>
        <v>-0.61892945763913476</v>
      </c>
      <c r="Q141">
        <f t="shared" ref="Q141" si="681">F141*P141</f>
        <v>-520439367.15845418</v>
      </c>
      <c r="R141">
        <f t="shared" ref="R141" si="682">R142+Q141</f>
        <v>1439946533.2402542</v>
      </c>
      <c r="S141">
        <f t="shared" ref="S141" si="683">R141/100000</f>
        <v>14399.465332402542</v>
      </c>
      <c r="T141">
        <f t="shared" ref="T141" si="684">S141/1000</f>
        <v>14.399465332402542</v>
      </c>
    </row>
    <row r="142" spans="1:20" x14ac:dyDescent="0.25">
      <c r="A142" s="5">
        <v>44451</v>
      </c>
      <c r="B142">
        <v>0.17916000000000001</v>
      </c>
      <c r="C142">
        <v>0.22303999999999999</v>
      </c>
      <c r="D142">
        <v>0.17510000000000001</v>
      </c>
      <c r="E142">
        <v>0.21665000000000001</v>
      </c>
      <c r="F142">
        <v>817720240</v>
      </c>
      <c r="G142">
        <v>0.21665000000000001</v>
      </c>
      <c r="L142" t="s">
        <v>8</v>
      </c>
      <c r="M142" t="s">
        <v>8</v>
      </c>
      <c r="N142" t="s">
        <v>8</v>
      </c>
      <c r="P142">
        <f t="shared" ref="P142" si="685">IF(C142=D142,0,((E142-D142)-(C142-E142))/(C142-D142))</f>
        <v>0.73341677096370539</v>
      </c>
      <c r="Q142">
        <f t="shared" ref="Q142" si="686">F142*P142</f>
        <v>599729737.97246623</v>
      </c>
      <c r="R142">
        <f t="shared" ref="R142" si="687">R143+Q142</f>
        <v>1960385900.3987083</v>
      </c>
      <c r="S142">
        <f t="shared" ref="S142" si="688">R142/100000</f>
        <v>19603.859003987083</v>
      </c>
      <c r="T142">
        <f t="shared" ref="T142" si="689">S142/1000</f>
        <v>19.603859003987083</v>
      </c>
    </row>
    <row r="143" spans="1:20" x14ac:dyDescent="0.25">
      <c r="A143" s="5">
        <v>44450</v>
      </c>
      <c r="B143">
        <v>0.17201</v>
      </c>
      <c r="C143">
        <v>0.20995</v>
      </c>
      <c r="D143">
        <v>0.16633999999999999</v>
      </c>
      <c r="E143">
        <v>0.1792</v>
      </c>
      <c r="F143">
        <v>758563763.29999995</v>
      </c>
      <c r="G143">
        <v>0.1792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-0.41022701215317553</v>
      </c>
      <c r="Q143">
        <f t="shared" ref="Q143" si="691">F143*P143</f>
        <v>-311183346.14622766</v>
      </c>
      <c r="R143">
        <f t="shared" ref="R143" si="692">R144+Q143</f>
        <v>1360656162.4262421</v>
      </c>
      <c r="S143">
        <f t="shared" ref="S143" si="693">R143/100000</f>
        <v>13606.561624262422</v>
      </c>
      <c r="T143">
        <f t="shared" ref="T143" si="694">S143/1000</f>
        <v>13.606561624262422</v>
      </c>
    </row>
    <row r="144" spans="1:20" x14ac:dyDescent="0.25">
      <c r="A144" s="5">
        <v>44449</v>
      </c>
      <c r="B144">
        <v>0.20083000000000001</v>
      </c>
      <c r="C144">
        <v>0.21</v>
      </c>
      <c r="D144">
        <v>0.16017000000000001</v>
      </c>
      <c r="E144">
        <v>0.17201</v>
      </c>
      <c r="F144">
        <v>1006102108.1</v>
      </c>
      <c r="G144">
        <v>0.17201</v>
      </c>
      <c r="L144" t="s">
        <v>7</v>
      </c>
      <c r="M144" t="s">
        <v>7</v>
      </c>
      <c r="N144" t="s">
        <v>8</v>
      </c>
      <c r="P144">
        <f t="shared" ref="P144" si="695">IF(C144=D144,0,((E144-D144)-(C144-E144))/(C144-D144))</f>
        <v>-0.52478426650612109</v>
      </c>
      <c r="Q144">
        <f t="shared" ref="Q144" si="696">F144*P144</f>
        <v>-527986556.82952064</v>
      </c>
      <c r="R144">
        <f t="shared" ref="R144" si="697">R145+Q144</f>
        <v>1671839508.5724697</v>
      </c>
      <c r="S144">
        <f t="shared" ref="S144" si="698">R144/100000</f>
        <v>16718.395085724696</v>
      </c>
      <c r="T144">
        <f t="shared" ref="T144" si="699">S144/1000</f>
        <v>16.718395085724698</v>
      </c>
    </row>
    <row r="145" spans="1:20" x14ac:dyDescent="0.25">
      <c r="A145" s="5">
        <v>44448</v>
      </c>
      <c r="B145">
        <v>0.14199999999999999</v>
      </c>
      <c r="C145">
        <v>0.21</v>
      </c>
      <c r="D145">
        <v>0.13714000000000001</v>
      </c>
      <c r="E145">
        <v>0.20086000000000001</v>
      </c>
      <c r="F145">
        <v>1489835640.0999999</v>
      </c>
      <c r="G145">
        <v>0.20086000000000001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0.74910787812242696</v>
      </c>
      <c r="Q145">
        <f t="shared" ref="Q145" si="701">F145*P145</f>
        <v>1116047615.1064787</v>
      </c>
      <c r="R145">
        <f t="shared" ref="R145" si="702">R146+Q145</f>
        <v>2199826065.4019904</v>
      </c>
      <c r="S145">
        <f t="shared" ref="S145" si="703">R145/100000</f>
        <v>21998.260654019905</v>
      </c>
      <c r="T145">
        <f t="shared" ref="T145" si="704">S145/1000</f>
        <v>21.998260654019905</v>
      </c>
    </row>
    <row r="146" spans="1:20" x14ac:dyDescent="0.25">
      <c r="A146" s="5">
        <v>44447</v>
      </c>
      <c r="B146">
        <v>0.11971</v>
      </c>
      <c r="C146">
        <v>0.15569</v>
      </c>
      <c r="D146">
        <v>0.11650000000000001</v>
      </c>
      <c r="E146">
        <v>0.14202000000000001</v>
      </c>
      <c r="F146">
        <v>1327826876.5999999</v>
      </c>
      <c r="G146">
        <v>0.14202000000000001</v>
      </c>
      <c r="L146" t="s">
        <v>8</v>
      </c>
      <c r="M146" t="s">
        <v>8</v>
      </c>
      <c r="N146" t="s">
        <v>8</v>
      </c>
      <c r="P146">
        <f t="shared" ref="P146" si="705">IF(C146=D146,0,((E146-D146)-(C146-E146))/(C146-D146))</f>
        <v>0.30237305435060008</v>
      </c>
      <c r="Q146">
        <f t="shared" ref="Q146" si="706">F146*P146</f>
        <v>401499068.32635933</v>
      </c>
      <c r="R146">
        <f t="shared" ref="R146" si="707">R147+Q146</f>
        <v>1083778450.2955117</v>
      </c>
      <c r="S146">
        <f t="shared" ref="S146" si="708">R146/100000</f>
        <v>10837.784502955117</v>
      </c>
      <c r="T146">
        <f t="shared" ref="T146" si="709">S146/1000</f>
        <v>10.837784502955117</v>
      </c>
    </row>
    <row r="147" spans="1:20" x14ac:dyDescent="0.25">
      <c r="A147" s="5">
        <v>44446</v>
      </c>
      <c r="B147">
        <v>0.13028000000000001</v>
      </c>
      <c r="C147">
        <v>0.159</v>
      </c>
      <c r="D147">
        <v>9.7970000000000002E-2</v>
      </c>
      <c r="E147">
        <v>0.11971</v>
      </c>
      <c r="F147">
        <v>1273030002.2</v>
      </c>
      <c r="G147">
        <v>0.11971</v>
      </c>
      <c r="L147" t="s">
        <v>7</v>
      </c>
      <c r="M147" t="s">
        <v>7</v>
      </c>
      <c r="N147" t="s">
        <v>8</v>
      </c>
      <c r="P147">
        <f t="shared" ref="P147" si="710">IF(C147=D147,0,((E147-D147)-(C147-E147))/(C147-D147))</f>
        <v>-0.28756349336391956</v>
      </c>
      <c r="Q147">
        <f t="shared" ref="Q147" si="711">F147*P147</f>
        <v>-366076954.58971024</v>
      </c>
      <c r="R147">
        <f t="shared" ref="R147" si="712">R148+Q147</f>
        <v>682279381.96915233</v>
      </c>
      <c r="S147">
        <f t="shared" ref="S147" si="713">R147/100000</f>
        <v>6822.7938196915229</v>
      </c>
      <c r="T147">
        <f t="shared" ref="T147" si="714">S147/1000</f>
        <v>6.8227938196915225</v>
      </c>
    </row>
    <row r="148" spans="1:20" x14ac:dyDescent="0.25">
      <c r="A148" s="5">
        <v>44445</v>
      </c>
      <c r="B148">
        <v>0.13233</v>
      </c>
      <c r="C148">
        <v>0.1341</v>
      </c>
      <c r="D148">
        <v>0.12367</v>
      </c>
      <c r="E148">
        <v>0.13020999999999999</v>
      </c>
      <c r="F148">
        <v>215772679.40000001</v>
      </c>
      <c r="G148">
        <v>0.13020999999999999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0.25407478427612529</v>
      </c>
      <c r="Q148">
        <f t="shared" ref="Q148" si="716">F148*P148</f>
        <v>54822396.971236542</v>
      </c>
      <c r="R148">
        <f t="shared" ref="R148" si="717">R149+Q148</f>
        <v>1048356336.5588626</v>
      </c>
      <c r="S148">
        <f t="shared" ref="S148" si="718">R148/100000</f>
        <v>10483.563365588625</v>
      </c>
      <c r="T148">
        <f t="shared" ref="T148" si="719">S148/1000</f>
        <v>10.483563365588624</v>
      </c>
    </row>
    <row r="149" spans="1:20" x14ac:dyDescent="0.25">
      <c r="A149" s="5">
        <v>44444</v>
      </c>
      <c r="B149">
        <v>0.12422999999999999</v>
      </c>
      <c r="C149">
        <v>0.13372000000000001</v>
      </c>
      <c r="D149">
        <v>0.12422999999999999</v>
      </c>
      <c r="E149">
        <v>0.13242999999999999</v>
      </c>
      <c r="F149">
        <v>236529691.69999999</v>
      </c>
      <c r="G149">
        <v>0.13242999999999999</v>
      </c>
      <c r="L149" t="s">
        <v>8</v>
      </c>
      <c r="M149" t="s">
        <v>7</v>
      </c>
      <c r="N149" t="s">
        <v>8</v>
      </c>
      <c r="P149">
        <f t="shared" ref="P149" si="720">IF(C149=D149,0,((E149-D149)-(C149-E149))/(C149-D149))</f>
        <v>0.72813487881980787</v>
      </c>
      <c r="Q149">
        <f t="shared" ref="Q149" si="721">F149*P149</f>
        <v>172225518.40326601</v>
      </c>
      <c r="R149">
        <f t="shared" ref="R149" si="722">R150+Q149</f>
        <v>993533939.58762598</v>
      </c>
      <c r="S149">
        <f t="shared" ref="S149" si="723">R149/100000</f>
        <v>9935.339395876259</v>
      </c>
      <c r="T149">
        <f t="shared" ref="T149" si="724">S149/1000</f>
        <v>9.9353393958762588</v>
      </c>
    </row>
    <row r="150" spans="1:20" x14ac:dyDescent="0.25">
      <c r="A150" s="5">
        <v>44443</v>
      </c>
      <c r="B150">
        <v>0.12186</v>
      </c>
      <c r="C150">
        <v>0.13086</v>
      </c>
      <c r="D150">
        <v>0.12024</v>
      </c>
      <c r="E150">
        <v>0.12422</v>
      </c>
      <c r="F150">
        <v>185418610.30000001</v>
      </c>
      <c r="G150">
        <v>0.12422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-0.25047080979284447</v>
      </c>
      <c r="Q150">
        <f t="shared" ref="Q150" si="726">F150*P150</f>
        <v>-46441949.472504854</v>
      </c>
      <c r="R150">
        <f t="shared" ref="R150" si="727">R151+Q150</f>
        <v>821308421.18435991</v>
      </c>
      <c r="S150">
        <f t="shared" ref="S150" si="728">R150/100000</f>
        <v>8213.0842118435994</v>
      </c>
      <c r="T150">
        <f t="shared" ref="T150" si="729">S150/1000</f>
        <v>8.2130842118435989</v>
      </c>
    </row>
    <row r="151" spans="1:20" x14ac:dyDescent="0.25">
      <c r="A151" s="5">
        <v>44442</v>
      </c>
      <c r="B151">
        <v>0.11938</v>
      </c>
      <c r="C151">
        <v>0.12655</v>
      </c>
      <c r="D151">
        <v>0.11650000000000001</v>
      </c>
      <c r="E151">
        <v>0.12189999999999999</v>
      </c>
      <c r="F151">
        <v>194873839.30000001</v>
      </c>
      <c r="G151">
        <v>0.12189999999999999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7.4626865671640549E-2</v>
      </c>
      <c r="Q151">
        <f t="shared" ref="Q151" si="731">F151*P151</f>
        <v>14542823.828357968</v>
      </c>
      <c r="R151">
        <f t="shared" ref="R151" si="732">R152+Q151</f>
        <v>867750370.65686476</v>
      </c>
      <c r="S151">
        <f t="shared" ref="S151" si="733">R151/100000</f>
        <v>8677.5037065686483</v>
      </c>
      <c r="T151">
        <f t="shared" ref="T151" si="734">S151/1000</f>
        <v>8.6775037065686487</v>
      </c>
    </row>
    <row r="152" spans="1:20" x14ac:dyDescent="0.25">
      <c r="A152" s="5">
        <v>44441</v>
      </c>
      <c r="B152">
        <v>0.12261</v>
      </c>
      <c r="C152">
        <v>0.12565999999999999</v>
      </c>
      <c r="D152">
        <v>0.11899999999999999</v>
      </c>
      <c r="E152">
        <v>0.11931</v>
      </c>
      <c r="F152">
        <v>189056435.30000001</v>
      </c>
      <c r="G152">
        <v>0.11931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-0.90690690690690545</v>
      </c>
      <c r="Q152">
        <f t="shared" ref="Q152" si="736">F152*P152</f>
        <v>-171456586.96876851</v>
      </c>
      <c r="R152">
        <f t="shared" ref="R152" si="737">R153+Q152</f>
        <v>853207546.82850683</v>
      </c>
      <c r="S152">
        <f t="shared" ref="S152" si="738">R152/100000</f>
        <v>8532.0754682850675</v>
      </c>
      <c r="T152">
        <f t="shared" ref="T152" si="739">S152/1000</f>
        <v>8.5320754682850684</v>
      </c>
    </row>
    <row r="153" spans="1:20" x14ac:dyDescent="0.25">
      <c r="A153" s="5">
        <v>44440</v>
      </c>
      <c r="B153">
        <v>0.11853</v>
      </c>
      <c r="C153">
        <v>0.12570000000000001</v>
      </c>
      <c r="D153">
        <v>0.11501</v>
      </c>
      <c r="E153">
        <v>0.12259</v>
      </c>
      <c r="F153">
        <v>274849729.89999998</v>
      </c>
      <c r="G153">
        <v>0.12259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0.4181478016838166</v>
      </c>
      <c r="Q153">
        <f t="shared" ref="Q153" si="741">F153*P153</f>
        <v>114927810.35107575</v>
      </c>
      <c r="R153">
        <f t="shared" ref="R153" si="742">R154+Q153</f>
        <v>1024664133.7972753</v>
      </c>
      <c r="S153">
        <f t="shared" ref="S153" si="743">R153/100000</f>
        <v>10246.641337972753</v>
      </c>
      <c r="T153">
        <f t="shared" ref="T153" si="744">S153/1000</f>
        <v>10.246641337972752</v>
      </c>
    </row>
    <row r="154" spans="1:20" x14ac:dyDescent="0.25">
      <c r="A154" s="5">
        <v>44439</v>
      </c>
      <c r="B154">
        <v>0.11534999999999999</v>
      </c>
      <c r="C154">
        <v>0.13649</v>
      </c>
      <c r="D154">
        <v>0.11391999999999999</v>
      </c>
      <c r="E154">
        <v>0.11858</v>
      </c>
      <c r="F154">
        <v>998438505.60000002</v>
      </c>
      <c r="G154">
        <v>0.11858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-0.58706247230837305</v>
      </c>
      <c r="Q154">
        <f t="shared" ref="Q154" si="746">F154*P154</f>
        <v>-586145777.54541337</v>
      </c>
      <c r="R154">
        <f t="shared" ref="R154" si="747">R155+Q154</f>
        <v>909736323.44619954</v>
      </c>
      <c r="S154">
        <f t="shared" ref="S154" si="748">R154/100000</f>
        <v>9097.3632344619946</v>
      </c>
      <c r="T154">
        <f t="shared" ref="T154" si="749">S154/1000</f>
        <v>9.0973632344619944</v>
      </c>
    </row>
    <row r="155" spans="1:20" x14ac:dyDescent="0.25">
      <c r="A155" s="5">
        <v>44438</v>
      </c>
      <c r="B155">
        <v>0.10125000000000001</v>
      </c>
      <c r="C155">
        <v>0.13</v>
      </c>
      <c r="D155">
        <v>9.6100000000000005E-2</v>
      </c>
      <c r="E155">
        <v>0.11541</v>
      </c>
      <c r="F155">
        <v>662130408.60000002</v>
      </c>
      <c r="G155">
        <v>0.11541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0.13923303834808223</v>
      </c>
      <c r="Q155">
        <f t="shared" ref="Q155" si="751">F155*P155</f>
        <v>92190428.572035164</v>
      </c>
      <c r="R155">
        <f t="shared" ref="R155" si="752">R156+Q155</f>
        <v>1495882100.9916129</v>
      </c>
      <c r="S155">
        <f t="shared" ref="S155" si="753">R155/100000</f>
        <v>14958.82100991613</v>
      </c>
      <c r="T155">
        <f t="shared" ref="T155" si="754">S155/1000</f>
        <v>14.958821009916131</v>
      </c>
    </row>
    <row r="156" spans="1:20" x14ac:dyDescent="0.25">
      <c r="A156" s="5">
        <v>44437</v>
      </c>
      <c r="B156">
        <v>0.10029</v>
      </c>
      <c r="C156">
        <v>0.10272000000000001</v>
      </c>
      <c r="D156">
        <v>9.6759999999999999E-2</v>
      </c>
      <c r="E156">
        <v>0.10123</v>
      </c>
      <c r="F156">
        <v>110893087</v>
      </c>
      <c r="G156">
        <v>0.10123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0.49999999999999883</v>
      </c>
      <c r="Q156">
        <f t="shared" ref="Q156" si="756">F156*P156</f>
        <v>55446543.499999873</v>
      </c>
      <c r="R156">
        <f t="shared" ref="R156" si="757">R157+Q156</f>
        <v>1403691672.4195778</v>
      </c>
      <c r="S156">
        <f t="shared" ref="S156" si="758">R156/100000</f>
        <v>14036.916724195778</v>
      </c>
      <c r="T156">
        <f t="shared" ref="T156" si="759">S156/1000</f>
        <v>14.036916724195779</v>
      </c>
    </row>
    <row r="157" spans="1:20" x14ac:dyDescent="0.25">
      <c r="A157" s="5">
        <v>44436</v>
      </c>
      <c r="B157">
        <v>0.10532</v>
      </c>
      <c r="C157">
        <v>0.10561</v>
      </c>
      <c r="D157">
        <v>9.9070000000000005E-2</v>
      </c>
      <c r="E157">
        <v>0.10027999999999999</v>
      </c>
      <c r="F157">
        <v>105753048.2</v>
      </c>
      <c r="G157">
        <v>0.10027999999999999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-0.6299694189602475</v>
      </c>
      <c r="Q157">
        <f t="shared" ref="Q157" si="761">F157*P157</f>
        <v>-66621186.327829048</v>
      </c>
      <c r="R157">
        <f t="shared" ref="R157" si="762">R158+Q157</f>
        <v>1348245128.9195781</v>
      </c>
      <c r="S157">
        <f t="shared" ref="S157" si="763">R157/100000</f>
        <v>13482.45128919578</v>
      </c>
      <c r="T157">
        <f t="shared" ref="T157" si="764">S157/1000</f>
        <v>13.48245128919578</v>
      </c>
    </row>
    <row r="158" spans="1:20" x14ac:dyDescent="0.25">
      <c r="A158" s="5">
        <v>44435</v>
      </c>
      <c r="B158">
        <v>9.912E-2</v>
      </c>
      <c r="C158">
        <v>0.10539999999999999</v>
      </c>
      <c r="D158">
        <v>9.4810000000000005E-2</v>
      </c>
      <c r="E158">
        <v>0.10525</v>
      </c>
      <c r="F158">
        <v>154134345</v>
      </c>
      <c r="G158">
        <v>0.10525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0.9716713881019835</v>
      </c>
      <c r="Q158">
        <f t="shared" ref="Q158" si="766">F158*P158</f>
        <v>149767932.96034002</v>
      </c>
      <c r="R158">
        <f t="shared" ref="R158" si="767">R159+Q158</f>
        <v>1414866315.2474072</v>
      </c>
      <c r="S158">
        <f t="shared" ref="S158" si="768">R158/100000</f>
        <v>14148.663152474071</v>
      </c>
      <c r="T158">
        <f t="shared" ref="T158" si="769">S158/1000</f>
        <v>14.148663152474072</v>
      </c>
    </row>
    <row r="159" spans="1:20" x14ac:dyDescent="0.25">
      <c r="A159" s="5">
        <v>44434</v>
      </c>
      <c r="B159">
        <v>0.10943</v>
      </c>
      <c r="C159">
        <v>0.11076999999999999</v>
      </c>
      <c r="D159">
        <v>9.7430000000000003E-2</v>
      </c>
      <c r="E159">
        <v>9.9030000000000007E-2</v>
      </c>
      <c r="F159">
        <v>146961373.90000001</v>
      </c>
      <c r="G159">
        <v>9.9030000000000007E-2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-0.76011994002998418</v>
      </c>
      <c r="Q159">
        <f t="shared" ref="Q159" si="771">F159*P159</f>
        <v>-111708270.71559209</v>
      </c>
      <c r="R159">
        <f t="shared" ref="R159" si="772">R160+Q159</f>
        <v>1265098382.2870672</v>
      </c>
      <c r="S159">
        <f t="shared" ref="S159" si="773">R159/100000</f>
        <v>12650.983822870672</v>
      </c>
      <c r="T159">
        <f t="shared" ref="T159" si="774">S159/1000</f>
        <v>12.650983822870673</v>
      </c>
    </row>
    <row r="160" spans="1:20" x14ac:dyDescent="0.25">
      <c r="A160" s="5">
        <v>44433</v>
      </c>
      <c r="B160">
        <v>0.10662000000000001</v>
      </c>
      <c r="C160">
        <v>0.11329</v>
      </c>
      <c r="D160">
        <v>0.10288</v>
      </c>
      <c r="E160">
        <v>0.10954</v>
      </c>
      <c r="F160">
        <v>144429713.80000001</v>
      </c>
      <c r="G160">
        <v>0.10954</v>
      </c>
      <c r="L160" t="s">
        <v>8</v>
      </c>
      <c r="M160" t="s">
        <v>7</v>
      </c>
      <c r="N160" t="s">
        <v>8</v>
      </c>
      <c r="P160">
        <f t="shared" ref="P160" si="775">IF(C160=D160,0,((E160-D160)-(C160-E160))/(C160-D160))</f>
        <v>0.27953890489913497</v>
      </c>
      <c r="Q160">
        <f t="shared" ref="Q160" si="776">F160*P160</f>
        <v>40373724.030547485</v>
      </c>
      <c r="R160">
        <f t="shared" ref="R160" si="777">R161+Q160</f>
        <v>1376806653.0026593</v>
      </c>
      <c r="S160">
        <f t="shared" ref="S160" si="778">R160/100000</f>
        <v>13768.066530026594</v>
      </c>
      <c r="T160">
        <f t="shared" ref="T160" si="779">S160/1000</f>
        <v>13.768066530026594</v>
      </c>
    </row>
    <row r="161" spans="1:20" x14ac:dyDescent="0.25">
      <c r="A161" s="5">
        <v>44432</v>
      </c>
      <c r="B161">
        <v>0.11551</v>
      </c>
      <c r="C161">
        <v>0.11858</v>
      </c>
      <c r="D161">
        <v>0.10385</v>
      </c>
      <c r="E161">
        <v>0.10663</v>
      </c>
      <c r="F161">
        <v>258227402.59999999</v>
      </c>
      <c r="G161">
        <v>0.10663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-0.6225390359809907</v>
      </c>
      <c r="Q161">
        <f t="shared" ref="Q161" si="781">F161*P161</f>
        <v>-160756638.27847916</v>
      </c>
      <c r="R161">
        <f t="shared" ref="R161" si="782">R162+Q161</f>
        <v>1336432928.9721119</v>
      </c>
      <c r="S161">
        <f t="shared" ref="S161" si="783">R161/100000</f>
        <v>13364.329289721119</v>
      </c>
      <c r="T161">
        <f t="shared" ref="T161" si="784">S161/1000</f>
        <v>13.36432928972112</v>
      </c>
    </row>
    <row r="162" spans="1:20" x14ac:dyDescent="0.25">
      <c r="A162" s="5">
        <v>44431</v>
      </c>
      <c r="B162">
        <v>0.11564000000000001</v>
      </c>
      <c r="C162">
        <v>0.12318999999999999</v>
      </c>
      <c r="D162">
        <v>0.11345</v>
      </c>
      <c r="E162">
        <v>0.11563</v>
      </c>
      <c r="F162">
        <v>205622906</v>
      </c>
      <c r="G162">
        <v>0.11563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-0.55236139630390113</v>
      </c>
      <c r="Q162">
        <f t="shared" ref="Q162" si="786">F162*P162</f>
        <v>-113578155.47022581</v>
      </c>
      <c r="R162">
        <f t="shared" ref="R162" si="787">R163+Q162</f>
        <v>1497189567.250591</v>
      </c>
      <c r="S162">
        <f t="shared" ref="S162" si="788">R162/100000</f>
        <v>14971.895672505911</v>
      </c>
      <c r="T162">
        <f t="shared" ref="T162" si="789">S162/1000</f>
        <v>14.97189567250591</v>
      </c>
    </row>
    <row r="163" spans="1:20" x14ac:dyDescent="0.25">
      <c r="A163" s="5">
        <v>44430</v>
      </c>
      <c r="B163">
        <v>0.1087</v>
      </c>
      <c r="C163">
        <v>0.11323</v>
      </c>
      <c r="D163">
        <v>0.10847999999999999</v>
      </c>
      <c r="E163">
        <v>0.11222</v>
      </c>
      <c r="F163">
        <v>47419153.100000001</v>
      </c>
      <c r="G163">
        <v>0.11222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0.57473684210526477</v>
      </c>
      <c r="Q163">
        <f t="shared" ref="Q163" si="791">F163*P163</f>
        <v>27253534.308000077</v>
      </c>
      <c r="R163">
        <f t="shared" ref="R163" si="792">R164+Q163</f>
        <v>1610767722.7208169</v>
      </c>
      <c r="S163">
        <f t="shared" ref="S163" si="793">R163/100000</f>
        <v>16107.677227208169</v>
      </c>
      <c r="T163">
        <f t="shared" ref="T163" si="794">S163/1000</f>
        <v>16.107677227208168</v>
      </c>
    </row>
    <row r="164" spans="1:20" x14ac:dyDescent="0.25">
      <c r="A164" s="5">
        <v>44429</v>
      </c>
      <c r="B164">
        <v>0.11074000000000001</v>
      </c>
      <c r="C164">
        <v>0.11221</v>
      </c>
      <c r="D164">
        <v>0.10448</v>
      </c>
      <c r="E164">
        <v>0.10871</v>
      </c>
      <c r="F164">
        <v>243263489.09999999</v>
      </c>
      <c r="G164">
        <v>0.10871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9.4437257438550387E-2</v>
      </c>
      <c r="Q164">
        <f t="shared" ref="Q164" si="796">F164*P164</f>
        <v>22973136.745536696</v>
      </c>
      <c r="R164">
        <f t="shared" ref="R164" si="797">R165+Q164</f>
        <v>1583514188.4128168</v>
      </c>
      <c r="S164">
        <f t="shared" ref="S164" si="798">R164/100000</f>
        <v>15835.141884128168</v>
      </c>
      <c r="T164">
        <f t="shared" ref="T164" si="799">S164/1000</f>
        <v>15.835141884128168</v>
      </c>
    </row>
    <row r="165" spans="1:20" x14ac:dyDescent="0.25">
      <c r="A165" s="5">
        <v>44428</v>
      </c>
      <c r="B165">
        <v>0.10113</v>
      </c>
      <c r="C165">
        <v>0.11536</v>
      </c>
      <c r="D165">
        <v>0.10002999999999999</v>
      </c>
      <c r="E165">
        <v>0.11083999999999999</v>
      </c>
      <c r="F165">
        <v>296136650.69999999</v>
      </c>
      <c r="G165">
        <v>0.11083999999999999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0.41030658838877926</v>
      </c>
      <c r="Q165">
        <f t="shared" ref="Q165" si="801">F165*P165</f>
        <v>121506818.8455966</v>
      </c>
      <c r="R165">
        <f t="shared" ref="R165" si="802">R166+Q165</f>
        <v>1560541051.66728</v>
      </c>
      <c r="S165">
        <f t="shared" ref="S165" si="803">R165/100000</f>
        <v>15605.4105166728</v>
      </c>
      <c r="T165">
        <f t="shared" ref="T165" si="804">S165/1000</f>
        <v>15.6054105166728</v>
      </c>
    </row>
    <row r="166" spans="1:20" x14ac:dyDescent="0.25">
      <c r="A166" s="5">
        <v>44427</v>
      </c>
      <c r="B166">
        <v>9.7409999999999997E-2</v>
      </c>
      <c r="C166">
        <v>0.10297000000000001</v>
      </c>
      <c r="D166">
        <v>9.2609999999999998E-2</v>
      </c>
      <c r="E166">
        <v>0.10111000000000001</v>
      </c>
      <c r="F166">
        <v>162313120.09999999</v>
      </c>
      <c r="G166">
        <v>0.10111000000000001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0.64092664092664109</v>
      </c>
      <c r="Q166">
        <f t="shared" ref="Q166" si="806">F166*P166</f>
        <v>104030802.84401546</v>
      </c>
      <c r="R166">
        <f t="shared" ref="R166" si="807">R167+Q166</f>
        <v>1439034232.8216834</v>
      </c>
      <c r="S166">
        <f t="shared" ref="S166" si="808">R166/100000</f>
        <v>14390.342328216833</v>
      </c>
      <c r="T166">
        <f t="shared" ref="T166" si="809">S166/1000</f>
        <v>14.390342328216834</v>
      </c>
    </row>
    <row r="167" spans="1:20" x14ac:dyDescent="0.25">
      <c r="A167" s="5">
        <v>44426</v>
      </c>
      <c r="B167">
        <v>9.5390000000000003E-2</v>
      </c>
      <c r="C167">
        <v>0.10191</v>
      </c>
      <c r="D167">
        <v>9.0459999999999999E-2</v>
      </c>
      <c r="E167">
        <v>9.7369999999999998E-2</v>
      </c>
      <c r="F167">
        <v>207292032.90000001</v>
      </c>
      <c r="G167">
        <v>9.7369999999999998E-2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0.2069868995633185</v>
      </c>
      <c r="Q167">
        <f t="shared" ref="Q167" si="811">F167*P167</f>
        <v>42906735.194148414</v>
      </c>
      <c r="R167">
        <f t="shared" ref="R167" si="812">R168+Q167</f>
        <v>1335003429.977668</v>
      </c>
      <c r="S167">
        <f t="shared" ref="S167" si="813">R167/100000</f>
        <v>13350.03429977668</v>
      </c>
      <c r="T167">
        <f t="shared" ref="T167" si="814">S167/1000</f>
        <v>13.350034299776681</v>
      </c>
    </row>
    <row r="168" spans="1:20" x14ac:dyDescent="0.25">
      <c r="A168" s="5">
        <v>44425</v>
      </c>
      <c r="B168">
        <v>0.10377</v>
      </c>
      <c r="C168">
        <v>0.10922</v>
      </c>
      <c r="D168">
        <v>9.4030000000000002E-2</v>
      </c>
      <c r="E168">
        <v>9.5490000000000005E-2</v>
      </c>
      <c r="F168">
        <v>242793635.40000001</v>
      </c>
      <c r="G168">
        <v>9.5490000000000005E-2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-0.80776826859776119</v>
      </c>
      <c r="Q168">
        <f t="shared" ref="Q168" si="816">F168*P168</f>
        <v>-196120994.49361411</v>
      </c>
      <c r="R168">
        <f t="shared" ref="R168" si="817">R169+Q168</f>
        <v>1292096694.7835197</v>
      </c>
      <c r="S168">
        <f t="shared" ref="S168" si="818">R168/100000</f>
        <v>12920.966947835197</v>
      </c>
      <c r="T168">
        <f t="shared" ref="T168" si="819">S168/1000</f>
        <v>12.920966947835197</v>
      </c>
    </row>
    <row r="169" spans="1:20" x14ac:dyDescent="0.25">
      <c r="A169" s="5">
        <v>44424</v>
      </c>
      <c r="B169">
        <v>0.10826</v>
      </c>
      <c r="C169">
        <v>0.11899999999999999</v>
      </c>
      <c r="D169">
        <v>0.10274</v>
      </c>
      <c r="E169">
        <v>0.10377</v>
      </c>
      <c r="F169">
        <v>406952619.69999999</v>
      </c>
      <c r="G169">
        <v>0.10377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-0.87330873308733048</v>
      </c>
      <c r="Q169">
        <f t="shared" ref="Q169" si="821">F169*P169</f>
        <v>-355395276.73677719</v>
      </c>
      <c r="R169">
        <f t="shared" ref="R169" si="822">R170+Q169</f>
        <v>1488217689.2771339</v>
      </c>
      <c r="S169">
        <f t="shared" ref="S169" si="823">R169/100000</f>
        <v>14882.17689277134</v>
      </c>
      <c r="T169">
        <f t="shared" ref="T169" si="824">S169/1000</f>
        <v>14.882176892771341</v>
      </c>
    </row>
    <row r="170" spans="1:20" x14ac:dyDescent="0.25">
      <c r="A170" s="5">
        <v>44423</v>
      </c>
      <c r="B170">
        <v>9.7919999999999993E-2</v>
      </c>
      <c r="C170">
        <v>0.11024</v>
      </c>
      <c r="D170">
        <v>9.4960000000000003E-2</v>
      </c>
      <c r="E170">
        <v>0.10834000000000001</v>
      </c>
      <c r="F170">
        <v>236148849.90000001</v>
      </c>
      <c r="G170">
        <v>0.10834000000000001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0.75130890052356036</v>
      </c>
      <c r="Q170">
        <f t="shared" ref="Q170" si="826">F170*P170</f>
        <v>177420732.7782723</v>
      </c>
      <c r="R170">
        <f t="shared" ref="R170" si="827">R171+Q170</f>
        <v>1843612966.013911</v>
      </c>
      <c r="S170">
        <f t="shared" ref="S170" si="828">R170/100000</f>
        <v>18436.129660139111</v>
      </c>
      <c r="T170">
        <f t="shared" ref="T170" si="829">S170/1000</f>
        <v>18.436129660139112</v>
      </c>
    </row>
    <row r="171" spans="1:20" x14ac:dyDescent="0.25">
      <c r="A171" s="5">
        <v>44422</v>
      </c>
      <c r="B171">
        <v>9.8210000000000006E-2</v>
      </c>
      <c r="C171">
        <v>0.10170999999999999</v>
      </c>
      <c r="D171">
        <v>9.4899999999999998E-2</v>
      </c>
      <c r="E171">
        <v>9.7919999999999993E-2</v>
      </c>
      <c r="F171">
        <v>183313215.90000001</v>
      </c>
      <c r="G171">
        <v>9.7919999999999993E-2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-0.11306901615271765</v>
      </c>
      <c r="Q171">
        <f t="shared" ref="Q171" si="831">F171*P171</f>
        <v>-20727044.969603717</v>
      </c>
      <c r="R171">
        <f t="shared" ref="R171" si="832">R172+Q171</f>
        <v>1666192233.2356386</v>
      </c>
      <c r="S171">
        <f t="shared" ref="S171" si="833">R171/100000</f>
        <v>16661.922332356386</v>
      </c>
      <c r="T171">
        <f t="shared" ref="T171" si="834">S171/1000</f>
        <v>16.661922332356387</v>
      </c>
    </row>
    <row r="172" spans="1:20" x14ac:dyDescent="0.25">
      <c r="A172" s="5">
        <v>44421</v>
      </c>
      <c r="B172">
        <v>9.2649999999999996E-2</v>
      </c>
      <c r="C172">
        <v>9.8979999999999999E-2</v>
      </c>
      <c r="D172">
        <v>9.178E-2</v>
      </c>
      <c r="E172">
        <v>9.8210000000000006E-2</v>
      </c>
      <c r="F172">
        <v>149560588.5</v>
      </c>
      <c r="G172">
        <v>9.8210000000000006E-2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0.78611111111111298</v>
      </c>
      <c r="Q172">
        <f t="shared" ref="Q172" si="836">F172*P172</f>
        <v>117571240.40416695</v>
      </c>
      <c r="R172">
        <f t="shared" ref="R172" si="837">R173+Q172</f>
        <v>1686919278.2052424</v>
      </c>
      <c r="S172">
        <f t="shared" ref="S172" si="838">R172/100000</f>
        <v>16869.192782052425</v>
      </c>
      <c r="T172">
        <f t="shared" ref="T172" si="839">S172/1000</f>
        <v>16.869192782052426</v>
      </c>
    </row>
    <row r="173" spans="1:20" x14ac:dyDescent="0.25">
      <c r="A173" s="5">
        <v>44420</v>
      </c>
      <c r="B173">
        <v>9.7790000000000002E-2</v>
      </c>
      <c r="C173">
        <v>0.10166</v>
      </c>
      <c r="D173">
        <v>8.838E-2</v>
      </c>
      <c r="E173">
        <v>9.257E-2</v>
      </c>
      <c r="F173">
        <v>194744846.90000001</v>
      </c>
      <c r="G173">
        <v>9.257E-2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-0.36897590361445792</v>
      </c>
      <c r="Q173">
        <f t="shared" ref="Q173" si="841">F173*P173</f>
        <v>-71856155.859186769</v>
      </c>
      <c r="R173">
        <f t="shared" ref="R173" si="842">R174+Q173</f>
        <v>1569348037.8010755</v>
      </c>
      <c r="S173">
        <f t="shared" ref="S173" si="843">R173/100000</f>
        <v>15693.480378010754</v>
      </c>
      <c r="T173">
        <f t="shared" ref="T173" si="844">S173/1000</f>
        <v>15.693480378010754</v>
      </c>
    </row>
    <row r="174" spans="1:20" x14ac:dyDescent="0.25">
      <c r="A174" s="5">
        <v>44419</v>
      </c>
      <c r="B174">
        <v>9.1200000000000003E-2</v>
      </c>
      <c r="C174">
        <v>0.10186000000000001</v>
      </c>
      <c r="D174">
        <v>9.1060000000000002E-2</v>
      </c>
      <c r="E174">
        <v>9.7670000000000007E-2</v>
      </c>
      <c r="F174">
        <v>288837985</v>
      </c>
      <c r="G174">
        <v>9.7670000000000007E-2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0.22407407407407451</v>
      </c>
      <c r="Q174">
        <f t="shared" ref="Q174" si="846">F174*P174</f>
        <v>64721104.046296425</v>
      </c>
      <c r="R174">
        <f t="shared" ref="R174" si="847">R175+Q174</f>
        <v>1641204193.6602621</v>
      </c>
      <c r="S174">
        <f t="shared" ref="S174" si="848">R174/100000</f>
        <v>16412.041936602622</v>
      </c>
      <c r="T174">
        <f t="shared" ref="T174" si="849">S174/1000</f>
        <v>16.412041936602623</v>
      </c>
    </row>
    <row r="175" spans="1:20" x14ac:dyDescent="0.25">
      <c r="A175" s="5">
        <v>44418</v>
      </c>
      <c r="B175">
        <v>9.3450000000000005E-2</v>
      </c>
      <c r="C175">
        <v>9.8610000000000003E-2</v>
      </c>
      <c r="D175">
        <v>8.7400000000000005E-2</v>
      </c>
      <c r="E175">
        <v>9.1130000000000003E-2</v>
      </c>
      <c r="F175">
        <v>316953297.30000001</v>
      </c>
      <c r="G175">
        <v>9.1130000000000003E-2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-0.33452274754683353</v>
      </c>
      <c r="Q175">
        <f t="shared" ref="Q175" si="851">F175*P175</f>
        <v>-106028087.85682438</v>
      </c>
      <c r="R175">
        <f t="shared" ref="R175" si="852">R176+Q175</f>
        <v>1576483089.6139657</v>
      </c>
      <c r="S175">
        <f t="shared" ref="S175" si="853">R175/100000</f>
        <v>15764.830896139658</v>
      </c>
      <c r="T175">
        <f t="shared" ref="T175" si="854">S175/1000</f>
        <v>15.764830896139658</v>
      </c>
    </row>
    <row r="176" spans="1:20" x14ac:dyDescent="0.25">
      <c r="A176" s="5">
        <v>44417</v>
      </c>
      <c r="B176">
        <v>8.1210000000000004E-2</v>
      </c>
      <c r="C176">
        <v>9.4170000000000004E-2</v>
      </c>
      <c r="D176">
        <v>7.7770000000000006E-2</v>
      </c>
      <c r="E176">
        <v>9.3450000000000005E-2</v>
      </c>
      <c r="F176">
        <v>320579125.80000001</v>
      </c>
      <c r="G176">
        <v>9.3450000000000005E-2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0.91219512195121966</v>
      </c>
      <c r="Q176">
        <f t="shared" ref="Q176" si="856">F176*P176</f>
        <v>292430714.7541464</v>
      </c>
      <c r="R176">
        <f t="shared" ref="R176" si="857">R177+Q176</f>
        <v>1682511177.4707901</v>
      </c>
      <c r="S176">
        <f t="shared" ref="S176" si="858">R176/100000</f>
        <v>16825.111774707901</v>
      </c>
      <c r="T176">
        <f t="shared" ref="T176" si="859">S176/1000</f>
        <v>16.825111774707899</v>
      </c>
    </row>
    <row r="177" spans="1:20" x14ac:dyDescent="0.25">
      <c r="A177" s="5">
        <v>44416</v>
      </c>
      <c r="B177">
        <v>8.3799999999999999E-2</v>
      </c>
      <c r="C177">
        <v>8.6900000000000005E-2</v>
      </c>
      <c r="D177">
        <v>8.0420000000000005E-2</v>
      </c>
      <c r="E177">
        <v>8.1210000000000004E-2</v>
      </c>
      <c r="F177">
        <v>195584507.5</v>
      </c>
      <c r="G177">
        <v>8.1210000000000004E-2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-0.75617283950617309</v>
      </c>
      <c r="Q177">
        <f t="shared" ref="Q177" si="861">F177*P177</f>
        <v>-147895692.3996914</v>
      </c>
      <c r="R177">
        <f t="shared" ref="R177" si="862">R178+Q177</f>
        <v>1390080462.7166438</v>
      </c>
      <c r="S177">
        <f t="shared" ref="S177" si="863">R177/100000</f>
        <v>13900.804627166439</v>
      </c>
      <c r="T177">
        <f t="shared" ref="T177" si="864">S177/1000</f>
        <v>13.900804627166439</v>
      </c>
    </row>
    <row r="178" spans="1:20" x14ac:dyDescent="0.25">
      <c r="A178" s="5">
        <v>44415</v>
      </c>
      <c r="B178">
        <v>8.0920000000000006E-2</v>
      </c>
      <c r="C178">
        <v>8.4959999999999994E-2</v>
      </c>
      <c r="D178">
        <v>7.9659999999999995E-2</v>
      </c>
      <c r="E178">
        <v>8.3879999999999996E-2</v>
      </c>
      <c r="F178">
        <v>176460226.30000001</v>
      </c>
      <c r="G178">
        <v>8.3879999999999996E-2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0.59245283018868011</v>
      </c>
      <c r="Q178">
        <f t="shared" ref="Q178" si="866">F178*P178</f>
        <v>104544360.48716997</v>
      </c>
      <c r="R178">
        <f t="shared" ref="R178" si="867">R179+Q178</f>
        <v>1537976155.1163352</v>
      </c>
      <c r="S178">
        <f t="shared" ref="S178" si="868">R178/100000</f>
        <v>15379.761551163352</v>
      </c>
      <c r="T178">
        <f t="shared" ref="T178" si="869">S178/1000</f>
        <v>15.379761551163352</v>
      </c>
    </row>
    <row r="179" spans="1:20" x14ac:dyDescent="0.25">
      <c r="A179" s="5">
        <v>44414</v>
      </c>
      <c r="B179">
        <v>7.7840000000000006E-2</v>
      </c>
      <c r="C179">
        <v>8.1799999999999998E-2</v>
      </c>
      <c r="D179">
        <v>7.5920000000000001E-2</v>
      </c>
      <c r="E179">
        <v>8.0909999999999996E-2</v>
      </c>
      <c r="F179">
        <v>113727960.7</v>
      </c>
      <c r="G179">
        <v>8.0909999999999996E-2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0.69727891156462507</v>
      </c>
      <c r="Q179">
        <f t="shared" ref="Q179" si="871">F179*P179</f>
        <v>79300108.651360452</v>
      </c>
      <c r="R179">
        <f t="shared" ref="R179" si="872">R180+Q179</f>
        <v>1433431794.6291652</v>
      </c>
      <c r="S179">
        <f t="shared" ref="S179" si="873">R179/100000</f>
        <v>14334.317946291652</v>
      </c>
      <c r="T179">
        <f t="shared" ref="T179" si="874">S179/1000</f>
        <v>14.334317946291652</v>
      </c>
    </row>
    <row r="180" spans="1:20" x14ac:dyDescent="0.25">
      <c r="A180" s="5">
        <v>44413</v>
      </c>
      <c r="B180">
        <v>7.7969999999999998E-2</v>
      </c>
      <c r="C180">
        <v>7.8219999999999998E-2</v>
      </c>
      <c r="D180">
        <v>7.3969999999999994E-2</v>
      </c>
      <c r="E180">
        <v>7.7840000000000006E-2</v>
      </c>
      <c r="F180">
        <v>93197210.700000003</v>
      </c>
      <c r="G180">
        <v>7.7840000000000006E-2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0.8211764705882395</v>
      </c>
      <c r="Q180">
        <f t="shared" ref="Q180" si="876">F180*P180</f>
        <v>76531356.551294506</v>
      </c>
      <c r="R180">
        <f t="shared" ref="R180" si="877">R181+Q180</f>
        <v>1354131685.9778047</v>
      </c>
      <c r="S180">
        <f t="shared" ref="S180" si="878">R180/100000</f>
        <v>13541.316859778046</v>
      </c>
      <c r="T180">
        <f t="shared" ref="T180" si="879">S180/1000</f>
        <v>13.541316859778046</v>
      </c>
    </row>
    <row r="181" spans="1:20" x14ac:dyDescent="0.25">
      <c r="A181" s="5">
        <v>44412</v>
      </c>
      <c r="B181">
        <v>7.3749999999999996E-2</v>
      </c>
      <c r="C181">
        <v>7.85E-2</v>
      </c>
      <c r="D181">
        <v>7.2650000000000006E-2</v>
      </c>
      <c r="E181">
        <v>7.8030000000000002E-2</v>
      </c>
      <c r="F181">
        <v>88091932.5</v>
      </c>
      <c r="G181">
        <v>7.8030000000000002E-2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0.83931623931623978</v>
      </c>
      <c r="Q181">
        <f t="shared" ref="Q181" si="881">F181*P181</f>
        <v>73936989.500000045</v>
      </c>
      <c r="R181">
        <f t="shared" ref="R181" si="882">R182+Q181</f>
        <v>1277600329.4265101</v>
      </c>
      <c r="S181">
        <f t="shared" ref="S181" si="883">R181/100000</f>
        <v>12776.003294265101</v>
      </c>
      <c r="T181">
        <f t="shared" ref="T181" si="884">S181/1000</f>
        <v>12.776003294265102</v>
      </c>
    </row>
    <row r="182" spans="1:20" x14ac:dyDescent="0.25">
      <c r="A182" s="5">
        <v>44411</v>
      </c>
      <c r="B182">
        <v>7.7410000000000007E-2</v>
      </c>
      <c r="C182">
        <v>7.8759999999999997E-2</v>
      </c>
      <c r="D182">
        <v>7.1889999999999996E-2</v>
      </c>
      <c r="E182">
        <v>7.374E-2</v>
      </c>
      <c r="F182">
        <v>109364166.5</v>
      </c>
      <c r="G182">
        <v>7.374E-2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-0.4614264919941764</v>
      </c>
      <c r="Q182">
        <f t="shared" ref="Q182" si="886">F182*P182</f>
        <v>-50463523.697962023</v>
      </c>
      <c r="R182">
        <f t="shared" ref="R182" si="887">R183+Q182</f>
        <v>1203663339.9265101</v>
      </c>
      <c r="S182">
        <f t="shared" ref="S182" si="888">R182/100000</f>
        <v>12036.633399265102</v>
      </c>
      <c r="T182">
        <f t="shared" ref="T182" si="889">S182/1000</f>
        <v>12.036633399265101</v>
      </c>
    </row>
    <row r="183" spans="1:20" x14ac:dyDescent="0.25">
      <c r="A183" s="5">
        <v>44410</v>
      </c>
      <c r="B183">
        <v>7.6149999999999995E-2</v>
      </c>
      <c r="C183">
        <v>7.9130000000000006E-2</v>
      </c>
      <c r="D183">
        <v>7.4469999999999995E-2</v>
      </c>
      <c r="E183">
        <v>7.7399999999999997E-2</v>
      </c>
      <c r="F183">
        <v>83317582.400000006</v>
      </c>
      <c r="G183">
        <v>7.7399999999999997E-2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0.25751072961373173</v>
      </c>
      <c r="Q183">
        <f t="shared" ref="Q183" si="891">F183*P183</f>
        <v>21455171.433476213</v>
      </c>
      <c r="R183">
        <f t="shared" ref="R183" si="892">R184+Q183</f>
        <v>1254126863.6244721</v>
      </c>
      <c r="S183">
        <f t="shared" ref="S183" si="893">R183/100000</f>
        <v>12541.268636244722</v>
      </c>
      <c r="T183">
        <f t="shared" ref="T183" si="894">S183/1000</f>
        <v>12.541268636244721</v>
      </c>
    </row>
    <row r="184" spans="1:20" x14ac:dyDescent="0.25">
      <c r="A184" s="5">
        <v>44409</v>
      </c>
      <c r="B184">
        <v>7.85E-2</v>
      </c>
      <c r="C184">
        <v>8.3430000000000004E-2</v>
      </c>
      <c r="D184">
        <v>7.5130000000000002E-2</v>
      </c>
      <c r="E184">
        <v>7.6090000000000005E-2</v>
      </c>
      <c r="F184">
        <v>149480825.59999999</v>
      </c>
      <c r="G184">
        <v>7.6090000000000005E-2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-0.76867469879518013</v>
      </c>
      <c r="Q184">
        <f t="shared" ref="Q184" si="896">F184*P184</f>
        <v>-114902128.59373485</v>
      </c>
      <c r="R184">
        <f t="shared" ref="R184" si="897">R185+Q184</f>
        <v>1232671692.1909959</v>
      </c>
      <c r="S184">
        <f t="shared" ref="S184" si="898">R184/100000</f>
        <v>12326.71692190996</v>
      </c>
      <c r="T184">
        <f t="shared" ref="T184" si="899">S184/1000</f>
        <v>12.326716921909959</v>
      </c>
    </row>
    <row r="185" spans="1:20" x14ac:dyDescent="0.25">
      <c r="A185" s="5">
        <v>44408</v>
      </c>
      <c r="B185">
        <v>7.6399999999999996E-2</v>
      </c>
      <c r="C185">
        <v>7.9880000000000007E-2</v>
      </c>
      <c r="D185">
        <v>7.4719999999999995E-2</v>
      </c>
      <c r="E185">
        <v>7.8460000000000002E-2</v>
      </c>
      <c r="F185">
        <v>128743523.7</v>
      </c>
      <c r="G185">
        <v>7.8460000000000002E-2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0.44961240310077466</v>
      </c>
      <c r="Q185">
        <f t="shared" ref="Q185" si="901">F185*P185</f>
        <v>57884685.074418537</v>
      </c>
      <c r="R185">
        <f t="shared" ref="R185" si="902">R186+Q185</f>
        <v>1347573820.7847307</v>
      </c>
      <c r="S185">
        <f t="shared" ref="S185" si="903">R185/100000</f>
        <v>13475.738207847307</v>
      </c>
      <c r="T185">
        <f t="shared" ref="T185" si="904">S185/1000</f>
        <v>13.475738207847307</v>
      </c>
    </row>
    <row r="186" spans="1:20" x14ac:dyDescent="0.25">
      <c r="A186" s="5">
        <v>44407</v>
      </c>
      <c r="B186">
        <v>7.3789999999999994E-2</v>
      </c>
      <c r="C186">
        <v>7.6899999999999996E-2</v>
      </c>
      <c r="D186">
        <v>7.1540000000000006E-2</v>
      </c>
      <c r="E186">
        <v>7.6399999999999996E-2</v>
      </c>
      <c r="F186">
        <v>120206892.7</v>
      </c>
      <c r="G186">
        <v>7.6399999999999996E-2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0.81343283582089498</v>
      </c>
      <c r="Q186">
        <f t="shared" ref="Q186" si="906">F186*P186</f>
        <v>97780233.614179045</v>
      </c>
      <c r="R186">
        <f t="shared" ref="R186" si="907">R187+Q186</f>
        <v>1289689135.7103121</v>
      </c>
      <c r="S186">
        <f t="shared" ref="S186" si="908">R186/100000</f>
        <v>12896.891357103121</v>
      </c>
      <c r="T186">
        <f t="shared" ref="T186" si="909">S186/1000</f>
        <v>12.896891357103121</v>
      </c>
    </row>
    <row r="187" spans="1:20" x14ac:dyDescent="0.25">
      <c r="A187" s="5">
        <v>44406</v>
      </c>
      <c r="B187">
        <v>7.1919999999999998E-2</v>
      </c>
      <c r="C187">
        <v>7.46E-2</v>
      </c>
      <c r="D187">
        <v>7.0680000000000007E-2</v>
      </c>
      <c r="E187">
        <v>7.3779999999999998E-2</v>
      </c>
      <c r="F187">
        <v>75654968.099999994</v>
      </c>
      <c r="G187">
        <v>7.3779999999999998E-2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0.58163265306122303</v>
      </c>
      <c r="Q187">
        <f t="shared" ref="Q187" si="911">F187*P187</f>
        <v>44003399.81326519</v>
      </c>
      <c r="R187">
        <f t="shared" ref="R187" si="912">R188+Q187</f>
        <v>1191908902.096133</v>
      </c>
      <c r="S187">
        <f t="shared" ref="S187" si="913">R187/100000</f>
        <v>11919.08902096133</v>
      </c>
      <c r="T187">
        <f t="shared" ref="T187" si="914">S187/1000</f>
        <v>11.91908902096133</v>
      </c>
    </row>
    <row r="188" spans="1:20" x14ac:dyDescent="0.25">
      <c r="A188" s="5">
        <v>44405</v>
      </c>
      <c r="B188">
        <v>7.485E-2</v>
      </c>
      <c r="C188">
        <v>7.4870000000000006E-2</v>
      </c>
      <c r="D188">
        <v>7.059E-2</v>
      </c>
      <c r="E188">
        <v>7.1910000000000002E-2</v>
      </c>
      <c r="F188">
        <v>111396392.5</v>
      </c>
      <c r="G188">
        <v>7.1910000000000002E-2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-0.38317757009345799</v>
      </c>
      <c r="Q188">
        <f t="shared" ref="Q188" si="916">F188*P188</f>
        <v>-42684598.995327108</v>
      </c>
      <c r="R188">
        <f t="shared" ref="R188" si="917">R189+Q188</f>
        <v>1147905502.2828679</v>
      </c>
      <c r="S188">
        <f t="shared" ref="S188" si="918">R188/100000</f>
        <v>11479.055022828679</v>
      </c>
      <c r="T188">
        <f t="shared" ref="T188" si="919">S188/1000</f>
        <v>11.47905502282868</v>
      </c>
    </row>
    <row r="189" spans="1:20" x14ac:dyDescent="0.25">
      <c r="A189" s="5">
        <v>44404</v>
      </c>
      <c r="B189">
        <v>7.2690000000000005E-2</v>
      </c>
      <c r="C189">
        <v>7.6929999999999998E-2</v>
      </c>
      <c r="D189">
        <v>7.0059999999999997E-2</v>
      </c>
      <c r="E189">
        <v>7.5009999999999993E-2</v>
      </c>
      <c r="F189">
        <v>150475688.40000001</v>
      </c>
      <c r="G189">
        <v>7.5009999999999993E-2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0.44104803493449646</v>
      </c>
      <c r="Q189">
        <f t="shared" ref="Q189" si="921">F189*P189</f>
        <v>66367006.674235605</v>
      </c>
      <c r="R189">
        <f t="shared" ref="R189" si="922">R190+Q189</f>
        <v>1190590101.2781949</v>
      </c>
      <c r="S189">
        <f t="shared" ref="S189" si="923">R189/100000</f>
        <v>11905.901012781949</v>
      </c>
      <c r="T189">
        <f t="shared" ref="T189" si="924">S189/1000</f>
        <v>11.90590101278195</v>
      </c>
    </row>
    <row r="190" spans="1:20" x14ac:dyDescent="0.25">
      <c r="A190" s="5">
        <v>44403</v>
      </c>
      <c r="B190">
        <v>7.2470000000000007E-2</v>
      </c>
      <c r="C190">
        <v>8.2519999999999996E-2</v>
      </c>
      <c r="D190">
        <v>7.1900000000000006E-2</v>
      </c>
      <c r="E190">
        <v>7.2700000000000001E-2</v>
      </c>
      <c r="F190">
        <v>274244334.60000002</v>
      </c>
      <c r="G190">
        <v>7.2700000000000001E-2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-0.84934086629001959</v>
      </c>
      <c r="Q190">
        <f t="shared" ref="Q190" si="926">F190*P190</f>
        <v>-232926920.72429401</v>
      </c>
      <c r="R190">
        <f t="shared" ref="R190" si="927">R191+Q190</f>
        <v>1124223094.6039593</v>
      </c>
      <c r="S190">
        <f t="shared" ref="S190" si="928">R190/100000</f>
        <v>11242.230946039594</v>
      </c>
      <c r="T190">
        <f t="shared" ref="T190" si="929">S190/1000</f>
        <v>11.242230946039594</v>
      </c>
    </row>
    <row r="191" spans="1:20" x14ac:dyDescent="0.25">
      <c r="A191" s="5">
        <v>44402</v>
      </c>
      <c r="B191">
        <v>7.2639999999999996E-2</v>
      </c>
      <c r="C191">
        <v>7.3330000000000006E-2</v>
      </c>
      <c r="D191">
        <v>6.9000000000000006E-2</v>
      </c>
      <c r="E191">
        <v>7.2559999999999999E-2</v>
      </c>
      <c r="F191">
        <v>80327202.799999997</v>
      </c>
      <c r="G191">
        <v>7.2559999999999999E-2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0.6443418013856782</v>
      </c>
      <c r="Q191">
        <f t="shared" ref="Q191" si="931">F191*P191</f>
        <v>51758174.552424692</v>
      </c>
      <c r="R191">
        <f t="shared" ref="R191" si="932">R192+Q191</f>
        <v>1357150015.3282533</v>
      </c>
      <c r="S191">
        <f t="shared" ref="S191" si="933">R191/100000</f>
        <v>13571.500153282534</v>
      </c>
      <c r="T191">
        <f t="shared" ref="T191:T197" si="934">S191/1000</f>
        <v>13.571500153282534</v>
      </c>
    </row>
    <row r="192" spans="1:20" x14ac:dyDescent="0.25">
      <c r="A192" s="5">
        <v>44401</v>
      </c>
      <c r="B192">
        <v>6.9919999999999996E-2</v>
      </c>
      <c r="C192">
        <v>7.5090000000000004E-2</v>
      </c>
      <c r="D192">
        <v>6.8870000000000001E-2</v>
      </c>
      <c r="E192">
        <v>7.2609999999999994E-2</v>
      </c>
      <c r="F192">
        <v>184641103.40000001</v>
      </c>
      <c r="G192">
        <v>7.2609999999999994E-2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0.20257234726687826</v>
      </c>
      <c r="Q192">
        <f t="shared" ref="Q192" si="936">F192*P192</f>
        <v>37403181.717684373</v>
      </c>
      <c r="R192">
        <f t="shared" ref="R192" si="937">R193+Q192</f>
        <v>1305391840.7758286</v>
      </c>
      <c r="S192">
        <f t="shared" ref="S192" si="938">R192/100000</f>
        <v>13053.918407758287</v>
      </c>
      <c r="T192">
        <f t="shared" si="934"/>
        <v>13.053918407758287</v>
      </c>
    </row>
    <row r="193" spans="1:20" x14ac:dyDescent="0.25">
      <c r="A193" s="5">
        <v>44400</v>
      </c>
      <c r="B193">
        <v>6.4420000000000005E-2</v>
      </c>
      <c r="C193">
        <v>6.9919999999999996E-2</v>
      </c>
      <c r="D193">
        <v>6.2619999999999995E-2</v>
      </c>
      <c r="E193">
        <v>6.9919999999999996E-2</v>
      </c>
      <c r="F193">
        <v>125203662.5</v>
      </c>
      <c r="G193">
        <v>6.9919999999999996E-2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1</v>
      </c>
      <c r="Q193">
        <f t="shared" ref="Q193" si="940">F193*P193</f>
        <v>125203662.5</v>
      </c>
      <c r="R193">
        <f t="shared" ref="R193" si="941">R194+Q193</f>
        <v>1267988659.0581443</v>
      </c>
      <c r="S193">
        <f t="shared" ref="S193" si="942">R193/100000</f>
        <v>12679.886590581444</v>
      </c>
      <c r="T193">
        <f t="shared" si="934"/>
        <v>12.679886590581443</v>
      </c>
    </row>
    <row r="194" spans="1:20" x14ac:dyDescent="0.25">
      <c r="A194" s="5">
        <v>44399</v>
      </c>
      <c r="B194">
        <v>6.3850000000000004E-2</v>
      </c>
      <c r="C194">
        <v>6.7710000000000006E-2</v>
      </c>
      <c r="D194">
        <v>6.2230000000000001E-2</v>
      </c>
      <c r="E194">
        <v>6.4449999999999993E-2</v>
      </c>
      <c r="F194">
        <v>150983757.40000001</v>
      </c>
      <c r="G194">
        <v>6.4449999999999993E-2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-0.18978102189781368</v>
      </c>
      <c r="Q194">
        <f t="shared" ref="Q194" si="944">F194*P194</f>
        <v>-28653851.769343589</v>
      </c>
      <c r="R194">
        <f t="shared" ref="R194" si="945">R195+Q194</f>
        <v>1142784996.5581443</v>
      </c>
      <c r="S194">
        <f t="shared" ref="S194" si="946">R194/100000</f>
        <v>11427.849965581443</v>
      </c>
      <c r="T194">
        <f t="shared" si="934"/>
        <v>11.427849965581443</v>
      </c>
    </row>
    <row r="195" spans="1:20" x14ac:dyDescent="0.25">
      <c r="A195" s="5">
        <v>44398</v>
      </c>
      <c r="B195">
        <v>5.6950000000000001E-2</v>
      </c>
      <c r="C195">
        <v>6.6290000000000002E-2</v>
      </c>
      <c r="D195">
        <v>5.4899999999999997E-2</v>
      </c>
      <c r="E195">
        <v>6.3780000000000003E-2</v>
      </c>
      <c r="F195">
        <v>209625240.5</v>
      </c>
      <c r="G195">
        <v>6.3780000000000003E-2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0.5592625109745395</v>
      </c>
      <c r="Q195">
        <f t="shared" ref="Q195" si="948">F195*P195</f>
        <v>117235538.36567172</v>
      </c>
      <c r="R195">
        <f t="shared" ref="R195" si="949">R196+Q195</f>
        <v>1171438848.3274879</v>
      </c>
      <c r="S195">
        <f t="shared" ref="S195" si="950">R195/100000</f>
        <v>11714.388483274879</v>
      </c>
      <c r="T195">
        <f t="shared" si="934"/>
        <v>11.714388483274879</v>
      </c>
    </row>
    <row r="196" spans="1:20" x14ac:dyDescent="0.25">
      <c r="A196" s="5">
        <v>44397</v>
      </c>
      <c r="B196">
        <v>5.9400000000000001E-2</v>
      </c>
      <c r="C196">
        <v>6.021E-2</v>
      </c>
      <c r="D196">
        <v>5.373E-2</v>
      </c>
      <c r="E196">
        <v>5.6919999999999998E-2</v>
      </c>
      <c r="F196">
        <v>146551771.69999999</v>
      </c>
      <c r="G196">
        <v>5.6919999999999998E-2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-1.5432098765432542E-2</v>
      </c>
      <c r="Q196">
        <f t="shared" ref="Q196" si="952">F196*P196</f>
        <v>-2261601.4151235214</v>
      </c>
      <c r="R196">
        <f t="shared" ref="R196" si="953">R197+Q196</f>
        <v>1054203309.9618162</v>
      </c>
      <c r="S196">
        <f t="shared" ref="S196" si="954">R196/100000</f>
        <v>10542.033099618162</v>
      </c>
      <c r="T196">
        <f t="shared" si="934"/>
        <v>10.542033099618163</v>
      </c>
    </row>
    <row r="197" spans="1:20" x14ac:dyDescent="0.25">
      <c r="A197" s="5">
        <v>44396</v>
      </c>
      <c r="B197">
        <v>6.4430000000000001E-2</v>
      </c>
      <c r="C197">
        <v>6.5409999999999996E-2</v>
      </c>
      <c r="D197">
        <v>5.8959999999999999E-2</v>
      </c>
      <c r="E197">
        <v>5.9360000000000003E-2</v>
      </c>
      <c r="F197">
        <v>105834685.3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-0.87596899224806057</v>
      </c>
      <c r="Q197">
        <f t="shared" ref="Q197" si="956">F197*P197</f>
        <v>-92707902.627131626</v>
      </c>
      <c r="R197">
        <f t="shared" ref="R197" si="957">R198+Q197</f>
        <v>1056464911.3769397</v>
      </c>
      <c r="S197">
        <f t="shared" ref="S197" si="958">R197/100000</f>
        <v>10564.649113769397</v>
      </c>
      <c r="T197">
        <f t="shared" si="934"/>
        <v>10.564649113769397</v>
      </c>
    </row>
    <row r="198" spans="1:20" x14ac:dyDescent="0.25">
      <c r="A198" s="5">
        <v>44395</v>
      </c>
      <c r="B198">
        <v>6.6070000000000004E-2</v>
      </c>
      <c r="C198">
        <v>6.8570000000000006E-2</v>
      </c>
      <c r="D198">
        <v>6.3799999999999996E-2</v>
      </c>
      <c r="E198">
        <v>6.4490000000000006E-2</v>
      </c>
      <c r="F198">
        <v>93217417.900000006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-0.71069182389936747</v>
      </c>
      <c r="Q198">
        <f t="shared" ref="Q198:Q261" si="960">F198*P198</f>
        <v>-66248856.746540546</v>
      </c>
      <c r="R198">
        <f t="shared" ref="R198:R261" si="961">R199+Q198</f>
        <v>1149172814.0040712</v>
      </c>
      <c r="S198">
        <f t="shared" ref="S198:S261" si="962">R198/100000</f>
        <v>11491.728140040712</v>
      </c>
      <c r="T198">
        <f t="shared" ref="T198:T261" si="963">S198/1000</f>
        <v>11.491728140040712</v>
      </c>
    </row>
    <row r="199" spans="1:20" x14ac:dyDescent="0.25">
      <c r="A199" s="5">
        <v>44394</v>
      </c>
      <c r="B199">
        <v>6.7110000000000003E-2</v>
      </c>
      <c r="C199">
        <v>6.8650000000000003E-2</v>
      </c>
      <c r="D199">
        <v>6.5299999999999997E-2</v>
      </c>
      <c r="E199">
        <v>6.6070000000000004E-2</v>
      </c>
      <c r="F199">
        <v>96424780.400000006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-0.54029850746268326</v>
      </c>
      <c r="Q199">
        <f t="shared" si="960"/>
        <v>-52098164.932536997</v>
      </c>
      <c r="R199">
        <f t="shared" si="961"/>
        <v>1215421670.7506118</v>
      </c>
      <c r="S199">
        <f t="shared" si="962"/>
        <v>12154.216707506117</v>
      </c>
      <c r="T199">
        <f t="shared" si="963"/>
        <v>12.154216707506118</v>
      </c>
    </row>
    <row r="200" spans="1:20" x14ac:dyDescent="0.25">
      <c r="A200" s="5">
        <v>44393</v>
      </c>
      <c r="B200">
        <v>7.349E-2</v>
      </c>
      <c r="C200">
        <v>7.5609999999999997E-2</v>
      </c>
      <c r="D200">
        <v>6.6890000000000005E-2</v>
      </c>
      <c r="E200">
        <v>6.7150000000000001E-2</v>
      </c>
      <c r="F200">
        <v>168036286.69999999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-0.94036697247706502</v>
      </c>
      <c r="Q200">
        <f t="shared" si="960"/>
        <v>-158015774.1903671</v>
      </c>
      <c r="R200">
        <f t="shared" si="961"/>
        <v>1267519835.6831489</v>
      </c>
      <c r="S200">
        <f t="shared" si="962"/>
        <v>12675.198356831488</v>
      </c>
      <c r="T200">
        <f t="shared" si="963"/>
        <v>12.675198356831489</v>
      </c>
    </row>
    <row r="201" spans="1:20" x14ac:dyDescent="0.25">
      <c r="A201" s="5">
        <v>44392</v>
      </c>
      <c r="B201">
        <v>7.9680000000000001E-2</v>
      </c>
      <c r="C201">
        <v>8.183E-2</v>
      </c>
      <c r="D201">
        <v>7.1999999999999995E-2</v>
      </c>
      <c r="E201">
        <v>7.3539999999999994E-2</v>
      </c>
      <c r="F201">
        <v>152451509.09999999</v>
      </c>
      <c r="G201">
        <v>0</v>
      </c>
      <c r="L201" t="s">
        <v>7</v>
      </c>
      <c r="M201" t="s">
        <v>7</v>
      </c>
      <c r="N201" t="s">
        <v>8</v>
      </c>
      <c r="P201">
        <f t="shared" si="959"/>
        <v>-0.68667344862665336</v>
      </c>
      <c r="Q201">
        <f t="shared" si="960"/>
        <v>-104684403.50203462</v>
      </c>
      <c r="R201">
        <f t="shared" si="961"/>
        <v>1425535609.8735161</v>
      </c>
      <c r="S201">
        <f t="shared" si="962"/>
        <v>14255.356098735161</v>
      </c>
      <c r="T201">
        <f t="shared" si="963"/>
        <v>14.255356098735161</v>
      </c>
    </row>
    <row r="202" spans="1:20" x14ac:dyDescent="0.25">
      <c r="A202" s="5">
        <v>44391</v>
      </c>
      <c r="B202">
        <v>8.2439999999999999E-2</v>
      </c>
      <c r="C202">
        <v>8.3250000000000005E-2</v>
      </c>
      <c r="D202">
        <v>7.4160000000000004E-2</v>
      </c>
      <c r="E202">
        <v>7.9689999999999997E-2</v>
      </c>
      <c r="F202">
        <v>166616248.19999999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0.21672167216721513</v>
      </c>
      <c r="Q202">
        <f t="shared" si="960"/>
        <v>36109351.920131743</v>
      </c>
      <c r="R202">
        <f t="shared" si="961"/>
        <v>1530220013.3755507</v>
      </c>
      <c r="S202">
        <f t="shared" si="962"/>
        <v>15302.200133755507</v>
      </c>
      <c r="T202">
        <f t="shared" si="963"/>
        <v>15.302200133755507</v>
      </c>
    </row>
    <row r="203" spans="1:20" x14ac:dyDescent="0.25">
      <c r="A203" s="5">
        <v>44390</v>
      </c>
      <c r="B203">
        <v>7.8589999999999993E-2</v>
      </c>
      <c r="C203">
        <v>8.6349999999999996E-2</v>
      </c>
      <c r="D203">
        <v>7.6999999999999999E-2</v>
      </c>
      <c r="E203">
        <v>8.2439999999999999E-2</v>
      </c>
      <c r="F203">
        <v>251801670.59999999</v>
      </c>
      <c r="G203">
        <v>0</v>
      </c>
      <c r="L203" t="s">
        <v>8</v>
      </c>
      <c r="M203" t="s">
        <v>7</v>
      </c>
      <c r="N203" t="s">
        <v>8</v>
      </c>
      <c r="P203">
        <f t="shared" si="959"/>
        <v>0.16363636363636408</v>
      </c>
      <c r="Q203">
        <f t="shared" si="960"/>
        <v>41203909.734545566</v>
      </c>
      <c r="R203">
        <f t="shared" si="961"/>
        <v>1494110661.4554191</v>
      </c>
      <c r="S203">
        <f t="shared" si="962"/>
        <v>14941.10661455419</v>
      </c>
      <c r="T203">
        <f t="shared" si="963"/>
        <v>14.94110661455419</v>
      </c>
    </row>
    <row r="204" spans="1:20" x14ac:dyDescent="0.25">
      <c r="A204" s="5">
        <v>44389</v>
      </c>
      <c r="B204">
        <v>8.208E-2</v>
      </c>
      <c r="C204">
        <v>8.4000000000000005E-2</v>
      </c>
      <c r="D204">
        <v>7.6249999999999998E-2</v>
      </c>
      <c r="E204">
        <v>7.8600000000000003E-2</v>
      </c>
      <c r="F204">
        <v>146408589.19999999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-0.39354838709677348</v>
      </c>
      <c r="Q204">
        <f t="shared" si="960"/>
        <v>-57618864.136774085</v>
      </c>
      <c r="R204">
        <f t="shared" si="961"/>
        <v>1452906751.7208736</v>
      </c>
      <c r="S204">
        <f t="shared" si="962"/>
        <v>14529.067517208736</v>
      </c>
      <c r="T204">
        <f t="shared" si="963"/>
        <v>14.529067517208736</v>
      </c>
    </row>
    <row r="205" spans="1:20" x14ac:dyDescent="0.25">
      <c r="A205" s="5">
        <v>44388</v>
      </c>
      <c r="B205">
        <v>8.2390000000000005E-2</v>
      </c>
      <c r="C205">
        <v>8.4320000000000006E-2</v>
      </c>
      <c r="D205">
        <v>8.0140000000000003E-2</v>
      </c>
      <c r="E205">
        <v>8.208E-2</v>
      </c>
      <c r="F205">
        <v>104130066.09999999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-7.1770334928231663E-2</v>
      </c>
      <c r="Q205">
        <f t="shared" si="960"/>
        <v>-7473449.7200959018</v>
      </c>
      <c r="R205">
        <f t="shared" si="961"/>
        <v>1510525615.8576477</v>
      </c>
      <c r="S205">
        <f t="shared" si="962"/>
        <v>15105.256158576476</v>
      </c>
      <c r="T205">
        <f t="shared" si="963"/>
        <v>15.105256158576475</v>
      </c>
    </row>
    <row r="206" spans="1:20" x14ac:dyDescent="0.25">
      <c r="A206" s="5">
        <v>44387</v>
      </c>
      <c r="B206">
        <v>8.9499999999999996E-2</v>
      </c>
      <c r="C206">
        <v>9.1289999999999996E-2</v>
      </c>
      <c r="D206">
        <v>8.0680000000000002E-2</v>
      </c>
      <c r="E206">
        <v>8.2309999999999994E-2</v>
      </c>
      <c r="F206">
        <v>156407959.59999999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-0.69274269557021806</v>
      </c>
      <c r="Q206">
        <f t="shared" si="960"/>
        <v>-108350471.54194176</v>
      </c>
      <c r="R206">
        <f t="shared" si="961"/>
        <v>1517999065.5777435</v>
      </c>
      <c r="S206">
        <f t="shared" si="962"/>
        <v>15179.990655777436</v>
      </c>
      <c r="T206">
        <f t="shared" si="963"/>
        <v>15.179990655777436</v>
      </c>
    </row>
    <row r="207" spans="1:20" x14ac:dyDescent="0.25">
      <c r="A207" s="5">
        <v>44386</v>
      </c>
      <c r="B207">
        <v>8.1269999999999995E-2</v>
      </c>
      <c r="C207">
        <v>8.9990000000000001E-2</v>
      </c>
      <c r="D207">
        <v>7.6679999999999998E-2</v>
      </c>
      <c r="E207">
        <v>8.9499999999999996E-2</v>
      </c>
      <c r="F207">
        <v>385262094.10000002</v>
      </c>
      <c r="G207">
        <v>0</v>
      </c>
      <c r="L207" t="s">
        <v>8</v>
      </c>
      <c r="M207" t="s">
        <v>7</v>
      </c>
      <c r="N207" t="s">
        <v>8</v>
      </c>
      <c r="P207">
        <f t="shared" si="959"/>
        <v>0.92637114951164479</v>
      </c>
      <c r="Q207">
        <f t="shared" si="960"/>
        <v>356895688.97468048</v>
      </c>
      <c r="R207">
        <f t="shared" si="961"/>
        <v>1626349537.1196854</v>
      </c>
      <c r="S207">
        <f t="shared" si="962"/>
        <v>16263.495371196854</v>
      </c>
      <c r="T207">
        <f t="shared" si="963"/>
        <v>16.263495371196854</v>
      </c>
    </row>
    <row r="208" spans="1:20" x14ac:dyDescent="0.25">
      <c r="A208" s="5">
        <v>44385</v>
      </c>
      <c r="B208">
        <v>8.4239999999999995E-2</v>
      </c>
      <c r="C208">
        <v>9.2410000000000006E-2</v>
      </c>
      <c r="D208">
        <v>7.707E-2</v>
      </c>
      <c r="E208">
        <v>8.1259999999999999E-2</v>
      </c>
      <c r="F208">
        <v>439985927.10000002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-0.45371577574967437</v>
      </c>
      <c r="Q208">
        <f t="shared" si="960"/>
        <v>-199628556.23311618</v>
      </c>
      <c r="R208">
        <f t="shared" si="961"/>
        <v>1269453848.145005</v>
      </c>
      <c r="S208">
        <f t="shared" si="962"/>
        <v>12694.53848145005</v>
      </c>
      <c r="T208">
        <f t="shared" si="963"/>
        <v>12.694538481450051</v>
      </c>
    </row>
    <row r="209" spans="1:20" x14ac:dyDescent="0.25">
      <c r="A209" s="5">
        <v>44384</v>
      </c>
      <c r="B209">
        <v>7.2160000000000002E-2</v>
      </c>
      <c r="C209">
        <v>9.3630000000000005E-2</v>
      </c>
      <c r="D209">
        <v>7.0959999999999995E-2</v>
      </c>
      <c r="E209">
        <v>8.4220000000000003E-2</v>
      </c>
      <c r="F209">
        <v>773799895.20000005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0.16982796647551851</v>
      </c>
      <c r="Q209">
        <f t="shared" si="960"/>
        <v>131412862.66078535</v>
      </c>
      <c r="R209">
        <f t="shared" si="961"/>
        <v>1469082404.3781211</v>
      </c>
      <c r="S209">
        <f t="shared" si="962"/>
        <v>14690.824043781211</v>
      </c>
      <c r="T209">
        <f t="shared" si="963"/>
        <v>14.690824043781211</v>
      </c>
    </row>
    <row r="210" spans="1:20" x14ac:dyDescent="0.25">
      <c r="A210" s="5">
        <v>44383</v>
      </c>
      <c r="B210">
        <v>6.3119999999999996E-2</v>
      </c>
      <c r="C210">
        <v>7.2999999999999995E-2</v>
      </c>
      <c r="D210">
        <v>6.3060000000000005E-2</v>
      </c>
      <c r="E210">
        <v>7.2160000000000002E-2</v>
      </c>
      <c r="F210">
        <v>265161433.59999999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0.83098591549295886</v>
      </c>
      <c r="Q210">
        <f t="shared" si="960"/>
        <v>220345416.65352142</v>
      </c>
      <c r="R210">
        <f t="shared" si="961"/>
        <v>1337669541.7173357</v>
      </c>
      <c r="S210">
        <f t="shared" si="962"/>
        <v>13376.695417173358</v>
      </c>
      <c r="T210">
        <f t="shared" si="963"/>
        <v>13.376695417173357</v>
      </c>
    </row>
    <row r="211" spans="1:20" x14ac:dyDescent="0.25">
      <c r="A211" s="5">
        <v>44382</v>
      </c>
      <c r="B211">
        <v>6.6699999999999995E-2</v>
      </c>
      <c r="C211">
        <v>6.6699999999999995E-2</v>
      </c>
      <c r="D211">
        <v>6.2199999999999998E-2</v>
      </c>
      <c r="E211">
        <v>6.3070000000000001E-2</v>
      </c>
      <c r="F211">
        <v>98068968.400000006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-0.61333333333333184</v>
      </c>
      <c r="Q211">
        <f t="shared" si="960"/>
        <v>-60148967.285333194</v>
      </c>
      <c r="R211">
        <f t="shared" si="961"/>
        <v>1117324125.0638144</v>
      </c>
      <c r="S211">
        <f t="shared" si="962"/>
        <v>11173.241250638144</v>
      </c>
      <c r="T211">
        <f t="shared" si="963"/>
        <v>11.173241250638144</v>
      </c>
    </row>
    <row r="212" spans="1:20" x14ac:dyDescent="0.25">
      <c r="A212" s="5">
        <v>44381</v>
      </c>
      <c r="B212">
        <v>6.4509999999999998E-2</v>
      </c>
      <c r="C212">
        <v>6.8989999999999996E-2</v>
      </c>
      <c r="D212">
        <v>6.2659999999999993E-2</v>
      </c>
      <c r="E212">
        <v>6.6780000000000006E-2</v>
      </c>
      <c r="F212">
        <v>99832349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0.3017377567140635</v>
      </c>
      <c r="Q212">
        <f t="shared" si="960"/>
        <v>30123189.03475548</v>
      </c>
      <c r="R212">
        <f t="shared" si="961"/>
        <v>1177473092.3491476</v>
      </c>
      <c r="S212">
        <f t="shared" si="962"/>
        <v>11774.730923491476</v>
      </c>
      <c r="T212">
        <f t="shared" si="963"/>
        <v>11.774730923491475</v>
      </c>
    </row>
    <row r="213" spans="1:20" x14ac:dyDescent="0.25">
      <c r="A213" s="5">
        <v>44380</v>
      </c>
      <c r="B213">
        <v>6.2710000000000002E-2</v>
      </c>
      <c r="C213">
        <v>6.7000000000000004E-2</v>
      </c>
      <c r="D213">
        <v>6.2019999999999999E-2</v>
      </c>
      <c r="E213">
        <v>6.4500000000000002E-2</v>
      </c>
      <c r="F213">
        <v>112859883.90000001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-4.0160642570279447E-3</v>
      </c>
      <c r="Q213">
        <f t="shared" si="960"/>
        <v>-453252.54578311363</v>
      </c>
      <c r="R213">
        <f t="shared" si="961"/>
        <v>1147349903.3143921</v>
      </c>
      <c r="S213">
        <f t="shared" si="962"/>
        <v>11473.49903314392</v>
      </c>
      <c r="T213">
        <f t="shared" si="963"/>
        <v>11.47349903314392</v>
      </c>
    </row>
    <row r="214" spans="1:20" x14ac:dyDescent="0.25">
      <c r="A214" s="5">
        <v>44379</v>
      </c>
      <c r="B214">
        <v>6.3210000000000002E-2</v>
      </c>
      <c r="C214">
        <v>6.4339999999999994E-2</v>
      </c>
      <c r="D214">
        <v>6.0499999999999998E-2</v>
      </c>
      <c r="E214">
        <v>6.2710000000000002E-2</v>
      </c>
      <c r="F214">
        <v>84004597.5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0.15104166666666971</v>
      </c>
      <c r="Q214">
        <f t="shared" si="960"/>
        <v>12688194.414062755</v>
      </c>
      <c r="R214">
        <f t="shared" si="961"/>
        <v>1147803155.8601751</v>
      </c>
      <c r="S214">
        <f t="shared" si="962"/>
        <v>11478.031558601751</v>
      </c>
      <c r="T214">
        <f t="shared" si="963"/>
        <v>11.478031558601751</v>
      </c>
    </row>
    <row r="215" spans="1:20" x14ac:dyDescent="0.25">
      <c r="A215" s="5">
        <v>44378</v>
      </c>
      <c r="B215">
        <v>6.7140000000000005E-2</v>
      </c>
      <c r="C215">
        <v>6.7239999999999994E-2</v>
      </c>
      <c r="D215">
        <v>6.1010000000000002E-2</v>
      </c>
      <c r="E215">
        <v>6.3280000000000003E-2</v>
      </c>
      <c r="F215">
        <v>116799302.59999999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-0.27126805778491048</v>
      </c>
      <c r="Q215">
        <f t="shared" si="960"/>
        <v>-31683919.966934044</v>
      </c>
      <c r="R215">
        <f t="shared" si="961"/>
        <v>1135114961.4461124</v>
      </c>
      <c r="S215">
        <f t="shared" si="962"/>
        <v>11351.149614461125</v>
      </c>
      <c r="T215">
        <f t="shared" si="963"/>
        <v>11.351149614461125</v>
      </c>
    </row>
    <row r="216" spans="1:20" x14ac:dyDescent="0.25">
      <c r="A216" s="5">
        <v>44377</v>
      </c>
      <c r="B216">
        <v>6.6000000000000003E-2</v>
      </c>
      <c r="C216">
        <v>6.7339999999999997E-2</v>
      </c>
      <c r="D216">
        <v>6.2E-2</v>
      </c>
      <c r="E216">
        <v>6.7140000000000005E-2</v>
      </c>
      <c r="F216">
        <v>184086781.5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0.92509363295880453</v>
      </c>
      <c r="Q216">
        <f t="shared" si="960"/>
        <v>170297509.47752866</v>
      </c>
      <c r="R216">
        <f t="shared" si="961"/>
        <v>1166798881.4130464</v>
      </c>
      <c r="S216">
        <f t="shared" si="962"/>
        <v>11667.988814130464</v>
      </c>
      <c r="T216">
        <f t="shared" si="963"/>
        <v>11.667988814130464</v>
      </c>
    </row>
    <row r="217" spans="1:20" x14ac:dyDescent="0.25">
      <c r="A217" s="5">
        <v>44376</v>
      </c>
      <c r="B217">
        <v>6.5430000000000002E-2</v>
      </c>
      <c r="C217">
        <v>7.0440000000000003E-2</v>
      </c>
      <c r="D217">
        <v>6.522E-2</v>
      </c>
      <c r="E217">
        <v>6.5979999999999997E-2</v>
      </c>
      <c r="F217">
        <v>182573006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-0.70881226053639979</v>
      </c>
      <c r="Q217">
        <f t="shared" si="960"/>
        <v>-129409985.09578568</v>
      </c>
      <c r="R217">
        <f t="shared" si="961"/>
        <v>996501371.93551779</v>
      </c>
      <c r="S217">
        <f t="shared" si="962"/>
        <v>9965.0137193551782</v>
      </c>
      <c r="T217">
        <f t="shared" si="963"/>
        <v>9.9650137193551789</v>
      </c>
    </row>
    <row r="218" spans="1:20" x14ac:dyDescent="0.25">
      <c r="A218" s="5">
        <v>44375</v>
      </c>
      <c r="B218">
        <v>6.7510000000000001E-2</v>
      </c>
      <c r="C218">
        <v>6.9190000000000002E-2</v>
      </c>
      <c r="D218">
        <v>6.3549999999999995E-2</v>
      </c>
      <c r="E218">
        <v>6.5310000000000007E-2</v>
      </c>
      <c r="F218">
        <v>179362742.80000001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-0.37588652482269164</v>
      </c>
      <c r="Q218">
        <f t="shared" si="960"/>
        <v>-67420038.073758259</v>
      </c>
      <c r="R218">
        <f t="shared" si="961"/>
        <v>1125911357.0313034</v>
      </c>
      <c r="S218">
        <f t="shared" si="962"/>
        <v>11259.113570313035</v>
      </c>
      <c r="T218">
        <f t="shared" si="963"/>
        <v>11.259113570313035</v>
      </c>
    </row>
    <row r="219" spans="1:20" x14ac:dyDescent="0.25">
      <c r="A219" s="5">
        <v>44374</v>
      </c>
      <c r="B219">
        <v>5.885E-2</v>
      </c>
      <c r="C219">
        <v>6.837E-2</v>
      </c>
      <c r="D219">
        <v>5.8500000000000003E-2</v>
      </c>
      <c r="E219">
        <v>6.7510000000000001E-2</v>
      </c>
      <c r="F219">
        <v>455341221.5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0.82573454913880451</v>
      </c>
      <c r="Q219">
        <f t="shared" si="960"/>
        <v>375990978.23961502</v>
      </c>
      <c r="R219">
        <f t="shared" si="961"/>
        <v>1193331395.1050618</v>
      </c>
      <c r="S219">
        <f t="shared" si="962"/>
        <v>11933.313951050617</v>
      </c>
      <c r="T219">
        <f t="shared" si="963"/>
        <v>11.933313951050618</v>
      </c>
    </row>
    <row r="220" spans="1:20" x14ac:dyDescent="0.25">
      <c r="A220" s="5">
        <v>44373</v>
      </c>
      <c r="B220">
        <v>5.534E-2</v>
      </c>
      <c r="C220">
        <v>5.9119999999999999E-2</v>
      </c>
      <c r="D220">
        <v>5.3010000000000002E-2</v>
      </c>
      <c r="E220">
        <v>5.885E-2</v>
      </c>
      <c r="F220">
        <v>194733015.59999999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0.91162029459901817</v>
      </c>
      <c r="Q220">
        <f t="shared" si="960"/>
        <v>177522569.04942718</v>
      </c>
      <c r="R220">
        <f t="shared" si="961"/>
        <v>817340416.86544669</v>
      </c>
      <c r="S220">
        <f t="shared" si="962"/>
        <v>8173.404168654467</v>
      </c>
      <c r="T220">
        <f t="shared" si="963"/>
        <v>8.1734041686544678</v>
      </c>
    </row>
    <row r="221" spans="1:20" x14ac:dyDescent="0.25">
      <c r="A221" s="5">
        <v>44372</v>
      </c>
      <c r="B221">
        <v>6.0490000000000002E-2</v>
      </c>
      <c r="C221">
        <v>6.2219999999999998E-2</v>
      </c>
      <c r="D221">
        <v>5.4420000000000003E-2</v>
      </c>
      <c r="E221">
        <v>5.5329999999999997E-2</v>
      </c>
      <c r="F221">
        <v>158811083.80000001</v>
      </c>
      <c r="G221">
        <v>0</v>
      </c>
      <c r="L221" t="s">
        <v>7</v>
      </c>
      <c r="M221" t="s">
        <v>8</v>
      </c>
      <c r="N221" t="s">
        <v>8</v>
      </c>
      <c r="P221">
        <f t="shared" si="959"/>
        <v>-0.76666666666666805</v>
      </c>
      <c r="Q221">
        <f t="shared" si="960"/>
        <v>-121755164.24666689</v>
      </c>
      <c r="R221">
        <f t="shared" si="961"/>
        <v>639817847.81601954</v>
      </c>
      <c r="S221">
        <f t="shared" si="962"/>
        <v>6398.1784781601955</v>
      </c>
      <c r="T221">
        <f t="shared" si="963"/>
        <v>6.3981784781601956</v>
      </c>
    </row>
    <row r="222" spans="1:20" x14ac:dyDescent="0.25">
      <c r="A222" s="5">
        <v>44371</v>
      </c>
      <c r="B222">
        <v>5.9420000000000001E-2</v>
      </c>
      <c r="C222">
        <v>6.1899999999999997E-2</v>
      </c>
      <c r="D222">
        <v>5.57E-2</v>
      </c>
      <c r="E222">
        <v>6.0429999999999998E-2</v>
      </c>
      <c r="F222">
        <v>137972304.5</v>
      </c>
      <c r="G222">
        <v>0</v>
      </c>
      <c r="L222" t="s">
        <v>7</v>
      </c>
      <c r="M222" t="s">
        <v>8</v>
      </c>
      <c r="N222" t="s">
        <v>8</v>
      </c>
      <c r="P222">
        <f t="shared" si="959"/>
        <v>0.52580645161290329</v>
      </c>
      <c r="Q222">
        <f t="shared" si="960"/>
        <v>72546727.850000009</v>
      </c>
      <c r="R222">
        <f t="shared" si="961"/>
        <v>761573012.06268644</v>
      </c>
      <c r="S222">
        <f t="shared" si="962"/>
        <v>7615.7301206268648</v>
      </c>
      <c r="T222">
        <f t="shared" si="963"/>
        <v>7.6157301206268651</v>
      </c>
    </row>
    <row r="223" spans="1:20" x14ac:dyDescent="0.25">
      <c r="A223" s="5">
        <v>44370</v>
      </c>
      <c r="B223">
        <v>5.1880000000000003E-2</v>
      </c>
      <c r="C223">
        <v>6.343E-2</v>
      </c>
      <c r="D223">
        <v>4.972E-2</v>
      </c>
      <c r="E223">
        <v>5.9310000000000002E-2</v>
      </c>
      <c r="F223">
        <v>249517161.40000001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0.39897884755652829</v>
      </c>
      <c r="Q223">
        <f t="shared" si="960"/>
        <v>99552069.500948265</v>
      </c>
      <c r="R223">
        <f t="shared" si="961"/>
        <v>689026284.21268642</v>
      </c>
      <c r="S223">
        <f t="shared" si="962"/>
        <v>6890.2628421268646</v>
      </c>
      <c r="T223">
        <f t="shared" si="963"/>
        <v>6.890262842126865</v>
      </c>
    </row>
    <row r="224" spans="1:20" x14ac:dyDescent="0.25">
      <c r="A224" s="5">
        <v>44369</v>
      </c>
      <c r="B224">
        <v>5.6570000000000002E-2</v>
      </c>
      <c r="C224">
        <v>6.2429999999999999E-2</v>
      </c>
      <c r="D224">
        <v>4.7039999999999998E-2</v>
      </c>
      <c r="E224">
        <v>5.1790000000000003E-2</v>
      </c>
      <c r="F224">
        <v>416142471.30000001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-0.38271604938271553</v>
      </c>
      <c r="Q224">
        <f t="shared" si="960"/>
        <v>-159264402.59629607</v>
      </c>
      <c r="R224">
        <f t="shared" si="961"/>
        <v>589474214.71173811</v>
      </c>
      <c r="S224">
        <f t="shared" si="962"/>
        <v>5894.7421471173811</v>
      </c>
      <c r="T224">
        <f t="shared" si="963"/>
        <v>5.8947421471173813</v>
      </c>
    </row>
    <row r="225" spans="1:20" x14ac:dyDescent="0.25">
      <c r="A225" s="5">
        <v>44368</v>
      </c>
      <c r="B225">
        <v>7.2730000000000003E-2</v>
      </c>
      <c r="C225">
        <v>7.3139999999999997E-2</v>
      </c>
      <c r="D225">
        <v>5.57E-2</v>
      </c>
      <c r="E225">
        <v>5.663E-2</v>
      </c>
      <c r="F225">
        <v>282646319.80000001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-0.89334862385321101</v>
      </c>
      <c r="Q225">
        <f t="shared" si="960"/>
        <v>-252501700.8305046</v>
      </c>
      <c r="R225">
        <f t="shared" si="961"/>
        <v>748738617.30803418</v>
      </c>
      <c r="S225">
        <f t="shared" si="962"/>
        <v>7487.3861730803419</v>
      </c>
      <c r="T225">
        <f t="shared" si="963"/>
        <v>7.4873861730803419</v>
      </c>
    </row>
    <row r="226" spans="1:20" x14ac:dyDescent="0.25">
      <c r="A226" s="5">
        <v>44367</v>
      </c>
      <c r="B226">
        <v>7.1639999999999995E-2</v>
      </c>
      <c r="C226">
        <v>7.3459999999999998E-2</v>
      </c>
      <c r="D226">
        <v>6.6739999999999994E-2</v>
      </c>
      <c r="E226">
        <v>7.2709999999999997E-2</v>
      </c>
      <c r="F226">
        <v>126986165.7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0.77678571428571419</v>
      </c>
      <c r="Q226">
        <f t="shared" si="960"/>
        <v>98641039.427678555</v>
      </c>
      <c r="R226">
        <f t="shared" si="961"/>
        <v>1001240318.1385387</v>
      </c>
      <c r="S226">
        <f t="shared" si="962"/>
        <v>10012.403181385387</v>
      </c>
      <c r="T226">
        <f t="shared" si="963"/>
        <v>10.012403181385388</v>
      </c>
    </row>
    <row r="227" spans="1:20" x14ac:dyDescent="0.25">
      <c r="A227" s="5">
        <v>44366</v>
      </c>
      <c r="B227">
        <v>7.3810000000000001E-2</v>
      </c>
      <c r="C227">
        <v>7.4569999999999997E-2</v>
      </c>
      <c r="D227">
        <v>7.1499999999999994E-2</v>
      </c>
      <c r="E227">
        <v>7.1599999999999997E-2</v>
      </c>
      <c r="F227">
        <v>100591576.3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-0.93485342019543793</v>
      </c>
      <c r="Q227">
        <f t="shared" si="960"/>
        <v>-94038379.146905348</v>
      </c>
      <c r="R227">
        <f t="shared" si="961"/>
        <v>902599278.71086013</v>
      </c>
      <c r="S227">
        <f t="shared" si="962"/>
        <v>9025.992787108602</v>
      </c>
      <c r="T227">
        <f t="shared" si="963"/>
        <v>9.0259927871086028</v>
      </c>
    </row>
    <row r="228" spans="1:20" x14ac:dyDescent="0.25">
      <c r="A228" s="5">
        <v>44365</v>
      </c>
      <c r="B228">
        <v>7.9979999999999996E-2</v>
      </c>
      <c r="C228">
        <v>7.9990000000000006E-2</v>
      </c>
      <c r="D228">
        <v>7.1360000000000007E-2</v>
      </c>
      <c r="E228">
        <v>7.3819999999999997E-2</v>
      </c>
      <c r="F228">
        <v>157740881.90000001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-0.42989571263036147</v>
      </c>
      <c r="Q228">
        <f t="shared" si="960"/>
        <v>-67812128.835342184</v>
      </c>
      <c r="R228">
        <f t="shared" si="961"/>
        <v>996637657.85776544</v>
      </c>
      <c r="S228">
        <f t="shared" si="962"/>
        <v>9966.3765785776541</v>
      </c>
      <c r="T228">
        <f t="shared" si="963"/>
        <v>9.9663765785776537</v>
      </c>
    </row>
    <row r="229" spans="1:20" x14ac:dyDescent="0.25">
      <c r="A229" s="5">
        <v>44364</v>
      </c>
      <c r="B229">
        <v>8.0629999999999993E-2</v>
      </c>
      <c r="C229">
        <v>8.2830000000000001E-2</v>
      </c>
      <c r="D229">
        <v>7.757E-2</v>
      </c>
      <c r="E229">
        <v>7.9979999999999996E-2</v>
      </c>
      <c r="F229">
        <v>94537078.099999994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-8.3650190114070294E-2</v>
      </c>
      <c r="Q229">
        <f t="shared" si="960"/>
        <v>-7908044.5558937108</v>
      </c>
      <c r="R229">
        <f t="shared" si="961"/>
        <v>1064449786.6931076</v>
      </c>
      <c r="S229">
        <f t="shared" si="962"/>
        <v>10644.497866931077</v>
      </c>
      <c r="T229">
        <f t="shared" si="963"/>
        <v>10.644497866931077</v>
      </c>
    </row>
    <row r="230" spans="1:20" x14ac:dyDescent="0.25">
      <c r="A230" s="5">
        <v>44363</v>
      </c>
      <c r="B230">
        <v>8.3559999999999995E-2</v>
      </c>
      <c r="C230">
        <v>8.3970000000000003E-2</v>
      </c>
      <c r="D230">
        <v>7.8369999999999995E-2</v>
      </c>
      <c r="E230">
        <v>8.0530000000000004E-2</v>
      </c>
      <c r="F230">
        <v>156377499.40000001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-0.22857142857142637</v>
      </c>
      <c r="Q230">
        <f t="shared" si="960"/>
        <v>-35743428.434285372</v>
      </c>
      <c r="R230">
        <f t="shared" si="961"/>
        <v>1072357831.2490013</v>
      </c>
      <c r="S230">
        <f t="shared" si="962"/>
        <v>10723.578312490012</v>
      </c>
      <c r="T230">
        <f t="shared" si="963"/>
        <v>10.723578312490012</v>
      </c>
    </row>
    <row r="231" spans="1:20" x14ac:dyDescent="0.25">
      <c r="A231" s="5">
        <v>44362</v>
      </c>
      <c r="B231">
        <v>8.3299999999999999E-2</v>
      </c>
      <c r="C231">
        <v>8.6749999999999994E-2</v>
      </c>
      <c r="D231">
        <v>8.1799999999999998E-2</v>
      </c>
      <c r="E231">
        <v>8.3659999999999998E-2</v>
      </c>
      <c r="F231">
        <v>176231150.69999999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-0.24848484848484767</v>
      </c>
      <c r="Q231">
        <f t="shared" si="960"/>
        <v>-43790770.779999852</v>
      </c>
      <c r="R231">
        <f t="shared" si="961"/>
        <v>1108101259.6832867</v>
      </c>
      <c r="S231">
        <f t="shared" si="962"/>
        <v>11081.012596832867</v>
      </c>
      <c r="T231">
        <f t="shared" si="963"/>
        <v>11.081012596832867</v>
      </c>
    </row>
    <row r="232" spans="1:20" x14ac:dyDescent="0.25">
      <c r="A232" s="5">
        <v>44361</v>
      </c>
      <c r="B232">
        <v>8.2339999999999997E-2</v>
      </c>
      <c r="C232">
        <v>8.616E-2</v>
      </c>
      <c r="D232">
        <v>8.0449999999999994E-2</v>
      </c>
      <c r="E232">
        <v>8.3229999999999998E-2</v>
      </c>
      <c r="F232">
        <v>170443619.40000001</v>
      </c>
      <c r="G232">
        <v>0</v>
      </c>
      <c r="L232" t="s">
        <v>7</v>
      </c>
      <c r="M232" t="s">
        <v>7</v>
      </c>
      <c r="N232" t="s">
        <v>7</v>
      </c>
      <c r="P232">
        <f t="shared" si="959"/>
        <v>-2.6269702276707038E-2</v>
      </c>
      <c r="Q232">
        <f t="shared" si="960"/>
        <v>-4477503.1366023682</v>
      </c>
      <c r="R232">
        <f t="shared" si="961"/>
        <v>1151892030.4632866</v>
      </c>
      <c r="S232">
        <f t="shared" si="962"/>
        <v>11518.920304632866</v>
      </c>
      <c r="T232">
        <f t="shared" si="963"/>
        <v>11.518920304632866</v>
      </c>
    </row>
    <row r="233" spans="1:20" x14ac:dyDescent="0.25">
      <c r="A233" s="5">
        <v>44360</v>
      </c>
      <c r="B233">
        <v>7.6700000000000004E-2</v>
      </c>
      <c r="C233">
        <v>8.6999999999999994E-2</v>
      </c>
      <c r="D233">
        <v>7.5410000000000005E-2</v>
      </c>
      <c r="E233">
        <v>8.2280000000000006E-2</v>
      </c>
      <c r="F233">
        <v>179723333.09999999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0.18550474547023427</v>
      </c>
      <c r="Q233">
        <f t="shared" si="960"/>
        <v>33339531.161777627</v>
      </c>
      <c r="R233">
        <f t="shared" si="961"/>
        <v>1156369533.599889</v>
      </c>
      <c r="S233">
        <f t="shared" si="962"/>
        <v>11563.695335998891</v>
      </c>
      <c r="T233">
        <f t="shared" si="963"/>
        <v>11.563695335998892</v>
      </c>
    </row>
    <row r="234" spans="1:20" x14ac:dyDescent="0.25">
      <c r="A234" s="5">
        <v>44359</v>
      </c>
      <c r="B234">
        <v>7.8579999999999997E-2</v>
      </c>
      <c r="C234">
        <v>7.8670000000000004E-2</v>
      </c>
      <c r="D234">
        <v>7.2499999999999995E-2</v>
      </c>
      <c r="E234">
        <v>7.6689999999999994E-2</v>
      </c>
      <c r="F234">
        <v>183315057.69999999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0.35818476499189411</v>
      </c>
      <c r="Q234">
        <f t="shared" si="960"/>
        <v>65660660.861750007</v>
      </c>
      <c r="R234">
        <f t="shared" si="961"/>
        <v>1123030002.4381113</v>
      </c>
      <c r="S234">
        <f t="shared" si="962"/>
        <v>11230.300024381113</v>
      </c>
      <c r="T234">
        <f t="shared" si="963"/>
        <v>11.230300024381114</v>
      </c>
    </row>
    <row r="235" spans="1:20" x14ac:dyDescent="0.25">
      <c r="A235" s="5">
        <v>44358</v>
      </c>
      <c r="B235">
        <v>8.2710000000000006E-2</v>
      </c>
      <c r="C235">
        <v>8.5000000000000006E-2</v>
      </c>
      <c r="D235">
        <v>7.621E-2</v>
      </c>
      <c r="E235">
        <v>7.8579999999999997E-2</v>
      </c>
      <c r="F235">
        <v>173727904.5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-0.46075085324232185</v>
      </c>
      <c r="Q235">
        <f t="shared" si="960"/>
        <v>-80045280.230375603</v>
      </c>
      <c r="R235">
        <f t="shared" si="961"/>
        <v>1057369341.5763613</v>
      </c>
      <c r="S235">
        <f t="shared" si="962"/>
        <v>10573.693415763613</v>
      </c>
      <c r="T235">
        <f t="shared" si="963"/>
        <v>10.573693415763612</v>
      </c>
    </row>
    <row r="236" spans="1:20" x14ac:dyDescent="0.25">
      <c r="A236" s="5">
        <v>44357</v>
      </c>
      <c r="B236">
        <v>9.0939999999999993E-2</v>
      </c>
      <c r="C236">
        <v>9.1249999999999998E-2</v>
      </c>
      <c r="D236">
        <v>8.0079999999999998E-2</v>
      </c>
      <c r="E236">
        <v>8.2710000000000006E-2</v>
      </c>
      <c r="F236">
        <v>201333249.59999999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-0.52909579230080439</v>
      </c>
      <c r="Q236">
        <f t="shared" si="960"/>
        <v>-106524575.21360761</v>
      </c>
      <c r="R236">
        <f t="shared" si="961"/>
        <v>1137414621.8067369</v>
      </c>
      <c r="S236">
        <f t="shared" si="962"/>
        <v>11374.14621806737</v>
      </c>
      <c r="T236">
        <f t="shared" si="963"/>
        <v>11.37414621806737</v>
      </c>
    </row>
    <row r="237" spans="1:20" x14ac:dyDescent="0.25">
      <c r="A237" s="5">
        <v>44356</v>
      </c>
      <c r="B237">
        <v>8.5800000000000001E-2</v>
      </c>
      <c r="C237">
        <v>9.128E-2</v>
      </c>
      <c r="D237">
        <v>8.0560000000000007E-2</v>
      </c>
      <c r="E237">
        <v>9.0939999999999993E-2</v>
      </c>
      <c r="F237">
        <v>245523910.5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0.93656716417910313</v>
      </c>
      <c r="Q237">
        <f t="shared" si="960"/>
        <v>229949632.59514892</v>
      </c>
      <c r="R237">
        <f t="shared" si="961"/>
        <v>1243939197.0203445</v>
      </c>
      <c r="S237">
        <f t="shared" si="962"/>
        <v>12439.391970203445</v>
      </c>
      <c r="T237">
        <f t="shared" si="963"/>
        <v>12.439391970203445</v>
      </c>
    </row>
    <row r="238" spans="1:20" x14ac:dyDescent="0.25">
      <c r="A238" s="5">
        <v>44355</v>
      </c>
      <c r="B238">
        <v>8.6019999999999999E-2</v>
      </c>
      <c r="C238">
        <v>8.9700000000000002E-2</v>
      </c>
      <c r="D238">
        <v>7.8039999999999998E-2</v>
      </c>
      <c r="E238">
        <v>8.5819999999999994E-2</v>
      </c>
      <c r="F238">
        <v>326735163.30000001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0.33447684391080496</v>
      </c>
      <c r="Q238">
        <f t="shared" si="960"/>
        <v>109285346.21526547</v>
      </c>
      <c r="R238">
        <f t="shared" si="961"/>
        <v>1013989564.4251956</v>
      </c>
      <c r="S238">
        <f t="shared" si="962"/>
        <v>10139.895644251956</v>
      </c>
      <c r="T238">
        <f t="shared" si="963"/>
        <v>10.139895644251956</v>
      </c>
    </row>
    <row r="239" spans="1:20" x14ac:dyDescent="0.25">
      <c r="A239" s="5">
        <v>44354</v>
      </c>
      <c r="B239">
        <v>9.6269999999999994E-2</v>
      </c>
      <c r="C239">
        <v>0.10199999999999999</v>
      </c>
      <c r="D239">
        <v>8.5010000000000002E-2</v>
      </c>
      <c r="E239">
        <v>8.5959999999999995E-2</v>
      </c>
      <c r="F239">
        <v>244601397.09999999</v>
      </c>
      <c r="G239">
        <v>0</v>
      </c>
      <c r="L239" t="s">
        <v>8</v>
      </c>
      <c r="M239" t="s">
        <v>7</v>
      </c>
      <c r="N239" t="s">
        <v>8</v>
      </c>
      <c r="P239">
        <f t="shared" si="959"/>
        <v>-0.88816951147734047</v>
      </c>
      <c r="Q239">
        <f t="shared" si="960"/>
        <v>-217247503.36898196</v>
      </c>
      <c r="R239">
        <f t="shared" si="961"/>
        <v>904704218.20993006</v>
      </c>
      <c r="S239">
        <f t="shared" si="962"/>
        <v>9047.0421820993015</v>
      </c>
      <c r="T239">
        <f t="shared" si="963"/>
        <v>9.0470421820993021</v>
      </c>
    </row>
    <row r="240" spans="1:20" x14ac:dyDescent="0.25">
      <c r="A240" s="5">
        <v>44353</v>
      </c>
      <c r="B240">
        <v>9.2460000000000001E-2</v>
      </c>
      <c r="C240">
        <v>9.7869999999999999E-2</v>
      </c>
      <c r="D240">
        <v>9.1719999999999996E-2</v>
      </c>
      <c r="E240">
        <v>9.6250000000000002E-2</v>
      </c>
      <c r="F240">
        <v>128775673.40000001</v>
      </c>
      <c r="G240">
        <v>0</v>
      </c>
      <c r="L240" t="s">
        <v>8</v>
      </c>
      <c r="M240" t="s">
        <v>7</v>
      </c>
      <c r="N240" t="s">
        <v>8</v>
      </c>
      <c r="P240">
        <f t="shared" si="959"/>
        <v>0.47317073170731844</v>
      </c>
      <c r="Q240">
        <f t="shared" si="960"/>
        <v>60932879.608780667</v>
      </c>
      <c r="R240">
        <f t="shared" si="961"/>
        <v>1121951721.578912</v>
      </c>
      <c r="S240">
        <f t="shared" si="962"/>
        <v>11219.517215789119</v>
      </c>
      <c r="T240">
        <f t="shared" si="963"/>
        <v>11.21951721578912</v>
      </c>
    </row>
    <row r="241" spans="1:20" x14ac:dyDescent="0.25">
      <c r="A241" s="5">
        <v>44352</v>
      </c>
      <c r="B241">
        <v>9.8390000000000005E-2</v>
      </c>
      <c r="C241">
        <v>0.10289</v>
      </c>
      <c r="D241">
        <v>8.8859999999999995E-2</v>
      </c>
      <c r="E241">
        <v>9.2380000000000004E-2</v>
      </c>
      <c r="F241">
        <v>346567725.89999998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-0.49821810406272143</v>
      </c>
      <c r="Q241">
        <f t="shared" si="960"/>
        <v>-172666315.32722691</v>
      </c>
      <c r="R241">
        <f t="shared" si="961"/>
        <v>1061018841.9701314</v>
      </c>
      <c r="S241">
        <f t="shared" si="962"/>
        <v>10610.188419701313</v>
      </c>
      <c r="T241">
        <f t="shared" si="963"/>
        <v>10.610188419701313</v>
      </c>
    </row>
    <row r="242" spans="1:20" x14ac:dyDescent="0.25">
      <c r="A242" s="5">
        <v>44351</v>
      </c>
      <c r="B242">
        <v>0.10997</v>
      </c>
      <c r="C242">
        <v>0.11042</v>
      </c>
      <c r="D242">
        <v>9.1329999999999995E-2</v>
      </c>
      <c r="E242">
        <v>9.8449999999999996E-2</v>
      </c>
      <c r="F242">
        <v>422200431.39999998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-0.25405971712938735</v>
      </c>
      <c r="Q242">
        <f t="shared" si="960"/>
        <v>-107264122.1733893</v>
      </c>
      <c r="R242">
        <f t="shared" si="961"/>
        <v>1233685157.2973583</v>
      </c>
      <c r="S242">
        <f t="shared" si="962"/>
        <v>12336.851572973583</v>
      </c>
      <c r="T242">
        <f t="shared" si="963"/>
        <v>12.336851572973583</v>
      </c>
    </row>
    <row r="243" spans="1:20" x14ac:dyDescent="0.25">
      <c r="A243" s="5">
        <v>44350</v>
      </c>
      <c r="B243">
        <v>0.10153</v>
      </c>
      <c r="C243">
        <v>0.11481</v>
      </c>
      <c r="D243">
        <v>9.9150000000000002E-2</v>
      </c>
      <c r="E243">
        <v>0.10999</v>
      </c>
      <c r="F243">
        <v>303840083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0.38441890166028186</v>
      </c>
      <c r="Q243">
        <f t="shared" si="960"/>
        <v>116801870.98722889</v>
      </c>
      <c r="R243">
        <f t="shared" si="961"/>
        <v>1340949279.4707475</v>
      </c>
      <c r="S243">
        <f t="shared" si="962"/>
        <v>13409.492794707474</v>
      </c>
      <c r="T243">
        <f t="shared" si="963"/>
        <v>13.409492794707473</v>
      </c>
    </row>
    <row r="244" spans="1:20" x14ac:dyDescent="0.25">
      <c r="A244" s="5">
        <v>44349</v>
      </c>
      <c r="B244">
        <v>9.7509999999999999E-2</v>
      </c>
      <c r="C244">
        <v>0.1045</v>
      </c>
      <c r="D244">
        <v>9.5250000000000001E-2</v>
      </c>
      <c r="E244">
        <v>0.10153</v>
      </c>
      <c r="F244">
        <v>250708214.59999999</v>
      </c>
      <c r="G244">
        <v>0</v>
      </c>
      <c r="L244" t="s">
        <v>7</v>
      </c>
      <c r="M244" t="s">
        <v>8</v>
      </c>
      <c r="N244" t="s">
        <v>7</v>
      </c>
      <c r="P244">
        <f t="shared" si="959"/>
        <v>0.35783783783783735</v>
      </c>
      <c r="Q244">
        <f t="shared" si="960"/>
        <v>89712885.440648526</v>
      </c>
      <c r="R244">
        <f t="shared" si="961"/>
        <v>1224147408.4835186</v>
      </c>
      <c r="S244">
        <f t="shared" si="962"/>
        <v>12241.474084835187</v>
      </c>
      <c r="T244">
        <f t="shared" si="963"/>
        <v>12.241474084835186</v>
      </c>
    </row>
    <row r="245" spans="1:20" x14ac:dyDescent="0.25">
      <c r="A245" s="5">
        <v>44348</v>
      </c>
      <c r="B245">
        <v>0.10136000000000001</v>
      </c>
      <c r="C245">
        <v>0.10537000000000001</v>
      </c>
      <c r="D245">
        <v>9.5880000000000007E-2</v>
      </c>
      <c r="E245">
        <v>9.7390000000000004E-2</v>
      </c>
      <c r="F245">
        <v>296974227.30000001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-0.68177028451001098</v>
      </c>
      <c r="Q245">
        <f t="shared" si="960"/>
        <v>-202468203.43846169</v>
      </c>
      <c r="R245">
        <f t="shared" si="961"/>
        <v>1134434523.04287</v>
      </c>
      <c r="S245">
        <f t="shared" si="962"/>
        <v>11344.3452304287</v>
      </c>
      <c r="T245">
        <f t="shared" si="963"/>
        <v>11.344345230428701</v>
      </c>
    </row>
    <row r="246" spans="1:20" x14ac:dyDescent="0.25">
      <c r="A246" s="5">
        <v>44347</v>
      </c>
      <c r="B246">
        <v>9.2910000000000006E-2</v>
      </c>
      <c r="C246">
        <v>0.104</v>
      </c>
      <c r="D246">
        <v>8.7230000000000002E-2</v>
      </c>
      <c r="E246">
        <v>0.10145</v>
      </c>
      <c r="F246">
        <v>459389856.60000002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0.69588550983899844</v>
      </c>
      <c r="Q246">
        <f t="shared" si="960"/>
        <v>319682744.5749554</v>
      </c>
      <c r="R246">
        <f t="shared" si="961"/>
        <v>1336902726.4813318</v>
      </c>
      <c r="S246">
        <f t="shared" si="962"/>
        <v>13369.027264813318</v>
      </c>
      <c r="T246">
        <f t="shared" si="963"/>
        <v>13.369027264813317</v>
      </c>
    </row>
    <row r="247" spans="1:20" x14ac:dyDescent="0.25">
      <c r="A247" s="5">
        <v>44346</v>
      </c>
      <c r="B247">
        <v>8.2820000000000005E-2</v>
      </c>
      <c r="C247">
        <v>0.10224999999999999</v>
      </c>
      <c r="D247">
        <v>7.8009999999999996E-2</v>
      </c>
      <c r="E247">
        <v>9.2850000000000002E-2</v>
      </c>
      <c r="F247">
        <v>566860708.70000005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0.22442244224422503</v>
      </c>
      <c r="Q247">
        <f t="shared" si="960"/>
        <v>127216264.65874623</v>
      </c>
      <c r="R247">
        <f t="shared" si="961"/>
        <v>1017219981.9063764</v>
      </c>
      <c r="S247">
        <f t="shared" si="962"/>
        <v>10172.199819063764</v>
      </c>
      <c r="T247">
        <f t="shared" si="963"/>
        <v>10.172199819063763</v>
      </c>
    </row>
    <row r="248" spans="1:20" x14ac:dyDescent="0.25">
      <c r="A248" s="5">
        <v>44345</v>
      </c>
      <c r="B248">
        <v>9.0399999999999994E-2</v>
      </c>
      <c r="C248">
        <v>9.4369999999999996E-2</v>
      </c>
      <c r="D248">
        <v>7.7499999999999999E-2</v>
      </c>
      <c r="E248">
        <v>8.2839999999999997E-2</v>
      </c>
      <c r="F248">
        <v>413188640.80000001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-0.36692353289863677</v>
      </c>
      <c r="Q248">
        <f t="shared" si="960"/>
        <v>-151608635.83592182</v>
      </c>
      <c r="R248">
        <f t="shared" si="961"/>
        <v>890003717.24763012</v>
      </c>
      <c r="S248">
        <f t="shared" si="962"/>
        <v>8900.0371724763008</v>
      </c>
      <c r="T248">
        <f t="shared" si="963"/>
        <v>8.900037172476301</v>
      </c>
    </row>
    <row r="249" spans="1:20" x14ac:dyDescent="0.25">
      <c r="A249" s="5">
        <v>44344</v>
      </c>
      <c r="B249">
        <v>0.10503999999999999</v>
      </c>
      <c r="C249">
        <v>0.10827000000000001</v>
      </c>
      <c r="D249">
        <v>8.6099999999999996E-2</v>
      </c>
      <c r="E249">
        <v>9.0490000000000001E-2</v>
      </c>
      <c r="F249">
        <v>602441064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-0.6039693279206132</v>
      </c>
      <c r="Q249">
        <f t="shared" si="960"/>
        <v>-363855924.53585911</v>
      </c>
      <c r="R249">
        <f t="shared" si="961"/>
        <v>1041612353.0835519</v>
      </c>
      <c r="S249">
        <f t="shared" si="962"/>
        <v>10416.123530835519</v>
      </c>
      <c r="T249">
        <f t="shared" si="963"/>
        <v>10.416123530835518</v>
      </c>
    </row>
    <row r="250" spans="1:20" x14ac:dyDescent="0.25">
      <c r="A250" s="5">
        <v>44343</v>
      </c>
      <c r="B250">
        <v>0.11239</v>
      </c>
      <c r="C250">
        <v>0.11787</v>
      </c>
      <c r="D250">
        <v>9.7900000000000001E-2</v>
      </c>
      <c r="E250">
        <v>0.10503</v>
      </c>
      <c r="F250">
        <v>602647726.70000005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-0.28592889334001031</v>
      </c>
      <c r="Q250">
        <f t="shared" si="960"/>
        <v>-172314397.569204</v>
      </c>
      <c r="R250">
        <f t="shared" si="961"/>
        <v>1405468277.619411</v>
      </c>
      <c r="S250">
        <f t="shared" si="962"/>
        <v>14054.682776194109</v>
      </c>
      <c r="T250">
        <f t="shared" si="963"/>
        <v>14.05468277619411</v>
      </c>
    </row>
    <row r="251" spans="1:20" x14ac:dyDescent="0.25">
      <c r="A251" s="5">
        <v>44342</v>
      </c>
      <c r="B251">
        <v>0.10432</v>
      </c>
      <c r="C251">
        <v>0.11974</v>
      </c>
      <c r="D251">
        <v>0.10102999999999999</v>
      </c>
      <c r="E251">
        <v>0.1124</v>
      </c>
      <c r="F251">
        <v>636701233.60000002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0.21539283805451656</v>
      </c>
      <c r="Q251">
        <f t="shared" si="960"/>
        <v>137140885.69791573</v>
      </c>
      <c r="R251">
        <f t="shared" si="961"/>
        <v>1577782675.1886151</v>
      </c>
      <c r="S251">
        <f t="shared" si="962"/>
        <v>15777.82675188615</v>
      </c>
      <c r="T251">
        <f t="shared" si="963"/>
        <v>15.777826751886151</v>
      </c>
    </row>
    <row r="252" spans="1:20" x14ac:dyDescent="0.25">
      <c r="A252" s="5">
        <v>44341</v>
      </c>
      <c r="B252">
        <v>0.10802</v>
      </c>
      <c r="C252">
        <v>0.12</v>
      </c>
      <c r="D252">
        <v>9.3420000000000003E-2</v>
      </c>
      <c r="E252">
        <v>0.10431</v>
      </c>
      <c r="F252">
        <v>660177820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-0.18058690744920994</v>
      </c>
      <c r="Q252">
        <f t="shared" si="960"/>
        <v>-119219470.88036118</v>
      </c>
      <c r="R252">
        <f t="shared" si="961"/>
        <v>1440641789.4906993</v>
      </c>
      <c r="S252">
        <f t="shared" si="962"/>
        <v>14406.417894906994</v>
      </c>
      <c r="T252">
        <f t="shared" si="963"/>
        <v>14.406417894906994</v>
      </c>
    </row>
    <row r="253" spans="1:20" x14ac:dyDescent="0.25">
      <c r="A253" s="5">
        <v>44340</v>
      </c>
      <c r="B253">
        <v>8.0649999999999999E-2</v>
      </c>
      <c r="C253">
        <v>0.1195</v>
      </c>
      <c r="D253">
        <v>8.0649999999999999E-2</v>
      </c>
      <c r="E253">
        <v>0.1081</v>
      </c>
      <c r="F253">
        <v>1174830282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0.41312741312741341</v>
      </c>
      <c r="Q253">
        <f t="shared" si="960"/>
        <v>485354595.26640958</v>
      </c>
      <c r="R253">
        <f t="shared" si="961"/>
        <v>1559861260.3710604</v>
      </c>
      <c r="S253">
        <f t="shared" si="962"/>
        <v>15598.612603710604</v>
      </c>
      <c r="T253">
        <f t="shared" si="963"/>
        <v>15.598612603710604</v>
      </c>
    </row>
    <row r="254" spans="1:20" x14ac:dyDescent="0.25">
      <c r="A254" s="5">
        <v>44339</v>
      </c>
      <c r="B254">
        <v>8.9209999999999998E-2</v>
      </c>
      <c r="C254">
        <v>9.3920000000000003E-2</v>
      </c>
      <c r="D254">
        <v>5.8000000000000003E-2</v>
      </c>
      <c r="E254">
        <v>8.0589999999999995E-2</v>
      </c>
      <c r="F254">
        <v>805426588.70000005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0.25779510022271668</v>
      </c>
      <c r="Q254">
        <f t="shared" si="960"/>
        <v>207635028.15595731</v>
      </c>
      <c r="R254">
        <f t="shared" si="961"/>
        <v>1074506665.1046507</v>
      </c>
      <c r="S254">
        <f t="shared" si="962"/>
        <v>10745.066651046507</v>
      </c>
      <c r="T254">
        <f t="shared" si="963"/>
        <v>10.745066651046507</v>
      </c>
    </row>
    <row r="255" spans="1:20" x14ac:dyDescent="0.25">
      <c r="A255" s="5">
        <v>44338</v>
      </c>
      <c r="B255">
        <v>0.10445</v>
      </c>
      <c r="C255">
        <v>0.10865</v>
      </c>
      <c r="D255">
        <v>8.8400000000000006E-2</v>
      </c>
      <c r="E255">
        <v>8.9319999999999997E-2</v>
      </c>
      <c r="F255">
        <v>504133742.39999998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-0.90913580246913672</v>
      </c>
      <c r="Q255">
        <f t="shared" si="960"/>
        <v>-458326034.44859302</v>
      </c>
      <c r="R255">
        <f t="shared" si="961"/>
        <v>866871636.94869339</v>
      </c>
      <c r="S255">
        <f t="shared" si="962"/>
        <v>8668.7163694869341</v>
      </c>
      <c r="T255">
        <f t="shared" si="963"/>
        <v>8.6687163694869334</v>
      </c>
    </row>
    <row r="256" spans="1:20" x14ac:dyDescent="0.25">
      <c r="A256" s="5">
        <v>44337</v>
      </c>
      <c r="B256">
        <v>0.12138</v>
      </c>
      <c r="C256">
        <v>0.12870000000000001</v>
      </c>
      <c r="D256">
        <v>8.4000000000000005E-2</v>
      </c>
      <c r="E256">
        <v>0.10445</v>
      </c>
      <c r="F256">
        <v>909213498.20000005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-8.5011185682326879E-2</v>
      </c>
      <c r="Q256">
        <f t="shared" si="960"/>
        <v>-77293317.520358175</v>
      </c>
      <c r="R256">
        <f t="shared" si="961"/>
        <v>1325197671.3972864</v>
      </c>
      <c r="S256">
        <f t="shared" si="962"/>
        <v>13251.976713972865</v>
      </c>
      <c r="T256">
        <f t="shared" si="963"/>
        <v>13.251976713972864</v>
      </c>
    </row>
    <row r="257" spans="1:20" x14ac:dyDescent="0.25">
      <c r="A257" s="5">
        <v>44336</v>
      </c>
      <c r="B257">
        <v>0.10747</v>
      </c>
      <c r="C257">
        <v>0.14000000000000001</v>
      </c>
      <c r="D257">
        <v>9.5000000000000001E-2</v>
      </c>
      <c r="E257">
        <v>0.12139</v>
      </c>
      <c r="F257">
        <v>1214594791.9000001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0.17288888888888843</v>
      </c>
      <c r="Q257">
        <f t="shared" si="960"/>
        <v>209989944.02182168</v>
      </c>
      <c r="R257">
        <f t="shared" si="961"/>
        <v>1402490988.9176445</v>
      </c>
      <c r="S257">
        <f t="shared" si="962"/>
        <v>14024.909889176444</v>
      </c>
      <c r="T257">
        <f t="shared" si="963"/>
        <v>14.024909889176444</v>
      </c>
    </row>
    <row r="258" spans="1:20" x14ac:dyDescent="0.25">
      <c r="A258" s="5">
        <v>44335</v>
      </c>
      <c r="B258">
        <v>0.17546</v>
      </c>
      <c r="C258">
        <v>0.17735999999999999</v>
      </c>
      <c r="D258">
        <v>7.0000000000000007E-2</v>
      </c>
      <c r="E258">
        <v>0.10765</v>
      </c>
      <c r="F258">
        <v>2258644809.8000002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-0.29862146050670652</v>
      </c>
      <c r="Q258">
        <f t="shared" si="960"/>
        <v>-674479811.86836839</v>
      </c>
      <c r="R258">
        <f t="shared" si="961"/>
        <v>1192501044.8958228</v>
      </c>
      <c r="S258">
        <f t="shared" si="962"/>
        <v>11925.010448958228</v>
      </c>
      <c r="T258">
        <f t="shared" si="963"/>
        <v>11.925010448958227</v>
      </c>
    </row>
    <row r="259" spans="1:20" x14ac:dyDescent="0.25">
      <c r="A259" s="5">
        <v>44334</v>
      </c>
      <c r="B259">
        <v>0.13444999999999999</v>
      </c>
      <c r="C259">
        <v>0.18858</v>
      </c>
      <c r="D259">
        <v>0.13425000000000001</v>
      </c>
      <c r="E259">
        <v>0.17543</v>
      </c>
      <c r="F259">
        <v>1863774901.7</v>
      </c>
      <c r="G259">
        <v>0</v>
      </c>
      <c r="L259" t="s">
        <v>8</v>
      </c>
      <c r="M259" t="s">
        <v>8</v>
      </c>
      <c r="N259" t="s">
        <v>8</v>
      </c>
      <c r="P259">
        <f t="shared" si="959"/>
        <v>0.51592122216086889</v>
      </c>
      <c r="Q259">
        <f t="shared" si="960"/>
        <v>961561025.11781728</v>
      </c>
      <c r="R259">
        <f t="shared" si="961"/>
        <v>1866980856.7641912</v>
      </c>
      <c r="S259">
        <f t="shared" si="962"/>
        <v>18669.80856764191</v>
      </c>
      <c r="T259">
        <f t="shared" si="963"/>
        <v>18.669808567641912</v>
      </c>
    </row>
    <row r="260" spans="1:20" x14ac:dyDescent="0.25">
      <c r="A260" s="5">
        <v>44333</v>
      </c>
      <c r="B260">
        <v>0.14899999999999999</v>
      </c>
      <c r="C260">
        <v>0.16639000000000001</v>
      </c>
      <c r="D260">
        <v>0.13161999999999999</v>
      </c>
      <c r="E260">
        <v>0.13447999999999999</v>
      </c>
      <c r="F260">
        <v>1161043747.0999999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-0.83549036525740583</v>
      </c>
      <c r="Q260">
        <f t="shared" si="960"/>
        <v>-970040864.34440601</v>
      </c>
      <c r="R260">
        <f t="shared" si="961"/>
        <v>905419831.64637387</v>
      </c>
      <c r="S260">
        <f t="shared" si="962"/>
        <v>9054.1983164637386</v>
      </c>
      <c r="T260">
        <f t="shared" si="963"/>
        <v>9.0541983164637383</v>
      </c>
    </row>
    <row r="261" spans="1:20" x14ac:dyDescent="0.25">
      <c r="A261" s="5">
        <v>44332</v>
      </c>
      <c r="B261">
        <v>0.15837000000000001</v>
      </c>
      <c r="C261">
        <v>0.18506</v>
      </c>
      <c r="D261">
        <v>0.14509</v>
      </c>
      <c r="E261">
        <v>0.14885999999999999</v>
      </c>
      <c r="F261">
        <v>2198346692.8000002</v>
      </c>
      <c r="G261">
        <v>0</v>
      </c>
      <c r="L261" t="s">
        <v>8</v>
      </c>
      <c r="M261" t="s">
        <v>8</v>
      </c>
      <c r="N261" t="s">
        <v>8</v>
      </c>
      <c r="P261">
        <f t="shared" si="959"/>
        <v>-0.8113585188891671</v>
      </c>
      <c r="Q261">
        <f t="shared" si="960"/>
        <v>-1783647316.675107</v>
      </c>
      <c r="R261">
        <f t="shared" si="961"/>
        <v>1875460695.9907799</v>
      </c>
      <c r="S261">
        <f t="shared" si="962"/>
        <v>18754.6069599078</v>
      </c>
      <c r="T261">
        <f t="shared" si="963"/>
        <v>18.7546069599078</v>
      </c>
    </row>
    <row r="262" spans="1:20" x14ac:dyDescent="0.25">
      <c r="A262" s="5">
        <v>44331</v>
      </c>
      <c r="B262">
        <v>0.11544</v>
      </c>
      <c r="C262">
        <v>0.17657999999999999</v>
      </c>
      <c r="D262">
        <v>0.11297</v>
      </c>
      <c r="E262">
        <v>0.15842000000000001</v>
      </c>
      <c r="F262">
        <v>1751464724.7</v>
      </c>
      <c r="G262">
        <v>0</v>
      </c>
      <c r="L262" t="s">
        <v>8</v>
      </c>
      <c r="M262" t="s">
        <v>8</v>
      </c>
      <c r="N262" t="s">
        <v>8</v>
      </c>
      <c r="P262">
        <f t="shared" ref="P262:P325" si="964">IF(C262=D262,0,((E262-D262)-(C262-E262))/(C262-D262))</f>
        <v>0.42902059424618816</v>
      </c>
      <c r="Q262">
        <f t="shared" ref="Q262:Q325" si="965">F262*P262</f>
        <v>751414436.99203038</v>
      </c>
      <c r="R262">
        <f t="shared" ref="R262:R325" si="966">R263+Q262</f>
        <v>3659108012.6658869</v>
      </c>
      <c r="S262">
        <f t="shared" ref="S262:S325" si="967">R262/100000</f>
        <v>36591.080126658868</v>
      </c>
      <c r="T262">
        <f t="shared" ref="T262:T325" si="968">S262/1000</f>
        <v>36.591080126658866</v>
      </c>
    </row>
    <row r="263" spans="1:20" x14ac:dyDescent="0.25">
      <c r="A263" s="5">
        <v>44330</v>
      </c>
      <c r="B263">
        <v>0.10902000000000001</v>
      </c>
      <c r="C263">
        <v>0.12421</v>
      </c>
      <c r="D263">
        <v>0.1079</v>
      </c>
      <c r="E263">
        <v>0.11548</v>
      </c>
      <c r="F263">
        <v>311829711.39999998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-7.0508890251379394E-2</v>
      </c>
      <c r="Q263">
        <f t="shared" si="965"/>
        <v>-21986766.89822191</v>
      </c>
      <c r="R263">
        <f t="shared" si="966"/>
        <v>2907693575.6738567</v>
      </c>
      <c r="S263">
        <f t="shared" si="967"/>
        <v>29076.935756738567</v>
      </c>
      <c r="T263">
        <f t="shared" si="968"/>
        <v>29.076935756738568</v>
      </c>
    </row>
    <row r="264" spans="1:20" x14ac:dyDescent="0.25">
      <c r="A264" s="5">
        <v>44329</v>
      </c>
      <c r="B264">
        <v>0.10663</v>
      </c>
      <c r="C264">
        <v>0.11565</v>
      </c>
      <c r="D264">
        <v>9.8330000000000001E-2</v>
      </c>
      <c r="E264">
        <v>0.10902000000000001</v>
      </c>
      <c r="F264">
        <v>499692667.30000001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0.23441108545034686</v>
      </c>
      <c r="Q264">
        <f t="shared" si="965"/>
        <v>117133500.53337204</v>
      </c>
      <c r="R264">
        <f t="shared" si="966"/>
        <v>2929680342.5720787</v>
      </c>
      <c r="S264">
        <f t="shared" si="967"/>
        <v>29296.803425720787</v>
      </c>
      <c r="T264">
        <f t="shared" si="968"/>
        <v>29.296803425720789</v>
      </c>
    </row>
    <row r="265" spans="1:20" x14ac:dyDescent="0.25">
      <c r="A265" s="5">
        <v>44328</v>
      </c>
      <c r="B265">
        <v>0.12458</v>
      </c>
      <c r="C265">
        <v>0.13166</v>
      </c>
      <c r="D265">
        <v>0.10523</v>
      </c>
      <c r="E265">
        <v>0.10663</v>
      </c>
      <c r="F265">
        <v>444840687.60000002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-0.89405978055240265</v>
      </c>
      <c r="Q265">
        <f t="shared" si="965"/>
        <v>-397714167.5364359</v>
      </c>
      <c r="R265">
        <f t="shared" si="966"/>
        <v>2812546842.0387068</v>
      </c>
      <c r="S265">
        <f t="shared" si="967"/>
        <v>28125.468420387067</v>
      </c>
      <c r="T265">
        <f t="shared" si="968"/>
        <v>28.125468420387069</v>
      </c>
    </row>
    <row r="266" spans="1:20" x14ac:dyDescent="0.25">
      <c r="A266" s="5">
        <v>44327</v>
      </c>
      <c r="B266">
        <v>0.12175999999999999</v>
      </c>
      <c r="C266">
        <v>0.12998999999999999</v>
      </c>
      <c r="D266">
        <v>0.115</v>
      </c>
      <c r="E266">
        <v>0.12458</v>
      </c>
      <c r="F266">
        <v>363022934.10000002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0.27818545697131397</v>
      </c>
      <c r="Q266">
        <f t="shared" si="965"/>
        <v>100987700.8136757</v>
      </c>
      <c r="R266">
        <f t="shared" si="966"/>
        <v>3210261009.5751429</v>
      </c>
      <c r="S266">
        <f t="shared" si="967"/>
        <v>32102.610095751428</v>
      </c>
      <c r="T266">
        <f t="shared" si="968"/>
        <v>32.10261009575143</v>
      </c>
    </row>
    <row r="267" spans="1:20" x14ac:dyDescent="0.25">
      <c r="A267" s="5">
        <v>44326</v>
      </c>
      <c r="B267">
        <v>0.13120999999999999</v>
      </c>
      <c r="C267">
        <v>0.15176000000000001</v>
      </c>
      <c r="D267">
        <v>0.1101</v>
      </c>
      <c r="E267">
        <v>0.12173</v>
      </c>
      <c r="F267">
        <v>945478150.70000005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-0.44167066730676907</v>
      </c>
      <c r="Q267">
        <f t="shared" si="965"/>
        <v>-417589965.74363899</v>
      </c>
      <c r="R267">
        <f t="shared" si="966"/>
        <v>3109273308.761467</v>
      </c>
      <c r="S267">
        <f t="shared" si="967"/>
        <v>31092.73308761467</v>
      </c>
      <c r="T267">
        <f t="shared" si="968"/>
        <v>31.092733087614668</v>
      </c>
    </row>
    <row r="268" spans="1:20" x14ac:dyDescent="0.25">
      <c r="A268" s="5">
        <v>44325</v>
      </c>
      <c r="B268">
        <v>0.12731000000000001</v>
      </c>
      <c r="C268">
        <v>0.13200000000000001</v>
      </c>
      <c r="D268">
        <v>0.11944</v>
      </c>
      <c r="E268">
        <v>0.13120999999999999</v>
      </c>
      <c r="F268">
        <v>276292275.19999999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0.87420382165604893</v>
      </c>
      <c r="Q268">
        <f t="shared" si="965"/>
        <v>241535762.87388477</v>
      </c>
      <c r="R268">
        <f t="shared" si="966"/>
        <v>3526863274.505106</v>
      </c>
      <c r="S268">
        <f t="shared" si="967"/>
        <v>35268.632745051058</v>
      </c>
      <c r="T268">
        <f t="shared" si="968"/>
        <v>35.268632745051057</v>
      </c>
    </row>
    <row r="269" spans="1:20" x14ac:dyDescent="0.25">
      <c r="A269" s="5">
        <v>44324</v>
      </c>
      <c r="B269">
        <v>0.13017999999999999</v>
      </c>
      <c r="C269">
        <v>0.13378999999999999</v>
      </c>
      <c r="D269">
        <v>0.12501000000000001</v>
      </c>
      <c r="E269">
        <v>0.12731999999999999</v>
      </c>
      <c r="F269">
        <v>219224832.69999999</v>
      </c>
      <c r="G269">
        <v>0</v>
      </c>
      <c r="L269" t="s">
        <v>7</v>
      </c>
      <c r="M269" t="s">
        <v>7</v>
      </c>
      <c r="N269" t="s">
        <v>8</v>
      </c>
      <c r="P269">
        <f t="shared" si="964"/>
        <v>-0.47380410022779423</v>
      </c>
      <c r="Q269">
        <f t="shared" si="965"/>
        <v>-103869624.60501222</v>
      </c>
      <c r="R269">
        <f t="shared" si="966"/>
        <v>3285327511.6312213</v>
      </c>
      <c r="S269">
        <f t="shared" si="967"/>
        <v>32853.275116312216</v>
      </c>
      <c r="T269">
        <f t="shared" si="968"/>
        <v>32.853275116312219</v>
      </c>
    </row>
    <row r="270" spans="1:20" x14ac:dyDescent="0.25">
      <c r="A270" s="5">
        <v>44323</v>
      </c>
      <c r="B270">
        <v>0.12753</v>
      </c>
      <c r="C270">
        <v>0.14113999999999999</v>
      </c>
      <c r="D270">
        <v>0.124</v>
      </c>
      <c r="E270">
        <v>0.13009999999999999</v>
      </c>
      <c r="F270">
        <v>433881755.5</v>
      </c>
      <c r="G270">
        <v>0</v>
      </c>
      <c r="L270" t="s">
        <v>8</v>
      </c>
      <c r="M270" t="s">
        <v>7</v>
      </c>
      <c r="N270" t="s">
        <v>8</v>
      </c>
      <c r="P270">
        <f t="shared" si="964"/>
        <v>-0.28821470245040859</v>
      </c>
      <c r="Q270">
        <f t="shared" si="965"/>
        <v>-125051101.06009343</v>
      </c>
      <c r="R270">
        <f t="shared" si="966"/>
        <v>3389197136.2362337</v>
      </c>
      <c r="S270">
        <f t="shared" si="967"/>
        <v>33891.971362362339</v>
      </c>
      <c r="T270">
        <f t="shared" si="968"/>
        <v>33.891971362362341</v>
      </c>
    </row>
    <row r="271" spans="1:20" x14ac:dyDescent="0.25">
      <c r="A271" s="5">
        <v>44322</v>
      </c>
      <c r="B271">
        <v>0.13086999999999999</v>
      </c>
      <c r="C271">
        <v>0.13261999999999999</v>
      </c>
      <c r="D271">
        <v>0.12259</v>
      </c>
      <c r="E271">
        <v>0.12751000000000001</v>
      </c>
      <c r="F271">
        <v>314165917.30000001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-1.8943170488531235E-2</v>
      </c>
      <c r="Q271">
        <f t="shared" si="965"/>
        <v>-5951298.5330997044</v>
      </c>
      <c r="R271">
        <f t="shared" si="966"/>
        <v>3514248237.2963271</v>
      </c>
      <c r="S271">
        <f t="shared" si="967"/>
        <v>35142.48237296327</v>
      </c>
      <c r="T271">
        <f t="shared" si="968"/>
        <v>35.142482372963272</v>
      </c>
    </row>
    <row r="272" spans="1:20" x14ac:dyDescent="0.25">
      <c r="A272" s="5">
        <v>44321</v>
      </c>
      <c r="B272">
        <v>0.12243999999999999</v>
      </c>
      <c r="C272">
        <v>0.13750000000000001</v>
      </c>
      <c r="D272">
        <v>0.12066</v>
      </c>
      <c r="E272">
        <v>0.13089999999999999</v>
      </c>
      <c r="F272">
        <v>366648985.69999999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0.21615201900237299</v>
      </c>
      <c r="Q272">
        <f t="shared" si="965"/>
        <v>79251918.524227187</v>
      </c>
      <c r="R272">
        <f t="shared" si="966"/>
        <v>3520199535.8294268</v>
      </c>
      <c r="S272">
        <f t="shared" si="967"/>
        <v>35201.995358294269</v>
      </c>
      <c r="T272">
        <f t="shared" si="968"/>
        <v>35.201995358294269</v>
      </c>
    </row>
    <row r="273" spans="1:20" x14ac:dyDescent="0.25">
      <c r="A273" s="5">
        <v>44320</v>
      </c>
      <c r="B273">
        <v>0.14130000000000001</v>
      </c>
      <c r="C273">
        <v>0.14166000000000001</v>
      </c>
      <c r="D273">
        <v>0.11944</v>
      </c>
      <c r="E273">
        <v>0.12243999999999999</v>
      </c>
      <c r="F273">
        <v>439870700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-0.72997299729973097</v>
      </c>
      <c r="Q273">
        <f t="shared" si="965"/>
        <v>-321093733.30333078</v>
      </c>
      <c r="R273">
        <f t="shared" si="966"/>
        <v>3440947617.3051996</v>
      </c>
      <c r="S273">
        <f t="shared" si="967"/>
        <v>34409.476173051997</v>
      </c>
      <c r="T273">
        <f t="shared" si="968"/>
        <v>34.409476173051999</v>
      </c>
    </row>
    <row r="274" spans="1:20" x14ac:dyDescent="0.25">
      <c r="A274" s="5">
        <v>44319</v>
      </c>
      <c r="B274">
        <v>0.14022000000000001</v>
      </c>
      <c r="C274">
        <v>0.14990000000000001</v>
      </c>
      <c r="D274">
        <v>0.13838</v>
      </c>
      <c r="E274">
        <v>0.14133999999999999</v>
      </c>
      <c r="F274">
        <v>311177487.39999998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-0.48611111111111288</v>
      </c>
      <c r="Q274">
        <f t="shared" si="965"/>
        <v>-151266834.15277833</v>
      </c>
      <c r="R274">
        <f t="shared" si="966"/>
        <v>3762041350.6085305</v>
      </c>
      <c r="S274">
        <f t="shared" si="967"/>
        <v>37620.413506085308</v>
      </c>
      <c r="T274">
        <f t="shared" si="968"/>
        <v>37.620413506085306</v>
      </c>
    </row>
    <row r="275" spans="1:20" x14ac:dyDescent="0.25">
      <c r="A275" s="5">
        <v>44318</v>
      </c>
      <c r="B275">
        <v>0.14588999999999999</v>
      </c>
      <c r="C275">
        <v>0.14638999999999999</v>
      </c>
      <c r="D275">
        <v>0.13586999999999999</v>
      </c>
      <c r="E275">
        <v>0.14035</v>
      </c>
      <c r="F275">
        <v>255822288.40000001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-0.1482889733840283</v>
      </c>
      <c r="Q275">
        <f t="shared" si="965"/>
        <v>-37935624.515588813</v>
      </c>
      <c r="R275">
        <f t="shared" si="966"/>
        <v>3913308184.7613087</v>
      </c>
      <c r="S275">
        <f t="shared" si="967"/>
        <v>39133.081847613088</v>
      </c>
      <c r="T275">
        <f t="shared" si="968"/>
        <v>39.133081847613091</v>
      </c>
    </row>
    <row r="276" spans="1:20" x14ac:dyDescent="0.25">
      <c r="A276" s="5">
        <v>44317</v>
      </c>
      <c r="B276">
        <v>0.15264</v>
      </c>
      <c r="C276">
        <v>0.15265999999999999</v>
      </c>
      <c r="D276">
        <v>0.1426</v>
      </c>
      <c r="E276">
        <v>0.1459</v>
      </c>
      <c r="F276">
        <v>342866700.30000001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-0.34393638170974111</v>
      </c>
      <c r="Q276">
        <f t="shared" si="965"/>
        <v>-117924332.30994022</v>
      </c>
      <c r="R276">
        <f t="shared" si="966"/>
        <v>3951243809.2768974</v>
      </c>
      <c r="S276">
        <f t="shared" si="967"/>
        <v>39512.438092768971</v>
      </c>
      <c r="T276">
        <f t="shared" si="968"/>
        <v>39.512438092768974</v>
      </c>
    </row>
    <row r="277" spans="1:20" x14ac:dyDescent="0.25">
      <c r="A277" s="5">
        <v>44316</v>
      </c>
      <c r="B277">
        <v>0.13242000000000001</v>
      </c>
      <c r="C277">
        <v>0.15959999999999999</v>
      </c>
      <c r="D277">
        <v>0.12956000000000001</v>
      </c>
      <c r="E277">
        <v>0.15268000000000001</v>
      </c>
      <c r="F277">
        <v>753670497.10000002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0.53928095872170534</v>
      </c>
      <c r="Q277">
        <f t="shared" si="965"/>
        <v>406440148.23635226</v>
      </c>
      <c r="R277">
        <f t="shared" si="966"/>
        <v>4069168141.5868378</v>
      </c>
      <c r="S277">
        <f t="shared" si="967"/>
        <v>40691.681415868377</v>
      </c>
      <c r="T277">
        <f t="shared" si="968"/>
        <v>40.691681415868381</v>
      </c>
    </row>
    <row r="278" spans="1:20" x14ac:dyDescent="0.25">
      <c r="A278" s="5">
        <v>44315</v>
      </c>
      <c r="B278">
        <v>0.13255</v>
      </c>
      <c r="C278">
        <v>0.14599000000000001</v>
      </c>
      <c r="D278">
        <v>0.125</v>
      </c>
      <c r="E278">
        <v>0.13236000000000001</v>
      </c>
      <c r="F278">
        <v>512056192</v>
      </c>
      <c r="G278">
        <v>0</v>
      </c>
      <c r="L278" t="s">
        <v>7</v>
      </c>
      <c r="M278" t="s">
        <v>7</v>
      </c>
      <c r="N278" t="s">
        <v>8</v>
      </c>
      <c r="P278">
        <f t="shared" si="964"/>
        <v>-0.29871367317770342</v>
      </c>
      <c r="Q278">
        <f t="shared" si="965"/>
        <v>-152958185.98570734</v>
      </c>
      <c r="R278">
        <f t="shared" si="966"/>
        <v>3662727993.3504853</v>
      </c>
      <c r="S278">
        <f t="shared" si="967"/>
        <v>36627.279933504855</v>
      </c>
      <c r="T278">
        <f t="shared" si="968"/>
        <v>36.627279933504852</v>
      </c>
    </row>
    <row r="279" spans="1:20" x14ac:dyDescent="0.25">
      <c r="A279" s="5">
        <v>44314</v>
      </c>
      <c r="B279">
        <v>0.14208000000000001</v>
      </c>
      <c r="C279">
        <v>0.152</v>
      </c>
      <c r="D279">
        <v>0.12579000000000001</v>
      </c>
      <c r="E279">
        <v>0.13256000000000001</v>
      </c>
      <c r="F279">
        <v>558303068.10000002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-0.48340328119038517</v>
      </c>
      <c r="Q279">
        <f t="shared" si="965"/>
        <v>-269885535.01819909</v>
      </c>
      <c r="R279">
        <f t="shared" si="966"/>
        <v>3815686179.3361926</v>
      </c>
      <c r="S279">
        <f t="shared" si="967"/>
        <v>38156.861793361924</v>
      </c>
      <c r="T279">
        <f t="shared" si="968"/>
        <v>38.156861793361927</v>
      </c>
    </row>
    <row r="280" spans="1:20" x14ac:dyDescent="0.25">
      <c r="A280" s="5">
        <v>44313</v>
      </c>
      <c r="B280">
        <v>0.13622999999999999</v>
      </c>
      <c r="C280">
        <v>0.152</v>
      </c>
      <c r="D280">
        <v>0.13178999999999999</v>
      </c>
      <c r="E280">
        <v>0.14191999999999999</v>
      </c>
      <c r="F280">
        <v>747291707.20000005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2.4740227610091283E-3</v>
      </c>
      <c r="Q280">
        <f t="shared" si="965"/>
        <v>1848816.6927261692</v>
      </c>
      <c r="R280">
        <f t="shared" si="966"/>
        <v>4085571714.3543916</v>
      </c>
      <c r="S280">
        <f t="shared" si="967"/>
        <v>40855.717143543916</v>
      </c>
      <c r="T280">
        <f t="shared" si="968"/>
        <v>40.855717143543913</v>
      </c>
    </row>
    <row r="281" spans="1:20" x14ac:dyDescent="0.25">
      <c r="A281" s="5">
        <v>44312</v>
      </c>
      <c r="B281">
        <v>9.5689999999999997E-2</v>
      </c>
      <c r="C281">
        <v>0.14793999999999999</v>
      </c>
      <c r="D281">
        <v>9.5000000000000001E-2</v>
      </c>
      <c r="E281">
        <v>0.13624</v>
      </c>
      <c r="F281">
        <v>1438646474.5999999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0.55799017755950164</v>
      </c>
      <c r="Q281">
        <f t="shared" si="965"/>
        <v>802750601.80740499</v>
      </c>
      <c r="R281">
        <f t="shared" si="966"/>
        <v>4083722897.6616654</v>
      </c>
      <c r="S281">
        <f t="shared" si="967"/>
        <v>40837.228976616658</v>
      </c>
      <c r="T281">
        <f t="shared" si="968"/>
        <v>40.837228976616657</v>
      </c>
    </row>
    <row r="282" spans="1:20" x14ac:dyDescent="0.25">
      <c r="A282" s="5">
        <v>44311</v>
      </c>
      <c r="B282">
        <v>9.9290000000000003E-2</v>
      </c>
      <c r="C282">
        <v>0.10557999999999999</v>
      </c>
      <c r="D282">
        <v>8.7290000000000006E-2</v>
      </c>
      <c r="E282">
        <v>9.5640000000000003E-2</v>
      </c>
      <c r="F282">
        <v>246765776.69999999</v>
      </c>
      <c r="G282">
        <v>0</v>
      </c>
      <c r="L282" t="s">
        <v>7</v>
      </c>
      <c r="M282" t="s">
        <v>7</v>
      </c>
      <c r="N282" t="s">
        <v>8</v>
      </c>
      <c r="P282">
        <f t="shared" si="964"/>
        <v>-8.6932750136686457E-2</v>
      </c>
      <c r="Q282">
        <f t="shared" si="965"/>
        <v>-21452027.608146463</v>
      </c>
      <c r="R282">
        <f t="shared" si="966"/>
        <v>3280972295.8542604</v>
      </c>
      <c r="S282">
        <f t="shared" si="967"/>
        <v>32809.722958542603</v>
      </c>
      <c r="T282">
        <f t="shared" si="968"/>
        <v>32.809722958542601</v>
      </c>
    </row>
    <row r="283" spans="1:20" x14ac:dyDescent="0.25">
      <c r="A283" s="5">
        <v>44310</v>
      </c>
      <c r="B283">
        <v>0.10639999999999999</v>
      </c>
      <c r="C283">
        <v>0.10924</v>
      </c>
      <c r="D283">
        <v>9.554E-2</v>
      </c>
      <c r="E283">
        <v>9.9290000000000003E-2</v>
      </c>
      <c r="F283">
        <v>391465867.39999998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-0.45255474452554711</v>
      </c>
      <c r="Q283">
        <f t="shared" si="965"/>
        <v>-177159735.61167869</v>
      </c>
      <c r="R283">
        <f t="shared" si="966"/>
        <v>3302424323.4624071</v>
      </c>
      <c r="S283">
        <f t="shared" si="967"/>
        <v>33024.243234624068</v>
      </c>
      <c r="T283">
        <f t="shared" si="968"/>
        <v>33.024243234624066</v>
      </c>
    </row>
    <row r="284" spans="1:20" x14ac:dyDescent="0.25">
      <c r="A284" s="5">
        <v>44309</v>
      </c>
      <c r="B284">
        <v>0.10433000000000001</v>
      </c>
      <c r="C284">
        <v>0.1089</v>
      </c>
      <c r="D284">
        <v>6.9589999999999999E-2</v>
      </c>
      <c r="E284">
        <v>0.10625999999999999</v>
      </c>
      <c r="F284">
        <v>919818941.10000002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0.8656830323073007</v>
      </c>
      <c r="Q284">
        <f t="shared" si="965"/>
        <v>796271650.10513842</v>
      </c>
      <c r="R284">
        <f t="shared" si="966"/>
        <v>3479584059.0740857</v>
      </c>
      <c r="S284">
        <f t="shared" si="967"/>
        <v>34795.84059074086</v>
      </c>
      <c r="T284">
        <f t="shared" si="968"/>
        <v>34.795840590740859</v>
      </c>
    </row>
    <row r="285" spans="1:20" x14ac:dyDescent="0.25">
      <c r="A285" s="5">
        <v>44308</v>
      </c>
      <c r="B285">
        <v>0.11438</v>
      </c>
      <c r="C285">
        <v>0.12479999999999999</v>
      </c>
      <c r="D285">
        <v>0.10092</v>
      </c>
      <c r="E285">
        <v>0.10434</v>
      </c>
      <c r="F285">
        <v>475318214.80000001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-0.71356783919597933</v>
      </c>
      <c r="Q285">
        <f t="shared" si="965"/>
        <v>-339171791.46532637</v>
      </c>
      <c r="R285">
        <f t="shared" si="966"/>
        <v>2683312408.9689474</v>
      </c>
      <c r="S285">
        <f t="shared" si="967"/>
        <v>26833.124089689474</v>
      </c>
      <c r="T285">
        <f t="shared" si="968"/>
        <v>26.833124089689473</v>
      </c>
    </row>
    <row r="286" spans="1:20" x14ac:dyDescent="0.25">
      <c r="A286" s="5">
        <v>44307</v>
      </c>
      <c r="B286">
        <v>0.11967</v>
      </c>
      <c r="C286">
        <v>0.12543000000000001</v>
      </c>
      <c r="D286">
        <v>0.11302</v>
      </c>
      <c r="E286">
        <v>0.11453000000000001</v>
      </c>
      <c r="F286">
        <v>411047205.10000002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-0.75664786462530076</v>
      </c>
      <c r="Q286">
        <f t="shared" si="965"/>
        <v>-311017989.99911308</v>
      </c>
      <c r="R286">
        <f t="shared" si="966"/>
        <v>3022484200.4342737</v>
      </c>
      <c r="S286">
        <f t="shared" si="967"/>
        <v>30224.842004342736</v>
      </c>
      <c r="T286">
        <f t="shared" si="968"/>
        <v>30.224842004342737</v>
      </c>
    </row>
    <row r="287" spans="1:20" x14ac:dyDescent="0.25">
      <c r="A287" s="5">
        <v>44306</v>
      </c>
      <c r="B287">
        <v>0.11570999999999999</v>
      </c>
      <c r="C287">
        <v>0.12492</v>
      </c>
      <c r="D287">
        <v>0.10536</v>
      </c>
      <c r="E287">
        <v>0.11962</v>
      </c>
      <c r="F287">
        <v>659234800.29999995</v>
      </c>
      <c r="G287">
        <v>0</v>
      </c>
      <c r="L287" t="s">
        <v>7</v>
      </c>
      <c r="M287" t="s">
        <v>7</v>
      </c>
      <c r="N287" t="s">
        <v>8</v>
      </c>
      <c r="P287">
        <f t="shared" si="964"/>
        <v>0.45807770961145222</v>
      </c>
      <c r="Q287">
        <f t="shared" si="965"/>
        <v>301980767.4175871</v>
      </c>
      <c r="R287">
        <f t="shared" si="966"/>
        <v>3333502190.4333868</v>
      </c>
      <c r="S287">
        <f t="shared" si="967"/>
        <v>33335.021904333866</v>
      </c>
      <c r="T287">
        <f t="shared" si="968"/>
        <v>33.335021904333864</v>
      </c>
    </row>
    <row r="288" spans="1:20" x14ac:dyDescent="0.25">
      <c r="A288" s="5">
        <v>44305</v>
      </c>
      <c r="B288">
        <v>0.12834000000000001</v>
      </c>
      <c r="C288">
        <v>0.13893</v>
      </c>
      <c r="D288">
        <v>0.11162</v>
      </c>
      <c r="E288">
        <v>0.11587</v>
      </c>
      <c r="F288">
        <v>662902215.10000002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-0.68875869644818721</v>
      </c>
      <c r="Q288">
        <f t="shared" si="965"/>
        <v>-456579665.54489183</v>
      </c>
      <c r="R288">
        <f t="shared" si="966"/>
        <v>3031521423.0157995</v>
      </c>
      <c r="S288">
        <f t="shared" si="967"/>
        <v>30315.214230157995</v>
      </c>
      <c r="T288">
        <f t="shared" si="968"/>
        <v>30.315214230157995</v>
      </c>
    </row>
    <row r="289" spans="1:20" x14ac:dyDescent="0.25">
      <c r="A289" s="5">
        <v>44304</v>
      </c>
      <c r="B289">
        <v>0.14327000000000001</v>
      </c>
      <c r="C289">
        <v>0.14499999999999999</v>
      </c>
      <c r="D289">
        <v>0.10100000000000001</v>
      </c>
      <c r="E289">
        <v>0.12834999999999999</v>
      </c>
      <c r="F289">
        <v>872505411.39999998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0.24318181818181797</v>
      </c>
      <c r="Q289">
        <f t="shared" si="965"/>
        <v>212177452.31772709</v>
      </c>
      <c r="R289">
        <f t="shared" si="966"/>
        <v>3488101088.5606914</v>
      </c>
      <c r="S289">
        <f t="shared" si="967"/>
        <v>34881.010885606913</v>
      </c>
      <c r="T289">
        <f t="shared" si="968"/>
        <v>34.881010885606912</v>
      </c>
    </row>
    <row r="290" spans="1:20" x14ac:dyDescent="0.25">
      <c r="A290" s="5">
        <v>44303</v>
      </c>
      <c r="B290">
        <v>0.14108999999999999</v>
      </c>
      <c r="C290">
        <v>0.15522</v>
      </c>
      <c r="D290">
        <v>0.14102000000000001</v>
      </c>
      <c r="E290">
        <v>0.14338000000000001</v>
      </c>
      <c r="F290">
        <v>661154065.79999995</v>
      </c>
      <c r="G290">
        <v>0</v>
      </c>
      <c r="L290" t="s">
        <v>8</v>
      </c>
      <c r="M290" t="s">
        <v>7</v>
      </c>
      <c r="N290" t="s">
        <v>8</v>
      </c>
      <c r="P290">
        <f t="shared" si="964"/>
        <v>-0.66760563380281657</v>
      </c>
      <c r="Q290">
        <f t="shared" si="965"/>
        <v>-441390179.13971806</v>
      </c>
      <c r="R290">
        <f t="shared" si="966"/>
        <v>3275923636.2429643</v>
      </c>
      <c r="S290">
        <f t="shared" si="967"/>
        <v>32759.236362429641</v>
      </c>
      <c r="T290">
        <f t="shared" si="968"/>
        <v>32.75923636242964</v>
      </c>
    </row>
    <row r="291" spans="1:20" x14ac:dyDescent="0.25">
      <c r="A291" s="5">
        <v>44302</v>
      </c>
      <c r="B291">
        <v>0.15379000000000001</v>
      </c>
      <c r="C291">
        <v>0.15451999999999999</v>
      </c>
      <c r="D291">
        <v>0.13600000000000001</v>
      </c>
      <c r="E291">
        <v>0.14116000000000001</v>
      </c>
      <c r="F291">
        <v>768858872.10000002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-0.44276457883369297</v>
      </c>
      <c r="Q291">
        <f t="shared" si="965"/>
        <v>-340423474.68790472</v>
      </c>
      <c r="R291">
        <f t="shared" si="966"/>
        <v>3717313815.3826823</v>
      </c>
      <c r="S291">
        <f t="shared" si="967"/>
        <v>37173.138153826825</v>
      </c>
      <c r="T291">
        <f t="shared" si="968"/>
        <v>37.173138153826827</v>
      </c>
    </row>
    <row r="292" spans="1:20" x14ac:dyDescent="0.25">
      <c r="A292" s="5">
        <v>44301</v>
      </c>
      <c r="B292">
        <v>0.14960999999999999</v>
      </c>
      <c r="C292">
        <v>0.16500000000000001</v>
      </c>
      <c r="D292">
        <v>0.14429</v>
      </c>
      <c r="E292">
        <v>0.15379999999999999</v>
      </c>
      <c r="F292">
        <v>601373184.89999998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-8.1603090294544878E-2</v>
      </c>
      <c r="Q292">
        <f t="shared" si="965"/>
        <v>-49073910.308112733</v>
      </c>
      <c r="R292">
        <f t="shared" si="966"/>
        <v>4057737290.0705872</v>
      </c>
      <c r="S292">
        <f t="shared" si="967"/>
        <v>40577.372900705872</v>
      </c>
      <c r="T292">
        <f t="shared" si="968"/>
        <v>40.577372900705875</v>
      </c>
    </row>
    <row r="293" spans="1:20" x14ac:dyDescent="0.25">
      <c r="A293" s="5">
        <v>44300</v>
      </c>
      <c r="B293">
        <v>0.14726</v>
      </c>
      <c r="C293">
        <v>0.15318000000000001</v>
      </c>
      <c r="D293">
        <v>0.13988999999999999</v>
      </c>
      <c r="E293">
        <v>0.14964</v>
      </c>
      <c r="F293">
        <v>561283602.70000005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0.46726862302482935</v>
      </c>
      <c r="Q293">
        <f t="shared" si="965"/>
        <v>262270216.1600444</v>
      </c>
      <c r="R293">
        <f t="shared" si="966"/>
        <v>4106811200.3786998</v>
      </c>
      <c r="S293">
        <f t="shared" si="967"/>
        <v>41068.112003786999</v>
      </c>
      <c r="T293">
        <f t="shared" si="968"/>
        <v>41.068112003787</v>
      </c>
    </row>
    <row r="294" spans="1:20" x14ac:dyDescent="0.25">
      <c r="A294" s="5">
        <v>44299</v>
      </c>
      <c r="B294">
        <v>0.14935999999999999</v>
      </c>
      <c r="C294">
        <v>0.16438</v>
      </c>
      <c r="D294">
        <v>0.14404</v>
      </c>
      <c r="E294">
        <v>0.14724000000000001</v>
      </c>
      <c r="F294">
        <v>816045949.79999995</v>
      </c>
      <c r="G294">
        <v>0</v>
      </c>
      <c r="L294" t="s">
        <v>8</v>
      </c>
      <c r="M294" t="s">
        <v>7</v>
      </c>
      <c r="N294" t="s">
        <v>8</v>
      </c>
      <c r="P294">
        <f t="shared" si="964"/>
        <v>-0.68534906588003841</v>
      </c>
      <c r="Q294">
        <f t="shared" si="965"/>
        <v>-559276329.41061866</v>
      </c>
      <c r="R294">
        <f t="shared" si="966"/>
        <v>3844540984.2186556</v>
      </c>
      <c r="S294">
        <f t="shared" si="967"/>
        <v>38445.409842186556</v>
      </c>
      <c r="T294">
        <f t="shared" si="968"/>
        <v>38.445409842186557</v>
      </c>
    </row>
    <row r="295" spans="1:20" x14ac:dyDescent="0.25">
      <c r="A295" s="5">
        <v>44298</v>
      </c>
      <c r="B295">
        <v>0.14241000000000001</v>
      </c>
      <c r="C295">
        <v>0.14949999999999999</v>
      </c>
      <c r="D295">
        <v>0.13600000000000001</v>
      </c>
      <c r="E295">
        <v>0.14935999999999999</v>
      </c>
      <c r="F295">
        <v>552059096.5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0.97925925925925905</v>
      </c>
      <c r="Q295">
        <f t="shared" si="965"/>
        <v>540608981.90592587</v>
      </c>
      <c r="R295">
        <f t="shared" si="966"/>
        <v>4403817313.6292744</v>
      </c>
      <c r="S295">
        <f t="shared" si="967"/>
        <v>44038.173136292746</v>
      </c>
      <c r="T295">
        <f t="shared" si="968"/>
        <v>44.038173136292748</v>
      </c>
    </row>
    <row r="296" spans="1:20" x14ac:dyDescent="0.25">
      <c r="A296" s="5">
        <v>44297</v>
      </c>
      <c r="B296">
        <v>0.15049999999999999</v>
      </c>
      <c r="C296">
        <v>0.15570999999999999</v>
      </c>
      <c r="D296">
        <v>0.14227999999999999</v>
      </c>
      <c r="E296">
        <v>0.14247000000000001</v>
      </c>
      <c r="F296">
        <v>386107794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-0.97170513775129952</v>
      </c>
      <c r="Q296">
        <f t="shared" si="965"/>
        <v>-375182927.1556204</v>
      </c>
      <c r="R296">
        <f t="shared" si="966"/>
        <v>3863208331.7233486</v>
      </c>
      <c r="S296">
        <f t="shared" si="967"/>
        <v>38632.08331723349</v>
      </c>
      <c r="T296">
        <f t="shared" si="968"/>
        <v>38.632083317233487</v>
      </c>
    </row>
    <row r="297" spans="1:20" x14ac:dyDescent="0.25">
      <c r="A297" s="5">
        <v>44296</v>
      </c>
      <c r="B297">
        <v>0.15740999999999999</v>
      </c>
      <c r="C297">
        <v>0.16064999999999999</v>
      </c>
      <c r="D297">
        <v>0.14699999999999999</v>
      </c>
      <c r="E297">
        <v>0.15029000000000001</v>
      </c>
      <c r="F297">
        <v>417031423.10000002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-0.51794871794871555</v>
      </c>
      <c r="Q297">
        <f t="shared" si="965"/>
        <v>-216000890.93897337</v>
      </c>
      <c r="R297">
        <f t="shared" si="966"/>
        <v>4238391258.8789692</v>
      </c>
      <c r="S297">
        <f t="shared" si="967"/>
        <v>42383.912588789695</v>
      </c>
      <c r="T297">
        <f t="shared" si="968"/>
        <v>42.383912588789698</v>
      </c>
    </row>
    <row r="298" spans="1:20" x14ac:dyDescent="0.25">
      <c r="A298" s="5">
        <v>44295</v>
      </c>
      <c r="B298">
        <v>0.16086</v>
      </c>
      <c r="C298">
        <v>0.16839999999999999</v>
      </c>
      <c r="D298">
        <v>0.15411</v>
      </c>
      <c r="E298">
        <v>0.15740999999999999</v>
      </c>
      <c r="F298">
        <v>479437283.39999998</v>
      </c>
      <c r="G298">
        <v>0</v>
      </c>
      <c r="L298" t="s">
        <v>7</v>
      </c>
      <c r="M298" t="s">
        <v>8</v>
      </c>
      <c r="N298" t="s">
        <v>8</v>
      </c>
      <c r="P298">
        <f t="shared" si="964"/>
        <v>-0.53813855843247049</v>
      </c>
      <c r="Q298">
        <f t="shared" si="965"/>
        <v>-258003688.54765579</v>
      </c>
      <c r="R298">
        <f t="shared" si="966"/>
        <v>4454392149.8179426</v>
      </c>
      <c r="S298">
        <f t="shared" si="967"/>
        <v>44543.921498179428</v>
      </c>
      <c r="T298">
        <f t="shared" si="968"/>
        <v>44.543921498179429</v>
      </c>
    </row>
    <row r="299" spans="1:20" x14ac:dyDescent="0.25">
      <c r="A299" s="5">
        <v>44294</v>
      </c>
      <c r="B299">
        <v>0.15512000000000001</v>
      </c>
      <c r="C299">
        <v>0.17696999999999999</v>
      </c>
      <c r="D299">
        <v>0.15290999999999999</v>
      </c>
      <c r="E299">
        <v>0.16084999999999999</v>
      </c>
      <c r="F299">
        <v>865447644.79999995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-0.33998337489609282</v>
      </c>
      <c r="Q299">
        <f t="shared" si="965"/>
        <v>-294237811.07497895</v>
      </c>
      <c r="R299">
        <f t="shared" si="966"/>
        <v>4712395838.3655987</v>
      </c>
      <c r="S299">
        <f t="shared" si="967"/>
        <v>47123.958383655983</v>
      </c>
      <c r="T299">
        <f t="shared" si="968"/>
        <v>47.123958383655982</v>
      </c>
    </row>
    <row r="300" spans="1:20" x14ac:dyDescent="0.25">
      <c r="A300" s="5">
        <v>44293</v>
      </c>
      <c r="B300">
        <v>0.14512</v>
      </c>
      <c r="C300">
        <v>0.16936999999999999</v>
      </c>
      <c r="D300">
        <v>0.11849999999999999</v>
      </c>
      <c r="E300">
        <v>0.15476999999999999</v>
      </c>
      <c r="F300">
        <v>1560562692.3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0.42598781206998221</v>
      </c>
      <c r="Q300">
        <f t="shared" si="965"/>
        <v>664780686.8909179</v>
      </c>
      <c r="R300">
        <f t="shared" si="966"/>
        <v>5006633649.4405775</v>
      </c>
      <c r="S300">
        <f t="shared" si="967"/>
        <v>50066.336494405776</v>
      </c>
      <c r="T300">
        <f t="shared" si="968"/>
        <v>50.066336494405775</v>
      </c>
    </row>
    <row r="301" spans="1:20" x14ac:dyDescent="0.25">
      <c r="A301" s="5">
        <v>44292</v>
      </c>
      <c r="B301">
        <v>0.15429999999999999</v>
      </c>
      <c r="C301">
        <v>0.15972</v>
      </c>
      <c r="D301">
        <v>0.13403999999999999</v>
      </c>
      <c r="E301">
        <v>0.14504</v>
      </c>
      <c r="F301">
        <v>647671230.70000005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-0.14330218068535777</v>
      </c>
      <c r="Q301">
        <f t="shared" si="965"/>
        <v>-92812699.726479441</v>
      </c>
      <c r="R301">
        <f t="shared" si="966"/>
        <v>4341852962.5496597</v>
      </c>
      <c r="S301">
        <f t="shared" si="967"/>
        <v>43418.529625496594</v>
      </c>
      <c r="T301">
        <f t="shared" si="968"/>
        <v>43.418529625496596</v>
      </c>
    </row>
    <row r="302" spans="1:20" x14ac:dyDescent="0.25">
      <c r="A302" s="5">
        <v>44291</v>
      </c>
      <c r="B302">
        <v>0.1585</v>
      </c>
      <c r="C302">
        <v>0.16975999999999999</v>
      </c>
      <c r="D302">
        <v>0.15</v>
      </c>
      <c r="E302">
        <v>0.15432999999999999</v>
      </c>
      <c r="F302">
        <v>710158109.39999998</v>
      </c>
      <c r="G302">
        <v>0</v>
      </c>
      <c r="L302" t="s">
        <v>7</v>
      </c>
      <c r="M302" t="s">
        <v>7</v>
      </c>
      <c r="N302" t="s">
        <v>7</v>
      </c>
      <c r="P302">
        <f t="shared" si="964"/>
        <v>-0.56174089068825905</v>
      </c>
      <c r="Q302">
        <f t="shared" si="965"/>
        <v>-398924848.90384609</v>
      </c>
      <c r="R302">
        <f t="shared" si="966"/>
        <v>4434665662.2761393</v>
      </c>
      <c r="S302">
        <f t="shared" si="967"/>
        <v>44346.656622761395</v>
      </c>
      <c r="T302">
        <f t="shared" si="968"/>
        <v>44.346656622761394</v>
      </c>
    </row>
    <row r="303" spans="1:20" x14ac:dyDescent="0.25">
      <c r="A303" s="5">
        <v>44290</v>
      </c>
      <c r="B303">
        <v>0.15162</v>
      </c>
      <c r="C303">
        <v>0.17</v>
      </c>
      <c r="D303">
        <v>0.14888000000000001</v>
      </c>
      <c r="E303">
        <v>0.15867999999999999</v>
      </c>
      <c r="F303">
        <v>632136378.39999998</v>
      </c>
      <c r="G303">
        <v>0</v>
      </c>
      <c r="L303" t="s">
        <v>8</v>
      </c>
      <c r="M303" t="s">
        <v>7</v>
      </c>
      <c r="N303" t="s">
        <v>7</v>
      </c>
      <c r="P303">
        <f t="shared" si="964"/>
        <v>-7.1969696969699293E-2</v>
      </c>
      <c r="Q303">
        <f t="shared" si="965"/>
        <v>-45494663.596971162</v>
      </c>
      <c r="R303">
        <f t="shared" si="966"/>
        <v>4833590511.179985</v>
      </c>
      <c r="S303">
        <f t="shared" si="967"/>
        <v>48335.905111799853</v>
      </c>
      <c r="T303">
        <f t="shared" si="968"/>
        <v>48.335905111799853</v>
      </c>
    </row>
    <row r="304" spans="1:20" x14ac:dyDescent="0.25">
      <c r="A304" s="5">
        <v>44289</v>
      </c>
      <c r="B304">
        <v>0.16905999999999999</v>
      </c>
      <c r="C304">
        <v>0.18060000000000001</v>
      </c>
      <c r="D304">
        <v>0.1452</v>
      </c>
      <c r="E304">
        <v>0.15165999999999999</v>
      </c>
      <c r="F304">
        <v>822935366.5</v>
      </c>
      <c r="G304">
        <v>0</v>
      </c>
      <c r="L304" t="s">
        <v>7</v>
      </c>
      <c r="M304" t="s">
        <v>7</v>
      </c>
      <c r="N304" t="s">
        <v>7</v>
      </c>
      <c r="P304">
        <f t="shared" si="964"/>
        <v>-0.63502824858757112</v>
      </c>
      <c r="Q304">
        <f t="shared" si="965"/>
        <v>-522587204.48926592</v>
      </c>
      <c r="R304">
        <f t="shared" si="966"/>
        <v>4879085174.7769566</v>
      </c>
      <c r="S304">
        <f t="shared" si="967"/>
        <v>48790.851747769564</v>
      </c>
      <c r="T304">
        <f t="shared" si="968"/>
        <v>48.790851747769565</v>
      </c>
    </row>
    <row r="305" spans="1:20" x14ac:dyDescent="0.25">
      <c r="A305" s="5">
        <v>44288</v>
      </c>
      <c r="B305">
        <v>0.17699999999999999</v>
      </c>
      <c r="C305">
        <v>0.17868999999999999</v>
      </c>
      <c r="D305">
        <v>0.16600000000000001</v>
      </c>
      <c r="E305">
        <v>0.16905999999999999</v>
      </c>
      <c r="F305">
        <v>455902255.60000002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-0.51773049645390312</v>
      </c>
      <c r="Q305">
        <f t="shared" si="965"/>
        <v>-236034501.12624225</v>
      </c>
      <c r="R305">
        <f t="shared" si="966"/>
        <v>5401672379.266222</v>
      </c>
      <c r="S305">
        <f t="shared" si="967"/>
        <v>54016.723792662218</v>
      </c>
      <c r="T305">
        <f t="shared" si="968"/>
        <v>54.016723792662219</v>
      </c>
    </row>
    <row r="306" spans="1:20" x14ac:dyDescent="0.25">
      <c r="A306" s="5">
        <v>44287</v>
      </c>
      <c r="B306">
        <v>0.17638999999999999</v>
      </c>
      <c r="C306">
        <v>0.19639999999999999</v>
      </c>
      <c r="D306">
        <v>0.17213000000000001</v>
      </c>
      <c r="E306">
        <v>0.17699000000000001</v>
      </c>
      <c r="F306">
        <v>650824318.60000002</v>
      </c>
      <c r="G306">
        <v>0</v>
      </c>
      <c r="L306" t="s">
        <v>8</v>
      </c>
      <c r="M306" t="s">
        <v>7</v>
      </c>
      <c r="N306" t="s">
        <v>8</v>
      </c>
      <c r="P306">
        <f t="shared" si="964"/>
        <v>-0.59950556242274367</v>
      </c>
      <c r="Q306">
        <f t="shared" si="965"/>
        <v>-390172799.16069192</v>
      </c>
      <c r="R306">
        <f t="shared" si="966"/>
        <v>5637706880.3924646</v>
      </c>
      <c r="S306">
        <f t="shared" si="967"/>
        <v>56377.068803924645</v>
      </c>
      <c r="T306">
        <f t="shared" si="968"/>
        <v>56.377068803924644</v>
      </c>
    </row>
    <row r="307" spans="1:20" x14ac:dyDescent="0.25">
      <c r="A307" s="5">
        <v>44286</v>
      </c>
      <c r="B307">
        <v>0.18989</v>
      </c>
      <c r="C307">
        <v>0.19042000000000001</v>
      </c>
      <c r="D307">
        <v>0.17</v>
      </c>
      <c r="E307">
        <v>0.17621999999999999</v>
      </c>
      <c r="F307">
        <v>584699433.39999998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-0.39079333986288173</v>
      </c>
      <c r="Q307">
        <f t="shared" si="965"/>
        <v>-228496644.39432058</v>
      </c>
      <c r="R307">
        <f t="shared" si="966"/>
        <v>6027879679.5531569</v>
      </c>
      <c r="S307">
        <f t="shared" si="967"/>
        <v>60278.796795531569</v>
      </c>
      <c r="T307">
        <f t="shared" si="968"/>
        <v>60.278796795531569</v>
      </c>
    </row>
    <row r="308" spans="1:20" x14ac:dyDescent="0.25">
      <c r="A308" s="5">
        <v>44285</v>
      </c>
      <c r="B308">
        <v>0.19843</v>
      </c>
      <c r="C308">
        <v>0.20399999999999999</v>
      </c>
      <c r="D308">
        <v>0.185</v>
      </c>
      <c r="E308">
        <v>0.18989</v>
      </c>
      <c r="F308">
        <v>695047300.89999998</v>
      </c>
      <c r="G308">
        <v>0</v>
      </c>
      <c r="L308" t="s">
        <v>7</v>
      </c>
      <c r="M308" t="s">
        <v>7</v>
      </c>
      <c r="N308" t="s">
        <v>8</v>
      </c>
      <c r="P308">
        <f t="shared" si="964"/>
        <v>-0.48526315789473595</v>
      </c>
      <c r="Q308">
        <f t="shared" si="965"/>
        <v>-337280848.12094676</v>
      </c>
      <c r="R308">
        <f t="shared" si="966"/>
        <v>6256376323.9474773</v>
      </c>
      <c r="S308">
        <f t="shared" si="967"/>
        <v>62563.763239474771</v>
      </c>
      <c r="T308">
        <f t="shared" si="968"/>
        <v>62.563763239474774</v>
      </c>
    </row>
    <row r="309" spans="1:20" x14ac:dyDescent="0.25">
      <c r="A309" s="5">
        <v>44284</v>
      </c>
      <c r="B309">
        <v>0.20116000000000001</v>
      </c>
      <c r="C309">
        <v>0.22403000000000001</v>
      </c>
      <c r="D309">
        <v>0.19258</v>
      </c>
      <c r="E309">
        <v>0.19846</v>
      </c>
      <c r="F309">
        <v>1207021157.5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-0.6260731319554852</v>
      </c>
      <c r="Q309">
        <f t="shared" si="965"/>
        <v>-755683516.41255999</v>
      </c>
      <c r="R309">
        <f t="shared" si="966"/>
        <v>6593657172.0684242</v>
      </c>
      <c r="S309">
        <f t="shared" si="967"/>
        <v>65936.571720684238</v>
      </c>
      <c r="T309">
        <f t="shared" si="968"/>
        <v>65.936571720684242</v>
      </c>
    </row>
    <row r="310" spans="1:20" x14ac:dyDescent="0.25">
      <c r="A310" s="5">
        <v>44283</v>
      </c>
      <c r="B310">
        <v>0.16413</v>
      </c>
      <c r="C310">
        <v>0.20930000000000001</v>
      </c>
      <c r="D310">
        <v>0.16</v>
      </c>
      <c r="E310">
        <v>0.20116000000000001</v>
      </c>
      <c r="F310">
        <v>1259205537.0999999</v>
      </c>
      <c r="G310">
        <v>0</v>
      </c>
      <c r="L310" t="s">
        <v>7</v>
      </c>
      <c r="M310" t="s">
        <v>8</v>
      </c>
      <c r="N310" t="s">
        <v>7</v>
      </c>
      <c r="P310">
        <f t="shared" si="964"/>
        <v>0.66977687626774818</v>
      </c>
      <c r="Q310">
        <f t="shared" si="965"/>
        <v>843386751.21789002</v>
      </c>
      <c r="R310">
        <f t="shared" si="966"/>
        <v>7349340688.4809837</v>
      </c>
      <c r="S310">
        <f t="shared" si="967"/>
        <v>73493.40688480984</v>
      </c>
      <c r="T310">
        <f t="shared" si="968"/>
        <v>73.493406884809843</v>
      </c>
    </row>
    <row r="311" spans="1:20" x14ac:dyDescent="0.25">
      <c r="A311" s="5">
        <v>44282</v>
      </c>
      <c r="B311">
        <v>0.18093000000000001</v>
      </c>
      <c r="C311">
        <v>0.189</v>
      </c>
      <c r="D311">
        <v>0.16278000000000001</v>
      </c>
      <c r="E311">
        <v>0.16447999999999999</v>
      </c>
      <c r="F311">
        <v>692706271.5</v>
      </c>
      <c r="G311">
        <v>0</v>
      </c>
      <c r="L311" t="s">
        <v>7</v>
      </c>
      <c r="M311" t="s">
        <v>7</v>
      </c>
      <c r="N311" t="s">
        <v>7</v>
      </c>
      <c r="P311">
        <f t="shared" si="964"/>
        <v>-0.87032799389778948</v>
      </c>
      <c r="Q311">
        <f t="shared" si="965"/>
        <v>-602881659.63501251</v>
      </c>
      <c r="R311">
        <f t="shared" si="966"/>
        <v>6505953937.2630939</v>
      </c>
      <c r="S311">
        <f t="shared" si="967"/>
        <v>65059.539372630941</v>
      </c>
      <c r="T311">
        <f t="shared" si="968"/>
        <v>65.059539372630937</v>
      </c>
    </row>
    <row r="312" spans="1:20" x14ac:dyDescent="0.25">
      <c r="A312" s="5">
        <v>44281</v>
      </c>
      <c r="B312">
        <v>0.17885999999999999</v>
      </c>
      <c r="C312">
        <v>0.19555</v>
      </c>
      <c r="D312">
        <v>0.17499999999999999</v>
      </c>
      <c r="E312">
        <v>0.18096000000000001</v>
      </c>
      <c r="F312">
        <v>858665034.79999995</v>
      </c>
      <c r="G312">
        <v>0</v>
      </c>
      <c r="L312" t="s">
        <v>8</v>
      </c>
      <c r="M312" t="s">
        <v>7</v>
      </c>
      <c r="N312" t="s">
        <v>8</v>
      </c>
      <c r="P312">
        <f t="shared" si="964"/>
        <v>-0.41995133819951169</v>
      </c>
      <c r="Q312">
        <f t="shared" si="965"/>
        <v>-360597530.42939025</v>
      </c>
      <c r="R312">
        <f t="shared" si="966"/>
        <v>7108835596.8981066</v>
      </c>
      <c r="S312">
        <f t="shared" si="967"/>
        <v>71088.355968981065</v>
      </c>
      <c r="T312">
        <f t="shared" si="968"/>
        <v>71.088355968981062</v>
      </c>
    </row>
    <row r="313" spans="1:20" x14ac:dyDescent="0.25">
      <c r="A313" s="5">
        <v>44280</v>
      </c>
      <c r="B313">
        <v>0.19833000000000001</v>
      </c>
      <c r="C313">
        <v>0.20175999999999999</v>
      </c>
      <c r="D313">
        <v>0.16600000000000001</v>
      </c>
      <c r="E313">
        <v>0.17852999999999999</v>
      </c>
      <c r="F313">
        <v>1531375608.5999999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-0.29921700223713699</v>
      </c>
      <c r="Q313">
        <f t="shared" si="965"/>
        <v>-458213618.90436321</v>
      </c>
      <c r="R313">
        <f t="shared" si="966"/>
        <v>7469433127.3274965</v>
      </c>
      <c r="S313">
        <f t="shared" si="967"/>
        <v>74694.331273274962</v>
      </c>
      <c r="T313">
        <f t="shared" si="968"/>
        <v>74.694331273274969</v>
      </c>
    </row>
    <row r="314" spans="1:20" x14ac:dyDescent="0.25">
      <c r="A314" s="5">
        <v>44279</v>
      </c>
      <c r="B314">
        <v>0.15764</v>
      </c>
      <c r="C314">
        <v>0.22</v>
      </c>
      <c r="D314">
        <v>0.15690000000000001</v>
      </c>
      <c r="E314">
        <v>0.19799</v>
      </c>
      <c r="F314">
        <v>2338117611.3000002</v>
      </c>
      <c r="G314">
        <v>0</v>
      </c>
      <c r="L314" t="s">
        <v>8</v>
      </c>
      <c r="M314" t="s">
        <v>8</v>
      </c>
      <c r="N314" t="s">
        <v>8</v>
      </c>
      <c r="P314">
        <f t="shared" si="964"/>
        <v>0.3023771790808239</v>
      </c>
      <c r="Q314">
        <f t="shared" si="965"/>
        <v>706993407.66408837</v>
      </c>
      <c r="R314">
        <f t="shared" si="966"/>
        <v>7927646746.2318602</v>
      </c>
      <c r="S314">
        <f t="shared" si="967"/>
        <v>79276.4674623186</v>
      </c>
      <c r="T314">
        <f t="shared" si="968"/>
        <v>79.276467462318607</v>
      </c>
    </row>
    <row r="315" spans="1:20" x14ac:dyDescent="0.25">
      <c r="A315" s="5">
        <v>44278</v>
      </c>
      <c r="B315">
        <v>0.15512999999999999</v>
      </c>
      <c r="C315">
        <v>0.18733</v>
      </c>
      <c r="D315">
        <v>0.13816999999999999</v>
      </c>
      <c r="E315">
        <v>0.15772</v>
      </c>
      <c r="F315">
        <v>1800060579.8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-0.20463791700569536</v>
      </c>
      <c r="Q315">
        <f t="shared" si="965"/>
        <v>-368360647.53433627</v>
      </c>
      <c r="R315">
        <f t="shared" si="966"/>
        <v>7220653338.5677719</v>
      </c>
      <c r="S315">
        <f t="shared" si="967"/>
        <v>72206.533385677714</v>
      </c>
      <c r="T315">
        <f t="shared" si="968"/>
        <v>72.206533385677716</v>
      </c>
    </row>
    <row r="316" spans="1:20" x14ac:dyDescent="0.25">
      <c r="A316" s="5">
        <v>44277</v>
      </c>
      <c r="B316">
        <v>0.17666000000000001</v>
      </c>
      <c r="C316">
        <v>0.192</v>
      </c>
      <c r="D316">
        <v>0.14799999999999999</v>
      </c>
      <c r="E316">
        <v>0.15511</v>
      </c>
      <c r="F316">
        <v>2556392774.5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-0.67681818181818165</v>
      </c>
      <c r="Q316">
        <f t="shared" si="965"/>
        <v>-1730213109.6502268</v>
      </c>
      <c r="R316">
        <f t="shared" si="966"/>
        <v>7589013986.102108</v>
      </c>
      <c r="S316">
        <f t="shared" si="967"/>
        <v>75890.139861021074</v>
      </c>
      <c r="T316">
        <f t="shared" si="968"/>
        <v>75.890139861021069</v>
      </c>
    </row>
    <row r="317" spans="1:20" x14ac:dyDescent="0.25">
      <c r="A317" s="5">
        <v>44276</v>
      </c>
      <c r="B317">
        <v>0.11328000000000001</v>
      </c>
      <c r="C317">
        <v>0.18165999999999999</v>
      </c>
      <c r="D317">
        <v>0.11081000000000001</v>
      </c>
      <c r="E317">
        <v>0.17651</v>
      </c>
      <c r="F317">
        <v>3468721254.6999998</v>
      </c>
      <c r="G317">
        <v>0</v>
      </c>
      <c r="L317" t="s">
        <v>8</v>
      </c>
      <c r="M317" t="s">
        <v>8</v>
      </c>
      <c r="N317" t="s">
        <v>8</v>
      </c>
      <c r="P317">
        <f t="shared" si="964"/>
        <v>0.85462244177840541</v>
      </c>
      <c r="Q317">
        <f t="shared" si="965"/>
        <v>2964447028.5403681</v>
      </c>
      <c r="R317">
        <f t="shared" si="966"/>
        <v>9319227095.7523346</v>
      </c>
      <c r="S317">
        <f t="shared" si="967"/>
        <v>93192.270957523346</v>
      </c>
      <c r="T317">
        <f t="shared" si="968"/>
        <v>93.192270957523348</v>
      </c>
    </row>
    <row r="318" spans="1:20" x14ac:dyDescent="0.25">
      <c r="A318" s="5">
        <v>44275</v>
      </c>
      <c r="B318">
        <v>0.11644</v>
      </c>
      <c r="C318">
        <v>0.12525</v>
      </c>
      <c r="D318">
        <v>0.1075</v>
      </c>
      <c r="E318">
        <v>0.11328000000000001</v>
      </c>
      <c r="F318">
        <v>1044740179.2</v>
      </c>
      <c r="G318">
        <v>0</v>
      </c>
      <c r="L318" t="s">
        <v>7</v>
      </c>
      <c r="M318" t="s">
        <v>8</v>
      </c>
      <c r="N318" t="s">
        <v>8</v>
      </c>
      <c r="P318">
        <f t="shared" si="964"/>
        <v>-0.34873239436619641</v>
      </c>
      <c r="Q318">
        <f t="shared" si="965"/>
        <v>-364334744.18298513</v>
      </c>
      <c r="R318">
        <f t="shared" si="966"/>
        <v>6354780067.2119675</v>
      </c>
      <c r="S318">
        <f t="shared" si="967"/>
        <v>63547.800672119673</v>
      </c>
      <c r="T318">
        <f t="shared" si="968"/>
        <v>63.547800672119671</v>
      </c>
    </row>
    <row r="319" spans="1:20" x14ac:dyDescent="0.25">
      <c r="A319" s="5">
        <v>44274</v>
      </c>
      <c r="B319">
        <v>9.5170000000000005E-2</v>
      </c>
      <c r="C319">
        <v>0.127</v>
      </c>
      <c r="D319">
        <v>8.9639999999999997E-2</v>
      </c>
      <c r="E319">
        <v>0.11644</v>
      </c>
      <c r="F319">
        <v>2778909039.6999998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0.43468950749464674</v>
      </c>
      <c r="Q319">
        <f t="shared" si="965"/>
        <v>1207962601.8396146</v>
      </c>
      <c r="R319">
        <f t="shared" si="966"/>
        <v>6719114811.3949528</v>
      </c>
      <c r="S319">
        <f t="shared" si="967"/>
        <v>67191.14811394953</v>
      </c>
      <c r="T319">
        <f t="shared" si="968"/>
        <v>67.191148113949524</v>
      </c>
    </row>
    <row r="320" spans="1:20" x14ac:dyDescent="0.25">
      <c r="A320" s="5">
        <v>44273</v>
      </c>
      <c r="B320">
        <v>8.2210000000000005E-2</v>
      </c>
      <c r="C320">
        <v>0.10249999999999999</v>
      </c>
      <c r="D320">
        <v>7.8049999999999994E-2</v>
      </c>
      <c r="E320">
        <v>9.5170000000000005E-2</v>
      </c>
      <c r="F320">
        <v>1535745718.5999999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0.40040899795501111</v>
      </c>
      <c r="Q320">
        <f t="shared" si="965"/>
        <v>614926404.29832447</v>
      </c>
      <c r="R320">
        <f t="shared" si="966"/>
        <v>5511152209.5553379</v>
      </c>
      <c r="S320">
        <f t="shared" si="967"/>
        <v>55111.52209555338</v>
      </c>
      <c r="T320">
        <f t="shared" si="968"/>
        <v>55.111522095553383</v>
      </c>
    </row>
    <row r="321" spans="1:20" x14ac:dyDescent="0.25">
      <c r="A321" s="5">
        <v>44272</v>
      </c>
      <c r="B321">
        <v>8.4110000000000004E-2</v>
      </c>
      <c r="C321">
        <v>8.9190000000000005E-2</v>
      </c>
      <c r="D321">
        <v>7.3709999999999998E-2</v>
      </c>
      <c r="E321">
        <v>8.2210000000000005E-2</v>
      </c>
      <c r="F321">
        <v>1021662300.6</v>
      </c>
      <c r="G321">
        <v>0</v>
      </c>
      <c r="L321" t="s">
        <v>7</v>
      </c>
      <c r="M321" t="s">
        <v>7</v>
      </c>
      <c r="N321" t="s">
        <v>7</v>
      </c>
      <c r="P321">
        <f t="shared" si="964"/>
        <v>9.8191214470284671E-2</v>
      </c>
      <c r="Q321">
        <f t="shared" si="965"/>
        <v>100318262.07441905</v>
      </c>
      <c r="R321">
        <f t="shared" si="966"/>
        <v>4896225805.2570133</v>
      </c>
      <c r="S321">
        <f t="shared" si="967"/>
        <v>48962.258052570134</v>
      </c>
      <c r="T321">
        <f t="shared" si="968"/>
        <v>48.962258052570135</v>
      </c>
    </row>
    <row r="322" spans="1:20" x14ac:dyDescent="0.25">
      <c r="A322" s="5">
        <v>44271</v>
      </c>
      <c r="B322">
        <v>8.6440000000000003E-2</v>
      </c>
      <c r="C322">
        <v>0.10159</v>
      </c>
      <c r="D322">
        <v>7.5859999999999997E-2</v>
      </c>
      <c r="E322">
        <v>8.4250000000000005E-2</v>
      </c>
      <c r="F322">
        <v>1625286987.5999999</v>
      </c>
      <c r="G322">
        <v>0</v>
      </c>
      <c r="L322" t="s">
        <v>7</v>
      </c>
      <c r="M322" t="s">
        <v>7</v>
      </c>
      <c r="N322" t="s">
        <v>7</v>
      </c>
      <c r="P322">
        <f t="shared" si="964"/>
        <v>-0.34784298484259563</v>
      </c>
      <c r="Q322">
        <f t="shared" si="965"/>
        <v>-565344676.99261463</v>
      </c>
      <c r="R322">
        <f t="shared" si="966"/>
        <v>4795907543.1825943</v>
      </c>
      <c r="S322">
        <f t="shared" si="967"/>
        <v>47959.075431825942</v>
      </c>
      <c r="T322">
        <f t="shared" si="968"/>
        <v>47.959075431825944</v>
      </c>
    </row>
    <row r="323" spans="1:20" x14ac:dyDescent="0.25">
      <c r="A323" s="5">
        <v>44270</v>
      </c>
      <c r="B323">
        <v>8.1189999999999998E-2</v>
      </c>
      <c r="C323">
        <v>0.108</v>
      </c>
      <c r="D323">
        <v>7.6079999999999995E-2</v>
      </c>
      <c r="E323">
        <v>8.6419999999999997E-2</v>
      </c>
      <c r="F323">
        <v>4361249636.1999998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-0.35213032581453629</v>
      </c>
      <c r="Q323">
        <f t="shared" si="965"/>
        <v>-1535728255.3536339</v>
      </c>
      <c r="R323">
        <f t="shared" si="966"/>
        <v>5361252220.175209</v>
      </c>
      <c r="S323">
        <f t="shared" si="967"/>
        <v>53612.522201752094</v>
      </c>
      <c r="T323">
        <f t="shared" si="968"/>
        <v>53.612522201752093</v>
      </c>
    </row>
    <row r="324" spans="1:20" x14ac:dyDescent="0.25">
      <c r="A324" s="5">
        <v>44269</v>
      </c>
      <c r="B324">
        <v>5.3120000000000001E-2</v>
      </c>
      <c r="C324">
        <v>8.9789999999999995E-2</v>
      </c>
      <c r="D324">
        <v>5.2510000000000001E-2</v>
      </c>
      <c r="E324">
        <v>8.1199999999999994E-2</v>
      </c>
      <c r="F324">
        <v>2745076718.5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0.5391630901287553</v>
      </c>
      <c r="Q324">
        <f t="shared" si="965"/>
        <v>1480044046.1869633</v>
      </c>
      <c r="R324">
        <f t="shared" si="966"/>
        <v>6896980475.5288429</v>
      </c>
      <c r="S324">
        <f t="shared" si="967"/>
        <v>68969.804755288424</v>
      </c>
      <c r="T324">
        <f t="shared" si="968"/>
        <v>68.969804755288422</v>
      </c>
    </row>
    <row r="325" spans="1:20" x14ac:dyDescent="0.25">
      <c r="A325" s="5">
        <v>44268</v>
      </c>
      <c r="B325">
        <v>5.8639999999999998E-2</v>
      </c>
      <c r="C325">
        <v>6.7699999999999996E-2</v>
      </c>
      <c r="D325">
        <v>5.2150000000000002E-2</v>
      </c>
      <c r="E325">
        <v>5.3120000000000001E-2</v>
      </c>
      <c r="F325">
        <v>2027067176.5999999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-0.87524115755627019</v>
      </c>
      <c r="Q325">
        <f t="shared" si="965"/>
        <v>-1774172622.0917044</v>
      </c>
      <c r="R325">
        <f t="shared" si="966"/>
        <v>5416936429.3418798</v>
      </c>
      <c r="S325">
        <f t="shared" si="967"/>
        <v>54169.364293418796</v>
      </c>
      <c r="T325">
        <f t="shared" si="968"/>
        <v>54.169364293418795</v>
      </c>
    </row>
    <row r="326" spans="1:20" x14ac:dyDescent="0.25">
      <c r="A326" s="5">
        <v>44267</v>
      </c>
      <c r="B326">
        <v>4.2110000000000002E-2</v>
      </c>
      <c r="C326">
        <v>6.3350000000000004E-2</v>
      </c>
      <c r="D326">
        <v>4.1250000000000002E-2</v>
      </c>
      <c r="E326">
        <v>5.8659999999999997E-2</v>
      </c>
      <c r="F326">
        <v>2361599989.6999998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0.57556561085972791</v>
      </c>
      <c r="Q326">
        <f t="shared" ref="Q326:Q389" si="970">F326*P326</f>
        <v>1359255740.6780076</v>
      </c>
      <c r="R326">
        <f t="shared" ref="R326:R389" si="971">R327+Q326</f>
        <v>7191109051.4335842</v>
      </c>
      <c r="S326">
        <f t="shared" ref="S326:S389" si="972">R326/100000</f>
        <v>71911.09051433584</v>
      </c>
      <c r="T326">
        <f t="shared" ref="T326:T389" si="973">S326/1000</f>
        <v>71.911090514335839</v>
      </c>
    </row>
    <row r="327" spans="1:20" x14ac:dyDescent="0.25">
      <c r="A327" s="5">
        <v>44266</v>
      </c>
      <c r="B327">
        <v>4.1309999999999999E-2</v>
      </c>
      <c r="C327">
        <v>4.2479999999999997E-2</v>
      </c>
      <c r="D327">
        <v>3.8199999999999998E-2</v>
      </c>
      <c r="E327">
        <v>4.2110000000000002E-2</v>
      </c>
      <c r="F327">
        <v>423519641.39999998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0.8271028037383199</v>
      </c>
      <c r="Q327">
        <f t="shared" si="970"/>
        <v>350294282.84018779</v>
      </c>
      <c r="R327">
        <f t="shared" si="971"/>
        <v>5831853310.7555761</v>
      </c>
      <c r="S327">
        <f t="shared" si="972"/>
        <v>58318.533107555762</v>
      </c>
      <c r="T327">
        <f t="shared" si="973"/>
        <v>58.318533107555766</v>
      </c>
    </row>
    <row r="328" spans="1:20" x14ac:dyDescent="0.25">
      <c r="A328" s="5">
        <v>44265</v>
      </c>
      <c r="B328">
        <v>4.19E-2</v>
      </c>
      <c r="C328">
        <v>4.6940000000000003E-2</v>
      </c>
      <c r="D328">
        <v>3.9649999999999998E-2</v>
      </c>
      <c r="E328">
        <v>4.1300000000000003E-2</v>
      </c>
      <c r="F328">
        <v>838513052.20000005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-0.54732510288065717</v>
      </c>
      <c r="Q328">
        <f t="shared" si="970"/>
        <v>-458939242.56213886</v>
      </c>
      <c r="R328">
        <f t="shared" si="971"/>
        <v>5481559027.9153881</v>
      </c>
      <c r="S328">
        <f t="shared" si="972"/>
        <v>54815.590279153883</v>
      </c>
      <c r="T328">
        <f t="shared" si="973"/>
        <v>54.815590279153881</v>
      </c>
    </row>
    <row r="329" spans="1:20" x14ac:dyDescent="0.25">
      <c r="A329" s="5">
        <v>44264</v>
      </c>
      <c r="B329">
        <v>3.619E-2</v>
      </c>
      <c r="C329">
        <v>4.249E-2</v>
      </c>
      <c r="D329">
        <v>3.5549999999999998E-2</v>
      </c>
      <c r="E329">
        <v>4.1910000000000003E-2</v>
      </c>
      <c r="F329">
        <v>572349646.29999995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0.83285302593660027</v>
      </c>
      <c r="Q329">
        <f t="shared" si="970"/>
        <v>476683134.81469786</v>
      </c>
      <c r="R329">
        <f t="shared" si="971"/>
        <v>5940498270.4775267</v>
      </c>
      <c r="S329">
        <f t="shared" si="972"/>
        <v>59404.98270477527</v>
      </c>
      <c r="T329">
        <f t="shared" si="973"/>
        <v>59.404982704775271</v>
      </c>
    </row>
    <row r="330" spans="1:20" x14ac:dyDescent="0.25">
      <c r="A330" s="5">
        <v>44263</v>
      </c>
      <c r="B330">
        <v>3.7060000000000003E-2</v>
      </c>
      <c r="C330">
        <v>3.85E-2</v>
      </c>
      <c r="D330">
        <v>3.4349999999999999E-2</v>
      </c>
      <c r="E330">
        <v>3.6229999999999998E-2</v>
      </c>
      <c r="F330">
        <v>465483232.39999998</v>
      </c>
      <c r="G330">
        <v>0</v>
      </c>
      <c r="L330" t="s">
        <v>7</v>
      </c>
      <c r="M330" t="s">
        <v>7</v>
      </c>
      <c r="N330" t="s">
        <v>8</v>
      </c>
      <c r="P330">
        <f t="shared" si="969"/>
        <v>-9.3975903614458164E-2</v>
      </c>
      <c r="Q330">
        <f t="shared" si="970"/>
        <v>-43744207.382168829</v>
      </c>
      <c r="R330">
        <f t="shared" si="971"/>
        <v>5463815135.6628284</v>
      </c>
      <c r="S330">
        <f t="shared" si="972"/>
        <v>54638.151356628281</v>
      </c>
      <c r="T330">
        <f t="shared" si="973"/>
        <v>54.638151356628278</v>
      </c>
    </row>
    <row r="331" spans="1:20" x14ac:dyDescent="0.25">
      <c r="A331" s="5">
        <v>44262</v>
      </c>
      <c r="B331">
        <v>3.7650000000000003E-2</v>
      </c>
      <c r="C331">
        <v>3.8859999999999999E-2</v>
      </c>
      <c r="D331">
        <v>3.551E-2</v>
      </c>
      <c r="E331">
        <v>3.705E-2</v>
      </c>
      <c r="F331">
        <v>495611515.10000002</v>
      </c>
      <c r="G331">
        <v>0</v>
      </c>
      <c r="L331" t="s">
        <v>7</v>
      </c>
      <c r="M331" t="s">
        <v>7</v>
      </c>
      <c r="N331" t="s">
        <v>8</v>
      </c>
      <c r="P331">
        <f t="shared" si="969"/>
        <v>-8.0597014925372981E-2</v>
      </c>
      <c r="Q331">
        <f t="shared" si="970"/>
        <v>-39944808.679701418</v>
      </c>
      <c r="R331">
        <f t="shared" si="971"/>
        <v>5507559343.0449972</v>
      </c>
      <c r="S331">
        <f t="shared" si="972"/>
        <v>55075.593430449975</v>
      </c>
      <c r="T331">
        <f t="shared" si="973"/>
        <v>55.075593430449977</v>
      </c>
    </row>
    <row r="332" spans="1:20" x14ac:dyDescent="0.25">
      <c r="A332" s="5">
        <v>44261</v>
      </c>
      <c r="B332">
        <v>3.619E-2</v>
      </c>
      <c r="C332">
        <v>4.3470000000000002E-2</v>
      </c>
      <c r="D332">
        <v>3.5270000000000003E-2</v>
      </c>
      <c r="E332">
        <v>3.7659999999999999E-2</v>
      </c>
      <c r="F332">
        <v>1275291140.5999999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-0.41707317073170813</v>
      </c>
      <c r="Q332">
        <f t="shared" si="970"/>
        <v>-531889719.61609858</v>
      </c>
      <c r="R332">
        <f t="shared" si="971"/>
        <v>5547504151.724699</v>
      </c>
      <c r="S332">
        <f t="shared" si="972"/>
        <v>55475.041517246987</v>
      </c>
      <c r="T332">
        <f t="shared" si="973"/>
        <v>55.475041517246986</v>
      </c>
    </row>
    <row r="333" spans="1:20" x14ac:dyDescent="0.25">
      <c r="A333" s="5">
        <v>44260</v>
      </c>
      <c r="B333">
        <v>3.2570000000000002E-2</v>
      </c>
      <c r="C333">
        <v>3.7499999999999999E-2</v>
      </c>
      <c r="D333">
        <v>2.9499999999999998E-2</v>
      </c>
      <c r="E333">
        <v>3.619E-2</v>
      </c>
      <c r="F333">
        <v>868674818.79999995</v>
      </c>
      <c r="G333">
        <v>0</v>
      </c>
      <c r="L333" t="s">
        <v>8</v>
      </c>
      <c r="M333" t="s">
        <v>8</v>
      </c>
      <c r="N333" t="s">
        <v>8</v>
      </c>
      <c r="P333">
        <f t="shared" si="969"/>
        <v>0.67250000000000032</v>
      </c>
      <c r="Q333">
        <f t="shared" si="970"/>
        <v>584183815.64300025</v>
      </c>
      <c r="R333">
        <f t="shared" si="971"/>
        <v>6079393871.3407974</v>
      </c>
      <c r="S333">
        <f t="shared" si="972"/>
        <v>60793.938713407973</v>
      </c>
      <c r="T333">
        <f t="shared" si="973"/>
        <v>60.793938713407975</v>
      </c>
    </row>
    <row r="334" spans="1:20" x14ac:dyDescent="0.25">
      <c r="A334" s="5">
        <v>44259</v>
      </c>
      <c r="B334">
        <v>2.9989999999999999E-2</v>
      </c>
      <c r="C334">
        <v>3.3320000000000002E-2</v>
      </c>
      <c r="D334">
        <v>2.844E-2</v>
      </c>
      <c r="E334">
        <v>3.2570000000000002E-2</v>
      </c>
      <c r="F334">
        <v>377456781.10000002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0.69262295081967196</v>
      </c>
      <c r="Q334">
        <f t="shared" si="970"/>
        <v>261435229.532377</v>
      </c>
      <c r="R334">
        <f t="shared" si="971"/>
        <v>5495210055.6977968</v>
      </c>
      <c r="S334">
        <f t="shared" si="972"/>
        <v>54952.100556977966</v>
      </c>
      <c r="T334">
        <f t="shared" si="973"/>
        <v>54.952100556977967</v>
      </c>
    </row>
    <row r="335" spans="1:20" x14ac:dyDescent="0.25">
      <c r="A335" s="5">
        <v>44258</v>
      </c>
      <c r="B335">
        <v>2.887E-2</v>
      </c>
      <c r="C335">
        <v>3.1480000000000001E-2</v>
      </c>
      <c r="D335">
        <v>2.8459999999999999E-2</v>
      </c>
      <c r="E335">
        <v>2.998E-2</v>
      </c>
      <c r="F335">
        <v>334656127</v>
      </c>
      <c r="G335">
        <v>0</v>
      </c>
      <c r="L335" t="s">
        <v>7</v>
      </c>
      <c r="M335" t="s">
        <v>8</v>
      </c>
      <c r="N335" t="s">
        <v>8</v>
      </c>
      <c r="P335">
        <f t="shared" si="969"/>
        <v>6.6225165562911166E-3</v>
      </c>
      <c r="Q335">
        <f t="shared" si="970"/>
        <v>2216265.7417217628</v>
      </c>
      <c r="R335">
        <f t="shared" si="971"/>
        <v>5233774826.1654196</v>
      </c>
      <c r="S335">
        <f t="shared" si="972"/>
        <v>52337.748261654197</v>
      </c>
      <c r="T335">
        <f t="shared" si="973"/>
        <v>52.337748261654198</v>
      </c>
    </row>
    <row r="336" spans="1:20" x14ac:dyDescent="0.25">
      <c r="A336" s="5">
        <v>44257</v>
      </c>
      <c r="B336">
        <v>2.912E-2</v>
      </c>
      <c r="C336">
        <v>3.1940000000000003E-2</v>
      </c>
      <c r="D336">
        <v>2.716E-2</v>
      </c>
      <c r="E336">
        <v>2.8819999999999998E-2</v>
      </c>
      <c r="F336">
        <v>375052013.30000001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-0.30543933054393418</v>
      </c>
      <c r="Q336">
        <f t="shared" si="970"/>
        <v>-114555635.8615067</v>
      </c>
      <c r="R336">
        <f t="shared" si="971"/>
        <v>5231558560.4236975</v>
      </c>
      <c r="S336">
        <f t="shared" si="972"/>
        <v>52315.585604236978</v>
      </c>
      <c r="T336">
        <f t="shared" si="973"/>
        <v>52.315585604236979</v>
      </c>
    </row>
    <row r="337" spans="1:20" x14ac:dyDescent="0.25">
      <c r="A337" s="5">
        <v>44256</v>
      </c>
      <c r="B337">
        <v>2.4230000000000002E-2</v>
      </c>
      <c r="C337">
        <v>3.0499999999999999E-2</v>
      </c>
      <c r="D337">
        <v>2.409E-2</v>
      </c>
      <c r="E337">
        <v>2.913E-2</v>
      </c>
      <c r="F337">
        <v>510021854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0.5725429017160687</v>
      </c>
      <c r="Q337">
        <f t="shared" si="970"/>
        <v>292009392.22776914</v>
      </c>
      <c r="R337">
        <f t="shared" si="971"/>
        <v>5346114196.2852039</v>
      </c>
      <c r="S337">
        <f t="shared" si="972"/>
        <v>53461.141962852038</v>
      </c>
      <c r="T337">
        <f t="shared" si="973"/>
        <v>53.461141962852039</v>
      </c>
    </row>
    <row r="338" spans="1:20" x14ac:dyDescent="0.25">
      <c r="A338" s="5">
        <v>44255</v>
      </c>
      <c r="B338">
        <v>2.572E-2</v>
      </c>
      <c r="C338">
        <v>2.5999999999999999E-2</v>
      </c>
      <c r="D338">
        <v>2.1510000000000001E-2</v>
      </c>
      <c r="E338">
        <v>2.4140000000000002E-2</v>
      </c>
      <c r="F338">
        <v>460129302.89999998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0.17149220489977812</v>
      </c>
      <c r="Q338">
        <f t="shared" si="970"/>
        <v>78908588.693318874</v>
      </c>
      <c r="R338">
        <f t="shared" si="971"/>
        <v>5054104804.057435</v>
      </c>
      <c r="S338">
        <f t="shared" si="972"/>
        <v>50541.048040574351</v>
      </c>
      <c r="T338">
        <f t="shared" si="973"/>
        <v>50.541048040574353</v>
      </c>
    </row>
    <row r="339" spans="1:20" x14ac:dyDescent="0.25">
      <c r="A339" s="5">
        <v>44254</v>
      </c>
      <c r="B339">
        <v>2.861E-2</v>
      </c>
      <c r="C339">
        <v>2.9190000000000001E-2</v>
      </c>
      <c r="D339">
        <v>2.461E-2</v>
      </c>
      <c r="E339">
        <v>2.5739999999999999E-2</v>
      </c>
      <c r="F339">
        <v>403444993.60000002</v>
      </c>
      <c r="G339">
        <v>0</v>
      </c>
      <c r="L339" t="s">
        <v>7</v>
      </c>
      <c r="M339" t="s">
        <v>7</v>
      </c>
      <c r="N339" t="s">
        <v>8</v>
      </c>
      <c r="P339">
        <f t="shared" si="969"/>
        <v>-0.50655021834061187</v>
      </c>
      <c r="Q339">
        <f t="shared" si="970"/>
        <v>-204365149.59650677</v>
      </c>
      <c r="R339">
        <f t="shared" si="971"/>
        <v>4975196215.3641157</v>
      </c>
      <c r="S339">
        <f t="shared" si="972"/>
        <v>49751.962153641158</v>
      </c>
      <c r="T339">
        <f t="shared" si="973"/>
        <v>49.751962153641159</v>
      </c>
    </row>
    <row r="340" spans="1:20" x14ac:dyDescent="0.25">
      <c r="A340" s="5">
        <v>44253</v>
      </c>
      <c r="B340">
        <v>2.4170000000000001E-2</v>
      </c>
      <c r="C340">
        <v>3.0349999999999999E-2</v>
      </c>
      <c r="D340">
        <v>2.2700000000000001E-2</v>
      </c>
      <c r="E340">
        <v>2.8590000000000001E-2</v>
      </c>
      <c r="F340">
        <v>1046055063.5</v>
      </c>
      <c r="G340">
        <v>0</v>
      </c>
      <c r="L340" t="s">
        <v>8</v>
      </c>
      <c r="M340" t="s">
        <v>8</v>
      </c>
      <c r="N340" t="s">
        <v>8</v>
      </c>
      <c r="P340">
        <f t="shared" si="969"/>
        <v>0.53986928104575205</v>
      </c>
      <c r="Q340">
        <f t="shared" si="970"/>
        <v>564732995.06601346</v>
      </c>
      <c r="R340">
        <f t="shared" si="971"/>
        <v>5179561364.9606228</v>
      </c>
      <c r="S340">
        <f t="shared" si="972"/>
        <v>51795.613649606224</v>
      </c>
      <c r="T340">
        <f t="shared" si="973"/>
        <v>51.795613649606224</v>
      </c>
    </row>
    <row r="341" spans="1:20" x14ac:dyDescent="0.25">
      <c r="A341" s="5">
        <v>44252</v>
      </c>
      <c r="B341">
        <v>2.2970000000000001E-2</v>
      </c>
      <c r="C341">
        <v>2.9479999999999999E-2</v>
      </c>
      <c r="D341">
        <v>2.1659999999999999E-2</v>
      </c>
      <c r="E341">
        <v>2.4160000000000001E-2</v>
      </c>
      <c r="F341">
        <v>574077243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-0.36061381074168747</v>
      </c>
      <c r="Q341">
        <f t="shared" si="970"/>
        <v>-207020182.25831172</v>
      </c>
      <c r="R341">
        <f t="shared" si="971"/>
        <v>4614828369.8946095</v>
      </c>
      <c r="S341">
        <f t="shared" si="972"/>
        <v>46148.283698946092</v>
      </c>
      <c r="T341">
        <f t="shared" si="973"/>
        <v>46.148283698946095</v>
      </c>
    </row>
    <row r="342" spans="1:20" x14ac:dyDescent="0.25">
      <c r="A342" s="5">
        <v>44251</v>
      </c>
      <c r="B342">
        <v>2.051E-2</v>
      </c>
      <c r="C342">
        <v>2.462E-2</v>
      </c>
      <c r="D342">
        <v>1.9279999999999999E-2</v>
      </c>
      <c r="E342">
        <v>2.2960000000000001E-2</v>
      </c>
      <c r="F342">
        <v>397232479.89999998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0.37827715355805319</v>
      </c>
      <c r="Q342">
        <f t="shared" si="970"/>
        <v>150263971.79737857</v>
      </c>
      <c r="R342">
        <f t="shared" si="971"/>
        <v>4821848552.1529207</v>
      </c>
      <c r="S342">
        <f t="shared" si="972"/>
        <v>48218.485521529205</v>
      </c>
      <c r="T342">
        <f t="shared" si="973"/>
        <v>48.218485521529203</v>
      </c>
    </row>
    <row r="343" spans="1:20" x14ac:dyDescent="0.25">
      <c r="A343" s="5">
        <v>44250</v>
      </c>
      <c r="B343">
        <v>2.5989999999999999E-2</v>
      </c>
      <c r="C343">
        <v>2.5999999999999999E-2</v>
      </c>
      <c r="D343">
        <v>1.7000000000000001E-2</v>
      </c>
      <c r="E343">
        <v>2.051E-2</v>
      </c>
      <c r="F343">
        <v>741591066.39999998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-0.21999999999999997</v>
      </c>
      <c r="Q343">
        <f t="shared" si="970"/>
        <v>-163150034.60799998</v>
      </c>
      <c r="R343">
        <f t="shared" si="971"/>
        <v>4671584580.3555422</v>
      </c>
      <c r="S343">
        <f t="shared" si="972"/>
        <v>46715.845803555421</v>
      </c>
      <c r="T343">
        <f t="shared" si="973"/>
        <v>46.715845803555425</v>
      </c>
    </row>
    <row r="344" spans="1:20" x14ac:dyDescent="0.25">
      <c r="A344" s="5">
        <v>44249</v>
      </c>
      <c r="B344">
        <v>2.937E-2</v>
      </c>
      <c r="C344">
        <v>2.9989999999999999E-2</v>
      </c>
      <c r="D344">
        <v>2.1600000000000001E-2</v>
      </c>
      <c r="E344">
        <v>2.5999999999999999E-2</v>
      </c>
      <c r="F344">
        <v>610081033.5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4.8867699642431137E-2</v>
      </c>
      <c r="Q344">
        <f t="shared" si="970"/>
        <v>29813256.702621967</v>
      </c>
      <c r="R344">
        <f t="shared" si="971"/>
        <v>4834734614.963542</v>
      </c>
      <c r="S344">
        <f t="shared" si="972"/>
        <v>48347.346149635421</v>
      </c>
      <c r="T344">
        <f t="shared" si="973"/>
        <v>48.34734614963542</v>
      </c>
    </row>
    <row r="345" spans="1:20" x14ac:dyDescent="0.25">
      <c r="A345" s="5">
        <v>44248</v>
      </c>
      <c r="B345">
        <v>2.9739999999999999E-2</v>
      </c>
      <c r="C345">
        <v>3.1539999999999999E-2</v>
      </c>
      <c r="D345">
        <v>2.8660000000000001E-2</v>
      </c>
      <c r="E345">
        <v>2.938E-2</v>
      </c>
      <c r="F345">
        <v>429824300</v>
      </c>
      <c r="G345">
        <v>0</v>
      </c>
      <c r="L345" t="s">
        <v>7</v>
      </c>
      <c r="M345" t="s">
        <v>7</v>
      </c>
      <c r="N345" t="s">
        <v>7</v>
      </c>
      <c r="P345">
        <f t="shared" si="969"/>
        <v>-0.50000000000000056</v>
      </c>
      <c r="Q345">
        <f t="shared" si="970"/>
        <v>-214912150.00000024</v>
      </c>
      <c r="R345">
        <f t="shared" si="971"/>
        <v>4804921358.2609196</v>
      </c>
      <c r="S345">
        <f t="shared" si="972"/>
        <v>48049.213582609198</v>
      </c>
      <c r="T345">
        <f t="shared" si="973"/>
        <v>48.049213582609198</v>
      </c>
    </row>
    <row r="346" spans="1:20" x14ac:dyDescent="0.25">
      <c r="A346" s="5">
        <v>44247</v>
      </c>
      <c r="B346">
        <v>3.2689999999999997E-2</v>
      </c>
      <c r="C346">
        <v>3.5000000000000003E-2</v>
      </c>
      <c r="D346">
        <v>2.8000000000000001E-2</v>
      </c>
      <c r="E346">
        <v>2.9700000000000001E-2</v>
      </c>
      <c r="F346">
        <v>612431389.60000002</v>
      </c>
      <c r="G346">
        <v>0</v>
      </c>
      <c r="L346" t="s">
        <v>8</v>
      </c>
      <c r="M346" t="s">
        <v>8</v>
      </c>
      <c r="N346" t="s">
        <v>7</v>
      </c>
      <c r="P346">
        <f t="shared" si="969"/>
        <v>-0.51428571428571446</v>
      </c>
      <c r="Q346">
        <f t="shared" si="970"/>
        <v>-314964714.6514287</v>
      </c>
      <c r="R346">
        <f t="shared" si="971"/>
        <v>5019833508.2609196</v>
      </c>
      <c r="S346">
        <f t="shared" si="972"/>
        <v>50198.335082609199</v>
      </c>
      <c r="T346">
        <f t="shared" si="973"/>
        <v>50.198335082609198</v>
      </c>
    </row>
    <row r="347" spans="1:20" x14ac:dyDescent="0.25">
      <c r="A347" s="5">
        <v>44246</v>
      </c>
      <c r="B347">
        <v>2.8039999999999999E-2</v>
      </c>
      <c r="C347">
        <v>3.3799999999999997E-2</v>
      </c>
      <c r="D347">
        <v>2.785E-2</v>
      </c>
      <c r="E347">
        <v>3.27E-2</v>
      </c>
      <c r="F347">
        <v>688403241.89999998</v>
      </c>
      <c r="G347">
        <v>0</v>
      </c>
      <c r="L347" t="s">
        <v>8</v>
      </c>
      <c r="M347" t="s">
        <v>8</v>
      </c>
      <c r="N347" t="s">
        <v>7</v>
      </c>
      <c r="P347">
        <f t="shared" si="969"/>
        <v>0.630252100840337</v>
      </c>
      <c r="Q347">
        <f t="shared" si="970"/>
        <v>433867589.43277371</v>
      </c>
      <c r="R347">
        <f t="shared" si="971"/>
        <v>5334798222.9123487</v>
      </c>
      <c r="S347">
        <f t="shared" si="972"/>
        <v>53347.982229123489</v>
      </c>
      <c r="T347">
        <f t="shared" si="973"/>
        <v>53.347982229123488</v>
      </c>
    </row>
    <row r="348" spans="1:20" x14ac:dyDescent="0.25">
      <c r="A348" s="5">
        <v>44245</v>
      </c>
      <c r="B348">
        <v>2.6960000000000001E-2</v>
      </c>
      <c r="C348">
        <v>2.9590000000000002E-2</v>
      </c>
      <c r="D348">
        <v>2.581E-2</v>
      </c>
      <c r="E348">
        <v>2.7980000000000001E-2</v>
      </c>
      <c r="F348">
        <v>537180946.60000002</v>
      </c>
      <c r="G348">
        <v>0</v>
      </c>
      <c r="L348" t="s">
        <v>8</v>
      </c>
      <c r="M348" t="s">
        <v>7</v>
      </c>
      <c r="N348" t="s">
        <v>7</v>
      </c>
      <c r="P348">
        <f t="shared" si="969"/>
        <v>0.14814814814814845</v>
      </c>
      <c r="Q348">
        <f t="shared" si="970"/>
        <v>79582362.459259421</v>
      </c>
      <c r="R348">
        <f t="shared" si="971"/>
        <v>4900930633.4795752</v>
      </c>
      <c r="S348">
        <f t="shared" si="972"/>
        <v>49009.30633479575</v>
      </c>
      <c r="T348">
        <f t="shared" si="973"/>
        <v>49.009306334795752</v>
      </c>
    </row>
    <row r="349" spans="1:20" x14ac:dyDescent="0.25">
      <c r="A349" s="5">
        <v>44244</v>
      </c>
      <c r="B349">
        <v>2.8369999999999999E-2</v>
      </c>
      <c r="C349">
        <v>2.998E-2</v>
      </c>
      <c r="D349">
        <v>2.5100000000000001E-2</v>
      </c>
      <c r="E349">
        <v>2.7029999999999998E-2</v>
      </c>
      <c r="F349">
        <v>764574013.29999995</v>
      </c>
      <c r="G349">
        <v>0</v>
      </c>
      <c r="L349" t="s">
        <v>7</v>
      </c>
      <c r="M349" t="s">
        <v>7</v>
      </c>
      <c r="N349" t="s">
        <v>7</v>
      </c>
      <c r="P349">
        <f t="shared" si="969"/>
        <v>-0.20901639344262371</v>
      </c>
      <c r="Q349">
        <f t="shared" si="970"/>
        <v>-159808502.77991861</v>
      </c>
      <c r="R349">
        <f t="shared" si="971"/>
        <v>4821348271.0203161</v>
      </c>
      <c r="S349">
        <f t="shared" si="972"/>
        <v>48213.482710203163</v>
      </c>
      <c r="T349">
        <f t="shared" si="973"/>
        <v>48.213482710203166</v>
      </c>
    </row>
    <row r="350" spans="1:20" x14ac:dyDescent="0.25">
      <c r="A350" s="5">
        <v>44243</v>
      </c>
      <c r="B350">
        <v>3.057E-2</v>
      </c>
      <c r="C350">
        <v>3.3369999999999997E-2</v>
      </c>
      <c r="D350">
        <v>2.681E-2</v>
      </c>
      <c r="E350">
        <v>2.835E-2</v>
      </c>
      <c r="F350">
        <v>522054226.60000002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-0.53048780487804859</v>
      </c>
      <c r="Q350">
        <f t="shared" si="970"/>
        <v>-276943400.6963414</v>
      </c>
      <c r="R350">
        <f t="shared" si="971"/>
        <v>4981156773.8002348</v>
      </c>
      <c r="S350">
        <f t="shared" si="972"/>
        <v>49811.567738002348</v>
      </c>
      <c r="T350">
        <f t="shared" si="973"/>
        <v>49.811567738002346</v>
      </c>
    </row>
    <row r="351" spans="1:20" x14ac:dyDescent="0.25">
      <c r="A351" s="5">
        <v>44242</v>
      </c>
      <c r="B351">
        <v>3.508E-2</v>
      </c>
      <c r="C351">
        <v>3.5499999999999997E-2</v>
      </c>
      <c r="D351">
        <v>2.7029999999999998E-2</v>
      </c>
      <c r="E351">
        <v>3.057E-2</v>
      </c>
      <c r="F351">
        <v>944086733.10000002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-0.1641086186540727</v>
      </c>
      <c r="Q351">
        <f t="shared" si="970"/>
        <v>-154932769.65867722</v>
      </c>
      <c r="R351">
        <f t="shared" si="971"/>
        <v>5258100174.4965763</v>
      </c>
      <c r="S351">
        <f t="shared" si="972"/>
        <v>52581.001744965761</v>
      </c>
      <c r="T351">
        <f t="shared" si="973"/>
        <v>52.581001744965761</v>
      </c>
    </row>
    <row r="352" spans="1:20" x14ac:dyDescent="0.25">
      <c r="A352" s="5">
        <v>44241</v>
      </c>
      <c r="B352">
        <v>2.8639999999999999E-2</v>
      </c>
      <c r="C352">
        <v>3.866E-2</v>
      </c>
      <c r="D352">
        <v>2.8510000000000001E-2</v>
      </c>
      <c r="E352">
        <v>3.5060000000000001E-2</v>
      </c>
      <c r="F352">
        <v>2223848331.4000001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0.2906403940886701</v>
      </c>
      <c r="Q352">
        <f t="shared" si="970"/>
        <v>646340155.4315275</v>
      </c>
      <c r="R352">
        <f t="shared" si="971"/>
        <v>5413032944.1552534</v>
      </c>
      <c r="S352">
        <f t="shared" si="972"/>
        <v>54130.329441552531</v>
      </c>
      <c r="T352">
        <f t="shared" si="973"/>
        <v>54.130329441552533</v>
      </c>
    </row>
    <row r="353" spans="1:20" x14ac:dyDescent="0.25">
      <c r="A353" s="5">
        <v>44240</v>
      </c>
      <c r="B353">
        <v>2.188E-2</v>
      </c>
      <c r="C353">
        <v>3.1449999999999999E-2</v>
      </c>
      <c r="D353">
        <v>2.1499999999999998E-2</v>
      </c>
      <c r="E353">
        <v>2.861E-2</v>
      </c>
      <c r="F353">
        <v>1893678710.3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0.42914572864321637</v>
      </c>
      <c r="Q353">
        <f t="shared" si="970"/>
        <v>812664129.94783974</v>
      </c>
      <c r="R353">
        <f t="shared" si="971"/>
        <v>4766692788.7237263</v>
      </c>
      <c r="S353">
        <f t="shared" si="972"/>
        <v>47666.92788723726</v>
      </c>
      <c r="T353">
        <f t="shared" si="973"/>
        <v>47.666927887237257</v>
      </c>
    </row>
    <row r="354" spans="1:20" x14ac:dyDescent="0.25">
      <c r="A354" s="5">
        <v>44239</v>
      </c>
      <c r="B354">
        <v>1.8440000000000002E-2</v>
      </c>
      <c r="C354">
        <v>2.3439999999999999E-2</v>
      </c>
      <c r="D354">
        <v>1.7500000000000002E-2</v>
      </c>
      <c r="E354">
        <v>2.1850000000000001E-2</v>
      </c>
      <c r="F354">
        <v>804357486.70000005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0.4646464646464652</v>
      </c>
      <c r="Q354">
        <f t="shared" si="970"/>
        <v>373741862.5070712</v>
      </c>
      <c r="R354">
        <f t="shared" si="971"/>
        <v>3954028658.7758865</v>
      </c>
      <c r="S354">
        <f t="shared" si="972"/>
        <v>39540.286587758863</v>
      </c>
      <c r="T354">
        <f t="shared" si="973"/>
        <v>39.540286587758864</v>
      </c>
    </row>
    <row r="355" spans="1:20" x14ac:dyDescent="0.25">
      <c r="A355" s="5">
        <v>44238</v>
      </c>
      <c r="B355">
        <v>1.8720000000000001E-2</v>
      </c>
      <c r="C355">
        <v>2.1000000000000001E-2</v>
      </c>
      <c r="D355">
        <v>1.738E-2</v>
      </c>
      <c r="E355">
        <v>1.8440000000000002E-2</v>
      </c>
      <c r="F355">
        <v>605867387.39999998</v>
      </c>
      <c r="G355">
        <v>0</v>
      </c>
      <c r="L355" t="s">
        <v>8</v>
      </c>
      <c r="M355" t="s">
        <v>8</v>
      </c>
      <c r="N355" t="s">
        <v>7</v>
      </c>
      <c r="P355">
        <f t="shared" si="969"/>
        <v>-0.41436464088397712</v>
      </c>
      <c r="Q355">
        <f t="shared" si="970"/>
        <v>-251050022.40331444</v>
      </c>
      <c r="R355">
        <f t="shared" si="971"/>
        <v>3580286796.2688155</v>
      </c>
      <c r="S355">
        <f t="shared" si="972"/>
        <v>35802.867962688157</v>
      </c>
      <c r="T355">
        <f t="shared" si="973"/>
        <v>35.802867962688154</v>
      </c>
    </row>
    <row r="356" spans="1:20" x14ac:dyDescent="0.25">
      <c r="A356" s="5">
        <v>44237</v>
      </c>
      <c r="B356">
        <v>2.0799999999999999E-2</v>
      </c>
      <c r="C356">
        <v>2.1989999999999999E-2</v>
      </c>
      <c r="D356">
        <v>1.651E-2</v>
      </c>
      <c r="E356">
        <v>1.8749999999999999E-2</v>
      </c>
      <c r="F356">
        <v>872834303</v>
      </c>
      <c r="G356">
        <v>0</v>
      </c>
      <c r="L356" t="s">
        <v>7</v>
      </c>
      <c r="M356" t="s">
        <v>7</v>
      </c>
      <c r="N356" t="s">
        <v>7</v>
      </c>
      <c r="P356">
        <f t="shared" si="969"/>
        <v>-0.18248175182481771</v>
      </c>
      <c r="Q356">
        <f t="shared" si="970"/>
        <v>-159276332.66423374</v>
      </c>
      <c r="R356">
        <f t="shared" si="971"/>
        <v>3831336818.6721301</v>
      </c>
      <c r="S356">
        <f t="shared" si="972"/>
        <v>38313.368186721302</v>
      </c>
      <c r="T356">
        <f t="shared" si="973"/>
        <v>38.313368186721299</v>
      </c>
    </row>
    <row r="357" spans="1:20" x14ac:dyDescent="0.25">
      <c r="A357" s="5">
        <v>44236</v>
      </c>
      <c r="B357">
        <v>1.302E-2</v>
      </c>
      <c r="C357">
        <v>2.2790000000000001E-2</v>
      </c>
      <c r="D357">
        <v>1.264E-2</v>
      </c>
      <c r="E357">
        <v>2.077E-2</v>
      </c>
      <c r="F357">
        <v>2140795103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0.60197044334975358</v>
      </c>
      <c r="Q357">
        <f t="shared" si="970"/>
        <v>1288695377.2738914</v>
      </c>
      <c r="R357">
        <f t="shared" si="971"/>
        <v>3990613151.3363638</v>
      </c>
      <c r="S357">
        <f t="shared" si="972"/>
        <v>39906.131513363638</v>
      </c>
      <c r="T357">
        <f t="shared" si="973"/>
        <v>39.90613151336364</v>
      </c>
    </row>
    <row r="358" spans="1:20" x14ac:dyDescent="0.25">
      <c r="A358" s="5">
        <v>44235</v>
      </c>
      <c r="B358">
        <v>1.065E-2</v>
      </c>
      <c r="C358">
        <v>1.316E-2</v>
      </c>
      <c r="D358">
        <v>1.059E-2</v>
      </c>
      <c r="E358">
        <v>1.302E-2</v>
      </c>
      <c r="F358">
        <v>715150346.60000002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0.89105058365758794</v>
      </c>
      <c r="Q358">
        <f t="shared" si="970"/>
        <v>637235133.74085629</v>
      </c>
      <c r="R358">
        <f t="shared" si="971"/>
        <v>2701917774.0624723</v>
      </c>
      <c r="S358">
        <f t="shared" si="972"/>
        <v>27019.177740624724</v>
      </c>
      <c r="T358">
        <f t="shared" si="973"/>
        <v>27.019177740624723</v>
      </c>
    </row>
    <row r="359" spans="1:20" x14ac:dyDescent="0.25">
      <c r="A359" s="5">
        <v>44234</v>
      </c>
      <c r="B359">
        <v>1.0699999999999999E-2</v>
      </c>
      <c r="C359">
        <v>1.141E-2</v>
      </c>
      <c r="D359">
        <v>1.008E-2</v>
      </c>
      <c r="E359">
        <v>1.065E-2</v>
      </c>
      <c r="F359">
        <v>335302426.60000002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-0.1428571428571436</v>
      </c>
      <c r="Q359">
        <f t="shared" si="970"/>
        <v>-47900346.657143109</v>
      </c>
      <c r="R359">
        <f t="shared" si="971"/>
        <v>2064682640.3216159</v>
      </c>
      <c r="S359">
        <f t="shared" si="972"/>
        <v>20646.826403216161</v>
      </c>
      <c r="T359">
        <f t="shared" si="973"/>
        <v>20.64682640321616</v>
      </c>
    </row>
    <row r="360" spans="1:20" x14ac:dyDescent="0.25">
      <c r="A360" s="5">
        <v>44233</v>
      </c>
      <c r="B360">
        <v>1.15E-2</v>
      </c>
      <c r="C360">
        <v>1.158E-2</v>
      </c>
      <c r="D360">
        <v>1.034E-2</v>
      </c>
      <c r="E360">
        <v>1.0710000000000001E-2</v>
      </c>
      <c r="F360">
        <v>338716105.89999998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-0.40322580645161193</v>
      </c>
      <c r="Q360">
        <f t="shared" si="970"/>
        <v>-136579074.95967707</v>
      </c>
      <c r="R360">
        <f t="shared" si="971"/>
        <v>2112582986.9787591</v>
      </c>
      <c r="S360">
        <f t="shared" si="972"/>
        <v>21125.829869787591</v>
      </c>
      <c r="T360">
        <f t="shared" si="973"/>
        <v>21.125829869787591</v>
      </c>
    </row>
    <row r="361" spans="1:20" x14ac:dyDescent="0.25">
      <c r="A361" s="5">
        <v>44232</v>
      </c>
      <c r="B361">
        <v>1.0529999999999999E-2</v>
      </c>
      <c r="C361">
        <v>1.1849999999999999E-2</v>
      </c>
      <c r="D361">
        <v>1.0500000000000001E-2</v>
      </c>
      <c r="E361">
        <v>1.15E-2</v>
      </c>
      <c r="F361">
        <v>352880414.89999998</v>
      </c>
      <c r="G361">
        <v>0</v>
      </c>
      <c r="L361" t="s">
        <v>7</v>
      </c>
      <c r="M361" t="s">
        <v>8</v>
      </c>
      <c r="N361" t="s">
        <v>8</v>
      </c>
      <c r="P361">
        <f t="shared" si="969"/>
        <v>0.48148148148148157</v>
      </c>
      <c r="Q361">
        <f t="shared" si="970"/>
        <v>169905384.95185187</v>
      </c>
      <c r="R361">
        <f t="shared" si="971"/>
        <v>2249162061.938436</v>
      </c>
      <c r="S361">
        <f t="shared" si="972"/>
        <v>22491.620619384361</v>
      </c>
      <c r="T361">
        <f t="shared" si="973"/>
        <v>22.49162061938436</v>
      </c>
    </row>
    <row r="362" spans="1:20" x14ac:dyDescent="0.25">
      <c r="A362" s="5">
        <v>44231</v>
      </c>
      <c r="B362">
        <v>1.056E-2</v>
      </c>
      <c r="C362">
        <v>1.1979999999999999E-2</v>
      </c>
      <c r="D362">
        <v>1.03E-2</v>
      </c>
      <c r="E362">
        <v>1.051E-2</v>
      </c>
      <c r="F362">
        <v>655387759.5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-0.74999999999999978</v>
      </c>
      <c r="Q362">
        <f t="shared" si="970"/>
        <v>-491540819.62499988</v>
      </c>
      <c r="R362">
        <f t="shared" si="971"/>
        <v>2079256676.9865842</v>
      </c>
      <c r="S362">
        <f t="shared" si="972"/>
        <v>20792.566769865844</v>
      </c>
      <c r="T362">
        <f t="shared" si="973"/>
        <v>20.792566769865843</v>
      </c>
    </row>
    <row r="363" spans="1:20" x14ac:dyDescent="0.25">
      <c r="A363" s="5">
        <v>44230</v>
      </c>
      <c r="B363">
        <v>9.2899999999999996E-3</v>
      </c>
      <c r="C363">
        <v>1.0999999999999999E-2</v>
      </c>
      <c r="D363">
        <v>9.0900000000000009E-3</v>
      </c>
      <c r="E363">
        <v>1.056E-2</v>
      </c>
      <c r="F363">
        <v>558309768.29999995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0.53926701570680657</v>
      </c>
      <c r="Q363">
        <f t="shared" si="970"/>
        <v>301078042.59109962</v>
      </c>
      <c r="R363">
        <f t="shared" si="971"/>
        <v>2570797496.6115842</v>
      </c>
      <c r="S363">
        <f t="shared" si="972"/>
        <v>25707.974966115842</v>
      </c>
      <c r="T363">
        <f t="shared" si="973"/>
        <v>25.707974966115842</v>
      </c>
    </row>
    <row r="364" spans="1:20" x14ac:dyDescent="0.25">
      <c r="A364" s="5">
        <v>44229</v>
      </c>
      <c r="B364">
        <v>8.4499999999999992E-3</v>
      </c>
      <c r="C364">
        <v>9.4400000000000005E-3</v>
      </c>
      <c r="D364">
        <v>8.3700000000000007E-3</v>
      </c>
      <c r="E364">
        <v>9.2999999999999992E-3</v>
      </c>
      <c r="F364">
        <v>359572691.19999999</v>
      </c>
      <c r="G364">
        <v>0</v>
      </c>
      <c r="L364" t="s">
        <v>8</v>
      </c>
      <c r="M364" t="s">
        <v>7</v>
      </c>
      <c r="N364" t="s">
        <v>8</v>
      </c>
      <c r="P364">
        <f t="shared" si="969"/>
        <v>0.73831775700934343</v>
      </c>
      <c r="Q364">
        <f t="shared" si="970"/>
        <v>265478902.84859729</v>
      </c>
      <c r="R364">
        <f t="shared" si="971"/>
        <v>2269719454.0204844</v>
      </c>
      <c r="S364">
        <f t="shared" si="972"/>
        <v>22697.194540204844</v>
      </c>
      <c r="T364">
        <f t="shared" si="973"/>
        <v>22.697194540204844</v>
      </c>
    </row>
    <row r="365" spans="1:20" x14ac:dyDescent="0.25">
      <c r="A365" s="5">
        <v>44228</v>
      </c>
      <c r="B365">
        <v>8.6300000000000005E-3</v>
      </c>
      <c r="C365">
        <v>8.8000000000000005E-3</v>
      </c>
      <c r="D365">
        <v>8.1399999999999997E-3</v>
      </c>
      <c r="E365">
        <v>8.4499999999999992E-3</v>
      </c>
      <c r="F365">
        <v>240909068.19999999</v>
      </c>
      <c r="G365">
        <v>0</v>
      </c>
      <c r="L365" t="s">
        <v>8</v>
      </c>
      <c r="M365" t="s">
        <v>7</v>
      </c>
      <c r="N365" t="s">
        <v>8</v>
      </c>
      <c r="P365">
        <f t="shared" si="969"/>
        <v>-6.0606060606063314E-2</v>
      </c>
      <c r="Q365">
        <f t="shared" si="970"/>
        <v>-14600549.58787944</v>
      </c>
      <c r="R365">
        <f t="shared" si="971"/>
        <v>2004240551.1718872</v>
      </c>
      <c r="S365">
        <f t="shared" si="972"/>
        <v>20042.405511718873</v>
      </c>
      <c r="T365">
        <f t="shared" si="973"/>
        <v>20.042405511718872</v>
      </c>
    </row>
    <row r="366" spans="1:20" x14ac:dyDescent="0.25">
      <c r="A366" s="5">
        <v>44227</v>
      </c>
      <c r="B366">
        <v>9.0100000000000006E-3</v>
      </c>
      <c r="C366">
        <v>9.1900000000000003E-3</v>
      </c>
      <c r="D366">
        <v>8.1200000000000005E-3</v>
      </c>
      <c r="E366">
        <v>8.6099999999999996E-3</v>
      </c>
      <c r="F366">
        <v>250917879.30000001</v>
      </c>
      <c r="G366">
        <v>0</v>
      </c>
      <c r="L366" t="s">
        <v>7</v>
      </c>
      <c r="M366" t="s">
        <v>7</v>
      </c>
      <c r="N366" t="s">
        <v>8</v>
      </c>
      <c r="P366">
        <f t="shared" si="969"/>
        <v>-8.4112149532711733E-2</v>
      </c>
      <c r="Q366">
        <f t="shared" si="970"/>
        <v>-21105242.184112515</v>
      </c>
      <c r="R366">
        <f t="shared" si="971"/>
        <v>2018841100.7597666</v>
      </c>
      <c r="S366">
        <f t="shared" si="972"/>
        <v>20188.411007597664</v>
      </c>
      <c r="T366">
        <f t="shared" si="973"/>
        <v>20.188411007597665</v>
      </c>
    </row>
    <row r="367" spans="1:20" x14ac:dyDescent="0.25">
      <c r="A367" s="5">
        <v>44226</v>
      </c>
      <c r="B367">
        <v>8.5500000000000003E-3</v>
      </c>
      <c r="C367">
        <v>9.4999999999999998E-3</v>
      </c>
      <c r="D367">
        <v>8.3000000000000001E-3</v>
      </c>
      <c r="E367">
        <v>9.0200000000000002E-3</v>
      </c>
      <c r="F367">
        <v>516464625.30000001</v>
      </c>
      <c r="G367">
        <v>0</v>
      </c>
      <c r="L367" t="s">
        <v>8</v>
      </c>
      <c r="M367" t="s">
        <v>7</v>
      </c>
      <c r="N367" t="s">
        <v>8</v>
      </c>
      <c r="P367">
        <f t="shared" si="969"/>
        <v>0.20000000000000057</v>
      </c>
      <c r="Q367">
        <f t="shared" si="970"/>
        <v>103292925.0600003</v>
      </c>
      <c r="R367">
        <f t="shared" si="971"/>
        <v>2039946342.9438791</v>
      </c>
      <c r="S367">
        <f t="shared" si="972"/>
        <v>20399.463429438791</v>
      </c>
      <c r="T367">
        <f t="shared" si="973"/>
        <v>20.399463429438789</v>
      </c>
    </row>
    <row r="368" spans="1:20" x14ac:dyDescent="0.25">
      <c r="A368" s="5">
        <v>44225</v>
      </c>
      <c r="B368">
        <v>8.1799999999999998E-3</v>
      </c>
      <c r="C368">
        <v>9.4000000000000004E-3</v>
      </c>
      <c r="D368">
        <v>8.1300000000000001E-3</v>
      </c>
      <c r="E368">
        <v>8.5699999999999995E-3</v>
      </c>
      <c r="F368">
        <v>932337833.89999998</v>
      </c>
      <c r="G368">
        <v>0</v>
      </c>
      <c r="L368" t="s">
        <v>7</v>
      </c>
      <c r="M368" t="s">
        <v>7</v>
      </c>
      <c r="N368" t="s">
        <v>8</v>
      </c>
      <c r="P368">
        <f t="shared" si="969"/>
        <v>-0.30708661417322941</v>
      </c>
      <c r="Q368">
        <f t="shared" si="970"/>
        <v>-286308468.67795372</v>
      </c>
      <c r="R368">
        <f t="shared" si="971"/>
        <v>1936653417.8838787</v>
      </c>
      <c r="S368">
        <f t="shared" si="972"/>
        <v>19366.534178838789</v>
      </c>
      <c r="T368">
        <f t="shared" si="973"/>
        <v>19.366534178838787</v>
      </c>
    </row>
    <row r="369" spans="1:20" x14ac:dyDescent="0.25">
      <c r="A369" s="5">
        <v>44224</v>
      </c>
      <c r="B369">
        <v>6.9899999999999997E-3</v>
      </c>
      <c r="C369">
        <v>9.75E-3</v>
      </c>
      <c r="D369">
        <v>6.8799999999999998E-3</v>
      </c>
      <c r="E369">
        <v>8.1700000000000002E-3</v>
      </c>
      <c r="F369">
        <v>1533586276.3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-0.10104529616724719</v>
      </c>
      <c r="Q369">
        <f t="shared" si="970"/>
        <v>-154961679.48675928</v>
      </c>
      <c r="R369">
        <f t="shared" si="971"/>
        <v>2222961886.5618324</v>
      </c>
      <c r="S369">
        <f t="shared" si="972"/>
        <v>22229.618865618326</v>
      </c>
      <c r="T369">
        <f t="shared" si="973"/>
        <v>22.229618865618328</v>
      </c>
    </row>
    <row r="370" spans="1:20" x14ac:dyDescent="0.25">
      <c r="A370" s="5">
        <v>44223</v>
      </c>
      <c r="B370">
        <v>7.26E-3</v>
      </c>
      <c r="C370">
        <v>7.26E-3</v>
      </c>
      <c r="D370">
        <v>6.3099999999999996E-3</v>
      </c>
      <c r="E370">
        <v>6.9699999999999996E-3</v>
      </c>
      <c r="F370">
        <v>408288459.5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0.38947368421052586</v>
      </c>
      <c r="Q370">
        <f t="shared" si="970"/>
        <v>159017610.54210508</v>
      </c>
      <c r="R370">
        <f t="shared" si="971"/>
        <v>2377923566.0485916</v>
      </c>
      <c r="S370">
        <f t="shared" si="972"/>
        <v>23779.235660485916</v>
      </c>
      <c r="T370">
        <f t="shared" si="973"/>
        <v>23.779235660485917</v>
      </c>
    </row>
    <row r="371" spans="1:20" x14ac:dyDescent="0.25">
      <c r="A371" s="5">
        <v>44222</v>
      </c>
      <c r="B371">
        <v>7.26E-3</v>
      </c>
      <c r="C371">
        <v>7.3200000000000001E-3</v>
      </c>
      <c r="D371">
        <v>6.8100000000000001E-3</v>
      </c>
      <c r="E371">
        <v>7.26E-3</v>
      </c>
      <c r="F371">
        <v>273869373.30000001</v>
      </c>
      <c r="G371">
        <v>0</v>
      </c>
      <c r="L371" t="s">
        <v>7</v>
      </c>
      <c r="M371" t="s">
        <v>8</v>
      </c>
      <c r="N371" t="s">
        <v>8</v>
      </c>
      <c r="P371">
        <f t="shared" si="969"/>
        <v>0.76470588235294057</v>
      </c>
      <c r="Q371">
        <f t="shared" si="970"/>
        <v>209429520.75882336</v>
      </c>
      <c r="R371">
        <f t="shared" si="971"/>
        <v>2218905955.5064864</v>
      </c>
      <c r="S371">
        <f t="shared" si="972"/>
        <v>22189.059555064865</v>
      </c>
      <c r="T371">
        <f t="shared" si="973"/>
        <v>22.189059555064865</v>
      </c>
    </row>
    <row r="372" spans="1:20" x14ac:dyDescent="0.25">
      <c r="A372" s="5">
        <v>44221</v>
      </c>
      <c r="B372">
        <v>7.4400000000000004E-3</v>
      </c>
      <c r="C372">
        <v>7.5599999999999999E-3</v>
      </c>
      <c r="D372">
        <v>7.2500000000000004E-3</v>
      </c>
      <c r="E372">
        <v>7.26E-3</v>
      </c>
      <c r="F372">
        <v>241158463.40000001</v>
      </c>
      <c r="G372">
        <v>0</v>
      </c>
      <c r="L372" t="s">
        <v>7</v>
      </c>
      <c r="M372" t="s">
        <v>8</v>
      </c>
      <c r="N372" t="s">
        <v>8</v>
      </c>
      <c r="P372">
        <f t="shared" si="969"/>
        <v>-0.93548387096774444</v>
      </c>
      <c r="Q372">
        <f t="shared" si="970"/>
        <v>-225599852.85806513</v>
      </c>
      <c r="R372">
        <f t="shared" si="971"/>
        <v>2009476434.747663</v>
      </c>
      <c r="S372">
        <f t="shared" si="972"/>
        <v>20094.76434747663</v>
      </c>
      <c r="T372">
        <f t="shared" si="973"/>
        <v>20.09476434747663</v>
      </c>
    </row>
    <row r="373" spans="1:20" x14ac:dyDescent="0.25">
      <c r="A373" s="5">
        <v>44220</v>
      </c>
      <c r="B373">
        <v>7.5500000000000003E-3</v>
      </c>
      <c r="C373">
        <v>7.8499999999999993E-3</v>
      </c>
      <c r="D373">
        <v>7.3400000000000002E-3</v>
      </c>
      <c r="E373">
        <v>7.4400000000000004E-3</v>
      </c>
      <c r="F373">
        <v>337411418.69999999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-0.60784313725490025</v>
      </c>
      <c r="Q373">
        <f t="shared" si="970"/>
        <v>-205093215.28823471</v>
      </c>
      <c r="R373">
        <f t="shared" si="971"/>
        <v>2235076287.6057281</v>
      </c>
      <c r="S373">
        <f t="shared" si="972"/>
        <v>22350.762876057281</v>
      </c>
      <c r="T373">
        <f t="shared" si="973"/>
        <v>22.350762876057281</v>
      </c>
    </row>
    <row r="374" spans="1:20" x14ac:dyDescent="0.25">
      <c r="A374" s="5">
        <v>44219</v>
      </c>
      <c r="B374">
        <v>7.1599999999999997E-3</v>
      </c>
      <c r="C374">
        <v>7.6400000000000001E-3</v>
      </c>
      <c r="D374">
        <v>7.1000000000000004E-3</v>
      </c>
      <c r="E374">
        <v>7.5500000000000003E-3</v>
      </c>
      <c r="F374">
        <v>324537176.60000002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0.66666666666666718</v>
      </c>
      <c r="Q374">
        <f t="shared" si="970"/>
        <v>216358117.73333353</v>
      </c>
      <c r="R374">
        <f t="shared" si="971"/>
        <v>2440169502.8939629</v>
      </c>
      <c r="S374">
        <f t="shared" si="972"/>
        <v>24401.69502893963</v>
      </c>
      <c r="T374">
        <f t="shared" si="973"/>
        <v>24.401695028939631</v>
      </c>
    </row>
    <row r="375" spans="1:20" x14ac:dyDescent="0.25">
      <c r="A375" s="5">
        <v>44218</v>
      </c>
      <c r="B375">
        <v>6.9899999999999997E-3</v>
      </c>
      <c r="C375">
        <v>7.3099999999999997E-3</v>
      </c>
      <c r="D375">
        <v>6.1599999999999997E-3</v>
      </c>
      <c r="E375">
        <v>7.1599999999999997E-3</v>
      </c>
      <c r="F375">
        <v>322104141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0.73913043478260876</v>
      </c>
      <c r="Q375">
        <f t="shared" si="970"/>
        <v>238076973.78260872</v>
      </c>
      <c r="R375">
        <f t="shared" si="971"/>
        <v>2223811385.1606293</v>
      </c>
      <c r="S375">
        <f t="shared" si="972"/>
        <v>22238.113851606293</v>
      </c>
      <c r="T375">
        <f t="shared" si="973"/>
        <v>22.238113851606293</v>
      </c>
    </row>
    <row r="376" spans="1:20" x14ac:dyDescent="0.25">
      <c r="A376" s="5">
        <v>44217</v>
      </c>
      <c r="B376">
        <v>7.5900000000000004E-3</v>
      </c>
      <c r="C376">
        <v>7.6499999999999997E-3</v>
      </c>
      <c r="D376">
        <v>6.8999999999999999E-3</v>
      </c>
      <c r="E376">
        <v>6.9899999999999997E-3</v>
      </c>
      <c r="F376">
        <v>355024852.10000002</v>
      </c>
      <c r="G376">
        <v>0</v>
      </c>
      <c r="L376" t="s">
        <v>8</v>
      </c>
      <c r="M376" t="s">
        <v>7</v>
      </c>
      <c r="N376" t="s">
        <v>8</v>
      </c>
      <c r="P376">
        <f t="shared" si="969"/>
        <v>-0.76000000000000045</v>
      </c>
      <c r="Q376">
        <f t="shared" si="970"/>
        <v>-269818887.59600019</v>
      </c>
      <c r="R376">
        <f t="shared" si="971"/>
        <v>1985734411.3780208</v>
      </c>
      <c r="S376">
        <f t="shared" si="972"/>
        <v>19857.344113780207</v>
      </c>
      <c r="T376">
        <f t="shared" si="973"/>
        <v>19.857344113780208</v>
      </c>
    </row>
    <row r="377" spans="1:20" x14ac:dyDescent="0.25">
      <c r="A377" s="5">
        <v>44216</v>
      </c>
      <c r="B377">
        <v>7.5799999999999999E-3</v>
      </c>
      <c r="C377">
        <v>7.79E-3</v>
      </c>
      <c r="D377">
        <v>6.77E-3</v>
      </c>
      <c r="E377">
        <v>7.5799999999999999E-3</v>
      </c>
      <c r="F377">
        <v>423781459.60000002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0.58823529411764686</v>
      </c>
      <c r="Q377">
        <f t="shared" si="970"/>
        <v>249283211.5294117</v>
      </c>
      <c r="R377">
        <f t="shared" si="971"/>
        <v>2255553298.974021</v>
      </c>
      <c r="S377">
        <f t="shared" si="972"/>
        <v>22555.532989740208</v>
      </c>
      <c r="T377">
        <f t="shared" si="973"/>
        <v>22.555532989740207</v>
      </c>
    </row>
    <row r="378" spans="1:20" x14ac:dyDescent="0.25">
      <c r="A378" s="5">
        <v>44215</v>
      </c>
      <c r="B378">
        <v>7.7000000000000002E-3</v>
      </c>
      <c r="C378">
        <v>8.1399999999999997E-3</v>
      </c>
      <c r="D378">
        <v>7.4599999999999996E-3</v>
      </c>
      <c r="E378">
        <v>7.6E-3</v>
      </c>
      <c r="F378">
        <v>407473569.5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-0.58823529411764597</v>
      </c>
      <c r="Q378">
        <f t="shared" si="970"/>
        <v>-239690334.99999955</v>
      </c>
      <c r="R378">
        <f t="shared" si="971"/>
        <v>2006270087.4446092</v>
      </c>
      <c r="S378">
        <f t="shared" si="972"/>
        <v>20062.700874446091</v>
      </c>
      <c r="T378">
        <f t="shared" si="973"/>
        <v>20.06270087444609</v>
      </c>
    </row>
    <row r="379" spans="1:20" x14ac:dyDescent="0.25">
      <c r="A379" s="5">
        <v>44214</v>
      </c>
      <c r="B379">
        <v>7.1000000000000004E-3</v>
      </c>
      <c r="C379">
        <v>7.8600000000000007E-3</v>
      </c>
      <c r="D379">
        <v>6.9699999999999996E-3</v>
      </c>
      <c r="E379">
        <v>7.6899999999999998E-3</v>
      </c>
      <c r="F379">
        <v>562471421.29999995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0.61797752808988615</v>
      </c>
      <c r="Q379">
        <f t="shared" si="970"/>
        <v>347594698.55617893</v>
      </c>
      <c r="R379">
        <f t="shared" si="971"/>
        <v>2245960422.4446087</v>
      </c>
      <c r="S379">
        <f t="shared" si="972"/>
        <v>22459.604224446088</v>
      </c>
      <c r="T379">
        <f t="shared" si="973"/>
        <v>22.459604224446089</v>
      </c>
    </row>
    <row r="380" spans="1:20" x14ac:dyDescent="0.25">
      <c r="A380" s="5">
        <v>44213</v>
      </c>
      <c r="B380">
        <v>7.0899999999999999E-3</v>
      </c>
      <c r="C380">
        <v>7.3000000000000001E-3</v>
      </c>
      <c r="D380">
        <v>6.7299999999999999E-3</v>
      </c>
      <c r="E380">
        <v>7.0899999999999999E-3</v>
      </c>
      <c r="F380">
        <v>353649093.39999998</v>
      </c>
      <c r="G380">
        <v>0</v>
      </c>
      <c r="L380" t="s">
        <v>7</v>
      </c>
      <c r="M380" t="s">
        <v>8</v>
      </c>
      <c r="N380" t="s">
        <v>8</v>
      </c>
      <c r="P380">
        <f t="shared" si="969"/>
        <v>0.26315789473684192</v>
      </c>
      <c r="Q380">
        <f t="shared" si="970"/>
        <v>93065550.894736767</v>
      </c>
      <c r="R380">
        <f t="shared" si="971"/>
        <v>1898365723.8884299</v>
      </c>
      <c r="S380">
        <f t="shared" si="972"/>
        <v>18983.657238884298</v>
      </c>
      <c r="T380">
        <f t="shared" si="973"/>
        <v>18.983657238884298</v>
      </c>
    </row>
    <row r="381" spans="1:20" x14ac:dyDescent="0.25">
      <c r="A381" s="5">
        <v>44212</v>
      </c>
      <c r="B381">
        <v>7.1599999999999997E-3</v>
      </c>
      <c r="C381">
        <v>7.6600000000000001E-3</v>
      </c>
      <c r="D381">
        <v>7.0099999999999997E-3</v>
      </c>
      <c r="E381">
        <v>7.0899999999999999E-3</v>
      </c>
      <c r="F381">
        <v>329707193.19999999</v>
      </c>
      <c r="G381">
        <v>0</v>
      </c>
      <c r="L381" t="s">
        <v>7</v>
      </c>
      <c r="M381" t="s">
        <v>8</v>
      </c>
      <c r="N381" t="s">
        <v>8</v>
      </c>
      <c r="P381">
        <f t="shared" si="969"/>
        <v>-0.75384615384615339</v>
      </c>
      <c r="Q381">
        <f t="shared" si="970"/>
        <v>-248548499.4892306</v>
      </c>
      <c r="R381">
        <f t="shared" si="971"/>
        <v>1805300172.9936931</v>
      </c>
      <c r="S381">
        <f t="shared" si="972"/>
        <v>18053.001729936932</v>
      </c>
      <c r="T381">
        <f t="shared" si="973"/>
        <v>18.053001729936931</v>
      </c>
    </row>
    <row r="382" spans="1:20" x14ac:dyDescent="0.25">
      <c r="A382" s="5">
        <v>44211</v>
      </c>
      <c r="B382">
        <v>7.1500000000000001E-3</v>
      </c>
      <c r="C382">
        <v>7.5599999999999999E-3</v>
      </c>
      <c r="D382">
        <v>6.4000000000000003E-3</v>
      </c>
      <c r="E382">
        <v>7.1599999999999997E-3</v>
      </c>
      <c r="F382">
        <v>379566298.80000001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0.31034482758620635</v>
      </c>
      <c r="Q382">
        <f t="shared" si="970"/>
        <v>117796437.55862048</v>
      </c>
      <c r="R382">
        <f t="shared" si="971"/>
        <v>2053848672.4829237</v>
      </c>
      <c r="S382">
        <f t="shared" si="972"/>
        <v>20538.486724829236</v>
      </c>
      <c r="T382">
        <f t="shared" si="973"/>
        <v>20.538486724829237</v>
      </c>
    </row>
    <row r="383" spans="1:20" x14ac:dyDescent="0.25">
      <c r="A383" s="5">
        <v>44210</v>
      </c>
      <c r="B383">
        <v>6.5900000000000004E-3</v>
      </c>
      <c r="C383">
        <v>7.4900000000000001E-3</v>
      </c>
      <c r="D383">
        <v>6.4200000000000004E-3</v>
      </c>
      <c r="E383">
        <v>7.1599999999999997E-3</v>
      </c>
      <c r="F383">
        <v>351337778.5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0.38317757009345699</v>
      </c>
      <c r="Q383">
        <f t="shared" si="970"/>
        <v>134624756.24766323</v>
      </c>
      <c r="R383">
        <f t="shared" si="971"/>
        <v>1936052234.9243033</v>
      </c>
      <c r="S383">
        <f t="shared" si="972"/>
        <v>19360.522349243034</v>
      </c>
      <c r="T383">
        <f t="shared" si="973"/>
        <v>19.360522349243034</v>
      </c>
    </row>
    <row r="384" spans="1:20" x14ac:dyDescent="0.25">
      <c r="A384" s="5">
        <v>44209</v>
      </c>
      <c r="B384">
        <v>6.0600000000000003E-3</v>
      </c>
      <c r="C384">
        <v>6.6899999999999998E-3</v>
      </c>
      <c r="D384">
        <v>5.7499999999999999E-3</v>
      </c>
      <c r="E384">
        <v>6.5700000000000003E-3</v>
      </c>
      <c r="F384">
        <v>233473120.69999999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0.74468085106383097</v>
      </c>
      <c r="Q384">
        <f t="shared" si="970"/>
        <v>173862962.22340453</v>
      </c>
      <c r="R384">
        <f t="shared" si="971"/>
        <v>1801427478.67664</v>
      </c>
      <c r="S384">
        <f t="shared" si="972"/>
        <v>18014.2747867664</v>
      </c>
      <c r="T384">
        <f t="shared" si="973"/>
        <v>18.0142747867664</v>
      </c>
    </row>
    <row r="385" spans="1:20" x14ac:dyDescent="0.25">
      <c r="A385" s="5">
        <v>44208</v>
      </c>
      <c r="B385">
        <v>6.2100000000000002E-3</v>
      </c>
      <c r="C385">
        <v>6.4999999999999997E-3</v>
      </c>
      <c r="D385">
        <v>5.9199999999999999E-3</v>
      </c>
      <c r="E385">
        <v>6.0600000000000003E-3</v>
      </c>
      <c r="F385">
        <v>319673301.89999998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-0.51724137931034342</v>
      </c>
      <c r="Q385">
        <f t="shared" si="970"/>
        <v>-165348259.60344782</v>
      </c>
      <c r="R385">
        <f t="shared" si="971"/>
        <v>1627564516.4532356</v>
      </c>
      <c r="S385">
        <f t="shared" si="972"/>
        <v>16275.645164532356</v>
      </c>
      <c r="T385">
        <f t="shared" si="973"/>
        <v>16.275645164532357</v>
      </c>
    </row>
    <row r="386" spans="1:20" x14ac:dyDescent="0.25">
      <c r="A386" s="5">
        <v>44207</v>
      </c>
      <c r="B386">
        <v>6.8199999999999997E-3</v>
      </c>
      <c r="C386">
        <v>6.8799999999999998E-3</v>
      </c>
      <c r="D386">
        <v>5.1999999999999998E-3</v>
      </c>
      <c r="E386">
        <v>6.2300000000000003E-3</v>
      </c>
      <c r="F386">
        <v>737419407.70000005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0.22619047619047677</v>
      </c>
      <c r="Q386">
        <f t="shared" si="970"/>
        <v>166797246.97976235</v>
      </c>
      <c r="R386">
        <f t="shared" si="971"/>
        <v>1792912776.0566835</v>
      </c>
      <c r="S386">
        <f t="shared" si="972"/>
        <v>17929.127760566837</v>
      </c>
      <c r="T386">
        <f t="shared" si="973"/>
        <v>17.929127760566836</v>
      </c>
    </row>
    <row r="387" spans="1:20" x14ac:dyDescent="0.25">
      <c r="A387" s="5">
        <v>44206</v>
      </c>
      <c r="B387">
        <v>7.4799999999999997E-3</v>
      </c>
      <c r="C387">
        <v>7.5900000000000004E-3</v>
      </c>
      <c r="D387">
        <v>6.2199999999999998E-3</v>
      </c>
      <c r="E387">
        <v>6.8199999999999997E-3</v>
      </c>
      <c r="F387">
        <v>701483758.70000005</v>
      </c>
      <c r="G387">
        <v>0</v>
      </c>
      <c r="L387" t="s">
        <v>7</v>
      </c>
      <c r="M387" t="s">
        <v>7</v>
      </c>
      <c r="N387" t="s">
        <v>7</v>
      </c>
      <c r="P387">
        <f t="shared" si="969"/>
        <v>-0.12408759124087651</v>
      </c>
      <c r="Q387">
        <f t="shared" si="970"/>
        <v>-87045429.911679253</v>
      </c>
      <c r="R387">
        <f t="shared" si="971"/>
        <v>1626115529.0769212</v>
      </c>
      <c r="S387">
        <f t="shared" si="972"/>
        <v>16261.155290769213</v>
      </c>
      <c r="T387">
        <f t="shared" si="973"/>
        <v>16.261155290769214</v>
      </c>
    </row>
    <row r="388" spans="1:20" x14ac:dyDescent="0.25">
      <c r="A388" s="5">
        <v>44205</v>
      </c>
      <c r="B388">
        <v>6.6400000000000001E-3</v>
      </c>
      <c r="C388">
        <v>8.8000000000000005E-3</v>
      </c>
      <c r="D388">
        <v>6.3299999999999997E-3</v>
      </c>
      <c r="E388">
        <v>7.4799999999999997E-3</v>
      </c>
      <c r="F388">
        <v>1432446818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-6.8825910931174419E-2</v>
      </c>
      <c r="Q388">
        <f t="shared" si="970"/>
        <v>-98589457.109312221</v>
      </c>
      <c r="R388">
        <f t="shared" si="971"/>
        <v>1713160958.9886005</v>
      </c>
      <c r="S388">
        <f t="shared" si="972"/>
        <v>17131.609589886004</v>
      </c>
      <c r="T388">
        <f t="shared" si="973"/>
        <v>17.131609589886004</v>
      </c>
    </row>
    <row r="389" spans="1:20" x14ac:dyDescent="0.25">
      <c r="A389" s="5">
        <v>44204</v>
      </c>
      <c r="B389">
        <v>6.2500000000000003E-3</v>
      </c>
      <c r="C389">
        <v>6.7499999999999999E-3</v>
      </c>
      <c r="D389">
        <v>5.7099999999999998E-3</v>
      </c>
      <c r="E389">
        <v>6.6499999999999997E-3</v>
      </c>
      <c r="F389">
        <v>613266255.89999998</v>
      </c>
      <c r="G389">
        <v>0</v>
      </c>
      <c r="L389" t="s">
        <v>8</v>
      </c>
      <c r="M389" t="s">
        <v>8</v>
      </c>
      <c r="N389" t="s">
        <v>8</v>
      </c>
      <c r="P389">
        <f t="shared" si="969"/>
        <v>0.80769230769230727</v>
      </c>
      <c r="Q389">
        <f t="shared" si="970"/>
        <v>495330437.45769203</v>
      </c>
      <c r="R389">
        <f t="shared" si="971"/>
        <v>1811750416.0979128</v>
      </c>
      <c r="S389">
        <f t="shared" si="972"/>
        <v>18117.50416097913</v>
      </c>
      <c r="T389">
        <f t="shared" si="973"/>
        <v>18.117504160979131</v>
      </c>
    </row>
    <row r="390" spans="1:20" x14ac:dyDescent="0.25">
      <c r="A390" s="5">
        <v>44203</v>
      </c>
      <c r="B390">
        <v>5.5500000000000002E-3</v>
      </c>
      <c r="C390">
        <v>6.45E-3</v>
      </c>
      <c r="D390">
        <v>5.3699999999999998E-3</v>
      </c>
      <c r="E390">
        <v>6.2500000000000003E-3</v>
      </c>
      <c r="F390">
        <v>810327376.60000002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0.62962962962963032</v>
      </c>
      <c r="Q390">
        <f t="shared" ref="Q390:Q453" si="975">F390*P390</f>
        <v>510206126.00740796</v>
      </c>
      <c r="R390">
        <f t="shared" ref="R390:R453" si="976">R391+Q390</f>
        <v>1316419978.6402209</v>
      </c>
      <c r="S390">
        <f t="shared" ref="S390:S453" si="977">R390/100000</f>
        <v>13164.199786402209</v>
      </c>
      <c r="T390">
        <f t="shared" ref="T390:T453" si="978">S390/1000</f>
        <v>13.164199786402209</v>
      </c>
    </row>
    <row r="391" spans="1:20" x14ac:dyDescent="0.25">
      <c r="A391" s="5">
        <v>44202</v>
      </c>
      <c r="B391">
        <v>5.0099999999999997E-3</v>
      </c>
      <c r="C391">
        <v>5.7099999999999998E-3</v>
      </c>
      <c r="D391">
        <v>4.8599999999999997E-3</v>
      </c>
      <c r="E391">
        <v>5.5599999999999998E-3</v>
      </c>
      <c r="F391">
        <v>742682007.20000005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0.64705882352941191</v>
      </c>
      <c r="Q391">
        <f t="shared" si="975"/>
        <v>480558945.83529425</v>
      </c>
      <c r="R391">
        <f t="shared" si="976"/>
        <v>806213852.63281298</v>
      </c>
      <c r="S391">
        <f t="shared" si="977"/>
        <v>8062.13852632813</v>
      </c>
      <c r="T391">
        <f t="shared" si="978"/>
        <v>8.0621385263281304</v>
      </c>
    </row>
    <row r="392" spans="1:20" x14ac:dyDescent="0.25">
      <c r="A392" s="5">
        <v>44201</v>
      </c>
      <c r="B392">
        <v>4.9500000000000004E-3</v>
      </c>
      <c r="C392">
        <v>5.3699999999999998E-3</v>
      </c>
      <c r="D392">
        <v>4.8999999999999998E-3</v>
      </c>
      <c r="E392">
        <v>5.0099999999999997E-3</v>
      </c>
      <c r="F392">
        <v>509242662.30000001</v>
      </c>
      <c r="G392">
        <v>0</v>
      </c>
      <c r="L392" t="s">
        <v>7</v>
      </c>
      <c r="M392" t="s">
        <v>7</v>
      </c>
      <c r="N392" t="s">
        <v>7</v>
      </c>
      <c r="P392">
        <f t="shared" si="974"/>
        <v>-0.53191489361702182</v>
      </c>
      <c r="Q392">
        <f t="shared" si="975"/>
        <v>-270873756.54255348</v>
      </c>
      <c r="R392">
        <f t="shared" si="976"/>
        <v>325654906.79751867</v>
      </c>
      <c r="S392">
        <f t="shared" si="977"/>
        <v>3256.5490679751865</v>
      </c>
      <c r="T392">
        <f t="shared" si="978"/>
        <v>3.2565490679751865</v>
      </c>
    </row>
    <row r="393" spans="1:20" x14ac:dyDescent="0.25">
      <c r="A393" s="5">
        <v>44200</v>
      </c>
      <c r="B393">
        <v>4.8799999999999998E-3</v>
      </c>
      <c r="C393">
        <v>5.6800000000000002E-3</v>
      </c>
      <c r="D393">
        <v>4.4999999999999997E-3</v>
      </c>
      <c r="E393">
        <v>4.9399999999999999E-3</v>
      </c>
      <c r="F393">
        <v>968048582.29999995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-0.25423728813559304</v>
      </c>
      <c r="Q393">
        <f t="shared" si="975"/>
        <v>-246114046.34745744</v>
      </c>
      <c r="R393">
        <f t="shared" si="976"/>
        <v>596528663.34007215</v>
      </c>
      <c r="S393">
        <f t="shared" si="977"/>
        <v>5965.2866334007213</v>
      </c>
      <c r="T393">
        <f t="shared" si="978"/>
        <v>5.9652866334007211</v>
      </c>
    </row>
    <row r="394" spans="1:20" x14ac:dyDescent="0.25">
      <c r="A394" s="5">
        <v>44199</v>
      </c>
      <c r="B394">
        <v>4.2399999999999998E-3</v>
      </c>
      <c r="C394">
        <v>5.0000000000000001E-3</v>
      </c>
      <c r="D394">
        <v>4.1999999999999997E-3</v>
      </c>
      <c r="E394">
        <v>4.8799999999999998E-3</v>
      </c>
      <c r="F394">
        <v>1025730418.7</v>
      </c>
      <c r="G394">
        <v>0</v>
      </c>
      <c r="L394" t="s">
        <v>8</v>
      </c>
      <c r="M394" t="s">
        <v>8</v>
      </c>
      <c r="N394" t="s">
        <v>7</v>
      </c>
      <c r="P394">
        <f t="shared" si="974"/>
        <v>0.6999999999999994</v>
      </c>
      <c r="Q394">
        <f t="shared" si="975"/>
        <v>718011293.08999944</v>
      </c>
      <c r="R394">
        <f t="shared" si="976"/>
        <v>842642709.68752956</v>
      </c>
      <c r="S394">
        <f t="shared" si="977"/>
        <v>8426.4270968752953</v>
      </c>
      <c r="T394">
        <f t="shared" si="978"/>
        <v>8.4264270968752957</v>
      </c>
    </row>
    <row r="395" spans="1:20" x14ac:dyDescent="0.25">
      <c r="A395" s="5">
        <v>44198</v>
      </c>
      <c r="B395">
        <v>4.2300000000000003E-3</v>
      </c>
      <c r="C395">
        <v>4.3899999999999998E-3</v>
      </c>
      <c r="D395">
        <v>4.1200000000000004E-3</v>
      </c>
      <c r="E395">
        <v>4.2300000000000003E-3</v>
      </c>
      <c r="F395">
        <v>966094638.29999995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-0.18518518518518448</v>
      </c>
      <c r="Q395">
        <f t="shared" si="975"/>
        <v>-178906414.49999931</v>
      </c>
      <c r="R395">
        <f t="shared" si="976"/>
        <v>124631416.5975301</v>
      </c>
      <c r="S395">
        <f t="shared" si="977"/>
        <v>1246.314165975301</v>
      </c>
      <c r="T395">
        <f t="shared" si="978"/>
        <v>1.246314165975301</v>
      </c>
    </row>
    <row r="396" spans="1:20" x14ac:dyDescent="0.25">
      <c r="A396" s="5">
        <v>44197</v>
      </c>
      <c r="B396">
        <v>4.2399999999999998E-3</v>
      </c>
      <c r="C396">
        <v>4.4900000000000001E-3</v>
      </c>
      <c r="D396">
        <v>4.1000000000000003E-3</v>
      </c>
      <c r="E396">
        <v>4.2300000000000003E-3</v>
      </c>
      <c r="F396">
        <v>631336691.79999995</v>
      </c>
      <c r="G396">
        <v>0</v>
      </c>
      <c r="L396" t="s">
        <v>8</v>
      </c>
      <c r="M396" t="s">
        <v>7</v>
      </c>
      <c r="N396" t="s">
        <v>7</v>
      </c>
      <c r="P396">
        <f t="shared" si="974"/>
        <v>-0.33333333333333331</v>
      </c>
      <c r="Q396">
        <f t="shared" si="975"/>
        <v>-210445563.93333331</v>
      </c>
      <c r="R396">
        <f t="shared" si="976"/>
        <v>303537831.09752941</v>
      </c>
      <c r="S396">
        <f t="shared" si="977"/>
        <v>3035.378310975294</v>
      </c>
      <c r="T396">
        <f t="shared" si="978"/>
        <v>3.0353783109752941</v>
      </c>
    </row>
    <row r="397" spans="1:20" x14ac:dyDescent="0.25">
      <c r="A397" s="5">
        <v>44196</v>
      </c>
      <c r="B397">
        <v>4.0899999999999999E-3</v>
      </c>
      <c r="C397">
        <v>4.2900000000000004E-3</v>
      </c>
      <c r="D397">
        <v>4.0000000000000001E-3</v>
      </c>
      <c r="E397">
        <v>4.2300000000000003E-3</v>
      </c>
      <c r="F397">
        <v>323644723.19999999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0.58620689655172353</v>
      </c>
      <c r="Q397">
        <f t="shared" si="975"/>
        <v>189722768.77241358</v>
      </c>
      <c r="R397">
        <f t="shared" si="976"/>
        <v>513983395.03086269</v>
      </c>
      <c r="S397">
        <f t="shared" si="977"/>
        <v>5139.8339503086272</v>
      </c>
      <c r="T397">
        <f t="shared" si="978"/>
        <v>5.1398339503086268</v>
      </c>
    </row>
    <row r="398" spans="1:20" x14ac:dyDescent="0.25">
      <c r="A398" s="5">
        <v>44195</v>
      </c>
      <c r="B398">
        <v>4.4299999999999999E-3</v>
      </c>
      <c r="C398">
        <v>4.4999999999999997E-3</v>
      </c>
      <c r="D398">
        <v>4.0699999999999998E-3</v>
      </c>
      <c r="E398">
        <v>4.1000000000000003E-3</v>
      </c>
      <c r="F398">
        <v>273859475.5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-0.8604651162790673</v>
      </c>
      <c r="Q398">
        <f t="shared" si="975"/>
        <v>-235646525.43023187</v>
      </c>
      <c r="R398">
        <f t="shared" si="976"/>
        <v>324260626.25844914</v>
      </c>
      <c r="S398">
        <f t="shared" si="977"/>
        <v>3242.6062625844916</v>
      </c>
      <c r="T398">
        <f t="shared" si="978"/>
        <v>3.2426062625844914</v>
      </c>
    </row>
    <row r="399" spans="1:20" x14ac:dyDescent="0.25">
      <c r="A399" s="5">
        <v>44194</v>
      </c>
      <c r="B399">
        <v>4.7999999999999996E-3</v>
      </c>
      <c r="C399">
        <v>4.81E-3</v>
      </c>
      <c r="D399">
        <v>4.2100000000000002E-3</v>
      </c>
      <c r="E399">
        <v>4.4400000000000004E-3</v>
      </c>
      <c r="F399">
        <v>278766696.60000002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-0.23333333333333256</v>
      </c>
      <c r="Q399">
        <f t="shared" si="975"/>
        <v>-65045562.53999979</v>
      </c>
      <c r="R399">
        <f t="shared" si="976"/>
        <v>559907151.68868101</v>
      </c>
      <c r="S399">
        <f t="shared" si="977"/>
        <v>5599.0715168868101</v>
      </c>
      <c r="T399">
        <f t="shared" si="978"/>
        <v>5.5990715168868102</v>
      </c>
    </row>
    <row r="400" spans="1:20" x14ac:dyDescent="0.25">
      <c r="A400" s="5">
        <v>44193</v>
      </c>
      <c r="B400">
        <v>4.9300000000000004E-3</v>
      </c>
      <c r="C400">
        <v>5.1000000000000004E-3</v>
      </c>
      <c r="D400">
        <v>4.7600000000000003E-3</v>
      </c>
      <c r="E400">
        <v>4.7999999999999996E-3</v>
      </c>
      <c r="F400">
        <v>223139891.09999999</v>
      </c>
      <c r="G400">
        <v>0</v>
      </c>
      <c r="L400" t="s">
        <v>7</v>
      </c>
      <c r="M400" t="s">
        <v>8</v>
      </c>
      <c r="N400" t="s">
        <v>7</v>
      </c>
      <c r="P400">
        <f t="shared" si="974"/>
        <v>-0.76470588235294568</v>
      </c>
      <c r="Q400">
        <f t="shared" si="975"/>
        <v>-170636387.3117657</v>
      </c>
      <c r="R400">
        <f t="shared" si="976"/>
        <v>624952714.22868085</v>
      </c>
      <c r="S400">
        <f t="shared" si="977"/>
        <v>6249.5271422868082</v>
      </c>
      <c r="T400">
        <f t="shared" si="978"/>
        <v>6.2495271422868077</v>
      </c>
    </row>
    <row r="401" spans="1:20" x14ac:dyDescent="0.25">
      <c r="A401" s="5">
        <v>44192</v>
      </c>
      <c r="B401">
        <v>4.7600000000000003E-3</v>
      </c>
      <c r="C401">
        <v>5.1399999999999996E-3</v>
      </c>
      <c r="D401">
        <v>4.6299999999999996E-3</v>
      </c>
      <c r="E401">
        <v>4.9199999999999999E-3</v>
      </c>
      <c r="F401">
        <v>304033263.5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0.13725490196078552</v>
      </c>
      <c r="Q401">
        <f t="shared" si="975"/>
        <v>41730055.774510168</v>
      </c>
      <c r="R401">
        <f t="shared" si="976"/>
        <v>795589101.54044652</v>
      </c>
      <c r="S401">
        <f t="shared" si="977"/>
        <v>7955.8910154044652</v>
      </c>
      <c r="T401">
        <f t="shared" si="978"/>
        <v>7.9558910154044655</v>
      </c>
    </row>
    <row r="402" spans="1:20" x14ac:dyDescent="0.25">
      <c r="A402" s="5">
        <v>44191</v>
      </c>
      <c r="B402">
        <v>4.7499999999999999E-3</v>
      </c>
      <c r="C402">
        <v>4.8900000000000002E-3</v>
      </c>
      <c r="D402">
        <v>4.5500000000000002E-3</v>
      </c>
      <c r="E402">
        <v>4.7600000000000003E-3</v>
      </c>
      <c r="F402">
        <v>168727665.30000001</v>
      </c>
      <c r="G402">
        <v>0</v>
      </c>
      <c r="L402" t="s">
        <v>7</v>
      </c>
      <c r="M402" t="s">
        <v>7</v>
      </c>
      <c r="N402" t="s">
        <v>7</v>
      </c>
      <c r="P402">
        <f t="shared" si="974"/>
        <v>0.23529411764705943</v>
      </c>
      <c r="Q402">
        <f t="shared" si="975"/>
        <v>39700627.129411869</v>
      </c>
      <c r="R402">
        <f t="shared" si="976"/>
        <v>753859045.76593637</v>
      </c>
      <c r="S402">
        <f t="shared" si="977"/>
        <v>7538.5904576593639</v>
      </c>
      <c r="T402">
        <f t="shared" si="978"/>
        <v>7.5385904576593639</v>
      </c>
    </row>
    <row r="403" spans="1:20" x14ac:dyDescent="0.25">
      <c r="A403" s="5">
        <v>44190</v>
      </c>
      <c r="B403">
        <v>4.7299999999999998E-3</v>
      </c>
      <c r="C403">
        <v>4.8999999999999998E-3</v>
      </c>
      <c r="D403">
        <v>4.5599999999999998E-3</v>
      </c>
      <c r="E403">
        <v>4.7499999999999999E-3</v>
      </c>
      <c r="F403">
        <v>188790944.80000001</v>
      </c>
      <c r="G403">
        <v>0</v>
      </c>
      <c r="L403" t="s">
        <v>8</v>
      </c>
      <c r="M403" t="s">
        <v>7</v>
      </c>
      <c r="N403" t="s">
        <v>7</v>
      </c>
      <c r="P403">
        <f t="shared" si="974"/>
        <v>0.11764705882352972</v>
      </c>
      <c r="Q403">
        <f t="shared" si="975"/>
        <v>22210699.388235353</v>
      </c>
      <c r="R403">
        <f t="shared" si="976"/>
        <v>714158418.63652456</v>
      </c>
      <c r="S403">
        <f t="shared" si="977"/>
        <v>7141.5841863652458</v>
      </c>
      <c r="T403">
        <f t="shared" si="978"/>
        <v>7.1415841863652458</v>
      </c>
    </row>
    <row r="404" spans="1:20" x14ac:dyDescent="0.25">
      <c r="A404" s="5">
        <v>44189</v>
      </c>
      <c r="B404">
        <v>4.3600000000000002E-3</v>
      </c>
      <c r="C404">
        <v>4.7400000000000003E-3</v>
      </c>
      <c r="D404">
        <v>4.3E-3</v>
      </c>
      <c r="E404">
        <v>4.7200000000000002E-3</v>
      </c>
      <c r="F404">
        <v>186862396.40000001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0.90909090909090895</v>
      </c>
      <c r="Q404">
        <f t="shared" si="975"/>
        <v>169874905.81818178</v>
      </c>
      <c r="R404">
        <f t="shared" si="976"/>
        <v>691947719.24828923</v>
      </c>
      <c r="S404">
        <f t="shared" si="977"/>
        <v>6919.477192482892</v>
      </c>
      <c r="T404">
        <f t="shared" si="978"/>
        <v>6.9194771924828924</v>
      </c>
    </row>
    <row r="405" spans="1:20" x14ac:dyDescent="0.25">
      <c r="A405" s="5">
        <v>44188</v>
      </c>
      <c r="B405">
        <v>5.11E-3</v>
      </c>
      <c r="C405">
        <v>5.1700000000000001E-3</v>
      </c>
      <c r="D405">
        <v>4.1099999999999999E-3</v>
      </c>
      <c r="E405">
        <v>4.3499999999999997E-3</v>
      </c>
      <c r="F405">
        <v>390731131.89999998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-0.54716981132075526</v>
      </c>
      <c r="Q405">
        <f t="shared" si="975"/>
        <v>-213796279.71886814</v>
      </c>
      <c r="R405">
        <f t="shared" si="976"/>
        <v>522072813.43010747</v>
      </c>
      <c r="S405">
        <f t="shared" si="977"/>
        <v>5220.7281343010745</v>
      </c>
      <c r="T405">
        <f t="shared" si="978"/>
        <v>5.2207281343010745</v>
      </c>
    </row>
    <row r="406" spans="1:20" x14ac:dyDescent="0.25">
      <c r="A406" s="5">
        <v>44187</v>
      </c>
      <c r="B406">
        <v>5.0200000000000002E-3</v>
      </c>
      <c r="C406">
        <v>5.2399999999999999E-3</v>
      </c>
      <c r="D406">
        <v>4.8700000000000002E-3</v>
      </c>
      <c r="E406">
        <v>5.11E-3</v>
      </c>
      <c r="F406">
        <v>206944364.59999999</v>
      </c>
      <c r="G406">
        <v>0</v>
      </c>
      <c r="L406" t="s">
        <v>8</v>
      </c>
      <c r="M406" t="s">
        <v>7</v>
      </c>
      <c r="N406" t="s">
        <v>7</v>
      </c>
      <c r="P406">
        <f t="shared" si="974"/>
        <v>0.29729729729729715</v>
      </c>
      <c r="Q406">
        <f t="shared" si="975"/>
        <v>61524000.286486454</v>
      </c>
      <c r="R406">
        <f t="shared" si="976"/>
        <v>735869093.14897561</v>
      </c>
      <c r="S406">
        <f t="shared" si="977"/>
        <v>7358.6909314897557</v>
      </c>
      <c r="T406">
        <f t="shared" si="978"/>
        <v>7.3586909314897557</v>
      </c>
    </row>
    <row r="407" spans="1:20" x14ac:dyDescent="0.25">
      <c r="A407" s="5">
        <v>44186</v>
      </c>
      <c r="B407">
        <v>5.2700000000000004E-3</v>
      </c>
      <c r="C407">
        <v>5.3499999999999997E-3</v>
      </c>
      <c r="D407">
        <v>4.7299999999999998E-3</v>
      </c>
      <c r="E407">
        <v>5.0299999999999997E-3</v>
      </c>
      <c r="F407">
        <v>304858664.60000002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-3.2258064516129122E-2</v>
      </c>
      <c r="Q407">
        <f t="shared" si="975"/>
        <v>-9834150.4709677696</v>
      </c>
      <c r="R407">
        <f t="shared" si="976"/>
        <v>674345092.8624891</v>
      </c>
      <c r="S407">
        <f t="shared" si="977"/>
        <v>6743.4509286248913</v>
      </c>
      <c r="T407">
        <f t="shared" si="978"/>
        <v>6.7434509286248909</v>
      </c>
    </row>
    <row r="408" spans="1:20" x14ac:dyDescent="0.25">
      <c r="A408" s="5">
        <v>44185</v>
      </c>
      <c r="B408">
        <v>5.2100000000000002E-3</v>
      </c>
      <c r="C408">
        <v>5.4999999999999997E-3</v>
      </c>
      <c r="D408">
        <v>5.0899999999999999E-3</v>
      </c>
      <c r="E408">
        <v>5.28E-3</v>
      </c>
      <c r="F408">
        <v>397684695.30000001</v>
      </c>
      <c r="G408">
        <v>0</v>
      </c>
      <c r="L408" t="s">
        <v>8</v>
      </c>
      <c r="M408" t="s">
        <v>8</v>
      </c>
      <c r="N408" t="s">
        <v>7</v>
      </c>
      <c r="P408">
        <f t="shared" si="974"/>
        <v>-7.317073170731625E-2</v>
      </c>
      <c r="Q408">
        <f t="shared" si="975"/>
        <v>-29098880.143902112</v>
      </c>
      <c r="R408">
        <f t="shared" si="976"/>
        <v>684179243.33345687</v>
      </c>
      <c r="S408">
        <f t="shared" si="977"/>
        <v>6841.7924333345691</v>
      </c>
      <c r="T408">
        <f t="shared" si="978"/>
        <v>6.841792433334569</v>
      </c>
    </row>
    <row r="409" spans="1:20" x14ac:dyDescent="0.25">
      <c r="A409" s="5">
        <v>44184</v>
      </c>
      <c r="B409">
        <v>5.1700000000000001E-3</v>
      </c>
      <c r="C409">
        <v>5.3899999999999998E-3</v>
      </c>
      <c r="D409">
        <v>5.1399999999999996E-3</v>
      </c>
      <c r="E409">
        <v>5.2100000000000002E-3</v>
      </c>
      <c r="F409">
        <v>340599675.39999998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-0.43999999999999556</v>
      </c>
      <c r="Q409">
        <f t="shared" si="975"/>
        <v>-149863857.17599848</v>
      </c>
      <c r="R409">
        <f t="shared" si="976"/>
        <v>713278123.47735894</v>
      </c>
      <c r="S409">
        <f t="shared" si="977"/>
        <v>7132.7812347735889</v>
      </c>
      <c r="T409">
        <f t="shared" si="978"/>
        <v>7.1327812347735886</v>
      </c>
    </row>
    <row r="410" spans="1:20" x14ac:dyDescent="0.25">
      <c r="A410" s="5">
        <v>44183</v>
      </c>
      <c r="B410">
        <v>5.1200000000000004E-3</v>
      </c>
      <c r="C410">
        <v>5.3200000000000001E-3</v>
      </c>
      <c r="D410">
        <v>4.9500000000000004E-3</v>
      </c>
      <c r="E410">
        <v>5.1799999999999997E-3</v>
      </c>
      <c r="F410">
        <v>400141210.80000001</v>
      </c>
      <c r="G410">
        <v>0</v>
      </c>
      <c r="L410" t="s">
        <v>7</v>
      </c>
      <c r="M410" t="s">
        <v>8</v>
      </c>
      <c r="N410" t="s">
        <v>7</v>
      </c>
      <c r="P410">
        <f t="shared" si="974"/>
        <v>0.24324324324324059</v>
      </c>
      <c r="Q410">
        <f t="shared" si="975"/>
        <v>97331645.870269209</v>
      </c>
      <c r="R410">
        <f t="shared" si="976"/>
        <v>863141980.65335739</v>
      </c>
      <c r="S410">
        <f t="shared" si="977"/>
        <v>8631.4198065335731</v>
      </c>
      <c r="T410">
        <f t="shared" si="978"/>
        <v>8.6314198065335734</v>
      </c>
    </row>
    <row r="411" spans="1:20" x14ac:dyDescent="0.25">
      <c r="A411" s="5">
        <v>44182</v>
      </c>
      <c r="B411">
        <v>5.5700000000000003E-3</v>
      </c>
      <c r="C411">
        <v>5.7000000000000002E-3</v>
      </c>
      <c r="D411">
        <v>5.0600000000000003E-3</v>
      </c>
      <c r="E411">
        <v>5.1200000000000004E-3</v>
      </c>
      <c r="F411">
        <v>610840899.89999998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-0.81249999999999944</v>
      </c>
      <c r="Q411">
        <f t="shared" si="975"/>
        <v>-496308231.16874963</v>
      </c>
      <c r="R411">
        <f t="shared" si="976"/>
        <v>765810334.78308821</v>
      </c>
      <c r="S411">
        <f t="shared" si="977"/>
        <v>7658.1033478308818</v>
      </c>
      <c r="T411">
        <f t="shared" si="978"/>
        <v>7.658103347830882</v>
      </c>
    </row>
    <row r="412" spans="1:20" x14ac:dyDescent="0.25">
      <c r="A412" s="5">
        <v>44181</v>
      </c>
      <c r="B412">
        <v>5.4000000000000003E-3</v>
      </c>
      <c r="C412">
        <v>5.6899999999999997E-3</v>
      </c>
      <c r="D412">
        <v>5.2100000000000002E-3</v>
      </c>
      <c r="E412">
        <v>5.5700000000000003E-3</v>
      </c>
      <c r="F412">
        <v>510553532.5</v>
      </c>
      <c r="G412">
        <v>0</v>
      </c>
      <c r="L412" t="s">
        <v>8</v>
      </c>
      <c r="M412" t="s">
        <v>8</v>
      </c>
      <c r="N412" t="s">
        <v>7</v>
      </c>
      <c r="P412">
        <f t="shared" si="974"/>
        <v>0.50000000000000178</v>
      </c>
      <c r="Q412">
        <f t="shared" si="975"/>
        <v>255276766.25000089</v>
      </c>
      <c r="R412">
        <f t="shared" si="976"/>
        <v>1262118565.9518378</v>
      </c>
      <c r="S412">
        <f t="shared" si="977"/>
        <v>12621.185659518378</v>
      </c>
      <c r="T412">
        <f t="shared" si="978"/>
        <v>12.621185659518378</v>
      </c>
    </row>
    <row r="413" spans="1:20" x14ac:dyDescent="0.25">
      <c r="A413" s="5">
        <v>44180</v>
      </c>
      <c r="B413">
        <v>5.2399999999999999E-3</v>
      </c>
      <c r="C413">
        <v>5.5199999999999997E-3</v>
      </c>
      <c r="D413">
        <v>5.0600000000000003E-3</v>
      </c>
      <c r="E413">
        <v>5.4000000000000003E-3</v>
      </c>
      <c r="F413">
        <v>267864124.90000001</v>
      </c>
      <c r="G413">
        <v>0</v>
      </c>
      <c r="L413" t="s">
        <v>8</v>
      </c>
      <c r="M413" t="s">
        <v>8</v>
      </c>
      <c r="N413" t="s">
        <v>7</v>
      </c>
      <c r="P413">
        <f t="shared" si="974"/>
        <v>0.47826086956521918</v>
      </c>
      <c r="Q413">
        <f t="shared" si="975"/>
        <v>128108929.30000049</v>
      </c>
      <c r="R413">
        <f t="shared" si="976"/>
        <v>1006841799.7018368</v>
      </c>
      <c r="S413">
        <f t="shared" si="977"/>
        <v>10068.417997018369</v>
      </c>
      <c r="T413">
        <f t="shared" si="978"/>
        <v>10.068417997018368</v>
      </c>
    </row>
    <row r="414" spans="1:20" x14ac:dyDescent="0.25">
      <c r="A414" s="5">
        <v>44179</v>
      </c>
      <c r="B414">
        <v>5.4000000000000003E-3</v>
      </c>
      <c r="C414">
        <v>5.4099999999999999E-3</v>
      </c>
      <c r="D414">
        <v>5.0299999999999997E-3</v>
      </c>
      <c r="E414">
        <v>5.2300000000000003E-3</v>
      </c>
      <c r="F414">
        <v>270227604.10000002</v>
      </c>
      <c r="G414">
        <v>0</v>
      </c>
      <c r="L414" t="s">
        <v>7</v>
      </c>
      <c r="M414" t="s">
        <v>8</v>
      </c>
      <c r="N414" t="s">
        <v>7</v>
      </c>
      <c r="P414">
        <f t="shared" si="974"/>
        <v>5.2631578947370826E-2</v>
      </c>
      <c r="Q414">
        <f t="shared" si="975"/>
        <v>14222505.478948019</v>
      </c>
      <c r="R414">
        <f t="shared" si="976"/>
        <v>878732870.4018364</v>
      </c>
      <c r="S414">
        <f t="shared" si="977"/>
        <v>8787.3287040183641</v>
      </c>
      <c r="T414">
        <f t="shared" si="978"/>
        <v>8.7873287040183641</v>
      </c>
    </row>
    <row r="415" spans="1:20" x14ac:dyDescent="0.25">
      <c r="A415" s="5">
        <v>44178</v>
      </c>
      <c r="B415">
        <v>5.2500000000000003E-3</v>
      </c>
      <c r="C415">
        <v>5.5799999999999999E-3</v>
      </c>
      <c r="D415">
        <v>5.0600000000000003E-3</v>
      </c>
      <c r="E415">
        <v>5.4099999999999999E-3</v>
      </c>
      <c r="F415">
        <v>315979747.19999999</v>
      </c>
      <c r="G415">
        <v>0</v>
      </c>
      <c r="L415" t="s">
        <v>8</v>
      </c>
      <c r="M415" t="s">
        <v>8</v>
      </c>
      <c r="N415" t="s">
        <v>7</v>
      </c>
      <c r="P415">
        <f t="shared" si="974"/>
        <v>0.34615384615384565</v>
      </c>
      <c r="Q415">
        <f t="shared" si="975"/>
        <v>109377604.79999983</v>
      </c>
      <c r="R415">
        <f t="shared" si="976"/>
        <v>864510364.9228884</v>
      </c>
      <c r="S415">
        <f t="shared" si="977"/>
        <v>8645.103649228884</v>
      </c>
      <c r="T415">
        <f t="shared" si="978"/>
        <v>8.6451036492288846</v>
      </c>
    </row>
    <row r="416" spans="1:20" x14ac:dyDescent="0.25">
      <c r="A416" s="5">
        <v>44177</v>
      </c>
      <c r="B416">
        <v>4.5399999999999998E-3</v>
      </c>
      <c r="C416">
        <v>5.2900000000000004E-3</v>
      </c>
      <c r="D416">
        <v>4.5399999999999998E-3</v>
      </c>
      <c r="E416">
        <v>5.2599999999999999E-3</v>
      </c>
      <c r="F416">
        <v>329520951.19999999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0.91999999999999871</v>
      </c>
      <c r="Q416">
        <f t="shared" si="975"/>
        <v>303159275.10399956</v>
      </c>
      <c r="R416">
        <f t="shared" si="976"/>
        <v>755132760.12288857</v>
      </c>
      <c r="S416">
        <f t="shared" si="977"/>
        <v>7551.3276012288852</v>
      </c>
      <c r="T416">
        <f t="shared" si="978"/>
        <v>7.551327601228885</v>
      </c>
    </row>
    <row r="417" spans="1:20" x14ac:dyDescent="0.25">
      <c r="A417" s="5">
        <v>44176</v>
      </c>
      <c r="B417">
        <v>4.8199999999999996E-3</v>
      </c>
      <c r="C417">
        <v>4.8399999999999997E-3</v>
      </c>
      <c r="D417">
        <v>4.5300000000000002E-3</v>
      </c>
      <c r="E417">
        <v>4.5500000000000002E-3</v>
      </c>
      <c r="F417">
        <v>209675178.69999999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-0.87096774193548332</v>
      </c>
      <c r="Q417">
        <f t="shared" si="975"/>
        <v>-182620316.93225795</v>
      </c>
      <c r="R417">
        <f t="shared" si="976"/>
        <v>451973485.01888901</v>
      </c>
      <c r="S417">
        <f t="shared" si="977"/>
        <v>4519.7348501888901</v>
      </c>
      <c r="T417">
        <f t="shared" si="978"/>
        <v>4.5197348501888897</v>
      </c>
    </row>
    <row r="418" spans="1:20" x14ac:dyDescent="0.25">
      <c r="A418" s="5">
        <v>44175</v>
      </c>
      <c r="B418">
        <v>5.1399999999999996E-3</v>
      </c>
      <c r="C418">
        <v>5.1900000000000002E-3</v>
      </c>
      <c r="D418">
        <v>4.79E-3</v>
      </c>
      <c r="E418">
        <v>4.8199999999999996E-3</v>
      </c>
      <c r="F418">
        <v>157436764.80000001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-0.85000000000000187</v>
      </c>
      <c r="Q418">
        <f t="shared" si="975"/>
        <v>-133821250.08000031</v>
      </c>
      <c r="R418">
        <f t="shared" si="976"/>
        <v>634593801.95114696</v>
      </c>
      <c r="S418">
        <f t="shared" si="977"/>
        <v>6345.93801951147</v>
      </c>
      <c r="T418">
        <f t="shared" si="978"/>
        <v>6.3459380195114701</v>
      </c>
    </row>
    <row r="419" spans="1:20" x14ac:dyDescent="0.25">
      <c r="A419" s="5">
        <v>44174</v>
      </c>
      <c r="B419">
        <v>4.7400000000000003E-3</v>
      </c>
      <c r="C419">
        <v>5.1900000000000002E-3</v>
      </c>
      <c r="D419">
        <v>4.6100000000000004E-3</v>
      </c>
      <c r="E419">
        <v>5.1399999999999996E-3</v>
      </c>
      <c r="F419">
        <v>286529192.30000001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0.82758620689654971</v>
      </c>
      <c r="Q419">
        <f t="shared" si="975"/>
        <v>237127607.42068908</v>
      </c>
      <c r="R419">
        <f t="shared" si="976"/>
        <v>768415052.03114724</v>
      </c>
      <c r="S419">
        <f t="shared" si="977"/>
        <v>7684.1505203114721</v>
      </c>
      <c r="T419">
        <f t="shared" si="978"/>
        <v>7.6841505203114719</v>
      </c>
    </row>
    <row r="420" spans="1:20" x14ac:dyDescent="0.25">
      <c r="A420" s="5">
        <v>44173</v>
      </c>
      <c r="B420">
        <v>5.1799999999999997E-3</v>
      </c>
      <c r="C420">
        <v>5.1900000000000002E-3</v>
      </c>
      <c r="D420">
        <v>4.6800000000000001E-3</v>
      </c>
      <c r="E420">
        <v>4.7400000000000003E-3</v>
      </c>
      <c r="F420">
        <v>190171605.19999999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-0.76470588235294057</v>
      </c>
      <c r="Q420">
        <f t="shared" si="975"/>
        <v>-145425345.15294105</v>
      </c>
      <c r="R420">
        <f t="shared" si="976"/>
        <v>531287444.6104582</v>
      </c>
      <c r="S420">
        <f t="shared" si="977"/>
        <v>5312.8744461045817</v>
      </c>
      <c r="T420">
        <f t="shared" si="978"/>
        <v>5.3128744461045816</v>
      </c>
    </row>
    <row r="421" spans="1:20" x14ac:dyDescent="0.25">
      <c r="A421" s="5">
        <v>44172</v>
      </c>
      <c r="B421">
        <v>5.1200000000000004E-3</v>
      </c>
      <c r="C421">
        <v>5.2500000000000003E-3</v>
      </c>
      <c r="D421">
        <v>4.8199999999999996E-3</v>
      </c>
      <c r="E421">
        <v>5.1700000000000001E-3</v>
      </c>
      <c r="F421">
        <v>234013019.19999999</v>
      </c>
      <c r="G421">
        <v>0</v>
      </c>
      <c r="L421" t="s">
        <v>7</v>
      </c>
      <c r="M421" t="s">
        <v>7</v>
      </c>
      <c r="N421" t="s">
        <v>7</v>
      </c>
      <c r="P421">
        <f t="shared" si="974"/>
        <v>0.62790697674418572</v>
      </c>
      <c r="Q421">
        <f t="shared" si="975"/>
        <v>146938407.40465108</v>
      </c>
      <c r="R421">
        <f t="shared" si="976"/>
        <v>676712789.76339924</v>
      </c>
      <c r="S421">
        <f t="shared" si="977"/>
        <v>6767.1278976339927</v>
      </c>
      <c r="T421">
        <f t="shared" si="978"/>
        <v>6.7671278976339924</v>
      </c>
    </row>
    <row r="422" spans="1:20" x14ac:dyDescent="0.25">
      <c r="A422" s="5">
        <v>44171</v>
      </c>
      <c r="B422">
        <v>5.1700000000000001E-3</v>
      </c>
      <c r="C422">
        <v>5.2599999999999999E-3</v>
      </c>
      <c r="D422">
        <v>5.0299999999999997E-3</v>
      </c>
      <c r="E422">
        <v>5.11E-3</v>
      </c>
      <c r="F422">
        <v>110602224.09999999</v>
      </c>
      <c r="G422">
        <v>0</v>
      </c>
      <c r="L422" t="s">
        <v>8</v>
      </c>
      <c r="M422" t="s">
        <v>7</v>
      </c>
      <c r="N422" t="s">
        <v>7</v>
      </c>
      <c r="P422">
        <f t="shared" si="974"/>
        <v>-0.30434782608695521</v>
      </c>
      <c r="Q422">
        <f t="shared" si="975"/>
        <v>-33661546.465217248</v>
      </c>
      <c r="R422">
        <f t="shared" si="976"/>
        <v>529774382.3587482</v>
      </c>
      <c r="S422">
        <f t="shared" si="977"/>
        <v>5297.7438235874815</v>
      </c>
      <c r="T422">
        <f t="shared" si="978"/>
        <v>5.2977438235874814</v>
      </c>
    </row>
    <row r="423" spans="1:20" x14ac:dyDescent="0.25">
      <c r="A423" s="5">
        <v>44170</v>
      </c>
      <c r="B423">
        <v>5.0800000000000003E-3</v>
      </c>
      <c r="C423">
        <v>5.2900000000000004E-3</v>
      </c>
      <c r="D423">
        <v>4.8999999999999998E-3</v>
      </c>
      <c r="E423">
        <v>5.1799999999999997E-3</v>
      </c>
      <c r="F423">
        <v>140510272.69999999</v>
      </c>
      <c r="G423">
        <v>0</v>
      </c>
      <c r="L423" t="s">
        <v>7</v>
      </c>
      <c r="M423" t="s">
        <v>7</v>
      </c>
      <c r="N423" t="s">
        <v>7</v>
      </c>
      <c r="P423">
        <f t="shared" si="974"/>
        <v>0.43589743589743307</v>
      </c>
      <c r="Q423">
        <f t="shared" si="975"/>
        <v>61248067.587179087</v>
      </c>
      <c r="R423">
        <f t="shared" si="976"/>
        <v>563435928.82396543</v>
      </c>
      <c r="S423">
        <f t="shared" si="977"/>
        <v>5634.3592882396542</v>
      </c>
      <c r="T423">
        <f t="shared" si="978"/>
        <v>5.6343592882396543</v>
      </c>
    </row>
    <row r="424" spans="1:20" x14ac:dyDescent="0.25">
      <c r="A424" s="5">
        <v>44169</v>
      </c>
      <c r="B424">
        <v>5.3E-3</v>
      </c>
      <c r="C424">
        <v>5.4299999999999999E-3</v>
      </c>
      <c r="D424">
        <v>4.9699999999999996E-3</v>
      </c>
      <c r="E424">
        <v>5.0800000000000003E-3</v>
      </c>
      <c r="F424">
        <v>224465899.09999999</v>
      </c>
      <c r="G424">
        <v>0</v>
      </c>
      <c r="L424" t="s">
        <v>7</v>
      </c>
      <c r="M424" t="s">
        <v>8</v>
      </c>
      <c r="N424" t="s">
        <v>7</v>
      </c>
      <c r="P424">
        <f t="shared" si="974"/>
        <v>-0.52173913043477982</v>
      </c>
      <c r="Q424">
        <f t="shared" si="975"/>
        <v>-117112643.00869502</v>
      </c>
      <c r="R424">
        <f t="shared" si="976"/>
        <v>502187861.23678637</v>
      </c>
      <c r="S424">
        <f t="shared" si="977"/>
        <v>5021.8786123678638</v>
      </c>
      <c r="T424">
        <f t="shared" si="978"/>
        <v>5.021878612367864</v>
      </c>
    </row>
    <row r="425" spans="1:20" x14ac:dyDescent="0.25">
      <c r="A425" s="5">
        <v>44168</v>
      </c>
      <c r="B425">
        <v>5.4000000000000003E-3</v>
      </c>
      <c r="C425">
        <v>5.4400000000000004E-3</v>
      </c>
      <c r="D425">
        <v>5.2500000000000003E-3</v>
      </c>
      <c r="E425">
        <v>5.3099999999999996E-3</v>
      </c>
      <c r="F425">
        <v>211964062.40000001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-0.36842105263158664</v>
      </c>
      <c r="Q425">
        <f t="shared" si="975"/>
        <v>-78092022.989475325</v>
      </c>
      <c r="R425">
        <f t="shared" si="976"/>
        <v>619300504.24548137</v>
      </c>
      <c r="S425">
        <f t="shared" si="977"/>
        <v>6193.0050424548135</v>
      </c>
      <c r="T425">
        <f t="shared" si="978"/>
        <v>6.1930050424548133</v>
      </c>
    </row>
    <row r="426" spans="1:20" x14ac:dyDescent="0.25">
      <c r="A426" s="5">
        <v>44167</v>
      </c>
      <c r="B426">
        <v>5.3099999999999996E-3</v>
      </c>
      <c r="C426">
        <v>5.4799999999999996E-3</v>
      </c>
      <c r="D426">
        <v>5.2300000000000003E-3</v>
      </c>
      <c r="E426">
        <v>5.4000000000000003E-3</v>
      </c>
      <c r="F426">
        <v>191395427.5</v>
      </c>
      <c r="G426">
        <v>0</v>
      </c>
      <c r="L426" t="s">
        <v>8</v>
      </c>
      <c r="M426" t="s">
        <v>8</v>
      </c>
      <c r="N426" t="s">
        <v>7</v>
      </c>
      <c r="P426">
        <f t="shared" si="974"/>
        <v>0.36000000000000359</v>
      </c>
      <c r="Q426">
        <f t="shared" si="975"/>
        <v>68902353.900000691</v>
      </c>
      <c r="R426">
        <f t="shared" si="976"/>
        <v>697392527.23495674</v>
      </c>
      <c r="S426">
        <f t="shared" si="977"/>
        <v>6973.9252723495674</v>
      </c>
      <c r="T426">
        <f t="shared" si="978"/>
        <v>6.9739252723495673</v>
      </c>
    </row>
    <row r="427" spans="1:20" x14ac:dyDescent="0.25">
      <c r="A427" s="5">
        <v>44166</v>
      </c>
      <c r="B427">
        <v>5.5799999999999999E-3</v>
      </c>
      <c r="C427">
        <v>5.6899999999999997E-3</v>
      </c>
      <c r="D427">
        <v>5.11E-3</v>
      </c>
      <c r="E427">
        <v>5.3099999999999996E-3</v>
      </c>
      <c r="F427">
        <v>499248885.30000001</v>
      </c>
      <c r="G427">
        <v>0</v>
      </c>
      <c r="L427" t="s">
        <v>7</v>
      </c>
      <c r="M427" t="s">
        <v>8</v>
      </c>
      <c r="N427" t="s">
        <v>7</v>
      </c>
      <c r="P427">
        <f t="shared" si="974"/>
        <v>-0.31034482758620785</v>
      </c>
      <c r="Q427">
        <f t="shared" si="975"/>
        <v>-154939309.23103496</v>
      </c>
      <c r="R427">
        <f t="shared" si="976"/>
        <v>628490173.33495605</v>
      </c>
      <c r="S427">
        <f t="shared" si="977"/>
        <v>6284.9017333495603</v>
      </c>
      <c r="T427">
        <f t="shared" si="978"/>
        <v>6.2849017333495603</v>
      </c>
    </row>
    <row r="428" spans="1:20" x14ac:dyDescent="0.25">
      <c r="A428" s="5">
        <v>44165</v>
      </c>
      <c r="B428">
        <v>5.4099999999999999E-3</v>
      </c>
      <c r="C428">
        <v>5.6699999999999997E-3</v>
      </c>
      <c r="D428">
        <v>5.2700000000000004E-3</v>
      </c>
      <c r="E428">
        <v>5.5900000000000004E-3</v>
      </c>
      <c r="F428">
        <v>268358212.69999999</v>
      </c>
      <c r="G428">
        <v>0</v>
      </c>
      <c r="L428" t="s">
        <v>7</v>
      </c>
      <c r="M428" t="s">
        <v>8</v>
      </c>
      <c r="N428" t="s">
        <v>7</v>
      </c>
      <c r="P428">
        <f t="shared" si="974"/>
        <v>0.60000000000000264</v>
      </c>
      <c r="Q428">
        <f t="shared" si="975"/>
        <v>161014927.62000069</v>
      </c>
      <c r="R428">
        <f t="shared" si="976"/>
        <v>783429482.56599104</v>
      </c>
      <c r="S428">
        <f t="shared" si="977"/>
        <v>7834.2948256599102</v>
      </c>
      <c r="T428">
        <f t="shared" si="978"/>
        <v>7.8342948256599101</v>
      </c>
    </row>
    <row r="429" spans="1:20" x14ac:dyDescent="0.25">
      <c r="A429" s="5">
        <v>44164</v>
      </c>
      <c r="B429">
        <v>5.3499999999999997E-3</v>
      </c>
      <c r="C429">
        <v>5.7999999999999996E-3</v>
      </c>
      <c r="D429">
        <v>5.2599999999999999E-3</v>
      </c>
      <c r="E429">
        <v>5.4099999999999999E-3</v>
      </c>
      <c r="F429">
        <v>215821934.30000001</v>
      </c>
      <c r="G429">
        <v>0</v>
      </c>
      <c r="L429" t="s">
        <v>8</v>
      </c>
      <c r="M429" t="s">
        <v>8</v>
      </c>
      <c r="N429" t="s">
        <v>7</v>
      </c>
      <c r="P429">
        <f t="shared" si="974"/>
        <v>-0.44444444444444425</v>
      </c>
      <c r="Q429">
        <f t="shared" si="975"/>
        <v>-95920859.688888848</v>
      </c>
      <c r="R429">
        <f t="shared" si="976"/>
        <v>622414554.94599032</v>
      </c>
      <c r="S429">
        <f t="shared" si="977"/>
        <v>6224.1455494599031</v>
      </c>
      <c r="T429">
        <f t="shared" si="978"/>
        <v>6.2241455494599034</v>
      </c>
    </row>
    <row r="430" spans="1:20" x14ac:dyDescent="0.25">
      <c r="A430" s="5">
        <v>44163</v>
      </c>
      <c r="B430">
        <v>5.0000000000000001E-3</v>
      </c>
      <c r="C430">
        <v>5.4400000000000004E-3</v>
      </c>
      <c r="D430">
        <v>4.9300000000000004E-3</v>
      </c>
      <c r="E430">
        <v>5.3499999999999997E-3</v>
      </c>
      <c r="F430">
        <v>245533330.5</v>
      </c>
      <c r="G430">
        <v>0</v>
      </c>
      <c r="L430" t="s">
        <v>7</v>
      </c>
      <c r="M430" t="s">
        <v>7</v>
      </c>
      <c r="N430" t="s">
        <v>7</v>
      </c>
      <c r="P430">
        <f t="shared" si="974"/>
        <v>0.64705882352940913</v>
      </c>
      <c r="Q430">
        <f t="shared" si="975"/>
        <v>158874507.97058758</v>
      </c>
      <c r="R430">
        <f t="shared" si="976"/>
        <v>718335414.63487911</v>
      </c>
      <c r="S430">
        <f t="shared" si="977"/>
        <v>7183.3541463487909</v>
      </c>
      <c r="T430">
        <f t="shared" si="978"/>
        <v>7.1833541463487913</v>
      </c>
    </row>
    <row r="431" spans="1:20" x14ac:dyDescent="0.25">
      <c r="A431" s="5">
        <v>44162</v>
      </c>
      <c r="B431">
        <v>5.3E-3</v>
      </c>
      <c r="C431">
        <v>5.4200000000000003E-3</v>
      </c>
      <c r="D431">
        <v>4.7699999999999999E-3</v>
      </c>
      <c r="E431">
        <v>5.0000000000000001E-3</v>
      </c>
      <c r="F431">
        <v>269439307.5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-0.29230769230769221</v>
      </c>
      <c r="Q431">
        <f t="shared" si="975"/>
        <v>-78759182.192307666</v>
      </c>
      <c r="R431">
        <f t="shared" si="976"/>
        <v>559460906.6642915</v>
      </c>
      <c r="S431">
        <f t="shared" si="977"/>
        <v>5594.6090666429154</v>
      </c>
      <c r="T431">
        <f t="shared" si="978"/>
        <v>5.5946090666429154</v>
      </c>
    </row>
    <row r="432" spans="1:20" x14ac:dyDescent="0.25">
      <c r="A432" s="5">
        <v>44161</v>
      </c>
      <c r="B432">
        <v>6.0699999999999999E-3</v>
      </c>
      <c r="C432">
        <v>6.43E-3</v>
      </c>
      <c r="D432">
        <v>4.7600000000000003E-3</v>
      </c>
      <c r="E432">
        <v>5.2900000000000004E-3</v>
      </c>
      <c r="F432">
        <v>718338086.70000005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-0.36526946107784408</v>
      </c>
      <c r="Q432">
        <f t="shared" si="975"/>
        <v>-262386965.80059865</v>
      </c>
      <c r="R432">
        <f t="shared" si="976"/>
        <v>638220088.85659921</v>
      </c>
      <c r="S432">
        <f t="shared" si="977"/>
        <v>6382.2008885659925</v>
      </c>
      <c r="T432">
        <f t="shared" si="978"/>
        <v>6.3822008885659924</v>
      </c>
    </row>
    <row r="433" spans="1:20" x14ac:dyDescent="0.25">
      <c r="A433" s="5">
        <v>44160</v>
      </c>
      <c r="B433">
        <v>5.9699999999999996E-3</v>
      </c>
      <c r="C433">
        <v>6.8500000000000002E-3</v>
      </c>
      <c r="D433">
        <v>5.7099999999999998E-3</v>
      </c>
      <c r="E433">
        <v>6.0600000000000003E-3</v>
      </c>
      <c r="F433">
        <v>622973714.5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-0.38596491228070112</v>
      </c>
      <c r="Q433">
        <f t="shared" si="975"/>
        <v>-240445995.07017505</v>
      </c>
      <c r="R433">
        <f t="shared" si="976"/>
        <v>900607054.65719783</v>
      </c>
      <c r="S433">
        <f t="shared" si="977"/>
        <v>9006.0705465719784</v>
      </c>
      <c r="T433">
        <f t="shared" si="978"/>
        <v>9.0060705465719781</v>
      </c>
    </row>
    <row r="434" spans="1:20" x14ac:dyDescent="0.25">
      <c r="A434" s="5">
        <v>44159</v>
      </c>
      <c r="B434">
        <v>5.45E-3</v>
      </c>
      <c r="C434">
        <v>6.3099999999999996E-3</v>
      </c>
      <c r="D434">
        <v>5.4099999999999999E-3</v>
      </c>
      <c r="E434">
        <v>5.9699999999999996E-3</v>
      </c>
      <c r="F434">
        <v>606799886.29999995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0.24444444444444419</v>
      </c>
      <c r="Q434">
        <f t="shared" si="975"/>
        <v>148328861.09555539</v>
      </c>
      <c r="R434">
        <f t="shared" si="976"/>
        <v>1141053049.7273729</v>
      </c>
      <c r="S434">
        <f t="shared" si="977"/>
        <v>11410.530497273729</v>
      </c>
      <c r="T434">
        <f t="shared" si="978"/>
        <v>11.410530497273729</v>
      </c>
    </row>
    <row r="435" spans="1:20" x14ac:dyDescent="0.25">
      <c r="A435" s="5">
        <v>44158</v>
      </c>
      <c r="B435">
        <v>5.1799999999999997E-3</v>
      </c>
      <c r="C435">
        <v>5.9100000000000003E-3</v>
      </c>
      <c r="D435">
        <v>5.0899999999999999E-3</v>
      </c>
      <c r="E435">
        <v>5.45E-3</v>
      </c>
      <c r="F435">
        <v>562355007.60000002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-0.12195121951219538</v>
      </c>
      <c r="Q435">
        <f t="shared" si="975"/>
        <v>-68579878.975609899</v>
      </c>
      <c r="R435">
        <f t="shared" si="976"/>
        <v>992724188.63181758</v>
      </c>
      <c r="S435">
        <f t="shared" si="977"/>
        <v>9927.2418863181756</v>
      </c>
      <c r="T435">
        <f t="shared" si="978"/>
        <v>9.9272418863181748</v>
      </c>
    </row>
    <row r="436" spans="1:20" x14ac:dyDescent="0.25">
      <c r="A436" s="5">
        <v>44157</v>
      </c>
      <c r="B436">
        <v>5.5799999999999999E-3</v>
      </c>
      <c r="C436">
        <v>5.77E-3</v>
      </c>
      <c r="D436">
        <v>4.9800000000000001E-3</v>
      </c>
      <c r="E436">
        <v>5.1900000000000002E-3</v>
      </c>
      <c r="F436">
        <v>410563447.19999999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-0.4683544303797465</v>
      </c>
      <c r="Q436">
        <f t="shared" si="975"/>
        <v>-192289209.44810113</v>
      </c>
      <c r="R436">
        <f t="shared" si="976"/>
        <v>1061304067.6074275</v>
      </c>
      <c r="S436">
        <f t="shared" si="977"/>
        <v>10613.040676074275</v>
      </c>
      <c r="T436">
        <f t="shared" si="978"/>
        <v>10.613040676074275</v>
      </c>
    </row>
    <row r="437" spans="1:20" x14ac:dyDescent="0.25">
      <c r="A437" s="5">
        <v>44156</v>
      </c>
      <c r="B437">
        <v>5.11E-3</v>
      </c>
      <c r="C437">
        <v>5.6499999999999996E-3</v>
      </c>
      <c r="D437">
        <v>5.1000000000000004E-3</v>
      </c>
      <c r="E437">
        <v>5.5700000000000003E-3</v>
      </c>
      <c r="F437">
        <v>460326750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0.7090909090909111</v>
      </c>
      <c r="Q437">
        <f t="shared" si="975"/>
        <v>326413513.63636458</v>
      </c>
      <c r="R437">
        <f t="shared" si="976"/>
        <v>1253593277.0555286</v>
      </c>
      <c r="S437">
        <f t="shared" si="977"/>
        <v>12535.932770555286</v>
      </c>
      <c r="T437">
        <f t="shared" si="978"/>
        <v>12.535932770555286</v>
      </c>
    </row>
    <row r="438" spans="1:20" x14ac:dyDescent="0.25">
      <c r="A438" s="5">
        <v>44155</v>
      </c>
      <c r="B438">
        <v>4.6499999999999996E-3</v>
      </c>
      <c r="C438">
        <v>5.3299999999999997E-3</v>
      </c>
      <c r="D438">
        <v>4.5900000000000003E-3</v>
      </c>
      <c r="E438">
        <v>5.11E-3</v>
      </c>
      <c r="F438">
        <v>420852640.19999999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0.40540540540540565</v>
      </c>
      <c r="Q438">
        <f t="shared" si="975"/>
        <v>170615935.21621633</v>
      </c>
      <c r="R438">
        <f t="shared" si="976"/>
        <v>927179763.41916406</v>
      </c>
      <c r="S438">
        <f t="shared" si="977"/>
        <v>9271.7976341916401</v>
      </c>
      <c r="T438">
        <f t="shared" si="978"/>
        <v>9.2717976341916408</v>
      </c>
    </row>
    <row r="439" spans="1:20" x14ac:dyDescent="0.25">
      <c r="A439" s="5">
        <v>44154</v>
      </c>
      <c r="B439">
        <v>4.7600000000000003E-3</v>
      </c>
      <c r="C439">
        <v>4.9300000000000004E-3</v>
      </c>
      <c r="D439">
        <v>4.5199999999999997E-3</v>
      </c>
      <c r="E439">
        <v>4.6499999999999996E-3</v>
      </c>
      <c r="F439">
        <v>217783463.5</v>
      </c>
      <c r="G439">
        <v>0</v>
      </c>
      <c r="L439" t="s">
        <v>8</v>
      </c>
      <c r="M439" t="s">
        <v>7</v>
      </c>
      <c r="N439" t="s">
        <v>8</v>
      </c>
      <c r="P439">
        <f t="shared" si="974"/>
        <v>-0.3658536585365868</v>
      </c>
      <c r="Q439">
        <f t="shared" si="975"/>
        <v>-79676876.890244216</v>
      </c>
      <c r="R439">
        <f t="shared" si="976"/>
        <v>756563828.20294774</v>
      </c>
      <c r="S439">
        <f t="shared" si="977"/>
        <v>7565.6382820294775</v>
      </c>
      <c r="T439">
        <f t="shared" si="978"/>
        <v>7.5656382820294779</v>
      </c>
    </row>
    <row r="440" spans="1:20" x14ac:dyDescent="0.25">
      <c r="A440" s="5">
        <v>44153</v>
      </c>
      <c r="B440">
        <v>4.9699999999999996E-3</v>
      </c>
      <c r="C440">
        <v>5.0600000000000003E-3</v>
      </c>
      <c r="D440">
        <v>4.4299999999999999E-3</v>
      </c>
      <c r="E440">
        <v>4.7600000000000003E-3</v>
      </c>
      <c r="F440">
        <v>287651986.89999998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4.7619047619048407E-2</v>
      </c>
      <c r="Q440">
        <f t="shared" si="975"/>
        <v>13697713.661904987</v>
      </c>
      <c r="R440">
        <f t="shared" si="976"/>
        <v>836240705.09319198</v>
      </c>
      <c r="S440">
        <f t="shared" si="977"/>
        <v>8362.407050931919</v>
      </c>
      <c r="T440">
        <f t="shared" si="978"/>
        <v>8.3624070509319193</v>
      </c>
    </row>
    <row r="441" spans="1:20" x14ac:dyDescent="0.25">
      <c r="A441" s="5">
        <v>44152</v>
      </c>
      <c r="B441">
        <v>4.9100000000000003E-3</v>
      </c>
      <c r="C441">
        <v>5.1900000000000002E-3</v>
      </c>
      <c r="D441">
        <v>4.8599999999999997E-3</v>
      </c>
      <c r="E441">
        <v>4.9899999999999996E-3</v>
      </c>
      <c r="F441">
        <v>194183283.80000001</v>
      </c>
      <c r="G441">
        <v>0</v>
      </c>
      <c r="L441" t="s">
        <v>8</v>
      </c>
      <c r="M441" t="s">
        <v>7</v>
      </c>
      <c r="N441" t="s">
        <v>8</v>
      </c>
      <c r="P441">
        <f t="shared" si="974"/>
        <v>-0.21212121212121371</v>
      </c>
      <c r="Q441">
        <f t="shared" si="975"/>
        <v>-41190393.533333644</v>
      </c>
      <c r="R441">
        <f t="shared" si="976"/>
        <v>822542991.43128705</v>
      </c>
      <c r="S441">
        <f t="shared" si="977"/>
        <v>8225.4299143128701</v>
      </c>
      <c r="T441">
        <f t="shared" si="978"/>
        <v>8.2254299143128708</v>
      </c>
    </row>
    <row r="442" spans="1:20" x14ac:dyDescent="0.25">
      <c r="A442" s="5">
        <v>44151</v>
      </c>
      <c r="B442">
        <v>4.7299999999999998E-3</v>
      </c>
      <c r="C442">
        <v>5.0200000000000002E-3</v>
      </c>
      <c r="D442">
        <v>4.6800000000000001E-3</v>
      </c>
      <c r="E442">
        <v>4.9100000000000003E-3</v>
      </c>
      <c r="F442">
        <v>164429727.40000001</v>
      </c>
      <c r="G442">
        <v>0</v>
      </c>
      <c r="L442" t="s">
        <v>8</v>
      </c>
      <c r="M442" t="s">
        <v>7</v>
      </c>
      <c r="N442" t="s">
        <v>8</v>
      </c>
      <c r="P442">
        <f t="shared" si="974"/>
        <v>0.35294117647058915</v>
      </c>
      <c r="Q442">
        <f t="shared" si="975"/>
        <v>58034021.435294271</v>
      </c>
      <c r="R442">
        <f t="shared" si="976"/>
        <v>863733384.96462071</v>
      </c>
      <c r="S442">
        <f t="shared" si="977"/>
        <v>8637.3338496462075</v>
      </c>
      <c r="T442">
        <f t="shared" si="978"/>
        <v>8.6373338496462075</v>
      </c>
    </row>
    <row r="443" spans="1:20" x14ac:dyDescent="0.25">
      <c r="A443" s="5">
        <v>44150</v>
      </c>
      <c r="B443">
        <v>4.8700000000000002E-3</v>
      </c>
      <c r="C443">
        <v>5.0099999999999997E-3</v>
      </c>
      <c r="D443">
        <v>4.6299999999999996E-3</v>
      </c>
      <c r="E443">
        <v>4.7400000000000003E-3</v>
      </c>
      <c r="F443">
        <v>175408664.59999999</v>
      </c>
      <c r="G443">
        <v>0</v>
      </c>
      <c r="L443" t="s">
        <v>7</v>
      </c>
      <c r="M443" t="s">
        <v>7</v>
      </c>
      <c r="N443" t="s">
        <v>8</v>
      </c>
      <c r="P443">
        <f t="shared" si="974"/>
        <v>-0.42105263157894374</v>
      </c>
      <c r="Q443">
        <f t="shared" si="975"/>
        <v>-73856279.831578314</v>
      </c>
      <c r="R443">
        <f t="shared" si="976"/>
        <v>805699363.52932644</v>
      </c>
      <c r="S443">
        <f t="shared" si="977"/>
        <v>8056.9936352932646</v>
      </c>
      <c r="T443">
        <f t="shared" si="978"/>
        <v>8.0569936352932654</v>
      </c>
    </row>
    <row r="444" spans="1:20" x14ac:dyDescent="0.25">
      <c r="A444" s="5">
        <v>44149</v>
      </c>
      <c r="B444">
        <v>5.2199999999999998E-3</v>
      </c>
      <c r="C444">
        <v>5.3E-3</v>
      </c>
      <c r="D444">
        <v>4.81E-3</v>
      </c>
      <c r="E444">
        <v>4.8599999999999997E-3</v>
      </c>
      <c r="F444">
        <v>145678853.59999999</v>
      </c>
      <c r="G444">
        <v>0</v>
      </c>
      <c r="L444" t="s">
        <v>7</v>
      </c>
      <c r="M444" t="s">
        <v>8</v>
      </c>
      <c r="N444" t="s">
        <v>8</v>
      </c>
      <c r="P444">
        <f t="shared" si="974"/>
        <v>-0.79591836734693999</v>
      </c>
      <c r="Q444">
        <f t="shared" si="975"/>
        <v>-115948475.31428589</v>
      </c>
      <c r="R444">
        <f t="shared" si="976"/>
        <v>879555643.36090481</v>
      </c>
      <c r="S444">
        <f t="shared" si="977"/>
        <v>8795.5564336090483</v>
      </c>
      <c r="T444">
        <f t="shared" si="978"/>
        <v>8.7955564336090486</v>
      </c>
    </row>
    <row r="445" spans="1:20" x14ac:dyDescent="0.25">
      <c r="A445" s="5">
        <v>44148</v>
      </c>
      <c r="B445">
        <v>5.0600000000000003E-3</v>
      </c>
      <c r="C445">
        <v>5.28E-3</v>
      </c>
      <c r="D445">
        <v>5.0299999999999997E-3</v>
      </c>
      <c r="E445">
        <v>5.2199999999999998E-3</v>
      </c>
      <c r="F445">
        <v>101505089.40000001</v>
      </c>
      <c r="G445">
        <v>0</v>
      </c>
      <c r="L445" t="s">
        <v>8</v>
      </c>
      <c r="M445" t="s">
        <v>8</v>
      </c>
      <c r="N445" t="s">
        <v>8</v>
      </c>
      <c r="P445">
        <f t="shared" si="974"/>
        <v>0.51999999999999913</v>
      </c>
      <c r="Q445">
        <f t="shared" si="975"/>
        <v>52782646.487999916</v>
      </c>
      <c r="R445">
        <f t="shared" si="976"/>
        <v>995504118.67519069</v>
      </c>
      <c r="S445">
        <f t="shared" si="977"/>
        <v>9955.0411867519069</v>
      </c>
      <c r="T445">
        <f t="shared" si="978"/>
        <v>9.9550411867519077</v>
      </c>
    </row>
    <row r="446" spans="1:20" x14ac:dyDescent="0.25">
      <c r="A446" s="5">
        <v>44147</v>
      </c>
      <c r="B446">
        <v>5.1599999999999997E-3</v>
      </c>
      <c r="C446">
        <v>5.1599999999999997E-3</v>
      </c>
      <c r="D446">
        <v>4.8900000000000002E-3</v>
      </c>
      <c r="E446">
        <v>5.0499999999999998E-3</v>
      </c>
      <c r="F446">
        <v>127558423.5</v>
      </c>
      <c r="G446">
        <v>0</v>
      </c>
      <c r="L446" t="s">
        <v>7</v>
      </c>
      <c r="M446" t="s">
        <v>8</v>
      </c>
      <c r="N446" t="s">
        <v>8</v>
      </c>
      <c r="P446">
        <f t="shared" si="974"/>
        <v>0.18518518518518448</v>
      </c>
      <c r="Q446">
        <f t="shared" si="975"/>
        <v>23621930.277777687</v>
      </c>
      <c r="R446">
        <f t="shared" si="976"/>
        <v>942721472.18719077</v>
      </c>
      <c r="S446">
        <f t="shared" si="977"/>
        <v>9427.2147218719074</v>
      </c>
      <c r="T446">
        <f t="shared" si="978"/>
        <v>9.4272147218719073</v>
      </c>
    </row>
    <row r="447" spans="1:20" x14ac:dyDescent="0.25">
      <c r="A447" s="5">
        <v>44146</v>
      </c>
      <c r="B447">
        <v>5.3299999999999997E-3</v>
      </c>
      <c r="C447">
        <v>5.4400000000000004E-3</v>
      </c>
      <c r="D447">
        <v>5.0400000000000002E-3</v>
      </c>
      <c r="E447">
        <v>5.1599999999999997E-3</v>
      </c>
      <c r="F447">
        <v>163549123.59999999</v>
      </c>
      <c r="G447">
        <v>0</v>
      </c>
      <c r="L447" t="s">
        <v>7</v>
      </c>
      <c r="M447" t="s">
        <v>8</v>
      </c>
      <c r="N447" t="s">
        <v>8</v>
      </c>
      <c r="P447">
        <f t="shared" si="974"/>
        <v>-0.40000000000000302</v>
      </c>
      <c r="Q447">
        <f t="shared" si="975"/>
        <v>-65419649.440000489</v>
      </c>
      <c r="R447">
        <f t="shared" si="976"/>
        <v>919099541.9094131</v>
      </c>
      <c r="S447">
        <f t="shared" si="977"/>
        <v>9190.9954190941316</v>
      </c>
      <c r="T447">
        <f t="shared" si="978"/>
        <v>9.190995419094131</v>
      </c>
    </row>
    <row r="448" spans="1:20" x14ac:dyDescent="0.25">
      <c r="A448" s="5">
        <v>44145</v>
      </c>
      <c r="B448">
        <v>5.28E-3</v>
      </c>
      <c r="C448">
        <v>5.4999999999999997E-3</v>
      </c>
      <c r="D448">
        <v>5.0600000000000003E-3</v>
      </c>
      <c r="E448">
        <v>5.3499999999999997E-3</v>
      </c>
      <c r="F448">
        <v>243217256.40000001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0.31818181818181746</v>
      </c>
      <c r="Q448">
        <f t="shared" si="975"/>
        <v>77387308.85454528</v>
      </c>
      <c r="R448">
        <f t="shared" si="976"/>
        <v>984519191.34941363</v>
      </c>
      <c r="S448">
        <f t="shared" si="977"/>
        <v>9845.1919134941363</v>
      </c>
      <c r="T448">
        <f t="shared" si="978"/>
        <v>9.845191913494137</v>
      </c>
    </row>
    <row r="449" spans="1:20" x14ac:dyDescent="0.25">
      <c r="A449" s="5">
        <v>44144</v>
      </c>
      <c r="B449">
        <v>5.0400000000000002E-3</v>
      </c>
      <c r="C449">
        <v>5.3E-3</v>
      </c>
      <c r="D449">
        <v>4.7000000000000002E-3</v>
      </c>
      <c r="E449">
        <v>5.28E-3</v>
      </c>
      <c r="F449">
        <v>129649415.3</v>
      </c>
      <c r="G449">
        <v>0</v>
      </c>
      <c r="L449" t="s">
        <v>8</v>
      </c>
      <c r="M449" t="s">
        <v>8</v>
      </c>
      <c r="N449" t="s">
        <v>8</v>
      </c>
      <c r="P449">
        <f t="shared" si="974"/>
        <v>0.93333333333333313</v>
      </c>
      <c r="Q449">
        <f t="shared" si="975"/>
        <v>121006120.94666664</v>
      </c>
      <c r="R449">
        <f t="shared" si="976"/>
        <v>907131882.4948684</v>
      </c>
      <c r="S449">
        <f t="shared" si="977"/>
        <v>9071.3188249486848</v>
      </c>
      <c r="T449">
        <f t="shared" si="978"/>
        <v>9.0713188249486851</v>
      </c>
    </row>
    <row r="450" spans="1:20" x14ac:dyDescent="0.25">
      <c r="A450" s="5">
        <v>44143</v>
      </c>
      <c r="B450">
        <v>4.7299999999999998E-3</v>
      </c>
      <c r="C450">
        <v>5.0899999999999999E-3</v>
      </c>
      <c r="D450">
        <v>4.6600000000000001E-3</v>
      </c>
      <c r="E450">
        <v>5.0200000000000002E-3</v>
      </c>
      <c r="F450">
        <v>102598255.8</v>
      </c>
      <c r="G450">
        <v>0</v>
      </c>
      <c r="L450" t="s">
        <v>7</v>
      </c>
      <c r="M450" t="s">
        <v>8</v>
      </c>
      <c r="N450" t="s">
        <v>8</v>
      </c>
      <c r="P450">
        <f t="shared" si="974"/>
        <v>0.67441860465116388</v>
      </c>
      <c r="Q450">
        <f t="shared" si="975"/>
        <v>69194172.516279176</v>
      </c>
      <c r="R450">
        <f t="shared" si="976"/>
        <v>786125761.5482018</v>
      </c>
      <c r="S450">
        <f t="shared" si="977"/>
        <v>7861.2576154820181</v>
      </c>
      <c r="T450">
        <f t="shared" si="978"/>
        <v>7.8612576154820184</v>
      </c>
    </row>
    <row r="451" spans="1:20" x14ac:dyDescent="0.25">
      <c r="A451" s="5">
        <v>44142</v>
      </c>
      <c r="B451">
        <v>4.8900000000000002E-3</v>
      </c>
      <c r="C451">
        <v>5.2399999999999999E-3</v>
      </c>
      <c r="D451">
        <v>4.3600000000000002E-3</v>
      </c>
      <c r="E451">
        <v>4.7299999999999998E-3</v>
      </c>
      <c r="F451">
        <v>282727653.69999999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-0.15909090909090956</v>
      </c>
      <c r="Q451">
        <f t="shared" si="975"/>
        <v>-44979399.452272855</v>
      </c>
      <c r="R451">
        <f t="shared" si="976"/>
        <v>716931589.03192258</v>
      </c>
      <c r="S451">
        <f t="shared" si="977"/>
        <v>7169.3158903192261</v>
      </c>
      <c r="T451">
        <f t="shared" si="978"/>
        <v>7.1693158903192264</v>
      </c>
    </row>
    <row r="452" spans="1:20" x14ac:dyDescent="0.25">
      <c r="A452" s="5">
        <v>44141</v>
      </c>
      <c r="B452">
        <v>4.2500000000000003E-3</v>
      </c>
      <c r="C452">
        <v>4.9500000000000004E-3</v>
      </c>
      <c r="D452">
        <v>4.2500000000000003E-3</v>
      </c>
      <c r="E452">
        <v>4.8799999999999998E-3</v>
      </c>
      <c r="F452">
        <v>298352713.89999998</v>
      </c>
      <c r="G452">
        <v>0</v>
      </c>
      <c r="L452" t="s">
        <v>8</v>
      </c>
      <c r="M452" t="s">
        <v>8</v>
      </c>
      <c r="N452" t="s">
        <v>8</v>
      </c>
      <c r="P452">
        <f t="shared" si="974"/>
        <v>0.79999999999999827</v>
      </c>
      <c r="Q452">
        <f t="shared" si="975"/>
        <v>238682171.11999947</v>
      </c>
      <c r="R452">
        <f t="shared" si="976"/>
        <v>761910988.48419547</v>
      </c>
      <c r="S452">
        <f t="shared" si="977"/>
        <v>7619.1098848419551</v>
      </c>
      <c r="T452">
        <f t="shared" si="978"/>
        <v>7.6191098848419552</v>
      </c>
    </row>
    <row r="453" spans="1:20" x14ac:dyDescent="0.25">
      <c r="A453" s="5">
        <v>44140</v>
      </c>
      <c r="B453">
        <v>4.2500000000000003E-3</v>
      </c>
      <c r="C453">
        <v>4.4600000000000004E-3</v>
      </c>
      <c r="D453">
        <v>4.0400000000000002E-3</v>
      </c>
      <c r="E453">
        <v>4.2500000000000003E-3</v>
      </c>
      <c r="F453">
        <v>206359190.40000001</v>
      </c>
      <c r="G453">
        <v>0</v>
      </c>
      <c r="L453" t="s">
        <v>7</v>
      </c>
      <c r="M453" t="s">
        <v>7</v>
      </c>
      <c r="N453" t="s">
        <v>8</v>
      </c>
      <c r="P453">
        <f t="shared" si="974"/>
        <v>0</v>
      </c>
      <c r="Q453">
        <f t="shared" si="975"/>
        <v>0</v>
      </c>
      <c r="R453">
        <f t="shared" si="976"/>
        <v>523228817.36419606</v>
      </c>
      <c r="S453">
        <f t="shared" si="977"/>
        <v>5232.2881736419604</v>
      </c>
      <c r="T453">
        <f t="shared" si="978"/>
        <v>5.23228817364196</v>
      </c>
    </row>
    <row r="454" spans="1:20" x14ac:dyDescent="0.25">
      <c r="A454" s="5">
        <v>44139</v>
      </c>
      <c r="B454">
        <v>4.1200000000000004E-3</v>
      </c>
      <c r="C454">
        <v>4.4099999999999999E-3</v>
      </c>
      <c r="D454">
        <v>4.0400000000000002E-3</v>
      </c>
      <c r="E454">
        <v>4.2500000000000003E-3</v>
      </c>
      <c r="F454">
        <v>105210926.90000001</v>
      </c>
      <c r="G454">
        <v>0</v>
      </c>
      <c r="L454" t="s">
        <v>8</v>
      </c>
      <c r="M454" t="s">
        <v>7</v>
      </c>
      <c r="N454" t="s">
        <v>8</v>
      </c>
      <c r="P454">
        <f t="shared" ref="P454:P517" si="979">IF(C454=D454,0,((E454-D454)-(C454-E454))/(C454-D454))</f>
        <v>0.13513513513513678</v>
      </c>
      <c r="Q454">
        <f t="shared" ref="Q454:Q517" si="980">F454*P454</f>
        <v>14217692.824324498</v>
      </c>
      <c r="R454">
        <f t="shared" ref="R454:R517" si="981">R455+Q454</f>
        <v>523228817.36419606</v>
      </c>
      <c r="S454">
        <f t="shared" ref="S454:S517" si="982">R454/100000</f>
        <v>5232.2881736419604</v>
      </c>
      <c r="T454">
        <f t="shared" ref="T454:T517" si="983">S454/1000</f>
        <v>5.23228817364196</v>
      </c>
    </row>
    <row r="455" spans="1:20" x14ac:dyDescent="0.25">
      <c r="A455" s="5">
        <v>44138</v>
      </c>
      <c r="B455">
        <v>4.3699999999999998E-3</v>
      </c>
      <c r="C455">
        <v>4.3899999999999998E-3</v>
      </c>
      <c r="D455">
        <v>4.0200000000000001E-3</v>
      </c>
      <c r="E455">
        <v>4.1200000000000004E-3</v>
      </c>
      <c r="F455">
        <v>111967548.8</v>
      </c>
      <c r="G455">
        <v>0</v>
      </c>
      <c r="L455" t="s">
        <v>7</v>
      </c>
      <c r="M455" t="s">
        <v>7</v>
      </c>
      <c r="N455" t="s">
        <v>8</v>
      </c>
      <c r="P455">
        <f t="shared" si="979"/>
        <v>-0.45945945945945754</v>
      </c>
      <c r="Q455">
        <f t="shared" si="980"/>
        <v>-51444549.44864843</v>
      </c>
      <c r="R455">
        <f t="shared" si="981"/>
        <v>509011124.53987157</v>
      </c>
      <c r="S455">
        <f t="shared" si="982"/>
        <v>5090.1112453987162</v>
      </c>
      <c r="T455">
        <f t="shared" si="983"/>
        <v>5.0901112453987158</v>
      </c>
    </row>
    <row r="456" spans="1:20" x14ac:dyDescent="0.25">
      <c r="A456" s="5">
        <v>44137</v>
      </c>
      <c r="B456">
        <v>4.8199999999999996E-3</v>
      </c>
      <c r="C456">
        <v>4.8799999999999998E-3</v>
      </c>
      <c r="D456">
        <v>4.3699999999999998E-3</v>
      </c>
      <c r="E456">
        <v>4.3800000000000002E-3</v>
      </c>
      <c r="F456">
        <v>197571889.59999999</v>
      </c>
      <c r="G456">
        <v>0</v>
      </c>
      <c r="L456" t="s">
        <v>7</v>
      </c>
      <c r="M456" t="s">
        <v>7</v>
      </c>
      <c r="N456" t="s">
        <v>8</v>
      </c>
      <c r="P456">
        <f t="shared" si="979"/>
        <v>-0.96078431372548845</v>
      </c>
      <c r="Q456">
        <f t="shared" si="980"/>
        <v>-189823972.36078396</v>
      </c>
      <c r="R456">
        <f t="shared" si="981"/>
        <v>560455673.98852003</v>
      </c>
      <c r="S456">
        <f t="shared" si="982"/>
        <v>5604.5567398851999</v>
      </c>
      <c r="T456">
        <f t="shared" si="983"/>
        <v>5.6045567398851999</v>
      </c>
    </row>
    <row r="457" spans="1:20" x14ac:dyDescent="0.25">
      <c r="A457" s="5">
        <v>44136</v>
      </c>
      <c r="B457">
        <v>4.3800000000000002E-3</v>
      </c>
      <c r="C457">
        <v>5.4999999999999997E-3</v>
      </c>
      <c r="D457">
        <v>4.3800000000000002E-3</v>
      </c>
      <c r="E457">
        <v>4.8500000000000001E-3</v>
      </c>
      <c r="F457">
        <v>588542218.10000002</v>
      </c>
      <c r="G457">
        <v>0</v>
      </c>
      <c r="L457" t="s">
        <v>8</v>
      </c>
      <c r="M457" t="s">
        <v>8</v>
      </c>
      <c r="N457" t="s">
        <v>8</v>
      </c>
      <c r="P457">
        <f t="shared" si="979"/>
        <v>-0.16071428571428545</v>
      </c>
      <c r="Q457">
        <f t="shared" si="980"/>
        <v>-94587142.194642708</v>
      </c>
      <c r="R457">
        <f t="shared" si="981"/>
        <v>750279646.34930396</v>
      </c>
      <c r="S457">
        <f t="shared" si="982"/>
        <v>7502.7964634930395</v>
      </c>
      <c r="T457">
        <f t="shared" si="983"/>
        <v>7.5027964634930395</v>
      </c>
    </row>
    <row r="458" spans="1:20" x14ac:dyDescent="0.25">
      <c r="A458" s="5">
        <v>44135</v>
      </c>
      <c r="B458">
        <v>4.1999999999999997E-3</v>
      </c>
      <c r="C458">
        <v>4.4900000000000001E-3</v>
      </c>
      <c r="D458">
        <v>4.1200000000000004E-3</v>
      </c>
      <c r="E458">
        <v>4.4099999999999999E-3</v>
      </c>
      <c r="F458">
        <v>81201727.099999994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0.5675675675675661</v>
      </c>
      <c r="Q458">
        <f t="shared" si="980"/>
        <v>46087466.732432313</v>
      </c>
      <c r="R458">
        <f t="shared" si="981"/>
        <v>844866788.54394662</v>
      </c>
      <c r="S458">
        <f t="shared" si="982"/>
        <v>8448.6678854394668</v>
      </c>
      <c r="T458">
        <f t="shared" si="983"/>
        <v>8.4486678854394661</v>
      </c>
    </row>
    <row r="459" spans="1:20" x14ac:dyDescent="0.25">
      <c r="A459" s="5">
        <v>44134</v>
      </c>
      <c r="B459">
        <v>4.2300000000000003E-3</v>
      </c>
      <c r="C459">
        <v>4.3099999999999996E-3</v>
      </c>
      <c r="D459">
        <v>3.8899999999999998E-3</v>
      </c>
      <c r="E459">
        <v>4.1999999999999997E-3</v>
      </c>
      <c r="F459">
        <v>131584449.8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0.47619047619047661</v>
      </c>
      <c r="Q459">
        <f t="shared" si="980"/>
        <v>62659261.809523866</v>
      </c>
      <c r="R459">
        <f t="shared" si="981"/>
        <v>798779321.81151426</v>
      </c>
      <c r="S459">
        <f t="shared" si="982"/>
        <v>7987.7932181151427</v>
      </c>
      <c r="T459">
        <f t="shared" si="983"/>
        <v>7.9877932181151428</v>
      </c>
    </row>
    <row r="460" spans="1:20" x14ac:dyDescent="0.25">
      <c r="A460" s="5">
        <v>44133</v>
      </c>
      <c r="B460">
        <v>4.1799999999999997E-3</v>
      </c>
      <c r="C460">
        <v>4.3499999999999997E-3</v>
      </c>
      <c r="D460">
        <v>4.1599999999999996E-3</v>
      </c>
      <c r="E460">
        <v>4.2399999999999998E-3</v>
      </c>
      <c r="F460">
        <v>85053427.099999994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-0.15789473684210334</v>
      </c>
      <c r="Q460">
        <f t="shared" si="980"/>
        <v>-13429488.48947352</v>
      </c>
      <c r="R460">
        <f t="shared" si="981"/>
        <v>736120060.00199044</v>
      </c>
      <c r="S460">
        <f t="shared" si="982"/>
        <v>7361.2006000199044</v>
      </c>
      <c r="T460">
        <f t="shared" si="983"/>
        <v>7.3612006000199042</v>
      </c>
    </row>
    <row r="461" spans="1:20" x14ac:dyDescent="0.25">
      <c r="A461" s="5">
        <v>44132</v>
      </c>
      <c r="B461">
        <v>4.2599999999999999E-3</v>
      </c>
      <c r="C461">
        <v>4.3800000000000002E-3</v>
      </c>
      <c r="D461">
        <v>4.0800000000000003E-3</v>
      </c>
      <c r="E461">
        <v>4.1799999999999997E-3</v>
      </c>
      <c r="F461">
        <v>111881093.3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-0.3333333333333372</v>
      </c>
      <c r="Q461">
        <f t="shared" si="980"/>
        <v>-37293697.766667098</v>
      </c>
      <c r="R461">
        <f t="shared" si="981"/>
        <v>749549548.4914639</v>
      </c>
      <c r="S461">
        <f t="shared" si="982"/>
        <v>7495.4954849146388</v>
      </c>
      <c r="T461">
        <f t="shared" si="983"/>
        <v>7.4954954849146391</v>
      </c>
    </row>
    <row r="462" spans="1:20" x14ac:dyDescent="0.25">
      <c r="A462" s="5">
        <v>44131</v>
      </c>
      <c r="B462">
        <v>4.6600000000000001E-3</v>
      </c>
      <c r="C462">
        <v>4.6899999999999997E-3</v>
      </c>
      <c r="D462">
        <v>4.15E-3</v>
      </c>
      <c r="E462">
        <v>4.2700000000000004E-3</v>
      </c>
      <c r="F462">
        <v>220550926.5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-0.55555555555555414</v>
      </c>
      <c r="Q462">
        <f t="shared" si="980"/>
        <v>-122528292.49999969</v>
      </c>
      <c r="R462">
        <f t="shared" si="981"/>
        <v>786843246.25813103</v>
      </c>
      <c r="S462">
        <f t="shared" si="982"/>
        <v>7868.4324625813106</v>
      </c>
      <c r="T462">
        <f t="shared" si="983"/>
        <v>7.8684324625813105</v>
      </c>
    </row>
    <row r="463" spans="1:20" x14ac:dyDescent="0.25">
      <c r="A463" s="5">
        <v>44130</v>
      </c>
      <c r="B463">
        <v>4.7000000000000002E-3</v>
      </c>
      <c r="C463">
        <v>4.7999999999999996E-3</v>
      </c>
      <c r="D463">
        <v>4.45E-3</v>
      </c>
      <c r="E463">
        <v>4.6600000000000001E-3</v>
      </c>
      <c r="F463">
        <v>106738678.40000001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0.20000000000000198</v>
      </c>
      <c r="Q463">
        <f t="shared" si="980"/>
        <v>21347735.680000212</v>
      </c>
      <c r="R463">
        <f t="shared" si="981"/>
        <v>909371538.75813067</v>
      </c>
      <c r="S463">
        <f t="shared" si="982"/>
        <v>9093.7153875813074</v>
      </c>
      <c r="T463">
        <f t="shared" si="983"/>
        <v>9.093715387581307</v>
      </c>
    </row>
    <row r="464" spans="1:20" x14ac:dyDescent="0.25">
      <c r="A464" s="5">
        <v>44129</v>
      </c>
      <c r="B464">
        <v>4.79E-3</v>
      </c>
      <c r="C464">
        <v>4.7999999999999996E-3</v>
      </c>
      <c r="D464">
        <v>4.5999999999999999E-3</v>
      </c>
      <c r="E464">
        <v>4.7099999999999998E-3</v>
      </c>
      <c r="F464">
        <v>111245379.90000001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0.10000000000000044</v>
      </c>
      <c r="Q464">
        <f t="shared" si="980"/>
        <v>11124537.990000049</v>
      </c>
      <c r="R464">
        <f t="shared" si="981"/>
        <v>888023803.07813048</v>
      </c>
      <c r="S464">
        <f t="shared" si="982"/>
        <v>8880.2380307813055</v>
      </c>
      <c r="T464">
        <f t="shared" si="983"/>
        <v>8.8802380307813049</v>
      </c>
    </row>
    <row r="465" spans="1:20" x14ac:dyDescent="0.25">
      <c r="A465" s="5">
        <v>44128</v>
      </c>
      <c r="B465">
        <v>4.8399999999999997E-3</v>
      </c>
      <c r="C465">
        <v>4.9699999999999996E-3</v>
      </c>
      <c r="D465">
        <v>4.7699999999999999E-3</v>
      </c>
      <c r="E465">
        <v>4.7999999999999996E-3</v>
      </c>
      <c r="F465">
        <v>85854306.799999997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-0.70000000000000306</v>
      </c>
      <c r="Q465">
        <f t="shared" si="980"/>
        <v>-60098014.760000259</v>
      </c>
      <c r="R465">
        <f t="shared" si="981"/>
        <v>876899265.08813047</v>
      </c>
      <c r="S465">
        <f t="shared" si="982"/>
        <v>8768.9926508813041</v>
      </c>
      <c r="T465">
        <f t="shared" si="983"/>
        <v>8.7689926508813034</v>
      </c>
    </row>
    <row r="466" spans="1:20" x14ac:dyDescent="0.25">
      <c r="A466" s="5">
        <v>44127</v>
      </c>
      <c r="B466">
        <v>4.7999999999999996E-3</v>
      </c>
      <c r="C466">
        <v>4.9300000000000004E-3</v>
      </c>
      <c r="D466">
        <v>4.5700000000000003E-3</v>
      </c>
      <c r="E466">
        <v>4.8399999999999997E-3</v>
      </c>
      <c r="F466">
        <v>148854858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0.49999999999999639</v>
      </c>
      <c r="Q466">
        <f t="shared" si="980"/>
        <v>74427428.999999464</v>
      </c>
      <c r="R466">
        <f t="shared" si="981"/>
        <v>936997279.8481307</v>
      </c>
      <c r="S466">
        <f t="shared" si="982"/>
        <v>9369.9727984813071</v>
      </c>
      <c r="T466">
        <f t="shared" si="983"/>
        <v>9.3699727984813066</v>
      </c>
    </row>
    <row r="467" spans="1:20" x14ac:dyDescent="0.25">
      <c r="A467" s="5">
        <v>44126</v>
      </c>
      <c r="B467">
        <v>4.7499999999999999E-3</v>
      </c>
      <c r="C467">
        <v>5.0299999999999997E-3</v>
      </c>
      <c r="D467">
        <v>4.7499999999999999E-3</v>
      </c>
      <c r="E467">
        <v>4.7999999999999996E-3</v>
      </c>
      <c r="F467">
        <v>193356147.90000001</v>
      </c>
      <c r="G467">
        <v>0</v>
      </c>
      <c r="L467" t="s">
        <v>7</v>
      </c>
      <c r="M467" t="s">
        <v>8</v>
      </c>
      <c r="N467" t="s">
        <v>7</v>
      </c>
      <c r="P467">
        <f t="shared" si="979"/>
        <v>-0.6428571428571449</v>
      </c>
      <c r="Q467">
        <f t="shared" si="980"/>
        <v>-124300380.79285754</v>
      </c>
      <c r="R467">
        <f t="shared" si="981"/>
        <v>862569850.8481313</v>
      </c>
      <c r="S467">
        <f t="shared" si="982"/>
        <v>8625.6985084813132</v>
      </c>
      <c r="T467">
        <f t="shared" si="983"/>
        <v>8.6256985084813138</v>
      </c>
    </row>
    <row r="468" spans="1:20" x14ac:dyDescent="0.25">
      <c r="A468" s="5">
        <v>44125</v>
      </c>
      <c r="B468">
        <v>4.7400000000000003E-3</v>
      </c>
      <c r="C468">
        <v>5.0000000000000001E-3</v>
      </c>
      <c r="D468">
        <v>4.7299999999999998E-3</v>
      </c>
      <c r="E468">
        <v>4.7499999999999999E-3</v>
      </c>
      <c r="F468">
        <v>156994712.5</v>
      </c>
      <c r="G468">
        <v>0</v>
      </c>
      <c r="L468" t="s">
        <v>7</v>
      </c>
      <c r="M468" t="s">
        <v>8</v>
      </c>
      <c r="N468" t="s">
        <v>7</v>
      </c>
      <c r="P468">
        <f t="shared" si="979"/>
        <v>-0.85185185185185164</v>
      </c>
      <c r="Q468">
        <f t="shared" si="980"/>
        <v>-133736236.57407404</v>
      </c>
      <c r="R468">
        <f t="shared" si="981"/>
        <v>986870231.64098883</v>
      </c>
      <c r="S468">
        <f t="shared" si="982"/>
        <v>9868.7023164098882</v>
      </c>
      <c r="T468">
        <f t="shared" si="983"/>
        <v>9.8687023164098875</v>
      </c>
    </row>
    <row r="469" spans="1:20" x14ac:dyDescent="0.25">
      <c r="A469" s="5">
        <v>44124</v>
      </c>
      <c r="B469">
        <v>5.2100000000000002E-3</v>
      </c>
      <c r="C469">
        <v>5.3E-3</v>
      </c>
      <c r="D469">
        <v>4.7200000000000002E-3</v>
      </c>
      <c r="E469">
        <v>4.7400000000000003E-3</v>
      </c>
      <c r="F469">
        <v>154461401.59999999</v>
      </c>
      <c r="G469">
        <v>0</v>
      </c>
      <c r="L469" t="s">
        <v>7</v>
      </c>
      <c r="M469" t="s">
        <v>8</v>
      </c>
      <c r="N469" t="s">
        <v>7</v>
      </c>
      <c r="P469">
        <f t="shared" si="979"/>
        <v>-0.93103448275862044</v>
      </c>
      <c r="Q469">
        <f t="shared" si="980"/>
        <v>-143808891.14482754</v>
      </c>
      <c r="R469">
        <f t="shared" si="981"/>
        <v>1120606468.2150629</v>
      </c>
      <c r="S469">
        <f t="shared" si="982"/>
        <v>11206.064682150629</v>
      </c>
      <c r="T469">
        <f t="shared" si="983"/>
        <v>11.206064682150629</v>
      </c>
    </row>
    <row r="470" spans="1:20" x14ac:dyDescent="0.25">
      <c r="A470" s="5">
        <v>44123</v>
      </c>
      <c r="B470">
        <v>5.4299999999999999E-3</v>
      </c>
      <c r="C470">
        <v>5.4599999999999996E-3</v>
      </c>
      <c r="D470">
        <v>5.0099999999999997E-3</v>
      </c>
      <c r="E470">
        <v>5.2100000000000002E-3</v>
      </c>
      <c r="F470">
        <v>206985048.19999999</v>
      </c>
      <c r="G470">
        <v>0</v>
      </c>
      <c r="L470" t="s">
        <v>7</v>
      </c>
      <c r="M470" t="s">
        <v>8</v>
      </c>
      <c r="N470" t="s">
        <v>7</v>
      </c>
      <c r="P470">
        <f t="shared" si="979"/>
        <v>-0.11111111111110854</v>
      </c>
      <c r="Q470">
        <f t="shared" si="980"/>
        <v>-22998338.688888356</v>
      </c>
      <c r="R470">
        <f t="shared" si="981"/>
        <v>1264415359.3598905</v>
      </c>
      <c r="S470">
        <f t="shared" si="982"/>
        <v>12644.153593598905</v>
      </c>
      <c r="T470">
        <f t="shared" si="983"/>
        <v>12.644153593598904</v>
      </c>
    </row>
    <row r="471" spans="1:20" x14ac:dyDescent="0.25">
      <c r="A471" s="5">
        <v>44122</v>
      </c>
      <c r="B471">
        <v>5.0699999999999999E-3</v>
      </c>
      <c r="C471">
        <v>5.4400000000000004E-3</v>
      </c>
      <c r="D471">
        <v>5.0699999999999999E-3</v>
      </c>
      <c r="E471">
        <v>5.4400000000000004E-3</v>
      </c>
      <c r="F471">
        <v>70882125.900000006</v>
      </c>
      <c r="G471">
        <v>0</v>
      </c>
      <c r="L471" t="s">
        <v>8</v>
      </c>
      <c r="M471" t="s">
        <v>8</v>
      </c>
      <c r="N471" t="s">
        <v>7</v>
      </c>
      <c r="P471">
        <f t="shared" si="979"/>
        <v>1</v>
      </c>
      <c r="Q471">
        <f t="shared" si="980"/>
        <v>70882125.900000006</v>
      </c>
      <c r="R471">
        <f t="shared" si="981"/>
        <v>1287413698.0487788</v>
      </c>
      <c r="S471">
        <f t="shared" si="982"/>
        <v>12874.136980487789</v>
      </c>
      <c r="T471">
        <f t="shared" si="983"/>
        <v>12.874136980487789</v>
      </c>
    </row>
    <row r="472" spans="1:20" x14ac:dyDescent="0.25">
      <c r="A472" s="5">
        <v>44121</v>
      </c>
      <c r="B472">
        <v>4.7499999999999999E-3</v>
      </c>
      <c r="C472">
        <v>5.1500000000000001E-3</v>
      </c>
      <c r="D472">
        <v>4.6899999999999997E-3</v>
      </c>
      <c r="E472">
        <v>5.0699999999999999E-3</v>
      </c>
      <c r="F472">
        <v>94421812.400000006</v>
      </c>
      <c r="G472">
        <v>0</v>
      </c>
      <c r="L472" t="s">
        <v>8</v>
      </c>
      <c r="M472" t="s">
        <v>8</v>
      </c>
      <c r="N472" t="s">
        <v>7</v>
      </c>
      <c r="P472">
        <f t="shared" si="979"/>
        <v>0.6521739130434776</v>
      </c>
      <c r="Q472">
        <f t="shared" si="980"/>
        <v>61579442.869565159</v>
      </c>
      <c r="R472">
        <f t="shared" si="981"/>
        <v>1216531572.1487787</v>
      </c>
      <c r="S472">
        <f t="shared" si="982"/>
        <v>12165.315721487787</v>
      </c>
      <c r="T472">
        <f t="shared" si="983"/>
        <v>12.165315721487787</v>
      </c>
    </row>
    <row r="473" spans="1:20" x14ac:dyDescent="0.25">
      <c r="A473" s="5">
        <v>44120</v>
      </c>
      <c r="B473">
        <v>5.1000000000000004E-3</v>
      </c>
      <c r="C473">
        <v>5.1599999999999997E-3</v>
      </c>
      <c r="D473">
        <v>4.7299999999999998E-3</v>
      </c>
      <c r="E473">
        <v>4.7499999999999999E-3</v>
      </c>
      <c r="F473">
        <v>94479445.400000006</v>
      </c>
      <c r="G473">
        <v>0</v>
      </c>
      <c r="L473" t="s">
        <v>7</v>
      </c>
      <c r="M473" t="s">
        <v>8</v>
      </c>
      <c r="N473" t="s">
        <v>7</v>
      </c>
      <c r="P473">
        <f t="shared" si="979"/>
        <v>-0.90697674418604624</v>
      </c>
      <c r="Q473">
        <f t="shared" si="980"/>
        <v>-85690659.781395331</v>
      </c>
      <c r="R473">
        <f t="shared" si="981"/>
        <v>1154952129.2792134</v>
      </c>
      <c r="S473">
        <f t="shared" si="982"/>
        <v>11549.521292792135</v>
      </c>
      <c r="T473">
        <f t="shared" si="983"/>
        <v>11.549521292792134</v>
      </c>
    </row>
    <row r="474" spans="1:20" x14ac:dyDescent="0.25">
      <c r="A474" s="5">
        <v>44119</v>
      </c>
      <c r="B474">
        <v>5.4200000000000003E-3</v>
      </c>
      <c r="C474">
        <v>5.4299999999999999E-3</v>
      </c>
      <c r="D474">
        <v>4.9699999999999996E-3</v>
      </c>
      <c r="E474">
        <v>5.11E-3</v>
      </c>
      <c r="F474">
        <v>145348831.5</v>
      </c>
      <c r="G474">
        <v>0</v>
      </c>
      <c r="L474" t="s">
        <v>7</v>
      </c>
      <c r="M474" t="s">
        <v>8</v>
      </c>
      <c r="N474" t="s">
        <v>7</v>
      </c>
      <c r="P474">
        <f t="shared" si="979"/>
        <v>-0.39130434782608581</v>
      </c>
      <c r="Q474">
        <f t="shared" si="980"/>
        <v>-56875629.717391141</v>
      </c>
      <c r="R474">
        <f t="shared" si="981"/>
        <v>1240642789.0606089</v>
      </c>
      <c r="S474">
        <f t="shared" si="982"/>
        <v>12406.427890606088</v>
      </c>
      <c r="T474">
        <f t="shared" si="983"/>
        <v>12.406427890606087</v>
      </c>
    </row>
    <row r="475" spans="1:20" x14ac:dyDescent="0.25">
      <c r="A475" s="5">
        <v>44118</v>
      </c>
      <c r="B475">
        <v>5.4200000000000003E-3</v>
      </c>
      <c r="C475">
        <v>5.6299999999999996E-3</v>
      </c>
      <c r="D475">
        <v>5.3E-3</v>
      </c>
      <c r="E475">
        <v>5.4099999999999999E-3</v>
      </c>
      <c r="F475">
        <v>118414758.59999999</v>
      </c>
      <c r="G475">
        <v>0</v>
      </c>
      <c r="L475" t="s">
        <v>8</v>
      </c>
      <c r="M475" t="s">
        <v>8</v>
      </c>
      <c r="N475" t="s">
        <v>7</v>
      </c>
      <c r="P475">
        <f t="shared" si="979"/>
        <v>-0.33333333333333331</v>
      </c>
      <c r="Q475">
        <f t="shared" si="980"/>
        <v>-39471586.199999996</v>
      </c>
      <c r="R475">
        <f t="shared" si="981"/>
        <v>1297518418.7780001</v>
      </c>
      <c r="S475">
        <f t="shared" si="982"/>
        <v>12975.184187780002</v>
      </c>
      <c r="T475">
        <f t="shared" si="983"/>
        <v>12.975184187780002</v>
      </c>
    </row>
    <row r="476" spans="1:20" x14ac:dyDescent="0.25">
      <c r="A476" s="5">
        <v>44117</v>
      </c>
      <c r="B476">
        <v>5.2399999999999999E-3</v>
      </c>
      <c r="C476">
        <v>5.5900000000000004E-3</v>
      </c>
      <c r="D476">
        <v>5.2399999999999999E-3</v>
      </c>
      <c r="E476">
        <v>5.4299999999999999E-3</v>
      </c>
      <c r="F476">
        <v>103646243.3</v>
      </c>
      <c r="G476">
        <v>0</v>
      </c>
      <c r="L476" t="s">
        <v>8</v>
      </c>
      <c r="M476" t="s">
        <v>8</v>
      </c>
      <c r="N476" t="s">
        <v>7</v>
      </c>
      <c r="P476">
        <f t="shared" si="979"/>
        <v>8.5714285714284577E-2</v>
      </c>
      <c r="Q476">
        <f t="shared" si="980"/>
        <v>8883963.7114284541</v>
      </c>
      <c r="R476">
        <f t="shared" si="981"/>
        <v>1336990004.9780002</v>
      </c>
      <c r="S476">
        <f t="shared" si="982"/>
        <v>13369.900049780003</v>
      </c>
      <c r="T476">
        <f t="shared" si="983"/>
        <v>13.369900049780002</v>
      </c>
    </row>
    <row r="477" spans="1:20" x14ac:dyDescent="0.25">
      <c r="A477" s="5">
        <v>44116</v>
      </c>
      <c r="B477">
        <v>5.28E-3</v>
      </c>
      <c r="C477">
        <v>5.4900000000000001E-3</v>
      </c>
      <c r="D477">
        <v>5.2300000000000003E-3</v>
      </c>
      <c r="E477">
        <v>5.28E-3</v>
      </c>
      <c r="F477">
        <v>155217998.5</v>
      </c>
      <c r="G477">
        <v>0</v>
      </c>
      <c r="L477" t="s">
        <v>7</v>
      </c>
      <c r="M477" t="s">
        <v>8</v>
      </c>
      <c r="N477" t="s">
        <v>7</v>
      </c>
      <c r="P477">
        <f t="shared" si="979"/>
        <v>-0.61538461538461742</v>
      </c>
      <c r="Q477">
        <f t="shared" si="980"/>
        <v>-95518768.307692617</v>
      </c>
      <c r="R477">
        <f t="shared" si="981"/>
        <v>1328106041.2665718</v>
      </c>
      <c r="S477">
        <f t="shared" si="982"/>
        <v>13281.060412665718</v>
      </c>
      <c r="T477">
        <f t="shared" si="983"/>
        <v>13.281060412665719</v>
      </c>
    </row>
    <row r="478" spans="1:20" x14ac:dyDescent="0.25">
      <c r="A478" s="5">
        <v>44115</v>
      </c>
      <c r="B478">
        <v>5.2900000000000004E-3</v>
      </c>
      <c r="C478">
        <v>5.4099999999999999E-3</v>
      </c>
      <c r="D478">
        <v>5.1900000000000002E-3</v>
      </c>
      <c r="E478">
        <v>5.3E-3</v>
      </c>
      <c r="F478">
        <v>94012818.5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0</v>
      </c>
      <c r="Q478">
        <f t="shared" si="980"/>
        <v>0</v>
      </c>
      <c r="R478">
        <f t="shared" si="981"/>
        <v>1423624809.5742643</v>
      </c>
      <c r="S478">
        <f t="shared" si="982"/>
        <v>14236.248095742643</v>
      </c>
      <c r="T478">
        <f t="shared" si="983"/>
        <v>14.236248095742644</v>
      </c>
    </row>
    <row r="479" spans="1:20" x14ac:dyDescent="0.25">
      <c r="A479" s="5">
        <v>44114</v>
      </c>
      <c r="B479">
        <v>5.4200000000000003E-3</v>
      </c>
      <c r="C479">
        <v>5.62E-3</v>
      </c>
      <c r="D479">
        <v>5.2599999999999999E-3</v>
      </c>
      <c r="E479">
        <v>5.3099999999999996E-3</v>
      </c>
      <c r="F479">
        <v>167747409.80000001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-0.72222222222222399</v>
      </c>
      <c r="Q479">
        <f t="shared" si="980"/>
        <v>-121150907.07777809</v>
      </c>
      <c r="R479">
        <f t="shared" si="981"/>
        <v>1423624809.5742643</v>
      </c>
      <c r="S479">
        <f t="shared" si="982"/>
        <v>14236.248095742643</v>
      </c>
      <c r="T479">
        <f t="shared" si="983"/>
        <v>14.236248095742644</v>
      </c>
    </row>
    <row r="480" spans="1:20" x14ac:dyDescent="0.25">
      <c r="A480" s="5">
        <v>44113</v>
      </c>
      <c r="B480">
        <v>5.2100000000000002E-3</v>
      </c>
      <c r="C480">
        <v>5.6699999999999997E-3</v>
      </c>
      <c r="D480">
        <v>5.1200000000000004E-3</v>
      </c>
      <c r="E480">
        <v>5.4099999999999999E-3</v>
      </c>
      <c r="F480">
        <v>155431169.59999999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5.4545454545453974E-2</v>
      </c>
      <c r="Q480">
        <f t="shared" si="980"/>
        <v>8478063.7963635474</v>
      </c>
      <c r="R480">
        <f t="shared" si="981"/>
        <v>1544775716.6520424</v>
      </c>
      <c r="S480">
        <f t="shared" si="982"/>
        <v>15447.757166520423</v>
      </c>
      <c r="T480">
        <f t="shared" si="983"/>
        <v>15.447757166520423</v>
      </c>
    </row>
    <row r="481" spans="1:20" x14ac:dyDescent="0.25">
      <c r="A481" s="5">
        <v>44112</v>
      </c>
      <c r="B481">
        <v>4.7999999999999996E-3</v>
      </c>
      <c r="C481">
        <v>5.2599999999999999E-3</v>
      </c>
      <c r="D481">
        <v>4.6600000000000001E-3</v>
      </c>
      <c r="E481">
        <v>5.2100000000000002E-3</v>
      </c>
      <c r="F481">
        <v>159094418.5</v>
      </c>
      <c r="G481">
        <v>0</v>
      </c>
      <c r="L481" t="s">
        <v>8</v>
      </c>
      <c r="M481" t="s">
        <v>8</v>
      </c>
      <c r="N481" t="s">
        <v>7</v>
      </c>
      <c r="P481">
        <f t="shared" si="979"/>
        <v>0.83333333333333426</v>
      </c>
      <c r="Q481">
        <f t="shared" si="980"/>
        <v>132578682.08333348</v>
      </c>
      <c r="R481">
        <f t="shared" si="981"/>
        <v>1536297652.8556788</v>
      </c>
      <c r="S481">
        <f t="shared" si="982"/>
        <v>15362.976528556788</v>
      </c>
      <c r="T481">
        <f t="shared" si="983"/>
        <v>15.362976528556787</v>
      </c>
    </row>
    <row r="482" spans="1:20" x14ac:dyDescent="0.25">
      <c r="A482" s="5">
        <v>44111</v>
      </c>
      <c r="B482">
        <v>4.47E-3</v>
      </c>
      <c r="C482">
        <v>4.9199999999999999E-3</v>
      </c>
      <c r="D482">
        <v>4.3499999999999997E-3</v>
      </c>
      <c r="E482">
        <v>4.7800000000000004E-3</v>
      </c>
      <c r="F482">
        <v>192291454.69999999</v>
      </c>
      <c r="G482">
        <v>0</v>
      </c>
      <c r="L482" t="s">
        <v>8</v>
      </c>
      <c r="M482" t="s">
        <v>7</v>
      </c>
      <c r="N482" t="s">
        <v>7</v>
      </c>
      <c r="P482">
        <f t="shared" si="979"/>
        <v>0.50877192982456332</v>
      </c>
      <c r="Q482">
        <f t="shared" si="980"/>
        <v>97832494.496491596</v>
      </c>
      <c r="R482">
        <f t="shared" si="981"/>
        <v>1403718970.7723453</v>
      </c>
      <c r="S482">
        <f t="shared" si="982"/>
        <v>14037.189707723453</v>
      </c>
      <c r="T482">
        <f t="shared" si="983"/>
        <v>14.037189707723453</v>
      </c>
    </row>
    <row r="483" spans="1:20" x14ac:dyDescent="0.25">
      <c r="A483" s="5">
        <v>44110</v>
      </c>
      <c r="B483">
        <v>5.3200000000000001E-3</v>
      </c>
      <c r="C483">
        <v>5.3299999999999997E-3</v>
      </c>
      <c r="D483">
        <v>4.3699999999999998E-3</v>
      </c>
      <c r="E483">
        <v>4.47E-3</v>
      </c>
      <c r="F483">
        <v>257026871.59999999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-0.79166666666666607</v>
      </c>
      <c r="Q483">
        <f t="shared" si="980"/>
        <v>-203479606.68333319</v>
      </c>
      <c r="R483">
        <f t="shared" si="981"/>
        <v>1305886476.2758536</v>
      </c>
      <c r="S483">
        <f t="shared" si="982"/>
        <v>13058.864762758536</v>
      </c>
      <c r="T483">
        <f t="shared" si="983"/>
        <v>13.058864762758535</v>
      </c>
    </row>
    <row r="484" spans="1:20" x14ac:dyDescent="0.25">
      <c r="A484" s="5">
        <v>44109</v>
      </c>
      <c r="B484">
        <v>5.3600000000000002E-3</v>
      </c>
      <c r="C484">
        <v>5.3899999999999998E-3</v>
      </c>
      <c r="D484">
        <v>5.2199999999999998E-3</v>
      </c>
      <c r="E484">
        <v>5.3200000000000001E-3</v>
      </c>
      <c r="F484">
        <v>86386964.200000003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0.17647058823529713</v>
      </c>
      <c r="Q484">
        <f t="shared" si="980"/>
        <v>15244758.388235554</v>
      </c>
      <c r="R484">
        <f t="shared" si="981"/>
        <v>1509366082.9591868</v>
      </c>
      <c r="S484">
        <f t="shared" si="982"/>
        <v>15093.660829591869</v>
      </c>
      <c r="T484">
        <f t="shared" si="983"/>
        <v>15.093660829591869</v>
      </c>
    </row>
    <row r="485" spans="1:20" x14ac:dyDescent="0.25">
      <c r="A485" s="5">
        <v>44108</v>
      </c>
      <c r="B485">
        <v>5.4099999999999999E-3</v>
      </c>
      <c r="C485">
        <v>5.5100000000000001E-3</v>
      </c>
      <c r="D485">
        <v>5.1599999999999997E-3</v>
      </c>
      <c r="E485">
        <v>5.3699999999999998E-3</v>
      </c>
      <c r="F485">
        <v>124145223.5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0.19999999999999901</v>
      </c>
      <c r="Q485">
        <f t="shared" si="980"/>
        <v>24829044.699999876</v>
      </c>
      <c r="R485">
        <f t="shared" si="981"/>
        <v>1494121324.5709512</v>
      </c>
      <c r="S485">
        <f t="shared" si="982"/>
        <v>14941.213245709512</v>
      </c>
      <c r="T485">
        <f t="shared" si="983"/>
        <v>14.941213245709513</v>
      </c>
    </row>
    <row r="486" spans="1:20" x14ac:dyDescent="0.25">
      <c r="A486" s="5">
        <v>44107</v>
      </c>
      <c r="B486">
        <v>5.6100000000000004E-3</v>
      </c>
      <c r="C486">
        <v>5.6600000000000001E-3</v>
      </c>
      <c r="D486">
        <v>5.3899999999999998E-3</v>
      </c>
      <c r="E486">
        <v>5.4099999999999999E-3</v>
      </c>
      <c r="F486">
        <v>129594307.59999999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-0.85185185185185164</v>
      </c>
      <c r="Q486">
        <f t="shared" si="980"/>
        <v>-110395150.91851848</v>
      </c>
      <c r="R486">
        <f t="shared" si="981"/>
        <v>1469292279.8709514</v>
      </c>
      <c r="S486">
        <f t="shared" si="982"/>
        <v>14692.922798709515</v>
      </c>
      <c r="T486">
        <f t="shared" si="983"/>
        <v>14.692922798709514</v>
      </c>
    </row>
    <row r="487" spans="1:20" x14ac:dyDescent="0.25">
      <c r="A487" s="5">
        <v>44106</v>
      </c>
      <c r="B487">
        <v>5.47E-3</v>
      </c>
      <c r="C487">
        <v>5.8100000000000001E-3</v>
      </c>
      <c r="D487">
        <v>5.1200000000000004E-3</v>
      </c>
      <c r="E487">
        <v>5.6100000000000004E-3</v>
      </c>
      <c r="F487">
        <v>264419227.30000001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0.42028985507246447</v>
      </c>
      <c r="Q487">
        <f t="shared" si="980"/>
        <v>111132718.72029005</v>
      </c>
      <c r="R487">
        <f t="shared" si="981"/>
        <v>1579687430.78947</v>
      </c>
      <c r="S487">
        <f t="shared" si="982"/>
        <v>15796.874307894699</v>
      </c>
      <c r="T487">
        <f t="shared" si="983"/>
        <v>15.796874307894699</v>
      </c>
    </row>
    <row r="488" spans="1:20" x14ac:dyDescent="0.25">
      <c r="A488" s="5">
        <v>44105</v>
      </c>
      <c r="B488">
        <v>5.6899999999999997E-3</v>
      </c>
      <c r="C488">
        <v>6.1000000000000004E-3</v>
      </c>
      <c r="D488">
        <v>5.0400000000000002E-3</v>
      </c>
      <c r="E488">
        <v>5.4599999999999996E-3</v>
      </c>
      <c r="F488">
        <v>458123664.89999998</v>
      </c>
      <c r="G488">
        <v>0</v>
      </c>
      <c r="L488" t="s">
        <v>8</v>
      </c>
      <c r="M488" t="s">
        <v>8</v>
      </c>
      <c r="N488" t="s">
        <v>7</v>
      </c>
      <c r="P488">
        <f t="shared" si="979"/>
        <v>-0.20754716981132207</v>
      </c>
      <c r="Q488">
        <f t="shared" si="980"/>
        <v>-95082270.073585495</v>
      </c>
      <c r="R488">
        <f t="shared" si="981"/>
        <v>1468554712.06918</v>
      </c>
      <c r="S488">
        <f t="shared" si="982"/>
        <v>14685.547120691801</v>
      </c>
      <c r="T488">
        <f t="shared" si="983"/>
        <v>14.685547120691801</v>
      </c>
    </row>
    <row r="489" spans="1:20" x14ac:dyDescent="0.25">
      <c r="A489" s="5">
        <v>44104</v>
      </c>
      <c r="B489">
        <v>5.1000000000000004E-3</v>
      </c>
      <c r="C489">
        <v>5.7499999999999999E-3</v>
      </c>
      <c r="D489">
        <v>4.9699999999999996E-3</v>
      </c>
      <c r="E489">
        <v>5.6800000000000002E-3</v>
      </c>
      <c r="F489">
        <v>268752038.5</v>
      </c>
      <c r="G489">
        <v>0</v>
      </c>
      <c r="L489" t="s">
        <v>8</v>
      </c>
      <c r="M489" t="s">
        <v>8</v>
      </c>
      <c r="N489" t="s">
        <v>7</v>
      </c>
      <c r="P489">
        <f t="shared" si="979"/>
        <v>0.82051282051282126</v>
      </c>
      <c r="Q489">
        <f t="shared" si="980"/>
        <v>220514493.12820533</v>
      </c>
      <c r="R489">
        <f t="shared" si="981"/>
        <v>1563636982.1427655</v>
      </c>
      <c r="S489">
        <f t="shared" si="982"/>
        <v>15636.369821427656</v>
      </c>
      <c r="T489">
        <f t="shared" si="983"/>
        <v>15.636369821427655</v>
      </c>
    </row>
    <row r="490" spans="1:20" x14ac:dyDescent="0.25">
      <c r="A490" s="5">
        <v>44103</v>
      </c>
      <c r="B490">
        <v>5.0000000000000001E-3</v>
      </c>
      <c r="C490">
        <v>5.28E-3</v>
      </c>
      <c r="D490">
        <v>4.8799999999999998E-3</v>
      </c>
      <c r="E490">
        <v>5.1000000000000004E-3</v>
      </c>
      <c r="F490">
        <v>188062894.5</v>
      </c>
      <c r="G490">
        <v>0</v>
      </c>
      <c r="L490" t="s">
        <v>7</v>
      </c>
      <c r="M490" t="s">
        <v>8</v>
      </c>
      <c r="N490" t="s">
        <v>7</v>
      </c>
      <c r="P490">
        <f t="shared" si="979"/>
        <v>0.10000000000000238</v>
      </c>
      <c r="Q490">
        <f t="shared" si="980"/>
        <v>18806289.450000446</v>
      </c>
      <c r="R490">
        <f t="shared" si="981"/>
        <v>1343122489.0145602</v>
      </c>
      <c r="S490">
        <f t="shared" si="982"/>
        <v>13431.224890145602</v>
      </c>
      <c r="T490">
        <f t="shared" si="983"/>
        <v>13.431224890145602</v>
      </c>
    </row>
    <row r="491" spans="1:20" x14ac:dyDescent="0.25">
      <c r="A491" s="5">
        <v>44102</v>
      </c>
      <c r="B491">
        <v>5.1399999999999996E-3</v>
      </c>
      <c r="C491">
        <v>5.2700000000000004E-3</v>
      </c>
      <c r="D491">
        <v>5.0000000000000001E-3</v>
      </c>
      <c r="E491">
        <v>5.0099999999999997E-3</v>
      </c>
      <c r="F491">
        <v>202993885.19999999</v>
      </c>
      <c r="G491">
        <v>0</v>
      </c>
      <c r="L491" t="s">
        <v>7</v>
      </c>
      <c r="M491" t="s">
        <v>8</v>
      </c>
      <c r="N491" t="s">
        <v>7</v>
      </c>
      <c r="P491">
        <f t="shared" si="979"/>
        <v>-0.92592592592592904</v>
      </c>
      <c r="Q491">
        <f t="shared" si="980"/>
        <v>-187957301.11111173</v>
      </c>
      <c r="R491">
        <f t="shared" si="981"/>
        <v>1324316199.5645597</v>
      </c>
      <c r="S491">
        <f t="shared" si="982"/>
        <v>13243.161995645596</v>
      </c>
      <c r="T491">
        <f t="shared" si="983"/>
        <v>13.243161995645597</v>
      </c>
    </row>
    <row r="492" spans="1:20" x14ac:dyDescent="0.25">
      <c r="A492" s="5">
        <v>44101</v>
      </c>
      <c r="B492">
        <v>5.3699999999999998E-3</v>
      </c>
      <c r="C492">
        <v>5.47E-3</v>
      </c>
      <c r="D492">
        <v>4.9699999999999996E-3</v>
      </c>
      <c r="E492">
        <v>5.1200000000000004E-3</v>
      </c>
      <c r="F492">
        <v>203104596.5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-0.39999999999999725</v>
      </c>
      <c r="Q492">
        <f t="shared" si="980"/>
        <v>-81241838.599999443</v>
      </c>
      <c r="R492">
        <f t="shared" si="981"/>
        <v>1512273500.6756713</v>
      </c>
      <c r="S492">
        <f t="shared" si="982"/>
        <v>15122.735006756713</v>
      </c>
      <c r="T492">
        <f t="shared" si="983"/>
        <v>15.122735006756713</v>
      </c>
    </row>
    <row r="493" spans="1:20" x14ac:dyDescent="0.25">
      <c r="A493" s="5">
        <v>44100</v>
      </c>
      <c r="B493">
        <v>5.4599999999999996E-3</v>
      </c>
      <c r="C493">
        <v>5.5300000000000002E-3</v>
      </c>
      <c r="D493">
        <v>5.1799999999999997E-3</v>
      </c>
      <c r="E493">
        <v>5.3699999999999998E-3</v>
      </c>
      <c r="F493">
        <v>162094446.90000001</v>
      </c>
      <c r="G493">
        <v>0</v>
      </c>
      <c r="L493" t="s">
        <v>7</v>
      </c>
      <c r="M493" t="s">
        <v>8</v>
      </c>
      <c r="N493" t="s">
        <v>7</v>
      </c>
      <c r="P493">
        <f t="shared" si="979"/>
        <v>8.5714285714284577E-2</v>
      </c>
      <c r="Q493">
        <f t="shared" si="980"/>
        <v>13893809.73428553</v>
      </c>
      <c r="R493">
        <f t="shared" si="981"/>
        <v>1593515339.2756708</v>
      </c>
      <c r="S493">
        <f t="shared" si="982"/>
        <v>15935.153392756707</v>
      </c>
      <c r="T493">
        <f t="shared" si="983"/>
        <v>15.935153392756707</v>
      </c>
    </row>
    <row r="494" spans="1:20" x14ac:dyDescent="0.25">
      <c r="A494" s="5">
        <v>44099</v>
      </c>
      <c r="B494">
        <v>5.1700000000000001E-3</v>
      </c>
      <c r="C494">
        <v>5.5900000000000004E-3</v>
      </c>
      <c r="D494">
        <v>4.9300000000000004E-3</v>
      </c>
      <c r="E494">
        <v>5.45E-3</v>
      </c>
      <c r="F494">
        <v>216092051.69999999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0.57575757575757469</v>
      </c>
      <c r="Q494">
        <f t="shared" si="980"/>
        <v>124416635.82727249</v>
      </c>
      <c r="R494">
        <f t="shared" si="981"/>
        <v>1579621529.5413852</v>
      </c>
      <c r="S494">
        <f t="shared" si="982"/>
        <v>15796.215295413851</v>
      </c>
      <c r="T494">
        <f t="shared" si="983"/>
        <v>15.796215295413852</v>
      </c>
    </row>
    <row r="495" spans="1:20" x14ac:dyDescent="0.25">
      <c r="A495" s="5">
        <v>44098</v>
      </c>
      <c r="B495">
        <v>4.6699999999999997E-3</v>
      </c>
      <c r="C495">
        <v>5.1999999999999998E-3</v>
      </c>
      <c r="D495">
        <v>4.62E-3</v>
      </c>
      <c r="E495">
        <v>5.1700000000000001E-3</v>
      </c>
      <c r="F495">
        <v>276234229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0.89655172413793227</v>
      </c>
      <c r="Q495">
        <f t="shared" si="980"/>
        <v>247658274.2758624</v>
      </c>
      <c r="R495">
        <f t="shared" si="981"/>
        <v>1455204893.7141128</v>
      </c>
      <c r="S495">
        <f t="shared" si="982"/>
        <v>14552.048937141128</v>
      </c>
      <c r="T495">
        <f t="shared" si="983"/>
        <v>14.552048937141128</v>
      </c>
    </row>
    <row r="496" spans="1:20" x14ac:dyDescent="0.25">
      <c r="A496" s="5">
        <v>44097</v>
      </c>
      <c r="B496">
        <v>5.6499999999999996E-3</v>
      </c>
      <c r="C496">
        <v>5.6899999999999997E-3</v>
      </c>
      <c r="D496">
        <v>4.5599999999999998E-3</v>
      </c>
      <c r="E496">
        <v>4.6699999999999997E-3</v>
      </c>
      <c r="F496">
        <v>245998705.40000001</v>
      </c>
      <c r="G496">
        <v>0</v>
      </c>
      <c r="L496" t="s">
        <v>7</v>
      </c>
      <c r="M496" t="s">
        <v>8</v>
      </c>
      <c r="N496" t="s">
        <v>7</v>
      </c>
      <c r="P496">
        <f t="shared" si="979"/>
        <v>-0.80530973451327459</v>
      </c>
      <c r="Q496">
        <f t="shared" si="980"/>
        <v>-198105152.13628325</v>
      </c>
      <c r="R496">
        <f t="shared" si="981"/>
        <v>1207546619.4382503</v>
      </c>
      <c r="S496">
        <f t="shared" si="982"/>
        <v>12075.466194382503</v>
      </c>
      <c r="T496">
        <f t="shared" si="983"/>
        <v>12.075466194382503</v>
      </c>
    </row>
    <row r="497" spans="1:20" x14ac:dyDescent="0.25">
      <c r="A497" s="5">
        <v>44096</v>
      </c>
      <c r="B497">
        <v>5.11E-3</v>
      </c>
      <c r="C497">
        <v>5.6600000000000001E-3</v>
      </c>
      <c r="D497">
        <v>4.79E-3</v>
      </c>
      <c r="E497">
        <v>5.6499999999999996E-3</v>
      </c>
      <c r="F497">
        <v>303321178.80000001</v>
      </c>
      <c r="G497">
        <v>0</v>
      </c>
      <c r="L497" t="s">
        <v>8</v>
      </c>
      <c r="M497" t="s">
        <v>8</v>
      </c>
      <c r="N497" t="s">
        <v>7</v>
      </c>
      <c r="P497">
        <f t="shared" si="979"/>
        <v>0.97701149425287248</v>
      </c>
      <c r="Q497">
        <f t="shared" si="980"/>
        <v>296348278.13793069</v>
      </c>
      <c r="R497">
        <f t="shared" si="981"/>
        <v>1405651771.5745335</v>
      </c>
      <c r="S497">
        <f t="shared" si="982"/>
        <v>14056.517715745334</v>
      </c>
      <c r="T497">
        <f t="shared" si="983"/>
        <v>14.056517715745334</v>
      </c>
    </row>
    <row r="498" spans="1:20" x14ac:dyDescent="0.25">
      <c r="A498" s="5">
        <v>44095</v>
      </c>
      <c r="B498">
        <v>5.5300000000000002E-3</v>
      </c>
      <c r="C498">
        <v>5.7499999999999999E-3</v>
      </c>
      <c r="D498">
        <v>4.5999999999999999E-3</v>
      </c>
      <c r="E498">
        <v>5.11E-3</v>
      </c>
      <c r="F498">
        <v>353002361.30000001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-0.11304347826086948</v>
      </c>
      <c r="Q498">
        <f t="shared" si="980"/>
        <v>-39904614.755652145</v>
      </c>
      <c r="R498">
        <f t="shared" si="981"/>
        <v>1109303493.4366028</v>
      </c>
      <c r="S498">
        <f t="shared" si="982"/>
        <v>11093.034934366029</v>
      </c>
      <c r="T498">
        <f t="shared" si="983"/>
        <v>11.093034934366029</v>
      </c>
    </row>
    <row r="499" spans="1:20" x14ac:dyDescent="0.25">
      <c r="A499" s="5">
        <v>44094</v>
      </c>
      <c r="B499">
        <v>6.0000000000000001E-3</v>
      </c>
      <c r="C499">
        <v>6.0200000000000002E-3</v>
      </c>
      <c r="D499">
        <v>5.4000000000000003E-3</v>
      </c>
      <c r="E499">
        <v>5.5300000000000002E-3</v>
      </c>
      <c r="F499">
        <v>188365127.59999999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-0.58064516129032284</v>
      </c>
      <c r="Q499">
        <f t="shared" si="980"/>
        <v>-109373299.89677423</v>
      </c>
      <c r="R499">
        <f t="shared" si="981"/>
        <v>1149208108.192255</v>
      </c>
      <c r="S499">
        <f t="shared" si="982"/>
        <v>11492.08108192255</v>
      </c>
      <c r="T499">
        <f t="shared" si="983"/>
        <v>11.492081081922549</v>
      </c>
    </row>
    <row r="500" spans="1:20" x14ac:dyDescent="0.25">
      <c r="A500" s="5">
        <v>44093</v>
      </c>
      <c r="B500">
        <v>6.0299999999999998E-3</v>
      </c>
      <c r="C500">
        <v>6.2300000000000003E-3</v>
      </c>
      <c r="D500">
        <v>5.8599999999999998E-3</v>
      </c>
      <c r="E500">
        <v>6.0099999999999997E-3</v>
      </c>
      <c r="F500">
        <v>248725296.19999999</v>
      </c>
      <c r="G500">
        <v>0</v>
      </c>
      <c r="L500" t="s">
        <v>8</v>
      </c>
      <c r="M500" t="s">
        <v>7</v>
      </c>
      <c r="N500" t="s">
        <v>7</v>
      </c>
      <c r="P500">
        <f t="shared" si="979"/>
        <v>-0.18918918918919059</v>
      </c>
      <c r="Q500">
        <f t="shared" si="980"/>
        <v>-47056137.118919261</v>
      </c>
      <c r="R500">
        <f t="shared" si="981"/>
        <v>1258581408.0890293</v>
      </c>
      <c r="S500">
        <f t="shared" si="982"/>
        <v>12585.814080890294</v>
      </c>
      <c r="T500">
        <f t="shared" si="983"/>
        <v>12.585814080890293</v>
      </c>
    </row>
    <row r="501" spans="1:20" x14ac:dyDescent="0.25">
      <c r="A501" s="5">
        <v>44092</v>
      </c>
      <c r="B501">
        <v>5.96E-3</v>
      </c>
      <c r="C501">
        <v>6.1000000000000004E-3</v>
      </c>
      <c r="D501">
        <v>5.7999999999999996E-3</v>
      </c>
      <c r="E501">
        <v>6.0200000000000002E-3</v>
      </c>
      <c r="F501">
        <v>189719922.30000001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0.46666666666666667</v>
      </c>
      <c r="Q501">
        <f t="shared" si="980"/>
        <v>88535963.74000001</v>
      </c>
      <c r="R501">
        <f t="shared" si="981"/>
        <v>1305637545.2079487</v>
      </c>
      <c r="S501">
        <f t="shared" si="982"/>
        <v>13056.375452079486</v>
      </c>
      <c r="T501">
        <f t="shared" si="983"/>
        <v>13.056375452079486</v>
      </c>
    </row>
    <row r="502" spans="1:20" x14ac:dyDescent="0.25">
      <c r="A502" s="5">
        <v>44091</v>
      </c>
      <c r="B502">
        <v>6.2100000000000002E-3</v>
      </c>
      <c r="C502">
        <v>6.6E-3</v>
      </c>
      <c r="D502">
        <v>5.7299999999999999E-3</v>
      </c>
      <c r="E502">
        <v>5.9699999999999996E-3</v>
      </c>
      <c r="F502">
        <v>262239834.5</v>
      </c>
      <c r="G502">
        <v>0</v>
      </c>
      <c r="L502" t="s">
        <v>7</v>
      </c>
      <c r="M502" t="s">
        <v>7</v>
      </c>
      <c r="N502" t="s">
        <v>7</v>
      </c>
      <c r="P502">
        <f t="shared" si="979"/>
        <v>-0.44827586206896614</v>
      </c>
      <c r="Q502">
        <f t="shared" si="980"/>
        <v>-117555787.8793105</v>
      </c>
      <c r="R502">
        <f t="shared" si="981"/>
        <v>1217101581.4679487</v>
      </c>
      <c r="S502">
        <f t="shared" si="982"/>
        <v>12171.015814679487</v>
      </c>
      <c r="T502">
        <f t="shared" si="983"/>
        <v>12.171015814679487</v>
      </c>
    </row>
    <row r="503" spans="1:20" x14ac:dyDescent="0.25">
      <c r="A503" s="5">
        <v>44090</v>
      </c>
      <c r="B503">
        <v>6.6E-3</v>
      </c>
      <c r="C503">
        <v>6.8700000000000002E-3</v>
      </c>
      <c r="D503">
        <v>6.0899999999999999E-3</v>
      </c>
      <c r="E503">
        <v>6.2100000000000002E-3</v>
      </c>
      <c r="F503">
        <v>292313067.39999998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-0.69230769230769162</v>
      </c>
      <c r="Q503">
        <f t="shared" si="980"/>
        <v>-202370585.12307671</v>
      </c>
      <c r="R503">
        <f t="shared" si="981"/>
        <v>1334657369.3472593</v>
      </c>
      <c r="S503">
        <f t="shared" si="982"/>
        <v>13346.573693472594</v>
      </c>
      <c r="T503">
        <f t="shared" si="983"/>
        <v>13.346573693472594</v>
      </c>
    </row>
    <row r="504" spans="1:20" x14ac:dyDescent="0.25">
      <c r="A504" s="5">
        <v>44089</v>
      </c>
      <c r="B504">
        <v>7.0699999999999999E-3</v>
      </c>
      <c r="C504">
        <v>7.1799999999999998E-3</v>
      </c>
      <c r="D504">
        <v>6.6E-3</v>
      </c>
      <c r="E504">
        <v>6.6100000000000004E-3</v>
      </c>
      <c r="F504">
        <v>208870009.59999999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-0.96551724137930872</v>
      </c>
      <c r="Q504">
        <f t="shared" si="980"/>
        <v>-201667595.47586173</v>
      </c>
      <c r="R504">
        <f t="shared" si="981"/>
        <v>1537027954.470336</v>
      </c>
      <c r="S504">
        <f t="shared" si="982"/>
        <v>15370.27954470336</v>
      </c>
      <c r="T504">
        <f t="shared" si="983"/>
        <v>15.37027954470336</v>
      </c>
    </row>
    <row r="505" spans="1:20" x14ac:dyDescent="0.25">
      <c r="A505" s="5">
        <v>44088</v>
      </c>
      <c r="B505">
        <v>7.4200000000000004E-3</v>
      </c>
      <c r="C505">
        <v>7.5599999999999999E-3</v>
      </c>
      <c r="D505">
        <v>7.0499999999999998E-3</v>
      </c>
      <c r="E505">
        <v>7.0699999999999999E-3</v>
      </c>
      <c r="F505">
        <v>187084495.5</v>
      </c>
      <c r="G505">
        <v>0</v>
      </c>
      <c r="L505" t="s">
        <v>8</v>
      </c>
      <c r="M505" t="s">
        <v>7</v>
      </c>
      <c r="N505" t="s">
        <v>7</v>
      </c>
      <c r="P505">
        <f t="shared" si="979"/>
        <v>-0.92156862745098023</v>
      </c>
      <c r="Q505">
        <f t="shared" si="980"/>
        <v>-172411201.73529407</v>
      </c>
      <c r="R505">
        <f t="shared" si="981"/>
        <v>1738695549.9461977</v>
      </c>
      <c r="S505">
        <f t="shared" si="982"/>
        <v>17386.955499461976</v>
      </c>
      <c r="T505">
        <f t="shared" si="983"/>
        <v>17.386955499461976</v>
      </c>
    </row>
    <row r="506" spans="1:20" x14ac:dyDescent="0.25">
      <c r="A506" s="5">
        <v>44087</v>
      </c>
      <c r="B506">
        <v>7.8499999999999993E-3</v>
      </c>
      <c r="C506">
        <v>8.0800000000000004E-3</v>
      </c>
      <c r="D506">
        <v>7.0299999999999998E-3</v>
      </c>
      <c r="E506">
        <v>7.4200000000000004E-3</v>
      </c>
      <c r="F506">
        <v>197696194</v>
      </c>
      <c r="G506">
        <v>0</v>
      </c>
      <c r="L506" t="s">
        <v>7</v>
      </c>
      <c r="M506" t="s">
        <v>7</v>
      </c>
      <c r="N506" t="s">
        <v>7</v>
      </c>
      <c r="P506">
        <f t="shared" si="979"/>
        <v>-0.25714285714285645</v>
      </c>
      <c r="Q506">
        <f t="shared" si="980"/>
        <v>-50836164.171428435</v>
      </c>
      <c r="R506">
        <f t="shared" si="981"/>
        <v>1911106751.6814919</v>
      </c>
      <c r="S506">
        <f t="shared" si="982"/>
        <v>19111.067516814917</v>
      </c>
      <c r="T506">
        <f t="shared" si="983"/>
        <v>19.111067516814916</v>
      </c>
    </row>
    <row r="507" spans="1:20" x14ac:dyDescent="0.25">
      <c r="A507" s="5">
        <v>44086</v>
      </c>
      <c r="B507">
        <v>7.3000000000000001E-3</v>
      </c>
      <c r="C507">
        <v>8.4200000000000004E-3</v>
      </c>
      <c r="D507">
        <v>7.3000000000000001E-3</v>
      </c>
      <c r="E507">
        <v>7.8399999999999997E-3</v>
      </c>
      <c r="F507">
        <v>454945555.19999999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-3.5714285714286573E-2</v>
      </c>
      <c r="Q507">
        <f t="shared" si="980"/>
        <v>-16248055.542857533</v>
      </c>
      <c r="R507">
        <f t="shared" si="981"/>
        <v>1961942915.8529203</v>
      </c>
      <c r="S507">
        <f t="shared" si="982"/>
        <v>19619.429158529201</v>
      </c>
      <c r="T507">
        <f t="shared" si="983"/>
        <v>19.619429158529201</v>
      </c>
    </row>
    <row r="508" spans="1:20" x14ac:dyDescent="0.25">
      <c r="A508" s="5">
        <v>44085</v>
      </c>
      <c r="B508">
        <v>6.8599999999999998E-3</v>
      </c>
      <c r="C508">
        <v>7.3400000000000002E-3</v>
      </c>
      <c r="D508">
        <v>6.5199999999999998E-3</v>
      </c>
      <c r="E508">
        <v>7.3000000000000001E-3</v>
      </c>
      <c r="F508">
        <v>236215565.90000001</v>
      </c>
      <c r="G508">
        <v>0</v>
      </c>
      <c r="L508" t="s">
        <v>8</v>
      </c>
      <c r="M508" t="s">
        <v>8</v>
      </c>
      <c r="N508" t="s">
        <v>7</v>
      </c>
      <c r="P508">
        <f t="shared" si="979"/>
        <v>0.9024390243902437</v>
      </c>
      <c r="Q508">
        <f t="shared" si="980"/>
        <v>213170144.83658531</v>
      </c>
      <c r="R508">
        <f t="shared" si="981"/>
        <v>1978190971.3957779</v>
      </c>
      <c r="S508">
        <f t="shared" si="982"/>
        <v>19781.909713957779</v>
      </c>
      <c r="T508">
        <f t="shared" si="983"/>
        <v>19.781909713957781</v>
      </c>
    </row>
    <row r="509" spans="1:20" x14ac:dyDescent="0.25">
      <c r="A509" s="5">
        <v>44084</v>
      </c>
      <c r="B509">
        <v>6.5399999999999998E-3</v>
      </c>
      <c r="C509">
        <v>7.2199999999999999E-3</v>
      </c>
      <c r="D509">
        <v>6.5300000000000002E-3</v>
      </c>
      <c r="E509">
        <v>6.8500000000000002E-3</v>
      </c>
      <c r="F509">
        <v>210598451.30000001</v>
      </c>
      <c r="G509">
        <v>0</v>
      </c>
      <c r="L509" t="s">
        <v>8</v>
      </c>
      <c r="M509" t="s">
        <v>7</v>
      </c>
      <c r="N509" t="s">
        <v>7</v>
      </c>
      <c r="P509">
        <f t="shared" si="979"/>
        <v>-7.2463768115941629E-2</v>
      </c>
      <c r="Q509">
        <f t="shared" si="980"/>
        <v>-15260757.340579627</v>
      </c>
      <c r="R509">
        <f t="shared" si="981"/>
        <v>1765020826.5591927</v>
      </c>
      <c r="S509">
        <f t="shared" si="982"/>
        <v>17650.208265591926</v>
      </c>
      <c r="T509">
        <f t="shared" si="983"/>
        <v>17.650208265591925</v>
      </c>
    </row>
    <row r="510" spans="1:20" x14ac:dyDescent="0.25">
      <c r="A510" s="5">
        <v>44083</v>
      </c>
      <c r="B510">
        <v>6.3400000000000001E-3</v>
      </c>
      <c r="C510">
        <v>7.0000000000000001E-3</v>
      </c>
      <c r="D510">
        <v>6.0800000000000003E-3</v>
      </c>
      <c r="E510">
        <v>6.5599999999999999E-3</v>
      </c>
      <c r="F510">
        <v>235448744.19999999</v>
      </c>
      <c r="G510">
        <v>0</v>
      </c>
      <c r="L510" t="s">
        <v>8</v>
      </c>
      <c r="M510" t="s">
        <v>7</v>
      </c>
      <c r="N510" t="s">
        <v>7</v>
      </c>
      <c r="P510">
        <f t="shared" si="979"/>
        <v>4.3478260869564397E-2</v>
      </c>
      <c r="Q510">
        <f t="shared" si="980"/>
        <v>10236901.921738937</v>
      </c>
      <c r="R510">
        <f t="shared" si="981"/>
        <v>1780281583.8997722</v>
      </c>
      <c r="S510">
        <f t="shared" si="982"/>
        <v>17802.815838997722</v>
      </c>
      <c r="T510">
        <f t="shared" si="983"/>
        <v>17.80281583899772</v>
      </c>
    </row>
    <row r="511" spans="1:20" x14ac:dyDescent="0.25">
      <c r="A511" s="5">
        <v>44082</v>
      </c>
      <c r="B511">
        <v>6.6499999999999997E-3</v>
      </c>
      <c r="C511">
        <v>6.96E-3</v>
      </c>
      <c r="D511">
        <v>6.1399999999999996E-3</v>
      </c>
      <c r="E511">
        <v>6.3299999999999997E-3</v>
      </c>
      <c r="F511">
        <v>206547418.69999999</v>
      </c>
      <c r="G511">
        <v>0</v>
      </c>
      <c r="L511" t="s">
        <v>7</v>
      </c>
      <c r="M511" t="s">
        <v>7</v>
      </c>
      <c r="N511" t="s">
        <v>7</v>
      </c>
      <c r="P511">
        <f t="shared" si="979"/>
        <v>-0.53658536585365857</v>
      </c>
      <c r="Q511">
        <f t="shared" si="980"/>
        <v>-110830322.2292683</v>
      </c>
      <c r="R511">
        <f t="shared" si="981"/>
        <v>1770044681.9780333</v>
      </c>
      <c r="S511">
        <f t="shared" si="982"/>
        <v>17700.446819780333</v>
      </c>
      <c r="T511">
        <f t="shared" si="983"/>
        <v>17.700446819780332</v>
      </c>
    </row>
    <row r="512" spans="1:20" x14ac:dyDescent="0.25">
      <c r="A512" s="5">
        <v>44081</v>
      </c>
      <c r="B512">
        <v>7.1799999999999998E-3</v>
      </c>
      <c r="C512">
        <v>7.28E-3</v>
      </c>
      <c r="D512">
        <v>6.1199999999999996E-3</v>
      </c>
      <c r="E512">
        <v>6.6499999999999997E-3</v>
      </c>
      <c r="F512">
        <v>255886721.90000001</v>
      </c>
      <c r="G512">
        <v>0</v>
      </c>
      <c r="L512" t="s">
        <v>8</v>
      </c>
      <c r="M512" t="s">
        <v>8</v>
      </c>
      <c r="N512" t="s">
        <v>7</v>
      </c>
      <c r="P512">
        <f t="shared" si="979"/>
        <v>-8.6206896551724338E-2</v>
      </c>
      <c r="Q512">
        <f t="shared" si="980"/>
        <v>-22059200.163793154</v>
      </c>
      <c r="R512">
        <f t="shared" si="981"/>
        <v>1880875004.2073016</v>
      </c>
      <c r="S512">
        <f t="shared" si="982"/>
        <v>18808.750042073018</v>
      </c>
      <c r="T512">
        <f t="shared" si="983"/>
        <v>18.808750042073019</v>
      </c>
    </row>
    <row r="513" spans="1:20" x14ac:dyDescent="0.25">
      <c r="A513" s="5">
        <v>44080</v>
      </c>
      <c r="B513">
        <v>6.94E-3</v>
      </c>
      <c r="C513">
        <v>7.3000000000000001E-3</v>
      </c>
      <c r="D513">
        <v>6.13E-3</v>
      </c>
      <c r="E513">
        <v>7.1799999999999998E-3</v>
      </c>
      <c r="F513">
        <v>279740764.19999999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0.79487179487179438</v>
      </c>
      <c r="Q513">
        <f t="shared" si="980"/>
        <v>222358043.3384614</v>
      </c>
      <c r="R513">
        <f t="shared" si="981"/>
        <v>1902934204.3710947</v>
      </c>
      <c r="S513">
        <f t="shared" si="982"/>
        <v>19029.342043710945</v>
      </c>
      <c r="T513">
        <f t="shared" si="983"/>
        <v>19.029342043710944</v>
      </c>
    </row>
    <row r="514" spans="1:20" x14ac:dyDescent="0.25">
      <c r="A514" s="5">
        <v>44079</v>
      </c>
      <c r="B514">
        <v>8.1799999999999998E-3</v>
      </c>
      <c r="C514">
        <v>8.4499999999999992E-3</v>
      </c>
      <c r="D514">
        <v>6.5500000000000003E-3</v>
      </c>
      <c r="E514">
        <v>6.9300000000000004E-3</v>
      </c>
      <c r="F514">
        <v>232285631.59999999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-0.59999999999999964</v>
      </c>
      <c r="Q514">
        <f t="shared" si="980"/>
        <v>-139371378.95999992</v>
      </c>
      <c r="R514">
        <f t="shared" si="981"/>
        <v>1680576161.0326333</v>
      </c>
      <c r="S514">
        <f t="shared" si="982"/>
        <v>16805.761610326332</v>
      </c>
      <c r="T514">
        <f t="shared" si="983"/>
        <v>16.805761610326332</v>
      </c>
    </row>
    <row r="515" spans="1:20" x14ac:dyDescent="0.25">
      <c r="A515" s="5">
        <v>44078</v>
      </c>
      <c r="B515">
        <v>7.92E-3</v>
      </c>
      <c r="C515">
        <v>8.3400000000000002E-3</v>
      </c>
      <c r="D515">
        <v>6.8799999999999998E-3</v>
      </c>
      <c r="E515">
        <v>8.2299999999999995E-3</v>
      </c>
      <c r="F515">
        <v>335820550.10000002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0.84931506849314975</v>
      </c>
      <c r="Q515">
        <f t="shared" si="980"/>
        <v>285217453.50958872</v>
      </c>
      <c r="R515">
        <f t="shared" si="981"/>
        <v>1819947539.9926333</v>
      </c>
      <c r="S515">
        <f t="shared" si="982"/>
        <v>18199.475399926334</v>
      </c>
      <c r="T515">
        <f t="shared" si="983"/>
        <v>18.199475399926335</v>
      </c>
    </row>
    <row r="516" spans="1:20" x14ac:dyDescent="0.25">
      <c r="A516" s="5">
        <v>44077</v>
      </c>
      <c r="B516">
        <v>1.043E-2</v>
      </c>
      <c r="C516">
        <v>1.0460000000000001E-2</v>
      </c>
      <c r="D516">
        <v>7.8899999999999994E-3</v>
      </c>
      <c r="E516">
        <v>7.9299999999999995E-3</v>
      </c>
      <c r="F516">
        <v>357403091.80000001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-0.96887159533073919</v>
      </c>
      <c r="Q516">
        <f t="shared" si="980"/>
        <v>-346277703.72840464</v>
      </c>
      <c r="R516">
        <f t="shared" si="981"/>
        <v>1534730086.4830446</v>
      </c>
      <c r="S516">
        <f t="shared" si="982"/>
        <v>15347.300864830446</v>
      </c>
      <c r="T516">
        <f t="shared" si="983"/>
        <v>15.347300864830446</v>
      </c>
    </row>
    <row r="517" spans="1:20" x14ac:dyDescent="0.25">
      <c r="A517" s="5">
        <v>44076</v>
      </c>
      <c r="B517">
        <v>1.013E-2</v>
      </c>
      <c r="C517">
        <v>1.048E-2</v>
      </c>
      <c r="D517">
        <v>8.8699999999999994E-3</v>
      </c>
      <c r="E517">
        <v>1.043E-2</v>
      </c>
      <c r="F517">
        <v>454038238.69999999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0.93788819875776441</v>
      </c>
      <c r="Q517">
        <f t="shared" si="980"/>
        <v>425837105.86149085</v>
      </c>
      <c r="R517">
        <f t="shared" si="981"/>
        <v>1881007790.2114491</v>
      </c>
      <c r="S517">
        <f t="shared" si="982"/>
        <v>18810.077902114492</v>
      </c>
      <c r="T517">
        <f t="shared" si="983"/>
        <v>18.810077902114493</v>
      </c>
    </row>
    <row r="518" spans="1:20" x14ac:dyDescent="0.25">
      <c r="A518" s="5">
        <v>44075</v>
      </c>
      <c r="B518">
        <v>1.009E-2</v>
      </c>
      <c r="C518">
        <v>1.039E-2</v>
      </c>
      <c r="D518">
        <v>9.8399999999999998E-3</v>
      </c>
      <c r="E518">
        <v>1.0120000000000001E-2</v>
      </c>
      <c r="F518">
        <v>235769727.59999999</v>
      </c>
      <c r="G518">
        <v>0</v>
      </c>
      <c r="L518" t="s">
        <v>7</v>
      </c>
      <c r="M518" t="s">
        <v>7</v>
      </c>
      <c r="N518" t="s">
        <v>7</v>
      </c>
      <c r="P518">
        <f t="shared" ref="P518:P581" si="984">IF(C518=D518,0,((E518-D518)-(C518-E518))/(C518-D518))</f>
        <v>1.8181818181820589E-2</v>
      </c>
      <c r="Q518">
        <f t="shared" ref="Q518:Q581" si="985">F518*P518</f>
        <v>4286722.3200005675</v>
      </c>
      <c r="R518">
        <f t="shared" ref="R518:R581" si="986">R519+Q518</f>
        <v>1455170684.3499584</v>
      </c>
      <c r="S518">
        <f t="shared" ref="S518:S581" si="987">R518/100000</f>
        <v>14551.706843499584</v>
      </c>
      <c r="T518">
        <f t="shared" ref="T518:T581" si="988">S518/1000</f>
        <v>14.551706843499584</v>
      </c>
    </row>
    <row r="519" spans="1:20" x14ac:dyDescent="0.25">
      <c r="A519" s="5">
        <v>44074</v>
      </c>
      <c r="B519">
        <v>1.0580000000000001E-2</v>
      </c>
      <c r="C519">
        <v>1.089E-2</v>
      </c>
      <c r="D519">
        <v>1.0070000000000001E-2</v>
      </c>
      <c r="E519">
        <v>1.009E-2</v>
      </c>
      <c r="F519">
        <v>203091016.19999999</v>
      </c>
      <c r="G519">
        <v>0</v>
      </c>
      <c r="L519" t="s">
        <v>7</v>
      </c>
      <c r="M519" t="s">
        <v>7</v>
      </c>
      <c r="N519" t="s">
        <v>7</v>
      </c>
      <c r="P519">
        <f t="shared" si="984"/>
        <v>-0.95121951219512391</v>
      </c>
      <c r="Q519">
        <f t="shared" si="985"/>
        <v>-193184137.36097598</v>
      </c>
      <c r="R519">
        <f t="shared" si="986"/>
        <v>1450883962.0299578</v>
      </c>
      <c r="S519">
        <f t="shared" si="987"/>
        <v>14508.839620299577</v>
      </c>
      <c r="T519">
        <f t="shared" si="988"/>
        <v>14.508839620299577</v>
      </c>
    </row>
    <row r="520" spans="1:20" x14ac:dyDescent="0.25">
      <c r="A520" s="5">
        <v>44073</v>
      </c>
      <c r="B520">
        <v>1.0410000000000001E-2</v>
      </c>
      <c r="C520">
        <v>1.0999999999999999E-2</v>
      </c>
      <c r="D520">
        <v>1.013E-2</v>
      </c>
      <c r="E520">
        <v>1.0580000000000001E-2</v>
      </c>
      <c r="F520">
        <v>199469149.40000001</v>
      </c>
      <c r="G520">
        <v>0</v>
      </c>
      <c r="L520" t="s">
        <v>7</v>
      </c>
      <c r="M520" t="s">
        <v>7</v>
      </c>
      <c r="N520" t="s">
        <v>7</v>
      </c>
      <c r="P520">
        <f t="shared" si="984"/>
        <v>3.4482758620692271E-2</v>
      </c>
      <c r="Q520">
        <f t="shared" si="985"/>
        <v>6878246.5310350051</v>
      </c>
      <c r="R520">
        <f t="shared" si="986"/>
        <v>1644068099.3909338</v>
      </c>
      <c r="S520">
        <f t="shared" si="987"/>
        <v>16440.680993909336</v>
      </c>
      <c r="T520">
        <f t="shared" si="988"/>
        <v>16.440680993909336</v>
      </c>
    </row>
    <row r="521" spans="1:20" x14ac:dyDescent="0.25">
      <c r="A521" s="5">
        <v>44072</v>
      </c>
      <c r="B521">
        <v>1.077E-2</v>
      </c>
      <c r="C521">
        <v>1.081E-2</v>
      </c>
      <c r="D521">
        <v>1.0330000000000001E-2</v>
      </c>
      <c r="E521">
        <v>1.0410000000000001E-2</v>
      </c>
      <c r="F521">
        <v>199822949.19999999</v>
      </c>
      <c r="G521">
        <v>0</v>
      </c>
      <c r="L521" t="s">
        <v>7</v>
      </c>
      <c r="M521" t="s">
        <v>8</v>
      </c>
      <c r="N521" t="s">
        <v>7</v>
      </c>
      <c r="P521">
        <f t="shared" si="984"/>
        <v>-0.66666666666666541</v>
      </c>
      <c r="Q521">
        <f t="shared" si="985"/>
        <v>-133215299.4666664</v>
      </c>
      <c r="R521">
        <f t="shared" si="986"/>
        <v>1637189852.8598988</v>
      </c>
      <c r="S521">
        <f t="shared" si="987"/>
        <v>16371.898528598987</v>
      </c>
      <c r="T521">
        <f t="shared" si="988"/>
        <v>16.371898528598987</v>
      </c>
    </row>
    <row r="522" spans="1:20" x14ac:dyDescent="0.25">
      <c r="A522" s="5">
        <v>44071</v>
      </c>
      <c r="B522">
        <v>1.102E-2</v>
      </c>
      <c r="C522">
        <v>1.11E-2</v>
      </c>
      <c r="D522">
        <v>1.042E-2</v>
      </c>
      <c r="E522">
        <v>1.077E-2</v>
      </c>
      <c r="F522">
        <v>310584058.89999998</v>
      </c>
      <c r="G522">
        <v>0</v>
      </c>
      <c r="L522" t="s">
        <v>7</v>
      </c>
      <c r="M522" t="s">
        <v>8</v>
      </c>
      <c r="N522" t="s">
        <v>7</v>
      </c>
      <c r="P522">
        <f t="shared" si="984"/>
        <v>2.9411764705881152E-2</v>
      </c>
      <c r="Q522">
        <f t="shared" si="985"/>
        <v>9134825.2617643327</v>
      </c>
      <c r="R522">
        <f t="shared" si="986"/>
        <v>1770405152.3265653</v>
      </c>
      <c r="S522">
        <f t="shared" si="987"/>
        <v>17704.051523265654</v>
      </c>
      <c r="T522">
        <f t="shared" si="988"/>
        <v>17.704051523265655</v>
      </c>
    </row>
    <row r="523" spans="1:20" x14ac:dyDescent="0.25">
      <c r="A523" s="5">
        <v>44070</v>
      </c>
      <c r="B523">
        <v>1.089E-2</v>
      </c>
      <c r="C523">
        <v>1.1900000000000001E-2</v>
      </c>
      <c r="D523">
        <v>1.039E-2</v>
      </c>
      <c r="E523">
        <v>1.102E-2</v>
      </c>
      <c r="F523">
        <v>648122341.79999995</v>
      </c>
      <c r="G523">
        <v>0</v>
      </c>
      <c r="L523" t="s">
        <v>8</v>
      </c>
      <c r="M523" t="s">
        <v>8</v>
      </c>
      <c r="N523" t="s">
        <v>7</v>
      </c>
      <c r="P523">
        <f t="shared" si="984"/>
        <v>-0.16556291390728481</v>
      </c>
      <c r="Q523">
        <f t="shared" si="985"/>
        <v>-107305023.47682121</v>
      </c>
      <c r="R523">
        <f t="shared" si="986"/>
        <v>1761270327.064801</v>
      </c>
      <c r="S523">
        <f t="shared" si="987"/>
        <v>17612.703270648009</v>
      </c>
      <c r="T523">
        <f t="shared" si="988"/>
        <v>17.612703270648009</v>
      </c>
    </row>
    <row r="524" spans="1:20" x14ac:dyDescent="0.25">
      <c r="A524" s="5">
        <v>44069</v>
      </c>
      <c r="B524">
        <v>1.008E-2</v>
      </c>
      <c r="C524">
        <v>1.11E-2</v>
      </c>
      <c r="D524">
        <v>9.5200000000000007E-3</v>
      </c>
      <c r="E524">
        <v>1.089E-2</v>
      </c>
      <c r="F524">
        <v>496917668.69999999</v>
      </c>
      <c r="G524">
        <v>0</v>
      </c>
      <c r="L524" t="s">
        <v>7</v>
      </c>
      <c r="M524" t="s">
        <v>7</v>
      </c>
      <c r="N524" t="s">
        <v>7</v>
      </c>
      <c r="P524">
        <f t="shared" si="984"/>
        <v>0.73417721518987322</v>
      </c>
      <c r="Q524">
        <f t="shared" si="985"/>
        <v>364825630.18481004</v>
      </c>
      <c r="R524">
        <f t="shared" si="986"/>
        <v>1868575350.5416222</v>
      </c>
      <c r="S524">
        <f t="shared" si="987"/>
        <v>18685.753505416222</v>
      </c>
      <c r="T524">
        <f t="shared" si="988"/>
        <v>18.685753505416223</v>
      </c>
    </row>
    <row r="525" spans="1:20" x14ac:dyDescent="0.25">
      <c r="A525" s="5">
        <v>44068</v>
      </c>
      <c r="B525">
        <v>1.137E-2</v>
      </c>
      <c r="C525">
        <v>1.1599999999999999E-2</v>
      </c>
      <c r="D525">
        <v>9.6600000000000002E-3</v>
      </c>
      <c r="E525">
        <v>1.0070000000000001E-2</v>
      </c>
      <c r="F525">
        <v>376618866.19999999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-0.57731958762886515</v>
      </c>
      <c r="Q525">
        <f t="shared" si="985"/>
        <v>-217429448.52783474</v>
      </c>
      <c r="R525">
        <f t="shared" si="986"/>
        <v>1503749720.3568122</v>
      </c>
      <c r="S525">
        <f t="shared" si="987"/>
        <v>15037.497203568122</v>
      </c>
      <c r="T525">
        <f t="shared" si="988"/>
        <v>15.037497203568122</v>
      </c>
    </row>
    <row r="526" spans="1:20" x14ac:dyDescent="0.25">
      <c r="A526" s="5">
        <v>44067</v>
      </c>
      <c r="B526">
        <v>1.06E-2</v>
      </c>
      <c r="C526">
        <v>1.162E-2</v>
      </c>
      <c r="D526">
        <v>1.0529999999999999E-2</v>
      </c>
      <c r="E526">
        <v>1.136E-2</v>
      </c>
      <c r="F526">
        <v>401361231</v>
      </c>
      <c r="G526">
        <v>0</v>
      </c>
      <c r="L526" t="s">
        <v>8</v>
      </c>
      <c r="M526" t="s">
        <v>7</v>
      </c>
      <c r="N526" t="s">
        <v>7</v>
      </c>
      <c r="P526">
        <f t="shared" si="984"/>
        <v>0.5229357798165144</v>
      </c>
      <c r="Q526">
        <f t="shared" si="985"/>
        <v>209886148.32110119</v>
      </c>
      <c r="R526">
        <f t="shared" si="986"/>
        <v>1721179168.8846469</v>
      </c>
      <c r="S526">
        <f t="shared" si="987"/>
        <v>17211.791688846468</v>
      </c>
      <c r="T526">
        <f t="shared" si="988"/>
        <v>17.211791688846468</v>
      </c>
    </row>
    <row r="527" spans="1:20" x14ac:dyDescent="0.25">
      <c r="A527" s="5">
        <v>44066</v>
      </c>
      <c r="B527">
        <v>1.0580000000000001E-2</v>
      </c>
      <c r="C527">
        <v>1.076E-2</v>
      </c>
      <c r="D527">
        <v>1.0160000000000001E-2</v>
      </c>
      <c r="E527">
        <v>1.06E-2</v>
      </c>
      <c r="F527">
        <v>182326414.40000001</v>
      </c>
      <c r="G527">
        <v>0</v>
      </c>
      <c r="L527" t="s">
        <v>8</v>
      </c>
      <c r="M527" t="s">
        <v>7</v>
      </c>
      <c r="N527" t="s">
        <v>7</v>
      </c>
      <c r="P527">
        <f t="shared" si="984"/>
        <v>0.46666666666666512</v>
      </c>
      <c r="Q527">
        <f t="shared" si="985"/>
        <v>85085660.053333059</v>
      </c>
      <c r="R527">
        <f t="shared" si="986"/>
        <v>1511293020.5635457</v>
      </c>
      <c r="S527">
        <f t="shared" si="987"/>
        <v>15112.930205635457</v>
      </c>
      <c r="T527">
        <f t="shared" si="988"/>
        <v>15.112930205635458</v>
      </c>
    </row>
    <row r="528" spans="1:20" x14ac:dyDescent="0.25">
      <c r="A528" s="5">
        <v>44065</v>
      </c>
      <c r="B528">
        <v>1.0489999999999999E-2</v>
      </c>
      <c r="C528">
        <v>1.0880000000000001E-2</v>
      </c>
      <c r="D528">
        <v>9.7999999999999997E-3</v>
      </c>
      <c r="E528">
        <v>1.059E-2</v>
      </c>
      <c r="F528">
        <v>222113923.19999999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0.46296296296296291</v>
      </c>
      <c r="Q528">
        <f t="shared" si="985"/>
        <v>102830519.99999999</v>
      </c>
      <c r="R528">
        <f t="shared" si="986"/>
        <v>1426207360.5102127</v>
      </c>
      <c r="S528">
        <f t="shared" si="987"/>
        <v>14262.073605102127</v>
      </c>
      <c r="T528">
        <f t="shared" si="988"/>
        <v>14.262073605102128</v>
      </c>
    </row>
    <row r="529" spans="1:20" x14ac:dyDescent="0.25">
      <c r="A529" s="5">
        <v>44064</v>
      </c>
      <c r="B529">
        <v>1.201E-2</v>
      </c>
      <c r="C529">
        <v>1.209E-2</v>
      </c>
      <c r="D529">
        <v>1.0149999999999999E-2</v>
      </c>
      <c r="E529">
        <v>1.048E-2</v>
      </c>
      <c r="F529">
        <v>297201236.60000002</v>
      </c>
      <c r="G529">
        <v>0</v>
      </c>
      <c r="L529" t="s">
        <v>7</v>
      </c>
      <c r="M529" t="s">
        <v>7</v>
      </c>
      <c r="N529" t="s">
        <v>7</v>
      </c>
      <c r="P529">
        <f t="shared" si="984"/>
        <v>-0.65979381443298935</v>
      </c>
      <c r="Q529">
        <f t="shared" si="985"/>
        <v>-196091537.55051538</v>
      </c>
      <c r="R529">
        <f t="shared" si="986"/>
        <v>1323376840.5102127</v>
      </c>
      <c r="S529">
        <f t="shared" si="987"/>
        <v>13233.768405102126</v>
      </c>
      <c r="T529">
        <f t="shared" si="988"/>
        <v>13.233768405102126</v>
      </c>
    </row>
    <row r="530" spans="1:20" x14ac:dyDescent="0.25">
      <c r="A530" s="5">
        <v>44063</v>
      </c>
      <c r="B530">
        <v>1.065E-2</v>
      </c>
      <c r="C530">
        <v>1.235E-2</v>
      </c>
      <c r="D530">
        <v>1.0630000000000001E-2</v>
      </c>
      <c r="E530">
        <v>1.2E-2</v>
      </c>
      <c r="F530">
        <v>360778818.39999998</v>
      </c>
      <c r="G530">
        <v>0</v>
      </c>
      <c r="L530" t="s">
        <v>8</v>
      </c>
      <c r="M530" t="s">
        <v>8</v>
      </c>
      <c r="N530" t="s">
        <v>7</v>
      </c>
      <c r="P530">
        <f t="shared" si="984"/>
        <v>0.59302325581395376</v>
      </c>
      <c r="Q530">
        <f t="shared" si="985"/>
        <v>213950229.51627916</v>
      </c>
      <c r="R530">
        <f t="shared" si="986"/>
        <v>1519468378.0607281</v>
      </c>
      <c r="S530">
        <f t="shared" si="987"/>
        <v>15194.68378060728</v>
      </c>
      <c r="T530">
        <f t="shared" si="988"/>
        <v>15.19468378060728</v>
      </c>
    </row>
    <row r="531" spans="1:20" x14ac:dyDescent="0.25">
      <c r="A531" s="5">
        <v>44062</v>
      </c>
      <c r="B531">
        <v>1.155E-2</v>
      </c>
      <c r="C531">
        <v>1.166E-2</v>
      </c>
      <c r="D531">
        <v>9.8799999999999999E-3</v>
      </c>
      <c r="E531">
        <v>1.0659999999999999E-2</v>
      </c>
      <c r="F531">
        <v>394749055.30000001</v>
      </c>
      <c r="G531">
        <v>0</v>
      </c>
      <c r="L531" t="s">
        <v>7</v>
      </c>
      <c r="M531" t="s">
        <v>7</v>
      </c>
      <c r="N531" t="s">
        <v>7</v>
      </c>
      <c r="P531">
        <f t="shared" si="984"/>
        <v>-0.12359550561797832</v>
      </c>
      <c r="Q531">
        <f t="shared" si="985"/>
        <v>-48789209.082022786</v>
      </c>
      <c r="R531">
        <f t="shared" si="986"/>
        <v>1305518148.5444489</v>
      </c>
      <c r="S531">
        <f t="shared" si="987"/>
        <v>13055.181485444489</v>
      </c>
      <c r="T531">
        <f t="shared" si="988"/>
        <v>13.055181485444489</v>
      </c>
    </row>
    <row r="532" spans="1:20" x14ac:dyDescent="0.25">
      <c r="A532" s="5">
        <v>44061</v>
      </c>
      <c r="B532">
        <v>1.2529999999999999E-2</v>
      </c>
      <c r="C532">
        <v>1.268E-2</v>
      </c>
      <c r="D532">
        <v>1.1129999999999999E-2</v>
      </c>
      <c r="E532">
        <v>1.15E-2</v>
      </c>
      <c r="F532">
        <v>304596788.89999998</v>
      </c>
      <c r="G532">
        <v>0</v>
      </c>
      <c r="L532" t="s">
        <v>7</v>
      </c>
      <c r="M532" t="s">
        <v>7</v>
      </c>
      <c r="N532" t="s">
        <v>8</v>
      </c>
      <c r="P532">
        <f t="shared" si="984"/>
        <v>-0.52258064516128999</v>
      </c>
      <c r="Q532">
        <f t="shared" si="985"/>
        <v>-159176386.45741925</v>
      </c>
      <c r="R532">
        <f t="shared" si="986"/>
        <v>1354307357.6264718</v>
      </c>
      <c r="S532">
        <f t="shared" si="987"/>
        <v>13543.073576264718</v>
      </c>
      <c r="T532">
        <f t="shared" si="988"/>
        <v>13.543073576264717</v>
      </c>
    </row>
    <row r="533" spans="1:20" x14ac:dyDescent="0.25">
      <c r="A533" s="5">
        <v>44060</v>
      </c>
      <c r="B533">
        <v>1.304E-2</v>
      </c>
      <c r="C533">
        <v>1.3129999999999999E-2</v>
      </c>
      <c r="D533">
        <v>1.1939999999999999E-2</v>
      </c>
      <c r="E533">
        <v>1.255E-2</v>
      </c>
      <c r="F533">
        <v>281181230.30000001</v>
      </c>
      <c r="G533">
        <v>0</v>
      </c>
      <c r="L533" t="s">
        <v>7</v>
      </c>
      <c r="M533" t="s">
        <v>7</v>
      </c>
      <c r="N533" t="s">
        <v>8</v>
      </c>
      <c r="P533">
        <f t="shared" si="984"/>
        <v>2.5210084033615333E-2</v>
      </c>
      <c r="Q533">
        <f t="shared" si="985"/>
        <v>7088602.4445383465</v>
      </c>
      <c r="R533">
        <f t="shared" si="986"/>
        <v>1513483744.0838909</v>
      </c>
      <c r="S533">
        <f t="shared" si="987"/>
        <v>15134.83744083891</v>
      </c>
      <c r="T533">
        <f t="shared" si="988"/>
        <v>15.134837440838909</v>
      </c>
    </row>
    <row r="534" spans="1:20" x14ac:dyDescent="0.25">
      <c r="A534" s="5">
        <v>44059</v>
      </c>
      <c r="B534">
        <v>1.2800000000000001E-2</v>
      </c>
      <c r="C534">
        <v>1.376E-2</v>
      </c>
      <c r="D534">
        <v>1.2409999999999999E-2</v>
      </c>
      <c r="E534">
        <v>1.303E-2</v>
      </c>
      <c r="F534">
        <v>311580419.69999999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-8.1481481481480697E-2</v>
      </c>
      <c r="Q534">
        <f t="shared" si="985"/>
        <v>-25388034.197777532</v>
      </c>
      <c r="R534">
        <f t="shared" si="986"/>
        <v>1506395141.6393526</v>
      </c>
      <c r="S534">
        <f t="shared" si="987"/>
        <v>15063.951416393526</v>
      </c>
      <c r="T534">
        <f t="shared" si="988"/>
        <v>15.063951416393525</v>
      </c>
    </row>
    <row r="535" spans="1:20" x14ac:dyDescent="0.25">
      <c r="A535" s="5">
        <v>44058</v>
      </c>
      <c r="B535">
        <v>1.329E-2</v>
      </c>
      <c r="C535">
        <v>1.3599999999999999E-2</v>
      </c>
      <c r="D535">
        <v>1.24E-2</v>
      </c>
      <c r="E535">
        <v>1.2800000000000001E-2</v>
      </c>
      <c r="F535">
        <v>289679468.89999998</v>
      </c>
      <c r="G535">
        <v>0</v>
      </c>
      <c r="L535" t="s">
        <v>7</v>
      </c>
      <c r="M535" t="s">
        <v>8</v>
      </c>
      <c r="N535" t="s">
        <v>8</v>
      </c>
      <c r="P535">
        <f t="shared" si="984"/>
        <v>-0.33333333333333143</v>
      </c>
      <c r="Q535">
        <f t="shared" si="985"/>
        <v>-96559822.966666102</v>
      </c>
      <c r="R535">
        <f t="shared" si="986"/>
        <v>1531783175.8371301</v>
      </c>
      <c r="S535">
        <f t="shared" si="987"/>
        <v>15317.831758371301</v>
      </c>
      <c r="T535">
        <f t="shared" si="988"/>
        <v>15.317831758371302</v>
      </c>
    </row>
    <row r="536" spans="1:20" x14ac:dyDescent="0.25">
      <c r="A536" s="5">
        <v>44057</v>
      </c>
      <c r="B536">
        <v>1.196E-2</v>
      </c>
      <c r="C536">
        <v>1.438E-2</v>
      </c>
      <c r="D536">
        <v>1.1900000000000001E-2</v>
      </c>
      <c r="E536">
        <v>1.3299999999999999E-2</v>
      </c>
      <c r="F536">
        <v>869288121.79999995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0.1290322580645151</v>
      </c>
      <c r="Q536">
        <f t="shared" si="985"/>
        <v>112166209.26451522</v>
      </c>
      <c r="R536">
        <f t="shared" si="986"/>
        <v>1628342998.8037961</v>
      </c>
      <c r="S536">
        <f t="shared" si="987"/>
        <v>16283.42998803796</v>
      </c>
      <c r="T536">
        <f t="shared" si="988"/>
        <v>16.283429988037959</v>
      </c>
    </row>
    <row r="537" spans="1:20" x14ac:dyDescent="0.25">
      <c r="A537" s="5">
        <v>44056</v>
      </c>
      <c r="B537">
        <v>1.119E-2</v>
      </c>
      <c r="C537">
        <v>1.24E-2</v>
      </c>
      <c r="D537">
        <v>1.0240000000000001E-2</v>
      </c>
      <c r="E537">
        <v>1.196E-2</v>
      </c>
      <c r="F537">
        <v>581779648.39999998</v>
      </c>
      <c r="G537">
        <v>0</v>
      </c>
      <c r="L537" t="s">
        <v>7</v>
      </c>
      <c r="M537" t="s">
        <v>8</v>
      </c>
      <c r="N537" t="s">
        <v>8</v>
      </c>
      <c r="P537">
        <f t="shared" si="984"/>
        <v>0.59259259259259289</v>
      </c>
      <c r="Q537">
        <f t="shared" si="985"/>
        <v>344758310.16296315</v>
      </c>
      <c r="R537">
        <f t="shared" si="986"/>
        <v>1516176789.5392809</v>
      </c>
      <c r="S537">
        <f t="shared" si="987"/>
        <v>15161.76789539281</v>
      </c>
      <c r="T537">
        <f t="shared" si="988"/>
        <v>15.16176789539281</v>
      </c>
    </row>
    <row r="538" spans="1:20" x14ac:dyDescent="0.25">
      <c r="A538" s="5">
        <v>44055</v>
      </c>
      <c r="B538">
        <v>1.1010000000000001E-2</v>
      </c>
      <c r="C538">
        <v>1.1599999999999999E-2</v>
      </c>
      <c r="D538">
        <v>1.04E-2</v>
      </c>
      <c r="E538">
        <v>1.119E-2</v>
      </c>
      <c r="F538">
        <v>280051848</v>
      </c>
      <c r="G538">
        <v>0</v>
      </c>
      <c r="L538" t="s">
        <v>7</v>
      </c>
      <c r="M538" t="s">
        <v>7</v>
      </c>
      <c r="N538" t="s">
        <v>8</v>
      </c>
      <c r="P538">
        <f t="shared" si="984"/>
        <v>0.31666666666666832</v>
      </c>
      <c r="Q538">
        <f t="shared" si="985"/>
        <v>88683085.200000465</v>
      </c>
      <c r="R538">
        <f t="shared" si="986"/>
        <v>1171418479.3763177</v>
      </c>
      <c r="S538">
        <f t="shared" si="987"/>
        <v>11714.184793763177</v>
      </c>
      <c r="T538">
        <f t="shared" si="988"/>
        <v>11.714184793763177</v>
      </c>
    </row>
    <row r="539" spans="1:20" x14ac:dyDescent="0.25">
      <c r="A539" s="5">
        <v>44054</v>
      </c>
      <c r="B539">
        <v>1.145E-2</v>
      </c>
      <c r="C539">
        <v>1.2919999999999999E-2</v>
      </c>
      <c r="D539">
        <v>1.0109999999999999E-2</v>
      </c>
      <c r="E539">
        <v>1.0999999999999999E-2</v>
      </c>
      <c r="F539">
        <v>590020558.10000002</v>
      </c>
      <c r="G539">
        <v>0</v>
      </c>
      <c r="L539" t="s">
        <v>8</v>
      </c>
      <c r="M539" t="s">
        <v>8</v>
      </c>
      <c r="N539" t="s">
        <v>8</v>
      </c>
      <c r="P539">
        <f t="shared" si="984"/>
        <v>-0.36654804270462621</v>
      </c>
      <c r="Q539">
        <f t="shared" si="985"/>
        <v>-216270880.72704619</v>
      </c>
      <c r="R539">
        <f t="shared" si="986"/>
        <v>1082735394.1763172</v>
      </c>
      <c r="S539">
        <f t="shared" si="987"/>
        <v>10827.353941763173</v>
      </c>
      <c r="T539">
        <f t="shared" si="988"/>
        <v>10.827353941763173</v>
      </c>
    </row>
    <row r="540" spans="1:20" x14ac:dyDescent="0.25">
      <c r="A540" s="5">
        <v>44053</v>
      </c>
      <c r="B540">
        <v>1.03E-2</v>
      </c>
      <c r="C540">
        <v>1.225E-2</v>
      </c>
      <c r="D540">
        <v>9.4000000000000004E-3</v>
      </c>
      <c r="E540">
        <v>1.145E-2</v>
      </c>
      <c r="F540">
        <v>663568967.39999998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0.43859649122806993</v>
      </c>
      <c r="Q540">
        <f t="shared" si="985"/>
        <v>291039020.78947353</v>
      </c>
      <c r="R540">
        <f t="shared" si="986"/>
        <v>1299006274.9033635</v>
      </c>
      <c r="S540">
        <f t="shared" si="987"/>
        <v>12990.062749033636</v>
      </c>
      <c r="T540">
        <f t="shared" si="988"/>
        <v>12.990062749033635</v>
      </c>
    </row>
    <row r="541" spans="1:20" x14ac:dyDescent="0.25">
      <c r="A541" s="5">
        <v>44052</v>
      </c>
      <c r="B541">
        <v>1.014E-2</v>
      </c>
      <c r="C541">
        <v>1.0330000000000001E-2</v>
      </c>
      <c r="D541">
        <v>9.4500000000000001E-3</v>
      </c>
      <c r="E541">
        <v>1.0290000000000001E-2</v>
      </c>
      <c r="F541">
        <v>258085292.69999999</v>
      </c>
      <c r="G541">
        <v>0</v>
      </c>
      <c r="L541" t="s">
        <v>7</v>
      </c>
      <c r="M541" t="s">
        <v>8</v>
      </c>
      <c r="N541" t="s">
        <v>8</v>
      </c>
      <c r="P541">
        <f t="shared" si="984"/>
        <v>0.90909090909090895</v>
      </c>
      <c r="Q541">
        <f t="shared" si="985"/>
        <v>234622993.36363631</v>
      </c>
      <c r="R541">
        <f t="shared" si="986"/>
        <v>1007967254.1138899</v>
      </c>
      <c r="S541">
        <f t="shared" si="987"/>
        <v>10079.6725411389</v>
      </c>
      <c r="T541">
        <f t="shared" si="988"/>
        <v>10.079672541138899</v>
      </c>
    </row>
    <row r="542" spans="1:20" x14ac:dyDescent="0.25">
      <c r="A542" s="5">
        <v>44051</v>
      </c>
      <c r="B542">
        <v>9.8700000000000003E-3</v>
      </c>
      <c r="C542">
        <v>1.059E-2</v>
      </c>
      <c r="D542">
        <v>9.6200000000000001E-3</v>
      </c>
      <c r="E542">
        <v>1.013E-2</v>
      </c>
      <c r="F542">
        <v>219254216.80000001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5.1546391752576991E-2</v>
      </c>
      <c r="Q542">
        <f t="shared" si="985"/>
        <v>11301763.752577249</v>
      </c>
      <c r="R542">
        <f t="shared" si="986"/>
        <v>773344260.75025368</v>
      </c>
      <c r="S542">
        <f t="shared" si="987"/>
        <v>7733.4426075025367</v>
      </c>
      <c r="T542">
        <f t="shared" si="988"/>
        <v>7.7334426075025364</v>
      </c>
    </row>
    <row r="543" spans="1:20" x14ac:dyDescent="0.25">
      <c r="A543" s="5">
        <v>44050</v>
      </c>
      <c r="B543">
        <v>9.7199999999999995E-3</v>
      </c>
      <c r="C543">
        <v>1.0200000000000001E-2</v>
      </c>
      <c r="D543">
        <v>9.0699999999999999E-3</v>
      </c>
      <c r="E543">
        <v>9.8700000000000003E-3</v>
      </c>
      <c r="F543">
        <v>284070289.39999998</v>
      </c>
      <c r="G543">
        <v>0</v>
      </c>
      <c r="L543" t="s">
        <v>8</v>
      </c>
      <c r="M543" t="s">
        <v>8</v>
      </c>
      <c r="N543" t="s">
        <v>7</v>
      </c>
      <c r="P543">
        <f t="shared" si="984"/>
        <v>0.41592920353982266</v>
      </c>
      <c r="Q543">
        <f t="shared" si="985"/>
        <v>118153129.21946892</v>
      </c>
      <c r="R543">
        <f t="shared" si="986"/>
        <v>762042496.99767637</v>
      </c>
      <c r="S543">
        <f t="shared" si="987"/>
        <v>7620.4249699767634</v>
      </c>
      <c r="T543">
        <f t="shared" si="988"/>
        <v>7.6204249699767637</v>
      </c>
    </row>
    <row r="544" spans="1:20" x14ac:dyDescent="0.25">
      <c r="A544" s="5">
        <v>44049</v>
      </c>
      <c r="B544">
        <v>9.0299999999999998E-3</v>
      </c>
      <c r="C544">
        <v>9.9600000000000001E-3</v>
      </c>
      <c r="D544">
        <v>8.9200000000000008E-3</v>
      </c>
      <c r="E544">
        <v>9.7000000000000003E-3</v>
      </c>
      <c r="F544">
        <v>425051978.30000001</v>
      </c>
      <c r="G544">
        <v>0</v>
      </c>
      <c r="L544" t="s">
        <v>8</v>
      </c>
      <c r="M544" t="s">
        <v>8</v>
      </c>
      <c r="N544" t="s">
        <v>7</v>
      </c>
      <c r="P544">
        <f t="shared" si="984"/>
        <v>0.5</v>
      </c>
      <c r="Q544">
        <f t="shared" si="985"/>
        <v>212525989.15000001</v>
      </c>
      <c r="R544">
        <f t="shared" si="986"/>
        <v>643889367.77820742</v>
      </c>
      <c r="S544">
        <f t="shared" si="987"/>
        <v>6438.8936777820745</v>
      </c>
      <c r="T544">
        <f t="shared" si="988"/>
        <v>6.4388936777820742</v>
      </c>
    </row>
    <row r="545" spans="1:20" x14ac:dyDescent="0.25">
      <c r="A545" s="5">
        <v>44048</v>
      </c>
      <c r="B545">
        <v>8.26E-3</v>
      </c>
      <c r="C545">
        <v>9.0799999999999995E-3</v>
      </c>
      <c r="D545">
        <v>8.0999999999999996E-3</v>
      </c>
      <c r="E545">
        <v>9.0299999999999998E-3</v>
      </c>
      <c r="F545">
        <v>296227141</v>
      </c>
      <c r="G545">
        <v>0</v>
      </c>
      <c r="L545" t="s">
        <v>8</v>
      </c>
      <c r="M545" t="s">
        <v>7</v>
      </c>
      <c r="N545" t="s">
        <v>7</v>
      </c>
      <c r="P545">
        <f t="shared" si="984"/>
        <v>0.89795918367347005</v>
      </c>
      <c r="Q545">
        <f t="shared" si="985"/>
        <v>265999881.71428591</v>
      </c>
      <c r="R545">
        <f t="shared" si="986"/>
        <v>431363378.62820739</v>
      </c>
      <c r="S545">
        <f t="shared" si="987"/>
        <v>4313.6337862820737</v>
      </c>
      <c r="T545">
        <f t="shared" si="988"/>
        <v>4.3136337862820735</v>
      </c>
    </row>
    <row r="546" spans="1:20" x14ac:dyDescent="0.25">
      <c r="A546" s="5">
        <v>44047</v>
      </c>
      <c r="B546">
        <v>8.0199999999999994E-3</v>
      </c>
      <c r="C546">
        <v>8.3499999999999998E-3</v>
      </c>
      <c r="D546">
        <v>7.8799999999999999E-3</v>
      </c>
      <c r="E546">
        <v>8.26E-3</v>
      </c>
      <c r="F546">
        <v>244906325.59999999</v>
      </c>
      <c r="G546">
        <v>0</v>
      </c>
      <c r="L546" t="s">
        <v>7</v>
      </c>
      <c r="M546" t="s">
        <v>7</v>
      </c>
      <c r="N546" t="s">
        <v>7</v>
      </c>
      <c r="P546">
        <f t="shared" si="984"/>
        <v>0.61702127659574546</v>
      </c>
      <c r="Q546">
        <f t="shared" si="985"/>
        <v>151112413.66808531</v>
      </c>
      <c r="R546">
        <f t="shared" si="986"/>
        <v>165363496.91392148</v>
      </c>
      <c r="S546">
        <f t="shared" si="987"/>
        <v>1653.6349691392147</v>
      </c>
      <c r="T546">
        <f t="shared" si="988"/>
        <v>1.6536349691392147</v>
      </c>
    </row>
    <row r="547" spans="1:20" x14ac:dyDescent="0.25">
      <c r="A547" s="5">
        <v>44046</v>
      </c>
      <c r="B547">
        <v>8.0300000000000007E-3</v>
      </c>
      <c r="C547">
        <v>8.5100000000000002E-3</v>
      </c>
      <c r="D547">
        <v>7.8600000000000007E-3</v>
      </c>
      <c r="E547">
        <v>8.0099999999999998E-3</v>
      </c>
      <c r="F547">
        <v>210778462.69999999</v>
      </c>
      <c r="G547">
        <v>0</v>
      </c>
      <c r="L547" t="s">
        <v>8</v>
      </c>
      <c r="M547" t="s">
        <v>7</v>
      </c>
      <c r="N547" t="s">
        <v>7</v>
      </c>
      <c r="P547">
        <f t="shared" si="984"/>
        <v>-0.53846153846154088</v>
      </c>
      <c r="Q547">
        <f t="shared" si="985"/>
        <v>-113496095.3000005</v>
      </c>
      <c r="R547">
        <f t="shared" si="986"/>
        <v>14251083.245836183</v>
      </c>
      <c r="S547">
        <f t="shared" si="987"/>
        <v>142.51083245836185</v>
      </c>
      <c r="T547">
        <f t="shared" si="988"/>
        <v>0.14251083245836185</v>
      </c>
    </row>
    <row r="548" spans="1:20" x14ac:dyDescent="0.25">
      <c r="A548" s="5">
        <v>44045</v>
      </c>
      <c r="B548">
        <v>8.3899999999999999E-3</v>
      </c>
      <c r="C548">
        <v>8.8500000000000002E-3</v>
      </c>
      <c r="D548">
        <v>7.6899999999999998E-3</v>
      </c>
      <c r="E548">
        <v>8.0400000000000003E-3</v>
      </c>
      <c r="F548">
        <v>269423830.39999998</v>
      </c>
      <c r="G548">
        <v>0</v>
      </c>
      <c r="L548" t="s">
        <v>7</v>
      </c>
      <c r="M548" t="s">
        <v>7</v>
      </c>
      <c r="N548" t="s">
        <v>7</v>
      </c>
      <c r="P548">
        <f t="shared" si="984"/>
        <v>-0.39655172413793044</v>
      </c>
      <c r="Q548">
        <f t="shared" si="985"/>
        <v>-106840484.46896535</v>
      </c>
      <c r="R548">
        <f t="shared" si="986"/>
        <v>127747178.54583669</v>
      </c>
      <c r="S548">
        <f t="shared" si="987"/>
        <v>1277.4717854583669</v>
      </c>
      <c r="T548">
        <f t="shared" si="988"/>
        <v>1.2774717854583668</v>
      </c>
    </row>
    <row r="549" spans="1:20" x14ac:dyDescent="0.25">
      <c r="A549" s="5">
        <v>44044</v>
      </c>
      <c r="B549">
        <v>8.6999999999999994E-3</v>
      </c>
      <c r="C549">
        <v>9.5999999999999992E-3</v>
      </c>
      <c r="D549">
        <v>8.2900000000000005E-3</v>
      </c>
      <c r="E549">
        <v>8.3999999999999995E-3</v>
      </c>
      <c r="F549">
        <v>464634652.60000002</v>
      </c>
      <c r="G549">
        <v>0</v>
      </c>
      <c r="L549" t="s">
        <v>8</v>
      </c>
      <c r="M549" t="s">
        <v>8</v>
      </c>
      <c r="N549" t="s">
        <v>7</v>
      </c>
      <c r="P549">
        <f t="shared" si="984"/>
        <v>-0.83206106870229146</v>
      </c>
      <c r="Q549">
        <f t="shared" si="985"/>
        <v>-386604405.59847397</v>
      </c>
      <c r="R549">
        <f t="shared" si="986"/>
        <v>234587663.01480204</v>
      </c>
      <c r="S549">
        <f t="shared" si="987"/>
        <v>2345.8766301480205</v>
      </c>
      <c r="T549">
        <f t="shared" si="988"/>
        <v>2.3458766301480205</v>
      </c>
    </row>
    <row r="550" spans="1:20" x14ac:dyDescent="0.25">
      <c r="A550" s="5">
        <v>44043</v>
      </c>
      <c r="B550">
        <v>8.7100000000000007E-3</v>
      </c>
      <c r="C550">
        <v>8.7200000000000003E-3</v>
      </c>
      <c r="D550">
        <v>7.8399999999999997E-3</v>
      </c>
      <c r="E550">
        <v>8.6899999999999998E-3</v>
      </c>
      <c r="F550">
        <v>378086497.30000001</v>
      </c>
      <c r="G550">
        <v>0</v>
      </c>
      <c r="L550" t="s">
        <v>7</v>
      </c>
      <c r="M550" t="s">
        <v>7</v>
      </c>
      <c r="N550" t="s">
        <v>7</v>
      </c>
      <c r="P550">
        <f t="shared" si="984"/>
        <v>0.93181818181818066</v>
      </c>
      <c r="Q550">
        <f t="shared" si="985"/>
        <v>352307872.48409051</v>
      </c>
      <c r="R550">
        <f t="shared" si="986"/>
        <v>621192068.613276</v>
      </c>
      <c r="S550">
        <f t="shared" si="987"/>
        <v>6211.9206861327602</v>
      </c>
      <c r="T550">
        <f t="shared" si="988"/>
        <v>6.2119206861327605</v>
      </c>
    </row>
    <row r="551" spans="1:20" x14ac:dyDescent="0.25">
      <c r="A551" s="5">
        <v>44042</v>
      </c>
      <c r="B551">
        <v>8.3999999999999995E-3</v>
      </c>
      <c r="C551">
        <v>9.1699999999999993E-3</v>
      </c>
      <c r="D551">
        <v>8.3099999999999997E-3</v>
      </c>
      <c r="E551">
        <v>8.7200000000000003E-3</v>
      </c>
      <c r="F551">
        <v>270112170</v>
      </c>
      <c r="G551">
        <v>0</v>
      </c>
      <c r="L551" t="s">
        <v>8</v>
      </c>
      <c r="M551" t="s">
        <v>7</v>
      </c>
      <c r="N551" t="s">
        <v>7</v>
      </c>
      <c r="P551">
        <f t="shared" si="984"/>
        <v>-4.651162790697487E-2</v>
      </c>
      <c r="Q551">
        <f t="shared" si="985"/>
        <v>-12563356.744185541</v>
      </c>
      <c r="R551">
        <f t="shared" si="986"/>
        <v>268884196.12918556</v>
      </c>
      <c r="S551">
        <f t="shared" si="987"/>
        <v>2688.8419612918556</v>
      </c>
      <c r="T551">
        <f t="shared" si="988"/>
        <v>2.6888419612918555</v>
      </c>
    </row>
    <row r="552" spans="1:20" x14ac:dyDescent="0.25">
      <c r="A552" s="5">
        <v>44041</v>
      </c>
      <c r="B552">
        <v>9.2099999999999994E-3</v>
      </c>
      <c r="C552">
        <v>9.4800000000000006E-3</v>
      </c>
      <c r="D552">
        <v>8.3000000000000001E-3</v>
      </c>
      <c r="E552">
        <v>8.4100000000000008E-3</v>
      </c>
      <c r="F552">
        <v>309229618.60000002</v>
      </c>
      <c r="G552">
        <v>0</v>
      </c>
      <c r="L552" t="s">
        <v>7</v>
      </c>
      <c r="M552" t="s">
        <v>7</v>
      </c>
      <c r="N552" t="s">
        <v>7</v>
      </c>
      <c r="P552">
        <f t="shared" si="984"/>
        <v>-0.81355932203389714</v>
      </c>
      <c r="Q552">
        <f t="shared" si="985"/>
        <v>-251576638.8610166</v>
      </c>
      <c r="R552">
        <f t="shared" si="986"/>
        <v>281447552.87337112</v>
      </c>
      <c r="S552">
        <f t="shared" si="987"/>
        <v>2814.4755287337111</v>
      </c>
      <c r="T552">
        <f t="shared" si="988"/>
        <v>2.8144755287337113</v>
      </c>
    </row>
    <row r="553" spans="1:20" x14ac:dyDescent="0.25">
      <c r="A553" s="5">
        <v>44040</v>
      </c>
      <c r="B553">
        <v>1.005E-2</v>
      </c>
      <c r="C553">
        <v>1.018E-2</v>
      </c>
      <c r="D553">
        <v>8.8100000000000001E-3</v>
      </c>
      <c r="E553">
        <v>9.1699999999999993E-3</v>
      </c>
      <c r="F553">
        <v>342804065.10000002</v>
      </c>
      <c r="G553">
        <v>0</v>
      </c>
      <c r="L553" t="s">
        <v>7</v>
      </c>
      <c r="M553" t="s">
        <v>7</v>
      </c>
      <c r="N553" t="s">
        <v>8</v>
      </c>
      <c r="P553">
        <f t="shared" si="984"/>
        <v>-0.47445255474452658</v>
      </c>
      <c r="Q553">
        <f t="shared" si="985"/>
        <v>-162644264.46350402</v>
      </c>
      <c r="R553">
        <f t="shared" si="986"/>
        <v>533024191.7343877</v>
      </c>
      <c r="S553">
        <f t="shared" si="987"/>
        <v>5330.2419173438766</v>
      </c>
      <c r="T553">
        <f t="shared" si="988"/>
        <v>5.3302419173438764</v>
      </c>
    </row>
    <row r="554" spans="1:20" x14ac:dyDescent="0.25">
      <c r="A554" s="5">
        <v>44039</v>
      </c>
      <c r="B554">
        <v>7.6699999999999997E-3</v>
      </c>
      <c r="C554">
        <v>1.15E-2</v>
      </c>
      <c r="D554">
        <v>7.4099999999999999E-3</v>
      </c>
      <c r="E554">
        <v>1.01E-2</v>
      </c>
      <c r="F554">
        <v>1527000159.2</v>
      </c>
      <c r="G554">
        <v>0</v>
      </c>
      <c r="L554" t="s">
        <v>8</v>
      </c>
      <c r="M554" t="s">
        <v>8</v>
      </c>
      <c r="N554" t="s">
        <v>8</v>
      </c>
      <c r="P554">
        <f t="shared" si="984"/>
        <v>0.31540342298288498</v>
      </c>
      <c r="Q554">
        <f t="shared" si="985"/>
        <v>481621077.10709035</v>
      </c>
      <c r="R554">
        <f t="shared" si="986"/>
        <v>695668456.19789171</v>
      </c>
      <c r="S554">
        <f t="shared" si="987"/>
        <v>6956.6845619789174</v>
      </c>
      <c r="T554">
        <f t="shared" si="988"/>
        <v>6.9566845619789177</v>
      </c>
    </row>
    <row r="555" spans="1:20" x14ac:dyDescent="0.25">
      <c r="A555" s="5">
        <v>44038</v>
      </c>
      <c r="B555">
        <v>7.8700000000000003E-3</v>
      </c>
      <c r="C555">
        <v>8.0400000000000003E-3</v>
      </c>
      <c r="D555">
        <v>7.1300000000000001E-3</v>
      </c>
      <c r="E555">
        <v>7.6600000000000001E-3</v>
      </c>
      <c r="F555">
        <v>221984722.09999999</v>
      </c>
      <c r="G555">
        <v>0</v>
      </c>
      <c r="L555" t="s">
        <v>7</v>
      </c>
      <c r="M555" t="s">
        <v>7</v>
      </c>
      <c r="N555" t="s">
        <v>8</v>
      </c>
      <c r="P555">
        <f t="shared" si="984"/>
        <v>0.16483516483516475</v>
      </c>
      <c r="Q555">
        <f t="shared" si="985"/>
        <v>36590888.258241735</v>
      </c>
      <c r="R555">
        <f t="shared" si="986"/>
        <v>214047379.09080139</v>
      </c>
      <c r="S555">
        <f t="shared" si="987"/>
        <v>2140.4737909080141</v>
      </c>
      <c r="T555">
        <f t="shared" si="988"/>
        <v>2.1404737909080143</v>
      </c>
    </row>
    <row r="556" spans="1:20" x14ac:dyDescent="0.25">
      <c r="A556" s="5">
        <v>44037</v>
      </c>
      <c r="B556">
        <v>7.5399999999999998E-3</v>
      </c>
      <c r="C556">
        <v>8.3999999999999995E-3</v>
      </c>
      <c r="D556">
        <v>7.4700000000000001E-3</v>
      </c>
      <c r="E556">
        <v>7.8600000000000007E-3</v>
      </c>
      <c r="F556">
        <v>468926959.69999999</v>
      </c>
      <c r="G556">
        <v>0</v>
      </c>
      <c r="L556" t="s">
        <v>8</v>
      </c>
      <c r="M556" t="s">
        <v>8</v>
      </c>
      <c r="N556" t="s">
        <v>8</v>
      </c>
      <c r="P556">
        <f t="shared" si="984"/>
        <v>-0.16129032258064335</v>
      </c>
      <c r="Q556">
        <f t="shared" si="985"/>
        <v>-75633380.596773341</v>
      </c>
      <c r="R556">
        <f t="shared" si="986"/>
        <v>177456490.83255965</v>
      </c>
      <c r="S556">
        <f t="shared" si="987"/>
        <v>1774.5649083255964</v>
      </c>
      <c r="T556">
        <f t="shared" si="988"/>
        <v>1.7745649083255963</v>
      </c>
    </row>
    <row r="557" spans="1:20" x14ac:dyDescent="0.25">
      <c r="A557" s="5">
        <v>44036</v>
      </c>
      <c r="B557">
        <v>6.8399999999999997E-3</v>
      </c>
      <c r="C557">
        <v>7.6400000000000001E-3</v>
      </c>
      <c r="D557">
        <v>6.77E-3</v>
      </c>
      <c r="E557">
        <v>7.5399999999999998E-3</v>
      </c>
      <c r="F557">
        <v>233357024.09999999</v>
      </c>
      <c r="G557">
        <v>0</v>
      </c>
      <c r="L557" t="s">
        <v>8</v>
      </c>
      <c r="M557" t="s">
        <v>8</v>
      </c>
      <c r="N557" t="s">
        <v>8</v>
      </c>
      <c r="P557">
        <f t="shared" si="984"/>
        <v>0.77011494252873502</v>
      </c>
      <c r="Q557">
        <f t="shared" si="985"/>
        <v>179711731.20344812</v>
      </c>
      <c r="R557">
        <f t="shared" si="986"/>
        <v>253089871.42933297</v>
      </c>
      <c r="S557">
        <f t="shared" si="987"/>
        <v>2530.8987142933297</v>
      </c>
      <c r="T557">
        <f t="shared" si="988"/>
        <v>2.5308987142933299</v>
      </c>
    </row>
    <row r="558" spans="1:20" x14ac:dyDescent="0.25">
      <c r="A558" s="5">
        <v>44035</v>
      </c>
      <c r="B558">
        <v>7.0899999999999999E-3</v>
      </c>
      <c r="C558">
        <v>7.2700000000000004E-3</v>
      </c>
      <c r="D558">
        <v>6.7799999999999996E-3</v>
      </c>
      <c r="E558">
        <v>6.8399999999999997E-3</v>
      </c>
      <c r="F558">
        <v>162386956.59999999</v>
      </c>
      <c r="G558">
        <v>0</v>
      </c>
      <c r="L558" t="s">
        <v>7</v>
      </c>
      <c r="M558" t="s">
        <v>8</v>
      </c>
      <c r="N558" t="s">
        <v>8</v>
      </c>
      <c r="P558">
        <f t="shared" si="984"/>
        <v>-0.75510204081632626</v>
      </c>
      <c r="Q558">
        <f t="shared" si="985"/>
        <v>-122618722.3306122</v>
      </c>
      <c r="R558">
        <f t="shared" si="986"/>
        <v>73378140.22588484</v>
      </c>
      <c r="S558">
        <f t="shared" si="987"/>
        <v>733.7814022588484</v>
      </c>
      <c r="T558">
        <f t="shared" si="988"/>
        <v>0.73378140225884836</v>
      </c>
    </row>
    <row r="559" spans="1:20" x14ac:dyDescent="0.25">
      <c r="A559" s="5">
        <v>44034</v>
      </c>
      <c r="B559">
        <v>7.1999999999999998E-3</v>
      </c>
      <c r="C559">
        <v>7.7499999999999999E-3</v>
      </c>
      <c r="D559">
        <v>7.0000000000000001E-3</v>
      </c>
      <c r="E559">
        <v>7.1000000000000004E-3</v>
      </c>
      <c r="F559">
        <v>376217168.39999998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-0.73333333333333262</v>
      </c>
      <c r="Q559">
        <f t="shared" si="985"/>
        <v>-275892590.15999973</v>
      </c>
      <c r="R559">
        <f t="shared" si="986"/>
        <v>195996862.55649704</v>
      </c>
      <c r="S559">
        <f t="shared" si="987"/>
        <v>1959.9686255649704</v>
      </c>
      <c r="T559">
        <f t="shared" si="988"/>
        <v>1.9599686255649704</v>
      </c>
    </row>
    <row r="560" spans="1:20" x14ac:dyDescent="0.25">
      <c r="A560" s="5">
        <v>44033</v>
      </c>
      <c r="B560">
        <v>6.6600000000000001E-3</v>
      </c>
      <c r="C560">
        <v>7.3899999999999999E-3</v>
      </c>
      <c r="D560">
        <v>6.4999999999999997E-3</v>
      </c>
      <c r="E560">
        <v>7.2100000000000003E-3</v>
      </c>
      <c r="F560">
        <v>365317684.5</v>
      </c>
      <c r="G560">
        <v>0</v>
      </c>
      <c r="L560" t="s">
        <v>8</v>
      </c>
      <c r="M560" t="s">
        <v>8</v>
      </c>
      <c r="N560" t="s">
        <v>8</v>
      </c>
      <c r="P560">
        <f t="shared" si="984"/>
        <v>0.5955056179775291</v>
      </c>
      <c r="Q560">
        <f t="shared" si="985"/>
        <v>217548733.4662925</v>
      </c>
      <c r="R560">
        <f t="shared" si="986"/>
        <v>471889452.71649677</v>
      </c>
      <c r="S560">
        <f t="shared" si="987"/>
        <v>4718.8945271649673</v>
      </c>
      <c r="T560">
        <f t="shared" si="988"/>
        <v>4.7188945271649674</v>
      </c>
    </row>
    <row r="561" spans="1:104" x14ac:dyDescent="0.25">
      <c r="A561" s="5">
        <v>44032</v>
      </c>
      <c r="B561">
        <v>6.43E-3</v>
      </c>
      <c r="C561">
        <v>7.3000000000000001E-3</v>
      </c>
      <c r="D561">
        <v>6.3699999999999998E-3</v>
      </c>
      <c r="E561">
        <v>6.6699999999999997E-3</v>
      </c>
      <c r="F561">
        <v>565135625.79999995</v>
      </c>
      <c r="G561">
        <v>0</v>
      </c>
      <c r="L561" t="s">
        <v>8</v>
      </c>
      <c r="M561" t="s">
        <v>8</v>
      </c>
      <c r="N561" t="s">
        <v>8</v>
      </c>
      <c r="P561">
        <f t="shared" si="984"/>
        <v>-0.35483870967741971</v>
      </c>
      <c r="Q561">
        <f t="shared" si="985"/>
        <v>-200531996.25161308</v>
      </c>
      <c r="R561">
        <f t="shared" si="986"/>
        <v>254340719.25020427</v>
      </c>
      <c r="S561">
        <f t="shared" si="987"/>
        <v>2543.4071925020426</v>
      </c>
      <c r="T561">
        <f t="shared" si="988"/>
        <v>2.5434071925020425</v>
      </c>
      <c r="CZ561" t="s">
        <v>7</v>
      </c>
    </row>
    <row r="562" spans="1:104" x14ac:dyDescent="0.25">
      <c r="A562" s="5">
        <v>44031</v>
      </c>
      <c r="B562">
        <v>5.8199999999999997E-3</v>
      </c>
      <c r="C562">
        <v>6.4999999999999997E-3</v>
      </c>
      <c r="D562">
        <v>5.7999999999999996E-3</v>
      </c>
      <c r="E562">
        <v>6.43E-3</v>
      </c>
      <c r="F562">
        <v>253822182.5</v>
      </c>
      <c r="G562">
        <v>0</v>
      </c>
      <c r="L562" t="s">
        <v>8</v>
      </c>
      <c r="M562" t="s">
        <v>8</v>
      </c>
      <c r="N562" t="s">
        <v>8</v>
      </c>
      <c r="P562">
        <f t="shared" si="984"/>
        <v>0.80000000000000071</v>
      </c>
      <c r="Q562">
        <f t="shared" si="985"/>
        <v>203057746.00000018</v>
      </c>
      <c r="R562">
        <f t="shared" si="986"/>
        <v>454872715.50181735</v>
      </c>
      <c r="S562">
        <f t="shared" si="987"/>
        <v>4548.7271550181731</v>
      </c>
      <c r="T562">
        <f t="shared" si="988"/>
        <v>4.5487271550181729</v>
      </c>
      <c r="CZ562" t="s">
        <v>7</v>
      </c>
    </row>
    <row r="563" spans="1:104" x14ac:dyDescent="0.25">
      <c r="A563" s="5">
        <v>44030</v>
      </c>
      <c r="B563">
        <v>5.79E-3</v>
      </c>
      <c r="C563">
        <v>5.8599999999999998E-3</v>
      </c>
      <c r="D563">
        <v>5.6600000000000001E-3</v>
      </c>
      <c r="E563">
        <v>5.8199999999999997E-3</v>
      </c>
      <c r="F563">
        <v>88113427.099999994</v>
      </c>
      <c r="G563">
        <v>0</v>
      </c>
      <c r="L563" t="s">
        <v>7</v>
      </c>
      <c r="M563" t="s">
        <v>8</v>
      </c>
      <c r="N563" t="s">
        <v>8</v>
      </c>
      <c r="P563">
        <f t="shared" si="984"/>
        <v>0.59999999999999831</v>
      </c>
      <c r="Q563">
        <f t="shared" si="985"/>
        <v>52868056.259999849</v>
      </c>
      <c r="R563">
        <f t="shared" si="986"/>
        <v>251814969.5018172</v>
      </c>
      <c r="S563">
        <f t="shared" si="987"/>
        <v>2518.1496950181718</v>
      </c>
      <c r="T563">
        <f t="shared" si="988"/>
        <v>2.5181496950181717</v>
      </c>
      <c r="CZ563" t="s">
        <v>7</v>
      </c>
    </row>
    <row r="564" spans="1:104" x14ac:dyDescent="0.25">
      <c r="A564" s="5">
        <v>44029</v>
      </c>
      <c r="B564">
        <v>5.8700000000000002E-3</v>
      </c>
      <c r="C564">
        <v>6.0899999999999999E-3</v>
      </c>
      <c r="D564">
        <v>5.7600000000000004E-3</v>
      </c>
      <c r="E564">
        <v>5.7999999999999996E-3</v>
      </c>
      <c r="F564">
        <v>110837680.3</v>
      </c>
      <c r="G564">
        <v>0</v>
      </c>
      <c r="L564" t="s">
        <v>8</v>
      </c>
      <c r="M564" t="s">
        <v>8</v>
      </c>
      <c r="N564" t="s">
        <v>8</v>
      </c>
      <c r="P564">
        <f t="shared" si="984"/>
        <v>-0.7575757575757619</v>
      </c>
      <c r="Q564">
        <f t="shared" si="985"/>
        <v>-83967939.621212602</v>
      </c>
      <c r="R564">
        <f t="shared" si="986"/>
        <v>198946913.24181736</v>
      </c>
      <c r="S564">
        <f t="shared" si="987"/>
        <v>1989.4691324181736</v>
      </c>
      <c r="T564">
        <f t="shared" si="988"/>
        <v>1.9894691324181735</v>
      </c>
    </row>
    <row r="565" spans="1:104" x14ac:dyDescent="0.25">
      <c r="A565" s="5">
        <v>44028</v>
      </c>
      <c r="B565">
        <v>5.6299999999999996E-3</v>
      </c>
      <c r="C565">
        <v>6.0000000000000001E-3</v>
      </c>
      <c r="D565">
        <v>5.5500000000000002E-3</v>
      </c>
      <c r="E565">
        <v>5.8900000000000003E-3</v>
      </c>
      <c r="F565">
        <v>181632213.5</v>
      </c>
      <c r="G565">
        <v>0</v>
      </c>
      <c r="L565" t="s">
        <v>8</v>
      </c>
      <c r="M565" t="s">
        <v>8</v>
      </c>
      <c r="N565" t="s">
        <v>8</v>
      </c>
      <c r="P565">
        <f t="shared" si="984"/>
        <v>0.51111111111111163</v>
      </c>
      <c r="Q565">
        <f t="shared" si="985"/>
        <v>92834242.455555648</v>
      </c>
      <c r="R565">
        <f t="shared" si="986"/>
        <v>282914852.86302996</v>
      </c>
      <c r="S565">
        <f t="shared" si="987"/>
        <v>2829.1485286302996</v>
      </c>
      <c r="T565">
        <f t="shared" si="988"/>
        <v>2.8291485286302995</v>
      </c>
    </row>
    <row r="566" spans="1:104" x14ac:dyDescent="0.25">
      <c r="A566" s="5">
        <v>44027</v>
      </c>
      <c r="B566">
        <v>5.8700000000000002E-3</v>
      </c>
      <c r="C566">
        <v>5.9300000000000004E-3</v>
      </c>
      <c r="D566">
        <v>5.5500000000000002E-3</v>
      </c>
      <c r="E566">
        <v>5.62E-3</v>
      </c>
      <c r="F566">
        <v>125182899</v>
      </c>
      <c r="G566">
        <v>0</v>
      </c>
      <c r="L566" t="s">
        <v>7</v>
      </c>
      <c r="M566" t="s">
        <v>8</v>
      </c>
      <c r="N566" t="s">
        <v>8</v>
      </c>
      <c r="P566">
        <f t="shared" si="984"/>
        <v>-0.63157894736842246</v>
      </c>
      <c r="Q566">
        <f t="shared" si="985"/>
        <v>-79062883.578947544</v>
      </c>
      <c r="R566">
        <f t="shared" si="986"/>
        <v>190080610.40747428</v>
      </c>
      <c r="S566">
        <f t="shared" si="987"/>
        <v>1900.8061040747427</v>
      </c>
      <c r="T566">
        <f t="shared" si="988"/>
        <v>1.9008061040747428</v>
      </c>
    </row>
    <row r="567" spans="1:104" x14ac:dyDescent="0.25">
      <c r="A567" s="5">
        <v>44026</v>
      </c>
      <c r="B567">
        <v>6.0499999999999998E-3</v>
      </c>
      <c r="C567">
        <v>6.1399999999999996E-3</v>
      </c>
      <c r="D567">
        <v>5.6600000000000001E-3</v>
      </c>
      <c r="E567">
        <v>5.8799999999999998E-3</v>
      </c>
      <c r="F567">
        <v>141339965</v>
      </c>
      <c r="G567">
        <v>0</v>
      </c>
      <c r="L567" t="s">
        <v>7</v>
      </c>
      <c r="M567" t="s">
        <v>8</v>
      </c>
      <c r="N567" t="s">
        <v>8</v>
      </c>
      <c r="P567">
        <f t="shared" si="984"/>
        <v>-8.3333333333333634E-2</v>
      </c>
      <c r="Q567">
        <f t="shared" si="985"/>
        <v>-11778330.416666709</v>
      </c>
      <c r="R567">
        <f t="shared" si="986"/>
        <v>269143493.98642182</v>
      </c>
      <c r="S567">
        <f t="shared" si="987"/>
        <v>2691.4349398642184</v>
      </c>
      <c r="T567">
        <f t="shared" si="988"/>
        <v>2.6914349398642186</v>
      </c>
    </row>
    <row r="568" spans="1:104" x14ac:dyDescent="0.25">
      <c r="A568" s="5">
        <v>44025</v>
      </c>
      <c r="B568">
        <v>6.0400000000000002E-3</v>
      </c>
      <c r="C568">
        <v>6.3E-3</v>
      </c>
      <c r="D568">
        <v>5.9199999999999999E-3</v>
      </c>
      <c r="E568">
        <v>6.0499999999999998E-3</v>
      </c>
      <c r="F568">
        <v>207176223.90000001</v>
      </c>
      <c r="G568">
        <v>0</v>
      </c>
      <c r="L568" t="s">
        <v>7</v>
      </c>
      <c r="M568" t="s">
        <v>8</v>
      </c>
      <c r="N568" t="s">
        <v>8</v>
      </c>
      <c r="P568">
        <f t="shared" si="984"/>
        <v>-0.31578947368421123</v>
      </c>
      <c r="Q568">
        <f t="shared" si="985"/>
        <v>-65424070.705263309</v>
      </c>
      <c r="R568">
        <f t="shared" si="986"/>
        <v>280921824.40308851</v>
      </c>
      <c r="S568">
        <f t="shared" si="987"/>
        <v>2809.2182440308852</v>
      </c>
      <c r="T568">
        <f t="shared" si="988"/>
        <v>2.8092182440308853</v>
      </c>
    </row>
    <row r="569" spans="1:104" x14ac:dyDescent="0.25">
      <c r="A569" s="5">
        <v>44024</v>
      </c>
      <c r="B569">
        <v>6.0200000000000002E-3</v>
      </c>
      <c r="C569">
        <v>6.1799999999999997E-3</v>
      </c>
      <c r="D569">
        <v>5.9699999999999996E-3</v>
      </c>
      <c r="E569">
        <v>6.0299999999999998E-3</v>
      </c>
      <c r="F569">
        <v>107501995.09999999</v>
      </c>
      <c r="G569">
        <v>0</v>
      </c>
      <c r="L569" t="s">
        <v>8</v>
      </c>
      <c r="M569" t="s">
        <v>8</v>
      </c>
      <c r="N569" t="s">
        <v>8</v>
      </c>
      <c r="P569">
        <f t="shared" si="984"/>
        <v>-0.42857142857142738</v>
      </c>
      <c r="Q569">
        <f t="shared" si="985"/>
        <v>-46072283.614285581</v>
      </c>
      <c r="R569">
        <f t="shared" si="986"/>
        <v>346345895.10835183</v>
      </c>
      <c r="S569">
        <f t="shared" si="987"/>
        <v>3463.4589510835181</v>
      </c>
      <c r="T569">
        <f t="shared" si="988"/>
        <v>3.4634589510835179</v>
      </c>
    </row>
    <row r="570" spans="1:104" x14ac:dyDescent="0.25">
      <c r="A570" s="5">
        <v>44023</v>
      </c>
      <c r="B570">
        <v>6.1900000000000002E-3</v>
      </c>
      <c r="C570">
        <v>6.3499999999999997E-3</v>
      </c>
      <c r="D570">
        <v>5.9699999999999996E-3</v>
      </c>
      <c r="E570">
        <v>6.0299999999999998E-3</v>
      </c>
      <c r="F570">
        <v>130912057.09999999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-0.68421052631578871</v>
      </c>
      <c r="Q570">
        <f t="shared" si="985"/>
        <v>-89571407.489473581</v>
      </c>
      <c r="R570">
        <f t="shared" si="986"/>
        <v>392418178.72263741</v>
      </c>
      <c r="S570">
        <f t="shared" si="987"/>
        <v>3924.1817872263741</v>
      </c>
      <c r="T570">
        <f t="shared" si="988"/>
        <v>3.9241817872263742</v>
      </c>
    </row>
    <row r="571" spans="1:104" x14ac:dyDescent="0.25">
      <c r="A571" s="5">
        <v>44022</v>
      </c>
      <c r="B571">
        <v>6.0899999999999999E-3</v>
      </c>
      <c r="C571">
        <v>6.4999999999999997E-3</v>
      </c>
      <c r="D571">
        <v>5.7999999999999996E-3</v>
      </c>
      <c r="E571">
        <v>6.1799999999999997E-3</v>
      </c>
      <c r="F571">
        <v>470850601.10000002</v>
      </c>
      <c r="G571">
        <v>0</v>
      </c>
      <c r="L571" t="s">
        <v>7</v>
      </c>
      <c r="M571" t="s">
        <v>8</v>
      </c>
      <c r="N571" t="s">
        <v>8</v>
      </c>
      <c r="P571">
        <f t="shared" si="984"/>
        <v>8.5714285714285923E-2</v>
      </c>
      <c r="Q571">
        <f t="shared" si="985"/>
        <v>40358622.951428674</v>
      </c>
      <c r="R571">
        <f t="shared" si="986"/>
        <v>481989586.212111</v>
      </c>
      <c r="S571">
        <f t="shared" si="987"/>
        <v>4819.8958621211095</v>
      </c>
      <c r="T571">
        <f t="shared" si="988"/>
        <v>4.8198958621211094</v>
      </c>
    </row>
    <row r="572" spans="1:104" x14ac:dyDescent="0.25">
      <c r="A572" s="5">
        <v>44021</v>
      </c>
      <c r="B572">
        <v>6.1599999999999997E-3</v>
      </c>
      <c r="C572">
        <v>6.4000000000000003E-3</v>
      </c>
      <c r="D572">
        <v>5.8500000000000002E-3</v>
      </c>
      <c r="E572">
        <v>6.1000000000000004E-3</v>
      </c>
      <c r="F572">
        <v>278252147.39999998</v>
      </c>
      <c r="G572">
        <v>0</v>
      </c>
      <c r="L572" t="s">
        <v>7</v>
      </c>
      <c r="M572" t="s">
        <v>8</v>
      </c>
      <c r="N572" t="s">
        <v>8</v>
      </c>
      <c r="P572">
        <f t="shared" si="984"/>
        <v>-9.0909090909090329E-2</v>
      </c>
      <c r="Q572">
        <f t="shared" si="985"/>
        <v>-25295649.763636202</v>
      </c>
      <c r="R572">
        <f t="shared" si="986"/>
        <v>441630963.26068234</v>
      </c>
      <c r="S572">
        <f t="shared" si="987"/>
        <v>4416.3096326068235</v>
      </c>
      <c r="T572">
        <f t="shared" si="988"/>
        <v>4.4163096326068239</v>
      </c>
    </row>
    <row r="573" spans="1:104" x14ac:dyDescent="0.25">
      <c r="A573" s="5">
        <v>44020</v>
      </c>
      <c r="B573">
        <v>5.5599999999999998E-3</v>
      </c>
      <c r="C573">
        <v>6.4900000000000001E-3</v>
      </c>
      <c r="D573">
        <v>5.4099999999999999E-3</v>
      </c>
      <c r="E573">
        <v>6.1599999999999997E-3</v>
      </c>
      <c r="F573">
        <v>649280204.5</v>
      </c>
      <c r="G573">
        <v>0</v>
      </c>
      <c r="L573" t="s">
        <v>8</v>
      </c>
      <c r="M573" t="s">
        <v>8</v>
      </c>
      <c r="N573" t="s">
        <v>8</v>
      </c>
      <c r="P573">
        <f t="shared" si="984"/>
        <v>0.38888888888888823</v>
      </c>
      <c r="Q573">
        <f t="shared" si="985"/>
        <v>252497857.30555514</v>
      </c>
      <c r="R573">
        <f t="shared" si="986"/>
        <v>466926613.02431858</v>
      </c>
      <c r="S573">
        <f t="shared" si="987"/>
        <v>4669.2661302431861</v>
      </c>
      <c r="T573">
        <f t="shared" si="988"/>
        <v>4.6692661302431864</v>
      </c>
    </row>
    <row r="574" spans="1:104" x14ac:dyDescent="0.25">
      <c r="A574" s="5">
        <v>44019</v>
      </c>
      <c r="B574">
        <v>5.1999999999999998E-3</v>
      </c>
      <c r="C574">
        <v>5.79E-3</v>
      </c>
      <c r="D574">
        <v>5.13E-3</v>
      </c>
      <c r="E574">
        <v>5.5399999999999998E-3</v>
      </c>
      <c r="F574">
        <v>308977769.30000001</v>
      </c>
      <c r="G574">
        <v>0</v>
      </c>
      <c r="L574" t="s">
        <v>8</v>
      </c>
      <c r="M574" t="s">
        <v>8</v>
      </c>
      <c r="N574" t="s">
        <v>8</v>
      </c>
      <c r="P574">
        <f t="shared" si="984"/>
        <v>0.24242424242424174</v>
      </c>
      <c r="Q574">
        <f t="shared" si="985"/>
        <v>74903701.648484632</v>
      </c>
      <c r="R574">
        <f t="shared" si="986"/>
        <v>214428755.71876341</v>
      </c>
      <c r="S574">
        <f t="shared" si="987"/>
        <v>2144.2875571876343</v>
      </c>
      <c r="T574">
        <f t="shared" si="988"/>
        <v>2.1442875571876345</v>
      </c>
    </row>
    <row r="575" spans="1:104" x14ac:dyDescent="0.25">
      <c r="A575" s="5">
        <v>44018</v>
      </c>
      <c r="B575">
        <v>4.9500000000000004E-3</v>
      </c>
      <c r="C575">
        <v>5.2500000000000003E-3</v>
      </c>
      <c r="D575">
        <v>4.8500000000000001E-3</v>
      </c>
      <c r="E575">
        <v>5.1799999999999997E-3</v>
      </c>
      <c r="F575">
        <v>132413689</v>
      </c>
      <c r="G575">
        <v>0</v>
      </c>
      <c r="L575" t="s">
        <v>8</v>
      </c>
      <c r="M575" t="s">
        <v>8</v>
      </c>
      <c r="N575" t="s">
        <v>8</v>
      </c>
      <c r="P575">
        <f t="shared" si="984"/>
        <v>0.64999999999999702</v>
      </c>
      <c r="Q575">
        <f t="shared" si="985"/>
        <v>86068897.849999607</v>
      </c>
      <c r="R575">
        <f t="shared" si="986"/>
        <v>139525054.07027879</v>
      </c>
      <c r="S575">
        <f t="shared" si="987"/>
        <v>1395.2505407027879</v>
      </c>
      <c r="T575">
        <f t="shared" si="988"/>
        <v>1.395250540702788</v>
      </c>
    </row>
    <row r="576" spans="1:104" x14ac:dyDescent="0.25">
      <c r="A576" s="5">
        <v>44017</v>
      </c>
      <c r="B576">
        <v>5.1599999999999997E-3</v>
      </c>
      <c r="C576">
        <v>5.1700000000000001E-3</v>
      </c>
      <c r="D576">
        <v>4.7699999999999999E-3</v>
      </c>
      <c r="E576">
        <v>4.9300000000000004E-3</v>
      </c>
      <c r="F576">
        <v>133738085.2</v>
      </c>
      <c r="G576">
        <v>0</v>
      </c>
      <c r="L576" t="s">
        <v>7</v>
      </c>
      <c r="M576" t="s">
        <v>8</v>
      </c>
      <c r="N576" t="s">
        <v>8</v>
      </c>
      <c r="P576">
        <f t="shared" si="984"/>
        <v>-0.19999999999999826</v>
      </c>
      <c r="Q576">
        <f t="shared" si="985"/>
        <v>-26747617.039999768</v>
      </c>
      <c r="R576">
        <f t="shared" si="986"/>
        <v>53456156.220279187</v>
      </c>
      <c r="S576">
        <f t="shared" si="987"/>
        <v>534.56156220279183</v>
      </c>
      <c r="T576">
        <f t="shared" si="988"/>
        <v>0.53456156220279183</v>
      </c>
    </row>
    <row r="577" spans="1:20" x14ac:dyDescent="0.25">
      <c r="A577" s="5">
        <v>44016</v>
      </c>
      <c r="B577">
        <v>5.2300000000000003E-3</v>
      </c>
      <c r="C577">
        <v>5.2900000000000004E-3</v>
      </c>
      <c r="D577">
        <v>5.0200000000000002E-3</v>
      </c>
      <c r="E577">
        <v>5.1500000000000001E-3</v>
      </c>
      <c r="F577">
        <v>133587839.5</v>
      </c>
      <c r="G577">
        <v>0</v>
      </c>
      <c r="L577" t="s">
        <v>7</v>
      </c>
      <c r="M577" t="s">
        <v>8</v>
      </c>
      <c r="N577" t="s">
        <v>8</v>
      </c>
      <c r="P577">
        <f t="shared" si="984"/>
        <v>-3.70370370370387E-2</v>
      </c>
      <c r="Q577">
        <f t="shared" si="985"/>
        <v>-4947697.7592594819</v>
      </c>
      <c r="R577">
        <f t="shared" si="986"/>
        <v>80203773.260278955</v>
      </c>
      <c r="S577">
        <f t="shared" si="987"/>
        <v>802.03773260278956</v>
      </c>
      <c r="T577">
        <f t="shared" si="988"/>
        <v>0.80203773260278954</v>
      </c>
    </row>
    <row r="578" spans="1:20" x14ac:dyDescent="0.25">
      <c r="A578" s="5">
        <v>44015</v>
      </c>
      <c r="B578">
        <v>5.1599999999999997E-3</v>
      </c>
      <c r="C578">
        <v>5.6499999999999996E-3</v>
      </c>
      <c r="D578">
        <v>5.0699999999999999E-3</v>
      </c>
      <c r="E578">
        <v>5.2399999999999999E-3</v>
      </c>
      <c r="F578">
        <v>336177877.19999999</v>
      </c>
      <c r="G578">
        <v>0</v>
      </c>
      <c r="L578" t="s">
        <v>8</v>
      </c>
      <c r="M578" t="s">
        <v>8</v>
      </c>
      <c r="N578" t="s">
        <v>8</v>
      </c>
      <c r="P578">
        <f t="shared" si="984"/>
        <v>-0.41379310344827558</v>
      </c>
      <c r="Q578">
        <f t="shared" si="985"/>
        <v>-139108087.11724129</v>
      </c>
      <c r="R578">
        <f t="shared" si="986"/>
        <v>85151471.019538432</v>
      </c>
      <c r="S578">
        <f t="shared" si="987"/>
        <v>851.51471019538428</v>
      </c>
      <c r="T578">
        <f t="shared" si="988"/>
        <v>0.85151471019538427</v>
      </c>
    </row>
    <row r="579" spans="1:20" x14ac:dyDescent="0.25">
      <c r="A579" s="5">
        <v>44014</v>
      </c>
      <c r="B579">
        <v>4.6899999999999997E-3</v>
      </c>
      <c r="C579">
        <v>5.3600000000000002E-3</v>
      </c>
      <c r="D579">
        <v>4.6100000000000004E-3</v>
      </c>
      <c r="E579">
        <v>5.1599999999999997E-3</v>
      </c>
      <c r="F579">
        <v>436480645.89999998</v>
      </c>
      <c r="G579">
        <v>0</v>
      </c>
      <c r="L579" t="s">
        <v>8</v>
      </c>
      <c r="M579" t="s">
        <v>8</v>
      </c>
      <c r="N579" t="s">
        <v>8</v>
      </c>
      <c r="P579">
        <f t="shared" si="984"/>
        <v>0.46666666666666512</v>
      </c>
      <c r="Q579">
        <f t="shared" si="985"/>
        <v>203690968.08666599</v>
      </c>
      <c r="R579">
        <f t="shared" si="986"/>
        <v>224259558.13677973</v>
      </c>
      <c r="S579">
        <f t="shared" si="987"/>
        <v>2242.5955813677974</v>
      </c>
      <c r="T579">
        <f t="shared" si="988"/>
        <v>2.2425955813677976</v>
      </c>
    </row>
    <row r="580" spans="1:20" x14ac:dyDescent="0.25">
      <c r="A580" s="5">
        <v>44013</v>
      </c>
      <c r="B580">
        <v>4.4600000000000004E-3</v>
      </c>
      <c r="C580">
        <v>4.7699999999999999E-3</v>
      </c>
      <c r="D580">
        <v>4.3800000000000002E-3</v>
      </c>
      <c r="E580">
        <v>4.6899999999999997E-3</v>
      </c>
      <c r="F580">
        <v>167805557.59999999</v>
      </c>
      <c r="G580">
        <v>0</v>
      </c>
      <c r="L580" t="s">
        <v>8</v>
      </c>
      <c r="M580" t="s">
        <v>8</v>
      </c>
      <c r="N580" t="s">
        <v>8</v>
      </c>
      <c r="P580">
        <f t="shared" si="984"/>
        <v>0.58974358974358843</v>
      </c>
      <c r="Q580">
        <f t="shared" si="985"/>
        <v>98962251.917948499</v>
      </c>
      <c r="R580">
        <f t="shared" si="986"/>
        <v>20568590.050113723</v>
      </c>
      <c r="S580">
        <f t="shared" si="987"/>
        <v>205.68590050113724</v>
      </c>
      <c r="T580">
        <f t="shared" si="988"/>
        <v>0.20568590050113725</v>
      </c>
    </row>
    <row r="581" spans="1:20" x14ac:dyDescent="0.25">
      <c r="A581" s="5">
        <v>44012</v>
      </c>
      <c r="B581">
        <v>4.45E-3</v>
      </c>
      <c r="C581">
        <v>4.5900000000000003E-3</v>
      </c>
      <c r="D581">
        <v>4.3899999999999998E-3</v>
      </c>
      <c r="E581">
        <v>4.4600000000000004E-3</v>
      </c>
      <c r="F581">
        <v>89057213.099999994</v>
      </c>
      <c r="G581">
        <v>0</v>
      </c>
      <c r="L581" t="s">
        <v>7</v>
      </c>
      <c r="M581" t="s">
        <v>8</v>
      </c>
      <c r="N581" t="s">
        <v>8</v>
      </c>
      <c r="P581">
        <f t="shared" si="984"/>
        <v>-0.29999999999999566</v>
      </c>
      <c r="Q581">
        <f t="shared" si="985"/>
        <v>-26717163.929999612</v>
      </c>
      <c r="R581">
        <f t="shared" si="986"/>
        <v>-78393661.867834777</v>
      </c>
      <c r="S581">
        <f t="shared" si="987"/>
        <v>-783.93661867834771</v>
      </c>
      <c r="T581">
        <f t="shared" si="988"/>
        <v>-0.78393661867834774</v>
      </c>
    </row>
    <row r="582" spans="1:20" x14ac:dyDescent="0.25">
      <c r="A582" s="5">
        <v>44011</v>
      </c>
      <c r="B582">
        <v>4.6299999999999996E-3</v>
      </c>
      <c r="C582">
        <v>4.7600000000000003E-3</v>
      </c>
      <c r="D582">
        <v>4.3400000000000001E-3</v>
      </c>
      <c r="E582">
        <v>4.4600000000000004E-3</v>
      </c>
      <c r="F582">
        <v>128208244.5</v>
      </c>
      <c r="G582">
        <v>0</v>
      </c>
      <c r="L582" t="s">
        <v>7</v>
      </c>
      <c r="M582" t="s">
        <v>8</v>
      </c>
      <c r="N582" t="s">
        <v>8</v>
      </c>
      <c r="P582">
        <f t="shared" ref="P582:P645" si="989">IF(C582=D582,0,((E582-D582)-(C582-E582))/(C582-D582))</f>
        <v>-0.42857142857142738</v>
      </c>
      <c r="Q582">
        <f t="shared" ref="Q582:Q645" si="990">F582*P582</f>
        <v>-54946390.499999851</v>
      </c>
      <c r="R582">
        <f t="shared" ref="R582:R645" si="991">R583+Q582</f>
        <v>-51676497.937835157</v>
      </c>
      <c r="S582">
        <f t="shared" ref="S582:S645" si="992">R582/100000</f>
        <v>-516.76497937835154</v>
      </c>
      <c r="T582">
        <f t="shared" ref="T582:T645" si="993">S582/1000</f>
        <v>-0.51676497937835153</v>
      </c>
    </row>
    <row r="583" spans="1:20" x14ac:dyDescent="0.25">
      <c r="A583" s="5">
        <v>44010</v>
      </c>
      <c r="B583">
        <v>3.9500000000000004E-3</v>
      </c>
      <c r="C583">
        <v>5.0000000000000001E-3</v>
      </c>
      <c r="D583">
        <v>3.8899999999999998E-3</v>
      </c>
      <c r="E583">
        <v>4.64E-3</v>
      </c>
      <c r="F583">
        <v>397853281.39999998</v>
      </c>
      <c r="G583">
        <v>0</v>
      </c>
      <c r="L583" t="s">
        <v>8</v>
      </c>
      <c r="M583" t="s">
        <v>8</v>
      </c>
      <c r="N583" t="s">
        <v>8</v>
      </c>
      <c r="P583">
        <f t="shared" si="989"/>
        <v>0.35135135135135137</v>
      </c>
      <c r="Q583">
        <f t="shared" si="990"/>
        <v>139786288.05945945</v>
      </c>
      <c r="R583">
        <f t="shared" si="991"/>
        <v>3269892.5621646941</v>
      </c>
      <c r="S583">
        <f t="shared" si="992"/>
        <v>32.698925621646943</v>
      </c>
      <c r="T583">
        <f t="shared" si="993"/>
        <v>3.2698925621646946E-2</v>
      </c>
    </row>
    <row r="584" spans="1:20" x14ac:dyDescent="0.25">
      <c r="A584" s="5">
        <v>44009</v>
      </c>
      <c r="B584">
        <v>4.3200000000000001E-3</v>
      </c>
      <c r="C584">
        <v>4.47E-3</v>
      </c>
      <c r="D584">
        <v>3.5999999999999999E-3</v>
      </c>
      <c r="E584">
        <v>3.96E-3</v>
      </c>
      <c r="F584">
        <v>189366930.90000001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-0.1724137931034482</v>
      </c>
      <c r="Q584">
        <f t="shared" si="990"/>
        <v>-32649470.844827574</v>
      </c>
      <c r="R584">
        <f t="shared" si="991"/>
        <v>-136516395.49729475</v>
      </c>
      <c r="S584">
        <f t="shared" si="992"/>
        <v>-1365.1639549729475</v>
      </c>
      <c r="T584">
        <f t="shared" si="993"/>
        <v>-1.3651639549729475</v>
      </c>
    </row>
    <row r="585" spans="1:20" x14ac:dyDescent="0.25">
      <c r="A585" s="5">
        <v>44008</v>
      </c>
      <c r="B585">
        <v>4.6299999999999996E-3</v>
      </c>
      <c r="C585">
        <v>4.6699999999999997E-3</v>
      </c>
      <c r="D585">
        <v>4.2900000000000004E-3</v>
      </c>
      <c r="E585">
        <v>4.3200000000000001E-3</v>
      </c>
      <c r="F585">
        <v>121630385.40000001</v>
      </c>
      <c r="G585">
        <v>0</v>
      </c>
      <c r="L585" t="s">
        <v>7</v>
      </c>
      <c r="M585" t="s">
        <v>7</v>
      </c>
      <c r="N585" t="s">
        <v>8</v>
      </c>
      <c r="P585">
        <f t="shared" si="989"/>
        <v>-0.84210526315789624</v>
      </c>
      <c r="Q585">
        <f t="shared" si="990"/>
        <v>-102425587.70526335</v>
      </c>
      <c r="R585">
        <f t="shared" si="991"/>
        <v>-103866924.65246718</v>
      </c>
      <c r="S585">
        <f t="shared" si="992"/>
        <v>-1038.6692465246717</v>
      </c>
      <c r="T585">
        <f t="shared" si="993"/>
        <v>-1.0386692465246716</v>
      </c>
    </row>
    <row r="586" spans="1:20" x14ac:dyDescent="0.25">
      <c r="A586" s="5">
        <v>44007</v>
      </c>
      <c r="B586">
        <v>4.6800000000000001E-3</v>
      </c>
      <c r="C586">
        <v>4.79E-3</v>
      </c>
      <c r="D586">
        <v>4.45E-3</v>
      </c>
      <c r="E586">
        <v>4.6299999999999996E-3</v>
      </c>
      <c r="F586">
        <v>98571253.299999997</v>
      </c>
      <c r="G586">
        <v>0</v>
      </c>
      <c r="L586" t="s">
        <v>7</v>
      </c>
      <c r="M586" t="s">
        <v>8</v>
      </c>
      <c r="N586" t="s">
        <v>8</v>
      </c>
      <c r="P586">
        <f t="shared" si="989"/>
        <v>5.8823529411762304E-2</v>
      </c>
      <c r="Q586">
        <f t="shared" si="990"/>
        <v>5798309.0176468221</v>
      </c>
      <c r="R586">
        <f t="shared" si="991"/>
        <v>-1441336.9472038271</v>
      </c>
      <c r="S586">
        <f t="shared" si="992"/>
        <v>-14.413369472038271</v>
      </c>
      <c r="T586">
        <f t="shared" si="993"/>
        <v>-1.4413369472038272E-2</v>
      </c>
    </row>
    <row r="587" spans="1:20" x14ac:dyDescent="0.25">
      <c r="A587" s="5">
        <v>44006</v>
      </c>
      <c r="B587">
        <v>4.9100000000000003E-3</v>
      </c>
      <c r="C587">
        <v>4.9800000000000001E-3</v>
      </c>
      <c r="D587">
        <v>4.62E-3</v>
      </c>
      <c r="E587">
        <v>4.6899999999999997E-3</v>
      </c>
      <c r="F587">
        <v>159226860.40000001</v>
      </c>
      <c r="G587">
        <v>0</v>
      </c>
      <c r="L587" t="s">
        <v>7</v>
      </c>
      <c r="M587" t="s">
        <v>8</v>
      </c>
      <c r="N587" t="s">
        <v>8</v>
      </c>
      <c r="P587">
        <f t="shared" si="989"/>
        <v>-0.6111111111111126</v>
      </c>
      <c r="Q587">
        <f t="shared" si="990"/>
        <v>-97305303.577778026</v>
      </c>
      <c r="R587">
        <f t="shared" si="991"/>
        <v>-7239645.9648506492</v>
      </c>
      <c r="S587">
        <f t="shared" si="992"/>
        <v>-72.396459648506493</v>
      </c>
      <c r="T587">
        <f t="shared" si="993"/>
        <v>-7.2396459648506495E-2</v>
      </c>
    </row>
    <row r="588" spans="1:20" x14ac:dyDescent="0.25">
      <c r="A588" s="5">
        <v>44005</v>
      </c>
      <c r="B588">
        <v>4.9800000000000001E-3</v>
      </c>
      <c r="C588">
        <v>5.1500000000000001E-3</v>
      </c>
      <c r="D588">
        <v>4.8300000000000001E-3</v>
      </c>
      <c r="E588">
        <v>4.9100000000000003E-3</v>
      </c>
      <c r="F588">
        <v>151712916.19999999</v>
      </c>
      <c r="G588">
        <v>0</v>
      </c>
      <c r="L588" t="s">
        <v>8</v>
      </c>
      <c r="M588" t="s">
        <v>8</v>
      </c>
      <c r="N588" t="s">
        <v>8</v>
      </c>
      <c r="P588">
        <f t="shared" si="989"/>
        <v>-0.49999999999999867</v>
      </c>
      <c r="Q588">
        <f t="shared" si="990"/>
        <v>-75856458.099999785</v>
      </c>
      <c r="R588">
        <f t="shared" si="991"/>
        <v>90065657.612927377</v>
      </c>
      <c r="S588">
        <f t="shared" si="992"/>
        <v>900.65657612927373</v>
      </c>
      <c r="T588">
        <f t="shared" si="993"/>
        <v>0.90065657612927374</v>
      </c>
    </row>
    <row r="589" spans="1:20" x14ac:dyDescent="0.25">
      <c r="A589" s="5">
        <v>44004</v>
      </c>
      <c r="B589">
        <v>4.9100000000000003E-3</v>
      </c>
      <c r="C589">
        <v>5.1999999999999998E-3</v>
      </c>
      <c r="D589">
        <v>4.64E-3</v>
      </c>
      <c r="E589">
        <v>4.9899999999999996E-3</v>
      </c>
      <c r="F589">
        <v>323140020.19999999</v>
      </c>
      <c r="G589">
        <v>0</v>
      </c>
      <c r="L589" t="s">
        <v>7</v>
      </c>
      <c r="M589" t="s">
        <v>8</v>
      </c>
      <c r="N589" t="s">
        <v>8</v>
      </c>
      <c r="P589">
        <f t="shared" si="989"/>
        <v>0.24999999999999922</v>
      </c>
      <c r="Q589">
        <f t="shared" si="990"/>
        <v>80785005.049999744</v>
      </c>
      <c r="R589">
        <f t="shared" si="991"/>
        <v>165922115.71292716</v>
      </c>
      <c r="S589">
        <f t="shared" si="992"/>
        <v>1659.2211571292717</v>
      </c>
      <c r="T589">
        <f t="shared" si="993"/>
        <v>1.6592211571292717</v>
      </c>
    </row>
    <row r="590" spans="1:20" x14ac:dyDescent="0.25">
      <c r="A590" s="5">
        <v>44003</v>
      </c>
      <c r="B590">
        <v>4.8700000000000002E-3</v>
      </c>
      <c r="C590">
        <v>5.28E-3</v>
      </c>
      <c r="D590">
        <v>4.7600000000000003E-3</v>
      </c>
      <c r="E590">
        <v>4.8999999999999998E-3</v>
      </c>
      <c r="F590">
        <v>216879422.90000001</v>
      </c>
      <c r="G590">
        <v>0</v>
      </c>
      <c r="L590" t="s">
        <v>8</v>
      </c>
      <c r="M590" t="s">
        <v>8</v>
      </c>
      <c r="N590" t="s">
        <v>8</v>
      </c>
      <c r="P590">
        <f t="shared" si="989"/>
        <v>-0.46153846153846306</v>
      </c>
      <c r="Q590">
        <f t="shared" si="990"/>
        <v>-100098195.18461572</v>
      </c>
      <c r="R590">
        <f t="shared" si="991"/>
        <v>85137110.662927404</v>
      </c>
      <c r="S590">
        <f t="shared" si="992"/>
        <v>851.3711066292741</v>
      </c>
      <c r="T590">
        <f t="shared" si="993"/>
        <v>0.85137110662927407</v>
      </c>
    </row>
    <row r="591" spans="1:20" x14ac:dyDescent="0.25">
      <c r="A591" s="5">
        <v>44002</v>
      </c>
      <c r="B591">
        <v>4.8199999999999996E-3</v>
      </c>
      <c r="C591">
        <v>5.11E-3</v>
      </c>
      <c r="D591">
        <v>4.5799999999999999E-3</v>
      </c>
      <c r="E591">
        <v>4.8700000000000002E-3</v>
      </c>
      <c r="F591">
        <v>281689775.69999999</v>
      </c>
      <c r="G591">
        <v>0</v>
      </c>
      <c r="L591" t="s">
        <v>8</v>
      </c>
      <c r="M591" t="s">
        <v>8</v>
      </c>
      <c r="N591" t="s">
        <v>8</v>
      </c>
      <c r="P591">
        <f t="shared" si="989"/>
        <v>9.4339622641510482E-2</v>
      </c>
      <c r="Q591">
        <f t="shared" si="990"/>
        <v>26574507.141509727</v>
      </c>
      <c r="R591">
        <f t="shared" si="991"/>
        <v>185235305.84754312</v>
      </c>
      <c r="S591">
        <f t="shared" si="992"/>
        <v>1852.3530584754312</v>
      </c>
      <c r="T591">
        <f t="shared" si="993"/>
        <v>1.8523530584754313</v>
      </c>
    </row>
    <row r="592" spans="1:20" x14ac:dyDescent="0.25">
      <c r="A592" s="5">
        <v>44001</v>
      </c>
      <c r="B592">
        <v>4.4099999999999999E-3</v>
      </c>
      <c r="C592">
        <v>4.9899999999999996E-3</v>
      </c>
      <c r="D592">
        <v>4.3200000000000001E-3</v>
      </c>
      <c r="E592">
        <v>4.8300000000000001E-3</v>
      </c>
      <c r="F592">
        <v>473309010.5</v>
      </c>
      <c r="G592">
        <v>0</v>
      </c>
      <c r="L592" t="s">
        <v>8</v>
      </c>
      <c r="M592" t="s">
        <v>8</v>
      </c>
      <c r="N592" t="s">
        <v>8</v>
      </c>
      <c r="P592">
        <f t="shared" si="989"/>
        <v>0.5223880597014936</v>
      </c>
      <c r="Q592">
        <f t="shared" si="990"/>
        <v>247250975.63432887</v>
      </c>
      <c r="R592">
        <f t="shared" si="991"/>
        <v>158660798.70603338</v>
      </c>
      <c r="S592">
        <f t="shared" si="992"/>
        <v>1586.6079870603337</v>
      </c>
      <c r="T592">
        <f t="shared" si="993"/>
        <v>1.5866079870603338</v>
      </c>
    </row>
    <row r="593" spans="1:20" x14ac:dyDescent="0.25">
      <c r="A593" s="5">
        <v>44000</v>
      </c>
      <c r="B593">
        <v>4.3299999999999996E-3</v>
      </c>
      <c r="C593">
        <v>4.6299999999999996E-3</v>
      </c>
      <c r="D593">
        <v>4.28E-3</v>
      </c>
      <c r="E593">
        <v>4.4200000000000003E-3</v>
      </c>
      <c r="F593">
        <v>172632825.30000001</v>
      </c>
      <c r="G593">
        <v>0</v>
      </c>
      <c r="L593" t="s">
        <v>8</v>
      </c>
      <c r="M593" t="s">
        <v>8</v>
      </c>
      <c r="N593" t="s">
        <v>8</v>
      </c>
      <c r="P593">
        <f t="shared" si="989"/>
        <v>-0.19999999999999701</v>
      </c>
      <c r="Q593">
        <f t="shared" si="990"/>
        <v>-34526565.059999488</v>
      </c>
      <c r="R593">
        <f t="shared" si="991"/>
        <v>-88590176.928295493</v>
      </c>
      <c r="S593">
        <f t="shared" si="992"/>
        <v>-885.90176928295489</v>
      </c>
      <c r="T593">
        <f t="shared" si="993"/>
        <v>-0.88590176928295494</v>
      </c>
    </row>
    <row r="594" spans="1:20" x14ac:dyDescent="0.25">
      <c r="A594" s="5">
        <v>43999</v>
      </c>
      <c r="B594">
        <v>4.5100000000000001E-3</v>
      </c>
      <c r="C594">
        <v>4.62E-3</v>
      </c>
      <c r="D594">
        <v>4.1599999999999996E-3</v>
      </c>
      <c r="E594">
        <v>4.3299999999999996E-3</v>
      </c>
      <c r="F594">
        <v>179781716.69999999</v>
      </c>
      <c r="G594">
        <v>0</v>
      </c>
      <c r="L594" t="s">
        <v>7</v>
      </c>
      <c r="M594" t="s">
        <v>8</v>
      </c>
      <c r="N594" t="s">
        <v>8</v>
      </c>
      <c r="P594">
        <f t="shared" si="989"/>
        <v>-0.2608695652173918</v>
      </c>
      <c r="Q594">
        <f t="shared" si="990"/>
        <v>-46899578.269565299</v>
      </c>
      <c r="R594">
        <f t="shared" si="991"/>
        <v>-54063611.868296012</v>
      </c>
      <c r="S594">
        <f t="shared" si="992"/>
        <v>-540.63611868296016</v>
      </c>
      <c r="T594">
        <f t="shared" si="993"/>
        <v>-0.54063611868296013</v>
      </c>
    </row>
    <row r="595" spans="1:20" x14ac:dyDescent="0.25">
      <c r="A595" s="5">
        <v>43998</v>
      </c>
      <c r="B595">
        <v>4.2500000000000003E-3</v>
      </c>
      <c r="C595">
        <v>4.62E-3</v>
      </c>
      <c r="D595">
        <v>4.2199999999999998E-3</v>
      </c>
      <c r="E595">
        <v>4.5100000000000001E-3</v>
      </c>
      <c r="F595">
        <v>224039124.90000001</v>
      </c>
      <c r="G595">
        <v>0</v>
      </c>
      <c r="L595" t="s">
        <v>8</v>
      </c>
      <c r="M595" t="s">
        <v>8</v>
      </c>
      <c r="N595" t="s">
        <v>8</v>
      </c>
      <c r="P595">
        <f t="shared" si="989"/>
        <v>0.45000000000000095</v>
      </c>
      <c r="Q595">
        <f t="shared" si="990"/>
        <v>100817606.20500022</v>
      </c>
      <c r="R595">
        <f t="shared" si="991"/>
        <v>-7164033.5987307131</v>
      </c>
      <c r="S595">
        <f t="shared" si="992"/>
        <v>-71.640335987307125</v>
      </c>
      <c r="T595">
        <f t="shared" si="993"/>
        <v>-7.1640335987307124E-2</v>
      </c>
    </row>
    <row r="596" spans="1:20" x14ac:dyDescent="0.25">
      <c r="A596" s="5">
        <v>43997</v>
      </c>
      <c r="B596">
        <v>4.1999999999999997E-3</v>
      </c>
      <c r="C596">
        <v>4.4299999999999999E-3</v>
      </c>
      <c r="D596">
        <v>3.8300000000000001E-3</v>
      </c>
      <c r="E596">
        <v>4.2500000000000003E-3</v>
      </c>
      <c r="F596">
        <v>441608060.5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0.40000000000000113</v>
      </c>
      <c r="Q596">
        <f t="shared" si="990"/>
        <v>176643224.20000049</v>
      </c>
      <c r="R596">
        <f t="shared" si="991"/>
        <v>-107981639.80373093</v>
      </c>
      <c r="S596">
        <f t="shared" si="992"/>
        <v>-1079.8163980373095</v>
      </c>
      <c r="T596">
        <f t="shared" si="993"/>
        <v>-1.0798163980373094</v>
      </c>
    </row>
    <row r="597" spans="1:20" x14ac:dyDescent="0.25">
      <c r="A597" s="5">
        <v>43996</v>
      </c>
      <c r="B597">
        <v>4.3800000000000002E-3</v>
      </c>
      <c r="C597">
        <v>4.8500000000000001E-3</v>
      </c>
      <c r="D597">
        <v>4.15E-3</v>
      </c>
      <c r="E597">
        <v>4.1999999999999997E-3</v>
      </c>
      <c r="F597">
        <v>623866763.79999995</v>
      </c>
      <c r="G597">
        <v>0</v>
      </c>
      <c r="L597" t="s">
        <v>8</v>
      </c>
      <c r="M597" t="s">
        <v>8</v>
      </c>
      <c r="N597" t="s">
        <v>8</v>
      </c>
      <c r="P597">
        <f t="shared" si="989"/>
        <v>-0.85714285714285798</v>
      </c>
      <c r="Q597">
        <f t="shared" si="990"/>
        <v>-534742940.40000051</v>
      </c>
      <c r="R597">
        <f t="shared" si="991"/>
        <v>-284624864.00373143</v>
      </c>
      <c r="S597">
        <f t="shared" si="992"/>
        <v>-2846.2486400373141</v>
      </c>
      <c r="T597">
        <f t="shared" si="993"/>
        <v>-2.8462486400373139</v>
      </c>
    </row>
    <row r="598" spans="1:20" x14ac:dyDescent="0.25">
      <c r="A598" s="5">
        <v>43995</v>
      </c>
      <c r="B598">
        <v>3.7699999999999999E-3</v>
      </c>
      <c r="C598">
        <v>4.4400000000000004E-3</v>
      </c>
      <c r="D598">
        <v>3.7100000000000002E-3</v>
      </c>
      <c r="E598">
        <v>4.3800000000000002E-3</v>
      </c>
      <c r="F598">
        <v>396332782.10000002</v>
      </c>
      <c r="G598">
        <v>0</v>
      </c>
      <c r="L598" t="s">
        <v>8</v>
      </c>
      <c r="M598" t="s">
        <v>8</v>
      </c>
      <c r="N598" t="s">
        <v>8</v>
      </c>
      <c r="P598">
        <f t="shared" si="989"/>
        <v>0.83561643835616395</v>
      </c>
      <c r="Q598">
        <f t="shared" si="990"/>
        <v>331182187.78219163</v>
      </c>
      <c r="R598">
        <f t="shared" si="991"/>
        <v>250118076.39626908</v>
      </c>
      <c r="S598">
        <f t="shared" si="992"/>
        <v>2501.1807639626909</v>
      </c>
      <c r="T598">
        <f t="shared" si="993"/>
        <v>2.5011807639626911</v>
      </c>
    </row>
    <row r="599" spans="1:20" x14ac:dyDescent="0.25">
      <c r="A599" s="5">
        <v>43994</v>
      </c>
      <c r="B599">
        <v>3.5799999999999998E-3</v>
      </c>
      <c r="C599">
        <v>3.8500000000000001E-3</v>
      </c>
      <c r="D599">
        <v>3.5699999999999998E-3</v>
      </c>
      <c r="E599">
        <v>3.7499999999999999E-3</v>
      </c>
      <c r="F599">
        <v>123040355.90000001</v>
      </c>
      <c r="G599">
        <v>0</v>
      </c>
      <c r="L599" t="s">
        <v>8</v>
      </c>
      <c r="M599" t="s">
        <v>8</v>
      </c>
      <c r="N599" t="s">
        <v>8</v>
      </c>
      <c r="P599">
        <f t="shared" si="989"/>
        <v>0.28571428571428459</v>
      </c>
      <c r="Q599">
        <f t="shared" si="990"/>
        <v>35154387.399999864</v>
      </c>
      <c r="R599">
        <f t="shared" si="991"/>
        <v>-81064111.385922551</v>
      </c>
      <c r="S599">
        <f t="shared" si="992"/>
        <v>-810.64111385922547</v>
      </c>
      <c r="T599">
        <f t="shared" si="993"/>
        <v>-0.81064111385922544</v>
      </c>
    </row>
    <row r="600" spans="1:20" x14ac:dyDescent="0.25">
      <c r="A600" s="5">
        <v>43993</v>
      </c>
      <c r="B600">
        <v>3.96E-3</v>
      </c>
      <c r="C600">
        <v>4.0200000000000001E-3</v>
      </c>
      <c r="D600">
        <v>3.5000000000000001E-3</v>
      </c>
      <c r="E600">
        <v>3.5899999999999999E-3</v>
      </c>
      <c r="F600">
        <v>175479035.80000001</v>
      </c>
      <c r="G600">
        <v>0</v>
      </c>
      <c r="L600" t="s">
        <v>7</v>
      </c>
      <c r="M600" t="s">
        <v>8</v>
      </c>
      <c r="N600" t="s">
        <v>8</v>
      </c>
      <c r="P600">
        <f t="shared" si="989"/>
        <v>-0.65384615384615463</v>
      </c>
      <c r="Q600">
        <f t="shared" si="990"/>
        <v>-114736292.63846168</v>
      </c>
      <c r="R600">
        <f t="shared" si="991"/>
        <v>-116218498.78592242</v>
      </c>
      <c r="S600">
        <f t="shared" si="992"/>
        <v>-1162.1849878592243</v>
      </c>
      <c r="T600">
        <f t="shared" si="993"/>
        <v>-1.1621849878592243</v>
      </c>
    </row>
    <row r="601" spans="1:20" x14ac:dyDescent="0.25">
      <c r="A601" s="5">
        <v>43992</v>
      </c>
      <c r="B601">
        <v>3.8899999999999998E-3</v>
      </c>
      <c r="C601">
        <v>4.1000000000000003E-3</v>
      </c>
      <c r="D601">
        <v>3.82E-3</v>
      </c>
      <c r="E601">
        <v>3.96E-3</v>
      </c>
      <c r="F601">
        <v>183277706.69999999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-1.5488602464078618E-15</v>
      </c>
      <c r="Q601">
        <f t="shared" si="990"/>
        <v>-2.8387155396042978E-7</v>
      </c>
      <c r="R601">
        <f t="shared" si="991"/>
        <v>-1482206.1474607501</v>
      </c>
      <c r="S601">
        <f t="shared" si="992"/>
        <v>-14.822061474607501</v>
      </c>
      <c r="T601">
        <f t="shared" si="993"/>
        <v>-1.4822061474607502E-2</v>
      </c>
    </row>
    <row r="602" spans="1:20" x14ac:dyDescent="0.25">
      <c r="A602" s="5">
        <v>43991</v>
      </c>
      <c r="B602">
        <v>3.9699999999999996E-3</v>
      </c>
      <c r="C602">
        <v>3.9899999999999996E-3</v>
      </c>
      <c r="D602">
        <v>3.82E-3</v>
      </c>
      <c r="E602">
        <v>3.8999999999999998E-3</v>
      </c>
      <c r="F602">
        <v>89423403.599999994</v>
      </c>
      <c r="G602">
        <v>0</v>
      </c>
      <c r="L602" t="s">
        <v>7</v>
      </c>
      <c r="M602" t="s">
        <v>8</v>
      </c>
      <c r="N602" t="s">
        <v>8</v>
      </c>
      <c r="P602">
        <f t="shared" si="989"/>
        <v>-5.8823529411765003E-2</v>
      </c>
      <c r="Q602">
        <f t="shared" si="990"/>
        <v>-5260200.2117647324</v>
      </c>
      <c r="R602">
        <f t="shared" si="991"/>
        <v>-1482206.1474604663</v>
      </c>
      <c r="S602">
        <f t="shared" si="992"/>
        <v>-14.822061474604663</v>
      </c>
      <c r="T602">
        <f t="shared" si="993"/>
        <v>-1.4822061474604662E-2</v>
      </c>
    </row>
    <row r="603" spans="1:20" x14ac:dyDescent="0.25">
      <c r="A603" s="5">
        <v>43990</v>
      </c>
      <c r="B603">
        <v>3.9500000000000004E-3</v>
      </c>
      <c r="C603">
        <v>4.1200000000000004E-3</v>
      </c>
      <c r="D603">
        <v>3.9100000000000003E-3</v>
      </c>
      <c r="E603">
        <v>3.9899999999999996E-3</v>
      </c>
      <c r="F603">
        <v>119765583.7</v>
      </c>
      <c r="G603">
        <v>0</v>
      </c>
      <c r="L603" t="s">
        <v>8</v>
      </c>
      <c r="M603" t="s">
        <v>8</v>
      </c>
      <c r="N603" t="s">
        <v>8</v>
      </c>
      <c r="P603">
        <f t="shared" si="989"/>
        <v>-0.23809523809524477</v>
      </c>
      <c r="Q603">
        <f t="shared" si="990"/>
        <v>-28515615.166667465</v>
      </c>
      <c r="R603">
        <f t="shared" si="991"/>
        <v>3777994.0643042661</v>
      </c>
      <c r="S603">
        <f t="shared" si="992"/>
        <v>37.779940643042664</v>
      </c>
      <c r="T603">
        <f t="shared" si="993"/>
        <v>3.7779940643042666E-2</v>
      </c>
    </row>
    <row r="604" spans="1:20" x14ac:dyDescent="0.25">
      <c r="A604" s="5">
        <v>43989</v>
      </c>
      <c r="B604">
        <v>3.8600000000000001E-3</v>
      </c>
      <c r="C604">
        <v>4.0600000000000002E-3</v>
      </c>
      <c r="D604">
        <v>3.7699999999999999E-3</v>
      </c>
      <c r="E604">
        <v>3.9500000000000004E-3</v>
      </c>
      <c r="F604">
        <v>201743413.80000001</v>
      </c>
      <c r="G604">
        <v>0</v>
      </c>
      <c r="L604" t="s">
        <v>8</v>
      </c>
      <c r="M604" t="s">
        <v>8</v>
      </c>
      <c r="N604" t="s">
        <v>8</v>
      </c>
      <c r="P604">
        <f t="shared" si="989"/>
        <v>0.24137931034482946</v>
      </c>
      <c r="Q604">
        <f t="shared" si="990"/>
        <v>48696686.089655556</v>
      </c>
      <c r="R604">
        <f t="shared" si="991"/>
        <v>32293609.230971731</v>
      </c>
      <c r="S604">
        <f t="shared" si="992"/>
        <v>322.93609230971731</v>
      </c>
      <c r="T604">
        <f t="shared" si="993"/>
        <v>0.32293609230971732</v>
      </c>
    </row>
    <row r="605" spans="1:20" x14ac:dyDescent="0.25">
      <c r="A605" s="5">
        <v>43988</v>
      </c>
      <c r="B605">
        <v>3.7000000000000002E-3</v>
      </c>
      <c r="C605">
        <v>3.9399999999999999E-3</v>
      </c>
      <c r="D605">
        <v>3.6600000000000001E-3</v>
      </c>
      <c r="E605">
        <v>3.8600000000000001E-3</v>
      </c>
      <c r="F605">
        <v>168241236.40000001</v>
      </c>
      <c r="G605">
        <v>0</v>
      </c>
      <c r="L605" t="s">
        <v>8</v>
      </c>
      <c r="M605" t="s">
        <v>7</v>
      </c>
      <c r="N605" t="s">
        <v>8</v>
      </c>
      <c r="P605">
        <f t="shared" si="989"/>
        <v>0.42857142857142988</v>
      </c>
      <c r="Q605">
        <f t="shared" si="990"/>
        <v>72103387.02857165</v>
      </c>
      <c r="R605">
        <f t="shared" si="991"/>
        <v>-16403076.858683825</v>
      </c>
      <c r="S605">
        <f t="shared" si="992"/>
        <v>-164.03076858683824</v>
      </c>
      <c r="T605">
        <f t="shared" si="993"/>
        <v>-0.16403076858683824</v>
      </c>
    </row>
    <row r="606" spans="1:20" x14ac:dyDescent="0.25">
      <c r="A606" s="5">
        <v>43987</v>
      </c>
      <c r="B606">
        <v>3.7299999999999998E-3</v>
      </c>
      <c r="C606">
        <v>3.8300000000000001E-3</v>
      </c>
      <c r="D606">
        <v>3.6099999999999999E-3</v>
      </c>
      <c r="E606">
        <v>3.7000000000000002E-3</v>
      </c>
      <c r="F606">
        <v>148294652.19999999</v>
      </c>
      <c r="G606">
        <v>0</v>
      </c>
      <c r="L606" t="s">
        <v>7</v>
      </c>
      <c r="M606" t="s">
        <v>7</v>
      </c>
      <c r="N606" t="s">
        <v>8</v>
      </c>
      <c r="P606">
        <f t="shared" si="989"/>
        <v>-0.18181818181818021</v>
      </c>
      <c r="Q606">
        <f t="shared" si="990"/>
        <v>-26962664.036363397</v>
      </c>
      <c r="R606">
        <f t="shared" si="991"/>
        <v>-88506463.887255475</v>
      </c>
      <c r="S606">
        <f t="shared" si="992"/>
        <v>-885.06463887255472</v>
      </c>
      <c r="T606">
        <f t="shared" si="993"/>
        <v>-0.88506463887255471</v>
      </c>
    </row>
    <row r="607" spans="1:20" x14ac:dyDescent="0.25">
      <c r="A607" s="5">
        <v>43986</v>
      </c>
      <c r="B607">
        <v>3.7699999999999999E-3</v>
      </c>
      <c r="C607">
        <v>3.81E-3</v>
      </c>
      <c r="D607">
        <v>3.5999999999999999E-3</v>
      </c>
      <c r="E607">
        <v>3.7299999999999998E-3</v>
      </c>
      <c r="F607">
        <v>186396437.30000001</v>
      </c>
      <c r="G607">
        <v>0</v>
      </c>
      <c r="L607" t="s">
        <v>7</v>
      </c>
      <c r="M607" t="s">
        <v>7</v>
      </c>
      <c r="N607" t="s">
        <v>8</v>
      </c>
      <c r="P607">
        <f t="shared" si="989"/>
        <v>0.23809523809523653</v>
      </c>
      <c r="Q607">
        <f t="shared" si="990"/>
        <v>44380104.119047329</v>
      </c>
      <c r="R607">
        <f t="shared" si="991"/>
        <v>-61543799.850892082</v>
      </c>
      <c r="S607">
        <f t="shared" si="992"/>
        <v>-615.43799850892083</v>
      </c>
      <c r="T607">
        <f t="shared" si="993"/>
        <v>-0.61543799850892078</v>
      </c>
    </row>
    <row r="608" spans="1:20" x14ac:dyDescent="0.25">
      <c r="A608" s="5">
        <v>43985</v>
      </c>
      <c r="B608">
        <v>3.7000000000000002E-3</v>
      </c>
      <c r="C608">
        <v>3.9199999999999999E-3</v>
      </c>
      <c r="D608">
        <v>3.6900000000000001E-3</v>
      </c>
      <c r="E608">
        <v>3.7699999999999999E-3</v>
      </c>
      <c r="F608">
        <v>120904926.5</v>
      </c>
      <c r="G608">
        <v>0</v>
      </c>
      <c r="L608" t="s">
        <v>8</v>
      </c>
      <c r="M608" t="s">
        <v>7</v>
      </c>
      <c r="N608" t="s">
        <v>8</v>
      </c>
      <c r="P608">
        <f t="shared" si="989"/>
        <v>-0.30434782608695765</v>
      </c>
      <c r="Q608">
        <f t="shared" si="990"/>
        <v>-36797151.5434784</v>
      </c>
      <c r="R608">
        <f t="shared" si="991"/>
        <v>-105923903.96993941</v>
      </c>
      <c r="S608">
        <f t="shared" si="992"/>
        <v>-1059.2390396993942</v>
      </c>
      <c r="T608">
        <f t="shared" si="993"/>
        <v>-1.0592390396993943</v>
      </c>
    </row>
    <row r="609" spans="1:20" x14ac:dyDescent="0.25">
      <c r="A609" s="5">
        <v>43984</v>
      </c>
      <c r="B609">
        <v>3.9100000000000003E-3</v>
      </c>
      <c r="C609">
        <v>4.0099999999999997E-3</v>
      </c>
      <c r="D609">
        <v>3.4499999999999999E-3</v>
      </c>
      <c r="E609">
        <v>3.7000000000000002E-3</v>
      </c>
      <c r="F609">
        <v>496878661.89999998</v>
      </c>
      <c r="G609">
        <v>0</v>
      </c>
      <c r="L609" t="s">
        <v>7</v>
      </c>
      <c r="M609" t="s">
        <v>7</v>
      </c>
      <c r="N609" t="s">
        <v>8</v>
      </c>
      <c r="P609">
        <f t="shared" si="989"/>
        <v>-0.10714285714285593</v>
      </c>
      <c r="Q609">
        <f t="shared" si="990"/>
        <v>-53236999.489285111</v>
      </c>
      <c r="R609">
        <f t="shared" si="991"/>
        <v>-69126752.426461011</v>
      </c>
      <c r="S609">
        <f t="shared" si="992"/>
        <v>-691.26752426461007</v>
      </c>
      <c r="T609">
        <f t="shared" si="993"/>
        <v>-0.69126752426461002</v>
      </c>
    </row>
    <row r="610" spans="1:20" x14ac:dyDescent="0.25">
      <c r="A610" s="5">
        <v>43983</v>
      </c>
      <c r="B610">
        <v>3.65E-3</v>
      </c>
      <c r="C610">
        <v>4.3E-3</v>
      </c>
      <c r="D610">
        <v>3.5400000000000002E-3</v>
      </c>
      <c r="E610">
        <v>3.9300000000000003E-3</v>
      </c>
      <c r="F610">
        <v>612806504.10000002</v>
      </c>
      <c r="G610">
        <v>0</v>
      </c>
      <c r="L610" t="s">
        <v>8</v>
      </c>
      <c r="M610" t="s">
        <v>8</v>
      </c>
      <c r="N610" t="s">
        <v>8</v>
      </c>
      <c r="P610">
        <f t="shared" si="989"/>
        <v>2.6315789473684858E-2</v>
      </c>
      <c r="Q610">
        <f t="shared" si="990"/>
        <v>16126486.950000398</v>
      </c>
      <c r="R610">
        <f t="shared" si="991"/>
        <v>-15889752.937175907</v>
      </c>
      <c r="S610">
        <f t="shared" si="992"/>
        <v>-158.89752937175908</v>
      </c>
      <c r="T610">
        <f t="shared" si="993"/>
        <v>-0.15889752937175908</v>
      </c>
    </row>
    <row r="611" spans="1:20" x14ac:dyDescent="0.25">
      <c r="A611" s="5">
        <v>43982</v>
      </c>
      <c r="B611">
        <v>4.0000000000000001E-3</v>
      </c>
      <c r="C611">
        <v>4.0600000000000002E-3</v>
      </c>
      <c r="D611">
        <v>3.62E-3</v>
      </c>
      <c r="E611">
        <v>3.6600000000000001E-3</v>
      </c>
      <c r="F611">
        <v>302337671.89999998</v>
      </c>
      <c r="G611">
        <v>0</v>
      </c>
      <c r="L611" t="s">
        <v>8</v>
      </c>
      <c r="M611" t="s">
        <v>7</v>
      </c>
      <c r="N611" t="s">
        <v>8</v>
      </c>
      <c r="P611">
        <f t="shared" si="989"/>
        <v>-0.81818181818181779</v>
      </c>
      <c r="Q611">
        <f t="shared" si="990"/>
        <v>-247367186.09999987</v>
      </c>
      <c r="R611">
        <f t="shared" si="991"/>
        <v>-32016239.887176305</v>
      </c>
      <c r="S611">
        <f t="shared" si="992"/>
        <v>-320.16239887176306</v>
      </c>
      <c r="T611">
        <f t="shared" si="993"/>
        <v>-0.32016239887176307</v>
      </c>
    </row>
    <row r="612" spans="1:20" x14ac:dyDescent="0.25">
      <c r="A612" s="5">
        <v>43981</v>
      </c>
      <c r="B612">
        <v>3.7000000000000002E-3</v>
      </c>
      <c r="C612">
        <v>4.2300000000000003E-3</v>
      </c>
      <c r="D612">
        <v>3.5100000000000001E-3</v>
      </c>
      <c r="E612">
        <v>4.0000000000000001E-3</v>
      </c>
      <c r="F612">
        <v>622270903.70000005</v>
      </c>
      <c r="G612">
        <v>0</v>
      </c>
      <c r="L612" t="s">
        <v>7</v>
      </c>
      <c r="M612" t="s">
        <v>7</v>
      </c>
      <c r="N612" t="s">
        <v>8</v>
      </c>
      <c r="P612">
        <f t="shared" si="989"/>
        <v>0.36111111111111077</v>
      </c>
      <c r="Q612">
        <f t="shared" si="990"/>
        <v>224708937.44722202</v>
      </c>
      <c r="R612">
        <f t="shared" si="991"/>
        <v>215350946.21282357</v>
      </c>
      <c r="S612">
        <f t="shared" si="992"/>
        <v>2153.5094621282356</v>
      </c>
      <c r="T612">
        <f t="shared" si="993"/>
        <v>2.1535094621282354</v>
      </c>
    </row>
    <row r="613" spans="1:20" x14ac:dyDescent="0.25">
      <c r="A613" s="5">
        <v>43980</v>
      </c>
      <c r="B613">
        <v>3.96E-3</v>
      </c>
      <c r="C613">
        <v>3.98E-3</v>
      </c>
      <c r="D613">
        <v>3.6600000000000001E-3</v>
      </c>
      <c r="E613">
        <v>3.7100000000000002E-3</v>
      </c>
      <c r="F613">
        <v>189698194.40000001</v>
      </c>
      <c r="G613">
        <v>0</v>
      </c>
      <c r="L613" t="s">
        <v>7</v>
      </c>
      <c r="M613" t="s">
        <v>8</v>
      </c>
      <c r="N613" t="s">
        <v>8</v>
      </c>
      <c r="P613">
        <f t="shared" si="989"/>
        <v>-0.68749999999999911</v>
      </c>
      <c r="Q613">
        <f t="shared" si="990"/>
        <v>-130417508.64999984</v>
      </c>
      <c r="R613">
        <f t="shared" si="991"/>
        <v>-9357991.2343984395</v>
      </c>
      <c r="S613">
        <f t="shared" si="992"/>
        <v>-93.57991234398439</v>
      </c>
      <c r="T613">
        <f t="shared" si="993"/>
        <v>-9.3579912343984384E-2</v>
      </c>
    </row>
    <row r="614" spans="1:20" x14ac:dyDescent="0.25">
      <c r="A614" s="5">
        <v>43979</v>
      </c>
      <c r="B614">
        <v>4.1700000000000001E-3</v>
      </c>
      <c r="C614">
        <v>4.3400000000000001E-3</v>
      </c>
      <c r="D614">
        <v>3.8300000000000001E-3</v>
      </c>
      <c r="E614">
        <v>3.96E-3</v>
      </c>
      <c r="F614">
        <v>238641089.30000001</v>
      </c>
      <c r="G614">
        <v>0</v>
      </c>
      <c r="L614" t="s">
        <v>7</v>
      </c>
      <c r="M614" t="s">
        <v>8</v>
      </c>
      <c r="N614" t="s">
        <v>8</v>
      </c>
      <c r="P614">
        <f t="shared" si="989"/>
        <v>-0.49019607843137297</v>
      </c>
      <c r="Q614">
        <f t="shared" si="990"/>
        <v>-116980926.12745109</v>
      </c>
      <c r="R614">
        <f t="shared" si="991"/>
        <v>121059517.4156014</v>
      </c>
      <c r="S614">
        <f t="shared" si="992"/>
        <v>1210.5951741560141</v>
      </c>
      <c r="T614">
        <f t="shared" si="993"/>
        <v>1.2105951741560141</v>
      </c>
    </row>
    <row r="615" spans="1:20" x14ac:dyDescent="0.25">
      <c r="A615" s="5">
        <v>43978</v>
      </c>
      <c r="B615">
        <v>3.7200000000000002E-3</v>
      </c>
      <c r="C615">
        <v>4.3299999999999996E-3</v>
      </c>
      <c r="D615">
        <v>3.6600000000000001E-3</v>
      </c>
      <c r="E615">
        <v>4.1700000000000001E-3</v>
      </c>
      <c r="F615">
        <v>306198427.39999998</v>
      </c>
      <c r="G615">
        <v>0</v>
      </c>
      <c r="L615" t="s">
        <v>8</v>
      </c>
      <c r="M615" t="s">
        <v>8</v>
      </c>
      <c r="N615" t="s">
        <v>8</v>
      </c>
      <c r="P615">
        <f t="shared" si="989"/>
        <v>0.5223880597014936</v>
      </c>
      <c r="Q615">
        <f t="shared" si="990"/>
        <v>159954402.37313464</v>
      </c>
      <c r="R615">
        <f t="shared" si="991"/>
        <v>238040443.54305249</v>
      </c>
      <c r="S615">
        <f t="shared" si="992"/>
        <v>2380.4044354305252</v>
      </c>
      <c r="T615">
        <f t="shared" si="993"/>
        <v>2.3804044354305249</v>
      </c>
    </row>
    <row r="616" spans="1:20" x14ac:dyDescent="0.25">
      <c r="A616" s="5">
        <v>43977</v>
      </c>
      <c r="B616">
        <v>3.8300000000000001E-3</v>
      </c>
      <c r="C616">
        <v>3.8800000000000002E-3</v>
      </c>
      <c r="D616">
        <v>3.5599999999999998E-3</v>
      </c>
      <c r="E616">
        <v>3.7399999999999998E-3</v>
      </c>
      <c r="F616">
        <v>169336480.59999999</v>
      </c>
      <c r="G616">
        <v>0</v>
      </c>
      <c r="L616" t="s">
        <v>7</v>
      </c>
      <c r="M616" t="s">
        <v>8</v>
      </c>
      <c r="N616" t="s">
        <v>8</v>
      </c>
      <c r="P616">
        <f t="shared" si="989"/>
        <v>0.12499999999999882</v>
      </c>
      <c r="Q616">
        <f t="shared" si="990"/>
        <v>21167060.074999798</v>
      </c>
      <c r="R616">
        <f t="shared" si="991"/>
        <v>78086041.169917837</v>
      </c>
      <c r="S616">
        <f t="shared" si="992"/>
        <v>780.86041169917837</v>
      </c>
      <c r="T616">
        <f t="shared" si="993"/>
        <v>0.78086041169917841</v>
      </c>
    </row>
    <row r="617" spans="1:20" x14ac:dyDescent="0.25">
      <c r="A617" s="5">
        <v>43976</v>
      </c>
      <c r="B617">
        <v>3.4199999999999999E-3</v>
      </c>
      <c r="C617">
        <v>3.9399999999999999E-3</v>
      </c>
      <c r="D617">
        <v>3.3600000000000001E-3</v>
      </c>
      <c r="E617">
        <v>3.82E-3</v>
      </c>
      <c r="F617">
        <v>304091005.60000002</v>
      </c>
      <c r="G617">
        <v>0</v>
      </c>
      <c r="L617" t="s">
        <v>8</v>
      </c>
      <c r="M617" t="s">
        <v>8</v>
      </c>
      <c r="N617" t="s">
        <v>8</v>
      </c>
      <c r="P617">
        <f t="shared" si="989"/>
        <v>0.58620689655172442</v>
      </c>
      <c r="Q617">
        <f t="shared" si="990"/>
        <v>178260244.66206905</v>
      </c>
      <c r="R617">
        <f t="shared" si="991"/>
        <v>56918981.094918042</v>
      </c>
      <c r="S617">
        <f t="shared" si="992"/>
        <v>569.18981094918047</v>
      </c>
      <c r="T617">
        <f t="shared" si="993"/>
        <v>0.56918981094918042</v>
      </c>
    </row>
    <row r="618" spans="1:20" x14ac:dyDescent="0.25">
      <c r="A618" s="5">
        <v>43975</v>
      </c>
      <c r="B618">
        <v>3.5200000000000001E-3</v>
      </c>
      <c r="C618">
        <v>3.7299999999999998E-3</v>
      </c>
      <c r="D618">
        <v>3.3600000000000001E-3</v>
      </c>
      <c r="E618">
        <v>3.4199999999999999E-3</v>
      </c>
      <c r="F618">
        <v>163106763.5</v>
      </c>
      <c r="G618">
        <v>0</v>
      </c>
      <c r="L618" t="s">
        <v>7</v>
      </c>
      <c r="M618" t="s">
        <v>8</v>
      </c>
      <c r="N618" t="s">
        <v>8</v>
      </c>
      <c r="P618">
        <f t="shared" si="989"/>
        <v>-0.67567567567567688</v>
      </c>
      <c r="Q618">
        <f t="shared" si="990"/>
        <v>-110207272.63513534</v>
      </c>
      <c r="R618">
        <f t="shared" si="991"/>
        <v>-121341263.56715101</v>
      </c>
      <c r="S618">
        <f t="shared" si="992"/>
        <v>-1213.4126356715101</v>
      </c>
      <c r="T618">
        <f t="shared" si="993"/>
        <v>-1.21341263567151</v>
      </c>
    </row>
    <row r="619" spans="1:20" x14ac:dyDescent="0.25">
      <c r="A619" s="5">
        <v>43974</v>
      </c>
      <c r="B619">
        <v>3.5899999999999999E-3</v>
      </c>
      <c r="C619">
        <v>3.8E-3</v>
      </c>
      <c r="D619">
        <v>3.4299999999999999E-3</v>
      </c>
      <c r="E619">
        <v>3.5200000000000001E-3</v>
      </c>
      <c r="F619">
        <v>188655122.5</v>
      </c>
      <c r="G619">
        <v>0</v>
      </c>
      <c r="L619" t="s">
        <v>8</v>
      </c>
      <c r="M619" t="s">
        <v>8</v>
      </c>
      <c r="N619" t="s">
        <v>8</v>
      </c>
      <c r="P619">
        <f t="shared" si="989"/>
        <v>-0.51351351351351238</v>
      </c>
      <c r="Q619">
        <f t="shared" si="990"/>
        <v>-96876954.797297075</v>
      </c>
      <c r="R619">
        <f t="shared" si="991"/>
        <v>-11133990.932015672</v>
      </c>
      <c r="S619">
        <f t="shared" si="992"/>
        <v>-111.33990932015672</v>
      </c>
      <c r="T619">
        <f t="shared" si="993"/>
        <v>-0.11133990932015672</v>
      </c>
    </row>
    <row r="620" spans="1:20" x14ac:dyDescent="0.25">
      <c r="A620" s="5">
        <v>43973</v>
      </c>
      <c r="B620">
        <v>3.3E-3</v>
      </c>
      <c r="C620">
        <v>3.64E-3</v>
      </c>
      <c r="D620">
        <v>3.1900000000000001E-3</v>
      </c>
      <c r="E620">
        <v>3.6099999999999999E-3</v>
      </c>
      <c r="F620">
        <v>186844908.5</v>
      </c>
      <c r="G620">
        <v>0</v>
      </c>
      <c r="L620" t="s">
        <v>8</v>
      </c>
      <c r="M620" t="s">
        <v>8</v>
      </c>
      <c r="N620" t="s">
        <v>8</v>
      </c>
      <c r="P620">
        <f t="shared" si="989"/>
        <v>0.86666666666666625</v>
      </c>
      <c r="Q620">
        <f t="shared" si="990"/>
        <v>161932254.03333324</v>
      </c>
      <c r="R620">
        <f t="shared" si="991"/>
        <v>85742963.865281403</v>
      </c>
      <c r="S620">
        <f t="shared" si="992"/>
        <v>857.42963865281399</v>
      </c>
      <c r="T620">
        <f t="shared" si="993"/>
        <v>0.85742963865281396</v>
      </c>
    </row>
    <row r="621" spans="1:20" x14ac:dyDescent="0.25">
      <c r="A621" s="5">
        <v>43972</v>
      </c>
      <c r="B621">
        <v>3.3E-3</v>
      </c>
      <c r="C621">
        <v>3.4099999999999998E-3</v>
      </c>
      <c r="D621">
        <v>3.0699999999999998E-3</v>
      </c>
      <c r="E621">
        <v>3.31E-3</v>
      </c>
      <c r="F621">
        <v>207257338</v>
      </c>
      <c r="G621">
        <v>0</v>
      </c>
      <c r="L621" t="s">
        <v>7</v>
      </c>
      <c r="M621" t="s">
        <v>8</v>
      </c>
      <c r="N621" t="s">
        <v>8</v>
      </c>
      <c r="P621">
        <f t="shared" si="989"/>
        <v>0.41176470588235398</v>
      </c>
      <c r="Q621">
        <f t="shared" si="990"/>
        <v>85341256.823529631</v>
      </c>
      <c r="R621">
        <f t="shared" si="991"/>
        <v>-76189290.168051839</v>
      </c>
      <c r="S621">
        <f t="shared" si="992"/>
        <v>-761.89290168051843</v>
      </c>
      <c r="T621">
        <f t="shared" si="993"/>
        <v>-0.76189290168051849</v>
      </c>
    </row>
    <row r="622" spans="1:20" x14ac:dyDescent="0.25">
      <c r="A622" s="5">
        <v>43971</v>
      </c>
      <c r="B622">
        <v>3.3800000000000002E-3</v>
      </c>
      <c r="C622">
        <v>3.4499999999999999E-3</v>
      </c>
      <c r="D622">
        <v>3.2100000000000002E-3</v>
      </c>
      <c r="E622">
        <v>3.31E-3</v>
      </c>
      <c r="F622">
        <v>170193017.5</v>
      </c>
      <c r="G622">
        <v>0</v>
      </c>
      <c r="L622" t="s">
        <v>7</v>
      </c>
      <c r="M622" t="s">
        <v>8</v>
      </c>
      <c r="N622" t="s">
        <v>8</v>
      </c>
      <c r="P622">
        <f t="shared" si="989"/>
        <v>-0.16666666666666727</v>
      </c>
      <c r="Q622">
        <f t="shared" si="990"/>
        <v>-28365502.916666768</v>
      </c>
      <c r="R622">
        <f t="shared" si="991"/>
        <v>-161530546.99158147</v>
      </c>
      <c r="S622">
        <f t="shared" si="992"/>
        <v>-1615.3054699158147</v>
      </c>
      <c r="T622">
        <f t="shared" si="993"/>
        <v>-1.6153054699158147</v>
      </c>
    </row>
    <row r="623" spans="1:20" x14ac:dyDescent="0.25">
      <c r="A623" s="5">
        <v>43970</v>
      </c>
      <c r="B623">
        <v>3.47E-3</v>
      </c>
      <c r="C623">
        <v>3.5400000000000002E-3</v>
      </c>
      <c r="D623">
        <v>3.3400000000000001E-3</v>
      </c>
      <c r="E623">
        <v>3.3700000000000002E-3</v>
      </c>
      <c r="F623">
        <v>164138150.5</v>
      </c>
      <c r="G623">
        <v>0</v>
      </c>
      <c r="L623" t="s">
        <v>8</v>
      </c>
      <c r="M623" t="s">
        <v>8</v>
      </c>
      <c r="N623" t="s">
        <v>8</v>
      </c>
      <c r="P623">
        <f t="shared" si="989"/>
        <v>-0.6999999999999994</v>
      </c>
      <c r="Q623">
        <f t="shared" si="990"/>
        <v>-114896705.3499999</v>
      </c>
      <c r="R623">
        <f t="shared" si="991"/>
        <v>-133165044.07491469</v>
      </c>
      <c r="S623">
        <f t="shared" si="992"/>
        <v>-1331.650440749147</v>
      </c>
      <c r="T623">
        <f t="shared" si="993"/>
        <v>-1.331650440749147</v>
      </c>
    </row>
    <row r="624" spans="1:20" x14ac:dyDescent="0.25">
      <c r="A624" s="5">
        <v>43969</v>
      </c>
      <c r="B624">
        <v>3.2299999999999998E-3</v>
      </c>
      <c r="C624">
        <v>3.5599999999999998E-3</v>
      </c>
      <c r="D624">
        <v>3.0300000000000001E-3</v>
      </c>
      <c r="E624">
        <v>3.47E-3</v>
      </c>
      <c r="F624">
        <v>273273160.80000001</v>
      </c>
      <c r="G624">
        <v>0</v>
      </c>
      <c r="L624" t="s">
        <v>7</v>
      </c>
      <c r="M624" t="s">
        <v>8</v>
      </c>
      <c r="N624" t="s">
        <v>8</v>
      </c>
      <c r="P624">
        <f t="shared" si="989"/>
        <v>0.66037735849056656</v>
      </c>
      <c r="Q624">
        <f t="shared" si="990"/>
        <v>180463408.07547185</v>
      </c>
      <c r="R624">
        <f t="shared" si="991"/>
        <v>-18268338.724914789</v>
      </c>
      <c r="S624">
        <f t="shared" si="992"/>
        <v>-182.6833872491479</v>
      </c>
      <c r="T624">
        <f t="shared" si="993"/>
        <v>-0.1826833872491479</v>
      </c>
    </row>
    <row r="625" spans="1:20" x14ac:dyDescent="0.25">
      <c r="A625" s="5">
        <v>43968</v>
      </c>
      <c r="B625">
        <v>3.3300000000000001E-3</v>
      </c>
      <c r="C625">
        <v>3.4399999999999999E-3</v>
      </c>
      <c r="D625">
        <v>3.1800000000000001E-3</v>
      </c>
      <c r="E625">
        <v>3.2100000000000002E-3</v>
      </c>
      <c r="F625">
        <v>157323846.19999999</v>
      </c>
      <c r="G625">
        <v>0</v>
      </c>
      <c r="L625" t="s">
        <v>7</v>
      </c>
      <c r="M625" t="s">
        <v>8</v>
      </c>
      <c r="N625" t="s">
        <v>8</v>
      </c>
      <c r="P625">
        <f t="shared" si="989"/>
        <v>-0.7692307692307685</v>
      </c>
      <c r="Q625">
        <f t="shared" si="990"/>
        <v>-121018343.23076911</v>
      </c>
      <c r="R625">
        <f t="shared" si="991"/>
        <v>-198731746.80038664</v>
      </c>
      <c r="S625">
        <f t="shared" si="992"/>
        <v>-1987.3174680038665</v>
      </c>
      <c r="T625">
        <f t="shared" si="993"/>
        <v>-1.9873174680038665</v>
      </c>
    </row>
    <row r="626" spans="1:20" x14ac:dyDescent="0.25">
      <c r="A626" s="5">
        <v>43967</v>
      </c>
      <c r="B626">
        <v>3.3E-3</v>
      </c>
      <c r="C626">
        <v>3.64E-3</v>
      </c>
      <c r="D626">
        <v>3.1800000000000001E-3</v>
      </c>
      <c r="E626">
        <v>3.32E-3</v>
      </c>
      <c r="F626">
        <v>273287283.80000001</v>
      </c>
      <c r="G626">
        <v>0</v>
      </c>
      <c r="L626" t="s">
        <v>8</v>
      </c>
      <c r="M626" t="s">
        <v>8</v>
      </c>
      <c r="N626" t="s">
        <v>8</v>
      </c>
      <c r="P626">
        <f t="shared" si="989"/>
        <v>-0.39130434782608714</v>
      </c>
      <c r="Q626">
        <f t="shared" si="990"/>
        <v>-106938502.3565218</v>
      </c>
      <c r="R626">
        <f t="shared" si="991"/>
        <v>-77713403.569617525</v>
      </c>
      <c r="S626">
        <f t="shared" si="992"/>
        <v>-777.13403569617526</v>
      </c>
      <c r="T626">
        <f t="shared" si="993"/>
        <v>-0.77713403569617523</v>
      </c>
    </row>
    <row r="627" spans="1:20" x14ac:dyDescent="0.25">
      <c r="A627" s="5">
        <v>43966</v>
      </c>
      <c r="B627">
        <v>3.2799999999999999E-3</v>
      </c>
      <c r="C627">
        <v>3.5400000000000002E-3</v>
      </c>
      <c r="D627">
        <v>3.0599999999999998E-3</v>
      </c>
      <c r="E627">
        <v>3.3E-3</v>
      </c>
      <c r="F627">
        <v>459518716.80000001</v>
      </c>
      <c r="G627">
        <v>0</v>
      </c>
      <c r="L627" t="s">
        <v>8</v>
      </c>
      <c r="M627" t="s">
        <v>8</v>
      </c>
      <c r="N627" t="s">
        <v>8</v>
      </c>
      <c r="P627">
        <f t="shared" si="989"/>
        <v>0</v>
      </c>
      <c r="Q627">
        <f t="shared" si="990"/>
        <v>0</v>
      </c>
      <c r="R627">
        <f t="shared" si="991"/>
        <v>29225098.786904275</v>
      </c>
      <c r="S627">
        <f t="shared" si="992"/>
        <v>292.25098786904277</v>
      </c>
      <c r="T627">
        <f t="shared" si="993"/>
        <v>0.2922509878690428</v>
      </c>
    </row>
    <row r="628" spans="1:20" x14ac:dyDescent="0.25">
      <c r="A628" s="5">
        <v>43965</v>
      </c>
      <c r="B628">
        <v>2.81E-3</v>
      </c>
      <c r="C628">
        <v>3.3E-3</v>
      </c>
      <c r="D628">
        <v>2.7899999999999999E-3</v>
      </c>
      <c r="E628">
        <v>3.29E-3</v>
      </c>
      <c r="F628">
        <v>381717509.30000001</v>
      </c>
      <c r="G628">
        <v>0</v>
      </c>
      <c r="L628" t="s">
        <v>8</v>
      </c>
      <c r="M628" t="s">
        <v>8</v>
      </c>
      <c r="N628" t="s">
        <v>8</v>
      </c>
      <c r="P628">
        <f t="shared" si="989"/>
        <v>0.96078431372549011</v>
      </c>
      <c r="Q628">
        <f t="shared" si="990"/>
        <v>366748195.20980388</v>
      </c>
      <c r="R628">
        <f t="shared" si="991"/>
        <v>29225098.786904275</v>
      </c>
      <c r="S628">
        <f t="shared" si="992"/>
        <v>292.25098786904277</v>
      </c>
      <c r="T628">
        <f t="shared" si="993"/>
        <v>0.2922509878690428</v>
      </c>
    </row>
    <row r="629" spans="1:20" x14ac:dyDescent="0.25">
      <c r="A629" s="5">
        <v>43964</v>
      </c>
      <c r="B629">
        <v>2.65E-3</v>
      </c>
      <c r="C629">
        <v>2.8999999999999998E-3</v>
      </c>
      <c r="D629">
        <v>2.5699999999999998E-3</v>
      </c>
      <c r="E629">
        <v>2.82E-3</v>
      </c>
      <c r="F629">
        <v>182102770.19999999</v>
      </c>
      <c r="G629">
        <v>0</v>
      </c>
      <c r="L629" t="s">
        <v>7</v>
      </c>
      <c r="M629" t="s">
        <v>8</v>
      </c>
      <c r="N629" t="s">
        <v>8</v>
      </c>
      <c r="P629">
        <f t="shared" si="989"/>
        <v>0.51515151515151647</v>
      </c>
      <c r="Q629">
        <f t="shared" si="990"/>
        <v>93810517.981818423</v>
      </c>
      <c r="R629">
        <f t="shared" si="991"/>
        <v>-337523096.4228996</v>
      </c>
      <c r="S629">
        <f t="shared" si="992"/>
        <v>-3375.2309642289961</v>
      </c>
      <c r="T629">
        <f t="shared" si="993"/>
        <v>-3.3752309642289959</v>
      </c>
    </row>
    <row r="630" spans="1:20" x14ac:dyDescent="0.25">
      <c r="A630" s="5">
        <v>43963</v>
      </c>
      <c r="B630">
        <v>2.7200000000000002E-3</v>
      </c>
      <c r="C630">
        <v>2.7899999999999999E-3</v>
      </c>
      <c r="D630">
        <v>2.5999999999999999E-3</v>
      </c>
      <c r="E630">
        <v>2.6700000000000001E-3</v>
      </c>
      <c r="F630">
        <v>159756376.80000001</v>
      </c>
      <c r="G630">
        <v>0</v>
      </c>
      <c r="L630" t="s">
        <v>7</v>
      </c>
      <c r="M630" t="s">
        <v>8</v>
      </c>
      <c r="N630" t="s">
        <v>8</v>
      </c>
      <c r="P630">
        <f t="shared" si="989"/>
        <v>-0.26315789473684043</v>
      </c>
      <c r="Q630">
        <f t="shared" si="990"/>
        <v>-42041151.789473422</v>
      </c>
      <c r="R630">
        <f t="shared" si="991"/>
        <v>-431333614.40471804</v>
      </c>
      <c r="S630">
        <f t="shared" si="992"/>
        <v>-4313.3361440471808</v>
      </c>
      <c r="T630">
        <f t="shared" si="993"/>
        <v>-4.3133361440471809</v>
      </c>
    </row>
    <row r="631" spans="1:20" x14ac:dyDescent="0.25">
      <c r="A631" s="5">
        <v>43962</v>
      </c>
      <c r="B631">
        <v>2.63E-3</v>
      </c>
      <c r="C631">
        <v>2.8700000000000002E-3</v>
      </c>
      <c r="D631">
        <v>2.3800000000000002E-3</v>
      </c>
      <c r="E631">
        <v>2.7200000000000002E-3</v>
      </c>
      <c r="F631">
        <v>503735974.39999998</v>
      </c>
      <c r="G631">
        <v>0</v>
      </c>
      <c r="L631" t="s">
        <v>8</v>
      </c>
      <c r="M631" t="s">
        <v>8</v>
      </c>
      <c r="N631" t="s">
        <v>8</v>
      </c>
      <c r="P631">
        <f t="shared" si="989"/>
        <v>0.38775510204081648</v>
      </c>
      <c r="Q631">
        <f t="shared" si="990"/>
        <v>195326194.1551021</v>
      </c>
      <c r="R631">
        <f t="shared" si="991"/>
        <v>-389292462.61524463</v>
      </c>
      <c r="S631">
        <f t="shared" si="992"/>
        <v>-3892.9246261524463</v>
      </c>
      <c r="T631">
        <f t="shared" si="993"/>
        <v>-3.8929246261524462</v>
      </c>
    </row>
    <row r="632" spans="1:20" x14ac:dyDescent="0.25">
      <c r="A632" s="5">
        <v>43961</v>
      </c>
      <c r="B632">
        <v>2.8900000000000002E-3</v>
      </c>
      <c r="C632">
        <v>2.9399999999999999E-3</v>
      </c>
      <c r="D632">
        <v>2.2300000000000002E-3</v>
      </c>
      <c r="E632">
        <v>2.63E-3</v>
      </c>
      <c r="F632">
        <v>376683294.60000002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0.12676056338028147</v>
      </c>
      <c r="Q632">
        <f t="shared" si="990"/>
        <v>47748586.639436536</v>
      </c>
      <c r="R632">
        <f t="shared" si="991"/>
        <v>-584618656.77034676</v>
      </c>
      <c r="S632">
        <f t="shared" si="992"/>
        <v>-5846.1865677034675</v>
      </c>
      <c r="T632">
        <f t="shared" si="993"/>
        <v>-5.8461865677034677</v>
      </c>
    </row>
    <row r="633" spans="1:20" x14ac:dyDescent="0.25">
      <c r="A633" s="5">
        <v>43960</v>
      </c>
      <c r="B633">
        <v>2.64E-3</v>
      </c>
      <c r="C633">
        <v>2.9099999999999998E-3</v>
      </c>
      <c r="D633">
        <v>2.5699999999999998E-3</v>
      </c>
      <c r="E633">
        <v>2.8900000000000002E-3</v>
      </c>
      <c r="F633">
        <v>301157667.30000001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0.88235294117647289</v>
      </c>
      <c r="Q633">
        <f t="shared" si="990"/>
        <v>265727353.50000072</v>
      </c>
      <c r="R633">
        <f t="shared" si="991"/>
        <v>-632367243.40978324</v>
      </c>
      <c r="S633">
        <f t="shared" si="992"/>
        <v>-6323.6724340978326</v>
      </c>
      <c r="T633">
        <f t="shared" si="993"/>
        <v>-6.3236724340978325</v>
      </c>
    </row>
    <row r="634" spans="1:20" x14ac:dyDescent="0.25">
      <c r="A634" s="5">
        <v>43959</v>
      </c>
      <c r="B634">
        <v>2.5400000000000002E-3</v>
      </c>
      <c r="C634">
        <v>2.6800000000000001E-3</v>
      </c>
      <c r="D634">
        <v>2.5000000000000001E-3</v>
      </c>
      <c r="E634">
        <v>2.63E-3</v>
      </c>
      <c r="F634">
        <v>113522968.40000001</v>
      </c>
      <c r="G634">
        <v>0</v>
      </c>
      <c r="L634" t="s">
        <v>7</v>
      </c>
      <c r="M634" t="s">
        <v>7</v>
      </c>
      <c r="N634" t="s">
        <v>8</v>
      </c>
      <c r="P634">
        <f t="shared" si="989"/>
        <v>0.44444444444444309</v>
      </c>
      <c r="Q634">
        <f t="shared" si="990"/>
        <v>50454652.622222073</v>
      </c>
      <c r="R634">
        <f t="shared" si="991"/>
        <v>-898094596.90978396</v>
      </c>
      <c r="S634">
        <f t="shared" si="992"/>
        <v>-8980.9459690978401</v>
      </c>
      <c r="T634">
        <f t="shared" si="993"/>
        <v>-8.9809459690978404</v>
      </c>
    </row>
    <row r="635" spans="1:20" x14ac:dyDescent="0.25">
      <c r="A635" s="5">
        <v>43958</v>
      </c>
      <c r="B635">
        <v>2.5300000000000001E-3</v>
      </c>
      <c r="C635">
        <v>2.7100000000000002E-3</v>
      </c>
      <c r="D635">
        <v>2.48E-3</v>
      </c>
      <c r="E635">
        <v>2.5400000000000002E-3</v>
      </c>
      <c r="F635">
        <v>286858057.10000002</v>
      </c>
      <c r="G635">
        <v>0</v>
      </c>
      <c r="L635" t="s">
        <v>8</v>
      </c>
      <c r="M635" t="s">
        <v>7</v>
      </c>
      <c r="N635" t="s">
        <v>8</v>
      </c>
      <c r="P635">
        <f t="shared" si="989"/>
        <v>-0.47826086956521641</v>
      </c>
      <c r="Q635">
        <f t="shared" si="990"/>
        <v>-137192983.8304345</v>
      </c>
      <c r="R635">
        <f t="shared" si="991"/>
        <v>-948549249.53200603</v>
      </c>
      <c r="S635">
        <f t="shared" si="992"/>
        <v>-9485.4924953200607</v>
      </c>
      <c r="T635">
        <f t="shared" si="993"/>
        <v>-9.4854924953200612</v>
      </c>
    </row>
    <row r="636" spans="1:20" x14ac:dyDescent="0.25">
      <c r="A636" s="5">
        <v>43957</v>
      </c>
      <c r="B636">
        <v>2.4499999999999999E-3</v>
      </c>
      <c r="C636">
        <v>2.63E-3</v>
      </c>
      <c r="D636">
        <v>2.4299999999999999E-3</v>
      </c>
      <c r="E636">
        <v>2.5400000000000002E-3</v>
      </c>
      <c r="F636">
        <v>181619428.5</v>
      </c>
      <c r="G636">
        <v>0</v>
      </c>
      <c r="L636" t="s">
        <v>8</v>
      </c>
      <c r="M636" t="s">
        <v>7</v>
      </c>
      <c r="N636" t="s">
        <v>8</v>
      </c>
      <c r="P636">
        <f t="shared" si="989"/>
        <v>0.10000000000000238</v>
      </c>
      <c r="Q636">
        <f t="shared" si="990"/>
        <v>18161942.850000434</v>
      </c>
      <c r="R636">
        <f t="shared" si="991"/>
        <v>-811356265.70157146</v>
      </c>
      <c r="S636">
        <f t="shared" si="992"/>
        <v>-8113.5626570157146</v>
      </c>
      <c r="T636">
        <f t="shared" si="993"/>
        <v>-8.1135626570157147</v>
      </c>
    </row>
    <row r="637" spans="1:20" x14ac:dyDescent="0.25">
      <c r="A637" s="5">
        <v>43956</v>
      </c>
      <c r="B637">
        <v>2.4299999999999999E-3</v>
      </c>
      <c r="C637">
        <v>2.5000000000000001E-3</v>
      </c>
      <c r="D637">
        <v>2.3600000000000001E-3</v>
      </c>
      <c r="E637">
        <v>2.4399999999999999E-3</v>
      </c>
      <c r="F637">
        <v>136661629.80000001</v>
      </c>
      <c r="G637">
        <v>0</v>
      </c>
      <c r="L637" t="s">
        <v>8</v>
      </c>
      <c r="M637" t="s">
        <v>7</v>
      </c>
      <c r="N637" t="s">
        <v>8</v>
      </c>
      <c r="P637">
        <f t="shared" si="989"/>
        <v>0.14285714285714021</v>
      </c>
      <c r="Q637">
        <f t="shared" si="990"/>
        <v>19523089.971428212</v>
      </c>
      <c r="R637">
        <f t="shared" si="991"/>
        <v>-829518208.55157185</v>
      </c>
      <c r="S637">
        <f t="shared" si="992"/>
        <v>-8295.1820855157184</v>
      </c>
      <c r="T637">
        <f t="shared" si="993"/>
        <v>-8.2951820855157177</v>
      </c>
    </row>
    <row r="638" spans="1:20" x14ac:dyDescent="0.25">
      <c r="A638" s="5">
        <v>43955</v>
      </c>
      <c r="B638">
        <v>2.4399999999999999E-3</v>
      </c>
      <c r="C638">
        <v>2.4599999999999999E-3</v>
      </c>
      <c r="D638">
        <v>2.33E-3</v>
      </c>
      <c r="E638">
        <v>2.4099999999999998E-3</v>
      </c>
      <c r="F638">
        <v>108091506.5</v>
      </c>
      <c r="G638">
        <v>0</v>
      </c>
      <c r="L638" t="s">
        <v>7</v>
      </c>
      <c r="M638" t="s">
        <v>7</v>
      </c>
      <c r="N638" t="s">
        <v>8</v>
      </c>
      <c r="P638">
        <f t="shared" si="989"/>
        <v>0.2307692307692282</v>
      </c>
      <c r="Q638">
        <f t="shared" si="990"/>
        <v>24944193.807692029</v>
      </c>
      <c r="R638">
        <f t="shared" si="991"/>
        <v>-849041298.523</v>
      </c>
      <c r="S638">
        <f t="shared" si="992"/>
        <v>-8490.4129852299993</v>
      </c>
      <c r="T638">
        <f t="shared" si="993"/>
        <v>-8.4904129852299999</v>
      </c>
    </row>
    <row r="639" spans="1:20" x14ac:dyDescent="0.25">
      <c r="A639" s="5">
        <v>43954</v>
      </c>
      <c r="B639">
        <v>2.5300000000000001E-3</v>
      </c>
      <c r="C639">
        <v>2.5600000000000002E-3</v>
      </c>
      <c r="D639">
        <v>2.3700000000000001E-3</v>
      </c>
      <c r="E639">
        <v>2.4299999999999999E-3</v>
      </c>
      <c r="F639">
        <v>169804879</v>
      </c>
      <c r="G639">
        <v>0</v>
      </c>
      <c r="L639" t="s">
        <v>7</v>
      </c>
      <c r="M639" t="s">
        <v>8</v>
      </c>
      <c r="N639" t="s">
        <v>8</v>
      </c>
      <c r="P639">
        <f t="shared" si="989"/>
        <v>-0.36842105263158209</v>
      </c>
      <c r="Q639">
        <f t="shared" si="990"/>
        <v>-62559692.263158426</v>
      </c>
      <c r="R639">
        <f t="shared" si="991"/>
        <v>-873985492.33069205</v>
      </c>
      <c r="S639">
        <f t="shared" si="992"/>
        <v>-8739.8549233069207</v>
      </c>
      <c r="T639">
        <f t="shared" si="993"/>
        <v>-8.73985492330692</v>
      </c>
    </row>
    <row r="640" spans="1:20" x14ac:dyDescent="0.25">
      <c r="A640" s="5">
        <v>43953</v>
      </c>
      <c r="B640">
        <v>2.5600000000000002E-3</v>
      </c>
      <c r="C640">
        <v>2.5799999999999998E-3</v>
      </c>
      <c r="D640">
        <v>2.5000000000000001E-3</v>
      </c>
      <c r="E640">
        <v>2.5300000000000001E-3</v>
      </c>
      <c r="F640">
        <v>64725770.200000003</v>
      </c>
      <c r="G640">
        <v>0</v>
      </c>
      <c r="L640" t="s">
        <v>7</v>
      </c>
      <c r="M640" t="s">
        <v>8</v>
      </c>
      <c r="N640" t="s">
        <v>8</v>
      </c>
      <c r="P640">
        <f t="shared" si="989"/>
        <v>-0.24999999999999595</v>
      </c>
      <c r="Q640">
        <f t="shared" si="990"/>
        <v>-16181442.549999738</v>
      </c>
      <c r="R640">
        <f t="shared" si="991"/>
        <v>-811425800.06753361</v>
      </c>
      <c r="S640">
        <f t="shared" si="992"/>
        <v>-8114.258000675336</v>
      </c>
      <c r="T640">
        <f t="shared" si="993"/>
        <v>-8.1142580006753366</v>
      </c>
    </row>
    <row r="641" spans="1:20" x14ac:dyDescent="0.25">
      <c r="A641" s="5">
        <v>43952</v>
      </c>
      <c r="B641">
        <v>2.5400000000000002E-3</v>
      </c>
      <c r="C641">
        <v>2.6199999999999999E-3</v>
      </c>
      <c r="D641">
        <v>2.47E-3</v>
      </c>
      <c r="E641">
        <v>2.5600000000000002E-3</v>
      </c>
      <c r="F641">
        <v>83071889.799999997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0.20000000000000348</v>
      </c>
      <c r="Q641">
        <f t="shared" si="990"/>
        <v>16614377.960000288</v>
      </c>
      <c r="R641">
        <f t="shared" si="991"/>
        <v>-795244357.5175339</v>
      </c>
      <c r="S641">
        <f t="shared" si="992"/>
        <v>-7952.443575175339</v>
      </c>
      <c r="T641">
        <f t="shared" si="993"/>
        <v>-7.9524435751753391</v>
      </c>
    </row>
    <row r="642" spans="1:20" x14ac:dyDescent="0.25">
      <c r="A642" s="5">
        <v>43951</v>
      </c>
      <c r="B642">
        <v>2.5999999999999999E-3</v>
      </c>
      <c r="C642">
        <v>2.7399999999999998E-3</v>
      </c>
      <c r="D642">
        <v>2.32E-3</v>
      </c>
      <c r="E642">
        <v>2.5300000000000001E-3</v>
      </c>
      <c r="F642">
        <v>167154411.30000001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1.0325734976052428E-15</v>
      </c>
      <c r="Q642">
        <f t="shared" si="990"/>
        <v>1.7259921511618633E-7</v>
      </c>
      <c r="R642">
        <f t="shared" si="991"/>
        <v>-811858735.47753417</v>
      </c>
      <c r="S642">
        <f t="shared" si="992"/>
        <v>-8118.5873547753417</v>
      </c>
      <c r="T642">
        <f t="shared" si="993"/>
        <v>-8.1185873547753413</v>
      </c>
    </row>
    <row r="643" spans="1:20" x14ac:dyDescent="0.25">
      <c r="A643" s="5">
        <v>43950</v>
      </c>
      <c r="B643">
        <v>2.5200000000000001E-3</v>
      </c>
      <c r="C643">
        <v>2.6900000000000001E-3</v>
      </c>
      <c r="D643">
        <v>2.5200000000000001E-3</v>
      </c>
      <c r="E643">
        <v>2.5999999999999999E-3</v>
      </c>
      <c r="F643">
        <v>176622890.90000001</v>
      </c>
      <c r="G643">
        <v>0</v>
      </c>
      <c r="L643" t="s">
        <v>8</v>
      </c>
      <c r="M643" t="s">
        <v>7</v>
      </c>
      <c r="N643" t="s">
        <v>8</v>
      </c>
      <c r="P643">
        <f t="shared" si="989"/>
        <v>-5.8823529411767404E-2</v>
      </c>
      <c r="Q643">
        <f t="shared" si="990"/>
        <v>-10389581.817647535</v>
      </c>
      <c r="R643">
        <f t="shared" si="991"/>
        <v>-811858735.47753429</v>
      </c>
      <c r="S643">
        <f t="shared" si="992"/>
        <v>-8118.5873547753426</v>
      </c>
      <c r="T643">
        <f t="shared" si="993"/>
        <v>-8.1185873547753431</v>
      </c>
    </row>
    <row r="644" spans="1:20" x14ac:dyDescent="0.25">
      <c r="A644" s="5">
        <v>43949</v>
      </c>
      <c r="B644">
        <v>2.5500000000000002E-3</v>
      </c>
      <c r="C644">
        <v>2.5799999999999998E-3</v>
      </c>
      <c r="D644">
        <v>2.5000000000000001E-3</v>
      </c>
      <c r="E644">
        <v>2.5200000000000001E-3</v>
      </c>
      <c r="F644">
        <v>76625570.200000003</v>
      </c>
      <c r="G644">
        <v>0</v>
      </c>
      <c r="L644" t="s">
        <v>8</v>
      </c>
      <c r="M644" t="s">
        <v>7</v>
      </c>
      <c r="N644" t="s">
        <v>8</v>
      </c>
      <c r="P644">
        <f t="shared" si="989"/>
        <v>-0.49999999999999728</v>
      </c>
      <c r="Q644">
        <f t="shared" si="990"/>
        <v>-38312785.099999793</v>
      </c>
      <c r="R644">
        <f t="shared" si="991"/>
        <v>-801469153.65988672</v>
      </c>
      <c r="S644">
        <f t="shared" si="992"/>
        <v>-8014.6915365988671</v>
      </c>
      <c r="T644">
        <f t="shared" si="993"/>
        <v>-8.0146915365988676</v>
      </c>
    </row>
    <row r="645" spans="1:20" x14ac:dyDescent="0.25">
      <c r="A645" s="5">
        <v>43948</v>
      </c>
      <c r="B645">
        <v>2.65E-3</v>
      </c>
      <c r="C645">
        <v>2.6700000000000001E-3</v>
      </c>
      <c r="D645">
        <v>2.47E-3</v>
      </c>
      <c r="E645">
        <v>2.5400000000000002E-3</v>
      </c>
      <c r="F645">
        <v>117596925.2</v>
      </c>
      <c r="G645">
        <v>0</v>
      </c>
      <c r="L645" t="s">
        <v>8</v>
      </c>
      <c r="M645" t="s">
        <v>7</v>
      </c>
      <c r="N645" t="s">
        <v>8</v>
      </c>
      <c r="P645">
        <f t="shared" si="989"/>
        <v>-0.29999999999999849</v>
      </c>
      <c r="Q645">
        <f t="shared" si="990"/>
        <v>-35279077.559999824</v>
      </c>
      <c r="R645">
        <f t="shared" si="991"/>
        <v>-763156368.55988693</v>
      </c>
      <c r="S645">
        <f t="shared" si="992"/>
        <v>-7631.5636855988696</v>
      </c>
      <c r="T645">
        <f t="shared" si="993"/>
        <v>-7.63156368559887</v>
      </c>
    </row>
    <row r="646" spans="1:20" x14ac:dyDescent="0.25">
      <c r="A646" s="5">
        <v>43947</v>
      </c>
      <c r="B646">
        <v>2.66E-3</v>
      </c>
      <c r="C646">
        <v>2.7000000000000001E-3</v>
      </c>
      <c r="D646">
        <v>2.33E-3</v>
      </c>
      <c r="E646">
        <v>2.64E-3</v>
      </c>
      <c r="F646">
        <v>190344155.59999999</v>
      </c>
      <c r="G646">
        <v>0</v>
      </c>
      <c r="L646" t="s">
        <v>7</v>
      </c>
      <c r="M646" t="s">
        <v>7</v>
      </c>
      <c r="N646" t="s">
        <v>8</v>
      </c>
      <c r="P646">
        <f t="shared" ref="P646:P709" si="994">IF(C646=D646,0,((E646-D646)-(C646-E646))/(C646-D646))</f>
        <v>0.67567567567567488</v>
      </c>
      <c r="Q646">
        <f t="shared" ref="Q646:Q709" si="995">F646*P646</f>
        <v>128610915.94594578</v>
      </c>
      <c r="R646">
        <f t="shared" ref="R646:R709" si="996">R647+Q646</f>
        <v>-727877290.99988711</v>
      </c>
      <c r="S646">
        <f t="shared" ref="S646:S709" si="997">R646/100000</f>
        <v>-7278.772909998871</v>
      </c>
      <c r="T646">
        <f t="shared" ref="T646:T709" si="998">S646/1000</f>
        <v>-7.2787729099988709</v>
      </c>
    </row>
    <row r="647" spans="1:20" x14ac:dyDescent="0.25">
      <c r="A647" s="5">
        <v>43946</v>
      </c>
      <c r="B647">
        <v>2.5699999999999998E-3</v>
      </c>
      <c r="C647">
        <v>2.7000000000000001E-3</v>
      </c>
      <c r="D647">
        <v>2.5400000000000002E-3</v>
      </c>
      <c r="E647">
        <v>2.64E-3</v>
      </c>
      <c r="F647">
        <v>126025694.2</v>
      </c>
      <c r="G647">
        <v>0</v>
      </c>
      <c r="L647" t="s">
        <v>7</v>
      </c>
      <c r="M647" t="s">
        <v>8</v>
      </c>
      <c r="N647" t="s">
        <v>8</v>
      </c>
      <c r="P647">
        <f t="shared" si="994"/>
        <v>0.24999999999999797</v>
      </c>
      <c r="Q647">
        <f t="shared" si="995"/>
        <v>31506423.549999744</v>
      </c>
      <c r="R647">
        <f t="shared" si="996"/>
        <v>-856488206.94583285</v>
      </c>
      <c r="S647">
        <f t="shared" si="997"/>
        <v>-8564.8820694583283</v>
      </c>
      <c r="T647">
        <f t="shared" si="998"/>
        <v>-8.5648820694583279</v>
      </c>
    </row>
    <row r="648" spans="1:20" x14ac:dyDescent="0.25">
      <c r="A648" s="5">
        <v>43945</v>
      </c>
      <c r="B648">
        <v>2.65E-3</v>
      </c>
      <c r="C648">
        <v>2.7200000000000002E-3</v>
      </c>
      <c r="D648">
        <v>2.5400000000000002E-3</v>
      </c>
      <c r="E648">
        <v>2.5600000000000002E-3</v>
      </c>
      <c r="F648">
        <v>187586252.90000001</v>
      </c>
      <c r="G648">
        <v>0</v>
      </c>
      <c r="L648" t="s">
        <v>7</v>
      </c>
      <c r="M648" t="s">
        <v>8</v>
      </c>
      <c r="N648" t="s">
        <v>8</v>
      </c>
      <c r="P648">
        <f t="shared" si="994"/>
        <v>-0.77777777777777724</v>
      </c>
      <c r="Q648">
        <f t="shared" si="995"/>
        <v>-145900418.92222214</v>
      </c>
      <c r="R648">
        <f t="shared" si="996"/>
        <v>-887994630.49583256</v>
      </c>
      <c r="S648">
        <f t="shared" si="997"/>
        <v>-8879.9463049583264</v>
      </c>
      <c r="T648">
        <f t="shared" si="998"/>
        <v>-8.8799463049583256</v>
      </c>
    </row>
    <row r="649" spans="1:20" x14ac:dyDescent="0.25">
      <c r="A649" s="5">
        <v>43944</v>
      </c>
      <c r="B649">
        <v>2.5200000000000001E-3</v>
      </c>
      <c r="C649">
        <v>2.7599999999999999E-3</v>
      </c>
      <c r="D649">
        <v>2.4599999999999999E-3</v>
      </c>
      <c r="E649">
        <v>2.65E-3</v>
      </c>
      <c r="F649">
        <v>305981173.10000002</v>
      </c>
      <c r="G649">
        <v>0</v>
      </c>
      <c r="L649" t="s">
        <v>8</v>
      </c>
      <c r="M649" t="s">
        <v>8</v>
      </c>
      <c r="N649" t="s">
        <v>8</v>
      </c>
      <c r="P649">
        <f t="shared" si="994"/>
        <v>0.26666666666666744</v>
      </c>
      <c r="Q649">
        <f t="shared" si="995"/>
        <v>81594979.493333578</v>
      </c>
      <c r="R649">
        <f t="shared" si="996"/>
        <v>-742094211.57361042</v>
      </c>
      <c r="S649">
        <f t="shared" si="997"/>
        <v>-7420.9421157361039</v>
      </c>
      <c r="T649">
        <f t="shared" si="998"/>
        <v>-7.4209421157361035</v>
      </c>
    </row>
    <row r="650" spans="1:20" x14ac:dyDescent="0.25">
      <c r="A650" s="5">
        <v>43943</v>
      </c>
      <c r="B650">
        <v>2.1800000000000001E-3</v>
      </c>
      <c r="C650">
        <v>2.5799999999999998E-3</v>
      </c>
      <c r="D650">
        <v>2.14E-3</v>
      </c>
      <c r="E650">
        <v>2.5300000000000001E-3</v>
      </c>
      <c r="F650">
        <v>310588661</v>
      </c>
      <c r="G650">
        <v>0</v>
      </c>
      <c r="L650" t="s">
        <v>8</v>
      </c>
      <c r="M650" t="s">
        <v>8</v>
      </c>
      <c r="N650" t="s">
        <v>8</v>
      </c>
      <c r="P650">
        <f t="shared" si="994"/>
        <v>0.77272727272727404</v>
      </c>
      <c r="Q650">
        <f t="shared" si="995"/>
        <v>240000328.95454586</v>
      </c>
      <c r="R650">
        <f t="shared" si="996"/>
        <v>-823689191.066944</v>
      </c>
      <c r="S650">
        <f t="shared" si="997"/>
        <v>-8236.8919106694393</v>
      </c>
      <c r="T650">
        <f t="shared" si="998"/>
        <v>-8.2368919106694385</v>
      </c>
    </row>
    <row r="651" spans="1:20" x14ac:dyDescent="0.25">
      <c r="A651" s="5">
        <v>43942</v>
      </c>
      <c r="B651">
        <v>2.1700000000000001E-3</v>
      </c>
      <c r="C651">
        <v>2.1900000000000001E-3</v>
      </c>
      <c r="D651">
        <v>2.1099999999999999E-3</v>
      </c>
      <c r="E651">
        <v>2.1800000000000001E-3</v>
      </c>
      <c r="F651">
        <v>44809526.5</v>
      </c>
      <c r="G651">
        <v>0</v>
      </c>
      <c r="L651" t="s">
        <v>7</v>
      </c>
      <c r="M651" t="s">
        <v>8</v>
      </c>
      <c r="N651" t="s">
        <v>8</v>
      </c>
      <c r="P651">
        <f t="shared" si="994"/>
        <v>0.75</v>
      </c>
      <c r="Q651">
        <f t="shared" si="995"/>
        <v>33607144.875</v>
      </c>
      <c r="R651">
        <f t="shared" si="996"/>
        <v>-1063689520.0214899</v>
      </c>
      <c r="S651">
        <f t="shared" si="997"/>
        <v>-10636.895200214898</v>
      </c>
      <c r="T651">
        <f t="shared" si="998"/>
        <v>-10.636895200214898</v>
      </c>
    </row>
    <row r="652" spans="1:20" x14ac:dyDescent="0.25">
      <c r="A652" s="5">
        <v>43941</v>
      </c>
      <c r="B652">
        <v>2.3500000000000001E-3</v>
      </c>
      <c r="C652">
        <v>2.3900000000000002E-3</v>
      </c>
      <c r="D652">
        <v>2.16E-3</v>
      </c>
      <c r="E652">
        <v>2.1700000000000001E-3</v>
      </c>
      <c r="F652">
        <v>87380124.599999994</v>
      </c>
      <c r="G652">
        <v>0</v>
      </c>
      <c r="L652" t="s">
        <v>7</v>
      </c>
      <c r="M652" t="s">
        <v>8</v>
      </c>
      <c r="N652" t="s">
        <v>8</v>
      </c>
      <c r="P652">
        <f t="shared" si="994"/>
        <v>-0.9130434782608694</v>
      </c>
      <c r="Q652">
        <f t="shared" si="995"/>
        <v>-79781852.89565216</v>
      </c>
      <c r="R652">
        <f t="shared" si="996"/>
        <v>-1097296664.8964899</v>
      </c>
      <c r="S652">
        <f t="shared" si="997"/>
        <v>-10972.966648964899</v>
      </c>
      <c r="T652">
        <f t="shared" si="998"/>
        <v>-10.972966648964899</v>
      </c>
    </row>
    <row r="653" spans="1:20" x14ac:dyDescent="0.25">
      <c r="A653" s="5">
        <v>43940</v>
      </c>
      <c r="B653">
        <v>2.2899999999999999E-3</v>
      </c>
      <c r="C653">
        <v>2.3900000000000002E-3</v>
      </c>
      <c r="D653">
        <v>2.2100000000000002E-3</v>
      </c>
      <c r="E653">
        <v>2.3600000000000001E-3</v>
      </c>
      <c r="F653">
        <v>86946969.799999997</v>
      </c>
      <c r="G653">
        <v>0</v>
      </c>
      <c r="L653" t="s">
        <v>8</v>
      </c>
      <c r="M653" t="s">
        <v>8</v>
      </c>
      <c r="N653" t="s">
        <v>8</v>
      </c>
      <c r="P653">
        <f t="shared" si="994"/>
        <v>0.66666666666666585</v>
      </c>
      <c r="Q653">
        <f t="shared" si="995"/>
        <v>57964646.533333257</v>
      </c>
      <c r="R653">
        <f t="shared" si="996"/>
        <v>-1017514812.0008378</v>
      </c>
      <c r="S653">
        <f t="shared" si="997"/>
        <v>-10175.148120008378</v>
      </c>
      <c r="T653">
        <f t="shared" si="998"/>
        <v>-10.175148120008378</v>
      </c>
    </row>
    <row r="654" spans="1:20" x14ac:dyDescent="0.25">
      <c r="A654" s="5">
        <v>43939</v>
      </c>
      <c r="B654">
        <v>2.2100000000000002E-3</v>
      </c>
      <c r="C654">
        <v>2.33E-3</v>
      </c>
      <c r="D654">
        <v>2.2000000000000001E-3</v>
      </c>
      <c r="E654">
        <v>2.2899999999999999E-3</v>
      </c>
      <c r="F654">
        <v>51339445.200000003</v>
      </c>
      <c r="G654">
        <v>0</v>
      </c>
      <c r="L654" t="s">
        <v>8</v>
      </c>
      <c r="M654" t="s">
        <v>7</v>
      </c>
      <c r="N654" t="s">
        <v>8</v>
      </c>
      <c r="P654">
        <f t="shared" si="994"/>
        <v>0.38461538461538258</v>
      </c>
      <c r="Q654">
        <f t="shared" si="995"/>
        <v>19745940.46153836</v>
      </c>
      <c r="R654">
        <f t="shared" si="996"/>
        <v>-1075479458.5341711</v>
      </c>
      <c r="S654">
        <f t="shared" si="997"/>
        <v>-10754.794585341711</v>
      </c>
      <c r="T654">
        <f t="shared" si="998"/>
        <v>-10.754794585341712</v>
      </c>
    </row>
    <row r="655" spans="1:20" x14ac:dyDescent="0.25">
      <c r="A655" s="5">
        <v>43938</v>
      </c>
      <c r="B655">
        <v>2.2300000000000002E-3</v>
      </c>
      <c r="C655">
        <v>2.2699999999999999E-3</v>
      </c>
      <c r="D655">
        <v>2.1800000000000001E-3</v>
      </c>
      <c r="E655">
        <v>2.2100000000000002E-3</v>
      </c>
      <c r="F655">
        <v>41696625.200000003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-0.3333333333333301</v>
      </c>
      <c r="Q655">
        <f t="shared" si="995"/>
        <v>-13898875.066666532</v>
      </c>
      <c r="R655">
        <f t="shared" si="996"/>
        <v>-1095225398.9957094</v>
      </c>
      <c r="S655">
        <f t="shared" si="997"/>
        <v>-10952.253989957095</v>
      </c>
      <c r="T655">
        <f t="shared" si="998"/>
        <v>-10.952253989957095</v>
      </c>
    </row>
    <row r="656" spans="1:20" x14ac:dyDescent="0.25">
      <c r="A656" s="5">
        <v>43937</v>
      </c>
      <c r="B656">
        <v>2.0699999999999998E-3</v>
      </c>
      <c r="C656">
        <v>2.2699999999999999E-3</v>
      </c>
      <c r="D656">
        <v>2.0100000000000001E-3</v>
      </c>
      <c r="E656">
        <v>2.2300000000000002E-3</v>
      </c>
      <c r="F656">
        <v>117175926.09999999</v>
      </c>
      <c r="G656">
        <v>0</v>
      </c>
      <c r="L656" t="s">
        <v>8</v>
      </c>
      <c r="M656" t="s">
        <v>7</v>
      </c>
      <c r="N656" t="s">
        <v>8</v>
      </c>
      <c r="P656">
        <f t="shared" si="994"/>
        <v>0.69230769230769462</v>
      </c>
      <c r="Q656">
        <f t="shared" si="995"/>
        <v>81121794.992307961</v>
      </c>
      <c r="R656">
        <f t="shared" si="996"/>
        <v>-1081326523.9290428</v>
      </c>
      <c r="S656">
        <f t="shared" si="997"/>
        <v>-10813.265239290427</v>
      </c>
      <c r="T656">
        <f t="shared" si="998"/>
        <v>-10.813265239290427</v>
      </c>
    </row>
    <row r="657" spans="1:20" x14ac:dyDescent="0.25">
      <c r="A657" s="5">
        <v>43936</v>
      </c>
      <c r="B657">
        <v>2.14E-3</v>
      </c>
      <c r="C657">
        <v>2.1700000000000001E-3</v>
      </c>
      <c r="D657">
        <v>2.0200000000000001E-3</v>
      </c>
      <c r="E657">
        <v>2.0899999999999998E-3</v>
      </c>
      <c r="F657">
        <v>54779562.799999997</v>
      </c>
      <c r="G657">
        <v>0</v>
      </c>
      <c r="L657" t="s">
        <v>7</v>
      </c>
      <c r="M657" t="s">
        <v>7</v>
      </c>
      <c r="N657" t="s">
        <v>8</v>
      </c>
      <c r="P657">
        <f t="shared" si="994"/>
        <v>-6.6666666666669747E-2</v>
      </c>
      <c r="Q657">
        <f t="shared" si="995"/>
        <v>-3651970.8533335021</v>
      </c>
      <c r="R657">
        <f t="shared" si="996"/>
        <v>-1162448318.9213507</v>
      </c>
      <c r="S657">
        <f t="shared" si="997"/>
        <v>-11624.483189213508</v>
      </c>
      <c r="T657">
        <f t="shared" si="998"/>
        <v>-11.624483189213509</v>
      </c>
    </row>
    <row r="658" spans="1:20" x14ac:dyDescent="0.25">
      <c r="A658" s="5">
        <v>43935</v>
      </c>
      <c r="B658">
        <v>2.16E-3</v>
      </c>
      <c r="C658">
        <v>2.2000000000000001E-3</v>
      </c>
      <c r="D658">
        <v>2.0600000000000002E-3</v>
      </c>
      <c r="E658">
        <v>2.14E-3</v>
      </c>
      <c r="F658">
        <v>80368828.400000006</v>
      </c>
      <c r="G658">
        <v>0</v>
      </c>
      <c r="L658" t="s">
        <v>7</v>
      </c>
      <c r="M658" t="s">
        <v>7</v>
      </c>
      <c r="N658" t="s">
        <v>8</v>
      </c>
      <c r="P658">
        <f t="shared" si="994"/>
        <v>0.14285714285714021</v>
      </c>
      <c r="Q658">
        <f t="shared" si="995"/>
        <v>11481261.199999789</v>
      </c>
      <c r="R658">
        <f t="shared" si="996"/>
        <v>-1158796348.0680172</v>
      </c>
      <c r="S658">
        <f t="shared" si="997"/>
        <v>-11587.963480680173</v>
      </c>
      <c r="T658">
        <f t="shared" si="998"/>
        <v>-11.587963480680173</v>
      </c>
    </row>
    <row r="659" spans="1:20" x14ac:dyDescent="0.25">
      <c r="A659" s="5">
        <v>43934</v>
      </c>
      <c r="B659">
        <v>2.2399999999999998E-3</v>
      </c>
      <c r="C659">
        <v>2.2399999999999998E-3</v>
      </c>
      <c r="D659">
        <v>2.0600000000000002E-3</v>
      </c>
      <c r="E659">
        <v>2.14E-3</v>
      </c>
      <c r="F659">
        <v>84380460.5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-0.11111111111111165</v>
      </c>
      <c r="Q659">
        <f t="shared" si="995"/>
        <v>-9375606.7222222667</v>
      </c>
      <c r="R659">
        <f t="shared" si="996"/>
        <v>-1170277609.2680171</v>
      </c>
      <c r="S659">
        <f t="shared" si="997"/>
        <v>-11702.776092680171</v>
      </c>
      <c r="T659">
        <f t="shared" si="998"/>
        <v>-11.702776092680171</v>
      </c>
    </row>
    <row r="660" spans="1:20" x14ac:dyDescent="0.25">
      <c r="A660" s="5">
        <v>43933</v>
      </c>
      <c r="B660">
        <v>2.2499999999999998E-3</v>
      </c>
      <c r="C660">
        <v>2.3400000000000001E-3</v>
      </c>
      <c r="D660">
        <v>2.2100000000000002E-3</v>
      </c>
      <c r="E660">
        <v>2.2399999999999998E-3</v>
      </c>
      <c r="F660">
        <v>31004633</v>
      </c>
      <c r="G660">
        <v>0</v>
      </c>
      <c r="L660" t="s">
        <v>8</v>
      </c>
      <c r="M660" t="s">
        <v>7</v>
      </c>
      <c r="N660" t="s">
        <v>8</v>
      </c>
      <c r="P660">
        <f t="shared" si="994"/>
        <v>-0.53846153846154354</v>
      </c>
      <c r="Q660">
        <f t="shared" si="995"/>
        <v>-16694802.384615542</v>
      </c>
      <c r="R660">
        <f t="shared" si="996"/>
        <v>-1160902002.5457947</v>
      </c>
      <c r="S660">
        <f t="shared" si="997"/>
        <v>-11609.020025457947</v>
      </c>
      <c r="T660">
        <f t="shared" si="998"/>
        <v>-11.609020025457946</v>
      </c>
    </row>
    <row r="661" spans="1:20" x14ac:dyDescent="0.25">
      <c r="A661" s="5">
        <v>43932</v>
      </c>
      <c r="B661">
        <v>2.2399999999999998E-3</v>
      </c>
      <c r="C661">
        <v>2.31E-3</v>
      </c>
      <c r="D661">
        <v>2.1800000000000001E-3</v>
      </c>
      <c r="E661">
        <v>2.2499999999999998E-3</v>
      </c>
      <c r="F661">
        <v>36998204.700000003</v>
      </c>
      <c r="G661">
        <v>0</v>
      </c>
      <c r="L661" t="s">
        <v>8</v>
      </c>
      <c r="M661" t="s">
        <v>7</v>
      </c>
      <c r="N661" t="s">
        <v>8</v>
      </c>
      <c r="P661">
        <f t="shared" si="994"/>
        <v>7.6923076923073846E-2</v>
      </c>
      <c r="Q661">
        <f t="shared" si="995"/>
        <v>2846015.7461537328</v>
      </c>
      <c r="R661">
        <f t="shared" si="996"/>
        <v>-1144207200.1611791</v>
      </c>
      <c r="S661">
        <f t="shared" si="997"/>
        <v>-11442.07200161179</v>
      </c>
      <c r="T661">
        <f t="shared" si="998"/>
        <v>-11.442072001611789</v>
      </c>
    </row>
    <row r="662" spans="1:20" x14ac:dyDescent="0.25">
      <c r="A662" s="5">
        <v>43931</v>
      </c>
      <c r="B662">
        <v>2.5000000000000001E-3</v>
      </c>
      <c r="C662">
        <v>2.5000000000000001E-3</v>
      </c>
      <c r="D662">
        <v>2.1299999999999999E-3</v>
      </c>
      <c r="E662">
        <v>2.2399999999999998E-3</v>
      </c>
      <c r="F662">
        <v>124660200.2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-0.40540540540540637</v>
      </c>
      <c r="Q662">
        <f t="shared" si="995"/>
        <v>-50537919.000000119</v>
      </c>
      <c r="R662">
        <f t="shared" si="996"/>
        <v>-1147053215.9073329</v>
      </c>
      <c r="S662">
        <f t="shared" si="997"/>
        <v>-11470.532159073329</v>
      </c>
      <c r="T662">
        <f t="shared" si="998"/>
        <v>-11.470532159073329</v>
      </c>
    </row>
    <row r="663" spans="1:20" x14ac:dyDescent="0.25">
      <c r="A663" s="5">
        <v>43930</v>
      </c>
      <c r="B663">
        <v>2.4599999999999999E-3</v>
      </c>
      <c r="C663">
        <v>2.5000000000000001E-3</v>
      </c>
      <c r="D663">
        <v>2.3500000000000001E-3</v>
      </c>
      <c r="E663">
        <v>2.48E-3</v>
      </c>
      <c r="F663">
        <v>83898647</v>
      </c>
      <c r="G663">
        <v>0</v>
      </c>
      <c r="L663" t="s">
        <v>7</v>
      </c>
      <c r="M663" t="s">
        <v>8</v>
      </c>
      <c r="N663" t="s">
        <v>8</v>
      </c>
      <c r="P663">
        <f t="shared" si="994"/>
        <v>0.73333333333333262</v>
      </c>
      <c r="Q663">
        <f t="shared" si="995"/>
        <v>61525674.466666609</v>
      </c>
      <c r="R663">
        <f t="shared" si="996"/>
        <v>-1096515296.9073327</v>
      </c>
      <c r="S663">
        <f t="shared" si="997"/>
        <v>-10965.152969073326</v>
      </c>
      <c r="T663">
        <f t="shared" si="998"/>
        <v>-10.965152969073326</v>
      </c>
    </row>
    <row r="664" spans="1:20" x14ac:dyDescent="0.25">
      <c r="A664" s="5">
        <v>43929</v>
      </c>
      <c r="B664">
        <v>2.4199999999999998E-3</v>
      </c>
      <c r="C664">
        <v>2.5699999999999998E-3</v>
      </c>
      <c r="D664">
        <v>2.3700000000000001E-3</v>
      </c>
      <c r="E664">
        <v>2.4599999999999999E-3</v>
      </c>
      <c r="F664">
        <v>82723919.900000006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-0.10000000000000044</v>
      </c>
      <c r="Q664">
        <f t="shared" si="995"/>
        <v>-8272391.9900000365</v>
      </c>
      <c r="R664">
        <f t="shared" si="996"/>
        <v>-1158040971.3739994</v>
      </c>
      <c r="S664">
        <f t="shared" si="997"/>
        <v>-11580.409713739993</v>
      </c>
      <c r="T664">
        <f t="shared" si="998"/>
        <v>-11.580409713739993</v>
      </c>
    </row>
    <row r="665" spans="1:20" x14ac:dyDescent="0.25">
      <c r="A665" s="5">
        <v>43928</v>
      </c>
      <c r="B665">
        <v>2.5000000000000001E-3</v>
      </c>
      <c r="C665">
        <v>2.5799999999999998E-3</v>
      </c>
      <c r="D665">
        <v>2.3500000000000001E-3</v>
      </c>
      <c r="E665">
        <v>2.4199999999999998E-3</v>
      </c>
      <c r="F665">
        <v>107135712.3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-0.39130434782608842</v>
      </c>
      <c r="Q665">
        <f t="shared" si="995"/>
        <v>-41922670.030434936</v>
      </c>
      <c r="R665">
        <f t="shared" si="996"/>
        <v>-1149768579.3839993</v>
      </c>
      <c r="S665">
        <f t="shared" si="997"/>
        <v>-11497.685793839993</v>
      </c>
      <c r="T665">
        <f t="shared" si="998"/>
        <v>-11.497685793839993</v>
      </c>
    </row>
    <row r="666" spans="1:20" x14ac:dyDescent="0.25">
      <c r="A666" s="5">
        <v>43927</v>
      </c>
      <c r="B666">
        <v>2.3400000000000001E-3</v>
      </c>
      <c r="C666">
        <v>2.5300000000000001E-3</v>
      </c>
      <c r="D666">
        <v>2.3E-3</v>
      </c>
      <c r="E666">
        <v>2.5000000000000001E-3</v>
      </c>
      <c r="F666">
        <v>137853616.5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0.7391304347826082</v>
      </c>
      <c r="Q666">
        <f t="shared" si="995"/>
        <v>101891803.49999993</v>
      </c>
      <c r="R666">
        <f t="shared" si="996"/>
        <v>-1107845909.3535645</v>
      </c>
      <c r="S666">
        <f t="shared" si="997"/>
        <v>-11078.459093535645</v>
      </c>
      <c r="T666">
        <f t="shared" si="998"/>
        <v>-11.078459093535644</v>
      </c>
    </row>
    <row r="667" spans="1:20" x14ac:dyDescent="0.25">
      <c r="A667" s="5">
        <v>43926</v>
      </c>
      <c r="B667">
        <v>2.3600000000000001E-3</v>
      </c>
      <c r="C667">
        <v>2.4099999999999998E-3</v>
      </c>
      <c r="D667">
        <v>2.32E-3</v>
      </c>
      <c r="E667">
        <v>2.3500000000000001E-3</v>
      </c>
      <c r="F667">
        <v>37857412.299999997</v>
      </c>
      <c r="G667">
        <v>0</v>
      </c>
      <c r="L667" t="s">
        <v>7</v>
      </c>
      <c r="M667" t="s">
        <v>8</v>
      </c>
      <c r="N667" t="s">
        <v>8</v>
      </c>
      <c r="P667">
        <f t="shared" si="994"/>
        <v>-0.3333333333333301</v>
      </c>
      <c r="Q667">
        <f t="shared" si="995"/>
        <v>-12619137.433333211</v>
      </c>
      <c r="R667">
        <f t="shared" si="996"/>
        <v>-1209737712.8535645</v>
      </c>
      <c r="S667">
        <f t="shared" si="997"/>
        <v>-12097.377128535645</v>
      </c>
      <c r="T667">
        <f t="shared" si="998"/>
        <v>-12.097377128535646</v>
      </c>
    </row>
    <row r="668" spans="1:20" x14ac:dyDescent="0.25">
      <c r="A668" s="5">
        <v>43925</v>
      </c>
      <c r="B668">
        <v>2.48E-3</v>
      </c>
      <c r="C668">
        <v>2.5100000000000001E-3</v>
      </c>
      <c r="D668">
        <v>2.2699999999999999E-3</v>
      </c>
      <c r="E668">
        <v>2.3700000000000001E-3</v>
      </c>
      <c r="F668">
        <v>146357171.69999999</v>
      </c>
      <c r="G668">
        <v>0</v>
      </c>
      <c r="L668" t="s">
        <v>7</v>
      </c>
      <c r="M668" t="s">
        <v>8</v>
      </c>
      <c r="N668" t="s">
        <v>8</v>
      </c>
      <c r="P668">
        <f t="shared" si="994"/>
        <v>-0.16666666666666516</v>
      </c>
      <c r="Q668">
        <f t="shared" si="995"/>
        <v>-24392861.949999776</v>
      </c>
      <c r="R668">
        <f t="shared" si="996"/>
        <v>-1197118575.4202313</v>
      </c>
      <c r="S668">
        <f t="shared" si="997"/>
        <v>-11971.185754202314</v>
      </c>
      <c r="T668">
        <f t="shared" si="998"/>
        <v>-11.971185754202313</v>
      </c>
    </row>
    <row r="669" spans="1:20" x14ac:dyDescent="0.25">
      <c r="A669" s="5">
        <v>43924</v>
      </c>
      <c r="B669">
        <v>2.32E-3</v>
      </c>
      <c r="C669">
        <v>2.5600000000000002E-3</v>
      </c>
      <c r="D669">
        <v>2.2899999999999999E-3</v>
      </c>
      <c r="E669">
        <v>2.4599999999999999E-3</v>
      </c>
      <c r="F669">
        <v>233353537</v>
      </c>
      <c r="G669">
        <v>0</v>
      </c>
      <c r="L669" t="s">
        <v>8</v>
      </c>
      <c r="M669" t="s">
        <v>8</v>
      </c>
      <c r="N669" t="s">
        <v>8</v>
      </c>
      <c r="P669">
        <f t="shared" si="994"/>
        <v>0.25925925925925808</v>
      </c>
      <c r="Q669">
        <f t="shared" si="995"/>
        <v>60499065.148147874</v>
      </c>
      <c r="R669">
        <f t="shared" si="996"/>
        <v>-1172725713.4702315</v>
      </c>
      <c r="S669">
        <f t="shared" si="997"/>
        <v>-11727.257134702315</v>
      </c>
      <c r="T669">
        <f t="shared" si="998"/>
        <v>-11.727257134702315</v>
      </c>
    </row>
    <row r="670" spans="1:20" x14ac:dyDescent="0.25">
      <c r="A670" s="5">
        <v>43923</v>
      </c>
      <c r="B670">
        <v>2.2100000000000002E-3</v>
      </c>
      <c r="C670">
        <v>2.4499999999999999E-3</v>
      </c>
      <c r="D670">
        <v>2.16E-3</v>
      </c>
      <c r="E670">
        <v>2.32E-3</v>
      </c>
      <c r="F670">
        <v>158989727</v>
      </c>
      <c r="G670">
        <v>0</v>
      </c>
      <c r="L670" t="s">
        <v>8</v>
      </c>
      <c r="M670" t="s">
        <v>8</v>
      </c>
      <c r="N670" t="s">
        <v>7</v>
      </c>
      <c r="P670">
        <f t="shared" si="994"/>
        <v>0.10344827586206927</v>
      </c>
      <c r="Q670">
        <f t="shared" si="995"/>
        <v>16447213.137931082</v>
      </c>
      <c r="R670">
        <f t="shared" si="996"/>
        <v>-1233224778.6183794</v>
      </c>
      <c r="S670">
        <f t="shared" si="997"/>
        <v>-12332.247786183794</v>
      </c>
      <c r="T670">
        <f t="shared" si="998"/>
        <v>-12.332247786183794</v>
      </c>
    </row>
    <row r="671" spans="1:20" x14ac:dyDescent="0.25">
      <c r="A671" s="5">
        <v>43922</v>
      </c>
      <c r="B671">
        <v>2.15E-3</v>
      </c>
      <c r="C671">
        <v>2.2200000000000002E-3</v>
      </c>
      <c r="D671">
        <v>2.0699999999999998E-3</v>
      </c>
      <c r="E671">
        <v>2.2000000000000001E-3</v>
      </c>
      <c r="F671">
        <v>73626966.700000003</v>
      </c>
      <c r="G671">
        <v>0</v>
      </c>
      <c r="L671" t="s">
        <v>7</v>
      </c>
      <c r="M671" t="s">
        <v>7</v>
      </c>
      <c r="N671" t="s">
        <v>7</v>
      </c>
      <c r="P671">
        <f t="shared" si="994"/>
        <v>0.73333333333333328</v>
      </c>
      <c r="Q671">
        <f t="shared" si="995"/>
        <v>53993108.913333334</v>
      </c>
      <c r="R671">
        <f t="shared" si="996"/>
        <v>-1249671991.7563105</v>
      </c>
      <c r="S671">
        <f t="shared" si="997"/>
        <v>-12496.719917563105</v>
      </c>
      <c r="T671">
        <f t="shared" si="998"/>
        <v>-12.496719917563105</v>
      </c>
    </row>
    <row r="672" spans="1:20" x14ac:dyDescent="0.25">
      <c r="A672" s="5">
        <v>43921</v>
      </c>
      <c r="B672">
        <v>2.14E-3</v>
      </c>
      <c r="C672">
        <v>2.2399999999999998E-3</v>
      </c>
      <c r="D672">
        <v>2.0999999999999999E-3</v>
      </c>
      <c r="E672">
        <v>2.15E-3</v>
      </c>
      <c r="F672">
        <v>51367038</v>
      </c>
      <c r="G672">
        <v>0</v>
      </c>
      <c r="L672" t="s">
        <v>8</v>
      </c>
      <c r="M672" t="s">
        <v>7</v>
      </c>
      <c r="N672" t="s">
        <v>7</v>
      </c>
      <c r="P672">
        <f t="shared" si="994"/>
        <v>-0.28571428571428348</v>
      </c>
      <c r="Q672">
        <f t="shared" si="995"/>
        <v>-14676296.571428457</v>
      </c>
      <c r="R672">
        <f t="shared" si="996"/>
        <v>-1303665100.6696439</v>
      </c>
      <c r="S672">
        <f t="shared" si="997"/>
        <v>-13036.651006696438</v>
      </c>
      <c r="T672">
        <f t="shared" si="998"/>
        <v>-13.036651006696438</v>
      </c>
    </row>
    <row r="673" spans="1:20" x14ac:dyDescent="0.25">
      <c r="A673" s="5">
        <v>43920</v>
      </c>
      <c r="B673">
        <v>1.99E-3</v>
      </c>
      <c r="C673">
        <v>2.2399999999999998E-3</v>
      </c>
      <c r="D673">
        <v>1.98E-3</v>
      </c>
      <c r="E673">
        <v>2.15E-3</v>
      </c>
      <c r="F673">
        <v>62459805.200000003</v>
      </c>
      <c r="G673">
        <v>0</v>
      </c>
      <c r="L673" t="s">
        <v>8</v>
      </c>
      <c r="M673" t="s">
        <v>7</v>
      </c>
      <c r="N673" t="s">
        <v>7</v>
      </c>
      <c r="P673">
        <f t="shared" si="994"/>
        <v>0.30769230769230871</v>
      </c>
      <c r="Q673">
        <f t="shared" si="995"/>
        <v>19218401.600000065</v>
      </c>
      <c r="R673">
        <f t="shared" si="996"/>
        <v>-1288988804.0982153</v>
      </c>
      <c r="S673">
        <f t="shared" si="997"/>
        <v>-12889.888040982154</v>
      </c>
      <c r="T673">
        <f t="shared" si="998"/>
        <v>-12.889888040982154</v>
      </c>
    </row>
    <row r="674" spans="1:20" x14ac:dyDescent="0.25">
      <c r="A674" s="5">
        <v>43919</v>
      </c>
      <c r="B674">
        <v>2.14E-3</v>
      </c>
      <c r="C674">
        <v>2.1800000000000001E-3</v>
      </c>
      <c r="D674">
        <v>1.9499999999999999E-3</v>
      </c>
      <c r="E674">
        <v>1.99E-3</v>
      </c>
      <c r="F674">
        <v>51175657.700000003</v>
      </c>
      <c r="G674">
        <v>0</v>
      </c>
      <c r="L674" t="s">
        <v>8</v>
      </c>
      <c r="M674" t="s">
        <v>7</v>
      </c>
      <c r="N674" t="s">
        <v>7</v>
      </c>
      <c r="P674">
        <f t="shared" si="994"/>
        <v>-0.6521739130434776</v>
      </c>
      <c r="Q674">
        <f t="shared" si="995"/>
        <v>-33375428.934782576</v>
      </c>
      <c r="R674">
        <f t="shared" si="996"/>
        <v>-1308207205.6982155</v>
      </c>
      <c r="S674">
        <f t="shared" si="997"/>
        <v>-13082.072056982155</v>
      </c>
      <c r="T674">
        <f t="shared" si="998"/>
        <v>-13.082072056982154</v>
      </c>
    </row>
    <row r="675" spans="1:20" x14ac:dyDescent="0.25">
      <c r="A675" s="5">
        <v>43918</v>
      </c>
      <c r="B675">
        <v>2.0799999999999998E-3</v>
      </c>
      <c r="C675">
        <v>2.1800000000000001E-3</v>
      </c>
      <c r="D675">
        <v>1.9499999999999999E-3</v>
      </c>
      <c r="E675">
        <v>2.1299999999999999E-3</v>
      </c>
      <c r="F675">
        <v>85847562</v>
      </c>
      <c r="G675">
        <v>0</v>
      </c>
      <c r="L675" t="s">
        <v>7</v>
      </c>
      <c r="M675" t="s">
        <v>7</v>
      </c>
      <c r="N675" t="s">
        <v>7</v>
      </c>
      <c r="P675">
        <f t="shared" si="994"/>
        <v>0.56521739130434701</v>
      </c>
      <c r="Q675">
        <f t="shared" si="995"/>
        <v>48522535.043478191</v>
      </c>
      <c r="R675">
        <f t="shared" si="996"/>
        <v>-1274831776.763433</v>
      </c>
      <c r="S675">
        <f t="shared" si="997"/>
        <v>-12748.317767634329</v>
      </c>
      <c r="T675">
        <f t="shared" si="998"/>
        <v>-12.74831776763433</v>
      </c>
    </row>
    <row r="676" spans="1:20" x14ac:dyDescent="0.25">
      <c r="A676" s="5">
        <v>43917</v>
      </c>
      <c r="B676">
        <v>2.2000000000000001E-3</v>
      </c>
      <c r="C676">
        <v>2.3400000000000001E-3</v>
      </c>
      <c r="D676">
        <v>2.0500000000000002E-3</v>
      </c>
      <c r="E676">
        <v>2.1099999999999999E-3</v>
      </c>
      <c r="F676">
        <v>143235315</v>
      </c>
      <c r="G676">
        <v>0</v>
      </c>
      <c r="L676" t="s">
        <v>8</v>
      </c>
      <c r="M676" t="s">
        <v>8</v>
      </c>
      <c r="N676" t="s">
        <v>7</v>
      </c>
      <c r="P676">
        <f t="shared" si="994"/>
        <v>-0.58620689655172586</v>
      </c>
      <c r="Q676">
        <f t="shared" si="995"/>
        <v>-83965529.482758865</v>
      </c>
      <c r="R676">
        <f t="shared" si="996"/>
        <v>-1323354311.8069112</v>
      </c>
      <c r="S676">
        <f t="shared" si="997"/>
        <v>-13233.543118069112</v>
      </c>
      <c r="T676">
        <f t="shared" si="998"/>
        <v>-13.233543118069113</v>
      </c>
    </row>
    <row r="677" spans="1:20" x14ac:dyDescent="0.25">
      <c r="A677" s="5">
        <v>43916</v>
      </c>
      <c r="B677">
        <v>2.2699999999999999E-3</v>
      </c>
      <c r="C677">
        <v>2.4199999999999998E-3</v>
      </c>
      <c r="D677">
        <v>2.0699999999999998E-3</v>
      </c>
      <c r="E677">
        <v>2.2000000000000001E-3</v>
      </c>
      <c r="F677">
        <v>99453776.299999997</v>
      </c>
      <c r="G677">
        <v>0</v>
      </c>
      <c r="L677" t="s">
        <v>7</v>
      </c>
      <c r="M677" t="s">
        <v>8</v>
      </c>
      <c r="N677" t="s">
        <v>7</v>
      </c>
      <c r="P677">
        <f t="shared" si="994"/>
        <v>-0.25714285714285529</v>
      </c>
      <c r="Q677">
        <f t="shared" si="995"/>
        <v>-25573828.191428386</v>
      </c>
      <c r="R677">
        <f t="shared" si="996"/>
        <v>-1239388782.3241525</v>
      </c>
      <c r="S677">
        <f t="shared" si="997"/>
        <v>-12393.887823241525</v>
      </c>
      <c r="T677">
        <f t="shared" si="998"/>
        <v>-12.393887823241524</v>
      </c>
    </row>
    <row r="678" spans="1:20" x14ac:dyDescent="0.25">
      <c r="A678" s="5">
        <v>43915</v>
      </c>
      <c r="B678">
        <v>2.1800000000000001E-3</v>
      </c>
      <c r="C678">
        <v>2.2799999999999999E-3</v>
      </c>
      <c r="D678">
        <v>2.0899999999999998E-3</v>
      </c>
      <c r="E678">
        <v>2.2300000000000002E-3</v>
      </c>
      <c r="F678">
        <v>53288512.399999999</v>
      </c>
      <c r="G678">
        <v>0</v>
      </c>
      <c r="L678" t="s">
        <v>7</v>
      </c>
      <c r="M678" t="s">
        <v>8</v>
      </c>
      <c r="N678" t="s">
        <v>7</v>
      </c>
      <c r="P678">
        <f t="shared" si="994"/>
        <v>0.47368421052631915</v>
      </c>
      <c r="Q678">
        <f t="shared" si="995"/>
        <v>25241926.926315967</v>
      </c>
      <c r="R678">
        <f t="shared" si="996"/>
        <v>-1213814954.132724</v>
      </c>
      <c r="S678">
        <f t="shared" si="997"/>
        <v>-12138.149541327241</v>
      </c>
      <c r="T678">
        <f t="shared" si="998"/>
        <v>-12.138149541327241</v>
      </c>
    </row>
    <row r="679" spans="1:20" x14ac:dyDescent="0.25">
      <c r="A679" s="5">
        <v>43914</v>
      </c>
      <c r="B679">
        <v>2.1299999999999999E-3</v>
      </c>
      <c r="C679">
        <v>2.2499999999999998E-3</v>
      </c>
      <c r="D679">
        <v>2.0500000000000002E-3</v>
      </c>
      <c r="E679">
        <v>2.1900000000000001E-3</v>
      </c>
      <c r="F679">
        <v>66532276.100000001</v>
      </c>
      <c r="G679">
        <v>0</v>
      </c>
      <c r="L679" t="s">
        <v>8</v>
      </c>
      <c r="M679" t="s">
        <v>8</v>
      </c>
      <c r="N679" t="s">
        <v>7</v>
      </c>
      <c r="P679">
        <f t="shared" si="994"/>
        <v>0.40000000000000174</v>
      </c>
      <c r="Q679">
        <f t="shared" si="995"/>
        <v>26612910.440000117</v>
      </c>
      <c r="R679">
        <f t="shared" si="996"/>
        <v>-1239056881.0590401</v>
      </c>
      <c r="S679">
        <f t="shared" si="997"/>
        <v>-12390.568810590401</v>
      </c>
      <c r="T679">
        <f t="shared" si="998"/>
        <v>-12.3905688105904</v>
      </c>
    </row>
    <row r="680" spans="1:20" x14ac:dyDescent="0.25">
      <c r="A680" s="5">
        <v>43913</v>
      </c>
      <c r="B680">
        <v>1.9400000000000001E-3</v>
      </c>
      <c r="C680">
        <v>2.1700000000000001E-3</v>
      </c>
      <c r="D680">
        <v>1.83E-3</v>
      </c>
      <c r="E680">
        <v>2.1199999999999999E-3</v>
      </c>
      <c r="F680">
        <v>69623304.299999997</v>
      </c>
      <c r="G680">
        <v>0</v>
      </c>
      <c r="L680" t="s">
        <v>7</v>
      </c>
      <c r="M680" t="s">
        <v>7</v>
      </c>
      <c r="N680" t="s">
        <v>7</v>
      </c>
      <c r="P680">
        <f t="shared" si="994"/>
        <v>0.70588235294117574</v>
      </c>
      <c r="Q680">
        <f t="shared" si="995"/>
        <v>49145861.858823478</v>
      </c>
      <c r="R680">
        <f t="shared" si="996"/>
        <v>-1265669791.4990401</v>
      </c>
      <c r="S680">
        <f t="shared" si="997"/>
        <v>-12656.697914990402</v>
      </c>
      <c r="T680">
        <f t="shared" si="998"/>
        <v>-12.656697914990401</v>
      </c>
    </row>
    <row r="681" spans="1:20" x14ac:dyDescent="0.25">
      <c r="A681" s="5">
        <v>43912</v>
      </c>
      <c r="B681">
        <v>2.2000000000000001E-3</v>
      </c>
      <c r="C681">
        <v>2.2699999999999999E-3</v>
      </c>
      <c r="D681">
        <v>1.91E-3</v>
      </c>
      <c r="E681">
        <v>1.9400000000000001E-3</v>
      </c>
      <c r="F681">
        <v>87683652.900000006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-0.83333333333333282</v>
      </c>
      <c r="Q681">
        <f t="shared" si="995"/>
        <v>-73069710.749999955</v>
      </c>
      <c r="R681">
        <f t="shared" si="996"/>
        <v>-1314815653.3578637</v>
      </c>
      <c r="S681">
        <f t="shared" si="997"/>
        <v>-13148.156533578636</v>
      </c>
      <c r="T681">
        <f t="shared" si="998"/>
        <v>-13.148156533578636</v>
      </c>
    </row>
    <row r="682" spans="1:20" x14ac:dyDescent="0.25">
      <c r="A682" s="5">
        <v>43911</v>
      </c>
      <c r="B682">
        <v>2.2200000000000002E-3</v>
      </c>
      <c r="C682">
        <v>2.3700000000000001E-3</v>
      </c>
      <c r="D682">
        <v>2.0200000000000001E-3</v>
      </c>
      <c r="E682">
        <v>2.2200000000000002E-3</v>
      </c>
      <c r="F682">
        <v>80992170.400000006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0.14285714285714321</v>
      </c>
      <c r="Q682">
        <f t="shared" si="995"/>
        <v>11570310.057142887</v>
      </c>
      <c r="R682">
        <f t="shared" si="996"/>
        <v>-1241745942.6078637</v>
      </c>
      <c r="S682">
        <f t="shared" si="997"/>
        <v>-12417.459426078636</v>
      </c>
      <c r="T682">
        <f t="shared" si="998"/>
        <v>-12.417459426078636</v>
      </c>
    </row>
    <row r="683" spans="1:20" x14ac:dyDescent="0.25">
      <c r="A683" s="5">
        <v>43910</v>
      </c>
      <c r="B683">
        <v>2.4399999999999999E-3</v>
      </c>
      <c r="C683">
        <v>2.65E-3</v>
      </c>
      <c r="D683">
        <v>2.0600000000000002E-3</v>
      </c>
      <c r="E683">
        <v>2.2699999999999999E-3</v>
      </c>
      <c r="F683">
        <v>119976432.2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-0.28813559322033983</v>
      </c>
      <c r="Q683">
        <f t="shared" si="995"/>
        <v>-34569480.464406885</v>
      </c>
      <c r="R683">
        <f t="shared" si="996"/>
        <v>-1253316252.6650066</v>
      </c>
      <c r="S683">
        <f t="shared" si="997"/>
        <v>-12533.162526650067</v>
      </c>
      <c r="T683">
        <f t="shared" si="998"/>
        <v>-12.533162526650067</v>
      </c>
    </row>
    <row r="684" spans="1:20" x14ac:dyDescent="0.25">
      <c r="A684" s="5">
        <v>43909</v>
      </c>
      <c r="B684">
        <v>1.9599999999999999E-3</v>
      </c>
      <c r="C684">
        <v>2.5400000000000002E-3</v>
      </c>
      <c r="D684">
        <v>1.92E-3</v>
      </c>
      <c r="E684">
        <v>2.3999999999999998E-3</v>
      </c>
      <c r="F684">
        <v>237235174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0.5483870967741924</v>
      </c>
      <c r="Q684">
        <f t="shared" si="995"/>
        <v>130096708.32258037</v>
      </c>
      <c r="R684">
        <f t="shared" si="996"/>
        <v>-1218746772.2005997</v>
      </c>
      <c r="S684">
        <f t="shared" si="997"/>
        <v>-12187.467722005997</v>
      </c>
      <c r="T684">
        <f t="shared" si="998"/>
        <v>-12.187467722005996</v>
      </c>
    </row>
    <row r="685" spans="1:20" x14ac:dyDescent="0.25">
      <c r="A685" s="5">
        <v>43908</v>
      </c>
      <c r="B685">
        <v>1.8500000000000001E-3</v>
      </c>
      <c r="C685">
        <v>1.97E-3</v>
      </c>
      <c r="D685">
        <v>1.6000000000000001E-3</v>
      </c>
      <c r="E685">
        <v>1.9599999999999999E-3</v>
      </c>
      <c r="F685">
        <v>102311872.7</v>
      </c>
      <c r="G685">
        <v>0</v>
      </c>
      <c r="L685" t="s">
        <v>8</v>
      </c>
      <c r="M685" t="s">
        <v>8</v>
      </c>
      <c r="N685" t="s">
        <v>8</v>
      </c>
      <c r="P685">
        <f t="shared" si="994"/>
        <v>0.94594594594594583</v>
      </c>
      <c r="Q685">
        <f t="shared" si="995"/>
        <v>96781501.202702701</v>
      </c>
      <c r="R685">
        <f t="shared" si="996"/>
        <v>-1348843480.52318</v>
      </c>
      <c r="S685">
        <f t="shared" si="997"/>
        <v>-13488.4348052318</v>
      </c>
      <c r="T685">
        <f t="shared" si="998"/>
        <v>-13.488434805231799</v>
      </c>
    </row>
    <row r="686" spans="1:20" x14ac:dyDescent="0.25">
      <c r="A686" s="5">
        <v>43907</v>
      </c>
      <c r="B686">
        <v>1.6199999999999999E-3</v>
      </c>
      <c r="C686">
        <v>1.9300000000000001E-3</v>
      </c>
      <c r="D686">
        <v>1.56E-3</v>
      </c>
      <c r="E686">
        <v>1.8600000000000001E-3</v>
      </c>
      <c r="F686">
        <v>112257361.90000001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0.62162162162162193</v>
      </c>
      <c r="Q686">
        <f t="shared" si="995"/>
        <v>69781603.343243286</v>
      </c>
      <c r="R686">
        <f t="shared" si="996"/>
        <v>-1445624981.7258828</v>
      </c>
      <c r="S686">
        <f t="shared" si="997"/>
        <v>-14456.249817258828</v>
      </c>
      <c r="T686">
        <f t="shared" si="998"/>
        <v>-14.456249817258827</v>
      </c>
    </row>
    <row r="687" spans="1:20" x14ac:dyDescent="0.25">
      <c r="A687" s="5">
        <v>43906</v>
      </c>
      <c r="B687">
        <v>1.83E-3</v>
      </c>
      <c r="C687">
        <v>1.8699999999999999E-3</v>
      </c>
      <c r="D687">
        <v>1.34E-3</v>
      </c>
      <c r="E687">
        <v>1.6100000000000001E-3</v>
      </c>
      <c r="F687">
        <v>128121234.2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1.8867924528302351E-2</v>
      </c>
      <c r="Q687">
        <f t="shared" si="995"/>
        <v>2417381.7773585501</v>
      </c>
      <c r="R687">
        <f t="shared" si="996"/>
        <v>-1515406585.0691261</v>
      </c>
      <c r="S687">
        <f t="shared" si="997"/>
        <v>-15154.06585069126</v>
      </c>
      <c r="T687">
        <f t="shared" si="998"/>
        <v>-15.154065850691261</v>
      </c>
    </row>
    <row r="688" spans="1:20" x14ac:dyDescent="0.25">
      <c r="A688" s="5">
        <v>43905</v>
      </c>
      <c r="B688">
        <v>1.7700000000000001E-3</v>
      </c>
      <c r="C688">
        <v>2.0100000000000001E-3</v>
      </c>
      <c r="D688">
        <v>1.75E-3</v>
      </c>
      <c r="E688">
        <v>1.83E-3</v>
      </c>
      <c r="F688">
        <v>89979368</v>
      </c>
      <c r="G688">
        <v>0</v>
      </c>
      <c r="L688" t="s">
        <v>7</v>
      </c>
      <c r="M688" t="s">
        <v>7</v>
      </c>
      <c r="N688" t="s">
        <v>8</v>
      </c>
      <c r="P688">
        <f t="shared" si="994"/>
        <v>-0.38461538461538475</v>
      </c>
      <c r="Q688">
        <f t="shared" si="995"/>
        <v>-34607449.230769239</v>
      </c>
      <c r="R688">
        <f t="shared" si="996"/>
        <v>-1517823966.8464847</v>
      </c>
      <c r="S688">
        <f t="shared" si="997"/>
        <v>-15178.239668464847</v>
      </c>
      <c r="T688">
        <f t="shared" si="998"/>
        <v>-15.178239668464846</v>
      </c>
    </row>
    <row r="689" spans="1:20" x14ac:dyDescent="0.25">
      <c r="A689" s="5">
        <v>43904</v>
      </c>
      <c r="B689">
        <v>1.9499999999999999E-3</v>
      </c>
      <c r="C689">
        <v>2.1199999999999999E-3</v>
      </c>
      <c r="D689">
        <v>1.73E-3</v>
      </c>
      <c r="E689">
        <v>1.7700000000000001E-3</v>
      </c>
      <c r="F689">
        <v>89839257.099999994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-0.79487179487179427</v>
      </c>
      <c r="Q689">
        <f t="shared" si="995"/>
        <v>-71410691.541025579</v>
      </c>
      <c r="R689">
        <f t="shared" si="996"/>
        <v>-1483216517.6157155</v>
      </c>
      <c r="S689">
        <f t="shared" si="997"/>
        <v>-14832.165176157156</v>
      </c>
      <c r="T689">
        <f t="shared" si="998"/>
        <v>-14.832165176157156</v>
      </c>
    </row>
    <row r="690" spans="1:20" x14ac:dyDescent="0.25">
      <c r="A690" s="5">
        <v>43903</v>
      </c>
      <c r="B690">
        <v>1.75E-3</v>
      </c>
      <c r="C690">
        <v>2.1199999999999999E-3</v>
      </c>
      <c r="D690">
        <v>1.1800000000000001E-3</v>
      </c>
      <c r="E690">
        <v>1.9499999999999999E-3</v>
      </c>
      <c r="F690">
        <v>201525079.69999999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0.63829787234042545</v>
      </c>
      <c r="Q690">
        <f t="shared" si="995"/>
        <v>128633029.59574465</v>
      </c>
      <c r="R690">
        <f t="shared" si="996"/>
        <v>-1411805826.0746899</v>
      </c>
      <c r="S690">
        <f t="shared" si="997"/>
        <v>-14118.058260746899</v>
      </c>
      <c r="T690">
        <f t="shared" si="998"/>
        <v>-14.118058260746899</v>
      </c>
    </row>
    <row r="691" spans="1:20" x14ac:dyDescent="0.25">
      <c r="A691" s="5">
        <v>43902</v>
      </c>
      <c r="B691">
        <v>3.6900000000000001E-3</v>
      </c>
      <c r="C691">
        <v>3.7000000000000002E-3</v>
      </c>
      <c r="D691">
        <v>1.4499999999999999E-3</v>
      </c>
      <c r="E691">
        <v>1.74E-3</v>
      </c>
      <c r="F691">
        <v>260120490.19999999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-0.74222222222222201</v>
      </c>
      <c r="Q691">
        <f t="shared" si="995"/>
        <v>-193067208.28177771</v>
      </c>
      <c r="R691">
        <f t="shared" si="996"/>
        <v>-1540438855.6704345</v>
      </c>
      <c r="S691">
        <f t="shared" si="997"/>
        <v>-15404.388556704345</v>
      </c>
      <c r="T691">
        <f t="shared" si="998"/>
        <v>-15.404388556704346</v>
      </c>
    </row>
    <row r="692" spans="1:20" x14ac:dyDescent="0.25">
      <c r="A692" s="5">
        <v>43901</v>
      </c>
      <c r="B692">
        <v>3.7799999999999999E-3</v>
      </c>
      <c r="C692">
        <v>4.0000000000000001E-3</v>
      </c>
      <c r="D692">
        <v>3.4199999999999999E-3</v>
      </c>
      <c r="E692">
        <v>3.6800000000000001E-3</v>
      </c>
      <c r="F692">
        <v>107146556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-0.10344827586206845</v>
      </c>
      <c r="Q692">
        <f t="shared" si="995"/>
        <v>-11084126.482758565</v>
      </c>
      <c r="R692">
        <f t="shared" si="996"/>
        <v>-1347371647.3886569</v>
      </c>
      <c r="S692">
        <f t="shared" si="997"/>
        <v>-13473.716473886569</v>
      </c>
      <c r="T692">
        <f t="shared" si="998"/>
        <v>-13.473716473886569</v>
      </c>
    </row>
    <row r="693" spans="1:20" x14ac:dyDescent="0.25">
      <c r="A693" s="5">
        <v>43900</v>
      </c>
      <c r="B693">
        <v>3.8899999999999998E-3</v>
      </c>
      <c r="C693">
        <v>4.0400000000000002E-3</v>
      </c>
      <c r="D693">
        <v>3.7000000000000002E-3</v>
      </c>
      <c r="E693">
        <v>3.79E-3</v>
      </c>
      <c r="F693">
        <v>69074036.5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-0.47058823529411886</v>
      </c>
      <c r="Q693">
        <f t="shared" si="995"/>
        <v>-32505428.941176556</v>
      </c>
      <c r="R693">
        <f t="shared" si="996"/>
        <v>-1336287520.9058983</v>
      </c>
      <c r="S693">
        <f t="shared" si="997"/>
        <v>-13362.875209058984</v>
      </c>
      <c r="T693">
        <f t="shared" si="998"/>
        <v>-13.362875209058984</v>
      </c>
    </row>
    <row r="694" spans="1:20" x14ac:dyDescent="0.25">
      <c r="A694" s="5">
        <v>43899</v>
      </c>
      <c r="B694">
        <v>4.0299999999999997E-3</v>
      </c>
      <c r="C694">
        <v>4.4000000000000003E-3</v>
      </c>
      <c r="D694">
        <v>3.5200000000000001E-3</v>
      </c>
      <c r="E694">
        <v>3.8899999999999998E-3</v>
      </c>
      <c r="F694">
        <v>202539820.59999999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-0.15909090909090998</v>
      </c>
      <c r="Q694">
        <f t="shared" si="995"/>
        <v>-32222244.186363816</v>
      </c>
      <c r="R694">
        <f t="shared" si="996"/>
        <v>-1303782091.9647217</v>
      </c>
      <c r="S694">
        <f t="shared" si="997"/>
        <v>-13037.820919647216</v>
      </c>
      <c r="T694">
        <f t="shared" si="998"/>
        <v>-13.037820919647217</v>
      </c>
    </row>
    <row r="695" spans="1:20" x14ac:dyDescent="0.25">
      <c r="A695" s="5">
        <v>43898</v>
      </c>
      <c r="B695">
        <v>4.7699999999999999E-3</v>
      </c>
      <c r="C695">
        <v>4.7699999999999999E-3</v>
      </c>
      <c r="D695">
        <v>4.0000000000000001E-3</v>
      </c>
      <c r="E695">
        <v>4.0099999999999997E-3</v>
      </c>
      <c r="F695">
        <v>136591720.69999999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-0.97402597402597513</v>
      </c>
      <c r="Q695">
        <f t="shared" si="995"/>
        <v>-133043883.79870144</v>
      </c>
      <c r="R695">
        <f t="shared" si="996"/>
        <v>-1271559847.778358</v>
      </c>
      <c r="S695">
        <f t="shared" si="997"/>
        <v>-12715.59847778358</v>
      </c>
      <c r="T695">
        <f t="shared" si="998"/>
        <v>-12.71559847778358</v>
      </c>
    </row>
    <row r="696" spans="1:20" x14ac:dyDescent="0.25">
      <c r="A696" s="5">
        <v>43897</v>
      </c>
      <c r="B696">
        <v>5.13E-3</v>
      </c>
      <c r="C696">
        <v>5.3800000000000002E-3</v>
      </c>
      <c r="D696">
        <v>4.7099999999999998E-3</v>
      </c>
      <c r="E696">
        <v>4.7699999999999999E-3</v>
      </c>
      <c r="F696">
        <v>79253644.900000006</v>
      </c>
      <c r="G696">
        <v>0</v>
      </c>
      <c r="L696" t="s">
        <v>8</v>
      </c>
      <c r="M696" t="s">
        <v>8</v>
      </c>
      <c r="N696" t="s">
        <v>7</v>
      </c>
      <c r="P696">
        <f t="shared" si="994"/>
        <v>-0.82089552238805941</v>
      </c>
      <c r="Q696">
        <f t="shared" si="995"/>
        <v>-65058962.231343262</v>
      </c>
      <c r="R696">
        <f t="shared" si="996"/>
        <v>-1138515963.9796565</v>
      </c>
      <c r="S696">
        <f t="shared" si="997"/>
        <v>-11385.159639796564</v>
      </c>
      <c r="T696">
        <f t="shared" si="998"/>
        <v>-11.385159639796564</v>
      </c>
    </row>
    <row r="697" spans="1:20" x14ac:dyDescent="0.25">
      <c r="A697" s="5">
        <v>43896</v>
      </c>
      <c r="B697">
        <v>5.1000000000000004E-3</v>
      </c>
      <c r="C697">
        <v>5.2399999999999999E-3</v>
      </c>
      <c r="D697">
        <v>5.0400000000000002E-3</v>
      </c>
      <c r="E697">
        <v>5.1200000000000004E-3</v>
      </c>
      <c r="F697">
        <v>37672869.700000003</v>
      </c>
      <c r="G697">
        <v>0</v>
      </c>
      <c r="L697" t="s">
        <v>8</v>
      </c>
      <c r="M697" t="s">
        <v>8</v>
      </c>
      <c r="N697" t="s">
        <v>7</v>
      </c>
      <c r="P697">
        <f t="shared" si="994"/>
        <v>-0.19999999999999654</v>
      </c>
      <c r="Q697">
        <f t="shared" si="995"/>
        <v>-7534573.93999987</v>
      </c>
      <c r="R697">
        <f t="shared" si="996"/>
        <v>-1073457001.7483132</v>
      </c>
      <c r="S697">
        <f t="shared" si="997"/>
        <v>-10734.570017483133</v>
      </c>
      <c r="T697">
        <f t="shared" si="998"/>
        <v>-10.734570017483133</v>
      </c>
    </row>
    <row r="698" spans="1:20" x14ac:dyDescent="0.25">
      <c r="A698" s="5">
        <v>43895</v>
      </c>
      <c r="B698">
        <v>4.9699999999999996E-3</v>
      </c>
      <c r="C698">
        <v>5.2700000000000004E-3</v>
      </c>
      <c r="D698">
        <v>4.8999999999999998E-3</v>
      </c>
      <c r="E698">
        <v>5.11E-3</v>
      </c>
      <c r="F698">
        <v>68961448.5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0.13513513513513412</v>
      </c>
      <c r="Q698">
        <f t="shared" si="995"/>
        <v>9319114.6621620916</v>
      </c>
      <c r="R698">
        <f t="shared" si="996"/>
        <v>-1065922427.8083134</v>
      </c>
      <c r="S698">
        <f t="shared" si="997"/>
        <v>-10659.224278083133</v>
      </c>
      <c r="T698">
        <f t="shared" si="998"/>
        <v>-10.659224278083133</v>
      </c>
    </row>
    <row r="699" spans="1:20" x14ac:dyDescent="0.25">
      <c r="A699" s="5">
        <v>43894</v>
      </c>
      <c r="B699">
        <v>4.7200000000000002E-3</v>
      </c>
      <c r="C699">
        <v>5.1200000000000004E-3</v>
      </c>
      <c r="D699">
        <v>4.6499999999999996E-3</v>
      </c>
      <c r="E699">
        <v>4.96E-3</v>
      </c>
      <c r="F699">
        <v>95351813.799999997</v>
      </c>
      <c r="G699">
        <v>0</v>
      </c>
      <c r="L699" t="s">
        <v>8</v>
      </c>
      <c r="M699" t="s">
        <v>8</v>
      </c>
      <c r="N699" t="s">
        <v>7</v>
      </c>
      <c r="P699">
        <f t="shared" si="994"/>
        <v>0.31914893617021212</v>
      </c>
      <c r="Q699">
        <f t="shared" si="995"/>
        <v>30431429.93617015</v>
      </c>
      <c r="R699">
        <f t="shared" si="996"/>
        <v>-1075241542.4704754</v>
      </c>
      <c r="S699">
        <f t="shared" si="997"/>
        <v>-10752.415424704754</v>
      </c>
      <c r="T699">
        <f t="shared" si="998"/>
        <v>-10.752415424704754</v>
      </c>
    </row>
    <row r="700" spans="1:20" x14ac:dyDescent="0.25">
      <c r="A700" s="5">
        <v>43893</v>
      </c>
      <c r="B700">
        <v>4.64E-3</v>
      </c>
      <c r="C700">
        <v>4.7499999999999999E-3</v>
      </c>
      <c r="D700">
        <v>4.4900000000000001E-3</v>
      </c>
      <c r="E700">
        <v>4.7099999999999998E-3</v>
      </c>
      <c r="F700">
        <v>63584852.700000003</v>
      </c>
      <c r="G700">
        <v>0</v>
      </c>
      <c r="L700" t="s">
        <v>8</v>
      </c>
      <c r="M700" t="s">
        <v>8</v>
      </c>
      <c r="N700" t="s">
        <v>7</v>
      </c>
      <c r="P700">
        <f t="shared" si="994"/>
        <v>0.69230769230769129</v>
      </c>
      <c r="Q700">
        <f t="shared" si="995"/>
        <v>44020282.638461478</v>
      </c>
      <c r="R700">
        <f t="shared" si="996"/>
        <v>-1105672972.4066455</v>
      </c>
      <c r="S700">
        <f t="shared" si="997"/>
        <v>-11056.729724066456</v>
      </c>
      <c r="T700">
        <f t="shared" si="998"/>
        <v>-11.056729724066455</v>
      </c>
    </row>
    <row r="701" spans="1:20" x14ac:dyDescent="0.25">
      <c r="A701" s="5">
        <v>43892</v>
      </c>
      <c r="B701">
        <v>4.3400000000000001E-3</v>
      </c>
      <c r="C701">
        <v>4.7299999999999998E-3</v>
      </c>
      <c r="D701">
        <v>4.3E-3</v>
      </c>
      <c r="E701">
        <v>4.6699999999999997E-3</v>
      </c>
      <c r="F701">
        <v>27952049</v>
      </c>
      <c r="G701">
        <v>0</v>
      </c>
      <c r="L701" t="s">
        <v>8</v>
      </c>
      <c r="M701" t="s">
        <v>8</v>
      </c>
      <c r="N701" t="s">
        <v>7</v>
      </c>
      <c r="P701">
        <f t="shared" si="994"/>
        <v>0.72093023255813871</v>
      </c>
      <c r="Q701">
        <f t="shared" si="995"/>
        <v>20151477.186046489</v>
      </c>
      <c r="R701">
        <f t="shared" si="996"/>
        <v>-1149693255.0451071</v>
      </c>
      <c r="S701">
        <f t="shared" si="997"/>
        <v>-11496.932550451071</v>
      </c>
      <c r="T701">
        <f t="shared" si="998"/>
        <v>-11.496932550451071</v>
      </c>
    </row>
    <row r="702" spans="1:20" x14ac:dyDescent="0.25">
      <c r="A702" s="5">
        <v>43891</v>
      </c>
      <c r="B702">
        <v>4.4900000000000001E-3</v>
      </c>
      <c r="C702">
        <v>4.5599999999999998E-3</v>
      </c>
      <c r="D702">
        <v>4.2500000000000003E-3</v>
      </c>
      <c r="E702">
        <v>4.3600000000000002E-3</v>
      </c>
      <c r="F702">
        <v>26395425.100000001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-0.29032258064516109</v>
      </c>
      <c r="Q702">
        <f t="shared" si="995"/>
        <v>-7663187.9322580593</v>
      </c>
      <c r="R702">
        <f t="shared" si="996"/>
        <v>-1169844732.2311537</v>
      </c>
      <c r="S702">
        <f t="shared" si="997"/>
        <v>-11698.447322311536</v>
      </c>
      <c r="T702">
        <f t="shared" si="998"/>
        <v>-11.698447322311537</v>
      </c>
    </row>
    <row r="703" spans="1:20" x14ac:dyDescent="0.25">
      <c r="A703" s="5">
        <v>43890</v>
      </c>
      <c r="B703">
        <v>4.4799999999999996E-3</v>
      </c>
      <c r="C703">
        <v>4.5999999999999999E-3</v>
      </c>
      <c r="D703">
        <v>4.3600000000000002E-3</v>
      </c>
      <c r="E703">
        <v>4.4799999999999996E-3</v>
      </c>
      <c r="F703">
        <v>26153423.100000001</v>
      </c>
      <c r="G703">
        <v>0</v>
      </c>
      <c r="L703" t="s">
        <v>8</v>
      </c>
      <c r="M703" t="s">
        <v>7</v>
      </c>
      <c r="N703" t="s">
        <v>7</v>
      </c>
      <c r="P703">
        <f t="shared" si="994"/>
        <v>-3.6140072416183515E-15</v>
      </c>
      <c r="Q703">
        <f t="shared" si="995"/>
        <v>-9.451866047650868E-8</v>
      </c>
      <c r="R703">
        <f t="shared" si="996"/>
        <v>-1162181544.2988956</v>
      </c>
      <c r="S703">
        <f t="shared" si="997"/>
        <v>-11621.815442988956</v>
      </c>
      <c r="T703">
        <f t="shared" si="998"/>
        <v>-11.621815442988957</v>
      </c>
    </row>
    <row r="704" spans="1:20" x14ac:dyDescent="0.25">
      <c r="A704" s="5">
        <v>43889</v>
      </c>
      <c r="B704">
        <v>4.28E-3</v>
      </c>
      <c r="C704">
        <v>4.5599999999999998E-3</v>
      </c>
      <c r="D704">
        <v>4.1000000000000003E-3</v>
      </c>
      <c r="E704">
        <v>4.4799999999999996E-3</v>
      </c>
      <c r="F704">
        <v>95950455.900000006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0.65217391304347694</v>
      </c>
      <c r="Q704">
        <f t="shared" si="995"/>
        <v>62576384.282608576</v>
      </c>
      <c r="R704">
        <f t="shared" si="996"/>
        <v>-1162181544.2988956</v>
      </c>
      <c r="S704">
        <f t="shared" si="997"/>
        <v>-11621.815442988956</v>
      </c>
      <c r="T704">
        <f t="shared" si="998"/>
        <v>-11.621815442988957</v>
      </c>
    </row>
    <row r="705" spans="1:20" x14ac:dyDescent="0.25">
      <c r="A705" s="5">
        <v>43888</v>
      </c>
      <c r="B705">
        <v>4.2100000000000002E-3</v>
      </c>
      <c r="C705">
        <v>4.4999999999999997E-3</v>
      </c>
      <c r="D705">
        <v>4.0000000000000001E-3</v>
      </c>
      <c r="E705">
        <v>4.3E-3</v>
      </c>
      <c r="F705">
        <v>69661884.5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0.2000000000000007</v>
      </c>
      <c r="Q705">
        <f t="shared" si="995"/>
        <v>13932376.900000049</v>
      </c>
      <c r="R705">
        <f t="shared" si="996"/>
        <v>-1224757928.5815041</v>
      </c>
      <c r="S705">
        <f t="shared" si="997"/>
        <v>-12247.579285815042</v>
      </c>
      <c r="T705">
        <f t="shared" si="998"/>
        <v>-12.247579285815041</v>
      </c>
    </row>
    <row r="706" spans="1:20" x14ac:dyDescent="0.25">
      <c r="A706" s="5">
        <v>43887</v>
      </c>
      <c r="B706">
        <v>4.6899999999999997E-3</v>
      </c>
      <c r="C706">
        <v>4.7299999999999998E-3</v>
      </c>
      <c r="D706">
        <v>3.98E-3</v>
      </c>
      <c r="E706">
        <v>4.2100000000000002E-3</v>
      </c>
      <c r="F706">
        <v>77135374.799999997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-0.38666666666666605</v>
      </c>
      <c r="Q706">
        <f t="shared" si="995"/>
        <v>-29825678.255999953</v>
      </c>
      <c r="R706">
        <f t="shared" si="996"/>
        <v>-1238690305.4815042</v>
      </c>
      <c r="S706">
        <f t="shared" si="997"/>
        <v>-12386.903054815042</v>
      </c>
      <c r="T706">
        <f t="shared" si="998"/>
        <v>-12.386903054815042</v>
      </c>
    </row>
    <row r="707" spans="1:20" x14ac:dyDescent="0.25">
      <c r="A707" s="5">
        <v>43886</v>
      </c>
      <c r="B707">
        <v>5.3699999999999998E-3</v>
      </c>
      <c r="C707">
        <v>5.3899999999999998E-3</v>
      </c>
      <c r="D707">
        <v>4.4999999999999997E-3</v>
      </c>
      <c r="E707">
        <v>4.7000000000000002E-3</v>
      </c>
      <c r="F707">
        <v>118750803.8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-0.55056179775280789</v>
      </c>
      <c r="Q707">
        <f t="shared" si="995"/>
        <v>-65379656.02471897</v>
      </c>
      <c r="R707">
        <f t="shared" si="996"/>
        <v>-1208864627.2255042</v>
      </c>
      <c r="S707">
        <f t="shared" si="997"/>
        <v>-12088.646272255042</v>
      </c>
      <c r="T707">
        <f t="shared" si="998"/>
        <v>-12.088646272255042</v>
      </c>
    </row>
    <row r="708" spans="1:20" x14ac:dyDescent="0.25">
      <c r="A708" s="5">
        <v>43885</v>
      </c>
      <c r="B708">
        <v>5.5300000000000002E-3</v>
      </c>
      <c r="C708">
        <v>5.6600000000000001E-3</v>
      </c>
      <c r="D708">
        <v>5.2300000000000003E-3</v>
      </c>
      <c r="E708">
        <v>5.3299999999999997E-3</v>
      </c>
      <c r="F708">
        <v>47189173</v>
      </c>
      <c r="G708">
        <v>0</v>
      </c>
      <c r="L708" t="s">
        <v>7</v>
      </c>
      <c r="M708" t="s">
        <v>7</v>
      </c>
      <c r="N708" t="s">
        <v>7</v>
      </c>
      <c r="P708">
        <f t="shared" si="994"/>
        <v>-0.53488372093023517</v>
      </c>
      <c r="Q708">
        <f t="shared" si="995"/>
        <v>-25240720.44186059</v>
      </c>
      <c r="R708">
        <f t="shared" si="996"/>
        <v>-1143484971.2007852</v>
      </c>
      <c r="S708">
        <f t="shared" si="997"/>
        <v>-11434.849712007852</v>
      </c>
      <c r="T708">
        <f t="shared" si="998"/>
        <v>-11.434849712007852</v>
      </c>
    </row>
    <row r="709" spans="1:20" x14ac:dyDescent="0.25">
      <c r="A709" s="5">
        <v>43884</v>
      </c>
      <c r="B709">
        <v>5.3699999999999998E-3</v>
      </c>
      <c r="C709">
        <v>5.62E-3</v>
      </c>
      <c r="D709">
        <v>5.3699999999999998E-3</v>
      </c>
      <c r="E709">
        <v>5.5799999999999999E-3</v>
      </c>
      <c r="F709">
        <v>39235322.600000001</v>
      </c>
      <c r="G709">
        <v>0</v>
      </c>
      <c r="L709" t="s">
        <v>8</v>
      </c>
      <c r="M709" t="s">
        <v>7</v>
      </c>
      <c r="N709" t="s">
        <v>7</v>
      </c>
      <c r="P709">
        <f t="shared" si="994"/>
        <v>0.67999999999999949</v>
      </c>
      <c r="Q709">
        <f t="shared" si="995"/>
        <v>26680019.367999982</v>
      </c>
      <c r="R709">
        <f t="shared" si="996"/>
        <v>-1118244250.7589245</v>
      </c>
      <c r="S709">
        <f t="shared" si="997"/>
        <v>-11182.442507589245</v>
      </c>
      <c r="T709">
        <f t="shared" si="998"/>
        <v>-11.182442507589245</v>
      </c>
    </row>
    <row r="710" spans="1:20" x14ac:dyDescent="0.25">
      <c r="A710" s="5">
        <v>43883</v>
      </c>
      <c r="B710">
        <v>5.4799999999999996E-3</v>
      </c>
      <c r="C710">
        <v>5.4799999999999996E-3</v>
      </c>
      <c r="D710">
        <v>5.1799999999999997E-3</v>
      </c>
      <c r="E710">
        <v>5.4000000000000003E-3</v>
      </c>
      <c r="F710">
        <v>36272358.200000003</v>
      </c>
      <c r="G710">
        <v>0</v>
      </c>
      <c r="L710" t="s">
        <v>7</v>
      </c>
      <c r="M710" t="s">
        <v>7</v>
      </c>
      <c r="N710" t="s">
        <v>7</v>
      </c>
      <c r="P710">
        <f t="shared" ref="P710:P766" si="999">IF(C710=D710,0,((E710-D710)-(C710-E710))/(C710-D710))</f>
        <v>0.46666666666667089</v>
      </c>
      <c r="Q710">
        <f t="shared" ref="Q710:Q766" si="1000">F710*P710</f>
        <v>16927100.493333489</v>
      </c>
      <c r="R710">
        <f t="shared" ref="R710:R766" si="1001">R711+Q710</f>
        <v>-1144924270.1269245</v>
      </c>
      <c r="S710">
        <f t="shared" ref="S710:S766" si="1002">R710/100000</f>
        <v>-11449.242701269246</v>
      </c>
      <c r="T710">
        <f t="shared" ref="T710:T766" si="1003">S710/1000</f>
        <v>-11.449242701269245</v>
      </c>
    </row>
    <row r="711" spans="1:20" x14ac:dyDescent="0.25">
      <c r="A711" s="5">
        <v>43882</v>
      </c>
      <c r="B711">
        <v>5.4200000000000003E-3</v>
      </c>
      <c r="C711">
        <v>5.6699999999999997E-3</v>
      </c>
      <c r="D711">
        <v>5.3499999999999997E-3</v>
      </c>
      <c r="E711">
        <v>5.47E-3</v>
      </c>
      <c r="F711">
        <v>36382484.600000001</v>
      </c>
      <c r="G711">
        <v>0</v>
      </c>
      <c r="L711" t="s">
        <v>8</v>
      </c>
      <c r="M711" t="s">
        <v>7</v>
      </c>
      <c r="N711" t="s">
        <v>7</v>
      </c>
      <c r="P711">
        <f t="shared" si="999"/>
        <v>-0.24999999999999797</v>
      </c>
      <c r="Q711">
        <f t="shared" si="1000"/>
        <v>-9095621.1499999259</v>
      </c>
      <c r="R711">
        <f t="shared" si="1001"/>
        <v>-1161851370.6202581</v>
      </c>
      <c r="S711">
        <f t="shared" si="1002"/>
        <v>-11618.513706202581</v>
      </c>
      <c r="T711">
        <f t="shared" si="1003"/>
        <v>-11.618513706202581</v>
      </c>
    </row>
    <row r="712" spans="1:20" x14ac:dyDescent="0.25">
      <c r="A712" s="5">
        <v>43881</v>
      </c>
      <c r="B712">
        <v>5.4999999999999997E-3</v>
      </c>
      <c r="C712">
        <v>5.5700000000000003E-3</v>
      </c>
      <c r="D712">
        <v>5.2199999999999998E-3</v>
      </c>
      <c r="E712">
        <v>5.4099999999999999E-3</v>
      </c>
      <c r="F712">
        <v>64890329.399999999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8.5714285714284577E-2</v>
      </c>
      <c r="Q712">
        <f t="shared" si="1000"/>
        <v>5562028.2342856405</v>
      </c>
      <c r="R712">
        <f t="shared" si="1001"/>
        <v>-1152755749.4702582</v>
      </c>
      <c r="S712">
        <f t="shared" si="1002"/>
        <v>-11527.557494702582</v>
      </c>
      <c r="T712">
        <f t="shared" si="1003"/>
        <v>-11.527557494702581</v>
      </c>
    </row>
    <row r="713" spans="1:20" x14ac:dyDescent="0.25">
      <c r="A713" s="5">
        <v>43880</v>
      </c>
      <c r="B713">
        <v>6.0600000000000003E-3</v>
      </c>
      <c r="C713">
        <v>6.2100000000000002E-3</v>
      </c>
      <c r="D713">
        <v>5.2700000000000004E-3</v>
      </c>
      <c r="E713">
        <v>5.4900000000000001E-3</v>
      </c>
      <c r="F713">
        <v>113752720.2</v>
      </c>
      <c r="G713">
        <v>0</v>
      </c>
      <c r="L713" t="s">
        <v>8</v>
      </c>
      <c r="M713" t="s">
        <v>7</v>
      </c>
      <c r="N713" t="s">
        <v>7</v>
      </c>
      <c r="P713">
        <f t="shared" si="999"/>
        <v>-0.53191489361702182</v>
      </c>
      <c r="Q713">
        <f t="shared" si="1000"/>
        <v>-60506766.063829854</v>
      </c>
      <c r="R713">
        <f t="shared" si="1001"/>
        <v>-1158317777.7045438</v>
      </c>
      <c r="S713">
        <f t="shared" si="1002"/>
        <v>-11583.177777045439</v>
      </c>
      <c r="T713">
        <f t="shared" si="1003"/>
        <v>-11.583177777045439</v>
      </c>
    </row>
    <row r="714" spans="1:20" x14ac:dyDescent="0.25">
      <c r="A714" s="5">
        <v>43879</v>
      </c>
      <c r="B714">
        <v>5.7000000000000002E-3</v>
      </c>
      <c r="C714">
        <v>6.1399999999999996E-3</v>
      </c>
      <c r="D714">
        <v>5.62E-3</v>
      </c>
      <c r="E714">
        <v>6.0600000000000003E-3</v>
      </c>
      <c r="F714">
        <v>65146166</v>
      </c>
      <c r="G714">
        <v>0</v>
      </c>
      <c r="L714" t="s">
        <v>8</v>
      </c>
      <c r="M714" t="s">
        <v>7</v>
      </c>
      <c r="N714" t="s">
        <v>8</v>
      </c>
      <c r="P714">
        <f t="shared" si="999"/>
        <v>0.69230769230769462</v>
      </c>
      <c r="Q714">
        <f t="shared" si="1000"/>
        <v>45101191.846153997</v>
      </c>
      <c r="R714">
        <f t="shared" si="1001"/>
        <v>-1097811011.6407139</v>
      </c>
      <c r="S714">
        <f t="shared" si="1002"/>
        <v>-10978.110116407139</v>
      </c>
      <c r="T714">
        <f t="shared" si="1003"/>
        <v>-10.978110116407139</v>
      </c>
    </row>
    <row r="715" spans="1:20" x14ac:dyDescent="0.25">
      <c r="A715" s="5">
        <v>43878</v>
      </c>
      <c r="B715">
        <v>5.96E-3</v>
      </c>
      <c r="C715">
        <v>5.9699999999999996E-3</v>
      </c>
      <c r="D715">
        <v>5.3600000000000002E-3</v>
      </c>
      <c r="E715">
        <v>5.7200000000000003E-3</v>
      </c>
      <c r="F715">
        <v>86900665.900000006</v>
      </c>
      <c r="G715">
        <v>0</v>
      </c>
      <c r="L715" t="s">
        <v>7</v>
      </c>
      <c r="M715" t="s">
        <v>7</v>
      </c>
      <c r="N715" t="s">
        <v>8</v>
      </c>
      <c r="P715">
        <f t="shared" si="999"/>
        <v>0.18032786885246035</v>
      </c>
      <c r="Q715">
        <f t="shared" si="1000"/>
        <v>15670611.883606674</v>
      </c>
      <c r="R715">
        <f t="shared" si="1001"/>
        <v>-1142912203.4868679</v>
      </c>
      <c r="S715">
        <f t="shared" si="1002"/>
        <v>-11429.122034868678</v>
      </c>
      <c r="T715">
        <f t="shared" si="1003"/>
        <v>-11.429122034868678</v>
      </c>
    </row>
    <row r="716" spans="1:20" x14ac:dyDescent="0.25">
      <c r="A716" s="5">
        <v>43877</v>
      </c>
      <c r="B716">
        <v>6.43E-3</v>
      </c>
      <c r="C716">
        <v>6.7000000000000002E-3</v>
      </c>
      <c r="D716">
        <v>5.4999999999999997E-3</v>
      </c>
      <c r="E716">
        <v>5.96E-3</v>
      </c>
      <c r="F716">
        <v>129172934.8</v>
      </c>
      <c r="G716">
        <v>0</v>
      </c>
      <c r="L716" t="s">
        <v>7</v>
      </c>
      <c r="M716" t="s">
        <v>7</v>
      </c>
      <c r="N716" t="s">
        <v>8</v>
      </c>
      <c r="P716">
        <f t="shared" si="999"/>
        <v>-0.23333333333333311</v>
      </c>
      <c r="Q716">
        <f t="shared" si="1000"/>
        <v>-30140351.453333303</v>
      </c>
      <c r="R716">
        <f t="shared" si="1001"/>
        <v>-1158582815.3704746</v>
      </c>
      <c r="S716">
        <f t="shared" si="1002"/>
        <v>-11585.828153704746</v>
      </c>
      <c r="T716">
        <f t="shared" si="1003"/>
        <v>-11.585828153704746</v>
      </c>
    </row>
    <row r="717" spans="1:20" x14ac:dyDescent="0.25">
      <c r="A717" s="5">
        <v>43876</v>
      </c>
      <c r="B717">
        <v>7.26E-3</v>
      </c>
      <c r="C717">
        <v>7.2899999999999996E-3</v>
      </c>
      <c r="D717">
        <v>6.3200000000000001E-3</v>
      </c>
      <c r="E717">
        <v>6.4700000000000001E-3</v>
      </c>
      <c r="F717">
        <v>159343773.19999999</v>
      </c>
      <c r="G717">
        <v>0</v>
      </c>
      <c r="L717" t="s">
        <v>7</v>
      </c>
      <c r="M717" t="s">
        <v>8</v>
      </c>
      <c r="N717" t="s">
        <v>8</v>
      </c>
      <c r="P717">
        <f t="shared" si="999"/>
        <v>-0.69072164948453596</v>
      </c>
      <c r="Q717">
        <f t="shared" si="1000"/>
        <v>-110062193.85979378</v>
      </c>
      <c r="R717">
        <f t="shared" si="1001"/>
        <v>-1128442463.9171412</v>
      </c>
      <c r="S717">
        <f t="shared" si="1002"/>
        <v>-11284.424639171411</v>
      </c>
      <c r="T717">
        <f t="shared" si="1003"/>
        <v>-11.284424639171412</v>
      </c>
    </row>
    <row r="718" spans="1:20" x14ac:dyDescent="0.25">
      <c r="A718" s="5">
        <v>43875</v>
      </c>
      <c r="B718">
        <v>6.7200000000000003E-3</v>
      </c>
      <c r="C718">
        <v>7.4000000000000003E-3</v>
      </c>
      <c r="D718">
        <v>6.62E-3</v>
      </c>
      <c r="E718">
        <v>7.2700000000000004E-3</v>
      </c>
      <c r="F718">
        <v>134994405.90000001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0.66666666666666707</v>
      </c>
      <c r="Q718">
        <f t="shared" si="1000"/>
        <v>89996270.600000054</v>
      </c>
      <c r="R718">
        <f t="shared" si="1001"/>
        <v>-1018380270.0573474</v>
      </c>
      <c r="S718">
        <f t="shared" si="1002"/>
        <v>-10183.802700573475</v>
      </c>
      <c r="T718">
        <f t="shared" si="1003"/>
        <v>-10.183802700573475</v>
      </c>
    </row>
    <row r="719" spans="1:20" x14ac:dyDescent="0.25">
      <c r="A719" s="5">
        <v>43874</v>
      </c>
      <c r="B719">
        <v>6.7400000000000003E-3</v>
      </c>
      <c r="C719">
        <v>6.9100000000000003E-3</v>
      </c>
      <c r="D719">
        <v>6.3899999999999998E-3</v>
      </c>
      <c r="E719">
        <v>6.7299999999999999E-3</v>
      </c>
      <c r="F719">
        <v>128139580.90000001</v>
      </c>
      <c r="G719">
        <v>0</v>
      </c>
      <c r="L719" t="s">
        <v>7</v>
      </c>
      <c r="M719" t="s">
        <v>8</v>
      </c>
      <c r="N719" t="s">
        <v>8</v>
      </c>
      <c r="P719">
        <f t="shared" si="999"/>
        <v>0.30769230769230654</v>
      </c>
      <c r="Q719">
        <f t="shared" si="1000"/>
        <v>39427563.353846006</v>
      </c>
      <c r="R719">
        <f t="shared" si="1001"/>
        <v>-1108376540.6573474</v>
      </c>
      <c r="S719">
        <f t="shared" si="1002"/>
        <v>-11083.765406573475</v>
      </c>
      <c r="T719">
        <f t="shared" si="1003"/>
        <v>-11.083765406573475</v>
      </c>
    </row>
    <row r="720" spans="1:20" x14ac:dyDescent="0.25">
      <c r="A720" s="5">
        <v>43873</v>
      </c>
      <c r="B720">
        <v>6.6400000000000001E-3</v>
      </c>
      <c r="C720">
        <v>7.1300000000000001E-3</v>
      </c>
      <c r="D720">
        <v>6.4900000000000001E-3</v>
      </c>
      <c r="E720">
        <v>6.7400000000000003E-3</v>
      </c>
      <c r="F720">
        <v>172072426.30000001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-0.21874999999999925</v>
      </c>
      <c r="Q720">
        <f t="shared" si="1000"/>
        <v>-37640843.25312487</v>
      </c>
      <c r="R720">
        <f t="shared" si="1001"/>
        <v>-1147804104.0111935</v>
      </c>
      <c r="S720">
        <f t="shared" si="1002"/>
        <v>-11478.041040111935</v>
      </c>
      <c r="T720">
        <f t="shared" si="1003"/>
        <v>-11.478041040111934</v>
      </c>
    </row>
    <row r="721" spans="1:20" x14ac:dyDescent="0.25">
      <c r="A721" s="5">
        <v>43872</v>
      </c>
      <c r="B721">
        <v>6.3200000000000001E-3</v>
      </c>
      <c r="C721">
        <v>6.6499999999999997E-3</v>
      </c>
      <c r="D721">
        <v>6.0800000000000003E-3</v>
      </c>
      <c r="E721">
        <v>6.6400000000000001E-3</v>
      </c>
      <c r="F721">
        <v>92322032.400000006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0.96491228070175572</v>
      </c>
      <c r="Q721">
        <f t="shared" si="1000"/>
        <v>89082662.842105389</v>
      </c>
      <c r="R721">
        <f t="shared" si="1001"/>
        <v>-1110163260.7580686</v>
      </c>
      <c r="S721">
        <f t="shared" si="1002"/>
        <v>-11101.632607580686</v>
      </c>
      <c r="T721">
        <f t="shared" si="1003"/>
        <v>-11.101632607580687</v>
      </c>
    </row>
    <row r="722" spans="1:20" x14ac:dyDescent="0.25">
      <c r="A722" s="5">
        <v>43871</v>
      </c>
      <c r="B722">
        <v>6.3499999999999997E-3</v>
      </c>
      <c r="C722">
        <v>6.4099999999999999E-3</v>
      </c>
      <c r="D722">
        <v>5.9100000000000003E-3</v>
      </c>
      <c r="E722">
        <v>6.3299999999999997E-3</v>
      </c>
      <c r="F722">
        <v>93768505.200000003</v>
      </c>
      <c r="G722">
        <v>0</v>
      </c>
      <c r="L722" t="s">
        <v>7</v>
      </c>
      <c r="M722" t="s">
        <v>8</v>
      </c>
      <c r="N722" t="s">
        <v>8</v>
      </c>
      <c r="P722">
        <f t="shared" si="999"/>
        <v>0.67999999999999894</v>
      </c>
      <c r="Q722">
        <f t="shared" si="1000"/>
        <v>63762583.535999902</v>
      </c>
      <c r="R722">
        <f t="shared" si="1001"/>
        <v>-1199245923.600174</v>
      </c>
      <c r="S722">
        <f t="shared" si="1002"/>
        <v>-11992.45923600174</v>
      </c>
      <c r="T722">
        <f t="shared" si="1003"/>
        <v>-11.992459236001739</v>
      </c>
    </row>
    <row r="723" spans="1:20" x14ac:dyDescent="0.25">
      <c r="A723" s="5">
        <v>43870</v>
      </c>
      <c r="B723">
        <v>6.2300000000000003E-3</v>
      </c>
      <c r="C723">
        <v>6.4799999999999996E-3</v>
      </c>
      <c r="D723">
        <v>6.0400000000000002E-3</v>
      </c>
      <c r="E723">
        <v>6.3400000000000001E-3</v>
      </c>
      <c r="F723">
        <v>74633075.5</v>
      </c>
      <c r="G723">
        <v>0</v>
      </c>
      <c r="L723" t="s">
        <v>7</v>
      </c>
      <c r="M723" t="s">
        <v>8</v>
      </c>
      <c r="N723" t="s">
        <v>8</v>
      </c>
      <c r="P723">
        <f t="shared" si="999"/>
        <v>0.36363636363636509</v>
      </c>
      <c r="Q723">
        <f t="shared" si="1000"/>
        <v>27139300.181818292</v>
      </c>
      <c r="R723">
        <f t="shared" si="1001"/>
        <v>-1263008507.136174</v>
      </c>
      <c r="S723">
        <f t="shared" si="1002"/>
        <v>-12630.08507136174</v>
      </c>
      <c r="T723">
        <f t="shared" si="1003"/>
        <v>-12.630085071361741</v>
      </c>
    </row>
    <row r="724" spans="1:20" x14ac:dyDescent="0.25">
      <c r="A724" s="5">
        <v>43869</v>
      </c>
      <c r="B724">
        <v>6.77E-3</v>
      </c>
      <c r="C724">
        <v>6.77E-3</v>
      </c>
      <c r="D724">
        <v>6.13E-3</v>
      </c>
      <c r="E724">
        <v>6.2599999999999999E-3</v>
      </c>
      <c r="F724">
        <v>119446646.7</v>
      </c>
      <c r="G724">
        <v>0</v>
      </c>
      <c r="L724" t="s">
        <v>7</v>
      </c>
      <c r="M724" t="s">
        <v>8</v>
      </c>
      <c r="N724" t="s">
        <v>8</v>
      </c>
      <c r="P724">
        <f t="shared" si="999"/>
        <v>-0.59375000000000022</v>
      </c>
      <c r="Q724">
        <f t="shared" si="1000"/>
        <v>-70921446.478125021</v>
      </c>
      <c r="R724">
        <f t="shared" si="1001"/>
        <v>-1290147807.3179922</v>
      </c>
      <c r="S724">
        <f t="shared" si="1002"/>
        <v>-12901.478073179922</v>
      </c>
      <c r="T724">
        <f t="shared" si="1003"/>
        <v>-12.901478073179922</v>
      </c>
    </row>
    <row r="725" spans="1:20" x14ac:dyDescent="0.25">
      <c r="A725" s="5">
        <v>43868</v>
      </c>
      <c r="B725">
        <v>6.3E-3</v>
      </c>
      <c r="C725">
        <v>6.8700000000000002E-3</v>
      </c>
      <c r="D725">
        <v>6.0200000000000002E-3</v>
      </c>
      <c r="E725">
        <v>6.77E-3</v>
      </c>
      <c r="F725">
        <v>177883201.80000001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0.76470588235294057</v>
      </c>
      <c r="Q725">
        <f t="shared" si="1000"/>
        <v>136028330.78823519</v>
      </c>
      <c r="R725">
        <f t="shared" si="1001"/>
        <v>-1219226360.8398671</v>
      </c>
      <c r="S725">
        <f t="shared" si="1002"/>
        <v>-12192.263608398671</v>
      </c>
      <c r="T725">
        <f t="shared" si="1003"/>
        <v>-12.192263608398671</v>
      </c>
    </row>
    <row r="726" spans="1:20" x14ac:dyDescent="0.25">
      <c r="A726" s="5">
        <v>43867</v>
      </c>
      <c r="B726">
        <v>5.8199999999999997E-3</v>
      </c>
      <c r="C726">
        <v>6.4200000000000004E-3</v>
      </c>
      <c r="D726">
        <v>5.7999999999999996E-3</v>
      </c>
      <c r="E726">
        <v>6.3299999999999997E-3</v>
      </c>
      <c r="F726">
        <v>137001131.69999999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0.70967741935483686</v>
      </c>
      <c r="Q726">
        <f t="shared" si="1000"/>
        <v>97226609.593548119</v>
      </c>
      <c r="R726">
        <f t="shared" si="1001"/>
        <v>-1355254691.6281023</v>
      </c>
      <c r="S726">
        <f t="shared" si="1002"/>
        <v>-13552.546916281022</v>
      </c>
      <c r="T726">
        <f t="shared" si="1003"/>
        <v>-13.552546916281022</v>
      </c>
    </row>
    <row r="727" spans="1:20" x14ac:dyDescent="0.25">
      <c r="A727" s="5">
        <v>43866</v>
      </c>
      <c r="B727">
        <v>5.5999999999999999E-3</v>
      </c>
      <c r="C727">
        <v>6.0000000000000001E-3</v>
      </c>
      <c r="D727">
        <v>5.5900000000000004E-3</v>
      </c>
      <c r="E727">
        <v>5.8199999999999997E-3</v>
      </c>
      <c r="F727">
        <v>106082754.5</v>
      </c>
      <c r="G727">
        <v>0</v>
      </c>
      <c r="L727" t="s">
        <v>8</v>
      </c>
      <c r="M727" t="s">
        <v>8</v>
      </c>
      <c r="N727" t="s">
        <v>8</v>
      </c>
      <c r="P727">
        <f t="shared" si="999"/>
        <v>0.12195121951219233</v>
      </c>
      <c r="Q727">
        <f t="shared" si="1000"/>
        <v>12936921.280487509</v>
      </c>
      <c r="R727">
        <f t="shared" si="1001"/>
        <v>-1452481301.2216504</v>
      </c>
      <c r="S727">
        <f t="shared" si="1002"/>
        <v>-14524.813012216504</v>
      </c>
      <c r="T727">
        <f t="shared" si="1003"/>
        <v>-14.524813012216503</v>
      </c>
    </row>
    <row r="728" spans="1:20" x14ac:dyDescent="0.25">
      <c r="A728" s="5">
        <v>43865</v>
      </c>
      <c r="B728">
        <v>5.7400000000000003E-3</v>
      </c>
      <c r="C728">
        <v>5.8500000000000002E-3</v>
      </c>
      <c r="D728">
        <v>5.4799999999999996E-3</v>
      </c>
      <c r="E728">
        <v>5.5999999999999999E-3</v>
      </c>
      <c r="F728">
        <v>98774272.400000006</v>
      </c>
      <c r="G728">
        <v>0</v>
      </c>
      <c r="L728" t="s">
        <v>8</v>
      </c>
      <c r="M728" t="s">
        <v>8</v>
      </c>
      <c r="N728" t="s">
        <v>8</v>
      </c>
      <c r="P728">
        <f t="shared" si="999"/>
        <v>-0.35135135135135059</v>
      </c>
      <c r="Q728">
        <f t="shared" si="1000"/>
        <v>-34704474.086486414</v>
      </c>
      <c r="R728">
        <f t="shared" si="1001"/>
        <v>-1465418222.5021379</v>
      </c>
      <c r="S728">
        <f t="shared" si="1002"/>
        <v>-14654.182225021379</v>
      </c>
      <c r="T728">
        <f t="shared" si="1003"/>
        <v>-14.65418222502138</v>
      </c>
    </row>
    <row r="729" spans="1:20" x14ac:dyDescent="0.25">
      <c r="A729" s="5">
        <v>43864</v>
      </c>
      <c r="B729">
        <v>5.2599999999999999E-3</v>
      </c>
      <c r="C729">
        <v>5.7999999999999996E-3</v>
      </c>
      <c r="D729">
        <v>5.2199999999999998E-3</v>
      </c>
      <c r="E729">
        <v>5.7600000000000004E-3</v>
      </c>
      <c r="F729">
        <v>112864568.2</v>
      </c>
      <c r="G729">
        <v>0</v>
      </c>
      <c r="L729" t="s">
        <v>8</v>
      </c>
      <c r="M729" t="s">
        <v>8</v>
      </c>
      <c r="N729" t="s">
        <v>8</v>
      </c>
      <c r="P729">
        <f t="shared" si="999"/>
        <v>0.86206896551724399</v>
      </c>
      <c r="Q729">
        <f t="shared" si="1000"/>
        <v>97297041.551724434</v>
      </c>
      <c r="R729">
        <f t="shared" si="1001"/>
        <v>-1430713748.4156516</v>
      </c>
      <c r="S729">
        <f t="shared" si="1002"/>
        <v>-14307.137484156516</v>
      </c>
      <c r="T729">
        <f t="shared" si="1003"/>
        <v>-14.307137484156515</v>
      </c>
    </row>
    <row r="730" spans="1:20" x14ac:dyDescent="0.25">
      <c r="A730" s="5">
        <v>43863</v>
      </c>
      <c r="B730">
        <v>5.1999999999999998E-3</v>
      </c>
      <c r="C730">
        <v>5.4900000000000001E-3</v>
      </c>
      <c r="D730">
        <v>5.1799999999999997E-3</v>
      </c>
      <c r="E730">
        <v>5.2599999999999999E-3</v>
      </c>
      <c r="F730">
        <v>91262349.799999997</v>
      </c>
      <c r="G730">
        <v>0</v>
      </c>
      <c r="L730" t="s">
        <v>8</v>
      </c>
      <c r="M730" t="s">
        <v>8</v>
      </c>
      <c r="N730" t="s">
        <v>8</v>
      </c>
      <c r="P730">
        <f t="shared" si="999"/>
        <v>-0.48387096774193478</v>
      </c>
      <c r="Q730">
        <f t="shared" si="1000"/>
        <v>-44159201.516128965</v>
      </c>
      <c r="R730">
        <f t="shared" si="1001"/>
        <v>-1528010789.967376</v>
      </c>
      <c r="S730">
        <f t="shared" si="1002"/>
        <v>-15280.10789967376</v>
      </c>
      <c r="T730">
        <f t="shared" si="1003"/>
        <v>-15.28010789967376</v>
      </c>
    </row>
    <row r="731" spans="1:20" x14ac:dyDescent="0.25">
      <c r="A731" s="5">
        <v>43862</v>
      </c>
      <c r="B731">
        <v>5.1799999999999997E-3</v>
      </c>
      <c r="C731">
        <v>5.2599999999999999E-3</v>
      </c>
      <c r="D731">
        <v>5.11E-3</v>
      </c>
      <c r="E731">
        <v>5.1999999999999998E-3</v>
      </c>
      <c r="F731">
        <v>24661324.5</v>
      </c>
      <c r="G731">
        <v>0</v>
      </c>
      <c r="L731" t="s">
        <v>8</v>
      </c>
      <c r="M731" t="s">
        <v>8</v>
      </c>
      <c r="N731" t="s">
        <v>8</v>
      </c>
      <c r="P731">
        <f t="shared" si="999"/>
        <v>0.19999999999999768</v>
      </c>
      <c r="Q731">
        <f t="shared" si="1000"/>
        <v>4932264.8999999426</v>
      </c>
      <c r="R731">
        <f t="shared" si="1001"/>
        <v>-1483851588.451247</v>
      </c>
      <c r="S731">
        <f t="shared" si="1002"/>
        <v>-14838.51588451247</v>
      </c>
      <c r="T731">
        <f t="shared" si="1003"/>
        <v>-14.83851588451247</v>
      </c>
    </row>
    <row r="732" spans="1:20" x14ac:dyDescent="0.25">
      <c r="A732" s="5">
        <v>43861</v>
      </c>
      <c r="B732">
        <v>5.1599999999999997E-3</v>
      </c>
      <c r="C732">
        <v>5.3E-3</v>
      </c>
      <c r="D732">
        <v>5.0499999999999998E-3</v>
      </c>
      <c r="E732">
        <v>5.1900000000000002E-3</v>
      </c>
      <c r="F732">
        <v>33776494.799999997</v>
      </c>
      <c r="G732">
        <v>0</v>
      </c>
      <c r="L732" t="s">
        <v>8</v>
      </c>
      <c r="M732" t="s">
        <v>8</v>
      </c>
      <c r="N732" t="s">
        <v>8</v>
      </c>
      <c r="P732">
        <f t="shared" si="999"/>
        <v>0.12000000000000194</v>
      </c>
      <c r="Q732">
        <f t="shared" si="1000"/>
        <v>4053179.3760000649</v>
      </c>
      <c r="R732">
        <f t="shared" si="1001"/>
        <v>-1488783853.3512468</v>
      </c>
      <c r="S732">
        <f t="shared" si="1002"/>
        <v>-14887.838533512468</v>
      </c>
      <c r="T732">
        <f t="shared" si="1003"/>
        <v>-14.887838533512468</v>
      </c>
    </row>
    <row r="733" spans="1:20" x14ac:dyDescent="0.25">
      <c r="A733" s="5">
        <v>43860</v>
      </c>
      <c r="B733">
        <v>5.0099999999999997E-3</v>
      </c>
      <c r="C733">
        <v>5.2199999999999998E-3</v>
      </c>
      <c r="D733">
        <v>4.9100000000000003E-3</v>
      </c>
      <c r="E733">
        <v>5.1599999999999997E-3</v>
      </c>
      <c r="F733">
        <v>70657011.099999994</v>
      </c>
      <c r="G733">
        <v>0</v>
      </c>
      <c r="L733" t="s">
        <v>7</v>
      </c>
      <c r="M733" t="s">
        <v>8</v>
      </c>
      <c r="N733" t="s">
        <v>8</v>
      </c>
      <c r="P733">
        <f t="shared" si="999"/>
        <v>0.61290322580644996</v>
      </c>
      <c r="Q733">
        <f t="shared" si="1000"/>
        <v>43305910.029032141</v>
      </c>
      <c r="R733">
        <f t="shared" si="1001"/>
        <v>-1492837032.727247</v>
      </c>
      <c r="S733">
        <f t="shared" si="1002"/>
        <v>-14928.370327272471</v>
      </c>
      <c r="T733">
        <f t="shared" si="1003"/>
        <v>-14.928370327272471</v>
      </c>
    </row>
    <row r="734" spans="1:20" x14ac:dyDescent="0.25">
      <c r="A734" s="5">
        <v>43859</v>
      </c>
      <c r="B734">
        <v>5.0899999999999999E-3</v>
      </c>
      <c r="C734">
        <v>5.13E-3</v>
      </c>
      <c r="D734">
        <v>4.9399999999999999E-3</v>
      </c>
      <c r="E734">
        <v>5.0099999999999997E-3</v>
      </c>
      <c r="F734">
        <v>41649502.5</v>
      </c>
      <c r="G734">
        <v>0</v>
      </c>
      <c r="L734" t="s">
        <v>7</v>
      </c>
      <c r="M734" t="s">
        <v>8</v>
      </c>
      <c r="N734" t="s">
        <v>8</v>
      </c>
      <c r="P734">
        <f t="shared" si="999"/>
        <v>-0.26315789473684498</v>
      </c>
      <c r="Q734">
        <f t="shared" si="1000"/>
        <v>-10960395.394736962</v>
      </c>
      <c r="R734">
        <f t="shared" si="1001"/>
        <v>-1536142942.7562792</v>
      </c>
      <c r="S734">
        <f t="shared" si="1002"/>
        <v>-15361.429427562793</v>
      </c>
      <c r="T734">
        <f t="shared" si="1003"/>
        <v>-15.361429427562793</v>
      </c>
    </row>
    <row r="735" spans="1:20" x14ac:dyDescent="0.25">
      <c r="A735" s="5">
        <v>43858</v>
      </c>
      <c r="B735">
        <v>5.11E-3</v>
      </c>
      <c r="C735">
        <v>5.1399999999999996E-3</v>
      </c>
      <c r="D735">
        <v>4.9199999999999999E-3</v>
      </c>
      <c r="E735">
        <v>5.0899999999999999E-3</v>
      </c>
      <c r="F735">
        <v>47518425.899999999</v>
      </c>
      <c r="G735">
        <v>0</v>
      </c>
      <c r="L735" t="s">
        <v>7</v>
      </c>
      <c r="M735" t="s">
        <v>8</v>
      </c>
      <c r="N735" t="s">
        <v>8</v>
      </c>
      <c r="P735">
        <f t="shared" si="999"/>
        <v>0.54545454545454763</v>
      </c>
      <c r="Q735">
        <f t="shared" si="1000"/>
        <v>25919141.400000103</v>
      </c>
      <c r="R735">
        <f t="shared" si="1001"/>
        <v>-1525182547.3615422</v>
      </c>
      <c r="S735">
        <f t="shared" si="1002"/>
        <v>-15251.825473615423</v>
      </c>
      <c r="T735">
        <f t="shared" si="1003"/>
        <v>-15.251825473615423</v>
      </c>
    </row>
    <row r="736" spans="1:20" x14ac:dyDescent="0.25">
      <c r="A736" s="5">
        <v>43857</v>
      </c>
      <c r="B736">
        <v>5.1000000000000004E-3</v>
      </c>
      <c r="C736">
        <v>5.2300000000000003E-3</v>
      </c>
      <c r="D736">
        <v>5.0600000000000003E-3</v>
      </c>
      <c r="E736">
        <v>5.0800000000000003E-3</v>
      </c>
      <c r="F736">
        <v>55294791</v>
      </c>
      <c r="G736">
        <v>0</v>
      </c>
      <c r="L736" t="s">
        <v>7</v>
      </c>
      <c r="M736" t="s">
        <v>8</v>
      </c>
      <c r="N736" t="s">
        <v>8</v>
      </c>
      <c r="P736">
        <f t="shared" si="999"/>
        <v>-0.76470588235294057</v>
      </c>
      <c r="Q736">
        <f t="shared" si="1000"/>
        <v>-42284251.941176437</v>
      </c>
      <c r="R736">
        <f t="shared" si="1001"/>
        <v>-1551101688.7615423</v>
      </c>
      <c r="S736">
        <f t="shared" si="1002"/>
        <v>-15511.016887615424</v>
      </c>
      <c r="T736">
        <f t="shared" si="1003"/>
        <v>-15.511016887615424</v>
      </c>
    </row>
    <row r="737" spans="1:20" x14ac:dyDescent="0.25">
      <c r="A737" s="5">
        <v>43856</v>
      </c>
      <c r="B737">
        <v>5.0800000000000003E-3</v>
      </c>
      <c r="C737">
        <v>5.1900000000000002E-3</v>
      </c>
      <c r="D737">
        <v>5.0499999999999998E-3</v>
      </c>
      <c r="E737">
        <v>5.0800000000000003E-3</v>
      </c>
      <c r="F737">
        <v>23145741</v>
      </c>
      <c r="G737">
        <v>0</v>
      </c>
      <c r="L737" t="s">
        <v>7</v>
      </c>
      <c r="M737" t="s">
        <v>8</v>
      </c>
      <c r="N737" t="s">
        <v>8</v>
      </c>
      <c r="P737">
        <f t="shared" si="999"/>
        <v>-0.57142857142856518</v>
      </c>
      <c r="Q737">
        <f t="shared" si="1000"/>
        <v>-13226137.714285569</v>
      </c>
      <c r="R737">
        <f t="shared" si="1001"/>
        <v>-1508817436.8203659</v>
      </c>
      <c r="S737">
        <f t="shared" si="1002"/>
        <v>-15088.174368203659</v>
      </c>
      <c r="T737">
        <f t="shared" si="1003"/>
        <v>-15.08817436820366</v>
      </c>
    </row>
    <row r="738" spans="1:20" x14ac:dyDescent="0.25">
      <c r="A738" s="5">
        <v>43855</v>
      </c>
      <c r="B738">
        <v>5.1999999999999998E-3</v>
      </c>
      <c r="C738">
        <v>5.3800000000000002E-3</v>
      </c>
      <c r="D738">
        <v>5.0200000000000002E-3</v>
      </c>
      <c r="E738">
        <v>5.1000000000000004E-3</v>
      </c>
      <c r="F738">
        <v>61684807.200000003</v>
      </c>
      <c r="G738">
        <v>0</v>
      </c>
      <c r="L738" t="s">
        <v>8</v>
      </c>
      <c r="M738" t="s">
        <v>8</v>
      </c>
      <c r="N738" t="s">
        <v>8</v>
      </c>
      <c r="P738">
        <f t="shared" si="999"/>
        <v>-0.55555555555555447</v>
      </c>
      <c r="Q738">
        <f t="shared" si="1000"/>
        <v>-34269337.333333269</v>
      </c>
      <c r="R738">
        <f t="shared" si="1001"/>
        <v>-1495591299.1060803</v>
      </c>
      <c r="S738">
        <f t="shared" si="1002"/>
        <v>-14955.912991060803</v>
      </c>
      <c r="T738">
        <f t="shared" si="1003"/>
        <v>-14.955912991060803</v>
      </c>
    </row>
    <row r="739" spans="1:20" x14ac:dyDescent="0.25">
      <c r="A739" s="5">
        <v>43854</v>
      </c>
      <c r="B739">
        <v>5.2100000000000002E-3</v>
      </c>
      <c r="C739">
        <v>5.2900000000000004E-3</v>
      </c>
      <c r="D739">
        <v>4.8900000000000002E-3</v>
      </c>
      <c r="E739">
        <v>5.1999999999999998E-3</v>
      </c>
      <c r="F739">
        <v>86339327.5</v>
      </c>
      <c r="G739">
        <v>0</v>
      </c>
      <c r="L739" t="s">
        <v>8</v>
      </c>
      <c r="M739" t="s">
        <v>8</v>
      </c>
      <c r="N739" t="s">
        <v>8</v>
      </c>
      <c r="P739">
        <f t="shared" si="999"/>
        <v>0.54999999999999682</v>
      </c>
      <c r="Q739">
        <f t="shared" si="1000"/>
        <v>47486630.124999724</v>
      </c>
      <c r="R739">
        <f t="shared" si="1001"/>
        <v>-1461321961.772747</v>
      </c>
      <c r="S739">
        <f t="shared" si="1002"/>
        <v>-14613.219617727471</v>
      </c>
      <c r="T739">
        <f t="shared" si="1003"/>
        <v>-14.61321961772747</v>
      </c>
    </row>
    <row r="740" spans="1:20" x14ac:dyDescent="0.25">
      <c r="A740" s="5">
        <v>43853</v>
      </c>
      <c r="B740">
        <v>4.8900000000000002E-3</v>
      </c>
      <c r="C740">
        <v>5.2399999999999999E-3</v>
      </c>
      <c r="D740">
        <v>4.7999999999999996E-3</v>
      </c>
      <c r="E740">
        <v>5.2199999999999998E-3</v>
      </c>
      <c r="F740">
        <v>92615386.700000003</v>
      </c>
      <c r="G740">
        <v>0</v>
      </c>
      <c r="L740" t="s">
        <v>8</v>
      </c>
      <c r="M740" t="s">
        <v>8</v>
      </c>
      <c r="N740" t="s">
        <v>8</v>
      </c>
      <c r="P740">
        <f t="shared" si="999"/>
        <v>0.90909090909090895</v>
      </c>
      <c r="Q740">
        <f t="shared" si="1000"/>
        <v>84195806.090909079</v>
      </c>
      <c r="R740">
        <f t="shared" si="1001"/>
        <v>-1508808591.8977468</v>
      </c>
      <c r="S740">
        <f t="shared" si="1002"/>
        <v>-15088.085918977467</v>
      </c>
      <c r="T740">
        <f t="shared" si="1003"/>
        <v>-15.088085918977468</v>
      </c>
    </row>
    <row r="741" spans="1:20" x14ac:dyDescent="0.25">
      <c r="A741" s="5">
        <v>43852</v>
      </c>
      <c r="B741">
        <v>4.9399999999999999E-3</v>
      </c>
      <c r="C741">
        <v>4.9699999999999996E-3</v>
      </c>
      <c r="D741">
        <v>4.8599999999999997E-3</v>
      </c>
      <c r="E741">
        <v>4.8900000000000002E-3</v>
      </c>
      <c r="F741">
        <v>11270298.9</v>
      </c>
      <c r="G741">
        <v>0</v>
      </c>
      <c r="L741" t="s">
        <v>8</v>
      </c>
      <c r="M741" t="s">
        <v>8</v>
      </c>
      <c r="N741" t="s">
        <v>8</v>
      </c>
      <c r="P741">
        <f t="shared" si="999"/>
        <v>-0.45454545454544448</v>
      </c>
      <c r="Q741">
        <f t="shared" si="1000"/>
        <v>-5122863.1363635231</v>
      </c>
      <c r="R741">
        <f t="shared" si="1001"/>
        <v>-1593004397.9886558</v>
      </c>
      <c r="S741">
        <f t="shared" si="1002"/>
        <v>-15930.043979886557</v>
      </c>
      <c r="T741">
        <f t="shared" si="1003"/>
        <v>-15.930043979886557</v>
      </c>
    </row>
    <row r="742" spans="1:20" x14ac:dyDescent="0.25">
      <c r="A742" s="5">
        <v>43851</v>
      </c>
      <c r="B742">
        <v>4.9399999999999999E-3</v>
      </c>
      <c r="C742">
        <v>5.0000000000000001E-3</v>
      </c>
      <c r="D742">
        <v>4.8199999999999996E-3</v>
      </c>
      <c r="E742">
        <v>4.9300000000000004E-3</v>
      </c>
      <c r="F742">
        <v>19404842.399999999</v>
      </c>
      <c r="G742">
        <v>0</v>
      </c>
      <c r="L742" t="s">
        <v>8</v>
      </c>
      <c r="M742" t="s">
        <v>8</v>
      </c>
      <c r="N742" t="s">
        <v>8</v>
      </c>
      <c r="P742">
        <f t="shared" si="999"/>
        <v>0.22222222222222704</v>
      </c>
      <c r="Q742">
        <f t="shared" si="1000"/>
        <v>4312187.2000000933</v>
      </c>
      <c r="R742">
        <f t="shared" si="1001"/>
        <v>-1587881534.8522923</v>
      </c>
      <c r="S742">
        <f t="shared" si="1002"/>
        <v>-15878.815348522923</v>
      </c>
      <c r="T742">
        <f t="shared" si="1003"/>
        <v>-15.878815348522924</v>
      </c>
    </row>
    <row r="743" spans="1:20" x14ac:dyDescent="0.25">
      <c r="A743" s="5">
        <v>43850</v>
      </c>
      <c r="B743">
        <v>4.81E-3</v>
      </c>
      <c r="C743">
        <v>5.0099999999999997E-3</v>
      </c>
      <c r="D743">
        <v>4.7999999999999996E-3</v>
      </c>
      <c r="E743">
        <v>4.9800000000000001E-3</v>
      </c>
      <c r="F743">
        <v>44559249.799999997</v>
      </c>
      <c r="G743">
        <v>0</v>
      </c>
      <c r="L743" t="s">
        <v>8</v>
      </c>
      <c r="M743" t="s">
        <v>8</v>
      </c>
      <c r="N743" t="s">
        <v>8</v>
      </c>
      <c r="P743">
        <f t="shared" si="999"/>
        <v>0.71428571428571785</v>
      </c>
      <c r="Q743">
        <f t="shared" si="1000"/>
        <v>31828035.571428727</v>
      </c>
      <c r="R743">
        <f t="shared" si="1001"/>
        <v>-1592193722.0522923</v>
      </c>
      <c r="S743">
        <f t="shared" si="1002"/>
        <v>-15921.937220522923</v>
      </c>
      <c r="T743">
        <f t="shared" si="1003"/>
        <v>-15.921937220522922</v>
      </c>
    </row>
    <row r="744" spans="1:20" x14ac:dyDescent="0.25">
      <c r="A744" s="5">
        <v>43849</v>
      </c>
      <c r="B744">
        <v>5.0099999999999997E-3</v>
      </c>
      <c r="C744">
        <v>5.0600000000000003E-3</v>
      </c>
      <c r="D744">
        <v>4.6499999999999996E-3</v>
      </c>
      <c r="E744">
        <v>4.7999999999999996E-3</v>
      </c>
      <c r="F744">
        <v>60766270.299999997</v>
      </c>
      <c r="G744">
        <v>0</v>
      </c>
      <c r="L744" t="s">
        <v>7</v>
      </c>
      <c r="M744" t="s">
        <v>8</v>
      </c>
      <c r="N744" t="s">
        <v>8</v>
      </c>
      <c r="P744">
        <f t="shared" si="999"/>
        <v>-0.26829268292683062</v>
      </c>
      <c r="Q744">
        <f t="shared" si="1000"/>
        <v>-16303145.690243984</v>
      </c>
      <c r="R744">
        <f t="shared" si="1001"/>
        <v>-1624021757.6237211</v>
      </c>
      <c r="S744">
        <f t="shared" si="1002"/>
        <v>-16240.217576237212</v>
      </c>
      <c r="T744">
        <f t="shared" si="1003"/>
        <v>-16.24021757623721</v>
      </c>
    </row>
    <row r="745" spans="1:20" x14ac:dyDescent="0.25">
      <c r="A745" s="5">
        <v>43848</v>
      </c>
      <c r="B745">
        <v>5.1799999999999997E-3</v>
      </c>
      <c r="C745">
        <v>5.1799999999999997E-3</v>
      </c>
      <c r="D745">
        <v>4.9500000000000004E-3</v>
      </c>
      <c r="E745">
        <v>5.0600000000000003E-3</v>
      </c>
      <c r="F745">
        <v>46246216.600000001</v>
      </c>
      <c r="G745">
        <v>0</v>
      </c>
      <c r="L745" t="s">
        <v>8</v>
      </c>
      <c r="M745" t="s">
        <v>8</v>
      </c>
      <c r="N745" t="s">
        <v>8</v>
      </c>
      <c r="P745">
        <f t="shared" si="999"/>
        <v>-4.3478260869563579E-2</v>
      </c>
      <c r="Q745">
        <f t="shared" si="1000"/>
        <v>-2010705.0695651416</v>
      </c>
      <c r="R745">
        <f t="shared" si="1001"/>
        <v>-1607718611.9334772</v>
      </c>
      <c r="S745">
        <f t="shared" si="1002"/>
        <v>-16077.186119334772</v>
      </c>
      <c r="T745">
        <f t="shared" si="1003"/>
        <v>-16.077186119334772</v>
      </c>
    </row>
    <row r="746" spans="1:20" x14ac:dyDescent="0.25">
      <c r="A746" s="5">
        <v>43847</v>
      </c>
      <c r="B746">
        <v>4.9300000000000004E-3</v>
      </c>
      <c r="C746">
        <v>5.2300000000000003E-3</v>
      </c>
      <c r="D746">
        <v>4.8599999999999997E-3</v>
      </c>
      <c r="E746">
        <v>5.1799999999999997E-3</v>
      </c>
      <c r="F746">
        <v>102668794.5</v>
      </c>
      <c r="G746">
        <v>0</v>
      </c>
      <c r="L746" t="s">
        <v>8</v>
      </c>
      <c r="M746" t="s">
        <v>8</v>
      </c>
      <c r="N746" t="s">
        <v>8</v>
      </c>
      <c r="P746">
        <f t="shared" si="999"/>
        <v>0.72972972972972705</v>
      </c>
      <c r="Q746">
        <f t="shared" si="1000"/>
        <v>74920471.662161887</v>
      </c>
      <c r="R746">
        <f t="shared" si="1001"/>
        <v>-1605707906.8639121</v>
      </c>
      <c r="S746">
        <f t="shared" si="1002"/>
        <v>-16057.079068639121</v>
      </c>
      <c r="T746">
        <f t="shared" si="1003"/>
        <v>-16.057079068639123</v>
      </c>
    </row>
    <row r="747" spans="1:20" x14ac:dyDescent="0.25">
      <c r="A747" s="5">
        <v>43846</v>
      </c>
      <c r="B747">
        <v>5.0499999999999998E-3</v>
      </c>
      <c r="C747">
        <v>5.0699999999999999E-3</v>
      </c>
      <c r="D747">
        <v>4.81E-3</v>
      </c>
      <c r="E747">
        <v>4.9300000000000004E-3</v>
      </c>
      <c r="F747">
        <v>37830641.700000003</v>
      </c>
      <c r="G747">
        <v>0</v>
      </c>
      <c r="L747" t="s">
        <v>7</v>
      </c>
      <c r="M747" t="s">
        <v>8</v>
      </c>
      <c r="N747" t="s">
        <v>8</v>
      </c>
      <c r="P747">
        <f t="shared" si="999"/>
        <v>-7.6923076923073846E-2</v>
      </c>
      <c r="Q747">
        <f t="shared" si="1000"/>
        <v>-2910049.3615383455</v>
      </c>
      <c r="R747">
        <f t="shared" si="1001"/>
        <v>-1680628378.5260739</v>
      </c>
      <c r="S747">
        <f t="shared" si="1002"/>
        <v>-16806.283785260741</v>
      </c>
      <c r="T747">
        <f t="shared" si="1003"/>
        <v>-16.806283785260742</v>
      </c>
    </row>
    <row r="748" spans="1:20" x14ac:dyDescent="0.25">
      <c r="A748" s="5">
        <v>43845</v>
      </c>
      <c r="B748">
        <v>4.8799999999999998E-3</v>
      </c>
      <c r="C748">
        <v>5.3400000000000001E-3</v>
      </c>
      <c r="D748">
        <v>4.8399999999999997E-3</v>
      </c>
      <c r="E748">
        <v>5.0400000000000002E-3</v>
      </c>
      <c r="F748">
        <v>118134011.5</v>
      </c>
      <c r="G748">
        <v>0</v>
      </c>
      <c r="L748" t="s">
        <v>8</v>
      </c>
      <c r="M748" t="s">
        <v>8</v>
      </c>
      <c r="N748" t="s">
        <v>8</v>
      </c>
      <c r="P748">
        <f t="shared" si="999"/>
        <v>-0.19999999999999862</v>
      </c>
      <c r="Q748">
        <f t="shared" si="1000"/>
        <v>-23626802.299999837</v>
      </c>
      <c r="R748">
        <f t="shared" si="1001"/>
        <v>-1677718329.1645355</v>
      </c>
      <c r="S748">
        <f t="shared" si="1002"/>
        <v>-16777.183291645357</v>
      </c>
      <c r="T748">
        <f t="shared" si="1003"/>
        <v>-16.777183291645358</v>
      </c>
    </row>
    <row r="749" spans="1:20" x14ac:dyDescent="0.25">
      <c r="A749" s="5">
        <v>43844</v>
      </c>
      <c r="B749">
        <v>4.7800000000000004E-3</v>
      </c>
      <c r="C749">
        <v>4.9800000000000001E-3</v>
      </c>
      <c r="D749">
        <v>4.7299999999999998E-3</v>
      </c>
      <c r="E749">
        <v>4.8999999999999998E-3</v>
      </c>
      <c r="F749">
        <v>80395093.900000006</v>
      </c>
      <c r="G749">
        <v>0</v>
      </c>
      <c r="L749" t="s">
        <v>8</v>
      </c>
      <c r="M749" t="s">
        <v>7</v>
      </c>
      <c r="N749" t="s">
        <v>8</v>
      </c>
      <c r="P749">
        <f t="shared" si="999"/>
        <v>0.35999999999999888</v>
      </c>
      <c r="Q749">
        <f t="shared" si="1000"/>
        <v>28942233.803999912</v>
      </c>
      <c r="R749">
        <f t="shared" si="1001"/>
        <v>-1654091526.8645356</v>
      </c>
      <c r="S749">
        <f t="shared" si="1002"/>
        <v>-16540.915268645356</v>
      </c>
      <c r="T749">
        <f t="shared" si="1003"/>
        <v>-16.540915268645357</v>
      </c>
    </row>
    <row r="750" spans="1:20" x14ac:dyDescent="0.25">
      <c r="A750" s="5">
        <v>43843</v>
      </c>
      <c r="B750">
        <v>4.64E-3</v>
      </c>
      <c r="C750">
        <v>4.9300000000000004E-3</v>
      </c>
      <c r="D750">
        <v>4.5599999999999998E-3</v>
      </c>
      <c r="E750">
        <v>4.7699999999999999E-3</v>
      </c>
      <c r="F750">
        <v>69531319.200000003</v>
      </c>
      <c r="G750">
        <v>0</v>
      </c>
      <c r="L750" t="s">
        <v>8</v>
      </c>
      <c r="M750" t="s">
        <v>7</v>
      </c>
      <c r="N750" t="s">
        <v>8</v>
      </c>
      <c r="P750">
        <f t="shared" si="999"/>
        <v>0.13513513513513412</v>
      </c>
      <c r="Q750">
        <f t="shared" si="1000"/>
        <v>9396124.2162161451</v>
      </c>
      <c r="R750">
        <f t="shared" si="1001"/>
        <v>-1683033760.6685355</v>
      </c>
      <c r="S750">
        <f t="shared" si="1002"/>
        <v>-16830.337606685356</v>
      </c>
      <c r="T750">
        <f t="shared" si="1003"/>
        <v>-16.830337606685355</v>
      </c>
    </row>
    <row r="751" spans="1:20" x14ac:dyDescent="0.25">
      <c r="A751" s="5">
        <v>43842</v>
      </c>
      <c r="B751">
        <v>4.62E-3</v>
      </c>
      <c r="C751">
        <v>4.7000000000000002E-3</v>
      </c>
      <c r="D751">
        <v>4.6100000000000004E-3</v>
      </c>
      <c r="E751">
        <v>4.64E-3</v>
      </c>
      <c r="F751">
        <v>20490474.300000001</v>
      </c>
      <c r="G751">
        <v>0</v>
      </c>
      <c r="L751" t="s">
        <v>8</v>
      </c>
      <c r="M751" t="s">
        <v>7</v>
      </c>
      <c r="N751" t="s">
        <v>8</v>
      </c>
      <c r="P751">
        <f t="shared" si="999"/>
        <v>-0.33333333333333975</v>
      </c>
      <c r="Q751">
        <f t="shared" si="1000"/>
        <v>-6830158.1000001319</v>
      </c>
      <c r="R751">
        <f t="shared" si="1001"/>
        <v>-1692429884.8847516</v>
      </c>
      <c r="S751">
        <f t="shared" si="1002"/>
        <v>-16924.298848847517</v>
      </c>
      <c r="T751">
        <f t="shared" si="1003"/>
        <v>-16.924298848847517</v>
      </c>
    </row>
    <row r="752" spans="1:20" x14ac:dyDescent="0.25">
      <c r="A752" s="5">
        <v>43841</v>
      </c>
      <c r="B752">
        <v>4.64E-3</v>
      </c>
      <c r="C752">
        <v>4.7299999999999998E-3</v>
      </c>
      <c r="D752">
        <v>4.5599999999999998E-3</v>
      </c>
      <c r="E752">
        <v>4.62E-3</v>
      </c>
      <c r="F752">
        <v>28916086.300000001</v>
      </c>
      <c r="G752">
        <v>0</v>
      </c>
      <c r="L752" t="s">
        <v>8</v>
      </c>
      <c r="M752" t="s">
        <v>7</v>
      </c>
      <c r="N752" t="s">
        <v>8</v>
      </c>
      <c r="P752">
        <f t="shared" si="999"/>
        <v>-0.29411764705882171</v>
      </c>
      <c r="Q752">
        <f t="shared" si="1000"/>
        <v>-8504731.2647058293</v>
      </c>
      <c r="R752">
        <f t="shared" si="1001"/>
        <v>-1685599726.7847514</v>
      </c>
      <c r="S752">
        <f t="shared" si="1002"/>
        <v>-16855.997267847513</v>
      </c>
      <c r="T752">
        <f t="shared" si="1003"/>
        <v>-16.855997267847513</v>
      </c>
    </row>
    <row r="753" spans="1:20" x14ac:dyDescent="0.25">
      <c r="A753" s="5">
        <v>43840</v>
      </c>
      <c r="B753">
        <v>4.5799999999999999E-3</v>
      </c>
      <c r="C753">
        <v>4.6600000000000001E-3</v>
      </c>
      <c r="D753">
        <v>4.5199999999999997E-3</v>
      </c>
      <c r="E753">
        <v>4.6299999999999996E-3</v>
      </c>
      <c r="F753">
        <v>29487534.300000001</v>
      </c>
      <c r="G753">
        <v>0</v>
      </c>
      <c r="L753" t="s">
        <v>8</v>
      </c>
      <c r="M753" t="s">
        <v>7</v>
      </c>
      <c r="N753" t="s">
        <v>8</v>
      </c>
      <c r="P753">
        <f t="shared" si="999"/>
        <v>0.57142857142856518</v>
      </c>
      <c r="Q753">
        <f t="shared" si="1000"/>
        <v>16850019.599999815</v>
      </c>
      <c r="R753">
        <f t="shared" si="1001"/>
        <v>-1677094995.5200455</v>
      </c>
      <c r="S753">
        <f t="shared" si="1002"/>
        <v>-16770.949955200456</v>
      </c>
      <c r="T753">
        <f t="shared" si="1003"/>
        <v>-16.770949955200457</v>
      </c>
    </row>
    <row r="754" spans="1:20" x14ac:dyDescent="0.25">
      <c r="A754" s="5">
        <v>43839</v>
      </c>
      <c r="B754">
        <v>4.6299999999999996E-3</v>
      </c>
      <c r="C754">
        <v>4.7800000000000004E-3</v>
      </c>
      <c r="D754">
        <v>4.5500000000000002E-3</v>
      </c>
      <c r="E754">
        <v>4.5799999999999999E-3</v>
      </c>
      <c r="F754">
        <v>26639073.699999999</v>
      </c>
      <c r="G754">
        <v>0</v>
      </c>
      <c r="L754" t="s">
        <v>8</v>
      </c>
      <c r="M754" t="s">
        <v>7</v>
      </c>
      <c r="N754" t="s">
        <v>8</v>
      </c>
      <c r="P754">
        <f t="shared" si="999"/>
        <v>-0.73913043478261198</v>
      </c>
      <c r="Q754">
        <f t="shared" si="1000"/>
        <v>-19689750.126087043</v>
      </c>
      <c r="R754">
        <f t="shared" si="1001"/>
        <v>-1693945015.1200454</v>
      </c>
      <c r="S754">
        <f t="shared" si="1002"/>
        <v>-16939.450151200454</v>
      </c>
      <c r="T754">
        <f t="shared" si="1003"/>
        <v>-16.939450151200454</v>
      </c>
    </row>
    <row r="755" spans="1:20" x14ac:dyDescent="0.25">
      <c r="A755" s="5">
        <v>43838</v>
      </c>
      <c r="B755">
        <v>4.5599999999999998E-3</v>
      </c>
      <c r="C755">
        <v>4.7999999999999996E-3</v>
      </c>
      <c r="D755">
        <v>4.5199999999999997E-3</v>
      </c>
      <c r="E755">
        <v>4.5999999999999999E-3</v>
      </c>
      <c r="F755">
        <v>51766294.200000003</v>
      </c>
      <c r="G755">
        <v>0</v>
      </c>
      <c r="L755" t="s">
        <v>8</v>
      </c>
      <c r="M755" t="s">
        <v>7</v>
      </c>
      <c r="N755" t="s">
        <v>8</v>
      </c>
      <c r="P755">
        <f t="shared" si="999"/>
        <v>-0.42857142857142683</v>
      </c>
      <c r="Q755">
        <f t="shared" si="1000"/>
        <v>-22185554.65714277</v>
      </c>
      <c r="R755">
        <f t="shared" si="1001"/>
        <v>-1674255264.9939585</v>
      </c>
      <c r="S755">
        <f t="shared" si="1002"/>
        <v>-16742.552649939586</v>
      </c>
      <c r="T755">
        <f t="shared" si="1003"/>
        <v>-16.742552649939586</v>
      </c>
    </row>
    <row r="756" spans="1:20" x14ac:dyDescent="0.25">
      <c r="A756" s="5">
        <v>43837</v>
      </c>
      <c r="B756">
        <v>4.7699999999999999E-3</v>
      </c>
      <c r="C756">
        <v>4.8300000000000001E-3</v>
      </c>
      <c r="D756">
        <v>4.3899999999999998E-3</v>
      </c>
      <c r="E756">
        <v>4.5500000000000002E-3</v>
      </c>
      <c r="F756">
        <v>96219352</v>
      </c>
      <c r="G756">
        <v>0</v>
      </c>
      <c r="L756" t="s">
        <v>7</v>
      </c>
      <c r="M756" t="s">
        <v>7</v>
      </c>
      <c r="N756" t="s">
        <v>8</v>
      </c>
      <c r="P756">
        <f t="shared" si="999"/>
        <v>-0.27272727272727132</v>
      </c>
      <c r="Q756">
        <f t="shared" si="1000"/>
        <v>-26241641.454545319</v>
      </c>
      <c r="R756">
        <f t="shared" si="1001"/>
        <v>-1652069710.3368156</v>
      </c>
      <c r="S756">
        <f t="shared" si="1002"/>
        <v>-16520.697103368155</v>
      </c>
      <c r="T756">
        <f t="shared" si="1003"/>
        <v>-16.520697103368153</v>
      </c>
    </row>
    <row r="757" spans="1:20" x14ac:dyDescent="0.25">
      <c r="A757" s="5">
        <v>43836</v>
      </c>
      <c r="B757">
        <v>4.6600000000000001E-3</v>
      </c>
      <c r="C757">
        <v>4.8799999999999998E-3</v>
      </c>
      <c r="D757">
        <v>4.5900000000000003E-3</v>
      </c>
      <c r="E757">
        <v>4.7600000000000003E-3</v>
      </c>
      <c r="F757">
        <v>48534963.200000003</v>
      </c>
      <c r="G757">
        <v>0</v>
      </c>
      <c r="L757" t="s">
        <v>8</v>
      </c>
      <c r="M757" t="s">
        <v>7</v>
      </c>
      <c r="N757" t="s">
        <v>8</v>
      </c>
      <c r="P757">
        <f t="shared" si="999"/>
        <v>0.17241379310345054</v>
      </c>
      <c r="Q757">
        <f t="shared" si="1000"/>
        <v>8368097.1034483863</v>
      </c>
      <c r="R757">
        <f t="shared" si="1001"/>
        <v>-1625828068.8822703</v>
      </c>
      <c r="S757">
        <f t="shared" si="1002"/>
        <v>-16258.280688822704</v>
      </c>
      <c r="T757">
        <f t="shared" si="1003"/>
        <v>-16.258280688822705</v>
      </c>
    </row>
    <row r="758" spans="1:20" x14ac:dyDescent="0.25">
      <c r="A758" s="5">
        <v>43835</v>
      </c>
      <c r="B758">
        <v>4.7600000000000003E-3</v>
      </c>
      <c r="C758">
        <v>4.8900000000000002E-3</v>
      </c>
      <c r="D758">
        <v>4.5100000000000001E-3</v>
      </c>
      <c r="E758">
        <v>4.6600000000000001E-3</v>
      </c>
      <c r="F758">
        <v>68975987.5</v>
      </c>
      <c r="G758">
        <v>0</v>
      </c>
      <c r="L758" t="s">
        <v>7</v>
      </c>
      <c r="M758" t="s">
        <v>7</v>
      </c>
      <c r="N758" t="s">
        <v>8</v>
      </c>
      <c r="P758">
        <f t="shared" si="999"/>
        <v>-0.21052631578947417</v>
      </c>
      <c r="Q758">
        <f t="shared" si="1000"/>
        <v>-14521260.526315823</v>
      </c>
      <c r="R758">
        <f t="shared" si="1001"/>
        <v>-1634196165.9857187</v>
      </c>
      <c r="S758">
        <f t="shared" si="1002"/>
        <v>-16341.961659857187</v>
      </c>
      <c r="T758">
        <f t="shared" si="1003"/>
        <v>-16.341961659857187</v>
      </c>
    </row>
    <row r="759" spans="1:20" x14ac:dyDescent="0.25">
      <c r="A759" s="5">
        <v>43834</v>
      </c>
      <c r="B759">
        <v>4.7800000000000004E-3</v>
      </c>
      <c r="C759">
        <v>4.9300000000000004E-3</v>
      </c>
      <c r="D759">
        <v>4.7099999999999998E-3</v>
      </c>
      <c r="E759">
        <v>4.7499999999999999E-3</v>
      </c>
      <c r="F759">
        <v>41308841</v>
      </c>
      <c r="G759">
        <v>0</v>
      </c>
      <c r="L759" t="s">
        <v>8</v>
      </c>
      <c r="M759" t="s">
        <v>7</v>
      </c>
      <c r="N759" t="s">
        <v>8</v>
      </c>
      <c r="P759">
        <f t="shared" si="999"/>
        <v>-0.63636363636363635</v>
      </c>
      <c r="Q759">
        <f t="shared" si="1000"/>
        <v>-26287444.272727273</v>
      </c>
      <c r="R759">
        <f t="shared" si="1001"/>
        <v>-1619674905.4594028</v>
      </c>
      <c r="S759">
        <f t="shared" si="1002"/>
        <v>-16196.749054594027</v>
      </c>
      <c r="T759">
        <f t="shared" si="1003"/>
        <v>-16.196749054594026</v>
      </c>
    </row>
    <row r="760" spans="1:20" x14ac:dyDescent="0.25">
      <c r="A760" s="5">
        <v>43833</v>
      </c>
      <c r="B760">
        <v>4.7099999999999998E-3</v>
      </c>
      <c r="C760">
        <v>4.9100000000000003E-3</v>
      </c>
      <c r="D760">
        <v>4.5999999999999999E-3</v>
      </c>
      <c r="E760">
        <v>4.7800000000000004E-3</v>
      </c>
      <c r="F760">
        <v>71844273.700000003</v>
      </c>
      <c r="G760">
        <v>0</v>
      </c>
      <c r="L760" t="s">
        <v>8</v>
      </c>
      <c r="M760" t="s">
        <v>7</v>
      </c>
      <c r="N760" t="s">
        <v>8</v>
      </c>
      <c r="P760">
        <f t="shared" si="999"/>
        <v>0.16129032258064679</v>
      </c>
      <c r="Q760">
        <f t="shared" si="1000"/>
        <v>11587786.08064528</v>
      </c>
      <c r="R760">
        <f t="shared" si="1001"/>
        <v>-1593387461.1866755</v>
      </c>
      <c r="S760">
        <f t="shared" si="1002"/>
        <v>-15933.874611866755</v>
      </c>
      <c r="T760">
        <f t="shared" si="1003"/>
        <v>-15.933874611866756</v>
      </c>
    </row>
    <row r="761" spans="1:20" x14ac:dyDescent="0.25">
      <c r="A761" s="5">
        <v>43832</v>
      </c>
      <c r="B761">
        <v>4.6499999999999996E-3</v>
      </c>
      <c r="C761">
        <v>4.9199999999999999E-3</v>
      </c>
      <c r="D761">
        <v>4.4799999999999996E-3</v>
      </c>
      <c r="E761">
        <v>4.7000000000000002E-3</v>
      </c>
      <c r="F761">
        <v>82944472.5</v>
      </c>
      <c r="G761">
        <v>0</v>
      </c>
      <c r="L761" t="s">
        <v>8</v>
      </c>
      <c r="M761" t="s">
        <v>7</v>
      </c>
      <c r="N761" t="s">
        <v>8</v>
      </c>
      <c r="P761">
        <f t="shared" si="999"/>
        <v>1.9712766772463703E-15</v>
      </c>
      <c r="Q761">
        <f t="shared" si="1000"/>
        <v>1.6350650414575294E-7</v>
      </c>
      <c r="R761">
        <f t="shared" si="1001"/>
        <v>-1604975247.2673209</v>
      </c>
      <c r="S761">
        <f t="shared" si="1002"/>
        <v>-16049.752472673208</v>
      </c>
      <c r="T761">
        <f t="shared" si="1003"/>
        <v>-16.049752472673209</v>
      </c>
    </row>
    <row r="762" spans="1:20" x14ac:dyDescent="0.25">
      <c r="A762" s="5">
        <v>43831</v>
      </c>
      <c r="B762">
        <v>4.5799999999999999E-3</v>
      </c>
      <c r="C762">
        <v>4.7299999999999998E-3</v>
      </c>
      <c r="D762">
        <v>4.5799999999999999E-3</v>
      </c>
      <c r="E762">
        <v>4.6600000000000001E-3</v>
      </c>
      <c r="F762">
        <v>22394200.399999999</v>
      </c>
      <c r="G762">
        <v>0</v>
      </c>
      <c r="L762" t="s">
        <v>7</v>
      </c>
      <c r="M762" t="s">
        <v>7</v>
      </c>
      <c r="N762" t="s">
        <v>8</v>
      </c>
      <c r="P762">
        <f t="shared" si="999"/>
        <v>6.6666666666669747E-2</v>
      </c>
      <c r="Q762">
        <f t="shared" si="1000"/>
        <v>1492946.6933334023</v>
      </c>
      <c r="R762">
        <f t="shared" si="1001"/>
        <v>-1604975247.2673211</v>
      </c>
      <c r="S762">
        <f t="shared" si="1002"/>
        <v>-16049.752472673212</v>
      </c>
      <c r="T762">
        <f t="shared" si="1003"/>
        <v>-16.049752472673212</v>
      </c>
    </row>
    <row r="763" spans="1:20" x14ac:dyDescent="0.25">
      <c r="A763" s="5">
        <v>43830</v>
      </c>
      <c r="B763">
        <v>4.6899999999999997E-3</v>
      </c>
      <c r="C763">
        <v>4.7600000000000003E-3</v>
      </c>
      <c r="D763">
        <v>4.4400000000000004E-3</v>
      </c>
      <c r="E763">
        <v>4.5700000000000003E-3</v>
      </c>
      <c r="F763">
        <v>23533034.300000001</v>
      </c>
      <c r="G763">
        <v>0</v>
      </c>
      <c r="L763" t="s">
        <v>7</v>
      </c>
      <c r="M763" t="s">
        <v>7</v>
      </c>
      <c r="N763" t="s">
        <v>8</v>
      </c>
      <c r="P763">
        <f t="shared" si="999"/>
        <v>-0.1875000000000005</v>
      </c>
      <c r="Q763">
        <f t="shared" si="1000"/>
        <v>-4412443.9312500115</v>
      </c>
      <c r="R763">
        <f t="shared" si="1001"/>
        <v>-1606468193.9606545</v>
      </c>
      <c r="S763">
        <f t="shared" si="1002"/>
        <v>-16064.681939606546</v>
      </c>
      <c r="T763">
        <f t="shared" si="1003"/>
        <v>-16.064681939606547</v>
      </c>
    </row>
    <row r="764" spans="1:20" x14ac:dyDescent="0.25">
      <c r="A764" s="5">
        <v>43829</v>
      </c>
      <c r="B764">
        <v>4.7800000000000004E-3</v>
      </c>
      <c r="C764">
        <v>4.8599999999999997E-3</v>
      </c>
      <c r="D764">
        <v>4.62E-3</v>
      </c>
      <c r="E764">
        <v>4.6800000000000001E-3</v>
      </c>
      <c r="F764">
        <v>45265834.5</v>
      </c>
      <c r="G764">
        <v>0</v>
      </c>
      <c r="L764" t="s">
        <v>7</v>
      </c>
      <c r="M764" t="s">
        <v>8</v>
      </c>
      <c r="N764" t="s">
        <v>8</v>
      </c>
      <c r="P764">
        <f t="shared" si="999"/>
        <v>-0.49999999999999817</v>
      </c>
      <c r="Q764">
        <f t="shared" si="1000"/>
        <v>-22632917.249999918</v>
      </c>
      <c r="R764">
        <f t="shared" si="1001"/>
        <v>-1602055750.0294044</v>
      </c>
      <c r="S764">
        <f t="shared" si="1002"/>
        <v>-16020.557500294044</v>
      </c>
      <c r="T764">
        <f t="shared" si="1003"/>
        <v>-16.020557500294043</v>
      </c>
    </row>
    <row r="765" spans="1:20" x14ac:dyDescent="0.25">
      <c r="A765" s="5">
        <v>43828</v>
      </c>
      <c r="B765">
        <v>4.7699999999999999E-3</v>
      </c>
      <c r="C765">
        <v>4.9699999999999996E-3</v>
      </c>
      <c r="D765">
        <v>4.6899999999999997E-3</v>
      </c>
      <c r="E765">
        <v>4.79E-3</v>
      </c>
      <c r="F765">
        <v>29319749.5</v>
      </c>
      <c r="G765">
        <v>0</v>
      </c>
      <c r="L765" t="s">
        <v>8</v>
      </c>
      <c r="M765" t="s">
        <v>8</v>
      </c>
      <c r="N765" t="s">
        <v>8</v>
      </c>
      <c r="P765">
        <f t="shared" si="999"/>
        <v>-0.28571428571428348</v>
      </c>
      <c r="Q765">
        <f t="shared" si="1000"/>
        <v>-8377071.2857142203</v>
      </c>
      <c r="R765">
        <f t="shared" si="1001"/>
        <v>-1579422832.7794044</v>
      </c>
      <c r="S765">
        <f t="shared" si="1002"/>
        <v>-15794.228327794044</v>
      </c>
      <c r="T765">
        <f t="shared" si="1003"/>
        <v>-15.794228327794045</v>
      </c>
    </row>
    <row r="766" spans="1:20" x14ac:dyDescent="0.25">
      <c r="A766" s="5">
        <v>43827</v>
      </c>
      <c r="B766">
        <v>4.7999999999999996E-3</v>
      </c>
      <c r="C766">
        <v>4.8700000000000002E-3</v>
      </c>
      <c r="D766">
        <v>4.7600000000000003E-3</v>
      </c>
      <c r="E766">
        <v>4.7800000000000004E-3</v>
      </c>
      <c r="F766">
        <v>28387818.199999999</v>
      </c>
      <c r="G766">
        <v>0</v>
      </c>
      <c r="L766" t="s">
        <v>7</v>
      </c>
      <c r="M766" t="s">
        <v>8</v>
      </c>
      <c r="N766" t="s">
        <v>8</v>
      </c>
      <c r="P766">
        <f t="shared" si="999"/>
        <v>-0.63636363636363491</v>
      </c>
      <c r="Q766">
        <f t="shared" si="1000"/>
        <v>-18064975.218181778</v>
      </c>
      <c r="R766">
        <f t="shared" si="1001"/>
        <v>-1571045761.4936903</v>
      </c>
      <c r="S766">
        <f t="shared" si="1002"/>
        <v>-15710.457614936902</v>
      </c>
      <c r="T766">
        <f t="shared" si="1003"/>
        <v>-15.710457614936903</v>
      </c>
    </row>
    <row r="767" spans="1:20" x14ac:dyDescent="0.25">
      <c r="A767" s="5">
        <v>43826</v>
      </c>
      <c r="B767">
        <v>4.8399999999999997E-3</v>
      </c>
      <c r="C767">
        <v>4.8900000000000002E-3</v>
      </c>
      <c r="D767">
        <v>4.5999999999999999E-3</v>
      </c>
      <c r="E767">
        <v>4.7999999999999996E-3</v>
      </c>
      <c r="F767">
        <v>25712777.800000001</v>
      </c>
      <c r="G767">
        <v>0</v>
      </c>
      <c r="L767" t="s">
        <v>7</v>
      </c>
      <c r="M767" t="s">
        <v>8</v>
      </c>
      <c r="N767" t="s">
        <v>8</v>
      </c>
      <c r="P767">
        <f t="shared" ref="P767:P830" si="1004">IF(C767=D767,0,((E767-D767)-(C767-E767))/(C767-D767))</f>
        <v>0.3793103448275823</v>
      </c>
      <c r="Q767">
        <f t="shared" ref="Q767:Q830" si="1005">F767*P767</f>
        <v>9753122.6137930024</v>
      </c>
      <c r="R767">
        <f t="shared" ref="R767:R830" si="1006">R768+Q767</f>
        <v>-1552980786.2755084</v>
      </c>
      <c r="S767">
        <f t="shared" ref="S767:S830" si="1007">R767/100000</f>
        <v>-15529.807862755084</v>
      </c>
      <c r="T767">
        <f t="shared" ref="T767:T830" si="1008">S767/1000</f>
        <v>-15.529807862755083</v>
      </c>
    </row>
    <row r="768" spans="1:20" x14ac:dyDescent="0.25">
      <c r="A768" s="5">
        <v>43825</v>
      </c>
      <c r="B768">
        <v>4.7600000000000003E-3</v>
      </c>
      <c r="C768">
        <v>4.9699999999999996E-3</v>
      </c>
      <c r="D768">
        <v>4.6899999999999997E-3</v>
      </c>
      <c r="E768">
        <v>4.8399999999999997E-3</v>
      </c>
      <c r="F768">
        <v>49029983.799999997</v>
      </c>
      <c r="G768">
        <v>0</v>
      </c>
      <c r="L768" t="s">
        <v>8</v>
      </c>
      <c r="M768" t="s">
        <v>8</v>
      </c>
      <c r="N768" t="s">
        <v>8</v>
      </c>
      <c r="P768">
        <f t="shared" si="1004"/>
        <v>7.1428571428571647E-2</v>
      </c>
      <c r="Q768">
        <f t="shared" si="1005"/>
        <v>3502141.7000000104</v>
      </c>
      <c r="R768">
        <f t="shared" si="1006"/>
        <v>-1562733908.8893013</v>
      </c>
      <c r="S768">
        <f t="shared" si="1007"/>
        <v>-15627.339088893013</v>
      </c>
      <c r="T768">
        <f t="shared" si="1008"/>
        <v>-15.627339088893013</v>
      </c>
    </row>
    <row r="769" spans="1:20" x14ac:dyDescent="0.25">
      <c r="A769" s="5">
        <v>43824</v>
      </c>
      <c r="B769">
        <v>4.8900000000000002E-3</v>
      </c>
      <c r="C769">
        <v>4.9800000000000001E-3</v>
      </c>
      <c r="D769">
        <v>4.6499999999999996E-3</v>
      </c>
      <c r="E769">
        <v>4.7499999999999999E-3</v>
      </c>
      <c r="F769">
        <v>40625118.899999999</v>
      </c>
      <c r="G769">
        <v>0</v>
      </c>
      <c r="L769" t="s">
        <v>7</v>
      </c>
      <c r="M769" t="s">
        <v>8</v>
      </c>
      <c r="N769" t="s">
        <v>8</v>
      </c>
      <c r="P769">
        <f t="shared" si="1004"/>
        <v>-0.39393939393939315</v>
      </c>
      <c r="Q769">
        <f t="shared" si="1005"/>
        <v>-16003834.718181785</v>
      </c>
      <c r="R769">
        <f t="shared" si="1006"/>
        <v>-1566236050.5893013</v>
      </c>
      <c r="S769">
        <f t="shared" si="1007"/>
        <v>-15662.360505893013</v>
      </c>
      <c r="T769">
        <f t="shared" si="1008"/>
        <v>-15.662360505893014</v>
      </c>
    </row>
    <row r="770" spans="1:20" x14ac:dyDescent="0.25">
      <c r="A770" s="5">
        <v>43823</v>
      </c>
      <c r="B770">
        <v>4.8599999999999997E-3</v>
      </c>
      <c r="C770">
        <v>5.0400000000000002E-3</v>
      </c>
      <c r="D770">
        <v>4.8199999999999996E-3</v>
      </c>
      <c r="E770">
        <v>4.8799999999999998E-3</v>
      </c>
      <c r="F770">
        <v>38023465</v>
      </c>
      <c r="G770">
        <v>0</v>
      </c>
      <c r="L770" t="s">
        <v>7</v>
      </c>
      <c r="M770" t="s">
        <v>8</v>
      </c>
      <c r="N770" t="s">
        <v>8</v>
      </c>
      <c r="P770">
        <f t="shared" si="1004"/>
        <v>-0.45454545454545453</v>
      </c>
      <c r="Q770">
        <f t="shared" si="1005"/>
        <v>-17283393.18181818</v>
      </c>
      <c r="R770">
        <f t="shared" si="1006"/>
        <v>-1550232215.8711195</v>
      </c>
      <c r="S770">
        <f t="shared" si="1007"/>
        <v>-15502.322158711195</v>
      </c>
      <c r="T770">
        <f t="shared" si="1008"/>
        <v>-15.502322158711195</v>
      </c>
    </row>
    <row r="771" spans="1:20" x14ac:dyDescent="0.25">
      <c r="A771" s="5">
        <v>43822</v>
      </c>
      <c r="B771">
        <v>5.11E-3</v>
      </c>
      <c r="C771">
        <v>5.4000000000000003E-3</v>
      </c>
      <c r="D771">
        <v>4.81E-3</v>
      </c>
      <c r="E771">
        <v>4.8599999999999997E-3</v>
      </c>
      <c r="F771">
        <v>288972204.5</v>
      </c>
      <c r="G771">
        <v>0</v>
      </c>
      <c r="L771" t="s">
        <v>8</v>
      </c>
      <c r="M771" t="s">
        <v>8</v>
      </c>
      <c r="N771" t="s">
        <v>8</v>
      </c>
      <c r="P771">
        <f t="shared" si="1004"/>
        <v>-0.8305084745762723</v>
      </c>
      <c r="Q771">
        <f t="shared" si="1005"/>
        <v>-239993864.75423762</v>
      </c>
      <c r="R771">
        <f t="shared" si="1006"/>
        <v>-1532948822.6893013</v>
      </c>
      <c r="S771">
        <f t="shared" si="1007"/>
        <v>-15329.488226893012</v>
      </c>
      <c r="T771">
        <f t="shared" si="1008"/>
        <v>-15.329488226893012</v>
      </c>
    </row>
    <row r="772" spans="1:20" x14ac:dyDescent="0.25">
      <c r="A772" s="5">
        <v>43821</v>
      </c>
      <c r="B772">
        <v>5.0600000000000003E-3</v>
      </c>
      <c r="C772">
        <v>5.2500000000000003E-3</v>
      </c>
      <c r="D772">
        <v>4.7299999999999998E-3</v>
      </c>
      <c r="E772">
        <v>5.11E-3</v>
      </c>
      <c r="F772">
        <v>67242646.400000006</v>
      </c>
      <c r="G772">
        <v>0</v>
      </c>
      <c r="L772" t="s">
        <v>7</v>
      </c>
      <c r="M772" t="s">
        <v>8</v>
      </c>
      <c r="N772" t="s">
        <v>7</v>
      </c>
      <c r="P772">
        <f t="shared" si="1004"/>
        <v>0.46153846153846062</v>
      </c>
      <c r="Q772">
        <f t="shared" si="1005"/>
        <v>31035067.569230709</v>
      </c>
      <c r="R772">
        <f t="shared" si="1006"/>
        <v>-1292954957.9350636</v>
      </c>
      <c r="S772">
        <f t="shared" si="1007"/>
        <v>-12929.549579350636</v>
      </c>
      <c r="T772">
        <f t="shared" si="1008"/>
        <v>-12.929549579350637</v>
      </c>
    </row>
    <row r="773" spans="1:20" x14ac:dyDescent="0.25">
      <c r="A773" s="5">
        <v>43820</v>
      </c>
      <c r="B773">
        <v>4.9199999999999999E-3</v>
      </c>
      <c r="C773">
        <v>5.1900000000000002E-3</v>
      </c>
      <c r="D773">
        <v>4.8700000000000002E-3</v>
      </c>
      <c r="E773">
        <v>5.0800000000000003E-3</v>
      </c>
      <c r="F773">
        <v>79664750.799999997</v>
      </c>
      <c r="G773">
        <v>0</v>
      </c>
      <c r="L773" t="s">
        <v>8</v>
      </c>
      <c r="M773" t="s">
        <v>8</v>
      </c>
      <c r="N773" t="s">
        <v>7</v>
      </c>
      <c r="P773">
        <f t="shared" si="1004"/>
        <v>0.31250000000000083</v>
      </c>
      <c r="Q773">
        <f t="shared" si="1005"/>
        <v>24895234.625000067</v>
      </c>
      <c r="R773">
        <f t="shared" si="1006"/>
        <v>-1323990025.5042944</v>
      </c>
      <c r="S773">
        <f t="shared" si="1007"/>
        <v>-13239.900255042943</v>
      </c>
      <c r="T773">
        <f t="shared" si="1008"/>
        <v>-13.239900255042944</v>
      </c>
    </row>
    <row r="774" spans="1:20" x14ac:dyDescent="0.25">
      <c r="A774" s="5">
        <v>43819</v>
      </c>
      <c r="B774">
        <v>4.6299999999999996E-3</v>
      </c>
      <c r="C774">
        <v>5.0400000000000002E-3</v>
      </c>
      <c r="D774">
        <v>4.5199999999999997E-3</v>
      </c>
      <c r="E774">
        <v>4.8999999999999998E-3</v>
      </c>
      <c r="F774">
        <v>109421771.5</v>
      </c>
      <c r="G774">
        <v>0</v>
      </c>
      <c r="L774" t="s">
        <v>8</v>
      </c>
      <c r="M774" t="s">
        <v>8</v>
      </c>
      <c r="N774" t="s">
        <v>7</v>
      </c>
      <c r="P774">
        <f t="shared" si="1004"/>
        <v>0.46153846153846062</v>
      </c>
      <c r="Q774">
        <f t="shared" si="1005"/>
        <v>50502356.076922975</v>
      </c>
      <c r="R774">
        <f t="shared" si="1006"/>
        <v>-1348885260.1292944</v>
      </c>
      <c r="S774">
        <f t="shared" si="1007"/>
        <v>-13488.852601292943</v>
      </c>
      <c r="T774">
        <f t="shared" si="1008"/>
        <v>-13.488852601292944</v>
      </c>
    </row>
    <row r="775" spans="1:20" x14ac:dyDescent="0.25">
      <c r="A775" s="5">
        <v>43818</v>
      </c>
      <c r="B775">
        <v>4.45E-3</v>
      </c>
      <c r="C775">
        <v>4.7499999999999999E-3</v>
      </c>
      <c r="D775">
        <v>4.2500000000000003E-3</v>
      </c>
      <c r="E775">
        <v>4.64E-3</v>
      </c>
      <c r="F775">
        <v>83428119.900000006</v>
      </c>
      <c r="G775">
        <v>0</v>
      </c>
      <c r="L775" t="s">
        <v>7</v>
      </c>
      <c r="M775" t="s">
        <v>8</v>
      </c>
      <c r="N775" t="s">
        <v>7</v>
      </c>
      <c r="P775">
        <f t="shared" si="1004"/>
        <v>0.56000000000000016</v>
      </c>
      <c r="Q775">
        <f t="shared" si="1005"/>
        <v>46719747.144000016</v>
      </c>
      <c r="R775">
        <f t="shared" si="1006"/>
        <v>-1399387616.2062173</v>
      </c>
      <c r="S775">
        <f t="shared" si="1007"/>
        <v>-13993.876162062174</v>
      </c>
      <c r="T775">
        <f t="shared" si="1008"/>
        <v>-13.993876162062174</v>
      </c>
    </row>
    <row r="776" spans="1:20" x14ac:dyDescent="0.25">
      <c r="A776" s="5">
        <v>43817</v>
      </c>
      <c r="B776">
        <v>4.0400000000000002E-3</v>
      </c>
      <c r="C776">
        <v>4.7200000000000002E-3</v>
      </c>
      <c r="D776">
        <v>3.8999999999999998E-3</v>
      </c>
      <c r="E776">
        <v>4.45E-3</v>
      </c>
      <c r="F776">
        <v>151810514.30000001</v>
      </c>
      <c r="G776">
        <v>0</v>
      </c>
      <c r="L776" t="s">
        <v>8</v>
      </c>
      <c r="M776" t="s">
        <v>8</v>
      </c>
      <c r="N776" t="s">
        <v>7</v>
      </c>
      <c r="P776">
        <f t="shared" si="1004"/>
        <v>0.34146341463414598</v>
      </c>
      <c r="Q776">
        <f t="shared" si="1005"/>
        <v>51837736.590243854</v>
      </c>
      <c r="R776">
        <f t="shared" si="1006"/>
        <v>-1446107363.3502173</v>
      </c>
      <c r="S776">
        <f t="shared" si="1007"/>
        <v>-14461.073633502174</v>
      </c>
      <c r="T776">
        <f t="shared" si="1008"/>
        <v>-14.461073633502174</v>
      </c>
    </row>
    <row r="777" spans="1:20" x14ac:dyDescent="0.25">
      <c r="A777" s="5">
        <v>43816</v>
      </c>
      <c r="B777">
        <v>4.4999999999999997E-3</v>
      </c>
      <c r="C777">
        <v>4.4999999999999997E-3</v>
      </c>
      <c r="D777">
        <v>3.8999999999999998E-3</v>
      </c>
      <c r="E777">
        <v>4.0299999999999997E-3</v>
      </c>
      <c r="F777">
        <v>142851905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-0.56666666666666687</v>
      </c>
      <c r="Q777">
        <f t="shared" si="1005"/>
        <v>-80949412.833333358</v>
      </c>
      <c r="R777">
        <f t="shared" si="1006"/>
        <v>-1497945099.9404612</v>
      </c>
      <c r="S777">
        <f t="shared" si="1007"/>
        <v>-14979.450999404611</v>
      </c>
      <c r="T777">
        <f t="shared" si="1008"/>
        <v>-14.979450999404611</v>
      </c>
    </row>
    <row r="778" spans="1:20" x14ac:dyDescent="0.25">
      <c r="A778" s="5">
        <v>43815</v>
      </c>
      <c r="B778">
        <v>4.9500000000000004E-3</v>
      </c>
      <c r="C778">
        <v>5.0499999999999998E-3</v>
      </c>
      <c r="D778">
        <v>4.28E-3</v>
      </c>
      <c r="E778">
        <v>4.5100000000000001E-3</v>
      </c>
      <c r="F778">
        <v>118521129.90000001</v>
      </c>
      <c r="G778">
        <v>0</v>
      </c>
      <c r="L778" t="s">
        <v>7</v>
      </c>
      <c r="M778" t="s">
        <v>7</v>
      </c>
      <c r="N778" t="s">
        <v>7</v>
      </c>
      <c r="P778">
        <f t="shared" si="1004"/>
        <v>-0.40259740259740207</v>
      </c>
      <c r="Q778">
        <f t="shared" si="1005"/>
        <v>-47716299.050649293</v>
      </c>
      <c r="R778">
        <f t="shared" si="1006"/>
        <v>-1416995687.1071279</v>
      </c>
      <c r="S778">
        <f t="shared" si="1007"/>
        <v>-14169.956871071279</v>
      </c>
      <c r="T778">
        <f t="shared" si="1008"/>
        <v>-14.16995687107128</v>
      </c>
    </row>
    <row r="779" spans="1:20" x14ac:dyDescent="0.25">
      <c r="A779" s="5">
        <v>43814</v>
      </c>
      <c r="B779">
        <v>4.7600000000000003E-3</v>
      </c>
      <c r="C779">
        <v>5.11E-3</v>
      </c>
      <c r="D779">
        <v>4.62E-3</v>
      </c>
      <c r="E779">
        <v>4.9399999999999999E-3</v>
      </c>
      <c r="F779">
        <v>93605471</v>
      </c>
      <c r="G779">
        <v>0</v>
      </c>
      <c r="L779" t="s">
        <v>7</v>
      </c>
      <c r="M779" t="s">
        <v>7</v>
      </c>
      <c r="N779" t="s">
        <v>7</v>
      </c>
      <c r="P779">
        <f t="shared" si="1004"/>
        <v>0.30612244897959179</v>
      </c>
      <c r="Q779">
        <f t="shared" si="1005"/>
        <v>28654736.020408157</v>
      </c>
      <c r="R779">
        <f t="shared" si="1006"/>
        <v>-1369279388.0564785</v>
      </c>
      <c r="S779">
        <f t="shared" si="1007"/>
        <v>-13692.793880564785</v>
      </c>
      <c r="T779">
        <f t="shared" si="1008"/>
        <v>-13.692793880564784</v>
      </c>
    </row>
    <row r="780" spans="1:20" x14ac:dyDescent="0.25">
      <c r="A780" s="5">
        <v>43813</v>
      </c>
      <c r="B780">
        <v>5.3899999999999998E-3</v>
      </c>
      <c r="C780">
        <v>5.3899999999999998E-3</v>
      </c>
      <c r="D780">
        <v>4.7099999999999998E-3</v>
      </c>
      <c r="E780">
        <v>4.7499999999999999E-3</v>
      </c>
      <c r="F780">
        <v>134823704</v>
      </c>
      <c r="G780">
        <v>0</v>
      </c>
      <c r="L780" t="s">
        <v>7</v>
      </c>
      <c r="M780" t="s">
        <v>7</v>
      </c>
      <c r="N780" t="s">
        <v>7</v>
      </c>
      <c r="P780">
        <f t="shared" si="1004"/>
        <v>-0.88235294117647034</v>
      </c>
      <c r="Q780">
        <f t="shared" si="1005"/>
        <v>-118962091.76470585</v>
      </c>
      <c r="R780">
        <f t="shared" si="1006"/>
        <v>-1397934124.0768867</v>
      </c>
      <c r="S780">
        <f t="shared" si="1007"/>
        <v>-13979.341240768867</v>
      </c>
      <c r="T780">
        <f t="shared" si="1008"/>
        <v>-13.979341240768866</v>
      </c>
    </row>
    <row r="781" spans="1:20" x14ac:dyDescent="0.25">
      <c r="A781" s="5">
        <v>43812</v>
      </c>
      <c r="B781">
        <v>5.3299999999999997E-3</v>
      </c>
      <c r="C781">
        <v>5.4900000000000001E-3</v>
      </c>
      <c r="D781">
        <v>5.2399999999999999E-3</v>
      </c>
      <c r="E781">
        <v>5.4200000000000003E-3</v>
      </c>
      <c r="F781">
        <v>106950822.3</v>
      </c>
      <c r="G781">
        <v>0</v>
      </c>
      <c r="L781" t="s">
        <v>7</v>
      </c>
      <c r="M781" t="s">
        <v>8</v>
      </c>
      <c r="N781" t="s">
        <v>7</v>
      </c>
      <c r="P781">
        <f t="shared" si="1004"/>
        <v>0.4400000000000025</v>
      </c>
      <c r="Q781">
        <f t="shared" si="1005"/>
        <v>47058361.812000267</v>
      </c>
      <c r="R781">
        <f t="shared" si="1006"/>
        <v>-1278972032.3121808</v>
      </c>
      <c r="S781">
        <f t="shared" si="1007"/>
        <v>-12789.720323121808</v>
      </c>
      <c r="T781">
        <f t="shared" si="1008"/>
        <v>-12.789720323121808</v>
      </c>
    </row>
    <row r="782" spans="1:20" x14ac:dyDescent="0.25">
      <c r="A782" s="5">
        <v>43811</v>
      </c>
      <c r="B782">
        <v>5.7200000000000003E-3</v>
      </c>
      <c r="C782">
        <v>5.7600000000000004E-3</v>
      </c>
      <c r="D782">
        <v>5.1799999999999997E-3</v>
      </c>
      <c r="E782">
        <v>5.3600000000000002E-3</v>
      </c>
      <c r="F782">
        <v>120535663.3</v>
      </c>
      <c r="G782">
        <v>0</v>
      </c>
      <c r="L782" t="s">
        <v>7</v>
      </c>
      <c r="M782" t="s">
        <v>8</v>
      </c>
      <c r="N782" t="s">
        <v>7</v>
      </c>
      <c r="P782">
        <f t="shared" si="1004"/>
        <v>-0.3793103448275853</v>
      </c>
      <c r="Q782">
        <f t="shared" si="1005"/>
        <v>-45720424.010344714</v>
      </c>
      <c r="R782">
        <f t="shared" si="1006"/>
        <v>-1326030394.124181</v>
      </c>
      <c r="S782">
        <f t="shared" si="1007"/>
        <v>-13260.303941241811</v>
      </c>
      <c r="T782">
        <f t="shared" si="1008"/>
        <v>-13.260303941241812</v>
      </c>
    </row>
    <row r="783" spans="1:20" x14ac:dyDescent="0.25">
      <c r="A783" s="5">
        <v>43810</v>
      </c>
      <c r="B783">
        <v>5.3299999999999997E-3</v>
      </c>
      <c r="C783">
        <v>5.9699999999999996E-3</v>
      </c>
      <c r="D783">
        <v>5.1599999999999997E-3</v>
      </c>
      <c r="E783">
        <v>5.7099999999999998E-3</v>
      </c>
      <c r="F783">
        <v>238619906.09999999</v>
      </c>
      <c r="G783">
        <v>0</v>
      </c>
      <c r="L783" t="s">
        <v>8</v>
      </c>
      <c r="M783" t="s">
        <v>8</v>
      </c>
      <c r="N783" t="s">
        <v>7</v>
      </c>
      <c r="P783">
        <f t="shared" si="1004"/>
        <v>0.35802469135802512</v>
      </c>
      <c r="Q783">
        <f t="shared" si="1005"/>
        <v>85431818.233333439</v>
      </c>
      <c r="R783">
        <f t="shared" si="1006"/>
        <v>-1280309970.1138363</v>
      </c>
      <c r="S783">
        <f t="shared" si="1007"/>
        <v>-12803.099701138362</v>
      </c>
      <c r="T783">
        <f t="shared" si="1008"/>
        <v>-12.803099701138363</v>
      </c>
    </row>
    <row r="784" spans="1:20" x14ac:dyDescent="0.25">
      <c r="A784" s="5">
        <v>43809</v>
      </c>
      <c r="B784">
        <v>7.3000000000000001E-3</v>
      </c>
      <c r="C784">
        <v>7.4400000000000004E-3</v>
      </c>
      <c r="D784">
        <v>4.6600000000000001E-3</v>
      </c>
      <c r="E784">
        <v>5.3499999999999997E-3</v>
      </c>
      <c r="F784">
        <v>608328838.20000005</v>
      </c>
      <c r="G784">
        <v>0</v>
      </c>
      <c r="L784" t="s">
        <v>7</v>
      </c>
      <c r="M784" t="s">
        <v>7</v>
      </c>
      <c r="N784" t="s">
        <v>7</v>
      </c>
      <c r="P784">
        <f t="shared" si="1004"/>
        <v>-0.50359712230215858</v>
      </c>
      <c r="Q784">
        <f t="shared" si="1005"/>
        <v>-306352652.33093548</v>
      </c>
      <c r="R784">
        <f t="shared" si="1006"/>
        <v>-1365741788.3471696</v>
      </c>
      <c r="S784">
        <f t="shared" si="1007"/>
        <v>-13657.417883471697</v>
      </c>
      <c r="T784">
        <f t="shared" si="1008"/>
        <v>-13.657417883471696</v>
      </c>
    </row>
    <row r="785" spans="1:20" x14ac:dyDescent="0.25">
      <c r="A785" s="5">
        <v>43808</v>
      </c>
      <c r="B785">
        <v>7.5900000000000004E-3</v>
      </c>
      <c r="C785">
        <v>7.9000000000000008E-3</v>
      </c>
      <c r="D785">
        <v>6.9100000000000003E-3</v>
      </c>
      <c r="E785">
        <v>7.3000000000000001E-3</v>
      </c>
      <c r="F785">
        <v>392437455.60000002</v>
      </c>
      <c r="G785">
        <v>0</v>
      </c>
      <c r="L785" t="s">
        <v>7</v>
      </c>
      <c r="M785" t="s">
        <v>7</v>
      </c>
      <c r="N785" t="s">
        <v>8</v>
      </c>
      <c r="P785">
        <f t="shared" si="1004"/>
        <v>-0.21212121212121302</v>
      </c>
      <c r="Q785">
        <f t="shared" si="1005"/>
        <v>-83244308.763636723</v>
      </c>
      <c r="R785">
        <f t="shared" si="1006"/>
        <v>-1059389136.0162342</v>
      </c>
      <c r="S785">
        <f t="shared" si="1007"/>
        <v>-10593.891360162341</v>
      </c>
      <c r="T785">
        <f t="shared" si="1008"/>
        <v>-10.59389136016234</v>
      </c>
    </row>
    <row r="786" spans="1:20" x14ac:dyDescent="0.25">
      <c r="A786" s="5">
        <v>43807</v>
      </c>
      <c r="B786">
        <v>7.11E-3</v>
      </c>
      <c r="C786">
        <v>8.5199999999999998E-3</v>
      </c>
      <c r="D786">
        <v>7.1000000000000004E-3</v>
      </c>
      <c r="E786">
        <v>7.5900000000000004E-3</v>
      </c>
      <c r="F786">
        <v>761648088.39999998</v>
      </c>
      <c r="G786">
        <v>0</v>
      </c>
      <c r="L786" t="s">
        <v>8</v>
      </c>
      <c r="M786" t="s">
        <v>8</v>
      </c>
      <c r="N786" t="s">
        <v>8</v>
      </c>
      <c r="P786">
        <f t="shared" si="1004"/>
        <v>-0.30985915492957716</v>
      </c>
      <c r="Q786">
        <f t="shared" si="1005"/>
        <v>-236003633.02535188</v>
      </c>
      <c r="R786">
        <f t="shared" si="1006"/>
        <v>-976144827.25259745</v>
      </c>
      <c r="S786">
        <f t="shared" si="1007"/>
        <v>-9761.448272525975</v>
      </c>
      <c r="T786">
        <f t="shared" si="1008"/>
        <v>-9.7614482725259748</v>
      </c>
    </row>
    <row r="787" spans="1:20" x14ac:dyDescent="0.25">
      <c r="A787" s="5">
        <v>43806</v>
      </c>
      <c r="B787">
        <v>6.3699999999999998E-3</v>
      </c>
      <c r="C787">
        <v>7.1999999999999998E-3</v>
      </c>
      <c r="D787">
        <v>6.2700000000000004E-3</v>
      </c>
      <c r="E787">
        <v>7.1199999999999996E-3</v>
      </c>
      <c r="F787">
        <v>348217703.10000002</v>
      </c>
      <c r="G787">
        <v>0</v>
      </c>
      <c r="L787" t="s">
        <v>8</v>
      </c>
      <c r="M787" t="s">
        <v>8</v>
      </c>
      <c r="N787" t="s">
        <v>8</v>
      </c>
      <c r="P787">
        <f t="shared" si="1004"/>
        <v>0.82795698924731131</v>
      </c>
      <c r="Q787">
        <f t="shared" si="1005"/>
        <v>288309281.06129014</v>
      </c>
      <c r="R787">
        <f t="shared" si="1006"/>
        <v>-740141194.22724557</v>
      </c>
      <c r="S787">
        <f t="shared" si="1007"/>
        <v>-7401.4119422724561</v>
      </c>
      <c r="T787">
        <f t="shared" si="1008"/>
        <v>-7.401411942272456</v>
      </c>
    </row>
    <row r="788" spans="1:20" x14ac:dyDescent="0.25">
      <c r="A788" s="5">
        <v>43805</v>
      </c>
      <c r="B788">
        <v>6.0299999999999998E-3</v>
      </c>
      <c r="C788">
        <v>6.4700000000000001E-3</v>
      </c>
      <c r="D788">
        <v>5.8999999999999999E-3</v>
      </c>
      <c r="E788">
        <v>6.3699999999999998E-3</v>
      </c>
      <c r="F788">
        <v>186769323.30000001</v>
      </c>
      <c r="G788">
        <v>0</v>
      </c>
      <c r="L788" t="s">
        <v>8</v>
      </c>
      <c r="M788" t="s">
        <v>8</v>
      </c>
      <c r="N788" t="s">
        <v>8</v>
      </c>
      <c r="P788">
        <f t="shared" si="1004"/>
        <v>0.6491228070175431</v>
      </c>
      <c r="Q788">
        <f t="shared" si="1005"/>
        <v>121236227.40526302</v>
      </c>
      <c r="R788">
        <f t="shared" si="1006"/>
        <v>-1028450475.2885357</v>
      </c>
      <c r="S788">
        <f t="shared" si="1007"/>
        <v>-10284.504752885357</v>
      </c>
      <c r="T788">
        <f t="shared" si="1008"/>
        <v>-10.284504752885358</v>
      </c>
    </row>
    <row r="789" spans="1:20" x14ac:dyDescent="0.25">
      <c r="A789" s="5">
        <v>43804</v>
      </c>
      <c r="B789">
        <v>6.11E-3</v>
      </c>
      <c r="C789">
        <v>6.45E-3</v>
      </c>
      <c r="D789">
        <v>5.8300000000000001E-3</v>
      </c>
      <c r="E789">
        <v>6.0099999999999997E-3</v>
      </c>
      <c r="F789">
        <v>215426455.80000001</v>
      </c>
      <c r="G789">
        <v>0</v>
      </c>
      <c r="L789" t="s">
        <v>7</v>
      </c>
      <c r="M789" t="s">
        <v>8</v>
      </c>
      <c r="N789" t="s">
        <v>8</v>
      </c>
      <c r="P789">
        <f t="shared" si="1004"/>
        <v>-0.4193548387096786</v>
      </c>
      <c r="Q789">
        <f t="shared" si="1005"/>
        <v>-90340126.625806704</v>
      </c>
      <c r="R789">
        <f t="shared" si="1006"/>
        <v>-1149686702.6937988</v>
      </c>
      <c r="S789">
        <f t="shared" si="1007"/>
        <v>-11496.867026937987</v>
      </c>
      <c r="T789">
        <f t="shared" si="1008"/>
        <v>-11.496867026937988</v>
      </c>
    </row>
    <row r="790" spans="1:20" x14ac:dyDescent="0.25">
      <c r="A790" s="5">
        <v>43803</v>
      </c>
      <c r="B790">
        <v>5.8999999999999999E-3</v>
      </c>
      <c r="C790">
        <v>6.6E-3</v>
      </c>
      <c r="D790">
        <v>5.3800000000000002E-3</v>
      </c>
      <c r="E790">
        <v>6.13E-3</v>
      </c>
      <c r="F790">
        <v>419680897.10000002</v>
      </c>
      <c r="G790">
        <v>0</v>
      </c>
      <c r="L790" t="s">
        <v>8</v>
      </c>
      <c r="M790" t="s">
        <v>8</v>
      </c>
      <c r="N790" t="s">
        <v>8</v>
      </c>
      <c r="P790">
        <f t="shared" si="1004"/>
        <v>0.22950819672131142</v>
      </c>
      <c r="Q790">
        <f t="shared" si="1005"/>
        <v>96320205.891803265</v>
      </c>
      <c r="R790">
        <f t="shared" si="1006"/>
        <v>-1059346576.067992</v>
      </c>
      <c r="S790">
        <f t="shared" si="1007"/>
        <v>-10593.465760679919</v>
      </c>
      <c r="T790">
        <f t="shared" si="1008"/>
        <v>-10.593465760679919</v>
      </c>
    </row>
    <row r="791" spans="1:20" x14ac:dyDescent="0.25">
      <c r="A791" s="5">
        <v>43802</v>
      </c>
      <c r="B791">
        <v>5.4000000000000003E-3</v>
      </c>
      <c r="C791">
        <v>5.9699999999999996E-3</v>
      </c>
      <c r="D791">
        <v>5.3400000000000001E-3</v>
      </c>
      <c r="E791">
        <v>5.8799999999999998E-3</v>
      </c>
      <c r="F791">
        <v>231881993</v>
      </c>
      <c r="G791">
        <v>0</v>
      </c>
      <c r="L791" t="s">
        <v>8</v>
      </c>
      <c r="M791" t="s">
        <v>7</v>
      </c>
      <c r="N791" t="s">
        <v>8</v>
      </c>
      <c r="P791">
        <f t="shared" si="1004"/>
        <v>0.71428571428571463</v>
      </c>
      <c r="Q791">
        <f t="shared" si="1005"/>
        <v>165629995.00000009</v>
      </c>
      <c r="R791">
        <f t="shared" si="1006"/>
        <v>-1155666781.9597952</v>
      </c>
      <c r="S791">
        <f t="shared" si="1007"/>
        <v>-11556.667819597953</v>
      </c>
      <c r="T791">
        <f t="shared" si="1008"/>
        <v>-11.556667819597953</v>
      </c>
    </row>
    <row r="792" spans="1:20" x14ac:dyDescent="0.25">
      <c r="A792" s="5">
        <v>43801</v>
      </c>
      <c r="B792">
        <v>5.45E-3</v>
      </c>
      <c r="C792">
        <v>5.5500000000000002E-3</v>
      </c>
      <c r="D792">
        <v>5.1799999999999997E-3</v>
      </c>
      <c r="E792">
        <v>5.3499999999999997E-3</v>
      </c>
      <c r="F792">
        <v>116293027.5</v>
      </c>
      <c r="G792">
        <v>0</v>
      </c>
      <c r="L792" t="s">
        <v>7</v>
      </c>
      <c r="M792" t="s">
        <v>7</v>
      </c>
      <c r="N792" t="s">
        <v>8</v>
      </c>
      <c r="P792">
        <f t="shared" si="1004"/>
        <v>-8.1081081081082348E-2</v>
      </c>
      <c r="Q792">
        <f t="shared" si="1005"/>
        <v>-9429164.3918920401</v>
      </c>
      <c r="R792">
        <f t="shared" si="1006"/>
        <v>-1321296776.9597952</v>
      </c>
      <c r="S792">
        <f t="shared" si="1007"/>
        <v>-13212.967769597952</v>
      </c>
      <c r="T792">
        <f t="shared" si="1008"/>
        <v>-13.212967769597952</v>
      </c>
    </row>
    <row r="793" spans="1:20" x14ac:dyDescent="0.25">
      <c r="A793" s="5">
        <v>43800</v>
      </c>
      <c r="B793">
        <v>5.9199999999999999E-3</v>
      </c>
      <c r="C793">
        <v>5.9199999999999999E-3</v>
      </c>
      <c r="D793">
        <v>5.1599999999999997E-3</v>
      </c>
      <c r="E793">
        <v>5.45E-3</v>
      </c>
      <c r="F793">
        <v>276935723.39999998</v>
      </c>
      <c r="G793">
        <v>0</v>
      </c>
      <c r="L793" t="s">
        <v>7</v>
      </c>
      <c r="M793" t="s">
        <v>7</v>
      </c>
      <c r="N793" t="s">
        <v>8</v>
      </c>
      <c r="P793">
        <f t="shared" si="1004"/>
        <v>-0.2368421052631573</v>
      </c>
      <c r="Q793">
        <f t="shared" si="1005"/>
        <v>-65590039.752631411</v>
      </c>
      <c r="R793">
        <f t="shared" si="1006"/>
        <v>-1311867612.5679033</v>
      </c>
      <c r="S793">
        <f t="shared" si="1007"/>
        <v>-13118.676125679032</v>
      </c>
      <c r="T793">
        <f t="shared" si="1008"/>
        <v>-13.118676125679032</v>
      </c>
    </row>
    <row r="794" spans="1:20" x14ac:dyDescent="0.25">
      <c r="A794" s="5">
        <v>43799</v>
      </c>
      <c r="B794">
        <v>6.0200000000000002E-3</v>
      </c>
      <c r="C794">
        <v>6.2899999999999996E-3</v>
      </c>
      <c r="D794">
        <v>5.8199999999999997E-3</v>
      </c>
      <c r="E794">
        <v>5.9500000000000004E-3</v>
      </c>
      <c r="F794">
        <v>194151116.90000001</v>
      </c>
      <c r="G794">
        <v>0</v>
      </c>
      <c r="L794" t="s">
        <v>8</v>
      </c>
      <c r="M794" t="s">
        <v>7</v>
      </c>
      <c r="N794" t="s">
        <v>8</v>
      </c>
      <c r="P794">
        <f t="shared" si="1004"/>
        <v>-0.44680851063829452</v>
      </c>
      <c r="Q794">
        <f t="shared" si="1005"/>
        <v>-86748371.380850419</v>
      </c>
      <c r="R794">
        <f t="shared" si="1006"/>
        <v>-1246277572.8152719</v>
      </c>
      <c r="S794">
        <f t="shared" si="1007"/>
        <v>-12462.775728152719</v>
      </c>
      <c r="T794">
        <f t="shared" si="1008"/>
        <v>-12.462775728152719</v>
      </c>
    </row>
    <row r="795" spans="1:20" x14ac:dyDescent="0.25">
      <c r="A795" s="5">
        <v>43798</v>
      </c>
      <c r="B795">
        <v>6.1399999999999996E-3</v>
      </c>
      <c r="C795">
        <v>6.3299999999999997E-3</v>
      </c>
      <c r="D795">
        <v>5.8999999999999999E-3</v>
      </c>
      <c r="E795">
        <v>6.0000000000000001E-3</v>
      </c>
      <c r="F795">
        <v>142113915.30000001</v>
      </c>
      <c r="G795">
        <v>0</v>
      </c>
      <c r="L795" t="s">
        <v>7</v>
      </c>
      <c r="M795" t="s">
        <v>7</v>
      </c>
      <c r="N795" t="s">
        <v>8</v>
      </c>
      <c r="P795">
        <f t="shared" si="1004"/>
        <v>-0.53488372093023118</v>
      </c>
      <c r="Q795">
        <f t="shared" si="1005"/>
        <v>-76014419.811627716</v>
      </c>
      <c r="R795">
        <f t="shared" si="1006"/>
        <v>-1159529201.4344215</v>
      </c>
      <c r="S795">
        <f t="shared" si="1007"/>
        <v>-11595.292014344215</v>
      </c>
      <c r="T795">
        <f t="shared" si="1008"/>
        <v>-11.595292014344215</v>
      </c>
    </row>
    <row r="796" spans="1:20" x14ac:dyDescent="0.25">
      <c r="A796" s="5">
        <v>43797</v>
      </c>
      <c r="B796">
        <v>6.4099999999999999E-3</v>
      </c>
      <c r="C796">
        <v>6.5100000000000002E-3</v>
      </c>
      <c r="D796">
        <v>6.0200000000000002E-3</v>
      </c>
      <c r="E796">
        <v>6.1700000000000001E-3</v>
      </c>
      <c r="F796">
        <v>119369308.2</v>
      </c>
      <c r="G796">
        <v>0</v>
      </c>
      <c r="L796" t="s">
        <v>8</v>
      </c>
      <c r="M796" t="s">
        <v>7</v>
      </c>
      <c r="N796" t="s">
        <v>8</v>
      </c>
      <c r="P796">
        <f t="shared" si="1004"/>
        <v>-0.38775510204081648</v>
      </c>
      <c r="Q796">
        <f t="shared" si="1005"/>
        <v>-46286058.281632669</v>
      </c>
      <c r="R796">
        <f t="shared" si="1006"/>
        <v>-1083514781.6227939</v>
      </c>
      <c r="S796">
        <f t="shared" si="1007"/>
        <v>-10835.14781622794</v>
      </c>
      <c r="T796">
        <f t="shared" si="1008"/>
        <v>-10.83514781622794</v>
      </c>
    </row>
    <row r="797" spans="1:20" x14ac:dyDescent="0.25">
      <c r="A797" s="5">
        <v>43796</v>
      </c>
      <c r="B797">
        <v>6.5199999999999998E-3</v>
      </c>
      <c r="C797">
        <v>6.5700000000000003E-3</v>
      </c>
      <c r="D797">
        <v>5.5700000000000003E-3</v>
      </c>
      <c r="E797">
        <v>6.4099999999999999E-3</v>
      </c>
      <c r="F797">
        <v>196202624.30000001</v>
      </c>
      <c r="G797">
        <v>0</v>
      </c>
      <c r="L797" t="s">
        <v>7</v>
      </c>
      <c r="M797" t="s">
        <v>7</v>
      </c>
      <c r="N797" t="s">
        <v>8</v>
      </c>
      <c r="P797">
        <f t="shared" si="1004"/>
        <v>0.67999999999999916</v>
      </c>
      <c r="Q797">
        <f t="shared" si="1005"/>
        <v>133417784.52399984</v>
      </c>
      <c r="R797">
        <f t="shared" si="1006"/>
        <v>-1037228723.3411611</v>
      </c>
      <c r="S797">
        <f t="shared" si="1007"/>
        <v>-10372.287233411611</v>
      </c>
      <c r="T797">
        <f t="shared" si="1008"/>
        <v>-10.37228723341161</v>
      </c>
    </row>
    <row r="798" spans="1:20" x14ac:dyDescent="0.25">
      <c r="A798" s="5">
        <v>43795</v>
      </c>
      <c r="B798">
        <v>6.3E-3</v>
      </c>
      <c r="C798">
        <v>6.6600000000000001E-3</v>
      </c>
      <c r="D798">
        <v>5.8799999999999998E-3</v>
      </c>
      <c r="E798">
        <v>6.5300000000000002E-3</v>
      </c>
      <c r="F798">
        <v>185034792</v>
      </c>
      <c r="G798">
        <v>0</v>
      </c>
      <c r="L798" t="s">
        <v>8</v>
      </c>
      <c r="M798" t="s">
        <v>8</v>
      </c>
      <c r="N798" t="s">
        <v>8</v>
      </c>
      <c r="P798">
        <f t="shared" si="1004"/>
        <v>0.66666666666666707</v>
      </c>
      <c r="Q798">
        <f t="shared" si="1005"/>
        <v>123356528.00000007</v>
      </c>
      <c r="R798">
        <f t="shared" si="1006"/>
        <v>-1170646507.8651609</v>
      </c>
      <c r="S798">
        <f t="shared" si="1007"/>
        <v>-11706.465078651609</v>
      </c>
      <c r="T798">
        <f t="shared" si="1008"/>
        <v>-11.706465078651609</v>
      </c>
    </row>
    <row r="799" spans="1:20" x14ac:dyDescent="0.25">
      <c r="A799" s="5">
        <v>43794</v>
      </c>
      <c r="B799">
        <v>5.3E-3</v>
      </c>
      <c r="C799">
        <v>6.4099999999999999E-3</v>
      </c>
      <c r="D799">
        <v>5.0299999999999997E-3</v>
      </c>
      <c r="E799">
        <v>6.28E-3</v>
      </c>
      <c r="F799">
        <v>256337163</v>
      </c>
      <c r="G799">
        <v>0</v>
      </c>
      <c r="L799" t="s">
        <v>8</v>
      </c>
      <c r="M799" t="s">
        <v>8</v>
      </c>
      <c r="N799" t="s">
        <v>8</v>
      </c>
      <c r="P799">
        <f t="shared" si="1004"/>
        <v>0.81159420289855089</v>
      </c>
      <c r="Q799">
        <f t="shared" si="1005"/>
        <v>208041755.4782609</v>
      </c>
      <c r="R799">
        <f t="shared" si="1006"/>
        <v>-1294003035.8651609</v>
      </c>
      <c r="S799">
        <f t="shared" si="1007"/>
        <v>-12940.030358651609</v>
      </c>
      <c r="T799">
        <f t="shared" si="1008"/>
        <v>-12.94003035865161</v>
      </c>
    </row>
    <row r="800" spans="1:20" x14ac:dyDescent="0.25">
      <c r="A800" s="5">
        <v>43793</v>
      </c>
      <c r="B800">
        <v>5.2900000000000004E-3</v>
      </c>
      <c r="C800">
        <v>5.8300000000000001E-3</v>
      </c>
      <c r="D800">
        <v>5.0000000000000001E-3</v>
      </c>
      <c r="E800">
        <v>5.3099999999999996E-3</v>
      </c>
      <c r="F800">
        <v>109731381.2</v>
      </c>
      <c r="G800">
        <v>0</v>
      </c>
      <c r="L800" t="s">
        <v>8</v>
      </c>
      <c r="M800" t="s">
        <v>8</v>
      </c>
      <c r="N800" t="s">
        <v>7</v>
      </c>
      <c r="P800">
        <f t="shared" si="1004"/>
        <v>-0.25301204819277229</v>
      </c>
      <c r="Q800">
        <f t="shared" si="1005"/>
        <v>-27763361.508433867</v>
      </c>
      <c r="R800">
        <f t="shared" si="1006"/>
        <v>-1502044791.3434219</v>
      </c>
      <c r="S800">
        <f t="shared" si="1007"/>
        <v>-15020.44791343422</v>
      </c>
      <c r="T800">
        <f t="shared" si="1008"/>
        <v>-15.02044791343422</v>
      </c>
    </row>
    <row r="801" spans="1:20" x14ac:dyDescent="0.25">
      <c r="A801" s="5">
        <v>43792</v>
      </c>
      <c r="B801">
        <v>5.0099999999999997E-3</v>
      </c>
      <c r="C801">
        <v>5.3499999999999997E-3</v>
      </c>
      <c r="D801">
        <v>4.8700000000000002E-3</v>
      </c>
      <c r="E801">
        <v>5.28E-3</v>
      </c>
      <c r="F801">
        <v>51097468.200000003</v>
      </c>
      <c r="G801">
        <v>0</v>
      </c>
      <c r="L801" t="s">
        <v>8</v>
      </c>
      <c r="M801" t="s">
        <v>7</v>
      </c>
      <c r="N801" t="s">
        <v>7</v>
      </c>
      <c r="P801">
        <f t="shared" si="1004"/>
        <v>0.70833333333333404</v>
      </c>
      <c r="Q801">
        <f t="shared" si="1005"/>
        <v>36194039.975000039</v>
      </c>
      <c r="R801">
        <f t="shared" si="1006"/>
        <v>-1474281429.8349881</v>
      </c>
      <c r="S801">
        <f t="shared" si="1007"/>
        <v>-14742.814298349882</v>
      </c>
      <c r="T801">
        <f t="shared" si="1008"/>
        <v>-14.742814298349883</v>
      </c>
    </row>
    <row r="802" spans="1:20" x14ac:dyDescent="0.25">
      <c r="A802" s="5">
        <v>43791</v>
      </c>
      <c r="B802">
        <v>5.5700000000000003E-3</v>
      </c>
      <c r="C802">
        <v>5.5900000000000004E-3</v>
      </c>
      <c r="D802">
        <v>4.5100000000000001E-3</v>
      </c>
      <c r="E802">
        <v>5.0400000000000002E-3</v>
      </c>
      <c r="F802">
        <v>62012403.100000001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-1.8518518518518563E-2</v>
      </c>
      <c r="Q802">
        <f t="shared" si="1005"/>
        <v>-1148377.8351851879</v>
      </c>
      <c r="R802">
        <f t="shared" si="1006"/>
        <v>-1510475469.8099883</v>
      </c>
      <c r="S802">
        <f t="shared" si="1007"/>
        <v>-15104.754698099883</v>
      </c>
      <c r="T802">
        <f t="shared" si="1008"/>
        <v>-15.104754698099883</v>
      </c>
    </row>
    <row r="803" spans="1:20" x14ac:dyDescent="0.25">
      <c r="A803" s="5">
        <v>43790</v>
      </c>
      <c r="B803">
        <v>5.7499999999999999E-3</v>
      </c>
      <c r="C803">
        <v>5.8599999999999998E-3</v>
      </c>
      <c r="D803">
        <v>5.2399999999999999E-3</v>
      </c>
      <c r="E803">
        <v>5.5399999999999998E-3</v>
      </c>
      <c r="F803">
        <v>59190841.700000003</v>
      </c>
      <c r="G803">
        <v>0</v>
      </c>
      <c r="L803" t="s">
        <v>7</v>
      </c>
      <c r="M803" t="s">
        <v>7</v>
      </c>
      <c r="N803" t="s">
        <v>8</v>
      </c>
      <c r="P803">
        <f t="shared" si="1004"/>
        <v>-3.2258064516129122E-2</v>
      </c>
      <c r="Q803">
        <f t="shared" si="1005"/>
        <v>-1909381.9903225859</v>
      </c>
      <c r="R803">
        <f t="shared" si="1006"/>
        <v>-1509327091.974803</v>
      </c>
      <c r="S803">
        <f t="shared" si="1007"/>
        <v>-15093.270919748029</v>
      </c>
      <c r="T803">
        <f t="shared" si="1008"/>
        <v>-15.093270919748029</v>
      </c>
    </row>
    <row r="804" spans="1:20" x14ac:dyDescent="0.25">
      <c r="A804" s="5">
        <v>43789</v>
      </c>
      <c r="B804">
        <v>5.7600000000000004E-3</v>
      </c>
      <c r="C804">
        <v>6.0299999999999998E-3</v>
      </c>
      <c r="D804">
        <v>5.5500000000000002E-3</v>
      </c>
      <c r="E804">
        <v>5.7299999999999999E-3</v>
      </c>
      <c r="F804">
        <v>112672506.3</v>
      </c>
      <c r="G804">
        <v>0</v>
      </c>
      <c r="L804" t="s">
        <v>8</v>
      </c>
      <c r="M804" t="s">
        <v>7</v>
      </c>
      <c r="N804" t="s">
        <v>8</v>
      </c>
      <c r="P804">
        <f t="shared" si="1004"/>
        <v>-0.25000000000000089</v>
      </c>
      <c r="Q804">
        <f t="shared" si="1005"/>
        <v>-28168126.5750001</v>
      </c>
      <c r="R804">
        <f t="shared" si="1006"/>
        <v>-1507417709.9844804</v>
      </c>
      <c r="S804">
        <f t="shared" si="1007"/>
        <v>-15074.177099844805</v>
      </c>
      <c r="T804">
        <f t="shared" si="1008"/>
        <v>-15.074177099844805</v>
      </c>
    </row>
    <row r="805" spans="1:20" x14ac:dyDescent="0.25">
      <c r="A805" s="5">
        <v>43788</v>
      </c>
      <c r="B805">
        <v>5.5900000000000004E-3</v>
      </c>
      <c r="C805">
        <v>5.7999999999999996E-3</v>
      </c>
      <c r="D805">
        <v>5.3299999999999997E-3</v>
      </c>
      <c r="E805">
        <v>5.7600000000000004E-3</v>
      </c>
      <c r="F805">
        <v>45041428.200000003</v>
      </c>
      <c r="G805">
        <v>0</v>
      </c>
      <c r="L805" t="s">
        <v>7</v>
      </c>
      <c r="M805" t="s">
        <v>7</v>
      </c>
      <c r="N805" t="s">
        <v>8</v>
      </c>
      <c r="P805">
        <f t="shared" si="1004"/>
        <v>0.82978723404255639</v>
      </c>
      <c r="Q805">
        <f t="shared" si="1005"/>
        <v>37374802.123404399</v>
      </c>
      <c r="R805">
        <f t="shared" si="1006"/>
        <v>-1479249583.4094803</v>
      </c>
      <c r="S805">
        <f t="shared" si="1007"/>
        <v>-14792.495834094803</v>
      </c>
      <c r="T805">
        <f t="shared" si="1008"/>
        <v>-14.792495834094803</v>
      </c>
    </row>
    <row r="806" spans="1:20" x14ac:dyDescent="0.25">
      <c r="A806" s="5">
        <v>43787</v>
      </c>
      <c r="B806">
        <v>5.8999999999999999E-3</v>
      </c>
      <c r="C806">
        <v>5.9300000000000004E-3</v>
      </c>
      <c r="D806">
        <v>5.4000000000000003E-3</v>
      </c>
      <c r="E806">
        <v>5.5799999999999999E-3</v>
      </c>
      <c r="F806">
        <v>56151587.200000003</v>
      </c>
      <c r="G806">
        <v>0</v>
      </c>
      <c r="L806" t="s">
        <v>7</v>
      </c>
      <c r="M806" t="s">
        <v>7</v>
      </c>
      <c r="N806" t="s">
        <v>8</v>
      </c>
      <c r="P806">
        <f t="shared" si="1004"/>
        <v>-0.32075471698113367</v>
      </c>
      <c r="Q806">
        <f t="shared" si="1005"/>
        <v>-18010886.460377447</v>
      </c>
      <c r="R806">
        <f t="shared" si="1006"/>
        <v>-1516624385.5328848</v>
      </c>
      <c r="S806">
        <f t="shared" si="1007"/>
        <v>-15166.243855328848</v>
      </c>
      <c r="T806">
        <f t="shared" si="1008"/>
        <v>-15.166243855328849</v>
      </c>
    </row>
    <row r="807" spans="1:20" x14ac:dyDescent="0.25">
      <c r="A807" s="5">
        <v>43786</v>
      </c>
      <c r="B807">
        <v>6.1900000000000002E-3</v>
      </c>
      <c r="C807">
        <v>6.2100000000000002E-3</v>
      </c>
      <c r="D807">
        <v>5.7800000000000004E-3</v>
      </c>
      <c r="E807">
        <v>5.8999999999999999E-3</v>
      </c>
      <c r="F807">
        <v>82800208.900000006</v>
      </c>
      <c r="G807">
        <v>0</v>
      </c>
      <c r="L807" t="s">
        <v>7</v>
      </c>
      <c r="M807" t="s">
        <v>8</v>
      </c>
      <c r="N807" t="s">
        <v>8</v>
      </c>
      <c r="P807">
        <f t="shared" si="1004"/>
        <v>-0.44186046511628141</v>
      </c>
      <c r="Q807">
        <f t="shared" si="1005"/>
        <v>-36586138.81627927</v>
      </c>
      <c r="R807">
        <f t="shared" si="1006"/>
        <v>-1498613499.0725074</v>
      </c>
      <c r="S807">
        <f t="shared" si="1007"/>
        <v>-14986.134990725073</v>
      </c>
      <c r="T807">
        <f t="shared" si="1008"/>
        <v>-14.986134990725073</v>
      </c>
    </row>
    <row r="808" spans="1:20" x14ac:dyDescent="0.25">
      <c r="A808" s="5">
        <v>43785</v>
      </c>
      <c r="B808">
        <v>5.3600000000000002E-3</v>
      </c>
      <c r="C808">
        <v>6.3E-3</v>
      </c>
      <c r="D808">
        <v>5.2700000000000004E-3</v>
      </c>
      <c r="E808">
        <v>6.2300000000000003E-3</v>
      </c>
      <c r="F808">
        <v>112173258.7</v>
      </c>
      <c r="G808">
        <v>0</v>
      </c>
      <c r="L808" t="s">
        <v>8</v>
      </c>
      <c r="M808" t="s">
        <v>8</v>
      </c>
      <c r="N808" t="s">
        <v>8</v>
      </c>
      <c r="P808">
        <f t="shared" si="1004"/>
        <v>0.86407766990291301</v>
      </c>
      <c r="Q808">
        <f t="shared" si="1005"/>
        <v>96926408.00291267</v>
      </c>
      <c r="R808">
        <f t="shared" si="1006"/>
        <v>-1462027360.2562282</v>
      </c>
      <c r="S808">
        <f t="shared" si="1007"/>
        <v>-14620.273602562282</v>
      </c>
      <c r="T808">
        <f t="shared" si="1008"/>
        <v>-14.620273602562282</v>
      </c>
    </row>
    <row r="809" spans="1:20" x14ac:dyDescent="0.25">
      <c r="A809" s="5">
        <v>43784</v>
      </c>
      <c r="B809">
        <v>5.4999999999999997E-3</v>
      </c>
      <c r="C809">
        <v>5.5900000000000004E-3</v>
      </c>
      <c r="D809">
        <v>5.1999999999999998E-3</v>
      </c>
      <c r="E809">
        <v>5.3600000000000002E-3</v>
      </c>
      <c r="F809">
        <v>49641772.200000003</v>
      </c>
      <c r="G809">
        <v>0</v>
      </c>
      <c r="L809" t="s">
        <v>7</v>
      </c>
      <c r="M809" t="s">
        <v>7</v>
      </c>
      <c r="N809" t="s">
        <v>8</v>
      </c>
      <c r="P809">
        <f t="shared" si="1004"/>
        <v>-0.17948717948717857</v>
      </c>
      <c r="Q809">
        <f t="shared" si="1005"/>
        <v>-8910061.6769230329</v>
      </c>
      <c r="R809">
        <f t="shared" si="1006"/>
        <v>-1558953768.259141</v>
      </c>
      <c r="S809">
        <f t="shared" si="1007"/>
        <v>-15589.53768259141</v>
      </c>
      <c r="T809">
        <f t="shared" si="1008"/>
        <v>-15.589537682591409</v>
      </c>
    </row>
    <row r="810" spans="1:20" x14ac:dyDescent="0.25">
      <c r="A810" s="5">
        <v>43783</v>
      </c>
      <c r="B810">
        <v>5.62E-3</v>
      </c>
      <c r="C810">
        <v>5.6800000000000002E-3</v>
      </c>
      <c r="D810">
        <v>5.4299999999999999E-3</v>
      </c>
      <c r="E810">
        <v>5.4999999999999997E-3</v>
      </c>
      <c r="F810">
        <v>31552385.899999999</v>
      </c>
      <c r="G810">
        <v>0</v>
      </c>
      <c r="L810" t="s">
        <v>7</v>
      </c>
      <c r="M810" t="s">
        <v>7</v>
      </c>
      <c r="N810" t="s">
        <v>8</v>
      </c>
      <c r="P810">
        <f t="shared" si="1004"/>
        <v>-0.4400000000000025</v>
      </c>
      <c r="Q810">
        <f t="shared" si="1005"/>
        <v>-13883049.796000078</v>
      </c>
      <c r="R810">
        <f t="shared" si="1006"/>
        <v>-1550043706.5822179</v>
      </c>
      <c r="S810">
        <f t="shared" si="1007"/>
        <v>-15500.43706582218</v>
      </c>
      <c r="T810">
        <f t="shared" si="1008"/>
        <v>-15.50043706582218</v>
      </c>
    </row>
    <row r="811" spans="1:20" x14ac:dyDescent="0.25">
      <c r="A811" s="5">
        <v>43782</v>
      </c>
      <c r="B811">
        <v>5.7000000000000002E-3</v>
      </c>
      <c r="C811">
        <v>5.7600000000000004E-3</v>
      </c>
      <c r="D811">
        <v>5.5300000000000002E-3</v>
      </c>
      <c r="E811">
        <v>5.6299999999999996E-3</v>
      </c>
      <c r="F811">
        <v>65875441.200000003</v>
      </c>
      <c r="G811">
        <v>0</v>
      </c>
      <c r="L811" t="s">
        <v>8</v>
      </c>
      <c r="M811" t="s">
        <v>7</v>
      </c>
      <c r="N811" t="s">
        <v>8</v>
      </c>
      <c r="P811">
        <f t="shared" si="1004"/>
        <v>-0.13043478260870156</v>
      </c>
      <c r="Q811">
        <f t="shared" si="1005"/>
        <v>-8592448.8521743026</v>
      </c>
      <c r="R811">
        <f t="shared" si="1006"/>
        <v>-1536160656.7862179</v>
      </c>
      <c r="S811">
        <f t="shared" si="1007"/>
        <v>-15361.60656786218</v>
      </c>
      <c r="T811">
        <f t="shared" si="1008"/>
        <v>-15.36160656786218</v>
      </c>
    </row>
    <row r="812" spans="1:20" x14ac:dyDescent="0.25">
      <c r="A812" s="5">
        <v>43781</v>
      </c>
      <c r="B812">
        <v>5.6499999999999996E-3</v>
      </c>
      <c r="C812">
        <v>5.8999999999999999E-3</v>
      </c>
      <c r="D812">
        <v>5.5399999999999998E-3</v>
      </c>
      <c r="E812">
        <v>5.7000000000000002E-3</v>
      </c>
      <c r="F812">
        <v>117450412.09999999</v>
      </c>
      <c r="G812">
        <v>0</v>
      </c>
      <c r="L812" t="s">
        <v>8</v>
      </c>
      <c r="M812" t="s">
        <v>7</v>
      </c>
      <c r="N812" t="s">
        <v>8</v>
      </c>
      <c r="P812">
        <f t="shared" si="1004"/>
        <v>-0.11111111111110897</v>
      </c>
      <c r="Q812">
        <f t="shared" si="1005"/>
        <v>-13050045.788888637</v>
      </c>
      <c r="R812">
        <f t="shared" si="1006"/>
        <v>-1527568207.9340436</v>
      </c>
      <c r="S812">
        <f t="shared" si="1007"/>
        <v>-15275.682079340437</v>
      </c>
      <c r="T812">
        <f t="shared" si="1008"/>
        <v>-15.275682079340436</v>
      </c>
    </row>
    <row r="813" spans="1:20" x14ac:dyDescent="0.25">
      <c r="A813" s="5">
        <v>43780</v>
      </c>
      <c r="B813">
        <v>5.7600000000000004E-3</v>
      </c>
      <c r="C813">
        <v>5.79E-3</v>
      </c>
      <c r="D813">
        <v>5.4000000000000003E-3</v>
      </c>
      <c r="E813">
        <v>5.6600000000000001E-3</v>
      </c>
      <c r="F813">
        <v>45928621.899999999</v>
      </c>
      <c r="G813">
        <v>0</v>
      </c>
      <c r="L813" t="s">
        <v>7</v>
      </c>
      <c r="M813" t="s">
        <v>7</v>
      </c>
      <c r="N813" t="s">
        <v>8</v>
      </c>
      <c r="P813">
        <f t="shared" si="1004"/>
        <v>0.33333333333333331</v>
      </c>
      <c r="Q813">
        <f t="shared" si="1005"/>
        <v>15309540.633333333</v>
      </c>
      <c r="R813">
        <f t="shared" si="1006"/>
        <v>-1514518162.145155</v>
      </c>
      <c r="S813">
        <f t="shared" si="1007"/>
        <v>-15145.181621451549</v>
      </c>
      <c r="T813">
        <f t="shared" si="1008"/>
        <v>-15.145181621451549</v>
      </c>
    </row>
    <row r="814" spans="1:20" x14ac:dyDescent="0.25">
      <c r="A814" s="5">
        <v>43779</v>
      </c>
      <c r="B814">
        <v>5.6699999999999997E-3</v>
      </c>
      <c r="C814">
        <v>5.8999999999999999E-3</v>
      </c>
      <c r="D814">
        <v>5.5900000000000004E-3</v>
      </c>
      <c r="E814">
        <v>5.7499999999999999E-3</v>
      </c>
      <c r="F814">
        <v>40985469.899999999</v>
      </c>
      <c r="G814">
        <v>0</v>
      </c>
      <c r="L814" t="s">
        <v>8</v>
      </c>
      <c r="M814" t="s">
        <v>8</v>
      </c>
      <c r="N814" t="s">
        <v>8</v>
      </c>
      <c r="P814">
        <f t="shared" si="1004"/>
        <v>3.2258064516127768E-2</v>
      </c>
      <c r="Q814">
        <f t="shared" si="1005"/>
        <v>1322111.9322580127</v>
      </c>
      <c r="R814">
        <f t="shared" si="1006"/>
        <v>-1529827702.7784884</v>
      </c>
      <c r="S814">
        <f t="shared" si="1007"/>
        <v>-15298.277027784883</v>
      </c>
      <c r="T814">
        <f t="shared" si="1008"/>
        <v>-15.298277027784883</v>
      </c>
    </row>
    <row r="815" spans="1:20" x14ac:dyDescent="0.25">
      <c r="A815" s="5">
        <v>43778</v>
      </c>
      <c r="B815">
        <v>5.6600000000000001E-3</v>
      </c>
      <c r="C815">
        <v>5.77E-3</v>
      </c>
      <c r="D815">
        <v>5.5399999999999998E-3</v>
      </c>
      <c r="E815">
        <v>5.6699999999999997E-3</v>
      </c>
      <c r="F815">
        <v>27219486.300000001</v>
      </c>
      <c r="G815">
        <v>0</v>
      </c>
      <c r="L815" t="s">
        <v>7</v>
      </c>
      <c r="M815" t="s">
        <v>8</v>
      </c>
      <c r="N815" t="s">
        <v>8</v>
      </c>
      <c r="P815">
        <f t="shared" si="1004"/>
        <v>0.13043478260869401</v>
      </c>
      <c r="Q815">
        <f t="shared" si="1005"/>
        <v>3550367.7782608252</v>
      </c>
      <c r="R815">
        <f t="shared" si="1006"/>
        <v>-1531149814.7107465</v>
      </c>
      <c r="S815">
        <f t="shared" si="1007"/>
        <v>-15311.498147107466</v>
      </c>
      <c r="T815">
        <f t="shared" si="1008"/>
        <v>-15.311498147107466</v>
      </c>
    </row>
    <row r="816" spans="1:20" x14ac:dyDescent="0.25">
      <c r="A816" s="5">
        <v>43777</v>
      </c>
      <c r="B816">
        <v>6.0600000000000003E-3</v>
      </c>
      <c r="C816">
        <v>6.0600000000000003E-3</v>
      </c>
      <c r="D816">
        <v>5.47E-3</v>
      </c>
      <c r="E816">
        <v>5.6699999999999997E-3</v>
      </c>
      <c r="F816">
        <v>86963109.799999997</v>
      </c>
      <c r="G816">
        <v>0</v>
      </c>
      <c r="L816" t="s">
        <v>7</v>
      </c>
      <c r="M816" t="s">
        <v>8</v>
      </c>
      <c r="N816" t="s">
        <v>8</v>
      </c>
      <c r="P816">
        <f t="shared" si="1004"/>
        <v>-0.32203389830508616</v>
      </c>
      <c r="Q816">
        <f t="shared" si="1005"/>
        <v>-28005069.257627241</v>
      </c>
      <c r="R816">
        <f t="shared" si="1006"/>
        <v>-1534700182.4890072</v>
      </c>
      <c r="S816">
        <f t="shared" si="1007"/>
        <v>-15347.001824890072</v>
      </c>
      <c r="T816">
        <f t="shared" si="1008"/>
        <v>-15.347001824890073</v>
      </c>
    </row>
    <row r="817" spans="1:20" x14ac:dyDescent="0.25">
      <c r="A817" s="5">
        <v>43776</v>
      </c>
      <c r="B817">
        <v>5.96E-3</v>
      </c>
      <c r="C817">
        <v>6.2399999999999999E-3</v>
      </c>
      <c r="D817">
        <v>5.7499999999999999E-3</v>
      </c>
      <c r="E817">
        <v>6.0600000000000003E-3</v>
      </c>
      <c r="F817">
        <v>201292201</v>
      </c>
      <c r="G817">
        <v>0</v>
      </c>
      <c r="L817" t="s">
        <v>7</v>
      </c>
      <c r="M817" t="s">
        <v>8</v>
      </c>
      <c r="N817" t="s">
        <v>8</v>
      </c>
      <c r="P817">
        <f t="shared" si="1004"/>
        <v>0.26530612244898116</v>
      </c>
      <c r="Q817">
        <f t="shared" si="1005"/>
        <v>53404053.326530926</v>
      </c>
      <c r="R817">
        <f t="shared" si="1006"/>
        <v>-1506695113.23138</v>
      </c>
      <c r="S817">
        <f t="shared" si="1007"/>
        <v>-15066.951132313799</v>
      </c>
      <c r="T817">
        <f t="shared" si="1008"/>
        <v>-15.0669511323138</v>
      </c>
    </row>
    <row r="818" spans="1:20" x14ac:dyDescent="0.25">
      <c r="A818" s="5">
        <v>43775</v>
      </c>
      <c r="B818">
        <v>6.2899999999999996E-3</v>
      </c>
      <c r="C818">
        <v>6.4599999999999996E-3</v>
      </c>
      <c r="D818">
        <v>5.8900000000000003E-3</v>
      </c>
      <c r="E818">
        <v>5.94E-3</v>
      </c>
      <c r="F818">
        <v>162150923.59999999</v>
      </c>
      <c r="G818">
        <v>0</v>
      </c>
      <c r="L818" t="s">
        <v>8</v>
      </c>
      <c r="M818" t="s">
        <v>8</v>
      </c>
      <c r="N818" t="s">
        <v>8</v>
      </c>
      <c r="P818">
        <f t="shared" si="1004"/>
        <v>-0.82456140350877283</v>
      </c>
      <c r="Q818">
        <f t="shared" si="1005"/>
        <v>-133703393.14385979</v>
      </c>
      <c r="R818">
        <f t="shared" si="1006"/>
        <v>-1560099166.5579109</v>
      </c>
      <c r="S818">
        <f t="shared" si="1007"/>
        <v>-15600.991665579109</v>
      </c>
      <c r="T818">
        <f t="shared" si="1008"/>
        <v>-15.600991665579109</v>
      </c>
    </row>
    <row r="819" spans="1:20" x14ac:dyDescent="0.25">
      <c r="A819" s="5">
        <v>43774</v>
      </c>
      <c r="B819">
        <v>5.7299999999999999E-3</v>
      </c>
      <c r="C819">
        <v>6.4000000000000003E-3</v>
      </c>
      <c r="D819">
        <v>5.5399999999999998E-3</v>
      </c>
      <c r="E819">
        <v>6.2599999999999999E-3</v>
      </c>
      <c r="F819">
        <v>204409799.80000001</v>
      </c>
      <c r="G819">
        <v>0</v>
      </c>
      <c r="L819" t="s">
        <v>8</v>
      </c>
      <c r="M819" t="s">
        <v>8</v>
      </c>
      <c r="N819" t="s">
        <v>7</v>
      </c>
      <c r="P819">
        <f t="shared" si="1004"/>
        <v>0.6744186046511621</v>
      </c>
      <c r="Q819">
        <f t="shared" si="1005"/>
        <v>137857771.95813939</v>
      </c>
      <c r="R819">
        <f t="shared" si="1006"/>
        <v>-1426395773.4140511</v>
      </c>
      <c r="S819">
        <f t="shared" si="1007"/>
        <v>-14263.957734140511</v>
      </c>
      <c r="T819">
        <f t="shared" si="1008"/>
        <v>-14.263957734140511</v>
      </c>
    </row>
    <row r="820" spans="1:20" x14ac:dyDescent="0.25">
      <c r="A820" s="5">
        <v>43773</v>
      </c>
      <c r="B820">
        <v>5.4999999999999997E-3</v>
      </c>
      <c r="C820">
        <v>5.79E-3</v>
      </c>
      <c r="D820">
        <v>5.3800000000000002E-3</v>
      </c>
      <c r="E820">
        <v>5.7200000000000003E-3</v>
      </c>
      <c r="F820">
        <v>55604043.299999997</v>
      </c>
      <c r="G820">
        <v>0</v>
      </c>
      <c r="L820" t="s">
        <v>7</v>
      </c>
      <c r="M820" t="s">
        <v>8</v>
      </c>
      <c r="N820" t="s">
        <v>7</v>
      </c>
      <c r="P820">
        <f t="shared" si="1004"/>
        <v>0.65853658536585469</v>
      </c>
      <c r="Q820">
        <f t="shared" si="1005"/>
        <v>36617296.80731713</v>
      </c>
      <c r="R820">
        <f t="shared" si="1006"/>
        <v>-1564253545.3721905</v>
      </c>
      <c r="S820">
        <f t="shared" si="1007"/>
        <v>-15642.535453721905</v>
      </c>
      <c r="T820">
        <f t="shared" si="1008"/>
        <v>-15.642535453721905</v>
      </c>
    </row>
    <row r="821" spans="1:20" x14ac:dyDescent="0.25">
      <c r="A821" s="5">
        <v>43772</v>
      </c>
      <c r="B821">
        <v>5.6899999999999997E-3</v>
      </c>
      <c r="C821">
        <v>5.8100000000000001E-3</v>
      </c>
      <c r="D821">
        <v>5.4099999999999999E-3</v>
      </c>
      <c r="E821">
        <v>5.5300000000000002E-3</v>
      </c>
      <c r="F821">
        <v>70080635.099999994</v>
      </c>
      <c r="G821">
        <v>0</v>
      </c>
      <c r="L821" t="s">
        <v>8</v>
      </c>
      <c r="M821" t="s">
        <v>8</v>
      </c>
      <c r="N821" t="s">
        <v>7</v>
      </c>
      <c r="P821">
        <f t="shared" si="1004"/>
        <v>-0.39999999999999869</v>
      </c>
      <c r="Q821">
        <f t="shared" si="1005"/>
        <v>-28032254.039999906</v>
      </c>
      <c r="R821">
        <f t="shared" si="1006"/>
        <v>-1600870842.1795075</v>
      </c>
      <c r="S821">
        <f t="shared" si="1007"/>
        <v>-16008.708421795074</v>
      </c>
      <c r="T821">
        <f t="shared" si="1008"/>
        <v>-16.008708421795074</v>
      </c>
    </row>
    <row r="822" spans="1:20" x14ac:dyDescent="0.25">
      <c r="A822" s="5">
        <v>43771</v>
      </c>
      <c r="B822">
        <v>5.3299999999999997E-3</v>
      </c>
      <c r="C822">
        <v>5.7000000000000002E-3</v>
      </c>
      <c r="D822">
        <v>5.3099999999999996E-3</v>
      </c>
      <c r="E822">
        <v>5.6899999999999997E-3</v>
      </c>
      <c r="F822">
        <v>73150473.700000003</v>
      </c>
      <c r="G822">
        <v>0</v>
      </c>
      <c r="L822" t="s">
        <v>8</v>
      </c>
      <c r="M822" t="s">
        <v>8</v>
      </c>
      <c r="N822" t="s">
        <v>7</v>
      </c>
      <c r="P822">
        <f t="shared" si="1004"/>
        <v>0.94871794871794646</v>
      </c>
      <c r="Q822">
        <f t="shared" si="1005"/>
        <v>69399167.356410101</v>
      </c>
      <c r="R822">
        <f t="shared" si="1006"/>
        <v>-1572838588.1395075</v>
      </c>
      <c r="S822">
        <f t="shared" si="1007"/>
        <v>-15728.385881395076</v>
      </c>
      <c r="T822">
        <f t="shared" si="1008"/>
        <v>-15.728385881395075</v>
      </c>
    </row>
    <row r="823" spans="1:20" x14ac:dyDescent="0.25">
      <c r="A823" s="5">
        <v>43770</v>
      </c>
      <c r="B823">
        <v>5.1900000000000002E-3</v>
      </c>
      <c r="C823">
        <v>5.4200000000000003E-3</v>
      </c>
      <c r="D823">
        <v>5.1399999999999996E-3</v>
      </c>
      <c r="E823">
        <v>5.3299999999999997E-3</v>
      </c>
      <c r="F823">
        <v>63060791.100000001</v>
      </c>
      <c r="G823">
        <v>0</v>
      </c>
      <c r="L823" t="s">
        <v>8</v>
      </c>
      <c r="M823" t="s">
        <v>7</v>
      </c>
      <c r="N823" t="s">
        <v>7</v>
      </c>
      <c r="P823">
        <f t="shared" si="1004"/>
        <v>0.35714285714285404</v>
      </c>
      <c r="Q823">
        <f t="shared" si="1005"/>
        <v>22521711.107142661</v>
      </c>
      <c r="R823">
        <f t="shared" si="1006"/>
        <v>-1642237755.4959176</v>
      </c>
      <c r="S823">
        <f t="shared" si="1007"/>
        <v>-16422.377554959177</v>
      </c>
      <c r="T823">
        <f t="shared" si="1008"/>
        <v>-16.422377554959176</v>
      </c>
    </row>
    <row r="824" spans="1:20" x14ac:dyDescent="0.25">
      <c r="A824" s="5">
        <v>43769</v>
      </c>
      <c r="B824">
        <v>5.0899999999999999E-3</v>
      </c>
      <c r="C824">
        <v>5.28E-3</v>
      </c>
      <c r="D824">
        <v>5.0200000000000002E-3</v>
      </c>
      <c r="E824">
        <v>5.1999999999999998E-3</v>
      </c>
      <c r="F824">
        <v>57920358</v>
      </c>
      <c r="G824">
        <v>0</v>
      </c>
      <c r="L824" t="s">
        <v>8</v>
      </c>
      <c r="M824" t="s">
        <v>7</v>
      </c>
      <c r="N824" t="s">
        <v>7</v>
      </c>
      <c r="P824">
        <f t="shared" si="1004"/>
        <v>0.38461538461538258</v>
      </c>
      <c r="Q824">
        <f t="shared" si="1005"/>
        <v>22277060.769230653</v>
      </c>
      <c r="R824">
        <f t="shared" si="1006"/>
        <v>-1664759466.6030602</v>
      </c>
      <c r="S824">
        <f t="shared" si="1007"/>
        <v>-16647.594666030604</v>
      </c>
      <c r="T824">
        <f t="shared" si="1008"/>
        <v>-16.647594666030603</v>
      </c>
    </row>
    <row r="825" spans="1:20" x14ac:dyDescent="0.25">
      <c r="A825" s="5">
        <v>43768</v>
      </c>
      <c r="B825">
        <v>5.2500000000000003E-3</v>
      </c>
      <c r="C825">
        <v>5.2500000000000003E-3</v>
      </c>
      <c r="D825">
        <v>4.9399999999999999E-3</v>
      </c>
      <c r="E825">
        <v>5.1000000000000004E-3</v>
      </c>
      <c r="F825">
        <v>45187192</v>
      </c>
      <c r="G825">
        <v>0</v>
      </c>
      <c r="L825" t="s">
        <v>7</v>
      </c>
      <c r="M825" t="s">
        <v>7</v>
      </c>
      <c r="N825" t="s">
        <v>7</v>
      </c>
      <c r="P825">
        <f t="shared" si="1004"/>
        <v>3.2258064516130475E-2</v>
      </c>
      <c r="Q825">
        <f t="shared" si="1005"/>
        <v>1457651.3548387748</v>
      </c>
      <c r="R825">
        <f t="shared" si="1006"/>
        <v>-1687036527.3722908</v>
      </c>
      <c r="S825">
        <f t="shared" si="1007"/>
        <v>-16870.365273722909</v>
      </c>
      <c r="T825">
        <f t="shared" si="1008"/>
        <v>-16.870365273722911</v>
      </c>
    </row>
    <row r="826" spans="1:20" x14ac:dyDescent="0.25">
      <c r="A826" s="5">
        <v>43767</v>
      </c>
      <c r="B826">
        <v>5.13E-3</v>
      </c>
      <c r="C826">
        <v>5.4400000000000004E-3</v>
      </c>
      <c r="D826">
        <v>5.11E-3</v>
      </c>
      <c r="E826">
        <v>5.2199999999999998E-3</v>
      </c>
      <c r="F826">
        <v>70882844.799999997</v>
      </c>
      <c r="G826">
        <v>0</v>
      </c>
      <c r="L826" t="s">
        <v>7</v>
      </c>
      <c r="M826" t="s">
        <v>7</v>
      </c>
      <c r="N826" t="s">
        <v>7</v>
      </c>
      <c r="P826">
        <f t="shared" si="1004"/>
        <v>-0.33333333333333509</v>
      </c>
      <c r="Q826">
        <f t="shared" si="1005"/>
        <v>-23627614.933333457</v>
      </c>
      <c r="R826">
        <f t="shared" si="1006"/>
        <v>-1688494178.7271297</v>
      </c>
      <c r="S826">
        <f t="shared" si="1007"/>
        <v>-16884.941787271298</v>
      </c>
      <c r="T826">
        <f t="shared" si="1008"/>
        <v>-16.884941787271298</v>
      </c>
    </row>
    <row r="827" spans="1:20" x14ac:dyDescent="0.25">
      <c r="A827" s="5">
        <v>43766</v>
      </c>
      <c r="B827">
        <v>5.1799999999999997E-3</v>
      </c>
      <c r="C827">
        <v>5.4999999999999997E-3</v>
      </c>
      <c r="D827">
        <v>5.11E-3</v>
      </c>
      <c r="E827">
        <v>5.13E-3</v>
      </c>
      <c r="F827">
        <v>116609800.7</v>
      </c>
      <c r="G827">
        <v>0</v>
      </c>
      <c r="L827" t="s">
        <v>8</v>
      </c>
      <c r="M827" t="s">
        <v>7</v>
      </c>
      <c r="N827" t="s">
        <v>7</v>
      </c>
      <c r="P827">
        <f t="shared" si="1004"/>
        <v>-0.89743589743589713</v>
      </c>
      <c r="Q827">
        <f t="shared" si="1005"/>
        <v>-104649821.1410256</v>
      </c>
      <c r="R827">
        <f t="shared" si="1006"/>
        <v>-1664866563.7937963</v>
      </c>
      <c r="S827">
        <f t="shared" si="1007"/>
        <v>-16648.665637937964</v>
      </c>
      <c r="T827">
        <f t="shared" si="1008"/>
        <v>-16.648665637937963</v>
      </c>
    </row>
    <row r="828" spans="1:20" x14ac:dyDescent="0.25">
      <c r="A828" s="5">
        <v>43765</v>
      </c>
      <c r="B828">
        <v>5.0299999999999997E-3</v>
      </c>
      <c r="C828">
        <v>5.2599999999999999E-3</v>
      </c>
      <c r="D828">
        <v>4.9199999999999999E-3</v>
      </c>
      <c r="E828">
        <v>5.1799999999999997E-3</v>
      </c>
      <c r="F828">
        <v>94102290.900000006</v>
      </c>
      <c r="G828">
        <v>0</v>
      </c>
      <c r="L828" t="s">
        <v>7</v>
      </c>
      <c r="M828" t="s">
        <v>7</v>
      </c>
      <c r="N828" t="s">
        <v>7</v>
      </c>
      <c r="P828">
        <f t="shared" si="1004"/>
        <v>0.52941176470588114</v>
      </c>
      <c r="Q828">
        <f t="shared" si="1005"/>
        <v>49818859.888235182</v>
      </c>
      <c r="R828">
        <f t="shared" si="1006"/>
        <v>-1560216742.6527708</v>
      </c>
      <c r="S828">
        <f t="shared" si="1007"/>
        <v>-15602.167426527707</v>
      </c>
      <c r="T828">
        <f t="shared" si="1008"/>
        <v>-15.602167426527707</v>
      </c>
    </row>
    <row r="829" spans="1:20" x14ac:dyDescent="0.25">
      <c r="A829" s="5">
        <v>43764</v>
      </c>
      <c r="B829">
        <v>5.2199999999999998E-3</v>
      </c>
      <c r="C829">
        <v>5.5799999999999999E-3</v>
      </c>
      <c r="D829">
        <v>4.7999999999999996E-3</v>
      </c>
      <c r="E829">
        <v>5.0099999999999997E-3</v>
      </c>
      <c r="F829">
        <v>134479121.5</v>
      </c>
      <c r="G829">
        <v>0</v>
      </c>
      <c r="L829" t="s">
        <v>8</v>
      </c>
      <c r="M829" t="s">
        <v>7</v>
      </c>
      <c r="N829" t="s">
        <v>7</v>
      </c>
      <c r="P829">
        <f t="shared" si="1004"/>
        <v>-0.46153846153846145</v>
      </c>
      <c r="Q829">
        <f t="shared" si="1005"/>
        <v>-62067286.846153833</v>
      </c>
      <c r="R829">
        <f t="shared" si="1006"/>
        <v>-1610035602.5410058</v>
      </c>
      <c r="S829">
        <f t="shared" si="1007"/>
        <v>-16100.356025410059</v>
      </c>
      <c r="T829">
        <f t="shared" si="1008"/>
        <v>-16.100356025410058</v>
      </c>
    </row>
    <row r="830" spans="1:20" x14ac:dyDescent="0.25">
      <c r="A830" s="5">
        <v>43763</v>
      </c>
      <c r="B830">
        <v>4.9500000000000004E-3</v>
      </c>
      <c r="C830">
        <v>5.3499999999999997E-3</v>
      </c>
      <c r="D830">
        <v>4.8199999999999996E-3</v>
      </c>
      <c r="E830">
        <v>5.2199999999999998E-3</v>
      </c>
      <c r="F830">
        <v>101522504.5</v>
      </c>
      <c r="G830">
        <v>0</v>
      </c>
      <c r="L830" t="s">
        <v>8</v>
      </c>
      <c r="M830" t="s">
        <v>7</v>
      </c>
      <c r="N830" t="s">
        <v>7</v>
      </c>
      <c r="P830">
        <f t="shared" si="1004"/>
        <v>0.50943396226415139</v>
      </c>
      <c r="Q830">
        <f t="shared" si="1005"/>
        <v>51719011.726415142</v>
      </c>
      <c r="R830">
        <f t="shared" si="1006"/>
        <v>-1547968315.6948521</v>
      </c>
      <c r="S830">
        <f t="shared" si="1007"/>
        <v>-15479.68315694852</v>
      </c>
      <c r="T830">
        <f t="shared" si="1008"/>
        <v>-15.47968315694852</v>
      </c>
    </row>
    <row r="831" spans="1:20" x14ac:dyDescent="0.25">
      <c r="A831" s="5">
        <v>43762</v>
      </c>
      <c r="B831">
        <v>4.8199999999999996E-3</v>
      </c>
      <c r="C831">
        <v>5.0499999999999998E-3</v>
      </c>
      <c r="D831">
        <v>4.7400000000000003E-3</v>
      </c>
      <c r="E831">
        <v>4.9199999999999999E-3</v>
      </c>
      <c r="F831">
        <v>63254192.700000003</v>
      </c>
      <c r="G831">
        <v>0</v>
      </c>
      <c r="L831" t="s">
        <v>7</v>
      </c>
      <c r="M831" t="s">
        <v>7</v>
      </c>
      <c r="N831" t="s">
        <v>7</v>
      </c>
      <c r="P831">
        <f t="shared" ref="P831:P894" si="1009">IF(C831=D831,0,((E831-D831)-(C831-E831))/(C831-D831))</f>
        <v>0.16129032258064444</v>
      </c>
      <c r="Q831">
        <f t="shared" ref="Q831:Q894" si="1010">F831*P831</f>
        <v>10202289.145161245</v>
      </c>
      <c r="R831">
        <f t="shared" ref="R831:R894" si="1011">R832+Q831</f>
        <v>-1599687327.4212673</v>
      </c>
      <c r="S831">
        <f t="shared" ref="S831:S894" si="1012">R831/100000</f>
        <v>-15996.873274212672</v>
      </c>
      <c r="T831">
        <f t="shared" ref="T831:T894" si="1013">S831/1000</f>
        <v>-15.996873274212673</v>
      </c>
    </row>
    <row r="832" spans="1:20" x14ac:dyDescent="0.25">
      <c r="A832" s="5">
        <v>43761</v>
      </c>
      <c r="B832">
        <v>5.4299999999999999E-3</v>
      </c>
      <c r="C832">
        <v>5.45E-3</v>
      </c>
      <c r="D832">
        <v>4.7200000000000002E-3</v>
      </c>
      <c r="E832">
        <v>4.81E-3</v>
      </c>
      <c r="F832">
        <v>109058984.90000001</v>
      </c>
      <c r="G832">
        <v>0</v>
      </c>
      <c r="L832" t="s">
        <v>7</v>
      </c>
      <c r="M832" t="s">
        <v>7</v>
      </c>
      <c r="N832" t="s">
        <v>7</v>
      </c>
      <c r="P832">
        <f t="shared" si="1009"/>
        <v>-0.75342465753424703</v>
      </c>
      <c r="Q832">
        <f t="shared" si="1010"/>
        <v>-82167728.349315122</v>
      </c>
      <c r="R832">
        <f t="shared" si="1011"/>
        <v>-1609889616.5664284</v>
      </c>
      <c r="S832">
        <f t="shared" si="1012"/>
        <v>-16098.896165664284</v>
      </c>
      <c r="T832">
        <f t="shared" si="1013"/>
        <v>-16.098896165664286</v>
      </c>
    </row>
    <row r="833" spans="1:20" x14ac:dyDescent="0.25">
      <c r="A833" s="5">
        <v>43760</v>
      </c>
      <c r="B833">
        <v>5.6899999999999997E-3</v>
      </c>
      <c r="C833">
        <v>5.7999999999999996E-3</v>
      </c>
      <c r="D833">
        <v>5.4099999999999999E-3</v>
      </c>
      <c r="E833">
        <v>5.4099999999999999E-3</v>
      </c>
      <c r="F833">
        <v>51982850.399999999</v>
      </c>
      <c r="G833">
        <v>0</v>
      </c>
      <c r="L833" t="s">
        <v>7</v>
      </c>
      <c r="M833" t="s">
        <v>7</v>
      </c>
      <c r="N833" t="s">
        <v>8</v>
      </c>
      <c r="P833">
        <f t="shared" si="1009"/>
        <v>-1</v>
      </c>
      <c r="Q833">
        <f t="shared" si="1010"/>
        <v>-51982850.399999999</v>
      </c>
      <c r="R833">
        <f t="shared" si="1011"/>
        <v>-1527721888.2171133</v>
      </c>
      <c r="S833">
        <f t="shared" si="1012"/>
        <v>-15277.218882171133</v>
      </c>
      <c r="T833">
        <f t="shared" si="1013"/>
        <v>-15.277218882171134</v>
      </c>
    </row>
    <row r="834" spans="1:20" x14ac:dyDescent="0.25">
      <c r="A834" s="5">
        <v>43759</v>
      </c>
      <c r="B834">
        <v>5.5999999999999999E-3</v>
      </c>
      <c r="C834">
        <v>5.9100000000000003E-3</v>
      </c>
      <c r="D834">
        <v>5.5900000000000004E-3</v>
      </c>
      <c r="E834">
        <v>5.7000000000000002E-3</v>
      </c>
      <c r="F834">
        <v>71885919.400000006</v>
      </c>
      <c r="G834">
        <v>0</v>
      </c>
      <c r="L834" t="s">
        <v>8</v>
      </c>
      <c r="M834" t="s">
        <v>7</v>
      </c>
      <c r="N834" t="s">
        <v>8</v>
      </c>
      <c r="P834">
        <f t="shared" si="1009"/>
        <v>-0.31250000000000083</v>
      </c>
      <c r="Q834">
        <f t="shared" si="1010"/>
        <v>-22464349.812500063</v>
      </c>
      <c r="R834">
        <f t="shared" si="1011"/>
        <v>-1475739037.8171132</v>
      </c>
      <c r="S834">
        <f t="shared" si="1012"/>
        <v>-14757.390378171132</v>
      </c>
      <c r="T834">
        <f t="shared" si="1013"/>
        <v>-14.757390378171133</v>
      </c>
    </row>
    <row r="835" spans="1:20" x14ac:dyDescent="0.25">
      <c r="A835" s="5">
        <v>43758</v>
      </c>
      <c r="B835">
        <v>5.64E-3</v>
      </c>
      <c r="C835">
        <v>5.7200000000000003E-3</v>
      </c>
      <c r="D835">
        <v>5.3800000000000002E-3</v>
      </c>
      <c r="E835">
        <v>5.62E-3</v>
      </c>
      <c r="F835">
        <v>38045258.299999997</v>
      </c>
      <c r="G835">
        <v>0</v>
      </c>
      <c r="L835" t="s">
        <v>7</v>
      </c>
      <c r="M835" t="s">
        <v>7</v>
      </c>
      <c r="N835" t="s">
        <v>8</v>
      </c>
      <c r="P835">
        <f t="shared" si="1009"/>
        <v>0.41176470588235142</v>
      </c>
      <c r="Q835">
        <f t="shared" si="1010"/>
        <v>15665694.594117587</v>
      </c>
      <c r="R835">
        <f t="shared" si="1011"/>
        <v>-1453274688.0046132</v>
      </c>
      <c r="S835">
        <f t="shared" si="1012"/>
        <v>-14532.746880046132</v>
      </c>
      <c r="T835">
        <f t="shared" si="1013"/>
        <v>-14.532746880046131</v>
      </c>
    </row>
    <row r="836" spans="1:20" x14ac:dyDescent="0.25">
      <c r="A836" s="5">
        <v>43757</v>
      </c>
      <c r="B836">
        <v>5.8999999999999999E-3</v>
      </c>
      <c r="C836">
        <v>5.9500000000000004E-3</v>
      </c>
      <c r="D836">
        <v>5.5799999999999999E-3</v>
      </c>
      <c r="E836">
        <v>5.64E-3</v>
      </c>
      <c r="F836">
        <v>42196172.5</v>
      </c>
      <c r="G836">
        <v>0</v>
      </c>
      <c r="L836" t="s">
        <v>7</v>
      </c>
      <c r="M836" t="s">
        <v>7</v>
      </c>
      <c r="N836" t="s">
        <v>8</v>
      </c>
      <c r="P836">
        <f t="shared" si="1009"/>
        <v>-0.67567567567567532</v>
      </c>
      <c r="Q836">
        <f t="shared" si="1010"/>
        <v>-28510927.364864849</v>
      </c>
      <c r="R836">
        <f t="shared" si="1011"/>
        <v>-1468940382.5987308</v>
      </c>
      <c r="S836">
        <f t="shared" si="1012"/>
        <v>-14689.403825987309</v>
      </c>
      <c r="T836">
        <f t="shared" si="1013"/>
        <v>-14.689403825987309</v>
      </c>
    </row>
    <row r="837" spans="1:20" x14ac:dyDescent="0.25">
      <c r="A837" s="5">
        <v>43756</v>
      </c>
      <c r="B837">
        <v>5.8900000000000003E-3</v>
      </c>
      <c r="C837">
        <v>6.0699999999999999E-3</v>
      </c>
      <c r="D837">
        <v>5.7600000000000004E-3</v>
      </c>
      <c r="E837">
        <v>5.9300000000000004E-3</v>
      </c>
      <c r="F837">
        <v>35661858.799999997</v>
      </c>
      <c r="G837">
        <v>0</v>
      </c>
      <c r="L837" t="s">
        <v>8</v>
      </c>
      <c r="M837" t="s">
        <v>7</v>
      </c>
      <c r="N837" t="s">
        <v>8</v>
      </c>
      <c r="P837">
        <f t="shared" si="1009"/>
        <v>9.6774193548388898E-2</v>
      </c>
      <c r="Q837">
        <f t="shared" si="1010"/>
        <v>3451147.6258065156</v>
      </c>
      <c r="R837">
        <f t="shared" si="1011"/>
        <v>-1440429455.233866</v>
      </c>
      <c r="S837">
        <f t="shared" si="1012"/>
        <v>-14404.294552338661</v>
      </c>
      <c r="T837">
        <f t="shared" si="1013"/>
        <v>-14.40429455233866</v>
      </c>
    </row>
    <row r="838" spans="1:20" x14ac:dyDescent="0.25">
      <c r="A838" s="5">
        <v>43755</v>
      </c>
      <c r="B838">
        <v>5.7999999999999996E-3</v>
      </c>
      <c r="C838">
        <v>6.1500000000000001E-3</v>
      </c>
      <c r="D838">
        <v>5.6600000000000001E-3</v>
      </c>
      <c r="E838">
        <v>5.9199999999999999E-3</v>
      </c>
      <c r="F838">
        <v>52312966.200000003</v>
      </c>
      <c r="G838">
        <v>0</v>
      </c>
      <c r="L838" t="s">
        <v>8</v>
      </c>
      <c r="M838" t="s">
        <v>7</v>
      </c>
      <c r="N838" t="s">
        <v>8</v>
      </c>
      <c r="P838">
        <f t="shared" si="1009"/>
        <v>6.1224489795917644E-2</v>
      </c>
      <c r="Q838">
        <f t="shared" si="1010"/>
        <v>3202834.6653060848</v>
      </c>
      <c r="R838">
        <f t="shared" si="1011"/>
        <v>-1443880602.8596725</v>
      </c>
      <c r="S838">
        <f t="shared" si="1012"/>
        <v>-14438.806028596726</v>
      </c>
      <c r="T838">
        <f t="shared" si="1013"/>
        <v>-14.438806028596726</v>
      </c>
    </row>
    <row r="839" spans="1:20" x14ac:dyDescent="0.25">
      <c r="A839" s="5">
        <v>43754</v>
      </c>
      <c r="B839">
        <v>6.4200000000000004E-3</v>
      </c>
      <c r="C839">
        <v>6.4400000000000004E-3</v>
      </c>
      <c r="D839">
        <v>5.5599999999999998E-3</v>
      </c>
      <c r="E839">
        <v>5.7999999999999996E-3</v>
      </c>
      <c r="F839">
        <v>106340550.8</v>
      </c>
      <c r="G839">
        <v>0</v>
      </c>
      <c r="L839" t="s">
        <v>7</v>
      </c>
      <c r="M839" t="s">
        <v>7</v>
      </c>
      <c r="N839" t="s">
        <v>8</v>
      </c>
      <c r="P839">
        <f t="shared" si="1009"/>
        <v>-0.45454545454545542</v>
      </c>
      <c r="Q839">
        <f t="shared" si="1010"/>
        <v>-48336614.000000089</v>
      </c>
      <c r="R839">
        <f t="shared" si="1011"/>
        <v>-1447083437.5249786</v>
      </c>
      <c r="S839">
        <f t="shared" si="1012"/>
        <v>-14470.834375249786</v>
      </c>
      <c r="T839">
        <f t="shared" si="1013"/>
        <v>-14.470834375249785</v>
      </c>
    </row>
    <row r="840" spans="1:20" x14ac:dyDescent="0.25">
      <c r="A840" s="5">
        <v>43753</v>
      </c>
      <c r="B840">
        <v>6.1999999999999998E-3</v>
      </c>
      <c r="C840">
        <v>6.6800000000000002E-3</v>
      </c>
      <c r="D840">
        <v>6.0600000000000003E-3</v>
      </c>
      <c r="E840">
        <v>6.4200000000000004E-3</v>
      </c>
      <c r="F840">
        <v>166594173.19999999</v>
      </c>
      <c r="G840">
        <v>0</v>
      </c>
      <c r="L840" t="s">
        <v>8</v>
      </c>
      <c r="M840" t="s">
        <v>7</v>
      </c>
      <c r="N840" t="s">
        <v>8</v>
      </c>
      <c r="P840">
        <f t="shared" si="1009"/>
        <v>0.1612903225806456</v>
      </c>
      <c r="Q840">
        <f t="shared" si="1010"/>
        <v>26870027.935483944</v>
      </c>
      <c r="R840">
        <f t="shared" si="1011"/>
        <v>-1398746823.5249786</v>
      </c>
      <c r="S840">
        <f t="shared" si="1012"/>
        <v>-13987.468235249786</v>
      </c>
      <c r="T840">
        <f t="shared" si="1013"/>
        <v>-13.987468235249786</v>
      </c>
    </row>
    <row r="841" spans="1:20" x14ac:dyDescent="0.25">
      <c r="A841" s="5">
        <v>43752</v>
      </c>
      <c r="B841">
        <v>6.0800000000000003E-3</v>
      </c>
      <c r="C841">
        <v>6.4799999999999996E-3</v>
      </c>
      <c r="D841">
        <v>6.0600000000000003E-3</v>
      </c>
      <c r="E841">
        <v>6.1599999999999997E-3</v>
      </c>
      <c r="F841">
        <v>54557677.299999997</v>
      </c>
      <c r="G841">
        <v>0</v>
      </c>
      <c r="L841" t="s">
        <v>8</v>
      </c>
      <c r="M841" t="s">
        <v>7</v>
      </c>
      <c r="N841" t="s">
        <v>8</v>
      </c>
      <c r="P841">
        <f t="shared" si="1009"/>
        <v>-0.52380952380952595</v>
      </c>
      <c r="Q841">
        <f t="shared" si="1010"/>
        <v>-28577830.96666678</v>
      </c>
      <c r="R841">
        <f t="shared" si="1011"/>
        <v>-1425616851.4604626</v>
      </c>
      <c r="S841">
        <f t="shared" si="1012"/>
        <v>-14256.168514604626</v>
      </c>
      <c r="T841">
        <f t="shared" si="1013"/>
        <v>-14.256168514604626</v>
      </c>
    </row>
    <row r="842" spans="1:20" x14ac:dyDescent="0.25">
      <c r="A842" s="5">
        <v>43751</v>
      </c>
      <c r="B842">
        <v>6.3899999999999998E-3</v>
      </c>
      <c r="C842">
        <v>6.5599999999999999E-3</v>
      </c>
      <c r="D842">
        <v>5.8900000000000003E-3</v>
      </c>
      <c r="E842">
        <v>6.0800000000000003E-3</v>
      </c>
      <c r="F842">
        <v>56292241.100000001</v>
      </c>
      <c r="G842">
        <v>0</v>
      </c>
      <c r="L842" t="s">
        <v>7</v>
      </c>
      <c r="M842" t="s">
        <v>7</v>
      </c>
      <c r="N842" t="s">
        <v>8</v>
      </c>
      <c r="P842">
        <f t="shared" si="1009"/>
        <v>-0.43283582089552186</v>
      </c>
      <c r="Q842">
        <f t="shared" si="1010"/>
        <v>-24365298.386567134</v>
      </c>
      <c r="R842">
        <f t="shared" si="1011"/>
        <v>-1397039020.4937959</v>
      </c>
      <c r="S842">
        <f t="shared" si="1012"/>
        <v>-13970.390204937959</v>
      </c>
      <c r="T842">
        <f t="shared" si="1013"/>
        <v>-13.97039020493796</v>
      </c>
    </row>
    <row r="843" spans="1:20" x14ac:dyDescent="0.25">
      <c r="A843" s="5">
        <v>43750</v>
      </c>
      <c r="B843">
        <v>6.3899999999999998E-3</v>
      </c>
      <c r="C843">
        <v>6.7499999999999999E-3</v>
      </c>
      <c r="D843">
        <v>6.2300000000000003E-3</v>
      </c>
      <c r="E843">
        <v>6.3899999999999998E-3</v>
      </c>
      <c r="F843">
        <v>78019587</v>
      </c>
      <c r="G843">
        <v>0</v>
      </c>
      <c r="L843" t="s">
        <v>7</v>
      </c>
      <c r="M843" t="s">
        <v>8</v>
      </c>
      <c r="N843" t="s">
        <v>8</v>
      </c>
      <c r="P843">
        <f t="shared" si="1009"/>
        <v>-0.38461538461538591</v>
      </c>
      <c r="Q843">
        <f t="shared" si="1010"/>
        <v>-30007533.461538564</v>
      </c>
      <c r="R843">
        <f t="shared" si="1011"/>
        <v>-1372673722.1072288</v>
      </c>
      <c r="S843">
        <f t="shared" si="1012"/>
        <v>-13726.737221072288</v>
      </c>
      <c r="T843">
        <f t="shared" si="1013"/>
        <v>-13.726737221072288</v>
      </c>
    </row>
    <row r="844" spans="1:20" x14ac:dyDescent="0.25">
      <c r="A844" s="5">
        <v>43749</v>
      </c>
      <c r="B844">
        <v>6.2700000000000004E-3</v>
      </c>
      <c r="C844">
        <v>7.0499999999999998E-3</v>
      </c>
      <c r="D844">
        <v>6.0600000000000003E-3</v>
      </c>
      <c r="E844">
        <v>6.3699999999999998E-3</v>
      </c>
      <c r="F844">
        <v>341792896.80000001</v>
      </c>
      <c r="G844">
        <v>0</v>
      </c>
      <c r="L844" t="s">
        <v>8</v>
      </c>
      <c r="M844" t="s">
        <v>8</v>
      </c>
      <c r="N844" t="s">
        <v>8</v>
      </c>
      <c r="P844">
        <f t="shared" si="1009"/>
        <v>-0.37373737373737442</v>
      </c>
      <c r="Q844">
        <f t="shared" si="1010"/>
        <v>-127740779.61212145</v>
      </c>
      <c r="R844">
        <f t="shared" si="1011"/>
        <v>-1342666188.6456902</v>
      </c>
      <c r="S844">
        <f t="shared" si="1012"/>
        <v>-13426.661886456903</v>
      </c>
      <c r="T844">
        <f t="shared" si="1013"/>
        <v>-13.426661886456902</v>
      </c>
    </row>
    <row r="845" spans="1:20" x14ac:dyDescent="0.25">
      <c r="A845" s="5">
        <v>43748</v>
      </c>
      <c r="B845">
        <v>5.8599999999999998E-3</v>
      </c>
      <c r="C845">
        <v>6.3499999999999997E-3</v>
      </c>
      <c r="D845">
        <v>5.5399999999999998E-3</v>
      </c>
      <c r="E845">
        <v>6.2500000000000003E-3</v>
      </c>
      <c r="F845">
        <v>118697812.59999999</v>
      </c>
      <c r="G845">
        <v>0</v>
      </c>
      <c r="L845" t="s">
        <v>7</v>
      </c>
      <c r="M845" t="s">
        <v>8</v>
      </c>
      <c r="N845" t="s">
        <v>8</v>
      </c>
      <c r="P845">
        <f t="shared" si="1009"/>
        <v>0.75308641975308788</v>
      </c>
      <c r="Q845">
        <f t="shared" si="1010"/>
        <v>89389710.723456964</v>
      </c>
      <c r="R845">
        <f t="shared" si="1011"/>
        <v>-1214925409.0335689</v>
      </c>
      <c r="S845">
        <f t="shared" si="1012"/>
        <v>-12149.254090335689</v>
      </c>
      <c r="T845">
        <f t="shared" si="1013"/>
        <v>-12.14925409033569</v>
      </c>
    </row>
    <row r="846" spans="1:20" x14ac:dyDescent="0.25">
      <c r="A846" s="5">
        <v>43747</v>
      </c>
      <c r="B846">
        <v>5.8500000000000002E-3</v>
      </c>
      <c r="C846">
        <v>6.4999999999999997E-3</v>
      </c>
      <c r="D846">
        <v>5.6100000000000004E-3</v>
      </c>
      <c r="E846">
        <v>5.8599999999999998E-3</v>
      </c>
      <c r="F846">
        <v>193906450.40000001</v>
      </c>
      <c r="G846">
        <v>0</v>
      </c>
      <c r="L846" t="s">
        <v>8</v>
      </c>
      <c r="M846" t="s">
        <v>8</v>
      </c>
      <c r="N846" t="s">
        <v>8</v>
      </c>
      <c r="P846">
        <f t="shared" si="1009"/>
        <v>-0.43820224719101225</v>
      </c>
      <c r="Q846">
        <f t="shared" si="1010"/>
        <v>-84970242.310112566</v>
      </c>
      <c r="R846">
        <f t="shared" si="1011"/>
        <v>-1304315119.7570257</v>
      </c>
      <c r="S846">
        <f t="shared" si="1012"/>
        <v>-13043.151197570258</v>
      </c>
      <c r="T846">
        <f t="shared" si="1013"/>
        <v>-13.043151197570257</v>
      </c>
    </row>
    <row r="847" spans="1:20" x14ac:dyDescent="0.25">
      <c r="A847" s="5">
        <v>43746</v>
      </c>
      <c r="B847">
        <v>5.4599999999999996E-3</v>
      </c>
      <c r="C847">
        <v>5.9300000000000004E-3</v>
      </c>
      <c r="D847">
        <v>5.3800000000000002E-3</v>
      </c>
      <c r="E847">
        <v>5.8300000000000001E-3</v>
      </c>
      <c r="F847">
        <v>111330190.3</v>
      </c>
      <c r="G847">
        <v>0</v>
      </c>
      <c r="L847" t="s">
        <v>8</v>
      </c>
      <c r="M847" t="s">
        <v>8</v>
      </c>
      <c r="N847" t="s">
        <v>7</v>
      </c>
      <c r="P847">
        <f t="shared" si="1009"/>
        <v>0.63636363636363547</v>
      </c>
      <c r="Q847">
        <f t="shared" si="1010"/>
        <v>70846484.73636353</v>
      </c>
      <c r="R847">
        <f t="shared" si="1011"/>
        <v>-1219344877.4469132</v>
      </c>
      <c r="S847">
        <f t="shared" si="1012"/>
        <v>-12193.448774469132</v>
      </c>
      <c r="T847">
        <f t="shared" si="1013"/>
        <v>-12.193448774469132</v>
      </c>
    </row>
    <row r="848" spans="1:20" x14ac:dyDescent="0.25">
      <c r="A848" s="5">
        <v>43745</v>
      </c>
      <c r="B848">
        <v>4.9300000000000004E-3</v>
      </c>
      <c r="C848">
        <v>5.5399999999999998E-3</v>
      </c>
      <c r="D848">
        <v>4.7999999999999996E-3</v>
      </c>
      <c r="E848">
        <v>5.4900000000000001E-3</v>
      </c>
      <c r="F848">
        <v>70719925.400000006</v>
      </c>
      <c r="G848">
        <v>0</v>
      </c>
      <c r="L848" t="s">
        <v>8</v>
      </c>
      <c r="M848" t="s">
        <v>8</v>
      </c>
      <c r="N848" t="s">
        <v>7</v>
      </c>
      <c r="P848">
        <f t="shared" si="1009"/>
        <v>0.86486486486486569</v>
      </c>
      <c r="Q848">
        <f t="shared" si="1010"/>
        <v>61163178.72432439</v>
      </c>
      <c r="R848">
        <f t="shared" si="1011"/>
        <v>-1290191362.1832767</v>
      </c>
      <c r="S848">
        <f t="shared" si="1012"/>
        <v>-12901.913621832766</v>
      </c>
      <c r="T848">
        <f t="shared" si="1013"/>
        <v>-12.901913621832765</v>
      </c>
    </row>
    <row r="849" spans="1:20" x14ac:dyDescent="0.25">
      <c r="A849" s="5">
        <v>43744</v>
      </c>
      <c r="B849">
        <v>5.0499999999999998E-3</v>
      </c>
      <c r="C849">
        <v>5.0699999999999999E-3</v>
      </c>
      <c r="D849">
        <v>4.8599999999999997E-3</v>
      </c>
      <c r="E849">
        <v>4.9500000000000004E-3</v>
      </c>
      <c r="F849">
        <v>25724283.199999999</v>
      </c>
      <c r="G849">
        <v>0</v>
      </c>
      <c r="L849" t="s">
        <v>8</v>
      </c>
      <c r="M849" t="s">
        <v>7</v>
      </c>
      <c r="N849" t="s">
        <v>7</v>
      </c>
      <c r="P849">
        <f t="shared" si="1009"/>
        <v>-0.14285714285713697</v>
      </c>
      <c r="Q849">
        <f t="shared" si="1010"/>
        <v>-3674897.5999998483</v>
      </c>
      <c r="R849">
        <f t="shared" si="1011"/>
        <v>-1351354540.9076011</v>
      </c>
      <c r="S849">
        <f t="shared" si="1012"/>
        <v>-13513.54540907601</v>
      </c>
      <c r="T849">
        <f t="shared" si="1013"/>
        <v>-13.513545409076011</v>
      </c>
    </row>
    <row r="850" spans="1:20" x14ac:dyDescent="0.25">
      <c r="A850" s="5">
        <v>43743</v>
      </c>
      <c r="B850">
        <v>5.1000000000000004E-3</v>
      </c>
      <c r="C850">
        <v>5.11E-3</v>
      </c>
      <c r="D850">
        <v>4.9500000000000004E-3</v>
      </c>
      <c r="E850">
        <v>5.0499999999999998E-3</v>
      </c>
      <c r="F850">
        <v>41776875.799999997</v>
      </c>
      <c r="G850">
        <v>0</v>
      </c>
      <c r="L850" t="s">
        <v>8</v>
      </c>
      <c r="M850" t="s">
        <v>7</v>
      </c>
      <c r="N850" t="s">
        <v>7</v>
      </c>
      <c r="P850">
        <f t="shared" si="1009"/>
        <v>0.24999999999999595</v>
      </c>
      <c r="Q850">
        <f t="shared" si="1010"/>
        <v>10444218.94999983</v>
      </c>
      <c r="R850">
        <f t="shared" si="1011"/>
        <v>-1347679643.3076012</v>
      </c>
      <c r="S850">
        <f t="shared" si="1012"/>
        <v>-13476.796433076011</v>
      </c>
      <c r="T850">
        <f t="shared" si="1013"/>
        <v>-13.476796433076011</v>
      </c>
    </row>
    <row r="851" spans="1:20" x14ac:dyDescent="0.25">
      <c r="A851" s="5">
        <v>43742</v>
      </c>
      <c r="B851">
        <v>5.0000000000000001E-3</v>
      </c>
      <c r="C851">
        <v>5.2100000000000002E-3</v>
      </c>
      <c r="D851">
        <v>4.8300000000000001E-3</v>
      </c>
      <c r="E851">
        <v>5.0800000000000003E-3</v>
      </c>
      <c r="F851">
        <v>48993861.700000003</v>
      </c>
      <c r="G851">
        <v>0</v>
      </c>
      <c r="L851" t="s">
        <v>8</v>
      </c>
      <c r="M851" t="s">
        <v>7</v>
      </c>
      <c r="N851" t="s">
        <v>7</v>
      </c>
      <c r="P851">
        <f t="shared" si="1009"/>
        <v>0.31578947368421123</v>
      </c>
      <c r="Q851">
        <f t="shared" si="1010"/>
        <v>15471745.800000036</v>
      </c>
      <c r="R851">
        <f t="shared" si="1011"/>
        <v>-1358123862.257601</v>
      </c>
      <c r="S851">
        <f t="shared" si="1012"/>
        <v>-13581.238622576011</v>
      </c>
      <c r="T851">
        <f t="shared" si="1013"/>
        <v>-13.581238622576011</v>
      </c>
    </row>
    <row r="852" spans="1:20" x14ac:dyDescent="0.25">
      <c r="A852" s="5">
        <v>43741</v>
      </c>
      <c r="B852">
        <v>5.0099999999999997E-3</v>
      </c>
      <c r="C852">
        <v>5.0899999999999999E-3</v>
      </c>
      <c r="D852">
        <v>4.7999999999999996E-3</v>
      </c>
      <c r="E852">
        <v>5.0000000000000001E-3</v>
      </c>
      <c r="F852">
        <v>58830524</v>
      </c>
      <c r="G852">
        <v>0</v>
      </c>
      <c r="L852" t="s">
        <v>7</v>
      </c>
      <c r="M852" t="s">
        <v>7</v>
      </c>
      <c r="N852" t="s">
        <v>7</v>
      </c>
      <c r="P852">
        <f t="shared" si="1009"/>
        <v>0.3793103448275883</v>
      </c>
      <c r="Q852">
        <f t="shared" si="1010"/>
        <v>22315026.344827708</v>
      </c>
      <c r="R852">
        <f t="shared" si="1011"/>
        <v>-1373595608.057601</v>
      </c>
      <c r="S852">
        <f t="shared" si="1012"/>
        <v>-13735.95608057601</v>
      </c>
      <c r="T852">
        <f t="shared" si="1013"/>
        <v>-13.73595608057601</v>
      </c>
    </row>
    <row r="853" spans="1:20" x14ac:dyDescent="0.25">
      <c r="A853" s="5">
        <v>43740</v>
      </c>
      <c r="B853">
        <v>5.0200000000000002E-3</v>
      </c>
      <c r="C853">
        <v>5.0800000000000003E-3</v>
      </c>
      <c r="D853">
        <v>4.8799999999999998E-3</v>
      </c>
      <c r="E853">
        <v>5.0099999999999997E-3</v>
      </c>
      <c r="F853">
        <v>23542629.199999999</v>
      </c>
      <c r="G853">
        <v>0</v>
      </c>
      <c r="L853" t="s">
        <v>7</v>
      </c>
      <c r="M853" t="s">
        <v>7</v>
      </c>
      <c r="N853" t="s">
        <v>7</v>
      </c>
      <c r="P853">
        <f t="shared" si="1009"/>
        <v>0.29999999999999566</v>
      </c>
      <c r="Q853">
        <f t="shared" si="1010"/>
        <v>7062788.7599998973</v>
      </c>
      <c r="R853">
        <f t="shared" si="1011"/>
        <v>-1395910634.4024286</v>
      </c>
      <c r="S853">
        <f t="shared" si="1012"/>
        <v>-13959.106344024287</v>
      </c>
      <c r="T853">
        <f t="shared" si="1013"/>
        <v>-13.959106344024287</v>
      </c>
    </row>
    <row r="854" spans="1:20" x14ac:dyDescent="0.25">
      <c r="A854" s="5">
        <v>43739</v>
      </c>
      <c r="B854">
        <v>5.1399999999999996E-3</v>
      </c>
      <c r="C854">
        <v>5.3299999999999997E-3</v>
      </c>
      <c r="D854">
        <v>4.9899999999999996E-3</v>
      </c>
      <c r="E854">
        <v>5.0400000000000002E-3</v>
      </c>
      <c r="F854">
        <v>39362954</v>
      </c>
      <c r="G854">
        <v>0</v>
      </c>
      <c r="L854" t="s">
        <v>8</v>
      </c>
      <c r="M854" t="s">
        <v>7</v>
      </c>
      <c r="N854" t="s">
        <v>7</v>
      </c>
      <c r="P854">
        <f t="shared" si="1009"/>
        <v>-0.70588235294117319</v>
      </c>
      <c r="Q854">
        <f t="shared" si="1010"/>
        <v>-27785614.588235166</v>
      </c>
      <c r="R854">
        <f t="shared" si="1011"/>
        <v>-1402973423.1624286</v>
      </c>
      <c r="S854">
        <f t="shared" si="1012"/>
        <v>-14029.734231624287</v>
      </c>
      <c r="T854">
        <f t="shared" si="1013"/>
        <v>-14.029734231624287</v>
      </c>
    </row>
    <row r="855" spans="1:20" x14ac:dyDescent="0.25">
      <c r="A855" s="5">
        <v>43738</v>
      </c>
      <c r="B855">
        <v>5.0899999999999999E-3</v>
      </c>
      <c r="C855">
        <v>5.3600000000000002E-3</v>
      </c>
      <c r="D855">
        <v>4.7000000000000002E-3</v>
      </c>
      <c r="E855">
        <v>5.1500000000000001E-3</v>
      </c>
      <c r="F855">
        <v>88442469</v>
      </c>
      <c r="G855">
        <v>0</v>
      </c>
      <c r="L855" t="s">
        <v>8</v>
      </c>
      <c r="M855" t="s">
        <v>7</v>
      </c>
      <c r="N855" t="s">
        <v>7</v>
      </c>
      <c r="P855">
        <f t="shared" si="1009"/>
        <v>0.36363636363636326</v>
      </c>
      <c r="Q855">
        <f t="shared" si="1010"/>
        <v>32160897.818181783</v>
      </c>
      <c r="R855">
        <f t="shared" si="1011"/>
        <v>-1375187808.5741935</v>
      </c>
      <c r="S855">
        <f t="shared" si="1012"/>
        <v>-13751.878085741935</v>
      </c>
      <c r="T855">
        <f t="shared" si="1013"/>
        <v>-13.751878085741936</v>
      </c>
    </row>
    <row r="856" spans="1:20" x14ac:dyDescent="0.25">
      <c r="A856" s="5">
        <v>43737</v>
      </c>
      <c r="B856">
        <v>5.0400000000000002E-3</v>
      </c>
      <c r="C856">
        <v>5.1399999999999996E-3</v>
      </c>
      <c r="D856">
        <v>4.9100000000000003E-3</v>
      </c>
      <c r="E856">
        <v>5.0800000000000003E-3</v>
      </c>
      <c r="F856">
        <v>56485983.200000003</v>
      </c>
      <c r="G856">
        <v>0</v>
      </c>
      <c r="L856" t="s">
        <v>8</v>
      </c>
      <c r="M856" t="s">
        <v>7</v>
      </c>
      <c r="N856" t="s">
        <v>7</v>
      </c>
      <c r="P856">
        <f t="shared" si="1009"/>
        <v>0.47826086956522196</v>
      </c>
      <c r="Q856">
        <f t="shared" si="1010"/>
        <v>27015035.443478521</v>
      </c>
      <c r="R856">
        <f t="shared" si="1011"/>
        <v>-1407348706.3923752</v>
      </c>
      <c r="S856">
        <f t="shared" si="1012"/>
        <v>-14073.487063923752</v>
      </c>
      <c r="T856">
        <f t="shared" si="1013"/>
        <v>-14.073487063923752</v>
      </c>
    </row>
    <row r="857" spans="1:20" x14ac:dyDescent="0.25">
      <c r="A857" s="5">
        <v>43736</v>
      </c>
      <c r="B857">
        <v>5.0499999999999998E-3</v>
      </c>
      <c r="C857">
        <v>5.1999999999999998E-3</v>
      </c>
      <c r="D857">
        <v>4.8900000000000002E-3</v>
      </c>
      <c r="E857">
        <v>5.0299999999999997E-3</v>
      </c>
      <c r="F857">
        <v>63942003.700000003</v>
      </c>
      <c r="G857">
        <v>0</v>
      </c>
      <c r="L857" t="s">
        <v>8</v>
      </c>
      <c r="M857" t="s">
        <v>7</v>
      </c>
      <c r="N857" t="s">
        <v>7</v>
      </c>
      <c r="P857">
        <f t="shared" si="1009"/>
        <v>-9.6774193548388898E-2</v>
      </c>
      <c r="Q857">
        <f t="shared" si="1010"/>
        <v>-6187935.8419355992</v>
      </c>
      <c r="R857">
        <f t="shared" si="1011"/>
        <v>-1434363741.8358538</v>
      </c>
      <c r="S857">
        <f t="shared" si="1012"/>
        <v>-14343.637418358538</v>
      </c>
      <c r="T857">
        <f t="shared" si="1013"/>
        <v>-14.343637418358538</v>
      </c>
    </row>
    <row r="858" spans="1:20" x14ac:dyDescent="0.25">
      <c r="A858" s="5">
        <v>43735</v>
      </c>
      <c r="B858">
        <v>5.0099999999999997E-3</v>
      </c>
      <c r="C858">
        <v>5.13E-3</v>
      </c>
      <c r="D858">
        <v>4.8199999999999996E-3</v>
      </c>
      <c r="E858">
        <v>5.0499999999999998E-3</v>
      </c>
      <c r="F858">
        <v>43817673.700000003</v>
      </c>
      <c r="G858">
        <v>0</v>
      </c>
      <c r="L858" t="s">
        <v>8</v>
      </c>
      <c r="M858" t="s">
        <v>7</v>
      </c>
      <c r="N858" t="s">
        <v>7</v>
      </c>
      <c r="P858">
        <f t="shared" si="1009"/>
        <v>0.48387096774193478</v>
      </c>
      <c r="Q858">
        <f t="shared" si="1010"/>
        <v>21202100.177419323</v>
      </c>
      <c r="R858">
        <f t="shared" si="1011"/>
        <v>-1428175805.9939182</v>
      </c>
      <c r="S858">
        <f t="shared" si="1012"/>
        <v>-14281.758059939182</v>
      </c>
      <c r="T858">
        <f t="shared" si="1013"/>
        <v>-14.281758059939182</v>
      </c>
    </row>
    <row r="859" spans="1:20" x14ac:dyDescent="0.25">
      <c r="A859" s="5">
        <v>43734</v>
      </c>
      <c r="B859">
        <v>5.4000000000000003E-3</v>
      </c>
      <c r="C859">
        <v>5.5399999999999998E-3</v>
      </c>
      <c r="D859">
        <v>4.6100000000000004E-3</v>
      </c>
      <c r="E859">
        <v>5.0299999999999997E-3</v>
      </c>
      <c r="F859">
        <v>135666285.5</v>
      </c>
      <c r="G859">
        <v>0</v>
      </c>
      <c r="L859" t="s">
        <v>7</v>
      </c>
      <c r="M859" t="s">
        <v>7</v>
      </c>
      <c r="N859" t="s">
        <v>7</v>
      </c>
      <c r="P859">
        <f t="shared" si="1009"/>
        <v>-9.6774193548387885E-2</v>
      </c>
      <c r="Q859">
        <f t="shared" si="1010"/>
        <v>-13128995.370967848</v>
      </c>
      <c r="R859">
        <f t="shared" si="1011"/>
        <v>-1449377906.1713376</v>
      </c>
      <c r="S859">
        <f t="shared" si="1012"/>
        <v>-14493.779061713376</v>
      </c>
      <c r="T859">
        <f t="shared" si="1013"/>
        <v>-14.493779061713376</v>
      </c>
    </row>
    <row r="860" spans="1:20" x14ac:dyDescent="0.25">
      <c r="A860" s="5">
        <v>43733</v>
      </c>
      <c r="B860">
        <v>5.3699999999999998E-3</v>
      </c>
      <c r="C860">
        <v>5.6499999999999996E-3</v>
      </c>
      <c r="D860">
        <v>5.13E-3</v>
      </c>
      <c r="E860">
        <v>5.4099999999999999E-3</v>
      </c>
      <c r="F860">
        <v>46637411.200000003</v>
      </c>
      <c r="G860">
        <v>0</v>
      </c>
      <c r="L860" t="s">
        <v>8</v>
      </c>
      <c r="M860" t="s">
        <v>7</v>
      </c>
      <c r="N860" t="s">
        <v>7</v>
      </c>
      <c r="P860">
        <f t="shared" si="1009"/>
        <v>7.6923076923077177E-2</v>
      </c>
      <c r="Q860">
        <f t="shared" si="1010"/>
        <v>3587493.1692307815</v>
      </c>
      <c r="R860">
        <f t="shared" si="1011"/>
        <v>-1436248910.8003697</v>
      </c>
      <c r="S860">
        <f t="shared" si="1012"/>
        <v>-14362.489108003698</v>
      </c>
      <c r="T860">
        <f t="shared" si="1013"/>
        <v>-14.362489108003698</v>
      </c>
    </row>
    <row r="861" spans="1:20" x14ac:dyDescent="0.25">
      <c r="A861" s="5">
        <v>43732</v>
      </c>
      <c r="B861">
        <v>6.6899999999999998E-3</v>
      </c>
      <c r="C861">
        <v>7.1700000000000002E-3</v>
      </c>
      <c r="D861">
        <v>4.9699999999999996E-3</v>
      </c>
      <c r="E861">
        <v>5.4000000000000003E-3</v>
      </c>
      <c r="F861">
        <v>111754383.09999999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-0.60909090909090857</v>
      </c>
      <c r="Q861">
        <f t="shared" si="1010"/>
        <v>-68068578.797272667</v>
      </c>
      <c r="R861">
        <f t="shared" si="1011"/>
        <v>-1439836403.9696004</v>
      </c>
      <c r="S861">
        <f t="shared" si="1012"/>
        <v>-14398.364039696004</v>
      </c>
      <c r="T861">
        <f t="shared" si="1013"/>
        <v>-14.398364039696004</v>
      </c>
    </row>
    <row r="862" spans="1:20" x14ac:dyDescent="0.25">
      <c r="A862" s="5">
        <v>43731</v>
      </c>
      <c r="B862">
        <v>7.2100000000000003E-3</v>
      </c>
      <c r="C862">
        <v>7.26E-3</v>
      </c>
      <c r="D862">
        <v>6.6899999999999998E-3</v>
      </c>
      <c r="E862">
        <v>6.7000000000000002E-3</v>
      </c>
      <c r="F862">
        <v>68505736.700000003</v>
      </c>
      <c r="G862">
        <v>0</v>
      </c>
      <c r="L862" t="s">
        <v>7</v>
      </c>
      <c r="M862" t="s">
        <v>7</v>
      </c>
      <c r="N862" t="s">
        <v>7</v>
      </c>
      <c r="P862">
        <f t="shared" si="1009"/>
        <v>-0.96491228070175283</v>
      </c>
      <c r="Q862">
        <f t="shared" si="1010"/>
        <v>-66102026.640350774</v>
      </c>
      <c r="R862">
        <f t="shared" si="1011"/>
        <v>-1371767825.1723278</v>
      </c>
      <c r="S862">
        <f t="shared" si="1012"/>
        <v>-13717.678251723277</v>
      </c>
      <c r="T862">
        <f t="shared" si="1013"/>
        <v>-13.717678251723276</v>
      </c>
    </row>
    <row r="863" spans="1:20" x14ac:dyDescent="0.25">
      <c r="A863" s="5">
        <v>43730</v>
      </c>
      <c r="B863">
        <v>7.6E-3</v>
      </c>
      <c r="C863">
        <v>7.6E-3</v>
      </c>
      <c r="D863">
        <v>6.9300000000000004E-3</v>
      </c>
      <c r="E863">
        <v>7.2399999999999999E-3</v>
      </c>
      <c r="F863">
        <v>59300523.399999999</v>
      </c>
      <c r="G863">
        <v>0</v>
      </c>
      <c r="L863" t="s">
        <v>7</v>
      </c>
      <c r="M863" t="s">
        <v>7</v>
      </c>
      <c r="N863" t="s">
        <v>7</v>
      </c>
      <c r="P863">
        <f t="shared" si="1009"/>
        <v>-7.4626865671642686E-2</v>
      </c>
      <c r="Q863">
        <f t="shared" si="1010"/>
        <v>-4425412.194029904</v>
      </c>
      <c r="R863">
        <f t="shared" si="1011"/>
        <v>-1305665798.5319769</v>
      </c>
      <c r="S863">
        <f t="shared" si="1012"/>
        <v>-13056.657985319769</v>
      </c>
      <c r="T863">
        <f t="shared" si="1013"/>
        <v>-13.056657985319768</v>
      </c>
    </row>
    <row r="864" spans="1:20" x14ac:dyDescent="0.25">
      <c r="A864" s="5">
        <v>43729</v>
      </c>
      <c r="B864">
        <v>7.7400000000000004E-3</v>
      </c>
      <c r="C864">
        <v>7.8300000000000002E-3</v>
      </c>
      <c r="D864">
        <v>7.5500000000000003E-3</v>
      </c>
      <c r="E864">
        <v>7.5900000000000004E-3</v>
      </c>
      <c r="F864">
        <v>23321195.899999999</v>
      </c>
      <c r="G864">
        <v>0</v>
      </c>
      <c r="L864" t="s">
        <v>7</v>
      </c>
      <c r="M864" t="s">
        <v>7</v>
      </c>
      <c r="N864" t="s">
        <v>7</v>
      </c>
      <c r="P864">
        <f t="shared" si="1009"/>
        <v>-0.71428571428571341</v>
      </c>
      <c r="Q864">
        <f t="shared" si="1010"/>
        <v>-16657997.07142855</v>
      </c>
      <c r="R864">
        <f t="shared" si="1011"/>
        <v>-1301240386.3379471</v>
      </c>
      <c r="S864">
        <f t="shared" si="1012"/>
        <v>-13012.403863379472</v>
      </c>
      <c r="T864">
        <f t="shared" si="1013"/>
        <v>-13.012403863379472</v>
      </c>
    </row>
    <row r="865" spans="1:20" x14ac:dyDescent="0.25">
      <c r="A865" s="5">
        <v>43728</v>
      </c>
      <c r="B865">
        <v>7.77E-3</v>
      </c>
      <c r="C865">
        <v>7.9299999999999995E-3</v>
      </c>
      <c r="D865">
        <v>7.6600000000000001E-3</v>
      </c>
      <c r="E865">
        <v>7.7499999999999999E-3</v>
      </c>
      <c r="F865">
        <v>77994041</v>
      </c>
      <c r="G865">
        <v>0</v>
      </c>
      <c r="L865" t="s">
        <v>7</v>
      </c>
      <c r="M865" t="s">
        <v>7</v>
      </c>
      <c r="N865" t="s">
        <v>7</v>
      </c>
      <c r="P865">
        <f t="shared" si="1009"/>
        <v>-0.33333333333333331</v>
      </c>
      <c r="Q865">
        <f t="shared" si="1010"/>
        <v>-25998013.666666664</v>
      </c>
      <c r="R865">
        <f t="shared" si="1011"/>
        <v>-1284582389.2665186</v>
      </c>
      <c r="S865">
        <f t="shared" si="1012"/>
        <v>-12845.823892665187</v>
      </c>
      <c r="T865">
        <f t="shared" si="1013"/>
        <v>-12.845823892665187</v>
      </c>
    </row>
    <row r="866" spans="1:20" x14ac:dyDescent="0.25">
      <c r="A866" s="5">
        <v>43727</v>
      </c>
      <c r="B866">
        <v>8.2199999999999999E-3</v>
      </c>
      <c r="C866">
        <v>8.2299999999999995E-3</v>
      </c>
      <c r="D866">
        <v>7.5100000000000002E-3</v>
      </c>
      <c r="E866">
        <v>7.77E-3</v>
      </c>
      <c r="F866">
        <v>49165105.799999997</v>
      </c>
      <c r="G866">
        <v>0</v>
      </c>
      <c r="L866" t="s">
        <v>7</v>
      </c>
      <c r="M866" t="s">
        <v>7</v>
      </c>
      <c r="N866" t="s">
        <v>7</v>
      </c>
      <c r="P866">
        <f t="shared" si="1009"/>
        <v>-0.27777777777777757</v>
      </c>
      <c r="Q866">
        <f t="shared" si="1010"/>
        <v>-13656973.833333323</v>
      </c>
      <c r="R866">
        <f t="shared" si="1011"/>
        <v>-1258584375.5998518</v>
      </c>
      <c r="S866">
        <f t="shared" si="1012"/>
        <v>-12585.843755998518</v>
      </c>
      <c r="T866">
        <f t="shared" si="1013"/>
        <v>-12.585843755998518</v>
      </c>
    </row>
    <row r="867" spans="1:20" x14ac:dyDescent="0.25">
      <c r="A867" s="5">
        <v>43726</v>
      </c>
      <c r="B867">
        <v>7.8799999999999999E-3</v>
      </c>
      <c r="C867">
        <v>8.3999999999999995E-3</v>
      </c>
      <c r="D867">
        <v>7.5700000000000003E-3</v>
      </c>
      <c r="E867">
        <v>8.2199999999999999E-3</v>
      </c>
      <c r="F867">
        <v>139350893.40000001</v>
      </c>
      <c r="G867">
        <v>0</v>
      </c>
      <c r="L867" t="s">
        <v>8</v>
      </c>
      <c r="M867" t="s">
        <v>7</v>
      </c>
      <c r="N867" t="s">
        <v>7</v>
      </c>
      <c r="P867">
        <f t="shared" si="1009"/>
        <v>0.56626506024096435</v>
      </c>
      <c r="Q867">
        <f t="shared" si="1010"/>
        <v>78909542.045783207</v>
      </c>
      <c r="R867">
        <f t="shared" si="1011"/>
        <v>-1244927401.7665186</v>
      </c>
      <c r="S867">
        <f t="shared" si="1012"/>
        <v>-12449.274017665186</v>
      </c>
      <c r="T867">
        <f t="shared" si="1013"/>
        <v>-12.449274017665186</v>
      </c>
    </row>
    <row r="868" spans="1:20" x14ac:dyDescent="0.25">
      <c r="A868" s="5">
        <v>43725</v>
      </c>
      <c r="B868">
        <v>7.7000000000000002E-3</v>
      </c>
      <c r="C868">
        <v>7.9900000000000006E-3</v>
      </c>
      <c r="D868">
        <v>7.6499999999999997E-3</v>
      </c>
      <c r="E868">
        <v>7.8899999999999994E-3</v>
      </c>
      <c r="F868">
        <v>26171262.600000001</v>
      </c>
      <c r="G868">
        <v>0</v>
      </c>
      <c r="L868" t="s">
        <v>7</v>
      </c>
      <c r="M868" t="s">
        <v>7</v>
      </c>
      <c r="N868" t="s">
        <v>7</v>
      </c>
      <c r="P868">
        <f t="shared" si="1009"/>
        <v>0.41176470588234781</v>
      </c>
      <c r="Q868">
        <f t="shared" si="1010"/>
        <v>10776402.24705869</v>
      </c>
      <c r="R868">
        <f t="shared" si="1011"/>
        <v>-1323836943.8123019</v>
      </c>
      <c r="S868">
        <f t="shared" si="1012"/>
        <v>-13238.369438123018</v>
      </c>
      <c r="T868">
        <f t="shared" si="1013"/>
        <v>-13.238369438123017</v>
      </c>
    </row>
    <row r="869" spans="1:20" x14ac:dyDescent="0.25">
      <c r="A869" s="5">
        <v>43724</v>
      </c>
      <c r="B869">
        <v>7.6699999999999997E-3</v>
      </c>
      <c r="C869">
        <v>8.26E-3</v>
      </c>
      <c r="D869">
        <v>7.4700000000000001E-3</v>
      </c>
      <c r="E869">
        <v>7.7099999999999998E-3</v>
      </c>
      <c r="F869">
        <v>62516987.200000003</v>
      </c>
      <c r="G869">
        <v>0</v>
      </c>
      <c r="L869" t="s">
        <v>8</v>
      </c>
      <c r="M869" t="s">
        <v>7</v>
      </c>
      <c r="N869" t="s">
        <v>7</v>
      </c>
      <c r="P869">
        <f t="shared" si="1009"/>
        <v>-0.39240506329113978</v>
      </c>
      <c r="Q869">
        <f t="shared" si="1010"/>
        <v>-24531982.318987377</v>
      </c>
      <c r="R869">
        <f t="shared" si="1011"/>
        <v>-1334613346.0593605</v>
      </c>
      <c r="S869">
        <f t="shared" si="1012"/>
        <v>-13346.133460593604</v>
      </c>
      <c r="T869">
        <f t="shared" si="1013"/>
        <v>-13.346133460593604</v>
      </c>
    </row>
    <row r="870" spans="1:20" x14ac:dyDescent="0.25">
      <c r="A870" s="5">
        <v>43723</v>
      </c>
      <c r="B870">
        <v>7.5599999999999999E-3</v>
      </c>
      <c r="C870">
        <v>7.7499999999999999E-3</v>
      </c>
      <c r="D870">
        <v>7.4799999999999997E-3</v>
      </c>
      <c r="E870">
        <v>7.6299999999999996E-3</v>
      </c>
      <c r="F870">
        <v>20785430.800000001</v>
      </c>
      <c r="G870">
        <v>0</v>
      </c>
      <c r="L870" t="s">
        <v>7</v>
      </c>
      <c r="M870" t="s">
        <v>7</v>
      </c>
      <c r="N870" t="s">
        <v>7</v>
      </c>
      <c r="P870">
        <f t="shared" si="1009"/>
        <v>0.11111111111110969</v>
      </c>
      <c r="Q870">
        <f t="shared" si="1010"/>
        <v>2309492.3111110819</v>
      </c>
      <c r="R870">
        <f t="shared" si="1011"/>
        <v>-1310081363.7403731</v>
      </c>
      <c r="S870">
        <f t="shared" si="1012"/>
        <v>-13100.813637403731</v>
      </c>
      <c r="T870">
        <f t="shared" si="1013"/>
        <v>-13.100813637403732</v>
      </c>
    </row>
    <row r="871" spans="1:20" x14ac:dyDescent="0.25">
      <c r="A871" s="5">
        <v>43722</v>
      </c>
      <c r="B871">
        <v>7.6600000000000001E-3</v>
      </c>
      <c r="C871">
        <v>7.6800000000000002E-3</v>
      </c>
      <c r="D871">
        <v>7.45E-3</v>
      </c>
      <c r="E871">
        <v>7.5599999999999999E-3</v>
      </c>
      <c r="F871">
        <v>26023556.600000001</v>
      </c>
      <c r="G871">
        <v>0</v>
      </c>
      <c r="L871" t="s">
        <v>7</v>
      </c>
      <c r="M871" t="s">
        <v>7</v>
      </c>
      <c r="N871" t="s">
        <v>7</v>
      </c>
      <c r="P871">
        <f t="shared" si="1009"/>
        <v>-4.3478260869567187E-2</v>
      </c>
      <c r="Q871">
        <f t="shared" si="1010"/>
        <v>-1131458.982608747</v>
      </c>
      <c r="R871">
        <f t="shared" si="1011"/>
        <v>-1312390856.0514841</v>
      </c>
      <c r="S871">
        <f t="shared" si="1012"/>
        <v>-13123.908560514841</v>
      </c>
      <c r="T871">
        <f t="shared" si="1013"/>
        <v>-13.123908560514842</v>
      </c>
    </row>
    <row r="872" spans="1:20" x14ac:dyDescent="0.25">
      <c r="A872" s="5">
        <v>43721</v>
      </c>
      <c r="B872">
        <v>7.8899999999999994E-3</v>
      </c>
      <c r="C872">
        <v>8.1099999999999992E-3</v>
      </c>
      <c r="D872">
        <v>7.6E-3</v>
      </c>
      <c r="E872">
        <v>7.6600000000000001E-3</v>
      </c>
      <c r="F872">
        <v>35482647</v>
      </c>
      <c r="G872">
        <v>0</v>
      </c>
      <c r="L872" t="s">
        <v>7</v>
      </c>
      <c r="M872" t="s">
        <v>7</v>
      </c>
      <c r="N872" t="s">
        <v>7</v>
      </c>
      <c r="P872">
        <f t="shared" si="1009"/>
        <v>-0.76470588235294013</v>
      </c>
      <c r="Q872">
        <f t="shared" si="1010"/>
        <v>-27133788.882352903</v>
      </c>
      <c r="R872">
        <f t="shared" si="1011"/>
        <v>-1311259397.0688753</v>
      </c>
      <c r="S872">
        <f t="shared" si="1012"/>
        <v>-13112.593970688753</v>
      </c>
      <c r="T872">
        <f t="shared" si="1013"/>
        <v>-13.112593970688753</v>
      </c>
    </row>
    <row r="873" spans="1:20" x14ac:dyDescent="0.25">
      <c r="A873" s="5">
        <v>43720</v>
      </c>
      <c r="B873">
        <v>8.2500000000000004E-3</v>
      </c>
      <c r="C873">
        <v>8.3599999999999994E-3</v>
      </c>
      <c r="D873">
        <v>7.5399999999999998E-3</v>
      </c>
      <c r="E873">
        <v>7.9000000000000008E-3</v>
      </c>
      <c r="F873">
        <v>59676250</v>
      </c>
      <c r="G873">
        <v>0</v>
      </c>
      <c r="L873" t="s">
        <v>7</v>
      </c>
      <c r="M873" t="s">
        <v>7</v>
      </c>
      <c r="N873" t="s">
        <v>7</v>
      </c>
      <c r="P873">
        <f t="shared" si="1009"/>
        <v>-0.12195121951219233</v>
      </c>
      <c r="Q873">
        <f t="shared" si="1010"/>
        <v>-7277591.4634144679</v>
      </c>
      <c r="R873">
        <f t="shared" si="1011"/>
        <v>-1284125608.1865225</v>
      </c>
      <c r="S873">
        <f t="shared" si="1012"/>
        <v>-12841.256081865225</v>
      </c>
      <c r="T873">
        <f t="shared" si="1013"/>
        <v>-12.841256081865225</v>
      </c>
    </row>
    <row r="874" spans="1:20" x14ac:dyDescent="0.25">
      <c r="A874" s="5">
        <v>43719</v>
      </c>
      <c r="B874">
        <v>8.4399999999999996E-3</v>
      </c>
      <c r="C874">
        <v>8.8000000000000005E-3</v>
      </c>
      <c r="D874">
        <v>8.1300000000000001E-3</v>
      </c>
      <c r="E874">
        <v>8.2400000000000008E-3</v>
      </c>
      <c r="F874">
        <v>50056305.799999997</v>
      </c>
      <c r="G874">
        <v>0</v>
      </c>
      <c r="L874" t="s">
        <v>7</v>
      </c>
      <c r="M874" t="s">
        <v>7</v>
      </c>
      <c r="N874" t="s">
        <v>7</v>
      </c>
      <c r="P874">
        <f t="shared" si="1009"/>
        <v>-0.67164179104477417</v>
      </c>
      <c r="Q874">
        <f t="shared" si="1010"/>
        <v>-33619906.880596913</v>
      </c>
      <c r="R874">
        <f t="shared" si="1011"/>
        <v>-1276848016.7231081</v>
      </c>
      <c r="S874">
        <f t="shared" si="1012"/>
        <v>-12768.48016723108</v>
      </c>
      <c r="T874">
        <f t="shared" si="1013"/>
        <v>-12.768480167231081</v>
      </c>
    </row>
    <row r="875" spans="1:20" x14ac:dyDescent="0.25">
      <c r="A875" s="5">
        <v>43718</v>
      </c>
      <c r="B875">
        <v>8.7799999999999996E-3</v>
      </c>
      <c r="C875">
        <v>8.8800000000000007E-3</v>
      </c>
      <c r="D875">
        <v>8.2699999999999996E-3</v>
      </c>
      <c r="E875">
        <v>8.4399999999999996E-3</v>
      </c>
      <c r="F875">
        <v>39013360.399999999</v>
      </c>
      <c r="G875">
        <v>0</v>
      </c>
      <c r="L875" t="s">
        <v>7</v>
      </c>
      <c r="M875" t="s">
        <v>7</v>
      </c>
      <c r="N875" t="s">
        <v>7</v>
      </c>
      <c r="P875">
        <f t="shared" si="1009"/>
        <v>-0.44262295081967318</v>
      </c>
      <c r="Q875">
        <f t="shared" si="1010"/>
        <v>-17268208.701639384</v>
      </c>
      <c r="R875">
        <f t="shared" si="1011"/>
        <v>-1243228109.8425112</v>
      </c>
      <c r="S875">
        <f t="shared" si="1012"/>
        <v>-12432.281098425112</v>
      </c>
      <c r="T875">
        <f t="shared" si="1013"/>
        <v>-12.432281098425111</v>
      </c>
    </row>
    <row r="876" spans="1:20" x14ac:dyDescent="0.25">
      <c r="A876" s="5">
        <v>43717</v>
      </c>
      <c r="B876">
        <v>8.7500000000000008E-3</v>
      </c>
      <c r="C876">
        <v>9.0900000000000009E-3</v>
      </c>
      <c r="D876">
        <v>8.4799999999999997E-3</v>
      </c>
      <c r="E876">
        <v>8.7799999999999996E-3</v>
      </c>
      <c r="F876">
        <v>53413701.700000003</v>
      </c>
      <c r="G876">
        <v>0</v>
      </c>
      <c r="L876" t="s">
        <v>7</v>
      </c>
      <c r="M876" t="s">
        <v>7</v>
      </c>
      <c r="N876" t="s">
        <v>7</v>
      </c>
      <c r="P876">
        <f t="shared" si="1009"/>
        <v>-1.6393442622952965E-2</v>
      </c>
      <c r="Q876">
        <f t="shared" si="1010"/>
        <v>-875634.45409847528</v>
      </c>
      <c r="R876">
        <f t="shared" si="1011"/>
        <v>-1225959901.1408718</v>
      </c>
      <c r="S876">
        <f t="shared" si="1012"/>
        <v>-12259.599011408718</v>
      </c>
      <c r="T876">
        <f t="shared" si="1013"/>
        <v>-12.259599011408717</v>
      </c>
    </row>
    <row r="877" spans="1:20" x14ac:dyDescent="0.25">
      <c r="A877" s="5">
        <v>43716</v>
      </c>
      <c r="B877">
        <v>8.8900000000000003E-3</v>
      </c>
      <c r="C877">
        <v>9.11E-3</v>
      </c>
      <c r="D877">
        <v>8.6599999999999993E-3</v>
      </c>
      <c r="E877">
        <v>8.7500000000000008E-3</v>
      </c>
      <c r="F877">
        <v>46635210.799999997</v>
      </c>
      <c r="G877">
        <v>0</v>
      </c>
      <c r="L877" t="s">
        <v>7</v>
      </c>
      <c r="M877" t="s">
        <v>7</v>
      </c>
      <c r="N877" t="s">
        <v>7</v>
      </c>
      <c r="P877">
        <f t="shared" si="1009"/>
        <v>-0.59999999999999387</v>
      </c>
      <c r="Q877">
        <f t="shared" si="1010"/>
        <v>-27981126.479999714</v>
      </c>
      <c r="R877">
        <f t="shared" si="1011"/>
        <v>-1225084266.6867733</v>
      </c>
      <c r="S877">
        <f t="shared" si="1012"/>
        <v>-12250.842666867733</v>
      </c>
      <c r="T877">
        <f t="shared" si="1013"/>
        <v>-12.250842666867733</v>
      </c>
    </row>
    <row r="878" spans="1:20" x14ac:dyDescent="0.25">
      <c r="A878" s="5">
        <v>43715</v>
      </c>
      <c r="B878">
        <v>8.9099999999999995E-3</v>
      </c>
      <c r="C878">
        <v>9.0500000000000008E-3</v>
      </c>
      <c r="D878">
        <v>8.5699999999999995E-3</v>
      </c>
      <c r="E878">
        <v>8.8900000000000003E-3</v>
      </c>
      <c r="F878">
        <v>63720897.200000003</v>
      </c>
      <c r="G878">
        <v>0</v>
      </c>
      <c r="L878" t="s">
        <v>7</v>
      </c>
      <c r="M878" t="s">
        <v>7</v>
      </c>
      <c r="N878" t="s">
        <v>7</v>
      </c>
      <c r="P878">
        <f t="shared" si="1009"/>
        <v>0.33333333333333331</v>
      </c>
      <c r="Q878">
        <f t="shared" si="1010"/>
        <v>21240299.066666666</v>
      </c>
      <c r="R878">
        <f t="shared" si="1011"/>
        <v>-1197103140.2067735</v>
      </c>
      <c r="S878">
        <f t="shared" si="1012"/>
        <v>-11971.031402067736</v>
      </c>
      <c r="T878">
        <f t="shared" si="1013"/>
        <v>-11.971031402067736</v>
      </c>
    </row>
    <row r="879" spans="1:20" x14ac:dyDescent="0.25">
      <c r="A879" s="5">
        <v>43714</v>
      </c>
      <c r="B879">
        <v>8.77E-3</v>
      </c>
      <c r="C879">
        <v>9.2700000000000005E-3</v>
      </c>
      <c r="D879">
        <v>8.4399999999999996E-3</v>
      </c>
      <c r="E879">
        <v>8.9099999999999995E-3</v>
      </c>
      <c r="F879">
        <v>120764799.5</v>
      </c>
      <c r="G879">
        <v>0</v>
      </c>
      <c r="L879" t="s">
        <v>8</v>
      </c>
      <c r="M879" t="s">
        <v>7</v>
      </c>
      <c r="N879" t="s">
        <v>7</v>
      </c>
      <c r="P879">
        <f t="shared" si="1009"/>
        <v>0.13253012048192636</v>
      </c>
      <c r="Q879">
        <f t="shared" si="1010"/>
        <v>16004973.42771068</v>
      </c>
      <c r="R879">
        <f t="shared" si="1011"/>
        <v>-1218343439.2734401</v>
      </c>
      <c r="S879">
        <f t="shared" si="1012"/>
        <v>-12183.434392734402</v>
      </c>
      <c r="T879">
        <f t="shared" si="1013"/>
        <v>-12.183434392734402</v>
      </c>
    </row>
    <row r="880" spans="1:20" x14ac:dyDescent="0.25">
      <c r="A880" s="5">
        <v>43713</v>
      </c>
      <c r="B880">
        <v>8.4799999999999997E-3</v>
      </c>
      <c r="C880">
        <v>8.9300000000000004E-3</v>
      </c>
      <c r="D880">
        <v>8.4100000000000008E-3</v>
      </c>
      <c r="E880">
        <v>8.7600000000000004E-3</v>
      </c>
      <c r="F880">
        <v>59965430.899999999</v>
      </c>
      <c r="G880">
        <v>0</v>
      </c>
      <c r="L880" t="s">
        <v>7</v>
      </c>
      <c r="M880" t="s">
        <v>7</v>
      </c>
      <c r="N880" t="s">
        <v>7</v>
      </c>
      <c r="P880">
        <f t="shared" si="1009"/>
        <v>0.34615384615384565</v>
      </c>
      <c r="Q880">
        <f t="shared" si="1010"/>
        <v>20757264.54230766</v>
      </c>
      <c r="R880">
        <f t="shared" si="1011"/>
        <v>-1234348412.7011509</v>
      </c>
      <c r="S880">
        <f t="shared" si="1012"/>
        <v>-12343.484127011508</v>
      </c>
      <c r="T880">
        <f t="shared" si="1013"/>
        <v>-12.343484127011509</v>
      </c>
    </row>
    <row r="881" spans="1:20" x14ac:dyDescent="0.25">
      <c r="A881" s="5">
        <v>43712</v>
      </c>
      <c r="B881">
        <v>8.77E-3</v>
      </c>
      <c r="C881">
        <v>8.8400000000000006E-3</v>
      </c>
      <c r="D881">
        <v>8.4100000000000008E-3</v>
      </c>
      <c r="E881">
        <v>8.4499999999999992E-3</v>
      </c>
      <c r="F881">
        <v>41671661.600000001</v>
      </c>
      <c r="G881">
        <v>0</v>
      </c>
      <c r="L881" t="s">
        <v>7</v>
      </c>
      <c r="M881" t="s">
        <v>7</v>
      </c>
      <c r="N881" t="s">
        <v>7</v>
      </c>
      <c r="P881">
        <f t="shared" si="1009"/>
        <v>-0.81395348837210058</v>
      </c>
      <c r="Q881">
        <f t="shared" si="1010"/>
        <v>-33918794.325581715</v>
      </c>
      <c r="R881">
        <f t="shared" si="1011"/>
        <v>-1255105677.2434585</v>
      </c>
      <c r="S881">
        <f t="shared" si="1012"/>
        <v>-12551.056772434586</v>
      </c>
      <c r="T881">
        <f t="shared" si="1013"/>
        <v>-12.551056772434585</v>
      </c>
    </row>
    <row r="882" spans="1:20" x14ac:dyDescent="0.25">
      <c r="A882" s="5">
        <v>43711</v>
      </c>
      <c r="B882">
        <v>8.9899999999999997E-3</v>
      </c>
      <c r="C882">
        <v>9.1800000000000007E-3</v>
      </c>
      <c r="D882">
        <v>8.6199999999999992E-3</v>
      </c>
      <c r="E882">
        <v>8.7799999999999996E-3</v>
      </c>
      <c r="F882">
        <v>71768321.700000003</v>
      </c>
      <c r="G882">
        <v>0</v>
      </c>
      <c r="L882" t="s">
        <v>7</v>
      </c>
      <c r="M882" t="s">
        <v>7</v>
      </c>
      <c r="N882" t="s">
        <v>7</v>
      </c>
      <c r="P882">
        <f t="shared" si="1009"/>
        <v>-0.42857142857142855</v>
      </c>
      <c r="Q882">
        <f t="shared" si="1010"/>
        <v>-30757852.157142855</v>
      </c>
      <c r="R882">
        <f t="shared" si="1011"/>
        <v>-1221186882.9178767</v>
      </c>
      <c r="S882">
        <f t="shared" si="1012"/>
        <v>-12211.868829178768</v>
      </c>
      <c r="T882">
        <f t="shared" si="1013"/>
        <v>-12.211868829178767</v>
      </c>
    </row>
    <row r="883" spans="1:20" x14ac:dyDescent="0.25">
      <c r="A883" s="5">
        <v>43710</v>
      </c>
      <c r="B883">
        <v>8.3499999999999998E-3</v>
      </c>
      <c r="C883">
        <v>9.3399999999999993E-3</v>
      </c>
      <c r="D883">
        <v>8.3499999999999998E-3</v>
      </c>
      <c r="E883">
        <v>8.9899999999999997E-3</v>
      </c>
      <c r="F883">
        <v>90579068.200000003</v>
      </c>
      <c r="G883">
        <v>0</v>
      </c>
      <c r="L883" t="s">
        <v>8</v>
      </c>
      <c r="M883" t="s">
        <v>7</v>
      </c>
      <c r="N883" t="s">
        <v>7</v>
      </c>
      <c r="P883">
        <f t="shared" si="1009"/>
        <v>0.29292929292929337</v>
      </c>
      <c r="Q883">
        <f t="shared" si="1010"/>
        <v>26533262.402020242</v>
      </c>
      <c r="R883">
        <f t="shared" si="1011"/>
        <v>-1190429030.7607338</v>
      </c>
      <c r="S883">
        <f t="shared" si="1012"/>
        <v>-11904.290307607338</v>
      </c>
      <c r="T883">
        <f t="shared" si="1013"/>
        <v>-11.904290307607338</v>
      </c>
    </row>
    <row r="884" spans="1:20" x14ac:dyDescent="0.25">
      <c r="A884" s="5">
        <v>43709</v>
      </c>
      <c r="B884">
        <v>8.3800000000000003E-3</v>
      </c>
      <c r="C884">
        <v>8.8299999999999993E-3</v>
      </c>
      <c r="D884">
        <v>8.2000000000000007E-3</v>
      </c>
      <c r="E884">
        <v>8.3499999999999998E-3</v>
      </c>
      <c r="F884">
        <v>58756772.899999999</v>
      </c>
      <c r="G884">
        <v>0</v>
      </c>
      <c r="L884" t="s">
        <v>8</v>
      </c>
      <c r="M884" t="s">
        <v>7</v>
      </c>
      <c r="N884" t="s">
        <v>7</v>
      </c>
      <c r="P884">
        <f t="shared" si="1009"/>
        <v>-0.52380952380952561</v>
      </c>
      <c r="Q884">
        <f t="shared" si="1010"/>
        <v>-30777357.233333439</v>
      </c>
      <c r="R884">
        <f t="shared" si="1011"/>
        <v>-1216962293.1627541</v>
      </c>
      <c r="S884">
        <f t="shared" si="1012"/>
        <v>-12169.62293162754</v>
      </c>
      <c r="T884">
        <f t="shared" si="1013"/>
        <v>-12.16962293162754</v>
      </c>
    </row>
    <row r="885" spans="1:20" x14ac:dyDescent="0.25">
      <c r="A885" s="5">
        <v>43708</v>
      </c>
      <c r="B885">
        <v>8.7100000000000007E-3</v>
      </c>
      <c r="C885">
        <v>8.8800000000000007E-3</v>
      </c>
      <c r="D885">
        <v>8.1099999999999992E-3</v>
      </c>
      <c r="E885">
        <v>8.3800000000000003E-3</v>
      </c>
      <c r="F885">
        <v>56510869.200000003</v>
      </c>
      <c r="G885">
        <v>0</v>
      </c>
      <c r="L885" t="s">
        <v>7</v>
      </c>
      <c r="M885" t="s">
        <v>7</v>
      </c>
      <c r="N885" t="s">
        <v>7</v>
      </c>
      <c r="P885">
        <f t="shared" si="1009"/>
        <v>-0.29870129870129719</v>
      </c>
      <c r="Q885">
        <f t="shared" si="1010"/>
        <v>-16879870.020779137</v>
      </c>
      <c r="R885">
        <f t="shared" si="1011"/>
        <v>-1186184935.9294207</v>
      </c>
      <c r="S885">
        <f t="shared" si="1012"/>
        <v>-11861.849359294207</v>
      </c>
      <c r="T885">
        <f t="shared" si="1013"/>
        <v>-11.861849359294206</v>
      </c>
    </row>
    <row r="886" spans="1:20" x14ac:dyDescent="0.25">
      <c r="A886" s="5">
        <v>43707</v>
      </c>
      <c r="B886">
        <v>8.8000000000000005E-3</v>
      </c>
      <c r="C886">
        <v>9.3399999999999993E-3</v>
      </c>
      <c r="D886">
        <v>8.6E-3</v>
      </c>
      <c r="E886">
        <v>8.7100000000000007E-3</v>
      </c>
      <c r="F886">
        <v>77761880.299999997</v>
      </c>
      <c r="G886">
        <v>0</v>
      </c>
      <c r="L886" t="s">
        <v>8</v>
      </c>
      <c r="M886" t="s">
        <v>7</v>
      </c>
      <c r="N886" t="s">
        <v>7</v>
      </c>
      <c r="P886">
        <f t="shared" si="1009"/>
        <v>-0.70270270270270052</v>
      </c>
      <c r="Q886">
        <f t="shared" si="1010"/>
        <v>-54643483.454053879</v>
      </c>
      <c r="R886">
        <f t="shared" si="1011"/>
        <v>-1169305065.9086416</v>
      </c>
      <c r="S886">
        <f t="shared" si="1012"/>
        <v>-11693.050659086415</v>
      </c>
      <c r="T886">
        <f t="shared" si="1013"/>
        <v>-11.693050659086415</v>
      </c>
    </row>
    <row r="887" spans="1:20" x14ac:dyDescent="0.25">
      <c r="A887" s="5">
        <v>43706</v>
      </c>
      <c r="B887">
        <v>9.2599999999999991E-3</v>
      </c>
      <c r="C887">
        <v>9.5399999999999999E-3</v>
      </c>
      <c r="D887">
        <v>8.5299999999999994E-3</v>
      </c>
      <c r="E887">
        <v>8.8100000000000001E-3</v>
      </c>
      <c r="F887">
        <v>85257060.900000006</v>
      </c>
      <c r="G887">
        <v>0</v>
      </c>
      <c r="L887" t="s">
        <v>7</v>
      </c>
      <c r="M887" t="s">
        <v>7</v>
      </c>
      <c r="N887" t="s">
        <v>7</v>
      </c>
      <c r="P887">
        <f t="shared" si="1009"/>
        <v>-0.44554455445544433</v>
      </c>
      <c r="Q887">
        <f t="shared" si="1010"/>
        <v>-37985819.212871186</v>
      </c>
      <c r="R887">
        <f t="shared" si="1011"/>
        <v>-1114661582.4545877</v>
      </c>
      <c r="S887">
        <f t="shared" si="1012"/>
        <v>-11146.615824545877</v>
      </c>
      <c r="T887">
        <f t="shared" si="1013"/>
        <v>-11.146615824545878</v>
      </c>
    </row>
    <row r="888" spans="1:20" x14ac:dyDescent="0.25">
      <c r="A888" s="5">
        <v>43705</v>
      </c>
      <c r="B888">
        <v>1.0189999999999999E-2</v>
      </c>
      <c r="C888">
        <v>1.0240000000000001E-2</v>
      </c>
      <c r="D888">
        <v>9.1299999999999992E-3</v>
      </c>
      <c r="E888">
        <v>9.2599999999999991E-3</v>
      </c>
      <c r="F888">
        <v>105335605.40000001</v>
      </c>
      <c r="G888">
        <v>0</v>
      </c>
      <c r="L888" t="s">
        <v>7</v>
      </c>
      <c r="M888" t="s">
        <v>7</v>
      </c>
      <c r="N888" t="s">
        <v>7</v>
      </c>
      <c r="P888">
        <f t="shared" si="1009"/>
        <v>-0.76576576576576627</v>
      </c>
      <c r="Q888">
        <f t="shared" si="1010"/>
        <v>-80662400.531531587</v>
      </c>
      <c r="R888">
        <f t="shared" si="1011"/>
        <v>-1076675763.2417166</v>
      </c>
      <c r="S888">
        <f t="shared" si="1012"/>
        <v>-10766.757632417166</v>
      </c>
      <c r="T888">
        <f t="shared" si="1013"/>
        <v>-10.766757632417166</v>
      </c>
    </row>
    <row r="889" spans="1:20" x14ac:dyDescent="0.25">
      <c r="A889" s="5">
        <v>43704</v>
      </c>
      <c r="B889">
        <v>1.008E-2</v>
      </c>
      <c r="C889">
        <v>1.0489999999999999E-2</v>
      </c>
      <c r="D889">
        <v>1.001E-2</v>
      </c>
      <c r="E889">
        <v>1.0200000000000001E-2</v>
      </c>
      <c r="F889">
        <v>79815219</v>
      </c>
      <c r="G889">
        <v>0</v>
      </c>
      <c r="L889" t="s">
        <v>7</v>
      </c>
      <c r="M889" t="s">
        <v>7</v>
      </c>
      <c r="N889" t="s">
        <v>7</v>
      </c>
      <c r="P889">
        <f t="shared" si="1009"/>
        <v>-0.20833333333332865</v>
      </c>
      <c r="Q889">
        <f t="shared" si="1010"/>
        <v>-16628170.624999626</v>
      </c>
      <c r="R889">
        <f t="shared" si="1011"/>
        <v>-996013362.71018505</v>
      </c>
      <c r="S889">
        <f t="shared" si="1012"/>
        <v>-9960.1336271018499</v>
      </c>
      <c r="T889">
        <f t="shared" si="1013"/>
        <v>-9.9601336271018504</v>
      </c>
    </row>
    <row r="890" spans="1:20" x14ac:dyDescent="0.25">
      <c r="A890" s="5">
        <v>43703</v>
      </c>
      <c r="B890">
        <v>1.008E-2</v>
      </c>
      <c r="C890">
        <v>1.0460000000000001E-2</v>
      </c>
      <c r="D890">
        <v>9.8899999999999995E-3</v>
      </c>
      <c r="E890">
        <v>1.004E-2</v>
      </c>
      <c r="F890">
        <v>60336211.600000001</v>
      </c>
      <c r="G890">
        <v>0</v>
      </c>
      <c r="L890" t="s">
        <v>7</v>
      </c>
      <c r="M890" t="s">
        <v>7</v>
      </c>
      <c r="N890" t="s">
        <v>7</v>
      </c>
      <c r="P890">
        <f t="shared" si="1009"/>
        <v>-0.47368421052631388</v>
      </c>
      <c r="Q890">
        <f t="shared" si="1010"/>
        <v>-28580310.75789462</v>
      </c>
      <c r="R890">
        <f t="shared" si="1011"/>
        <v>-979385192.08518541</v>
      </c>
      <c r="S890">
        <f t="shared" si="1012"/>
        <v>-9793.8519208518537</v>
      </c>
      <c r="T890">
        <f t="shared" si="1013"/>
        <v>-9.7938519208518535</v>
      </c>
    </row>
    <row r="891" spans="1:20" x14ac:dyDescent="0.25">
      <c r="A891" s="5">
        <v>43702</v>
      </c>
      <c r="B891">
        <v>1.055E-2</v>
      </c>
      <c r="C891">
        <v>1.074E-2</v>
      </c>
      <c r="D891">
        <v>9.8300000000000002E-3</v>
      </c>
      <c r="E891">
        <v>1.008E-2</v>
      </c>
      <c r="F891">
        <v>59040601.600000001</v>
      </c>
      <c r="G891">
        <v>0</v>
      </c>
      <c r="L891" t="s">
        <v>7</v>
      </c>
      <c r="M891" t="s">
        <v>7</v>
      </c>
      <c r="N891" t="s">
        <v>7</v>
      </c>
      <c r="P891">
        <f t="shared" si="1009"/>
        <v>-0.45054945054944967</v>
      </c>
      <c r="Q891">
        <f t="shared" si="1010"/>
        <v>-26600710.61098896</v>
      </c>
      <c r="R891">
        <f t="shared" si="1011"/>
        <v>-950804881.32729077</v>
      </c>
      <c r="S891">
        <f t="shared" si="1012"/>
        <v>-9508.0488132729079</v>
      </c>
      <c r="T891">
        <f t="shared" si="1013"/>
        <v>-9.5080488132729073</v>
      </c>
    </row>
    <row r="892" spans="1:20" x14ac:dyDescent="0.25">
      <c r="A892" s="5">
        <v>43701</v>
      </c>
      <c r="B892">
        <v>1.081E-2</v>
      </c>
      <c r="C892">
        <v>1.0919999999999999E-2</v>
      </c>
      <c r="D892">
        <v>1.035E-2</v>
      </c>
      <c r="E892">
        <v>1.056E-2</v>
      </c>
      <c r="F892">
        <v>109395741</v>
      </c>
      <c r="G892">
        <v>0</v>
      </c>
      <c r="L892" t="s">
        <v>7</v>
      </c>
      <c r="M892" t="s">
        <v>7</v>
      </c>
      <c r="N892" t="s">
        <v>7</v>
      </c>
      <c r="P892">
        <f t="shared" si="1009"/>
        <v>-0.26315789473684081</v>
      </c>
      <c r="Q892">
        <f t="shared" si="1010"/>
        <v>-28788352.8947367</v>
      </c>
      <c r="R892">
        <f t="shared" si="1011"/>
        <v>-924204170.7163018</v>
      </c>
      <c r="S892">
        <f t="shared" si="1012"/>
        <v>-9242.0417071630181</v>
      </c>
      <c r="T892">
        <f t="shared" si="1013"/>
        <v>-9.2420417071630183</v>
      </c>
    </row>
    <row r="893" spans="1:20" x14ac:dyDescent="0.25">
      <c r="A893" s="5">
        <v>43700</v>
      </c>
      <c r="B893">
        <v>1.149E-2</v>
      </c>
      <c r="C893">
        <v>1.209E-2</v>
      </c>
      <c r="D893">
        <v>1.0659999999999999E-2</v>
      </c>
      <c r="E893">
        <v>1.0800000000000001E-2</v>
      </c>
      <c r="F893">
        <v>160071109.80000001</v>
      </c>
      <c r="G893">
        <v>0</v>
      </c>
      <c r="L893" t="s">
        <v>8</v>
      </c>
      <c r="M893" t="s">
        <v>7</v>
      </c>
      <c r="N893" t="s">
        <v>7</v>
      </c>
      <c r="P893">
        <f t="shared" si="1009"/>
        <v>-0.80419580419580261</v>
      </c>
      <c r="Q893">
        <f t="shared" si="1010"/>
        <v>-128728514.87412563</v>
      </c>
      <c r="R893">
        <f t="shared" si="1011"/>
        <v>-895415817.82156515</v>
      </c>
      <c r="S893">
        <f t="shared" si="1012"/>
        <v>-8954.1581782156518</v>
      </c>
      <c r="T893">
        <f t="shared" si="1013"/>
        <v>-8.9541581782156516</v>
      </c>
    </row>
    <row r="894" spans="1:20" x14ac:dyDescent="0.25">
      <c r="A894" s="5">
        <v>43699</v>
      </c>
      <c r="B894">
        <v>1.111E-2</v>
      </c>
      <c r="C894">
        <v>1.184E-2</v>
      </c>
      <c r="D894">
        <v>1.057E-2</v>
      </c>
      <c r="E894">
        <v>1.1440000000000001E-2</v>
      </c>
      <c r="F894">
        <v>103829876.90000001</v>
      </c>
      <c r="G894">
        <v>0</v>
      </c>
      <c r="L894" t="s">
        <v>8</v>
      </c>
      <c r="M894" t="s">
        <v>7</v>
      </c>
      <c r="N894" t="s">
        <v>7</v>
      </c>
      <c r="P894">
        <f t="shared" si="1009"/>
        <v>0.37007874015748154</v>
      </c>
      <c r="Q894">
        <f t="shared" si="1010"/>
        <v>38425230.033858396</v>
      </c>
      <c r="R894">
        <f t="shared" si="1011"/>
        <v>-766687302.94743955</v>
      </c>
      <c r="S894">
        <f t="shared" si="1012"/>
        <v>-7666.8730294743955</v>
      </c>
      <c r="T894">
        <f t="shared" si="1013"/>
        <v>-7.6668730294743952</v>
      </c>
    </row>
    <row r="895" spans="1:20" x14ac:dyDescent="0.25">
      <c r="A895" s="5">
        <v>43698</v>
      </c>
      <c r="B895">
        <v>1.1849999999999999E-2</v>
      </c>
      <c r="C895">
        <v>1.221E-2</v>
      </c>
      <c r="D895">
        <v>1.0670000000000001E-2</v>
      </c>
      <c r="E895">
        <v>1.111E-2</v>
      </c>
      <c r="F895">
        <v>152945985.30000001</v>
      </c>
      <c r="G895">
        <v>0</v>
      </c>
      <c r="L895" t="s">
        <v>7</v>
      </c>
      <c r="M895" t="s">
        <v>7</v>
      </c>
      <c r="N895" t="s">
        <v>7</v>
      </c>
      <c r="P895">
        <f t="shared" ref="P895:P958" si="1014">IF(C895=D895,0,((E895-D895)-(C895-E895))/(C895-D895))</f>
        <v>-0.42857142857142921</v>
      </c>
      <c r="Q895">
        <f t="shared" ref="Q895:Q958" si="1015">F895*P895</f>
        <v>-65548279.414285816</v>
      </c>
      <c r="R895">
        <f t="shared" ref="R895:R958" si="1016">R896+Q895</f>
        <v>-805112532.98129797</v>
      </c>
      <c r="S895">
        <f t="shared" ref="S895:S958" si="1017">R895/100000</f>
        <v>-8051.1253298129795</v>
      </c>
      <c r="T895">
        <f t="shared" ref="T895:T958" si="1018">S895/1000</f>
        <v>-8.0511253298129795</v>
      </c>
    </row>
    <row r="896" spans="1:20" x14ac:dyDescent="0.25">
      <c r="A896" s="5">
        <v>43697</v>
      </c>
      <c r="B896">
        <v>1.166E-2</v>
      </c>
      <c r="C896">
        <v>1.2579999999999999E-2</v>
      </c>
      <c r="D896">
        <v>1.1089999999999999E-2</v>
      </c>
      <c r="E896">
        <v>1.1849999999999999E-2</v>
      </c>
      <c r="F896">
        <v>230574494.40000001</v>
      </c>
      <c r="G896">
        <v>0</v>
      </c>
      <c r="L896" t="s">
        <v>7</v>
      </c>
      <c r="M896" t="s">
        <v>8</v>
      </c>
      <c r="N896" t="s">
        <v>7</v>
      </c>
      <c r="P896">
        <f t="shared" si="1014"/>
        <v>2.0134228187919805E-2</v>
      </c>
      <c r="Q896">
        <f t="shared" si="1015"/>
        <v>4642439.4845638378</v>
      </c>
      <c r="R896">
        <f t="shared" si="1016"/>
        <v>-739564253.56701219</v>
      </c>
      <c r="S896">
        <f t="shared" si="1017"/>
        <v>-7395.642535670122</v>
      </c>
      <c r="T896">
        <f t="shared" si="1018"/>
        <v>-7.3956425356701221</v>
      </c>
    </row>
    <row r="897" spans="1:20" x14ac:dyDescent="0.25">
      <c r="A897" s="5">
        <v>43696</v>
      </c>
      <c r="B897">
        <v>1.09E-2</v>
      </c>
      <c r="C897">
        <v>1.273E-2</v>
      </c>
      <c r="D897">
        <v>1.0829999999999999E-2</v>
      </c>
      <c r="E897">
        <v>1.1650000000000001E-2</v>
      </c>
      <c r="F897">
        <v>251749386.30000001</v>
      </c>
      <c r="G897">
        <v>0</v>
      </c>
      <c r="L897" t="s">
        <v>8</v>
      </c>
      <c r="M897" t="s">
        <v>8</v>
      </c>
      <c r="N897" t="s">
        <v>7</v>
      </c>
      <c r="P897">
        <f t="shared" si="1014"/>
        <v>-0.13684210526315685</v>
      </c>
      <c r="Q897">
        <f t="shared" si="1015"/>
        <v>-34449916.019999735</v>
      </c>
      <c r="R897">
        <f t="shared" si="1016"/>
        <v>-744206693.05157602</v>
      </c>
      <c r="S897">
        <f t="shared" si="1017"/>
        <v>-7442.0669305157599</v>
      </c>
      <c r="T897">
        <f t="shared" si="1018"/>
        <v>-7.4420669305157601</v>
      </c>
    </row>
    <row r="898" spans="1:20" x14ac:dyDescent="0.25">
      <c r="A898" s="5">
        <v>43695</v>
      </c>
      <c r="B898">
        <v>1.039E-2</v>
      </c>
      <c r="C898">
        <v>1.1089999999999999E-2</v>
      </c>
      <c r="D898">
        <v>1.0160000000000001E-2</v>
      </c>
      <c r="E898">
        <v>1.0880000000000001E-2</v>
      </c>
      <c r="F898">
        <v>74623429.900000006</v>
      </c>
      <c r="G898">
        <v>0</v>
      </c>
      <c r="L898" t="s">
        <v>8</v>
      </c>
      <c r="M898" t="s">
        <v>7</v>
      </c>
      <c r="N898" t="s">
        <v>7</v>
      </c>
      <c r="P898">
        <f t="shared" si="1014"/>
        <v>0.54838709677419628</v>
      </c>
      <c r="Q898">
        <f t="shared" si="1015"/>
        <v>40922526.074193753</v>
      </c>
      <c r="R898">
        <f t="shared" si="1016"/>
        <v>-709756777.03157628</v>
      </c>
      <c r="S898">
        <f t="shared" si="1017"/>
        <v>-7097.5677703157626</v>
      </c>
      <c r="T898">
        <f t="shared" si="1018"/>
        <v>-7.0975677703157629</v>
      </c>
    </row>
    <row r="899" spans="1:20" x14ac:dyDescent="0.25">
      <c r="A899" s="5">
        <v>43694</v>
      </c>
      <c r="B899">
        <v>1.005E-2</v>
      </c>
      <c r="C899">
        <v>1.047E-2</v>
      </c>
      <c r="D899">
        <v>9.92E-3</v>
      </c>
      <c r="E899">
        <v>1.039E-2</v>
      </c>
      <c r="F899">
        <v>65857300.5</v>
      </c>
      <c r="G899">
        <v>0</v>
      </c>
      <c r="L899" t="s">
        <v>8</v>
      </c>
      <c r="M899" t="s">
        <v>7</v>
      </c>
      <c r="N899" t="s">
        <v>7</v>
      </c>
      <c r="P899">
        <f t="shared" si="1014"/>
        <v>0.70909090909090844</v>
      </c>
      <c r="Q899">
        <f t="shared" si="1015"/>
        <v>46698813.081818141</v>
      </c>
      <c r="R899">
        <f t="shared" si="1016"/>
        <v>-750679303.10576999</v>
      </c>
      <c r="S899">
        <f t="shared" si="1017"/>
        <v>-7506.7930310577003</v>
      </c>
      <c r="T899">
        <f t="shared" si="1018"/>
        <v>-7.5067930310577005</v>
      </c>
    </row>
    <row r="900" spans="1:20" x14ac:dyDescent="0.25">
      <c r="A900" s="5">
        <v>43693</v>
      </c>
      <c r="B900">
        <v>1.001E-2</v>
      </c>
      <c r="C900">
        <v>1.064E-2</v>
      </c>
      <c r="D900">
        <v>9.5200000000000007E-3</v>
      </c>
      <c r="E900">
        <v>1.005E-2</v>
      </c>
      <c r="F900">
        <v>128899088.90000001</v>
      </c>
      <c r="G900">
        <v>0</v>
      </c>
      <c r="L900" t="s">
        <v>7</v>
      </c>
      <c r="M900" t="s">
        <v>7</v>
      </c>
      <c r="N900" t="s">
        <v>7</v>
      </c>
      <c r="P900">
        <f t="shared" si="1014"/>
        <v>-5.3571428571429512E-2</v>
      </c>
      <c r="Q900">
        <f t="shared" si="1015"/>
        <v>-6905308.3339286931</v>
      </c>
      <c r="R900">
        <f t="shared" si="1016"/>
        <v>-797378116.1875881</v>
      </c>
      <c r="S900">
        <f t="shared" si="1017"/>
        <v>-7973.7811618758806</v>
      </c>
      <c r="T900">
        <f t="shared" si="1018"/>
        <v>-7.9737811618758805</v>
      </c>
    </row>
    <row r="901" spans="1:20" x14ac:dyDescent="0.25">
      <c r="A901" s="5">
        <v>43692</v>
      </c>
      <c r="B901">
        <v>9.9900000000000006E-3</v>
      </c>
      <c r="C901">
        <v>1.0410000000000001E-2</v>
      </c>
      <c r="D901">
        <v>9.7400000000000004E-3</v>
      </c>
      <c r="E901">
        <v>1.001E-2</v>
      </c>
      <c r="F901">
        <v>106666786.8</v>
      </c>
      <c r="G901">
        <v>0</v>
      </c>
      <c r="L901" t="s">
        <v>7</v>
      </c>
      <c r="M901" t="s">
        <v>7</v>
      </c>
      <c r="N901" t="s">
        <v>7</v>
      </c>
      <c r="P901">
        <f t="shared" si="1014"/>
        <v>-0.19402985074627097</v>
      </c>
      <c r="Q901">
        <f t="shared" si="1015"/>
        <v>-20696540.722388305</v>
      </c>
      <c r="R901">
        <f t="shared" si="1016"/>
        <v>-790472807.85365939</v>
      </c>
      <c r="S901">
        <f t="shared" si="1017"/>
        <v>-7904.7280785365938</v>
      </c>
      <c r="T901">
        <f t="shared" si="1018"/>
        <v>-7.9047280785365936</v>
      </c>
    </row>
    <row r="902" spans="1:20" x14ac:dyDescent="0.25">
      <c r="A902" s="5">
        <v>43691</v>
      </c>
      <c r="B902">
        <v>1.175E-2</v>
      </c>
      <c r="C902">
        <v>1.18E-2</v>
      </c>
      <c r="D902">
        <v>9.9699999999999997E-3</v>
      </c>
      <c r="E902">
        <v>9.9799999999999993E-3</v>
      </c>
      <c r="F902">
        <v>162068414.40000001</v>
      </c>
      <c r="G902">
        <v>0</v>
      </c>
      <c r="L902" t="s">
        <v>7</v>
      </c>
      <c r="M902" t="s">
        <v>7</v>
      </c>
      <c r="N902" t="s">
        <v>7</v>
      </c>
      <c r="P902">
        <f t="shared" si="1014"/>
        <v>-0.98907103825136655</v>
      </c>
      <c r="Q902">
        <f t="shared" si="1015"/>
        <v>-160297174.89836073</v>
      </c>
      <c r="R902">
        <f t="shared" si="1016"/>
        <v>-769776267.13127112</v>
      </c>
      <c r="S902">
        <f t="shared" si="1017"/>
        <v>-7697.7626713127111</v>
      </c>
      <c r="T902">
        <f t="shared" si="1018"/>
        <v>-7.6977626713127112</v>
      </c>
    </row>
    <row r="903" spans="1:20" x14ac:dyDescent="0.25">
      <c r="A903" s="5">
        <v>43690</v>
      </c>
      <c r="B903">
        <v>1.17E-2</v>
      </c>
      <c r="C903">
        <v>1.21E-2</v>
      </c>
      <c r="D903">
        <v>1.116E-2</v>
      </c>
      <c r="E903">
        <v>1.1730000000000001E-2</v>
      </c>
      <c r="F903">
        <v>184475252.19999999</v>
      </c>
      <c r="G903">
        <v>0</v>
      </c>
      <c r="L903" t="s">
        <v>8</v>
      </c>
      <c r="M903" t="s">
        <v>8</v>
      </c>
      <c r="N903" t="s">
        <v>7</v>
      </c>
      <c r="P903">
        <f t="shared" si="1014"/>
        <v>0.21276595744681095</v>
      </c>
      <c r="Q903">
        <f t="shared" si="1015"/>
        <v>39250053.659574918</v>
      </c>
      <c r="R903">
        <f t="shared" si="1016"/>
        <v>-609479092.23291039</v>
      </c>
      <c r="S903">
        <f t="shared" si="1017"/>
        <v>-6094.7909223291035</v>
      </c>
      <c r="T903">
        <f t="shared" si="1018"/>
        <v>-6.0947909223291035</v>
      </c>
    </row>
    <row r="904" spans="1:20" x14ac:dyDescent="0.25">
      <c r="A904" s="5">
        <v>43689</v>
      </c>
      <c r="B904">
        <v>1.123E-2</v>
      </c>
      <c r="C904">
        <v>1.21E-2</v>
      </c>
      <c r="D904">
        <v>1.0959999999999999E-2</v>
      </c>
      <c r="E904">
        <v>1.17E-2</v>
      </c>
      <c r="F904">
        <v>149195245.09999999</v>
      </c>
      <c r="G904">
        <v>0</v>
      </c>
      <c r="L904" t="s">
        <v>7</v>
      </c>
      <c r="M904" t="s">
        <v>8</v>
      </c>
      <c r="N904" t="s">
        <v>7</v>
      </c>
      <c r="P904">
        <f t="shared" si="1014"/>
        <v>0.29824561403508915</v>
      </c>
      <c r="Q904">
        <f t="shared" si="1015"/>
        <v>44496827.485965125</v>
      </c>
      <c r="R904">
        <f t="shared" si="1016"/>
        <v>-648729145.89248526</v>
      </c>
      <c r="S904">
        <f t="shared" si="1017"/>
        <v>-6487.291458924853</v>
      </c>
      <c r="T904">
        <f t="shared" si="1018"/>
        <v>-6.4872914589248527</v>
      </c>
    </row>
    <row r="905" spans="1:20" x14ac:dyDescent="0.25">
      <c r="A905" s="5">
        <v>43688</v>
      </c>
      <c r="B905">
        <v>1.0970000000000001E-2</v>
      </c>
      <c r="C905">
        <v>1.2670000000000001E-2</v>
      </c>
      <c r="D905">
        <v>1.0489999999999999E-2</v>
      </c>
      <c r="E905">
        <v>1.123E-2</v>
      </c>
      <c r="F905">
        <v>287910933.30000001</v>
      </c>
      <c r="G905">
        <v>0</v>
      </c>
      <c r="L905" t="s">
        <v>8</v>
      </c>
      <c r="M905" t="s">
        <v>8</v>
      </c>
      <c r="N905" t="s">
        <v>7</v>
      </c>
      <c r="P905">
        <f t="shared" si="1014"/>
        <v>-0.32110091743119212</v>
      </c>
      <c r="Q905">
        <f t="shared" si="1015"/>
        <v>-92448464.821100771</v>
      </c>
      <c r="R905">
        <f t="shared" si="1016"/>
        <v>-693225973.37845039</v>
      </c>
      <c r="S905">
        <f t="shared" si="1017"/>
        <v>-6932.2597337845036</v>
      </c>
      <c r="T905">
        <f t="shared" si="1018"/>
        <v>-6.9322597337845036</v>
      </c>
    </row>
    <row r="906" spans="1:20" x14ac:dyDescent="0.25">
      <c r="A906" s="5">
        <v>43687</v>
      </c>
      <c r="B906">
        <v>1.0059999999999999E-2</v>
      </c>
      <c r="C906">
        <v>1.129E-2</v>
      </c>
      <c r="D906">
        <v>0.01</v>
      </c>
      <c r="E906">
        <v>1.102E-2</v>
      </c>
      <c r="F906">
        <v>203891074.19999999</v>
      </c>
      <c r="G906">
        <v>0</v>
      </c>
      <c r="L906" t="s">
        <v>8</v>
      </c>
      <c r="M906" t="s">
        <v>7</v>
      </c>
      <c r="N906" t="s">
        <v>7</v>
      </c>
      <c r="P906">
        <f t="shared" si="1014"/>
        <v>0.58139534883721</v>
      </c>
      <c r="Q906">
        <f t="shared" si="1015"/>
        <v>118541322.20930246</v>
      </c>
      <c r="R906">
        <f t="shared" si="1016"/>
        <v>-600777508.55734968</v>
      </c>
      <c r="S906">
        <f t="shared" si="1017"/>
        <v>-6007.7750855734967</v>
      </c>
      <c r="T906">
        <f t="shared" si="1018"/>
        <v>-6.0077750855734964</v>
      </c>
    </row>
    <row r="907" spans="1:20" x14ac:dyDescent="0.25">
      <c r="A907" s="5">
        <v>43686</v>
      </c>
      <c r="B907">
        <v>1.184E-2</v>
      </c>
      <c r="C907">
        <v>1.2330000000000001E-2</v>
      </c>
      <c r="D907">
        <v>9.8799999999999999E-3</v>
      </c>
      <c r="E907">
        <v>1.0059999999999999E-2</v>
      </c>
      <c r="F907">
        <v>208527406</v>
      </c>
      <c r="G907">
        <v>0</v>
      </c>
      <c r="L907" t="s">
        <v>7</v>
      </c>
      <c r="M907" t="s">
        <v>7</v>
      </c>
      <c r="N907" t="s">
        <v>7</v>
      </c>
      <c r="P907">
        <f t="shared" si="1014"/>
        <v>-0.85306122448979627</v>
      </c>
      <c r="Q907">
        <f t="shared" si="1015"/>
        <v>-177886644.30204087</v>
      </c>
      <c r="R907">
        <f t="shared" si="1016"/>
        <v>-719318830.76665211</v>
      </c>
      <c r="S907">
        <f t="shared" si="1017"/>
        <v>-7193.1883076665208</v>
      </c>
      <c r="T907">
        <f t="shared" si="1018"/>
        <v>-7.1931883076665208</v>
      </c>
    </row>
    <row r="908" spans="1:20" x14ac:dyDescent="0.25">
      <c r="A908" s="5">
        <v>43685</v>
      </c>
      <c r="B908">
        <v>1.209E-2</v>
      </c>
      <c r="C908">
        <v>1.304E-2</v>
      </c>
      <c r="D908">
        <v>1.155E-2</v>
      </c>
      <c r="E908">
        <v>1.184E-2</v>
      </c>
      <c r="F908">
        <v>268141489.90000001</v>
      </c>
      <c r="G908">
        <v>0</v>
      </c>
      <c r="L908" t="s">
        <v>7</v>
      </c>
      <c r="M908" t="s">
        <v>7</v>
      </c>
      <c r="N908" t="s">
        <v>8</v>
      </c>
      <c r="P908">
        <f t="shared" si="1014"/>
        <v>-0.61073825503355661</v>
      </c>
      <c r="Q908">
        <f t="shared" si="1015"/>
        <v>-163764265.64362404</v>
      </c>
      <c r="R908">
        <f t="shared" si="1016"/>
        <v>-541432186.46461117</v>
      </c>
      <c r="S908">
        <f t="shared" si="1017"/>
        <v>-5414.3218646461119</v>
      </c>
      <c r="T908">
        <f t="shared" si="1018"/>
        <v>-5.4143218646461122</v>
      </c>
    </row>
    <row r="909" spans="1:20" x14ac:dyDescent="0.25">
      <c r="A909" s="5">
        <v>43684</v>
      </c>
      <c r="B909">
        <v>1.235E-2</v>
      </c>
      <c r="C909">
        <v>1.465E-2</v>
      </c>
      <c r="D909">
        <v>1.183E-2</v>
      </c>
      <c r="E909">
        <v>1.208E-2</v>
      </c>
      <c r="F909">
        <v>620210095.39999998</v>
      </c>
      <c r="G909">
        <v>0</v>
      </c>
      <c r="L909" t="s">
        <v>8</v>
      </c>
      <c r="M909" t="s">
        <v>8</v>
      </c>
      <c r="N909" t="s">
        <v>8</v>
      </c>
      <c r="P909">
        <f t="shared" si="1014"/>
        <v>-0.82269503546099276</v>
      </c>
      <c r="Q909">
        <f t="shared" si="1015"/>
        <v>-510243766.42836869</v>
      </c>
      <c r="R909">
        <f t="shared" si="1016"/>
        <v>-377667920.82098711</v>
      </c>
      <c r="S909">
        <f t="shared" si="1017"/>
        <v>-3776.6792082098709</v>
      </c>
      <c r="T909">
        <f t="shared" si="1018"/>
        <v>-3.7766792082098708</v>
      </c>
    </row>
    <row r="910" spans="1:20" x14ac:dyDescent="0.25">
      <c r="A910" s="5">
        <v>43683</v>
      </c>
      <c r="B910">
        <v>1.166E-2</v>
      </c>
      <c r="C910">
        <v>1.388E-2</v>
      </c>
      <c r="D910">
        <v>1.115E-2</v>
      </c>
      <c r="E910">
        <v>1.2359999999999999E-2</v>
      </c>
      <c r="F910">
        <v>721473059.79999995</v>
      </c>
      <c r="G910">
        <v>0</v>
      </c>
      <c r="L910" t="s">
        <v>8</v>
      </c>
      <c r="M910" t="s">
        <v>8</v>
      </c>
      <c r="N910" t="s">
        <v>8</v>
      </c>
      <c r="P910">
        <f t="shared" si="1014"/>
        <v>-0.11355311355311402</v>
      </c>
      <c r="Q910">
        <f t="shared" si="1015"/>
        <v>-81925512.284982026</v>
      </c>
      <c r="R910">
        <f t="shared" si="1016"/>
        <v>132575845.60738158</v>
      </c>
      <c r="S910">
        <f t="shared" si="1017"/>
        <v>1325.7584560738158</v>
      </c>
      <c r="T910">
        <f t="shared" si="1018"/>
        <v>1.3257584560738158</v>
      </c>
    </row>
    <row r="911" spans="1:20" x14ac:dyDescent="0.25">
      <c r="A911" s="5">
        <v>43682</v>
      </c>
      <c r="B911">
        <v>9.6399999999999993E-3</v>
      </c>
      <c r="C911">
        <v>1.2840000000000001E-2</v>
      </c>
      <c r="D911">
        <v>9.3600000000000003E-3</v>
      </c>
      <c r="E911">
        <v>1.1679999999999999E-2</v>
      </c>
      <c r="F911">
        <v>533094773</v>
      </c>
      <c r="G911">
        <v>0</v>
      </c>
      <c r="L911" t="s">
        <v>7</v>
      </c>
      <c r="M911" t="s">
        <v>8</v>
      </c>
      <c r="N911" t="s">
        <v>7</v>
      </c>
      <c r="P911">
        <f t="shared" si="1014"/>
        <v>0.33333333333333265</v>
      </c>
      <c r="Q911">
        <f t="shared" si="1015"/>
        <v>177698257.6666663</v>
      </c>
      <c r="R911">
        <f t="shared" si="1016"/>
        <v>214501357.89236361</v>
      </c>
      <c r="S911">
        <f t="shared" si="1017"/>
        <v>2145.013578923636</v>
      </c>
      <c r="T911">
        <f t="shared" si="1018"/>
        <v>2.1450135789236362</v>
      </c>
    </row>
    <row r="912" spans="1:20" x14ac:dyDescent="0.25">
      <c r="A912" s="5">
        <v>43681</v>
      </c>
      <c r="B912">
        <v>1.0120000000000001E-2</v>
      </c>
      <c r="C912">
        <v>1.057E-2</v>
      </c>
      <c r="D912">
        <v>9.5600000000000008E-3</v>
      </c>
      <c r="E912">
        <v>9.6500000000000006E-3</v>
      </c>
      <c r="F912">
        <v>109721078.90000001</v>
      </c>
      <c r="G912">
        <v>0</v>
      </c>
      <c r="L912" t="s">
        <v>7</v>
      </c>
      <c r="M912" t="s">
        <v>7</v>
      </c>
      <c r="N912" t="s">
        <v>7</v>
      </c>
      <c r="P912">
        <f t="shared" si="1014"/>
        <v>-0.82178217821782196</v>
      </c>
      <c r="Q912">
        <f t="shared" si="1015"/>
        <v>-90166827.214851514</v>
      </c>
      <c r="R912">
        <f t="shared" si="1016"/>
        <v>36803100.225697294</v>
      </c>
      <c r="S912">
        <f t="shared" si="1017"/>
        <v>368.03100225697295</v>
      </c>
      <c r="T912">
        <f t="shared" si="1018"/>
        <v>0.36803100225697294</v>
      </c>
    </row>
    <row r="913" spans="1:20" x14ac:dyDescent="0.25">
      <c r="A913" s="5">
        <v>43680</v>
      </c>
      <c r="B913">
        <v>1.0359999999999999E-2</v>
      </c>
      <c r="C913">
        <v>1.0800000000000001E-2</v>
      </c>
      <c r="D913">
        <v>9.9299999999999996E-3</v>
      </c>
      <c r="E913">
        <v>1.0120000000000001E-2</v>
      </c>
      <c r="F913">
        <v>71549069.599999994</v>
      </c>
      <c r="G913">
        <v>0</v>
      </c>
      <c r="L913" t="s">
        <v>8</v>
      </c>
      <c r="M913" t="s">
        <v>7</v>
      </c>
      <c r="N913" t="s">
        <v>7</v>
      </c>
      <c r="P913">
        <f t="shared" si="1014"/>
        <v>-0.56321839080459601</v>
      </c>
      <c r="Q913">
        <f t="shared" si="1015"/>
        <v>-40297751.843678035</v>
      </c>
      <c r="R913">
        <f t="shared" si="1016"/>
        <v>126969927.44054881</v>
      </c>
      <c r="S913">
        <f t="shared" si="1017"/>
        <v>1269.699274405488</v>
      </c>
      <c r="T913">
        <f t="shared" si="1018"/>
        <v>1.269699274405488</v>
      </c>
    </row>
    <row r="914" spans="1:20" x14ac:dyDescent="0.25">
      <c r="A914" s="5">
        <v>43679</v>
      </c>
      <c r="B914">
        <v>9.7999999999999997E-3</v>
      </c>
      <c r="C914">
        <v>1.09E-2</v>
      </c>
      <c r="D914">
        <v>9.4999999999999998E-3</v>
      </c>
      <c r="E914">
        <v>1.0370000000000001E-2</v>
      </c>
      <c r="F914">
        <v>183907298.30000001</v>
      </c>
      <c r="G914">
        <v>0</v>
      </c>
      <c r="L914" t="s">
        <v>7</v>
      </c>
      <c r="M914" t="s">
        <v>7</v>
      </c>
      <c r="N914" t="s">
        <v>7</v>
      </c>
      <c r="P914">
        <f t="shared" si="1014"/>
        <v>0.24285714285714408</v>
      </c>
      <c r="Q914">
        <f t="shared" si="1015"/>
        <v>44663201.015714511</v>
      </c>
      <c r="R914">
        <f t="shared" si="1016"/>
        <v>167267679.28422683</v>
      </c>
      <c r="S914">
        <f t="shared" si="1017"/>
        <v>1672.6767928422682</v>
      </c>
      <c r="T914">
        <f t="shared" si="1018"/>
        <v>1.6726767928422683</v>
      </c>
    </row>
    <row r="915" spans="1:20" x14ac:dyDescent="0.25">
      <c r="A915" s="5">
        <v>43678</v>
      </c>
      <c r="B915">
        <v>1.064E-2</v>
      </c>
      <c r="C915">
        <v>1.0659999999999999E-2</v>
      </c>
      <c r="D915">
        <v>9.5999999999999992E-3</v>
      </c>
      <c r="E915">
        <v>9.8200000000000006E-3</v>
      </c>
      <c r="F915">
        <v>100436112.2</v>
      </c>
      <c r="G915">
        <v>0</v>
      </c>
      <c r="L915" t="s">
        <v>7</v>
      </c>
      <c r="M915" t="s">
        <v>7</v>
      </c>
      <c r="N915" t="s">
        <v>7</v>
      </c>
      <c r="P915">
        <f t="shared" si="1014"/>
        <v>-0.58490566037735581</v>
      </c>
      <c r="Q915">
        <f t="shared" si="1015"/>
        <v>-58745650.532075204</v>
      </c>
      <c r="R915">
        <f t="shared" si="1016"/>
        <v>122604478.26851234</v>
      </c>
      <c r="S915">
        <f t="shared" si="1017"/>
        <v>1226.0447826851234</v>
      </c>
      <c r="T915">
        <f t="shared" si="1018"/>
        <v>1.2260447826851235</v>
      </c>
    </row>
    <row r="916" spans="1:20" x14ac:dyDescent="0.25">
      <c r="A916" s="5">
        <v>43677</v>
      </c>
      <c r="B916">
        <v>1.0710000000000001E-2</v>
      </c>
      <c r="C916">
        <v>1.1089999999999999E-2</v>
      </c>
      <c r="D916">
        <v>1.0359999999999999E-2</v>
      </c>
      <c r="E916">
        <v>1.061E-2</v>
      </c>
      <c r="F916">
        <v>95913114.400000006</v>
      </c>
      <c r="G916">
        <v>0</v>
      </c>
      <c r="L916" t="s">
        <v>7</v>
      </c>
      <c r="M916" t="s">
        <v>7</v>
      </c>
      <c r="N916" t="s">
        <v>7</v>
      </c>
      <c r="P916">
        <f t="shared" si="1014"/>
        <v>-0.31506849315068408</v>
      </c>
      <c r="Q916">
        <f t="shared" si="1015"/>
        <v>-30219200.42739718</v>
      </c>
      <c r="R916">
        <f t="shared" si="1016"/>
        <v>181350128.80058753</v>
      </c>
      <c r="S916">
        <f t="shared" si="1017"/>
        <v>1813.5012880058753</v>
      </c>
      <c r="T916">
        <f t="shared" si="1018"/>
        <v>1.8135012880058752</v>
      </c>
    </row>
    <row r="917" spans="1:20" x14ac:dyDescent="0.25">
      <c r="A917" s="5">
        <v>43676</v>
      </c>
      <c r="B917">
        <v>1.031E-2</v>
      </c>
      <c r="C917">
        <v>1.123E-2</v>
      </c>
      <c r="D917">
        <v>1.031E-2</v>
      </c>
      <c r="E917">
        <v>1.0710000000000001E-2</v>
      </c>
      <c r="F917">
        <v>131050443.59999999</v>
      </c>
      <c r="G917">
        <v>0</v>
      </c>
      <c r="L917" t="s">
        <v>8</v>
      </c>
      <c r="M917" t="s">
        <v>7</v>
      </c>
      <c r="N917" t="s">
        <v>7</v>
      </c>
      <c r="P917">
        <f t="shared" si="1014"/>
        <v>-0.13043478260869401</v>
      </c>
      <c r="Q917">
        <f t="shared" si="1015"/>
        <v>-17093536.121738914</v>
      </c>
      <c r="R917">
        <f t="shared" si="1016"/>
        <v>211569329.22798473</v>
      </c>
      <c r="S917">
        <f t="shared" si="1017"/>
        <v>2115.6932922798474</v>
      </c>
      <c r="T917">
        <f t="shared" si="1018"/>
        <v>2.1156932922798473</v>
      </c>
    </row>
    <row r="918" spans="1:20" x14ac:dyDescent="0.25">
      <c r="A918" s="5">
        <v>43675</v>
      </c>
      <c r="B918">
        <v>1.0710000000000001E-2</v>
      </c>
      <c r="C918">
        <v>1.089E-2</v>
      </c>
      <c r="D918">
        <v>9.9699999999999997E-3</v>
      </c>
      <c r="E918">
        <v>1.031E-2</v>
      </c>
      <c r="F918">
        <v>80502784.799999997</v>
      </c>
      <c r="G918">
        <v>0</v>
      </c>
      <c r="L918" t="s">
        <v>7</v>
      </c>
      <c r="M918" t="s">
        <v>7</v>
      </c>
      <c r="N918" t="s">
        <v>7</v>
      </c>
      <c r="P918">
        <f t="shared" si="1014"/>
        <v>-0.2608695652173918</v>
      </c>
      <c r="Q918">
        <f t="shared" si="1015"/>
        <v>-21000726.469565257</v>
      </c>
      <c r="R918">
        <f t="shared" si="1016"/>
        <v>228662865.34972364</v>
      </c>
      <c r="S918">
        <f t="shared" si="1017"/>
        <v>2286.6286534972364</v>
      </c>
      <c r="T918">
        <f t="shared" si="1018"/>
        <v>2.2866286534972362</v>
      </c>
    </row>
    <row r="919" spans="1:20" x14ac:dyDescent="0.25">
      <c r="A919" s="5">
        <v>43674</v>
      </c>
      <c r="B919">
        <v>1.1089999999999999E-2</v>
      </c>
      <c r="C919">
        <v>1.1299999999999999E-2</v>
      </c>
      <c r="D919">
        <v>1.025E-2</v>
      </c>
      <c r="E919">
        <v>1.0710000000000001E-2</v>
      </c>
      <c r="F919">
        <v>51739780.700000003</v>
      </c>
      <c r="G919">
        <v>0</v>
      </c>
      <c r="L919" t="s">
        <v>7</v>
      </c>
      <c r="M919" t="s">
        <v>7</v>
      </c>
      <c r="N919" t="s">
        <v>7</v>
      </c>
      <c r="P919">
        <f t="shared" si="1014"/>
        <v>-0.1238095238095222</v>
      </c>
      <c r="Q919">
        <f t="shared" si="1015"/>
        <v>-6405877.6104761073</v>
      </c>
      <c r="R919">
        <f t="shared" si="1016"/>
        <v>249663591.81928888</v>
      </c>
      <c r="S919">
        <f t="shared" si="1017"/>
        <v>2496.6359181928888</v>
      </c>
      <c r="T919">
        <f t="shared" si="1018"/>
        <v>2.4966359181928888</v>
      </c>
    </row>
    <row r="920" spans="1:20" x14ac:dyDescent="0.25">
      <c r="A920" s="5">
        <v>43673</v>
      </c>
      <c r="B920">
        <v>1.129E-2</v>
      </c>
      <c r="C920">
        <v>1.201E-2</v>
      </c>
      <c r="D920">
        <v>1.0880000000000001E-2</v>
      </c>
      <c r="E920">
        <v>1.108E-2</v>
      </c>
      <c r="F920">
        <v>104150846.8</v>
      </c>
      <c r="G920">
        <v>0</v>
      </c>
      <c r="L920" t="s">
        <v>8</v>
      </c>
      <c r="M920" t="s">
        <v>7</v>
      </c>
      <c r="N920" t="s">
        <v>7</v>
      </c>
      <c r="P920">
        <f t="shared" si="1014"/>
        <v>-0.64601769911504614</v>
      </c>
      <c r="Q920">
        <f t="shared" si="1015"/>
        <v>-67283290.410619661</v>
      </c>
      <c r="R920">
        <f t="shared" si="1016"/>
        <v>256069469.42976499</v>
      </c>
      <c r="S920">
        <f t="shared" si="1017"/>
        <v>2560.6946942976497</v>
      </c>
      <c r="T920">
        <f t="shared" si="1018"/>
        <v>2.5606946942976498</v>
      </c>
    </row>
    <row r="921" spans="1:20" x14ac:dyDescent="0.25">
      <c r="A921" s="5">
        <v>43672</v>
      </c>
      <c r="B921">
        <v>1.094E-2</v>
      </c>
      <c r="C921">
        <v>1.149E-2</v>
      </c>
      <c r="D921">
        <v>1.065E-2</v>
      </c>
      <c r="E921">
        <v>1.129E-2</v>
      </c>
      <c r="F921">
        <v>86882484.700000003</v>
      </c>
      <c r="G921">
        <v>0</v>
      </c>
      <c r="L921" t="s">
        <v>7</v>
      </c>
      <c r="M921" t="s">
        <v>7</v>
      </c>
      <c r="N921" t="s">
        <v>7</v>
      </c>
      <c r="P921">
        <f t="shared" si="1014"/>
        <v>0.52380952380952284</v>
      </c>
      <c r="Q921">
        <f t="shared" si="1015"/>
        <v>45509872.938095152</v>
      </c>
      <c r="R921">
        <f t="shared" si="1016"/>
        <v>323352759.84038466</v>
      </c>
      <c r="S921">
        <f t="shared" si="1017"/>
        <v>3233.5275984038467</v>
      </c>
      <c r="T921">
        <f t="shared" si="1018"/>
        <v>3.2335275984038465</v>
      </c>
    </row>
    <row r="922" spans="1:20" x14ac:dyDescent="0.25">
      <c r="A922" s="5">
        <v>43671</v>
      </c>
      <c r="B922">
        <v>1.094E-2</v>
      </c>
      <c r="C922">
        <v>1.162E-2</v>
      </c>
      <c r="D922">
        <v>1.0829999999999999E-2</v>
      </c>
      <c r="E922">
        <v>1.094E-2</v>
      </c>
      <c r="F922">
        <v>101335452.09999999</v>
      </c>
      <c r="G922">
        <v>0</v>
      </c>
      <c r="L922" t="s">
        <v>8</v>
      </c>
      <c r="M922" t="s">
        <v>7</v>
      </c>
      <c r="N922" t="s">
        <v>7</v>
      </c>
      <c r="P922">
        <f t="shared" si="1014"/>
        <v>-0.72151898734177056</v>
      </c>
      <c r="Q922">
        <f t="shared" si="1015"/>
        <v>-73115452.78101249</v>
      </c>
      <c r="R922">
        <f t="shared" si="1016"/>
        <v>277842886.90228951</v>
      </c>
      <c r="S922">
        <f t="shared" si="1017"/>
        <v>2778.428869022895</v>
      </c>
      <c r="T922">
        <f t="shared" si="1018"/>
        <v>2.7784288690228949</v>
      </c>
    </row>
    <row r="923" spans="1:20" x14ac:dyDescent="0.25">
      <c r="A923" s="5">
        <v>43670</v>
      </c>
      <c r="B923">
        <v>1.0540000000000001E-2</v>
      </c>
      <c r="C923">
        <v>1.1339999999999999E-2</v>
      </c>
      <c r="D923">
        <v>1.0240000000000001E-2</v>
      </c>
      <c r="E923">
        <v>1.094E-2</v>
      </c>
      <c r="F923">
        <v>112384455.5</v>
      </c>
      <c r="G923">
        <v>0</v>
      </c>
      <c r="L923" t="s">
        <v>7</v>
      </c>
      <c r="M923" t="s">
        <v>7</v>
      </c>
      <c r="N923" t="s">
        <v>7</v>
      </c>
      <c r="P923">
        <f t="shared" si="1014"/>
        <v>0.27272727272727304</v>
      </c>
      <c r="Q923">
        <f t="shared" si="1015"/>
        <v>30650306.04545458</v>
      </c>
      <c r="R923">
        <f t="shared" si="1016"/>
        <v>350958339.68330199</v>
      </c>
      <c r="S923">
        <f t="shared" si="1017"/>
        <v>3509.5833968330198</v>
      </c>
      <c r="T923">
        <f t="shared" si="1018"/>
        <v>3.5095833968330199</v>
      </c>
    </row>
    <row r="924" spans="1:20" x14ac:dyDescent="0.25">
      <c r="A924" s="5">
        <v>43669</v>
      </c>
      <c r="B924">
        <v>1.183E-2</v>
      </c>
      <c r="C924">
        <v>1.201E-2</v>
      </c>
      <c r="D924">
        <v>1.0449999999999999E-2</v>
      </c>
      <c r="E924">
        <v>1.055E-2</v>
      </c>
      <c r="F924">
        <v>141538841.90000001</v>
      </c>
      <c r="G924">
        <v>0</v>
      </c>
      <c r="L924" t="s">
        <v>7</v>
      </c>
      <c r="M924" t="s">
        <v>7</v>
      </c>
      <c r="N924" t="s">
        <v>7</v>
      </c>
      <c r="P924">
        <f t="shared" si="1014"/>
        <v>-0.87179487179487036</v>
      </c>
      <c r="Q924">
        <f t="shared" si="1015"/>
        <v>-123392836.52820493</v>
      </c>
      <c r="R924">
        <f t="shared" si="1016"/>
        <v>320308033.63784742</v>
      </c>
      <c r="S924">
        <f t="shared" si="1017"/>
        <v>3203.0803363784744</v>
      </c>
      <c r="T924">
        <f t="shared" si="1018"/>
        <v>3.2030803363784743</v>
      </c>
    </row>
    <row r="925" spans="1:20" x14ac:dyDescent="0.25">
      <c r="A925" s="5">
        <v>43668</v>
      </c>
      <c r="B925">
        <v>1.2540000000000001E-2</v>
      </c>
      <c r="C925">
        <v>1.2880000000000001E-2</v>
      </c>
      <c r="D925">
        <v>1.159E-2</v>
      </c>
      <c r="E925">
        <v>1.1849999999999999E-2</v>
      </c>
      <c r="F925">
        <v>101505093.40000001</v>
      </c>
      <c r="G925">
        <v>0</v>
      </c>
      <c r="L925" t="s">
        <v>7</v>
      </c>
      <c r="M925" t="s">
        <v>7</v>
      </c>
      <c r="N925" t="s">
        <v>7</v>
      </c>
      <c r="P925">
        <f t="shared" si="1014"/>
        <v>-0.59689922480620217</v>
      </c>
      <c r="Q925">
        <f t="shared" si="1015"/>
        <v>-60588311.56434115</v>
      </c>
      <c r="R925">
        <f t="shared" si="1016"/>
        <v>443700870.16605234</v>
      </c>
      <c r="S925">
        <f t="shared" si="1017"/>
        <v>4437.008701660523</v>
      </c>
      <c r="T925">
        <f t="shared" si="1018"/>
        <v>4.4370087016605231</v>
      </c>
    </row>
    <row r="926" spans="1:20" x14ac:dyDescent="0.25">
      <c r="A926" s="5">
        <v>43667</v>
      </c>
      <c r="B926">
        <v>1.306E-2</v>
      </c>
      <c r="C926">
        <v>1.3259999999999999E-2</v>
      </c>
      <c r="D926">
        <v>1.2449999999999999E-2</v>
      </c>
      <c r="E926">
        <v>1.255E-2</v>
      </c>
      <c r="F926">
        <v>70514288.700000003</v>
      </c>
      <c r="G926">
        <v>0</v>
      </c>
      <c r="L926" t="s">
        <v>7</v>
      </c>
      <c r="M926" t="s">
        <v>8</v>
      </c>
      <c r="N926" t="s">
        <v>7</v>
      </c>
      <c r="P926">
        <f t="shared" si="1014"/>
        <v>-0.75308641975308366</v>
      </c>
      <c r="Q926">
        <f t="shared" si="1015"/>
        <v>-53103353.218518324</v>
      </c>
      <c r="R926">
        <f t="shared" si="1016"/>
        <v>504289181.73039347</v>
      </c>
      <c r="S926">
        <f t="shared" si="1017"/>
        <v>5042.8918173039347</v>
      </c>
      <c r="T926">
        <f t="shared" si="1018"/>
        <v>5.0428918173039348</v>
      </c>
    </row>
    <row r="927" spans="1:20" x14ac:dyDescent="0.25">
      <c r="A927" s="5">
        <v>43666</v>
      </c>
      <c r="B927">
        <v>1.286E-2</v>
      </c>
      <c r="C927">
        <v>1.3480000000000001E-2</v>
      </c>
      <c r="D927">
        <v>1.2749999999999999E-2</v>
      </c>
      <c r="E927">
        <v>1.306E-2</v>
      </c>
      <c r="F927">
        <v>127396252.09999999</v>
      </c>
      <c r="G927">
        <v>0</v>
      </c>
      <c r="L927" t="s">
        <v>8</v>
      </c>
      <c r="M927" t="s">
        <v>8</v>
      </c>
      <c r="N927" t="s">
        <v>7</v>
      </c>
      <c r="P927">
        <f t="shared" si="1014"/>
        <v>-0.15068493150684761</v>
      </c>
      <c r="Q927">
        <f t="shared" si="1015"/>
        <v>-19196695.521917589</v>
      </c>
      <c r="R927">
        <f t="shared" si="1016"/>
        <v>557392534.94891179</v>
      </c>
      <c r="S927">
        <f t="shared" si="1017"/>
        <v>5573.9253494891182</v>
      </c>
      <c r="T927">
        <f t="shared" si="1018"/>
        <v>5.5739253494891186</v>
      </c>
    </row>
    <row r="928" spans="1:20" x14ac:dyDescent="0.25">
      <c r="A928" s="5">
        <v>43665</v>
      </c>
      <c r="B928">
        <v>1.2970000000000001E-2</v>
      </c>
      <c r="C928">
        <v>1.303E-2</v>
      </c>
      <c r="D928">
        <v>1.234E-2</v>
      </c>
      <c r="E928">
        <v>1.2869999999999999E-2</v>
      </c>
      <c r="F928">
        <v>104054456.59999999</v>
      </c>
      <c r="G928">
        <v>0</v>
      </c>
      <c r="L928" t="s">
        <v>7</v>
      </c>
      <c r="M928" t="s">
        <v>8</v>
      </c>
      <c r="N928" t="s">
        <v>7</v>
      </c>
      <c r="P928">
        <f t="shared" si="1014"/>
        <v>0.53623188405796951</v>
      </c>
      <c r="Q928">
        <f t="shared" si="1015"/>
        <v>55797317.307246216</v>
      </c>
      <c r="R928">
        <f t="shared" si="1016"/>
        <v>576589230.47082937</v>
      </c>
      <c r="S928">
        <f t="shared" si="1017"/>
        <v>5765.8923047082935</v>
      </c>
      <c r="T928">
        <f t="shared" si="1018"/>
        <v>5.7658923047082933</v>
      </c>
    </row>
    <row r="929" spans="1:20" x14ac:dyDescent="0.25">
      <c r="A929" s="5">
        <v>43664</v>
      </c>
      <c r="B929">
        <v>1.337E-2</v>
      </c>
      <c r="C929">
        <v>1.3899999999999999E-2</v>
      </c>
      <c r="D929">
        <v>1.2409999999999999E-2</v>
      </c>
      <c r="E929">
        <v>1.298E-2</v>
      </c>
      <c r="F929">
        <v>258660523.30000001</v>
      </c>
      <c r="G929">
        <v>0</v>
      </c>
      <c r="L929" t="s">
        <v>8</v>
      </c>
      <c r="M929" t="s">
        <v>8</v>
      </c>
      <c r="N929" t="s">
        <v>7</v>
      </c>
      <c r="P929">
        <f t="shared" si="1014"/>
        <v>-0.23489932885905898</v>
      </c>
      <c r="Q929">
        <f t="shared" si="1015"/>
        <v>-60759183.325502992</v>
      </c>
      <c r="R929">
        <f t="shared" si="1016"/>
        <v>520791913.16358316</v>
      </c>
      <c r="S929">
        <f t="shared" si="1017"/>
        <v>5207.9191316358319</v>
      </c>
      <c r="T929">
        <f t="shared" si="1018"/>
        <v>5.2079191316358315</v>
      </c>
    </row>
    <row r="930" spans="1:20" x14ac:dyDescent="0.25">
      <c r="A930" s="5">
        <v>43663</v>
      </c>
      <c r="B930">
        <v>1.146E-2</v>
      </c>
      <c r="C930">
        <v>1.383E-2</v>
      </c>
      <c r="D930">
        <v>1.1209999999999999E-2</v>
      </c>
      <c r="E930">
        <v>1.336E-2</v>
      </c>
      <c r="F930">
        <v>245205948.90000001</v>
      </c>
      <c r="G930">
        <v>0</v>
      </c>
      <c r="L930" t="s">
        <v>8</v>
      </c>
      <c r="M930" t="s">
        <v>7</v>
      </c>
      <c r="N930" t="s">
        <v>7</v>
      </c>
      <c r="P930">
        <f t="shared" si="1014"/>
        <v>0.64122137404580171</v>
      </c>
      <c r="Q930">
        <f t="shared" si="1015"/>
        <v>157231295.47786266</v>
      </c>
      <c r="R930">
        <f t="shared" si="1016"/>
        <v>581551096.48908615</v>
      </c>
      <c r="S930">
        <f t="shared" si="1017"/>
        <v>5815.5109648908619</v>
      </c>
      <c r="T930">
        <f t="shared" si="1018"/>
        <v>5.8155109648908621</v>
      </c>
    </row>
    <row r="931" spans="1:20" x14ac:dyDescent="0.25">
      <c r="A931" s="5">
        <v>43662</v>
      </c>
      <c r="B931">
        <v>1.346E-2</v>
      </c>
      <c r="C931">
        <v>1.4500000000000001E-2</v>
      </c>
      <c r="D931">
        <v>1.1379999999999999E-2</v>
      </c>
      <c r="E931">
        <v>1.145E-2</v>
      </c>
      <c r="F931">
        <v>261706239.90000001</v>
      </c>
      <c r="G931">
        <v>0</v>
      </c>
      <c r="L931" t="s">
        <v>7</v>
      </c>
      <c r="M931" t="s">
        <v>8</v>
      </c>
      <c r="N931" t="s">
        <v>7</v>
      </c>
      <c r="P931">
        <f t="shared" si="1014"/>
        <v>-0.95512820512820473</v>
      </c>
      <c r="Q931">
        <f t="shared" si="1015"/>
        <v>-249963011.18653837</v>
      </c>
      <c r="R931">
        <f t="shared" si="1016"/>
        <v>424319801.01122355</v>
      </c>
      <c r="S931">
        <f t="shared" si="1017"/>
        <v>4243.1980101122354</v>
      </c>
      <c r="T931">
        <f t="shared" si="1018"/>
        <v>4.2431980101122351</v>
      </c>
    </row>
    <row r="932" spans="1:20" x14ac:dyDescent="0.25">
      <c r="A932" s="5">
        <v>43661</v>
      </c>
      <c r="B932">
        <v>1.2829999999999999E-2</v>
      </c>
      <c r="C932">
        <v>1.414E-2</v>
      </c>
      <c r="D932">
        <v>1.1599999999999999E-2</v>
      </c>
      <c r="E932">
        <v>1.345E-2</v>
      </c>
      <c r="F932">
        <v>292690236.30000001</v>
      </c>
      <c r="G932">
        <v>0</v>
      </c>
      <c r="L932" t="s">
        <v>7</v>
      </c>
      <c r="M932" t="s">
        <v>7</v>
      </c>
      <c r="N932" t="s">
        <v>7</v>
      </c>
      <c r="P932">
        <f t="shared" si="1014"/>
        <v>0.45669291338582718</v>
      </c>
      <c r="Q932">
        <f t="shared" si="1015"/>
        <v>133669556.73543319</v>
      </c>
      <c r="R932">
        <f t="shared" si="1016"/>
        <v>674282812.19776189</v>
      </c>
      <c r="S932">
        <f t="shared" si="1017"/>
        <v>6742.828121977619</v>
      </c>
      <c r="T932">
        <f t="shared" si="1018"/>
        <v>6.7428281219776194</v>
      </c>
    </row>
    <row r="933" spans="1:20" x14ac:dyDescent="0.25">
      <c r="A933" s="5">
        <v>43660</v>
      </c>
      <c r="B933">
        <v>1.5810000000000001E-2</v>
      </c>
      <c r="C933">
        <v>1.6879999999999999E-2</v>
      </c>
      <c r="D933">
        <v>1.2699999999999999E-2</v>
      </c>
      <c r="E933">
        <v>1.285E-2</v>
      </c>
      <c r="F933">
        <v>370592128.39999998</v>
      </c>
      <c r="G933">
        <v>0</v>
      </c>
      <c r="L933" t="s">
        <v>8</v>
      </c>
      <c r="M933" t="s">
        <v>8</v>
      </c>
      <c r="N933" t="s">
        <v>8</v>
      </c>
      <c r="P933">
        <f t="shared" si="1014"/>
        <v>-0.92822966507176996</v>
      </c>
      <c r="Q933">
        <f t="shared" si="1015"/>
        <v>-343994607.22296637</v>
      </c>
      <c r="R933">
        <f t="shared" si="1016"/>
        <v>540613255.46232867</v>
      </c>
      <c r="S933">
        <f t="shared" si="1017"/>
        <v>5406.1325546232865</v>
      </c>
      <c r="T933">
        <f t="shared" si="1018"/>
        <v>5.4061325546232863</v>
      </c>
    </row>
    <row r="934" spans="1:20" x14ac:dyDescent="0.25">
      <c r="A934" s="5">
        <v>43659</v>
      </c>
      <c r="B934">
        <v>1.3809999999999999E-2</v>
      </c>
      <c r="C934">
        <v>1.6279999999999999E-2</v>
      </c>
      <c r="D934">
        <v>1.362E-2</v>
      </c>
      <c r="E934">
        <v>1.5810000000000001E-2</v>
      </c>
      <c r="F934">
        <v>590233246.60000002</v>
      </c>
      <c r="G934">
        <v>0</v>
      </c>
      <c r="L934" t="s">
        <v>8</v>
      </c>
      <c r="M934" t="s">
        <v>8</v>
      </c>
      <c r="N934" t="s">
        <v>7</v>
      </c>
      <c r="P934">
        <f t="shared" si="1014"/>
        <v>0.64661654135338476</v>
      </c>
      <c r="Q934">
        <f t="shared" si="1015"/>
        <v>381654580.50827146</v>
      </c>
      <c r="R934">
        <f t="shared" si="1016"/>
        <v>884607862.6852951</v>
      </c>
      <c r="S934">
        <f t="shared" si="1017"/>
        <v>8846.0786268529519</v>
      </c>
      <c r="T934">
        <f t="shared" si="1018"/>
        <v>8.8460786268529521</v>
      </c>
    </row>
    <row r="935" spans="1:20" x14ac:dyDescent="0.25">
      <c r="A935" s="5">
        <v>43658</v>
      </c>
      <c r="B935">
        <v>1.2120000000000001E-2</v>
      </c>
      <c r="C935">
        <v>1.434E-2</v>
      </c>
      <c r="D935">
        <v>1.179E-2</v>
      </c>
      <c r="E935">
        <v>1.38E-2</v>
      </c>
      <c r="F935">
        <v>386599979.80000001</v>
      </c>
      <c r="G935">
        <v>0</v>
      </c>
      <c r="L935" t="s">
        <v>8</v>
      </c>
      <c r="M935" t="s">
        <v>7</v>
      </c>
      <c r="N935" t="s">
        <v>7</v>
      </c>
      <c r="P935">
        <f t="shared" si="1014"/>
        <v>0.57647058823529373</v>
      </c>
      <c r="Q935">
        <f t="shared" si="1015"/>
        <v>222863517.76705867</v>
      </c>
      <c r="R935">
        <f t="shared" si="1016"/>
        <v>502953282.17702359</v>
      </c>
      <c r="S935">
        <f t="shared" si="1017"/>
        <v>5029.5328217702363</v>
      </c>
      <c r="T935">
        <f t="shared" si="1018"/>
        <v>5.0295328217702364</v>
      </c>
    </row>
    <row r="936" spans="1:20" x14ac:dyDescent="0.25">
      <c r="A936" s="5">
        <v>43657</v>
      </c>
      <c r="B936">
        <v>1.4030000000000001E-2</v>
      </c>
      <c r="C936">
        <v>1.495E-2</v>
      </c>
      <c r="D936">
        <v>1.18E-2</v>
      </c>
      <c r="E936">
        <v>1.2109999999999999E-2</v>
      </c>
      <c r="F936">
        <v>229975709.80000001</v>
      </c>
      <c r="G936">
        <v>0</v>
      </c>
      <c r="L936" t="s">
        <v>7</v>
      </c>
      <c r="M936" t="s">
        <v>7</v>
      </c>
      <c r="N936" t="s">
        <v>7</v>
      </c>
      <c r="P936">
        <f t="shared" si="1014"/>
        <v>-0.80317460317460354</v>
      </c>
      <c r="Q936">
        <f t="shared" si="1015"/>
        <v>-184710649.4584128</v>
      </c>
      <c r="R936">
        <f t="shared" si="1016"/>
        <v>280089764.40996492</v>
      </c>
      <c r="S936">
        <f t="shared" si="1017"/>
        <v>2800.8976440996494</v>
      </c>
      <c r="T936">
        <f t="shared" si="1018"/>
        <v>2.8008976440996496</v>
      </c>
    </row>
    <row r="937" spans="1:20" x14ac:dyDescent="0.25">
      <c r="A937" s="5">
        <v>43656</v>
      </c>
      <c r="B937">
        <v>1.405E-2</v>
      </c>
      <c r="C937">
        <v>1.4999999999999999E-2</v>
      </c>
      <c r="D937">
        <v>1.3050000000000001E-2</v>
      </c>
      <c r="E937">
        <v>1.4019999999999999E-2</v>
      </c>
      <c r="F937">
        <v>301825163.69999999</v>
      </c>
      <c r="G937">
        <v>0</v>
      </c>
      <c r="L937" t="s">
        <v>7</v>
      </c>
      <c r="M937" t="s">
        <v>7</v>
      </c>
      <c r="N937" t="s">
        <v>7</v>
      </c>
      <c r="P937">
        <f t="shared" si="1014"/>
        <v>-5.1282051282058125E-3</v>
      </c>
      <c r="Q937">
        <f t="shared" si="1015"/>
        <v>-1547821.3523078987</v>
      </c>
      <c r="R937">
        <f t="shared" si="1016"/>
        <v>464800413.86837775</v>
      </c>
      <c r="S937">
        <f t="shared" si="1017"/>
        <v>4648.0041386837775</v>
      </c>
      <c r="T937">
        <f t="shared" si="1018"/>
        <v>4.6480041386837776</v>
      </c>
    </row>
    <row r="938" spans="1:20" x14ac:dyDescent="0.25">
      <c r="A938" s="5">
        <v>43655</v>
      </c>
      <c r="B938">
        <v>1.436E-2</v>
      </c>
      <c r="C938">
        <v>1.494E-2</v>
      </c>
      <c r="D938">
        <v>1.388E-2</v>
      </c>
      <c r="E938">
        <v>1.404E-2</v>
      </c>
      <c r="F938">
        <v>154019299.90000001</v>
      </c>
      <c r="G938">
        <v>0</v>
      </c>
      <c r="L938" t="s">
        <v>7</v>
      </c>
      <c r="M938" t="s">
        <v>7</v>
      </c>
      <c r="N938" t="s">
        <v>7</v>
      </c>
      <c r="P938">
        <f t="shared" si="1014"/>
        <v>-0.6981132075471691</v>
      </c>
      <c r="Q938">
        <f t="shared" si="1015"/>
        <v>-107522907.47735839</v>
      </c>
      <c r="R938">
        <f t="shared" si="1016"/>
        <v>466348235.22068566</v>
      </c>
      <c r="S938">
        <f t="shared" si="1017"/>
        <v>4663.4823522068564</v>
      </c>
      <c r="T938">
        <f t="shared" si="1018"/>
        <v>4.6634823522068567</v>
      </c>
    </row>
    <row r="939" spans="1:20" x14ac:dyDescent="0.25">
      <c r="A939" s="5">
        <v>43654</v>
      </c>
      <c r="B939">
        <v>1.593E-2</v>
      </c>
      <c r="C939">
        <v>1.619E-2</v>
      </c>
      <c r="D939">
        <v>1.4109999999999999E-2</v>
      </c>
      <c r="E939">
        <v>1.436E-2</v>
      </c>
      <c r="F939">
        <v>198123464.5</v>
      </c>
      <c r="G939">
        <v>0</v>
      </c>
      <c r="L939" t="s">
        <v>7</v>
      </c>
      <c r="M939" t="s">
        <v>7</v>
      </c>
      <c r="N939" t="s">
        <v>7</v>
      </c>
      <c r="P939">
        <f t="shared" si="1014"/>
        <v>-0.75961538461538447</v>
      </c>
      <c r="Q939">
        <f t="shared" si="1015"/>
        <v>-150497631.68749997</v>
      </c>
      <c r="R939">
        <f t="shared" si="1016"/>
        <v>573871142.69804406</v>
      </c>
      <c r="S939">
        <f t="shared" si="1017"/>
        <v>5738.7114269804406</v>
      </c>
      <c r="T939">
        <f t="shared" si="1018"/>
        <v>5.7387114269804407</v>
      </c>
    </row>
    <row r="940" spans="1:20" x14ac:dyDescent="0.25">
      <c r="A940" s="5">
        <v>43653</v>
      </c>
      <c r="B940">
        <v>1.5440000000000001E-2</v>
      </c>
      <c r="C940">
        <v>1.6379999999999999E-2</v>
      </c>
      <c r="D940">
        <v>1.521E-2</v>
      </c>
      <c r="E940">
        <v>1.5970000000000002E-2</v>
      </c>
      <c r="F940">
        <v>152310221.40000001</v>
      </c>
      <c r="G940">
        <v>0</v>
      </c>
      <c r="L940" t="s">
        <v>8</v>
      </c>
      <c r="M940" t="s">
        <v>7</v>
      </c>
      <c r="N940" t="s">
        <v>7</v>
      </c>
      <c r="P940">
        <f t="shared" si="1014"/>
        <v>0.29914529914530347</v>
      </c>
      <c r="Q940">
        <f t="shared" si="1015"/>
        <v>45562886.743590407</v>
      </c>
      <c r="R940">
        <f t="shared" si="1016"/>
        <v>724368774.38554406</v>
      </c>
      <c r="S940">
        <f t="shared" si="1017"/>
        <v>7243.6877438554402</v>
      </c>
      <c r="T940">
        <f t="shared" si="1018"/>
        <v>7.2436877438554399</v>
      </c>
    </row>
    <row r="941" spans="1:20" x14ac:dyDescent="0.25">
      <c r="A941" s="5">
        <v>43652</v>
      </c>
      <c r="B941">
        <v>1.553E-2</v>
      </c>
      <c r="C941">
        <v>1.585E-2</v>
      </c>
      <c r="D941">
        <v>1.524E-2</v>
      </c>
      <c r="E941">
        <v>1.541E-2</v>
      </c>
      <c r="F941">
        <v>106598995.09999999</v>
      </c>
      <c r="G941">
        <v>0</v>
      </c>
      <c r="L941" t="s">
        <v>7</v>
      </c>
      <c r="M941" t="s">
        <v>7</v>
      </c>
      <c r="N941" t="s">
        <v>7</v>
      </c>
      <c r="P941">
        <f t="shared" si="1014"/>
        <v>-0.44262295081967157</v>
      </c>
      <c r="Q941">
        <f t="shared" si="1015"/>
        <v>-47183161.76557371</v>
      </c>
      <c r="R941">
        <f t="shared" si="1016"/>
        <v>678805887.64195371</v>
      </c>
      <c r="S941">
        <f t="shared" si="1017"/>
        <v>6788.0588764195372</v>
      </c>
      <c r="T941">
        <f t="shared" si="1018"/>
        <v>6.7880588764195373</v>
      </c>
    </row>
    <row r="942" spans="1:20" x14ac:dyDescent="0.25">
      <c r="A942" s="5">
        <v>43651</v>
      </c>
      <c r="B942">
        <v>1.5679999999999999E-2</v>
      </c>
      <c r="C942">
        <v>1.661E-2</v>
      </c>
      <c r="D942">
        <v>1.521E-2</v>
      </c>
      <c r="E942">
        <v>1.55E-2</v>
      </c>
      <c r="F942">
        <v>215930697.19999999</v>
      </c>
      <c r="G942">
        <v>0</v>
      </c>
      <c r="L942" t="s">
        <v>8</v>
      </c>
      <c r="M942" t="s">
        <v>7</v>
      </c>
      <c r="N942" t="s">
        <v>7</v>
      </c>
      <c r="P942">
        <f t="shared" si="1014"/>
        <v>-0.5857142857142853</v>
      </c>
      <c r="Q942">
        <f t="shared" si="1015"/>
        <v>-126473694.07428561</v>
      </c>
      <c r="R942">
        <f t="shared" si="1016"/>
        <v>725989049.40752745</v>
      </c>
      <c r="S942">
        <f t="shared" si="1017"/>
        <v>7259.8904940752745</v>
      </c>
      <c r="T942">
        <f t="shared" si="1018"/>
        <v>7.2598904940752744</v>
      </c>
    </row>
    <row r="943" spans="1:20" x14ac:dyDescent="0.25">
      <c r="A943" s="5">
        <v>43650</v>
      </c>
      <c r="B943">
        <v>1.7149999999999999E-2</v>
      </c>
      <c r="C943">
        <v>1.7160000000000002E-2</v>
      </c>
      <c r="D943">
        <v>1.502E-2</v>
      </c>
      <c r="E943">
        <v>1.5689999999999999E-2</v>
      </c>
      <c r="F943">
        <v>383631225.19999999</v>
      </c>
      <c r="G943">
        <v>0</v>
      </c>
      <c r="L943" t="s">
        <v>7</v>
      </c>
      <c r="M943" t="s">
        <v>7</v>
      </c>
      <c r="N943" t="s">
        <v>7</v>
      </c>
      <c r="P943">
        <f t="shared" si="1014"/>
        <v>-0.37383177570093618</v>
      </c>
      <c r="Q943">
        <f t="shared" si="1015"/>
        <v>-143413542.13084173</v>
      </c>
      <c r="R943">
        <f t="shared" si="1016"/>
        <v>852462743.48181307</v>
      </c>
      <c r="S943">
        <f t="shared" si="1017"/>
        <v>8524.6274348181305</v>
      </c>
      <c r="T943">
        <f t="shared" si="1018"/>
        <v>8.5246274348181306</v>
      </c>
    </row>
    <row r="944" spans="1:20" x14ac:dyDescent="0.25">
      <c r="A944" s="5">
        <v>43649</v>
      </c>
      <c r="B944">
        <v>1.7600000000000001E-2</v>
      </c>
      <c r="C944">
        <v>1.8409999999999999E-2</v>
      </c>
      <c r="D944">
        <v>1.6820000000000002E-2</v>
      </c>
      <c r="E944">
        <v>1.7139999999999999E-2</v>
      </c>
      <c r="F944">
        <v>320042237.89999998</v>
      </c>
      <c r="G944">
        <v>0</v>
      </c>
      <c r="L944" t="s">
        <v>7</v>
      </c>
      <c r="M944" t="s">
        <v>7</v>
      </c>
      <c r="N944" t="s">
        <v>7</v>
      </c>
      <c r="P944">
        <f t="shared" si="1014"/>
        <v>-0.5974842767295625</v>
      </c>
      <c r="Q944">
        <f t="shared" si="1015"/>
        <v>-191220205.03459206</v>
      </c>
      <c r="R944">
        <f t="shared" si="1016"/>
        <v>995876285.61265481</v>
      </c>
      <c r="S944">
        <f t="shared" si="1017"/>
        <v>9958.7628561265483</v>
      </c>
      <c r="T944">
        <f t="shared" si="1018"/>
        <v>9.9587628561265475</v>
      </c>
    </row>
    <row r="945" spans="1:20" x14ac:dyDescent="0.25">
      <c r="A945" s="5">
        <v>43648</v>
      </c>
      <c r="B945">
        <v>1.9310000000000001E-2</v>
      </c>
      <c r="C945">
        <v>1.968E-2</v>
      </c>
      <c r="D945">
        <v>1.704E-2</v>
      </c>
      <c r="E945">
        <v>1.7520000000000001E-2</v>
      </c>
      <c r="F945">
        <v>308268961.60000002</v>
      </c>
      <c r="G945">
        <v>0</v>
      </c>
      <c r="L945" t="s">
        <v>7</v>
      </c>
      <c r="M945" t="s">
        <v>7</v>
      </c>
      <c r="N945" t="s">
        <v>7</v>
      </c>
      <c r="P945">
        <f t="shared" si="1014"/>
        <v>-0.63636363636363535</v>
      </c>
      <c r="Q945">
        <f t="shared" si="1015"/>
        <v>-196171157.38181788</v>
      </c>
      <c r="R945">
        <f t="shared" si="1016"/>
        <v>1187096490.6472468</v>
      </c>
      <c r="S945">
        <f t="shared" si="1017"/>
        <v>11870.964906472469</v>
      </c>
      <c r="T945">
        <f t="shared" si="1018"/>
        <v>11.870964906472469</v>
      </c>
    </row>
    <row r="946" spans="1:20" x14ac:dyDescent="0.25">
      <c r="A946" s="5">
        <v>43647</v>
      </c>
      <c r="B946">
        <v>1.9199999999999998E-2</v>
      </c>
      <c r="C946">
        <v>2.0559999999999998E-2</v>
      </c>
      <c r="D946">
        <v>1.8069999999999999E-2</v>
      </c>
      <c r="E946">
        <v>1.934E-2</v>
      </c>
      <c r="F946">
        <v>326231213</v>
      </c>
      <c r="G946">
        <v>0</v>
      </c>
      <c r="L946" t="s">
        <v>7</v>
      </c>
      <c r="M946" t="s">
        <v>7</v>
      </c>
      <c r="N946" t="s">
        <v>7</v>
      </c>
      <c r="P946">
        <f t="shared" si="1014"/>
        <v>2.0080321285141145E-2</v>
      </c>
      <c r="Q946">
        <f t="shared" si="1015"/>
        <v>6550827.5702813147</v>
      </c>
      <c r="R946">
        <f t="shared" si="1016"/>
        <v>1383267648.0290647</v>
      </c>
      <c r="S946">
        <f t="shared" si="1017"/>
        <v>13832.676480290647</v>
      </c>
      <c r="T946">
        <f t="shared" si="1018"/>
        <v>13.832676480290647</v>
      </c>
    </row>
    <row r="947" spans="1:20" x14ac:dyDescent="0.25">
      <c r="A947" s="5">
        <v>43646</v>
      </c>
      <c r="B947">
        <v>2.0299999999999999E-2</v>
      </c>
      <c r="C947">
        <v>2.2859999999999998E-2</v>
      </c>
      <c r="D947">
        <v>1.9050000000000001E-2</v>
      </c>
      <c r="E947">
        <v>1.9220000000000001E-2</v>
      </c>
      <c r="F947">
        <v>572675719.60000002</v>
      </c>
      <c r="G947">
        <v>0</v>
      </c>
      <c r="L947" t="s">
        <v>8</v>
      </c>
      <c r="M947" t="s">
        <v>8</v>
      </c>
      <c r="N947" t="s">
        <v>7</v>
      </c>
      <c r="P947">
        <f t="shared" si="1014"/>
        <v>-0.91076115485564302</v>
      </c>
      <c r="Q947">
        <f t="shared" si="1015"/>
        <v>-521570799.74068242</v>
      </c>
      <c r="R947">
        <f t="shared" si="1016"/>
        <v>1376716820.4587834</v>
      </c>
      <c r="S947">
        <f t="shared" si="1017"/>
        <v>13767.168204587833</v>
      </c>
      <c r="T947">
        <f t="shared" si="1018"/>
        <v>13.767168204587833</v>
      </c>
    </row>
    <row r="948" spans="1:20" x14ac:dyDescent="0.25">
      <c r="A948" s="5">
        <v>43645</v>
      </c>
      <c r="B948">
        <v>1.8540000000000001E-2</v>
      </c>
      <c r="C948">
        <v>2.2159999999999999E-2</v>
      </c>
      <c r="D948">
        <v>1.8100000000000002E-2</v>
      </c>
      <c r="E948">
        <v>2.0219999999999998E-2</v>
      </c>
      <c r="F948">
        <v>579468382</v>
      </c>
      <c r="G948">
        <v>0</v>
      </c>
      <c r="L948" t="s">
        <v>8</v>
      </c>
      <c r="M948" t="s">
        <v>8</v>
      </c>
      <c r="N948" t="s">
        <v>7</v>
      </c>
      <c r="P948">
        <f t="shared" si="1014"/>
        <v>4.43349753694572E-2</v>
      </c>
      <c r="Q948">
        <f t="shared" si="1015"/>
        <v>25690716.443349216</v>
      </c>
      <c r="R948">
        <f t="shared" si="1016"/>
        <v>1898287620.1994658</v>
      </c>
      <c r="S948">
        <f t="shared" si="1017"/>
        <v>18982.876201994659</v>
      </c>
      <c r="T948">
        <f t="shared" si="1018"/>
        <v>18.98287620199466</v>
      </c>
    </row>
    <row r="949" spans="1:20" x14ac:dyDescent="0.25">
      <c r="A949" s="5">
        <v>43644</v>
      </c>
      <c r="B949">
        <v>1.8149999999999999E-2</v>
      </c>
      <c r="C949">
        <v>2.0330000000000001E-2</v>
      </c>
      <c r="D949">
        <v>1.8110000000000001E-2</v>
      </c>
      <c r="E949">
        <v>1.8550000000000001E-2</v>
      </c>
      <c r="F949">
        <v>308767249.5</v>
      </c>
      <c r="G949">
        <v>0</v>
      </c>
      <c r="L949" t="s">
        <v>7</v>
      </c>
      <c r="M949" t="s">
        <v>7</v>
      </c>
      <c r="N949" t="s">
        <v>7</v>
      </c>
      <c r="P949">
        <f t="shared" si="1014"/>
        <v>-0.6036036036036041</v>
      </c>
      <c r="Q949">
        <f t="shared" si="1015"/>
        <v>-186373024.47297314</v>
      </c>
      <c r="R949">
        <f t="shared" si="1016"/>
        <v>1872596903.7561166</v>
      </c>
      <c r="S949">
        <f t="shared" si="1017"/>
        <v>18725.969037561168</v>
      </c>
      <c r="T949">
        <f t="shared" si="1018"/>
        <v>18.725969037561168</v>
      </c>
    </row>
    <row r="950" spans="1:20" x14ac:dyDescent="0.25">
      <c r="A950" s="5">
        <v>43643</v>
      </c>
      <c r="B950">
        <v>1.84E-2</v>
      </c>
      <c r="C950">
        <v>2.1270000000000001E-2</v>
      </c>
      <c r="D950">
        <v>1.7069999999999998E-2</v>
      </c>
      <c r="E950">
        <v>1.8200000000000001E-2</v>
      </c>
      <c r="F950">
        <v>590734309.20000005</v>
      </c>
      <c r="G950">
        <v>0</v>
      </c>
      <c r="L950" t="s">
        <v>8</v>
      </c>
      <c r="M950" t="s">
        <v>8</v>
      </c>
      <c r="N950" t="s">
        <v>7</v>
      </c>
      <c r="P950">
        <f t="shared" si="1014"/>
        <v>-0.46190476190476099</v>
      </c>
      <c r="Q950">
        <f t="shared" si="1015"/>
        <v>-272862990.43999946</v>
      </c>
      <c r="R950">
        <f t="shared" si="1016"/>
        <v>2058969928.2290897</v>
      </c>
      <c r="S950">
        <f t="shared" si="1017"/>
        <v>20589.699282290898</v>
      </c>
      <c r="T950">
        <f t="shared" si="1018"/>
        <v>20.589699282290898</v>
      </c>
    </row>
    <row r="951" spans="1:20" x14ac:dyDescent="0.25">
      <c r="A951" s="5">
        <v>43642</v>
      </c>
      <c r="B951">
        <v>1.9259999999999999E-2</v>
      </c>
      <c r="C951">
        <v>1.949E-2</v>
      </c>
      <c r="D951">
        <v>1.6740000000000001E-2</v>
      </c>
      <c r="E951">
        <v>1.84E-2</v>
      </c>
      <c r="F951">
        <v>458140804.69999999</v>
      </c>
      <c r="G951">
        <v>0</v>
      </c>
      <c r="L951" t="s">
        <v>7</v>
      </c>
      <c r="M951" t="s">
        <v>7</v>
      </c>
      <c r="N951" t="s">
        <v>7</v>
      </c>
      <c r="P951">
        <f t="shared" si="1014"/>
        <v>0.20727272727272647</v>
      </c>
      <c r="Q951">
        <f t="shared" si="1015"/>
        <v>94960094.065090537</v>
      </c>
      <c r="R951">
        <f t="shared" si="1016"/>
        <v>2331832918.6690893</v>
      </c>
      <c r="S951">
        <f t="shared" si="1017"/>
        <v>23318.329186690895</v>
      </c>
      <c r="T951">
        <f t="shared" si="1018"/>
        <v>23.318329186690896</v>
      </c>
    </row>
    <row r="952" spans="1:20" x14ac:dyDescent="0.25">
      <c r="A952" s="5">
        <v>43641</v>
      </c>
      <c r="B952">
        <v>2.07E-2</v>
      </c>
      <c r="C952">
        <v>2.095E-2</v>
      </c>
      <c r="D952">
        <v>1.9099999999999999E-2</v>
      </c>
      <c r="E952">
        <v>1.9259999999999999E-2</v>
      </c>
      <c r="F952">
        <v>298598768.80000001</v>
      </c>
      <c r="G952">
        <v>0</v>
      </c>
      <c r="L952" t="s">
        <v>7</v>
      </c>
      <c r="M952" t="s">
        <v>7</v>
      </c>
      <c r="N952" t="s">
        <v>7</v>
      </c>
      <c r="P952">
        <f t="shared" si="1014"/>
        <v>-0.82702702702702668</v>
      </c>
      <c r="Q952">
        <f t="shared" si="1015"/>
        <v>-246949252.03459451</v>
      </c>
      <c r="R952">
        <f t="shared" si="1016"/>
        <v>2236872824.6039987</v>
      </c>
      <c r="S952">
        <f t="shared" si="1017"/>
        <v>22368.728246039987</v>
      </c>
      <c r="T952">
        <f t="shared" si="1018"/>
        <v>22.368728246039986</v>
      </c>
    </row>
    <row r="953" spans="1:20" x14ac:dyDescent="0.25">
      <c r="A953" s="5">
        <v>43640</v>
      </c>
      <c r="B953">
        <v>2.1149999999999999E-2</v>
      </c>
      <c r="C953">
        <v>2.1940000000000001E-2</v>
      </c>
      <c r="D953">
        <v>2.053E-2</v>
      </c>
      <c r="E953">
        <v>2.068E-2</v>
      </c>
      <c r="F953">
        <v>159182886.69999999</v>
      </c>
      <c r="G953">
        <v>0</v>
      </c>
      <c r="L953" t="s">
        <v>7</v>
      </c>
      <c r="M953" t="s">
        <v>7</v>
      </c>
      <c r="N953" t="s">
        <v>7</v>
      </c>
      <c r="P953">
        <f t="shared" si="1014"/>
        <v>-0.78723404255319052</v>
      </c>
      <c r="Q953">
        <f t="shared" si="1015"/>
        <v>-125314187.40212749</v>
      </c>
      <c r="R953">
        <f t="shared" si="1016"/>
        <v>2483822076.6385932</v>
      </c>
      <c r="S953">
        <f t="shared" si="1017"/>
        <v>24838.220766385934</v>
      </c>
      <c r="T953">
        <f t="shared" si="1018"/>
        <v>24.838220766385934</v>
      </c>
    </row>
    <row r="954" spans="1:20" x14ac:dyDescent="0.25">
      <c r="A954" s="5">
        <v>43639</v>
      </c>
      <c r="B954">
        <v>2.1409999999999998E-2</v>
      </c>
      <c r="C954">
        <v>2.2349999999999998E-2</v>
      </c>
      <c r="D954">
        <v>2.0709999999999999E-2</v>
      </c>
      <c r="E954">
        <v>2.1100000000000001E-2</v>
      </c>
      <c r="F954">
        <v>239413580.30000001</v>
      </c>
      <c r="G954">
        <v>0</v>
      </c>
      <c r="L954" t="s">
        <v>7</v>
      </c>
      <c r="M954" t="s">
        <v>7</v>
      </c>
      <c r="N954" t="s">
        <v>7</v>
      </c>
      <c r="P954">
        <f t="shared" si="1014"/>
        <v>-0.52439024390243694</v>
      </c>
      <c r="Q954">
        <f t="shared" si="1015"/>
        <v>-125546145.76707268</v>
      </c>
      <c r="R954">
        <f t="shared" si="1016"/>
        <v>2609136264.0407205</v>
      </c>
      <c r="S954">
        <f t="shared" si="1017"/>
        <v>26091.362640407206</v>
      </c>
      <c r="T954">
        <f t="shared" si="1018"/>
        <v>26.091362640407205</v>
      </c>
    </row>
    <row r="955" spans="1:20" x14ac:dyDescent="0.25">
      <c r="A955" s="5">
        <v>43638</v>
      </c>
      <c r="B955">
        <v>2.044E-2</v>
      </c>
      <c r="C955">
        <v>2.2380000000000001E-2</v>
      </c>
      <c r="D955">
        <v>2.0250000000000001E-2</v>
      </c>
      <c r="E955">
        <v>2.1409999999999998E-2</v>
      </c>
      <c r="F955">
        <v>514983129</v>
      </c>
      <c r="G955">
        <v>0</v>
      </c>
      <c r="L955" t="s">
        <v>8</v>
      </c>
      <c r="M955" t="s">
        <v>7</v>
      </c>
      <c r="N955" t="s">
        <v>7</v>
      </c>
      <c r="P955">
        <f t="shared" si="1014"/>
        <v>8.9201877934270299E-2</v>
      </c>
      <c r="Q955">
        <f t="shared" si="1015"/>
        <v>45937462.211266577</v>
      </c>
      <c r="R955">
        <f t="shared" si="1016"/>
        <v>2734682409.8077931</v>
      </c>
      <c r="S955">
        <f t="shared" si="1017"/>
        <v>27346.82409807793</v>
      </c>
      <c r="T955">
        <f t="shared" si="1018"/>
        <v>27.346824098077931</v>
      </c>
    </row>
    <row r="956" spans="1:20" x14ac:dyDescent="0.25">
      <c r="A956" s="5">
        <v>43637</v>
      </c>
      <c r="B956">
        <v>2.232E-2</v>
      </c>
      <c r="C956">
        <v>2.3050000000000001E-2</v>
      </c>
      <c r="D956">
        <v>2.0219999999999998E-2</v>
      </c>
      <c r="E956">
        <v>2.044E-2</v>
      </c>
      <c r="F956">
        <v>336867577.10000002</v>
      </c>
      <c r="G956">
        <v>0</v>
      </c>
      <c r="L956" t="s">
        <v>7</v>
      </c>
      <c r="M956" t="s">
        <v>7</v>
      </c>
      <c r="N956" t="s">
        <v>7</v>
      </c>
      <c r="P956">
        <f t="shared" si="1014"/>
        <v>-0.84452296819787898</v>
      </c>
      <c r="Q956">
        <f t="shared" si="1015"/>
        <v>-284492406.10211986</v>
      </c>
      <c r="R956">
        <f t="shared" si="1016"/>
        <v>2688744947.5965266</v>
      </c>
      <c r="S956">
        <f t="shared" si="1017"/>
        <v>26887.449475965266</v>
      </c>
      <c r="T956">
        <f t="shared" si="1018"/>
        <v>26.887449475965266</v>
      </c>
    </row>
    <row r="957" spans="1:20" x14ac:dyDescent="0.25">
      <c r="A957" s="5">
        <v>43636</v>
      </c>
      <c r="B957">
        <v>2.3120000000000002E-2</v>
      </c>
      <c r="C957">
        <v>2.4049999999999998E-2</v>
      </c>
      <c r="D957">
        <v>2.1309999999999999E-2</v>
      </c>
      <c r="E957">
        <v>2.232E-2</v>
      </c>
      <c r="F957">
        <v>402691112.19999999</v>
      </c>
      <c r="G957">
        <v>0</v>
      </c>
      <c r="L957" t="s">
        <v>7</v>
      </c>
      <c r="M957" t="s">
        <v>8</v>
      </c>
      <c r="N957" t="s">
        <v>7</v>
      </c>
      <c r="P957">
        <f t="shared" si="1014"/>
        <v>-0.26277372262773668</v>
      </c>
      <c r="Q957">
        <f t="shared" si="1015"/>
        <v>-105816642.62189759</v>
      </c>
      <c r="R957">
        <f t="shared" si="1016"/>
        <v>2973237353.6986465</v>
      </c>
      <c r="S957">
        <f t="shared" si="1017"/>
        <v>29732.373536986466</v>
      </c>
      <c r="T957">
        <f t="shared" si="1018"/>
        <v>29.732373536986465</v>
      </c>
    </row>
    <row r="958" spans="1:20" x14ac:dyDescent="0.25">
      <c r="A958" s="5">
        <v>43635</v>
      </c>
      <c r="B958">
        <v>2.3009999999999999E-2</v>
      </c>
      <c r="C958">
        <v>2.478E-2</v>
      </c>
      <c r="D958">
        <v>2.2610000000000002E-2</v>
      </c>
      <c r="E958">
        <v>2.3089999999999999E-2</v>
      </c>
      <c r="F958">
        <v>614862075.60000002</v>
      </c>
      <c r="G958">
        <v>0</v>
      </c>
      <c r="L958" t="s">
        <v>8</v>
      </c>
      <c r="M958" t="s">
        <v>8</v>
      </c>
      <c r="N958" t="s">
        <v>7</v>
      </c>
      <c r="P958">
        <f t="shared" si="1014"/>
        <v>-0.55760368663594639</v>
      </c>
      <c r="Q958">
        <f t="shared" si="1015"/>
        <v>-342849360.12718999</v>
      </c>
      <c r="R958">
        <f t="shared" si="1016"/>
        <v>3079053996.3205442</v>
      </c>
      <c r="S958">
        <f t="shared" si="1017"/>
        <v>30790.539963205443</v>
      </c>
      <c r="T958">
        <f t="shared" si="1018"/>
        <v>30.790539963205443</v>
      </c>
    </row>
    <row r="959" spans="1:20" x14ac:dyDescent="0.25">
      <c r="A959" s="5">
        <v>43634</v>
      </c>
      <c r="B959">
        <v>2.044E-2</v>
      </c>
      <c r="C959">
        <v>2.3980000000000001E-2</v>
      </c>
      <c r="D959">
        <v>2.034E-2</v>
      </c>
      <c r="E959">
        <v>2.3E-2</v>
      </c>
      <c r="F959">
        <v>639296718.79999995</v>
      </c>
      <c r="G959">
        <v>0</v>
      </c>
      <c r="L959" t="s">
        <v>8</v>
      </c>
      <c r="M959" t="s">
        <v>8</v>
      </c>
      <c r="N959" t="s">
        <v>7</v>
      </c>
      <c r="P959">
        <f t="shared" ref="P959:P976" si="1019">IF(C959=D959,0,((E959-D959)-(C959-E959))/(C959-D959))</f>
        <v>0.46153846153846073</v>
      </c>
      <c r="Q959">
        <f t="shared" ref="Q959:Q976" si="1020">F959*P959</f>
        <v>295060024.06153792</v>
      </c>
      <c r="R959">
        <f t="shared" ref="R959:R976" si="1021">R960+Q959</f>
        <v>3421903356.4477344</v>
      </c>
      <c r="S959">
        <f t="shared" ref="S959:S976" si="1022">R959/100000</f>
        <v>34219.033564477344</v>
      </c>
      <c r="T959">
        <f t="shared" ref="T959:T976" si="1023">S959/1000</f>
        <v>34.219033564477343</v>
      </c>
    </row>
    <row r="960" spans="1:20" x14ac:dyDescent="0.25">
      <c r="A960" s="5">
        <v>43633</v>
      </c>
      <c r="B960">
        <v>2.1600000000000001E-2</v>
      </c>
      <c r="C960">
        <v>2.2519999999999998E-2</v>
      </c>
      <c r="D960">
        <v>2.0250000000000001E-2</v>
      </c>
      <c r="E960">
        <v>2.044E-2</v>
      </c>
      <c r="F960">
        <v>325368473.30000001</v>
      </c>
      <c r="G960">
        <v>0</v>
      </c>
      <c r="L960" t="s">
        <v>8</v>
      </c>
      <c r="M960" t="s">
        <v>7</v>
      </c>
      <c r="N960" t="s">
        <v>7</v>
      </c>
      <c r="P960">
        <f t="shared" si="1019"/>
        <v>-0.83259911894273186</v>
      </c>
      <c r="Q960">
        <f t="shared" si="1020"/>
        <v>-270901504.20132178</v>
      </c>
      <c r="R960">
        <f t="shared" si="1021"/>
        <v>3126843332.3861966</v>
      </c>
      <c r="S960">
        <f t="shared" si="1022"/>
        <v>31268.433323861966</v>
      </c>
      <c r="T960">
        <f t="shared" si="1023"/>
        <v>31.268433323861966</v>
      </c>
    </row>
    <row r="961" spans="1:20" x14ac:dyDescent="0.25">
      <c r="A961" s="5">
        <v>43632</v>
      </c>
      <c r="B961">
        <v>2.1579999999999998E-2</v>
      </c>
      <c r="C961">
        <v>2.164E-2</v>
      </c>
      <c r="D961">
        <v>2.06E-2</v>
      </c>
      <c r="E961">
        <v>2.1600000000000001E-2</v>
      </c>
      <c r="F961">
        <v>299889853.39999998</v>
      </c>
      <c r="G961">
        <v>0</v>
      </c>
      <c r="L961" t="s">
        <v>7</v>
      </c>
      <c r="M961" t="s">
        <v>7</v>
      </c>
      <c r="N961" t="s">
        <v>7</v>
      </c>
      <c r="P961">
        <f t="shared" si="1019"/>
        <v>0.92307692307692613</v>
      </c>
      <c r="Q961">
        <f t="shared" si="1020"/>
        <v>276821403.13846242</v>
      </c>
      <c r="R961">
        <f t="shared" si="1021"/>
        <v>3397744836.5875182</v>
      </c>
      <c r="S961">
        <f t="shared" si="1022"/>
        <v>33977.448365875185</v>
      </c>
      <c r="T961">
        <f t="shared" si="1023"/>
        <v>33.977448365875183</v>
      </c>
    </row>
    <row r="962" spans="1:20" x14ac:dyDescent="0.25">
      <c r="A962" s="5">
        <v>43631</v>
      </c>
      <c r="B962">
        <v>2.0469999999999999E-2</v>
      </c>
      <c r="C962">
        <v>2.222E-2</v>
      </c>
      <c r="D962">
        <v>2.0449999999999999E-2</v>
      </c>
      <c r="E962">
        <v>2.1590000000000002E-2</v>
      </c>
      <c r="F962">
        <v>393789710.30000001</v>
      </c>
      <c r="G962">
        <v>0</v>
      </c>
      <c r="L962" t="s">
        <v>8</v>
      </c>
      <c r="M962" t="s">
        <v>7</v>
      </c>
      <c r="N962" t="s">
        <v>7</v>
      </c>
      <c r="P962">
        <f t="shared" si="1019"/>
        <v>0.28813559322034082</v>
      </c>
      <c r="Q962">
        <f t="shared" si="1020"/>
        <v>113464831.78135666</v>
      </c>
      <c r="R962">
        <f t="shared" si="1021"/>
        <v>3120923433.4490557</v>
      </c>
      <c r="S962">
        <f t="shared" si="1022"/>
        <v>31209.234334490557</v>
      </c>
      <c r="T962">
        <f t="shared" si="1023"/>
        <v>31.209234334490557</v>
      </c>
    </row>
    <row r="963" spans="1:20" x14ac:dyDescent="0.25">
      <c r="A963" s="5">
        <v>43630</v>
      </c>
      <c r="B963">
        <v>2.2280000000000001E-2</v>
      </c>
      <c r="C963">
        <v>2.3060000000000001E-2</v>
      </c>
      <c r="D963">
        <v>1.9609999999999999E-2</v>
      </c>
      <c r="E963">
        <v>2.0469999999999999E-2</v>
      </c>
      <c r="F963">
        <v>457851866.80000001</v>
      </c>
      <c r="G963">
        <v>0</v>
      </c>
      <c r="L963" t="s">
        <v>7</v>
      </c>
      <c r="M963" t="s">
        <v>7</v>
      </c>
      <c r="N963" t="s">
        <v>7</v>
      </c>
      <c r="P963">
        <f t="shared" si="1019"/>
        <v>-0.50144927536231931</v>
      </c>
      <c r="Q963">
        <f t="shared" si="1020"/>
        <v>-229589486.83014515</v>
      </c>
      <c r="R963">
        <f t="shared" si="1021"/>
        <v>3007458601.6676989</v>
      </c>
      <c r="S963">
        <f t="shared" si="1022"/>
        <v>30074.586016676989</v>
      </c>
      <c r="T963">
        <f t="shared" si="1023"/>
        <v>30.074586016676989</v>
      </c>
    </row>
    <row r="964" spans="1:20" x14ac:dyDescent="0.25">
      <c r="A964" s="5">
        <v>43629</v>
      </c>
      <c r="B964">
        <v>2.2270000000000002E-2</v>
      </c>
      <c r="C964">
        <v>2.486E-2</v>
      </c>
      <c r="D964">
        <v>2.1530000000000001E-2</v>
      </c>
      <c r="E964">
        <v>2.2290000000000001E-2</v>
      </c>
      <c r="F964">
        <v>706623161.79999995</v>
      </c>
      <c r="G964">
        <v>0</v>
      </c>
      <c r="L964" t="s">
        <v>8</v>
      </c>
      <c r="M964" t="s">
        <v>7</v>
      </c>
      <c r="N964" t="s">
        <v>7</v>
      </c>
      <c r="P964">
        <f t="shared" si="1019"/>
        <v>-0.54354354354354328</v>
      </c>
      <c r="Q964">
        <f t="shared" si="1020"/>
        <v>-384080457.31471449</v>
      </c>
      <c r="R964">
        <f t="shared" si="1021"/>
        <v>3237048088.4978442</v>
      </c>
      <c r="S964">
        <f t="shared" si="1022"/>
        <v>32370.480884978442</v>
      </c>
      <c r="T964">
        <f t="shared" si="1023"/>
        <v>32.370480884978441</v>
      </c>
    </row>
    <row r="965" spans="1:20" x14ac:dyDescent="0.25">
      <c r="A965" s="5">
        <v>43628</v>
      </c>
      <c r="B965">
        <v>2.249E-2</v>
      </c>
      <c r="C965">
        <v>2.315E-2</v>
      </c>
      <c r="D965">
        <v>2.1309999999999999E-2</v>
      </c>
      <c r="E965">
        <v>2.2259999999999999E-2</v>
      </c>
      <c r="F965">
        <v>480045695.80000001</v>
      </c>
      <c r="G965">
        <v>0</v>
      </c>
      <c r="L965" t="s">
        <v>7</v>
      </c>
      <c r="M965" t="s">
        <v>7</v>
      </c>
      <c r="N965" t="s">
        <v>7</v>
      </c>
      <c r="P965">
        <f t="shared" si="1019"/>
        <v>3.2608695652172559E-2</v>
      </c>
      <c r="Q965">
        <f t="shared" si="1020"/>
        <v>15653663.993477611</v>
      </c>
      <c r="R965">
        <f t="shared" si="1021"/>
        <v>3621128545.8125587</v>
      </c>
      <c r="S965">
        <f t="shared" si="1022"/>
        <v>36211.285458125589</v>
      </c>
      <c r="T965">
        <f t="shared" si="1023"/>
        <v>36.211285458125587</v>
      </c>
    </row>
    <row r="966" spans="1:20" x14ac:dyDescent="0.25">
      <c r="A966" s="5">
        <v>43627</v>
      </c>
      <c r="B966">
        <v>2.5590000000000002E-2</v>
      </c>
      <c r="C966">
        <v>2.5729999999999999E-2</v>
      </c>
      <c r="D966">
        <v>2.2200000000000001E-2</v>
      </c>
      <c r="E966">
        <v>2.2499999999999999E-2</v>
      </c>
      <c r="F966">
        <v>628462996.20000005</v>
      </c>
      <c r="G966">
        <v>0</v>
      </c>
      <c r="L966" t="s">
        <v>7</v>
      </c>
      <c r="M966" t="s">
        <v>7</v>
      </c>
      <c r="N966" t="s">
        <v>8</v>
      </c>
      <c r="P966">
        <f t="shared" si="1019"/>
        <v>-0.83002832861189901</v>
      </c>
      <c r="Q966">
        <f t="shared" si="1020"/>
        <v>-521642090.33031225</v>
      </c>
      <c r="R966">
        <f t="shared" si="1021"/>
        <v>3605474881.8190808</v>
      </c>
      <c r="S966">
        <f t="shared" si="1022"/>
        <v>36054.748818190805</v>
      </c>
      <c r="T966">
        <f t="shared" si="1023"/>
        <v>36.054748818190802</v>
      </c>
    </row>
    <row r="967" spans="1:20" x14ac:dyDescent="0.25">
      <c r="A967" s="5">
        <v>43626</v>
      </c>
      <c r="B967">
        <v>2.4250000000000001E-2</v>
      </c>
      <c r="C967">
        <v>2.588E-2</v>
      </c>
      <c r="D967">
        <v>2.3650000000000001E-2</v>
      </c>
      <c r="E967">
        <v>2.5590000000000002E-2</v>
      </c>
      <c r="F967">
        <v>629297730.5</v>
      </c>
      <c r="G967">
        <v>0</v>
      </c>
      <c r="L967" t="s">
        <v>7</v>
      </c>
      <c r="M967" t="s">
        <v>7</v>
      </c>
      <c r="N967" t="s">
        <v>8</v>
      </c>
      <c r="P967">
        <f t="shared" si="1019"/>
        <v>0.73991031390134643</v>
      </c>
      <c r="Q967">
        <f t="shared" si="1020"/>
        <v>465623881.31165993</v>
      </c>
      <c r="R967">
        <f t="shared" si="1021"/>
        <v>4127116972.1493931</v>
      </c>
      <c r="S967">
        <f t="shared" si="1022"/>
        <v>41271.169721493934</v>
      </c>
      <c r="T967">
        <f t="shared" si="1023"/>
        <v>41.271169721493933</v>
      </c>
    </row>
    <row r="968" spans="1:20" x14ac:dyDescent="0.25">
      <c r="A968" s="5">
        <v>43625</v>
      </c>
      <c r="B968">
        <v>2.6089999999999999E-2</v>
      </c>
      <c r="C968">
        <v>2.7730000000000001E-2</v>
      </c>
      <c r="D968">
        <v>2.3529999999999999E-2</v>
      </c>
      <c r="E968">
        <v>2.426E-2</v>
      </c>
      <c r="F968">
        <v>1083842880.7</v>
      </c>
      <c r="G968">
        <v>0</v>
      </c>
      <c r="L968" t="s">
        <v>8</v>
      </c>
      <c r="M968" t="s">
        <v>7</v>
      </c>
      <c r="N968" t="s">
        <v>8</v>
      </c>
      <c r="P968">
        <f t="shared" si="1019"/>
        <v>-0.65238095238095184</v>
      </c>
      <c r="Q968">
        <f t="shared" si="1020"/>
        <v>-707078450.74238038</v>
      </c>
      <c r="R968">
        <f t="shared" si="1021"/>
        <v>3661493090.8377333</v>
      </c>
      <c r="S968">
        <f t="shared" si="1022"/>
        <v>36614.930908377333</v>
      </c>
      <c r="T968">
        <f t="shared" si="1023"/>
        <v>36.614930908377332</v>
      </c>
    </row>
    <row r="969" spans="1:20" x14ac:dyDescent="0.25">
      <c r="A969" s="5">
        <v>43624</v>
      </c>
      <c r="B969">
        <v>2.5850000000000001E-2</v>
      </c>
      <c r="C969">
        <v>2.6950000000000002E-2</v>
      </c>
      <c r="D969">
        <v>2.5000000000000001E-2</v>
      </c>
      <c r="E969">
        <v>2.6069999999999999E-2</v>
      </c>
      <c r="F969">
        <v>604978525.39999998</v>
      </c>
      <c r="G969">
        <v>0</v>
      </c>
      <c r="L969" t="s">
        <v>8</v>
      </c>
      <c r="M969" t="s">
        <v>7</v>
      </c>
      <c r="N969" t="s">
        <v>8</v>
      </c>
      <c r="P969">
        <f t="shared" si="1019"/>
        <v>9.743589743589523E-2</v>
      </c>
      <c r="Q969">
        <f t="shared" si="1020"/>
        <v>58946625.551793538</v>
      </c>
      <c r="R969">
        <f t="shared" si="1021"/>
        <v>4368571541.5801134</v>
      </c>
      <c r="S969">
        <f t="shared" si="1022"/>
        <v>43685.715415801133</v>
      </c>
      <c r="T969">
        <f t="shared" si="1023"/>
        <v>43.685715415801134</v>
      </c>
    </row>
    <row r="970" spans="1:20" x14ac:dyDescent="0.25">
      <c r="A970" s="5">
        <v>43623</v>
      </c>
      <c r="B970">
        <v>2.6419999999999999E-2</v>
      </c>
      <c r="C970">
        <v>2.8160000000000001E-2</v>
      </c>
      <c r="D970">
        <v>2.4570000000000002E-2</v>
      </c>
      <c r="E970">
        <v>2.5860000000000001E-2</v>
      </c>
      <c r="F970">
        <v>992948092.5</v>
      </c>
      <c r="G970">
        <v>0</v>
      </c>
      <c r="L970" t="s">
        <v>7</v>
      </c>
      <c r="M970" t="s">
        <v>7</v>
      </c>
      <c r="N970" t="s">
        <v>8</v>
      </c>
      <c r="P970">
        <f t="shared" si="1019"/>
        <v>-0.28133704735376064</v>
      </c>
      <c r="Q970">
        <f t="shared" si="1020"/>
        <v>-279353084.51949883</v>
      </c>
      <c r="R970">
        <f t="shared" si="1021"/>
        <v>4309624916.0283203</v>
      </c>
      <c r="S970">
        <f t="shared" si="1022"/>
        <v>43096.249160283201</v>
      </c>
      <c r="T970">
        <f t="shared" si="1023"/>
        <v>43.0962491602832</v>
      </c>
    </row>
    <row r="971" spans="1:20" x14ac:dyDescent="0.25">
      <c r="A971" s="5">
        <v>43622</v>
      </c>
      <c r="B971">
        <v>2.835E-2</v>
      </c>
      <c r="C971">
        <v>3.0790000000000001E-2</v>
      </c>
      <c r="D971">
        <v>2.418E-2</v>
      </c>
      <c r="E971">
        <v>2.6349999999999998E-2</v>
      </c>
      <c r="F971">
        <v>2031334339.4000001</v>
      </c>
      <c r="G971">
        <v>0</v>
      </c>
      <c r="L971" t="s">
        <v>8</v>
      </c>
      <c r="M971" t="s">
        <v>7</v>
      </c>
      <c r="N971" t="s">
        <v>8</v>
      </c>
      <c r="P971">
        <f t="shared" si="1019"/>
        <v>-0.3434190620272321</v>
      </c>
      <c r="Q971">
        <f t="shared" si="1020"/>
        <v>-697598933.50045514</v>
      </c>
      <c r="R971">
        <f t="shared" si="1021"/>
        <v>4588978000.5478191</v>
      </c>
      <c r="S971">
        <f t="shared" si="1022"/>
        <v>45889.780005478191</v>
      </c>
      <c r="T971">
        <f t="shared" si="1023"/>
        <v>45.889780005478194</v>
      </c>
    </row>
    <row r="972" spans="1:20" x14ac:dyDescent="0.25">
      <c r="A972" s="5">
        <v>43621</v>
      </c>
      <c r="B972">
        <v>2.3460000000000002E-2</v>
      </c>
      <c r="C972">
        <v>3.0360000000000002E-2</v>
      </c>
      <c r="D972">
        <v>2.2280000000000001E-2</v>
      </c>
      <c r="E972">
        <v>2.835E-2</v>
      </c>
      <c r="F972">
        <v>2953343733.6999998</v>
      </c>
      <c r="G972">
        <v>0</v>
      </c>
      <c r="L972" t="s">
        <v>8</v>
      </c>
      <c r="M972" t="s">
        <v>8</v>
      </c>
      <c r="N972" t="s">
        <v>8</v>
      </c>
      <c r="P972">
        <f t="shared" si="1019"/>
        <v>0.50247524752475214</v>
      </c>
      <c r="Q972">
        <f t="shared" si="1020"/>
        <v>1483982123.6165831</v>
      </c>
      <c r="R972">
        <f t="shared" si="1021"/>
        <v>5286576934.048274</v>
      </c>
      <c r="S972">
        <f t="shared" si="1022"/>
        <v>52865.769340482737</v>
      </c>
      <c r="T972">
        <f t="shared" si="1023"/>
        <v>52.865769340482736</v>
      </c>
    </row>
    <row r="973" spans="1:20" x14ac:dyDescent="0.25">
      <c r="A973" s="5">
        <v>43620</v>
      </c>
      <c r="B973">
        <v>2.12E-2</v>
      </c>
      <c r="C973">
        <v>2.5850000000000001E-2</v>
      </c>
      <c r="D973">
        <v>0.02</v>
      </c>
      <c r="E973">
        <v>2.35E-2</v>
      </c>
      <c r="F973">
        <v>2650514770.5999999</v>
      </c>
      <c r="G973">
        <v>0</v>
      </c>
      <c r="L973" t="s">
        <v>8</v>
      </c>
      <c r="M973" t="s">
        <v>8</v>
      </c>
      <c r="N973" t="s">
        <v>7</v>
      </c>
      <c r="P973">
        <f t="shared" si="1019"/>
        <v>0.19658119658119624</v>
      </c>
      <c r="Q973">
        <f t="shared" si="1020"/>
        <v>521041365.16068286</v>
      </c>
      <c r="R973">
        <f t="shared" si="1021"/>
        <v>3802594810.4316907</v>
      </c>
      <c r="S973">
        <f t="shared" si="1022"/>
        <v>38025.948104316907</v>
      </c>
      <c r="T973">
        <f t="shared" si="1023"/>
        <v>38.02594810431691</v>
      </c>
    </row>
    <row r="974" spans="1:20" x14ac:dyDescent="0.25">
      <c r="A974" s="5">
        <v>43619</v>
      </c>
      <c r="B974">
        <v>2.104E-2</v>
      </c>
      <c r="C974">
        <v>2.3720000000000001E-2</v>
      </c>
      <c r="D974">
        <v>1.959E-2</v>
      </c>
      <c r="E974">
        <v>2.1270000000000001E-2</v>
      </c>
      <c r="F974">
        <v>1881200108.7</v>
      </c>
      <c r="G974">
        <v>0</v>
      </c>
      <c r="L974" t="s">
        <v>8</v>
      </c>
      <c r="M974" t="s">
        <v>8</v>
      </c>
      <c r="N974" t="s">
        <v>7</v>
      </c>
      <c r="P974">
        <f t="shared" si="1019"/>
        <v>-0.18644067796610159</v>
      </c>
      <c r="Q974">
        <f t="shared" si="1020"/>
        <v>-350732223.65593201</v>
      </c>
      <c r="R974">
        <f t="shared" si="1021"/>
        <v>3281553445.271008</v>
      </c>
      <c r="S974">
        <f t="shared" si="1022"/>
        <v>32815.534452710082</v>
      </c>
      <c r="T974">
        <f t="shared" si="1023"/>
        <v>32.815534452710082</v>
      </c>
    </row>
    <row r="975" spans="1:20" x14ac:dyDescent="0.25">
      <c r="A975" s="5">
        <v>43618</v>
      </c>
      <c r="B975">
        <v>2.4029999999999999E-2</v>
      </c>
      <c r="C975">
        <v>2.41E-2</v>
      </c>
      <c r="D975">
        <v>1.933E-2</v>
      </c>
      <c r="E975">
        <v>2.104E-2</v>
      </c>
      <c r="F975">
        <v>1899838100.2</v>
      </c>
      <c r="G975">
        <v>0</v>
      </c>
      <c r="L975" t="s">
        <v>7</v>
      </c>
      <c r="M975" t="s">
        <v>7</v>
      </c>
      <c r="N975" t="s">
        <v>7</v>
      </c>
      <c r="P975">
        <f t="shared" si="1019"/>
        <v>-0.28301886792452841</v>
      </c>
      <c r="Q975">
        <f t="shared" si="1020"/>
        <v>-537690028.35849082</v>
      </c>
      <c r="R975">
        <f t="shared" si="1021"/>
        <v>3632285668.92694</v>
      </c>
      <c r="S975">
        <f t="shared" si="1022"/>
        <v>36322.8566892694</v>
      </c>
      <c r="T975">
        <f t="shared" si="1023"/>
        <v>36.3228566892694</v>
      </c>
    </row>
    <row r="976" spans="1:20" x14ac:dyDescent="0.25">
      <c r="A976" s="5">
        <v>43617</v>
      </c>
      <c r="B976">
        <v>1.4999999999999999E-2</v>
      </c>
      <c r="C976">
        <v>2.8479999999999998E-2</v>
      </c>
      <c r="D976">
        <v>1.091E-2</v>
      </c>
      <c r="E976">
        <v>2.402E-2</v>
      </c>
      <c r="F976">
        <v>8470112485.6999998</v>
      </c>
      <c r="G976">
        <v>0</v>
      </c>
      <c r="P976">
        <f t="shared" si="1019"/>
        <v>0.49231644849174744</v>
      </c>
      <c r="Q976">
        <f t="shared" si="1020"/>
        <v>4169975697.2854309</v>
      </c>
      <c r="R976">
        <f t="shared" si="1021"/>
        <v>4169975697.2854309</v>
      </c>
      <c r="S976">
        <f t="shared" si="1022"/>
        <v>41699.756972854309</v>
      </c>
      <c r="T976">
        <f t="shared" si="1023"/>
        <v>41.69975697285431</v>
      </c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SN673" sqref="SN673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$A$672</v>
      </c>
      <c r="D111" s="1" t="str">
        <f>ADDRESS(C121-1,D121,1,1)</f>
        <v>$SN$672</v>
      </c>
      <c r="E111"/>
    </row>
    <row r="112" spans="1:5" x14ac:dyDescent="0.25">
      <c r="A112" s="7">
        <v>12164.144957890772</v>
      </c>
      <c r="C112" s="1" t="str">
        <f>ADDRESS(C121,1,1,1)</f>
        <v>$A$673</v>
      </c>
      <c r="D112" s="1" t="str">
        <f>ADDRESS(C121,D121-1,1,1)</f>
        <v>$SM$673</v>
      </c>
      <c r="E112"/>
    </row>
    <row r="113" spans="1:5" x14ac:dyDescent="0.25">
      <c r="A113" s="7">
        <v>11925.63231165762</v>
      </c>
      <c r="C113" s="1" t="str">
        <f>ADDRESS(C121+1,1,1,1)</f>
        <v>$A$674</v>
      </c>
      <c r="D113" s="1" t="str">
        <f>ADDRESS(C121-1,D121+1,1,1)</f>
        <v>$SO$672</v>
      </c>
    </row>
    <row r="114" spans="1:5" x14ac:dyDescent="0.25">
      <c r="A114" s="7">
        <v>11691.796383978059</v>
      </c>
      <c r="C114" s="1" t="str">
        <f>ADDRESS(C121,D121,1,1)</f>
        <v>$SN$673</v>
      </c>
      <c r="D114" s="1" t="str">
        <f>ADDRESS(C121+1,D121+1,1,1)</f>
        <v>$SO$674</v>
      </c>
    </row>
    <row r="115" spans="1:5" x14ac:dyDescent="0.25">
      <c r="A115" s="7">
        <v>11462.545474488292</v>
      </c>
      <c r="C115" s="1" t="str">
        <f>ADDRESS(C121+1,D121,1,1)</f>
        <v>$SN$674</v>
      </c>
    </row>
    <row r="116" spans="1:5" x14ac:dyDescent="0.25">
      <c r="A116" s="7">
        <v>11237.789680870874</v>
      </c>
      <c r="C116" s="1">
        <f>C117-1</f>
        <v>672</v>
      </c>
    </row>
    <row r="117" spans="1:5" x14ac:dyDescent="0.25">
      <c r="A117" s="7">
        <v>11017.440863598895</v>
      </c>
      <c r="C117" s="1">
        <f>C121</f>
        <v>673</v>
      </c>
      <c r="D117" s="1">
        <f>D121</f>
        <v>508</v>
      </c>
    </row>
    <row r="118" spans="1:5" x14ac:dyDescent="0.25">
      <c r="A118" s="7">
        <v>10801.412611371465</v>
      </c>
      <c r="C118" s="1">
        <f>C117+1</f>
        <v>674</v>
      </c>
      <c r="D118" s="1">
        <f>D117+1</f>
        <v>509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673</v>
      </c>
      <c r="D121" s="19">
        <v>508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R673</v>
      </c>
      <c r="D123" s="1" t="str">
        <f>"C"&amp;D121</f>
        <v>C508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0.18213156881997963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504" x14ac:dyDescent="0.25">
      <c r="A625" s="7">
        <v>0.47118718795871994</v>
      </c>
      <c r="B625"/>
      <c r="C625"/>
      <c r="D625"/>
      <c r="E625"/>
      <c r="F625" s="27" t="s">
        <v>7</v>
      </c>
    </row>
    <row r="626" spans="1:504" x14ac:dyDescent="0.25">
      <c r="A626" s="7">
        <v>0.46194822348894116</v>
      </c>
      <c r="B626"/>
      <c r="C626"/>
      <c r="D626"/>
      <c r="E626"/>
      <c r="F626" s="27" t="s">
        <v>7</v>
      </c>
    </row>
    <row r="627" spans="1:504" x14ac:dyDescent="0.25">
      <c r="A627" s="7">
        <v>0.45289041518523643</v>
      </c>
      <c r="B627"/>
      <c r="C627"/>
      <c r="D627"/>
      <c r="E627"/>
      <c r="F627" s="27" t="s">
        <v>7</v>
      </c>
    </row>
    <row r="628" spans="1:504" x14ac:dyDescent="0.25">
      <c r="A628" s="7">
        <v>0.44401021096591808</v>
      </c>
      <c r="B628"/>
      <c r="C628"/>
      <c r="D628"/>
      <c r="E628"/>
      <c r="F628" s="27" t="s">
        <v>7</v>
      </c>
    </row>
    <row r="629" spans="1:504" x14ac:dyDescent="0.25">
      <c r="A629" s="7">
        <v>0.4353041283979589</v>
      </c>
      <c r="B629"/>
      <c r="C629"/>
      <c r="D629"/>
      <c r="E629"/>
      <c r="F629" s="27" t="s">
        <v>7</v>
      </c>
    </row>
    <row r="630" spans="1:504" x14ac:dyDescent="0.25">
      <c r="A630" s="7">
        <v>0.4267687533313323</v>
      </c>
      <c r="B630"/>
      <c r="C630"/>
      <c r="D630"/>
      <c r="E630"/>
      <c r="F630" s="27" t="s">
        <v>7</v>
      </c>
    </row>
    <row r="631" spans="1:504" x14ac:dyDescent="0.25">
      <c r="A631" s="7">
        <v>0.41840073856012971</v>
      </c>
      <c r="B631"/>
      <c r="C631"/>
      <c r="D631"/>
      <c r="E631"/>
      <c r="F631" s="27" t="s">
        <v>7</v>
      </c>
    </row>
    <row r="632" spans="1:504" x14ac:dyDescent="0.25">
      <c r="A632" s="7">
        <v>0.41019680250993112</v>
      </c>
      <c r="B632"/>
      <c r="C632"/>
      <c r="D632"/>
      <c r="E632"/>
      <c r="F632" s="27" t="s">
        <v>7</v>
      </c>
    </row>
    <row r="633" spans="1:504" x14ac:dyDescent="0.25">
      <c r="A633" s="7">
        <v>0.40215372795091286</v>
      </c>
      <c r="B633"/>
      <c r="C633"/>
      <c r="D633"/>
      <c r="E633"/>
      <c r="F633" s="27" t="s">
        <v>7</v>
      </c>
    </row>
    <row r="634" spans="1:504" x14ac:dyDescent="0.25">
      <c r="A634" s="7">
        <v>0.39426836073618904</v>
      </c>
      <c r="B634"/>
      <c r="C634"/>
      <c r="D634"/>
      <c r="E634"/>
      <c r="F634" s="27" t="s">
        <v>7</v>
      </c>
    </row>
    <row r="635" spans="1:504" x14ac:dyDescent="0.25">
      <c r="A635" s="7">
        <v>0.38653760856489122</v>
      </c>
      <c r="B635"/>
      <c r="C635"/>
      <c r="D635"/>
      <c r="E635"/>
      <c r="F635" s="27" t="s">
        <v>7</v>
      </c>
    </row>
    <row r="636" spans="1:504" x14ac:dyDescent="0.25">
      <c r="A636" s="7">
        <v>0.37895843976950117</v>
      </c>
      <c r="B636"/>
      <c r="C636"/>
      <c r="D636"/>
      <c r="E636"/>
      <c r="F636" s="27" t="s">
        <v>7</v>
      </c>
      <c r="QM636" s="27" t="s">
        <v>8</v>
      </c>
      <c r="SI636" s="27" t="s">
        <v>8</v>
      </c>
    </row>
    <row r="637" spans="1:504" x14ac:dyDescent="0.25">
      <c r="A637" s="7">
        <v>0.37152788212696197</v>
      </c>
      <c r="B637"/>
      <c r="C637"/>
      <c r="D637"/>
      <c r="E637"/>
      <c r="F637" s="27" t="s">
        <v>7</v>
      </c>
      <c r="QM637" s="27" t="s">
        <v>8</v>
      </c>
      <c r="QN637" s="27" t="s">
        <v>7</v>
      </c>
      <c r="QO637" s="27" t="s">
        <v>8</v>
      </c>
      <c r="SI637" s="27" t="s">
        <v>8</v>
      </c>
      <c r="SJ637" s="27" t="s">
        <v>7</v>
      </c>
    </row>
    <row r="638" spans="1:504" x14ac:dyDescent="0.25">
      <c r="A638" s="7">
        <v>0.36424302169310002</v>
      </c>
      <c r="B638"/>
      <c r="C638"/>
      <c r="D638"/>
      <c r="E638"/>
      <c r="F638" s="27" t="s">
        <v>7</v>
      </c>
      <c r="QM638" s="27" t="s">
        <v>8</v>
      </c>
      <c r="QN638" s="27" t="s">
        <v>7</v>
      </c>
      <c r="QO638" s="27" t="s">
        <v>8</v>
      </c>
      <c r="QP638" s="27" t="s">
        <v>7</v>
      </c>
      <c r="SI638" s="27" t="s">
        <v>8</v>
      </c>
      <c r="SJ638" s="27" t="s">
        <v>7</v>
      </c>
    </row>
    <row r="639" spans="1:504" x14ac:dyDescent="0.25">
      <c r="A639" s="7">
        <v>0.35710100165990194</v>
      </c>
      <c r="B639"/>
      <c r="C639"/>
      <c r="D639"/>
      <c r="E639"/>
      <c r="F639" s="27" t="s">
        <v>7</v>
      </c>
      <c r="QM639" s="27" t="s">
        <v>8</v>
      </c>
      <c r="QN639" s="27" t="s">
        <v>7</v>
      </c>
      <c r="QO639" s="27" t="s">
        <v>8</v>
      </c>
      <c r="QP639" s="27" t="s">
        <v>7</v>
      </c>
      <c r="SI639" s="27" t="s">
        <v>8</v>
      </c>
      <c r="SJ639" s="27" t="s">
        <v>7</v>
      </c>
    </row>
    <row r="640" spans="1:504" x14ac:dyDescent="0.25">
      <c r="A640" s="7">
        <v>0.35009902123519804</v>
      </c>
      <c r="B640"/>
      <c r="C640"/>
      <c r="D640"/>
      <c r="E640"/>
      <c r="F640" s="27" t="s">
        <v>7</v>
      </c>
      <c r="QM640" s="27" t="s">
        <v>8</v>
      </c>
      <c r="QN640" s="27" t="s">
        <v>7</v>
      </c>
      <c r="QO640" s="27" t="s">
        <v>8</v>
      </c>
      <c r="QP640" s="27" t="s">
        <v>7</v>
      </c>
      <c r="SI640" s="27" t="s">
        <v>8</v>
      </c>
      <c r="SJ640" s="27" t="s">
        <v>7</v>
      </c>
    </row>
    <row r="641" spans="1:504" x14ac:dyDescent="0.25">
      <c r="A641" s="7">
        <v>0.34323433454431179</v>
      </c>
      <c r="B641"/>
      <c r="C641"/>
      <c r="D641"/>
      <c r="E641"/>
      <c r="F641" s="27" t="s">
        <v>7</v>
      </c>
      <c r="QM641" s="27" t="s">
        <v>8</v>
      </c>
      <c r="QN641" s="27" t="s">
        <v>7</v>
      </c>
      <c r="QO641" s="27" t="s">
        <v>8</v>
      </c>
      <c r="QP641" s="27" t="s">
        <v>7</v>
      </c>
      <c r="SI641" s="27" t="s">
        <v>8</v>
      </c>
      <c r="SJ641" s="27" t="s">
        <v>7</v>
      </c>
    </row>
    <row r="642" spans="1:504" x14ac:dyDescent="0.25">
      <c r="A642" s="7">
        <v>0.33650424955324681</v>
      </c>
      <c r="B642"/>
      <c r="C642"/>
      <c r="D642"/>
      <c r="E642"/>
      <c r="F642" s="27" t="s">
        <v>7</v>
      </c>
      <c r="QM642" s="27" t="s">
        <v>8</v>
      </c>
      <c r="QN642" s="27" t="s">
        <v>7</v>
      </c>
      <c r="QO642" s="27" t="s">
        <v>8</v>
      </c>
      <c r="QP642" s="27" t="s">
        <v>7</v>
      </c>
      <c r="RI642" s="27" t="s">
        <v>8</v>
      </c>
      <c r="SI642" s="27" t="s">
        <v>8</v>
      </c>
      <c r="SJ642" s="27" t="s">
        <v>7</v>
      </c>
    </row>
    <row r="643" spans="1:504" x14ac:dyDescent="0.25">
      <c r="A643" s="7">
        <v>0.3299061270129871</v>
      </c>
      <c r="B643"/>
      <c r="C643"/>
      <c r="D643"/>
      <c r="E643"/>
      <c r="F643" s="27" t="s">
        <v>7</v>
      </c>
      <c r="QM643" s="27" t="s">
        <v>8</v>
      </c>
      <c r="QN643" s="27" t="s">
        <v>7</v>
      </c>
      <c r="QO643" s="27" t="s">
        <v>8</v>
      </c>
      <c r="QP643" s="27" t="s">
        <v>7</v>
      </c>
      <c r="RI643" s="27" t="s">
        <v>8</v>
      </c>
      <c r="RJ643" s="27" t="s">
        <v>7</v>
      </c>
      <c r="SE643" s="27" t="s">
        <v>8</v>
      </c>
      <c r="SG643" s="27" t="s">
        <v>8</v>
      </c>
      <c r="SI643" s="27" t="s">
        <v>8</v>
      </c>
      <c r="SJ643" s="27" t="s">
        <v>7</v>
      </c>
    </row>
    <row r="644" spans="1:504" x14ac:dyDescent="0.25">
      <c r="A644" s="7">
        <v>0.32343737942449713</v>
      </c>
      <c r="B644"/>
      <c r="C644"/>
      <c r="D644"/>
      <c r="E644"/>
      <c r="F644" s="27" t="s">
        <v>7</v>
      </c>
      <c r="QM644" s="27" t="s">
        <v>8</v>
      </c>
      <c r="QN644" s="27" t="s">
        <v>7</v>
      </c>
      <c r="QO644" s="27" t="s">
        <v>8</v>
      </c>
      <c r="QP644" s="27" t="s">
        <v>7</v>
      </c>
      <c r="QW644" s="27" t="s">
        <v>8</v>
      </c>
      <c r="RI644" s="27" t="s">
        <v>8</v>
      </c>
      <c r="RJ644" s="27" t="s">
        <v>7</v>
      </c>
      <c r="SE644" s="27" t="s">
        <v>8</v>
      </c>
      <c r="SF644" s="27" t="s">
        <v>7</v>
      </c>
      <c r="SG644" s="27" t="s">
        <v>8</v>
      </c>
      <c r="SH644" s="27" t="s">
        <v>7</v>
      </c>
      <c r="SI644" s="27" t="s">
        <v>8</v>
      </c>
      <c r="SJ644" s="27" t="s">
        <v>7</v>
      </c>
    </row>
    <row r="645" spans="1:504" x14ac:dyDescent="0.25">
      <c r="A645" s="7">
        <v>0.31709547002401678</v>
      </c>
      <c r="B645"/>
      <c r="C645"/>
      <c r="D645"/>
      <c r="E645"/>
      <c r="F645" s="27" t="s">
        <v>7</v>
      </c>
      <c r="QM645" s="27" t="s">
        <v>8</v>
      </c>
      <c r="QN645" s="27" t="s">
        <v>7</v>
      </c>
      <c r="QO645" s="27" t="s">
        <v>8</v>
      </c>
      <c r="QP645" s="27" t="s">
        <v>7</v>
      </c>
      <c r="QQ645" s="27" t="s">
        <v>8</v>
      </c>
      <c r="QW645" s="27" t="s">
        <v>8</v>
      </c>
      <c r="QX645" s="27" t="s">
        <v>7</v>
      </c>
      <c r="RG645" s="27" t="s">
        <v>8</v>
      </c>
      <c r="RI645" s="27" t="s">
        <v>8</v>
      </c>
      <c r="RJ645" s="27" t="s">
        <v>7</v>
      </c>
      <c r="SE645" s="27" t="s">
        <v>8</v>
      </c>
      <c r="SF645" s="27" t="s">
        <v>7</v>
      </c>
      <c r="SG645" s="27" t="s">
        <v>8</v>
      </c>
      <c r="SH645" s="27" t="s">
        <v>7</v>
      </c>
      <c r="SI645" s="27" t="s">
        <v>8</v>
      </c>
      <c r="SJ645" s="27" t="s">
        <v>7</v>
      </c>
    </row>
    <row r="646" spans="1:504" x14ac:dyDescent="0.25">
      <c r="A646" s="7">
        <v>0.31087791178825175</v>
      </c>
      <c r="B646"/>
      <c r="C646"/>
      <c r="D646"/>
      <c r="E646"/>
      <c r="F646" s="27" t="s">
        <v>7</v>
      </c>
      <c r="QM646" s="27" t="s">
        <v>8</v>
      </c>
      <c r="QN646" s="27" t="s">
        <v>7</v>
      </c>
      <c r="QO646" s="27" t="s">
        <v>8</v>
      </c>
      <c r="QP646" s="27" t="s">
        <v>7</v>
      </c>
      <c r="QQ646" s="27" t="s">
        <v>8</v>
      </c>
      <c r="QR646" s="27" t="s">
        <v>7</v>
      </c>
      <c r="QS646" s="27" t="s">
        <v>8</v>
      </c>
      <c r="QW646" s="27" t="s">
        <v>8</v>
      </c>
      <c r="QX646" s="27" t="s">
        <v>7</v>
      </c>
      <c r="RG646" s="27" t="s">
        <v>8</v>
      </c>
      <c r="RH646" s="27" t="s">
        <v>7</v>
      </c>
      <c r="RI646" s="27" t="s">
        <v>8</v>
      </c>
      <c r="RJ646" s="27" t="s">
        <v>7</v>
      </c>
      <c r="SE646" s="27" t="s">
        <v>8</v>
      </c>
      <c r="SF646" s="27" t="s">
        <v>7</v>
      </c>
      <c r="SG646" s="27" t="s">
        <v>8</v>
      </c>
      <c r="SH646" s="27" t="s">
        <v>7</v>
      </c>
      <c r="SI646" s="27" t="s">
        <v>8</v>
      </c>
      <c r="SJ646" s="27" t="s">
        <v>7</v>
      </c>
    </row>
    <row r="647" spans="1:504" x14ac:dyDescent="0.25">
      <c r="A647" s="7">
        <v>0.30478226645907036</v>
      </c>
      <c r="B647"/>
      <c r="C647"/>
      <c r="D647"/>
      <c r="E647"/>
      <c r="F647" s="27" t="s">
        <v>7</v>
      </c>
      <c r="QM647" s="27" t="s">
        <v>8</v>
      </c>
      <c r="QN647" s="27" t="s">
        <v>7</v>
      </c>
      <c r="QO647" s="27" t="s">
        <v>8</v>
      </c>
      <c r="QP647" s="27" t="s">
        <v>7</v>
      </c>
      <c r="QQ647" s="27" t="s">
        <v>8</v>
      </c>
      <c r="QR647" s="27" t="s">
        <v>7</v>
      </c>
      <c r="QS647" s="27" t="s">
        <v>8</v>
      </c>
      <c r="QT647" s="27" t="s">
        <v>7</v>
      </c>
      <c r="QU647" s="27" t="s">
        <v>8</v>
      </c>
      <c r="QW647" s="27" t="s">
        <v>8</v>
      </c>
      <c r="QX647" s="27" t="s">
        <v>7</v>
      </c>
      <c r="QY647" s="27" t="s">
        <v>8</v>
      </c>
      <c r="RG647" s="27" t="s">
        <v>8</v>
      </c>
      <c r="RH647" s="27" t="s">
        <v>7</v>
      </c>
      <c r="RI647" s="27" t="s">
        <v>8</v>
      </c>
      <c r="RJ647" s="27" t="s">
        <v>7</v>
      </c>
      <c r="SE647" s="27" t="s">
        <v>8</v>
      </c>
      <c r="SF647" s="27" t="s">
        <v>7</v>
      </c>
      <c r="SG647" s="27" t="s">
        <v>8</v>
      </c>
      <c r="SH647" s="27" t="s">
        <v>7</v>
      </c>
      <c r="SI647" s="27" t="s">
        <v>8</v>
      </c>
      <c r="SJ647" s="27" t="s">
        <v>7</v>
      </c>
    </row>
    <row r="648" spans="1:504" x14ac:dyDescent="0.25">
      <c r="A648" s="7">
        <v>0.29880614358732388</v>
      </c>
      <c r="B648"/>
      <c r="C648"/>
      <c r="D648"/>
      <c r="E648"/>
      <c r="F648" s="27" t="s">
        <v>7</v>
      </c>
      <c r="QM648" s="27" t="s">
        <v>8</v>
      </c>
      <c r="QN648" s="27" t="s">
        <v>7</v>
      </c>
      <c r="QO648" s="27" t="s">
        <v>8</v>
      </c>
      <c r="QP648" s="27" t="s">
        <v>7</v>
      </c>
      <c r="QQ648" s="27" t="s">
        <v>8</v>
      </c>
      <c r="QR648" s="27" t="s">
        <v>7</v>
      </c>
      <c r="QS648" s="27" t="s">
        <v>8</v>
      </c>
      <c r="QT648" s="27" t="s">
        <v>7</v>
      </c>
      <c r="QU648" s="27" t="s">
        <v>8</v>
      </c>
      <c r="QV648" s="27" t="s">
        <v>7</v>
      </c>
      <c r="QW648" s="27" t="s">
        <v>8</v>
      </c>
      <c r="QX648" s="27" t="s">
        <v>7</v>
      </c>
      <c r="QY648" s="27" t="s">
        <v>8</v>
      </c>
      <c r="QZ648" s="27" t="s">
        <v>7</v>
      </c>
      <c r="RC648" s="27" t="s">
        <v>8</v>
      </c>
      <c r="RG648" s="27" t="s">
        <v>8</v>
      </c>
      <c r="RH648" s="27" t="s">
        <v>7</v>
      </c>
      <c r="RI648" s="27" t="s">
        <v>8</v>
      </c>
      <c r="RJ648" s="27" t="s">
        <v>7</v>
      </c>
      <c r="SE648" s="27" t="s">
        <v>8</v>
      </c>
      <c r="SF648" s="27" t="s">
        <v>7</v>
      </c>
      <c r="SG648" s="27" t="s">
        <v>8</v>
      </c>
      <c r="SH648" s="27" t="s">
        <v>7</v>
      </c>
      <c r="SI648" s="27" t="s">
        <v>8</v>
      </c>
      <c r="SJ648" s="27" t="s">
        <v>7</v>
      </c>
    </row>
    <row r="649" spans="1:504" x14ac:dyDescent="0.25">
      <c r="A649" s="7">
        <v>0.2929471995954156</v>
      </c>
      <c r="B649"/>
      <c r="C649"/>
      <c r="D649"/>
      <c r="E649"/>
      <c r="F649" s="27" t="s">
        <v>7</v>
      </c>
      <c r="QM649" s="27" t="s">
        <v>8</v>
      </c>
      <c r="QN649" s="27" t="s">
        <v>7</v>
      </c>
      <c r="QO649" s="27" t="s">
        <v>8</v>
      </c>
      <c r="QP649" s="27" t="s">
        <v>7</v>
      </c>
      <c r="QQ649" s="27" t="s">
        <v>8</v>
      </c>
      <c r="QR649" s="27" t="s">
        <v>7</v>
      </c>
      <c r="QS649" s="27" t="s">
        <v>8</v>
      </c>
      <c r="QT649" s="27" t="s">
        <v>7</v>
      </c>
      <c r="QU649" s="27" t="s">
        <v>8</v>
      </c>
      <c r="QV649" s="27" t="s">
        <v>7</v>
      </c>
      <c r="QW649" s="27" t="s">
        <v>8</v>
      </c>
      <c r="QX649" s="27" t="s">
        <v>7</v>
      </c>
      <c r="QY649" s="27" t="s">
        <v>8</v>
      </c>
      <c r="QZ649" s="27" t="s">
        <v>7</v>
      </c>
      <c r="RC649" s="27" t="s">
        <v>8</v>
      </c>
      <c r="RD649" s="27" t="s">
        <v>7</v>
      </c>
      <c r="RG649" s="27" t="s">
        <v>8</v>
      </c>
      <c r="RH649" s="27" t="s">
        <v>7</v>
      </c>
      <c r="RI649" s="27" t="s">
        <v>8</v>
      </c>
      <c r="RJ649" s="27" t="s">
        <v>7</v>
      </c>
      <c r="SE649" s="27" t="s">
        <v>8</v>
      </c>
      <c r="SF649" s="27" t="s">
        <v>7</v>
      </c>
      <c r="SG649" s="27" t="s">
        <v>8</v>
      </c>
      <c r="SH649" s="27" t="s">
        <v>7</v>
      </c>
      <c r="SI649" s="27" t="s">
        <v>8</v>
      </c>
      <c r="SJ649" s="27" t="s">
        <v>7</v>
      </c>
    </row>
    <row r="650" spans="1:504" x14ac:dyDescent="0.25">
      <c r="A650" s="7">
        <v>0.28720313685825055</v>
      </c>
      <c r="B650"/>
      <c r="C650"/>
      <c r="D650"/>
      <c r="E650"/>
      <c r="F650" s="27" t="s">
        <v>7</v>
      </c>
      <c r="QM650" s="27" t="s">
        <v>8</v>
      </c>
      <c r="QN650" s="27" t="s">
        <v>7</v>
      </c>
      <c r="QP650" s="27" t="s">
        <v>7</v>
      </c>
      <c r="QQ650" s="27" t="s">
        <v>8</v>
      </c>
      <c r="QR650" s="27" t="s">
        <v>7</v>
      </c>
      <c r="QS650" s="27" t="s">
        <v>8</v>
      </c>
      <c r="QT650" s="27" t="s">
        <v>7</v>
      </c>
      <c r="QU650" s="27" t="s">
        <v>8</v>
      </c>
      <c r="QV650" s="27" t="s">
        <v>7</v>
      </c>
      <c r="QW650" s="27" t="s">
        <v>8</v>
      </c>
      <c r="QX650" s="27" t="s">
        <v>7</v>
      </c>
      <c r="QY650" s="27" t="s">
        <v>8</v>
      </c>
      <c r="QZ650" s="27" t="s">
        <v>7</v>
      </c>
      <c r="RA650" s="27" t="s">
        <v>8</v>
      </c>
      <c r="RC650" s="27" t="s">
        <v>8</v>
      </c>
      <c r="RD650" s="27" t="s">
        <v>7</v>
      </c>
      <c r="RG650" s="27" t="s">
        <v>8</v>
      </c>
      <c r="RH650" s="27" t="s">
        <v>7</v>
      </c>
      <c r="RI650" s="27" t="s">
        <v>8</v>
      </c>
      <c r="RJ650" s="27" t="s">
        <v>7</v>
      </c>
      <c r="SE650" s="27" t="s">
        <v>8</v>
      </c>
      <c r="SF650" s="27" t="s">
        <v>7</v>
      </c>
      <c r="SG650" s="27" t="s">
        <v>8</v>
      </c>
      <c r="SH650" s="27" t="s">
        <v>7</v>
      </c>
      <c r="SI650" s="27" t="s">
        <v>8</v>
      </c>
      <c r="SJ650" s="27" t="s">
        <v>7</v>
      </c>
    </row>
    <row r="651" spans="1:504" x14ac:dyDescent="0.25">
      <c r="A651" s="7">
        <v>0.28157170280220645</v>
      </c>
      <c r="B651"/>
      <c r="C651"/>
      <c r="D651"/>
      <c r="E651"/>
      <c r="F651" s="27" t="s">
        <v>7</v>
      </c>
      <c r="QM651" s="27" t="s">
        <v>8</v>
      </c>
      <c r="QP651" s="27" t="s">
        <v>7</v>
      </c>
      <c r="QR651" s="27" t="s">
        <v>7</v>
      </c>
      <c r="QT651" s="27" t="s">
        <v>7</v>
      </c>
      <c r="QV651" s="27" t="s">
        <v>7</v>
      </c>
      <c r="QW651" s="27" t="s">
        <v>8</v>
      </c>
      <c r="QX651" s="27" t="s">
        <v>7</v>
      </c>
      <c r="QY651" s="27" t="s">
        <v>8</v>
      </c>
      <c r="QZ651" s="27" t="s">
        <v>7</v>
      </c>
      <c r="RA651" s="27" t="s">
        <v>8</v>
      </c>
      <c r="RB651" s="27" t="s">
        <v>7</v>
      </c>
      <c r="RC651" s="27" t="s">
        <v>8</v>
      </c>
      <c r="RD651" s="27" t="s">
        <v>7</v>
      </c>
      <c r="RG651" s="27" t="s">
        <v>8</v>
      </c>
      <c r="RH651" s="27" t="s">
        <v>7</v>
      </c>
      <c r="RI651" s="27" t="s">
        <v>8</v>
      </c>
      <c r="RJ651" s="27" t="s">
        <v>7</v>
      </c>
      <c r="SC651" s="27" t="s">
        <v>8</v>
      </c>
      <c r="SE651" s="27" t="s">
        <v>8</v>
      </c>
      <c r="SF651" s="27" t="s">
        <v>7</v>
      </c>
      <c r="SG651" s="27" t="s">
        <v>8</v>
      </c>
      <c r="SH651" s="27" t="s">
        <v>7</v>
      </c>
      <c r="SI651" s="27" t="s">
        <v>8</v>
      </c>
      <c r="SJ651" s="27" t="s">
        <v>7</v>
      </c>
    </row>
    <row r="652" spans="1:504" x14ac:dyDescent="0.25">
      <c r="A652" s="7">
        <v>0.27605068902177105</v>
      </c>
      <c r="B652"/>
      <c r="C652"/>
      <c r="D652"/>
      <c r="E652"/>
      <c r="F652" s="27" t="s">
        <v>7</v>
      </c>
      <c r="QM652" s="27" t="s">
        <v>8</v>
      </c>
      <c r="QV652" s="27" t="s">
        <v>7</v>
      </c>
      <c r="QW652" s="27" t="s">
        <v>8</v>
      </c>
      <c r="QX652" s="27" t="s">
        <v>7</v>
      </c>
      <c r="QY652" s="27" t="s">
        <v>8</v>
      </c>
      <c r="QZ652" s="27" t="s">
        <v>7</v>
      </c>
      <c r="RA652" s="27" t="s">
        <v>8</v>
      </c>
      <c r="RB652" s="27" t="s">
        <v>7</v>
      </c>
      <c r="RC652" s="27" t="s">
        <v>8</v>
      </c>
      <c r="RD652" s="27" t="s">
        <v>7</v>
      </c>
      <c r="RG652" s="27" t="s">
        <v>8</v>
      </c>
      <c r="RH652" s="27" t="s">
        <v>7</v>
      </c>
      <c r="RJ652" s="27" t="s">
        <v>7</v>
      </c>
      <c r="SC652" s="27" t="s">
        <v>8</v>
      </c>
      <c r="SD652" s="27" t="s">
        <v>7</v>
      </c>
      <c r="SE652" s="27" t="s">
        <v>8</v>
      </c>
      <c r="SF652" s="27" t="s">
        <v>7</v>
      </c>
      <c r="SG652" s="27" t="s">
        <v>8</v>
      </c>
      <c r="SH652" s="27" t="s">
        <v>7</v>
      </c>
      <c r="SI652" s="27" t="s">
        <v>8</v>
      </c>
      <c r="SJ652" s="27" t="s">
        <v>7</v>
      </c>
    </row>
    <row r="653" spans="1:504" x14ac:dyDescent="0.25">
      <c r="A653" s="7">
        <v>0.27063793041350104</v>
      </c>
      <c r="B653"/>
      <c r="C653"/>
      <c r="D653"/>
      <c r="E653"/>
      <c r="F653" s="27" t="s">
        <v>7</v>
      </c>
      <c r="QM653" s="27" t="s">
        <v>8</v>
      </c>
      <c r="QV653" s="27" t="s">
        <v>7</v>
      </c>
      <c r="QX653" s="27" t="s">
        <v>7</v>
      </c>
      <c r="QY653" s="27" t="s">
        <v>8</v>
      </c>
      <c r="QZ653" s="27" t="s">
        <v>7</v>
      </c>
      <c r="RA653" s="27" t="s">
        <v>8</v>
      </c>
      <c r="RB653" s="27" t="s">
        <v>7</v>
      </c>
      <c r="RD653" s="27" t="s">
        <v>7</v>
      </c>
      <c r="RE653" s="27" t="s">
        <v>8</v>
      </c>
      <c r="RG653" s="27" t="s">
        <v>8</v>
      </c>
      <c r="RJ653" s="27" t="s">
        <v>7</v>
      </c>
      <c r="RK653" s="27" t="s">
        <v>8</v>
      </c>
      <c r="RM653" s="27" t="s">
        <v>8</v>
      </c>
      <c r="SC653" s="27" t="s">
        <v>8</v>
      </c>
      <c r="SD653" s="27" t="s">
        <v>7</v>
      </c>
      <c r="SE653" s="27" t="s">
        <v>8</v>
      </c>
      <c r="SF653" s="27" t="s">
        <v>7</v>
      </c>
      <c r="SG653" s="27" t="s">
        <v>8</v>
      </c>
      <c r="SH653" s="27" t="s">
        <v>7</v>
      </c>
      <c r="SI653" s="27" t="s">
        <v>8</v>
      </c>
      <c r="SJ653" s="27" t="s">
        <v>7</v>
      </c>
    </row>
    <row r="654" spans="1:504" x14ac:dyDescent="0.25">
      <c r="A654" s="7">
        <v>0.26533130432696184</v>
      </c>
      <c r="B654"/>
      <c r="C654"/>
      <c r="D654"/>
      <c r="E654"/>
      <c r="F654" s="27" t="s">
        <v>7</v>
      </c>
      <c r="QM654" s="27" t="s">
        <v>8</v>
      </c>
      <c r="QX654" s="27" t="s">
        <v>7</v>
      </c>
      <c r="QY654" s="27" t="s">
        <v>8</v>
      </c>
      <c r="QZ654" s="27" t="s">
        <v>7</v>
      </c>
      <c r="RA654" s="27" t="s">
        <v>8</v>
      </c>
      <c r="RD654" s="27" t="s">
        <v>7</v>
      </c>
      <c r="RE654" s="27" t="s">
        <v>8</v>
      </c>
      <c r="RF654" s="27" t="s">
        <v>7</v>
      </c>
      <c r="RG654" s="27" t="s">
        <v>8</v>
      </c>
      <c r="RJ654" s="27" t="s">
        <v>7</v>
      </c>
      <c r="RK654" s="27" t="s">
        <v>8</v>
      </c>
      <c r="RL654" s="27" t="s">
        <v>7</v>
      </c>
      <c r="RM654" s="27" t="s">
        <v>8</v>
      </c>
      <c r="RN654" s="27" t="s">
        <v>7</v>
      </c>
      <c r="RY654" s="27" t="s">
        <v>8</v>
      </c>
      <c r="SC654" s="27" t="s">
        <v>8</v>
      </c>
      <c r="SD654" s="27" t="s">
        <v>7</v>
      </c>
      <c r="SE654" s="27" t="s">
        <v>8</v>
      </c>
      <c r="SF654" s="27" t="s">
        <v>7</v>
      </c>
      <c r="SG654" s="27" t="s">
        <v>8</v>
      </c>
      <c r="SH654" s="27" t="s">
        <v>7</v>
      </c>
      <c r="SI654" s="27" t="s">
        <v>8</v>
      </c>
      <c r="SJ654" s="27" t="s">
        <v>7</v>
      </c>
    </row>
    <row r="655" spans="1:504" x14ac:dyDescent="0.25">
      <c r="A655" s="7">
        <v>0.26012872973231554</v>
      </c>
      <c r="B655"/>
      <c r="C655"/>
      <c r="D655"/>
      <c r="E655"/>
      <c r="F655" s="27" t="s">
        <v>7</v>
      </c>
      <c r="QG655" s="27" t="s">
        <v>8</v>
      </c>
      <c r="QM655" s="27" t="s">
        <v>8</v>
      </c>
      <c r="QX655" s="27" t="s">
        <v>7</v>
      </c>
      <c r="QZ655" s="27" t="s">
        <v>7</v>
      </c>
      <c r="RA655" s="27" t="s">
        <v>8</v>
      </c>
      <c r="RD655" s="27" t="s">
        <v>7</v>
      </c>
      <c r="RE655" s="27" t="s">
        <v>8</v>
      </c>
      <c r="RF655" s="27" t="s">
        <v>7</v>
      </c>
      <c r="RG655" s="27" t="s">
        <v>8</v>
      </c>
      <c r="RJ655" s="27" t="s">
        <v>7</v>
      </c>
      <c r="RK655" s="27" t="s">
        <v>8</v>
      </c>
      <c r="RL655" s="27" t="s">
        <v>7</v>
      </c>
      <c r="RM655" s="27" t="s">
        <v>8</v>
      </c>
      <c r="RN655" s="27" t="s">
        <v>7</v>
      </c>
      <c r="RY655" s="27" t="s">
        <v>8</v>
      </c>
      <c r="RZ655" s="27" t="s">
        <v>7</v>
      </c>
      <c r="SA655" s="27" t="s">
        <v>8</v>
      </c>
      <c r="SC655" s="27" t="s">
        <v>8</v>
      </c>
      <c r="SD655" s="27" t="s">
        <v>7</v>
      </c>
      <c r="SE655" s="27" t="s">
        <v>8</v>
      </c>
      <c r="SF655" s="27" t="s">
        <v>7</v>
      </c>
      <c r="SH655" s="27" t="s">
        <v>7</v>
      </c>
      <c r="SI655" s="27" t="s">
        <v>8</v>
      </c>
      <c r="SJ655" s="27" t="s">
        <v>7</v>
      </c>
    </row>
    <row r="656" spans="1:504" x14ac:dyDescent="0.25">
      <c r="A656" s="7">
        <v>0.25502816640423093</v>
      </c>
      <c r="B656"/>
      <c r="C656"/>
      <c r="D656"/>
      <c r="E656"/>
      <c r="F656" s="27" t="s">
        <v>7</v>
      </c>
      <c r="QG656" s="27" t="s">
        <v>8</v>
      </c>
      <c r="QH656" s="27" t="s">
        <v>7</v>
      </c>
      <c r="QI656" s="27" t="s">
        <v>8</v>
      </c>
      <c r="QM656" s="27" t="s">
        <v>8</v>
      </c>
      <c r="QZ656" s="27" t="s">
        <v>7</v>
      </c>
      <c r="RA656" s="27" t="s">
        <v>8</v>
      </c>
      <c r="RD656" s="27" t="s">
        <v>7</v>
      </c>
      <c r="RE656" s="27" t="s">
        <v>8</v>
      </c>
      <c r="RF656" s="27" t="s">
        <v>7</v>
      </c>
      <c r="RG656" s="27" t="s">
        <v>8</v>
      </c>
      <c r="RJ656" s="27" t="s">
        <v>7</v>
      </c>
      <c r="RL656" s="27" t="s">
        <v>7</v>
      </c>
      <c r="RM656" s="27" t="s">
        <v>8</v>
      </c>
      <c r="RN656" s="27" t="s">
        <v>7</v>
      </c>
      <c r="RY656" s="27" t="s">
        <v>8</v>
      </c>
      <c r="RZ656" s="27" t="s">
        <v>7</v>
      </c>
      <c r="SA656" s="27" t="s">
        <v>8</v>
      </c>
      <c r="SB656" s="27" t="s">
        <v>7</v>
      </c>
      <c r="SC656" s="27" t="s">
        <v>8</v>
      </c>
      <c r="SD656" s="27" t="s">
        <v>7</v>
      </c>
      <c r="SE656" s="27" t="s">
        <v>8</v>
      </c>
      <c r="SH656" s="27" t="s">
        <v>7</v>
      </c>
      <c r="SJ656" s="27" t="s">
        <v>7</v>
      </c>
    </row>
    <row r="657" spans="1:508" x14ac:dyDescent="0.25">
      <c r="A657" s="7">
        <v>0.25002761412179503</v>
      </c>
      <c r="B657"/>
      <c r="C657"/>
      <c r="D657"/>
      <c r="E657"/>
      <c r="F657" s="27" t="s">
        <v>7</v>
      </c>
      <c r="QG657" s="27" t="s">
        <v>8</v>
      </c>
      <c r="QH657" s="27" t="s">
        <v>7</v>
      </c>
      <c r="QI657" s="27" t="s">
        <v>8</v>
      </c>
      <c r="QJ657" s="27" t="s">
        <v>7</v>
      </c>
      <c r="QM657" s="27" t="s">
        <v>8</v>
      </c>
      <c r="QZ657" s="27" t="s">
        <v>7</v>
      </c>
      <c r="RD657" s="27" t="s">
        <v>7</v>
      </c>
      <c r="RE657" s="27" t="s">
        <v>8</v>
      </c>
      <c r="RF657" s="27" t="s">
        <v>7</v>
      </c>
      <c r="RG657" s="27" t="s">
        <v>8</v>
      </c>
      <c r="RL657" s="27" t="s">
        <v>7</v>
      </c>
      <c r="RM657" s="27" t="s">
        <v>8</v>
      </c>
      <c r="RN657" s="27" t="s">
        <v>7</v>
      </c>
      <c r="RW657" s="27" t="s">
        <v>8</v>
      </c>
      <c r="RY657" s="27" t="s">
        <v>8</v>
      </c>
      <c r="RZ657" s="27" t="s">
        <v>7</v>
      </c>
      <c r="SA657" s="27" t="s">
        <v>8</v>
      </c>
      <c r="SB657" s="27" t="s">
        <v>7</v>
      </c>
      <c r="SC657" s="27" t="s">
        <v>8</v>
      </c>
      <c r="SD657" s="27" t="s">
        <v>7</v>
      </c>
      <c r="SE657" s="27" t="s">
        <v>8</v>
      </c>
      <c r="SJ657" s="27" t="s">
        <v>7</v>
      </c>
    </row>
    <row r="658" spans="1:508" x14ac:dyDescent="0.25">
      <c r="A658" s="7">
        <v>0.24512511188411276</v>
      </c>
      <c r="B658"/>
      <c r="C658"/>
      <c r="D658"/>
      <c r="E658"/>
      <c r="F658" s="27" t="s">
        <v>7</v>
      </c>
      <c r="QE658" s="27" t="s">
        <v>8</v>
      </c>
      <c r="QG658" s="27" t="s">
        <v>8</v>
      </c>
      <c r="QH658" s="27" t="s">
        <v>7</v>
      </c>
      <c r="QI658" s="27" t="s">
        <v>8</v>
      </c>
      <c r="QJ658" s="27" t="s">
        <v>7</v>
      </c>
      <c r="QM658" s="27" t="s">
        <v>8</v>
      </c>
      <c r="RD658" s="27" t="s">
        <v>7</v>
      </c>
      <c r="RE658" s="27" t="s">
        <v>8</v>
      </c>
      <c r="RF658" s="27" t="s">
        <v>7</v>
      </c>
      <c r="RG658" s="27" t="s">
        <v>8</v>
      </c>
      <c r="RL658" s="27" t="s">
        <v>7</v>
      </c>
      <c r="RM658" s="27" t="s">
        <v>8</v>
      </c>
      <c r="RN658" s="27" t="s">
        <v>7</v>
      </c>
      <c r="RW658" s="27" t="s">
        <v>8</v>
      </c>
      <c r="RX658" s="27" t="s">
        <v>7</v>
      </c>
      <c r="RY658" s="27" t="s">
        <v>8</v>
      </c>
      <c r="RZ658" s="27" t="s">
        <v>7</v>
      </c>
      <c r="SA658" s="27" t="s">
        <v>8</v>
      </c>
      <c r="SB658" s="27" t="s">
        <v>7</v>
      </c>
      <c r="SD658" s="27" t="s">
        <v>7</v>
      </c>
      <c r="SE658" s="27" t="s">
        <v>8</v>
      </c>
      <c r="SJ658" s="27" t="s">
        <v>7</v>
      </c>
    </row>
    <row r="659" spans="1:508" x14ac:dyDescent="0.25">
      <c r="A659" s="7">
        <v>0.24031873714128701</v>
      </c>
      <c r="B659"/>
      <c r="C659"/>
      <c r="D659"/>
      <c r="E659"/>
      <c r="F659" s="27" t="s">
        <v>7</v>
      </c>
      <c r="QE659" s="27" t="s">
        <v>8</v>
      </c>
      <c r="QF659" s="27" t="s">
        <v>7</v>
      </c>
      <c r="QG659" s="27" t="s">
        <v>8</v>
      </c>
      <c r="QH659" s="27" t="s">
        <v>7</v>
      </c>
      <c r="QI659" s="27" t="s">
        <v>8</v>
      </c>
      <c r="QJ659" s="27" t="s">
        <v>7</v>
      </c>
      <c r="QM659" s="27" t="s">
        <v>8</v>
      </c>
      <c r="RD659" s="27" t="s">
        <v>7</v>
      </c>
      <c r="RF659" s="27" t="s">
        <v>7</v>
      </c>
      <c r="RG659" s="27" t="s">
        <v>8</v>
      </c>
      <c r="RL659" s="27" t="s">
        <v>7</v>
      </c>
      <c r="RM659" s="27" t="s">
        <v>8</v>
      </c>
      <c r="RN659" s="27" t="s">
        <v>7</v>
      </c>
      <c r="RW659" s="27" t="s">
        <v>8</v>
      </c>
      <c r="RX659" s="27" t="s">
        <v>7</v>
      </c>
      <c r="RY659" s="27" t="s">
        <v>8</v>
      </c>
      <c r="RZ659" s="27" t="s">
        <v>7</v>
      </c>
      <c r="SD659" s="27" t="s">
        <v>7</v>
      </c>
      <c r="SE659" s="27" t="s">
        <v>8</v>
      </c>
      <c r="SJ659" s="27" t="s">
        <v>7</v>
      </c>
    </row>
    <row r="660" spans="1:508" x14ac:dyDescent="0.25">
      <c r="A660" s="7">
        <v>0.23560660504047748</v>
      </c>
      <c r="B660"/>
      <c r="C660"/>
      <c r="D660"/>
      <c r="E660"/>
      <c r="F660" s="27" t="s">
        <v>7</v>
      </c>
      <c r="QE660" s="27" t="s">
        <v>8</v>
      </c>
      <c r="QF660" s="27" t="s">
        <v>7</v>
      </c>
      <c r="QG660" s="27" t="s">
        <v>8</v>
      </c>
      <c r="QH660" s="27" t="s">
        <v>7</v>
      </c>
      <c r="QI660" s="27" t="s">
        <v>8</v>
      </c>
      <c r="QJ660" s="27" t="s">
        <v>7</v>
      </c>
      <c r="QK660" s="27" t="s">
        <v>8</v>
      </c>
      <c r="QM660" s="27" t="s">
        <v>8</v>
      </c>
      <c r="RF660" s="27" t="s">
        <v>7</v>
      </c>
      <c r="RG660" s="27" t="s">
        <v>8</v>
      </c>
      <c r="RL660" s="27" t="s">
        <v>7</v>
      </c>
      <c r="RN660" s="27" t="s">
        <v>7</v>
      </c>
      <c r="RW660" s="27" t="s">
        <v>8</v>
      </c>
      <c r="RX660" s="27" t="s">
        <v>7</v>
      </c>
      <c r="SD660" s="27" t="s">
        <v>7</v>
      </c>
      <c r="SE660" s="27" t="s">
        <v>8</v>
      </c>
      <c r="SJ660" s="27" t="s">
        <v>7</v>
      </c>
    </row>
    <row r="661" spans="1:508" x14ac:dyDescent="0.25">
      <c r="A661" s="7">
        <v>0.23098686768674265</v>
      </c>
      <c r="B661"/>
      <c r="C661"/>
      <c r="D661"/>
      <c r="E661"/>
      <c r="F661" s="27" t="s">
        <v>7</v>
      </c>
      <c r="QE661" s="27" t="s">
        <v>8</v>
      </c>
      <c r="QF661" s="27" t="s">
        <v>7</v>
      </c>
      <c r="QG661" s="27" t="s">
        <v>8</v>
      </c>
      <c r="QH661" s="27" t="s">
        <v>7</v>
      </c>
      <c r="QI661" s="27" t="s">
        <v>8</v>
      </c>
      <c r="QJ661" s="27" t="s">
        <v>7</v>
      </c>
      <c r="QK661" s="27" t="s">
        <v>8</v>
      </c>
      <c r="QL661" s="27" t="s">
        <v>7</v>
      </c>
      <c r="QM661" s="27" t="s">
        <v>8</v>
      </c>
      <c r="RF661" s="27" t="s">
        <v>7</v>
      </c>
      <c r="RN661" s="27" t="s">
        <v>7</v>
      </c>
      <c r="RW661" s="27" t="s">
        <v>8</v>
      </c>
      <c r="SD661" s="27" t="s">
        <v>7</v>
      </c>
      <c r="SE661" s="27" t="s">
        <v>8</v>
      </c>
      <c r="SJ661" s="27" t="s">
        <v>7</v>
      </c>
    </row>
    <row r="662" spans="1:508" x14ac:dyDescent="0.25">
      <c r="A662" s="7">
        <v>0.22645771341837515</v>
      </c>
      <c r="B662"/>
      <c r="C662"/>
      <c r="D662"/>
      <c r="E662"/>
      <c r="F662" s="27" t="s">
        <v>7</v>
      </c>
      <c r="PS662" s="27" t="s">
        <v>8</v>
      </c>
      <c r="QE662" s="27" t="s">
        <v>8</v>
      </c>
      <c r="QF662" s="27" t="s">
        <v>7</v>
      </c>
      <c r="QG662" s="27" t="s">
        <v>8</v>
      </c>
      <c r="QH662" s="27" t="s">
        <v>7</v>
      </c>
      <c r="QI662" s="27" t="s">
        <v>8</v>
      </c>
      <c r="QJ662" s="27" t="s">
        <v>7</v>
      </c>
      <c r="QK662" s="27" t="s">
        <v>8</v>
      </c>
      <c r="QL662" s="27" t="s">
        <v>7</v>
      </c>
      <c r="QM662" s="27" t="s">
        <v>8</v>
      </c>
      <c r="RN662" s="27" t="s">
        <v>7</v>
      </c>
      <c r="RW662" s="27" t="s">
        <v>8</v>
      </c>
      <c r="SD662" s="27" t="s">
        <v>7</v>
      </c>
      <c r="SE662" s="27" t="s">
        <v>8</v>
      </c>
      <c r="SJ662" s="27" t="s">
        <v>7</v>
      </c>
    </row>
    <row r="663" spans="1:508" x14ac:dyDescent="0.25">
      <c r="A663" s="7">
        <v>0.22201736609644623</v>
      </c>
      <c r="B663"/>
      <c r="C663"/>
      <c r="D663"/>
      <c r="E663"/>
      <c r="F663" s="27" t="s">
        <v>7</v>
      </c>
      <c r="MC663" s="27" t="s">
        <v>8</v>
      </c>
      <c r="PS663" s="27" t="s">
        <v>8</v>
      </c>
      <c r="PT663" s="27" t="s">
        <v>7</v>
      </c>
      <c r="QE663" s="27" t="s">
        <v>8</v>
      </c>
      <c r="QF663" s="27" t="s">
        <v>7</v>
      </c>
      <c r="QG663" s="27" t="s">
        <v>8</v>
      </c>
      <c r="QH663" s="27" t="s">
        <v>7</v>
      </c>
      <c r="QI663" s="27" t="s">
        <v>8</v>
      </c>
      <c r="QJ663" s="27" t="s">
        <v>7</v>
      </c>
      <c r="QK663" s="27" t="s">
        <v>8</v>
      </c>
      <c r="QL663" s="27" t="s">
        <v>7</v>
      </c>
      <c r="QM663" s="27" t="s">
        <v>8</v>
      </c>
      <c r="RN663" s="27" t="s">
        <v>7</v>
      </c>
      <c r="RW663" s="27" t="s">
        <v>8</v>
      </c>
      <c r="SD663" s="27" t="s">
        <v>7</v>
      </c>
      <c r="SE663" s="27" t="s">
        <v>8</v>
      </c>
      <c r="SJ663" s="27" t="s">
        <v>7</v>
      </c>
      <c r="SK663" s="27" t="s">
        <v>8</v>
      </c>
    </row>
    <row r="664" spans="1:508" x14ac:dyDescent="0.25">
      <c r="A664" s="7">
        <v>0.21766408440828061</v>
      </c>
      <c r="B664"/>
      <c r="C664"/>
      <c r="D664"/>
      <c r="E664"/>
      <c r="F664" s="27" t="s">
        <v>7</v>
      </c>
      <c r="LY664" s="27" t="s">
        <v>8</v>
      </c>
      <c r="MC664" s="27" t="s">
        <v>8</v>
      </c>
      <c r="MD664" s="27" t="s">
        <v>7</v>
      </c>
      <c r="PS664" s="27" t="s">
        <v>8</v>
      </c>
      <c r="PT664" s="27" t="s">
        <v>7</v>
      </c>
      <c r="QE664" s="27" t="s">
        <v>8</v>
      </c>
      <c r="QF664" s="27" t="s">
        <v>7</v>
      </c>
      <c r="QG664" s="27" t="s">
        <v>8</v>
      </c>
      <c r="QH664" s="27" t="s">
        <v>7</v>
      </c>
      <c r="QI664" s="27" t="s">
        <v>8</v>
      </c>
      <c r="QJ664" s="27" t="s">
        <v>7</v>
      </c>
      <c r="QK664" s="27" t="s">
        <v>8</v>
      </c>
      <c r="QL664" s="27" t="s">
        <v>7</v>
      </c>
      <c r="RN664" s="27" t="s">
        <v>7</v>
      </c>
      <c r="RW664" s="27" t="s">
        <v>8</v>
      </c>
      <c r="SD664" s="27" t="s">
        <v>7</v>
      </c>
      <c r="SJ664" s="27" t="s">
        <v>7</v>
      </c>
      <c r="SK664" s="27" t="s">
        <v>8</v>
      </c>
      <c r="SL664" s="27" t="s">
        <v>7</v>
      </c>
    </row>
    <row r="665" spans="1:508" x14ac:dyDescent="0.25">
      <c r="A665" s="7">
        <v>0.21339616118458882</v>
      </c>
      <c r="B665"/>
      <c r="C665"/>
      <c r="D665"/>
      <c r="E665"/>
      <c r="F665" s="27" t="s">
        <v>7</v>
      </c>
      <c r="LY665" s="27" t="s">
        <v>8</v>
      </c>
      <c r="LZ665" s="27" t="s">
        <v>7</v>
      </c>
      <c r="MC665" s="27" t="s">
        <v>8</v>
      </c>
      <c r="MD665" s="27" t="s">
        <v>7</v>
      </c>
      <c r="PS665" s="27" t="s">
        <v>8</v>
      </c>
      <c r="PT665" s="27" t="s">
        <v>7</v>
      </c>
      <c r="QE665" s="27" t="s">
        <v>8</v>
      </c>
      <c r="QF665" s="27" t="s">
        <v>7</v>
      </c>
      <c r="QG665" s="27" t="s">
        <v>8</v>
      </c>
      <c r="QH665" s="27" t="s">
        <v>7</v>
      </c>
      <c r="QI665" s="27" t="s">
        <v>8</v>
      </c>
      <c r="QJ665" s="27" t="s">
        <v>7</v>
      </c>
      <c r="QK665" s="27" t="s">
        <v>8</v>
      </c>
      <c r="RN665" s="27" t="s">
        <v>7</v>
      </c>
      <c r="RW665" s="27" t="s">
        <v>8</v>
      </c>
      <c r="SJ665" s="27" t="s">
        <v>7</v>
      </c>
      <c r="SK665" s="27" t="s">
        <v>8</v>
      </c>
      <c r="SL665" s="27" t="s">
        <v>7</v>
      </c>
    </row>
    <row r="666" spans="1:508" x14ac:dyDescent="0.25">
      <c r="A666" s="7">
        <v>0.20921192272998904</v>
      </c>
      <c r="B666"/>
      <c r="C666"/>
      <c r="D666"/>
      <c r="E666"/>
      <c r="F666" s="27" t="s">
        <v>7</v>
      </c>
      <c r="LY666" s="27" t="s">
        <v>8</v>
      </c>
      <c r="LZ666" s="27" t="s">
        <v>7</v>
      </c>
      <c r="MC666" s="27" t="s">
        <v>8</v>
      </c>
      <c r="MD666" s="27" t="s">
        <v>7</v>
      </c>
      <c r="PQ666" s="27" t="s">
        <v>8</v>
      </c>
      <c r="PS666" s="27" t="s">
        <v>8</v>
      </c>
      <c r="PT666" s="27" t="s">
        <v>7</v>
      </c>
      <c r="QE666" s="27" t="s">
        <v>8</v>
      </c>
      <c r="QF666" s="27" t="s">
        <v>7</v>
      </c>
      <c r="QG666" s="27" t="s">
        <v>8</v>
      </c>
      <c r="QH666" s="27" t="s">
        <v>7</v>
      </c>
      <c r="QJ666" s="27" t="s">
        <v>7</v>
      </c>
      <c r="RN666" s="27" t="s">
        <v>7</v>
      </c>
      <c r="RU666" s="27" t="s">
        <v>8</v>
      </c>
      <c r="RW666" s="27" t="s">
        <v>8</v>
      </c>
      <c r="SJ666" s="27" t="s">
        <v>7</v>
      </c>
      <c r="SK666" s="27" t="s">
        <v>8</v>
      </c>
      <c r="SL666" s="27" t="s">
        <v>7</v>
      </c>
      <c r="SM666" s="27" t="s">
        <v>8</v>
      </c>
    </row>
    <row r="667" spans="1:508" x14ac:dyDescent="0.25">
      <c r="A667" s="7">
        <v>0.20510972816665593</v>
      </c>
      <c r="B667"/>
      <c r="C667"/>
      <c r="D667"/>
      <c r="E667"/>
      <c r="F667" s="27" t="s">
        <v>7</v>
      </c>
      <c r="LY667" s="27" t="s">
        <v>8</v>
      </c>
      <c r="LZ667" s="27" t="s">
        <v>7</v>
      </c>
      <c r="MC667" s="27" t="s">
        <v>8</v>
      </c>
      <c r="MD667" s="27" t="s">
        <v>7</v>
      </c>
      <c r="PQ667" s="27" t="s">
        <v>8</v>
      </c>
      <c r="PR667" s="27" t="s">
        <v>7</v>
      </c>
      <c r="PS667" s="27" t="s">
        <v>8</v>
      </c>
      <c r="PT667" s="27" t="s">
        <v>7</v>
      </c>
      <c r="QE667" s="27" t="s">
        <v>8</v>
      </c>
      <c r="QF667" s="27" t="s">
        <v>7</v>
      </c>
      <c r="RN667" s="27" t="s">
        <v>7</v>
      </c>
      <c r="RQ667" s="27" t="s">
        <v>8</v>
      </c>
      <c r="RU667" s="27" t="s">
        <v>8</v>
      </c>
      <c r="RV667" s="27" t="s">
        <v>7</v>
      </c>
      <c r="RW667" s="27" t="s">
        <v>8</v>
      </c>
      <c r="SJ667" s="27" t="s">
        <v>7</v>
      </c>
      <c r="SK667" s="27" t="s">
        <v>8</v>
      </c>
      <c r="SL667" s="27" t="s">
        <v>7</v>
      </c>
      <c r="SM667" s="27" t="s">
        <v>8</v>
      </c>
      <c r="SN667" s="27" t="s">
        <v>7</v>
      </c>
    </row>
    <row r="668" spans="1:508" x14ac:dyDescent="0.25">
      <c r="A668" s="7">
        <v>0.20108796879083912</v>
      </c>
      <c r="B668"/>
      <c r="C668"/>
      <c r="D668"/>
      <c r="E668"/>
      <c r="F668" s="27" t="s">
        <v>7</v>
      </c>
      <c r="LY668" s="27" t="s">
        <v>8</v>
      </c>
      <c r="LZ668" s="27" t="s">
        <v>7</v>
      </c>
      <c r="MC668" s="27" t="s">
        <v>8</v>
      </c>
      <c r="MD668" s="27" t="s">
        <v>7</v>
      </c>
      <c r="PQ668" s="27" t="s">
        <v>8</v>
      </c>
      <c r="PR668" s="27" t="s">
        <v>7</v>
      </c>
      <c r="PS668" s="27" t="s">
        <v>8</v>
      </c>
      <c r="PT668" s="27" t="s">
        <v>7</v>
      </c>
      <c r="QE668" s="27" t="s">
        <v>8</v>
      </c>
      <c r="RN668" s="27" t="s">
        <v>7</v>
      </c>
      <c r="RO668" s="27" t="s">
        <v>8</v>
      </c>
      <c r="RQ668" s="27" t="s">
        <v>8</v>
      </c>
      <c r="RR668" s="27" t="s">
        <v>7</v>
      </c>
      <c r="RU668" s="27" t="s">
        <v>8</v>
      </c>
      <c r="RV668" s="27" t="s">
        <v>7</v>
      </c>
      <c r="RW668" s="27" t="s">
        <v>8</v>
      </c>
      <c r="SJ668" s="27" t="s">
        <v>7</v>
      </c>
      <c r="SK668" s="27" t="s">
        <v>8</v>
      </c>
      <c r="SL668" s="27" t="s">
        <v>7</v>
      </c>
      <c r="SM668" s="27" t="s">
        <v>8</v>
      </c>
      <c r="SN668" s="27" t="s">
        <v>7</v>
      </c>
    </row>
    <row r="669" spans="1:508" x14ac:dyDescent="0.25">
      <c r="A669" s="7">
        <v>0.19714506744199917</v>
      </c>
      <c r="B669"/>
      <c r="C669"/>
      <c r="D669"/>
      <c r="E669"/>
      <c r="F669" s="27" t="s">
        <v>7</v>
      </c>
      <c r="LY669" s="27" t="s">
        <v>8</v>
      </c>
      <c r="LZ669" s="27" t="s">
        <v>7</v>
      </c>
      <c r="MC669" s="27" t="s">
        <v>8</v>
      </c>
      <c r="MD669" s="27" t="s">
        <v>7</v>
      </c>
      <c r="PQ669" s="27" t="s">
        <v>8</v>
      </c>
      <c r="PR669" s="27" t="s">
        <v>7</v>
      </c>
      <c r="PS669" s="27" t="s">
        <v>8</v>
      </c>
      <c r="PT669" s="27" t="s">
        <v>7</v>
      </c>
      <c r="QE669" s="27" t="s">
        <v>8</v>
      </c>
      <c r="RN669" s="27" t="s">
        <v>7</v>
      </c>
      <c r="RO669" s="27" t="s">
        <v>8</v>
      </c>
      <c r="RP669" s="27" t="s">
        <v>7</v>
      </c>
      <c r="RQ669" s="27" t="s">
        <v>8</v>
      </c>
      <c r="RR669" s="27" t="s">
        <v>7</v>
      </c>
      <c r="RU669" s="27" t="s">
        <v>8</v>
      </c>
      <c r="RV669" s="27" t="s">
        <v>7</v>
      </c>
      <c r="RW669" s="27" t="s">
        <v>8</v>
      </c>
      <c r="SJ669" s="27" t="s">
        <v>7</v>
      </c>
      <c r="SK669" s="27" t="s">
        <v>8</v>
      </c>
      <c r="SL669" s="27" t="s">
        <v>7</v>
      </c>
      <c r="SM669" s="27" t="s">
        <v>8</v>
      </c>
      <c r="SN669" s="27" t="s">
        <v>7</v>
      </c>
    </row>
    <row r="670" spans="1:508" x14ac:dyDescent="0.25">
      <c r="A670" s="7">
        <v>0.19327947788431293</v>
      </c>
      <c r="B670"/>
      <c r="C670"/>
      <c r="D670"/>
      <c r="E670"/>
      <c r="F670" s="27" t="s">
        <v>7</v>
      </c>
      <c r="LY670" s="27" t="s">
        <v>8</v>
      </c>
      <c r="LZ670" s="27" t="s">
        <v>7</v>
      </c>
      <c r="MA670" s="27" t="s">
        <v>8</v>
      </c>
      <c r="MC670" s="27" t="s">
        <v>8</v>
      </c>
      <c r="MD670" s="27" t="s">
        <v>7</v>
      </c>
      <c r="ME670" s="27" t="s">
        <v>8</v>
      </c>
      <c r="PQ670" s="27" t="s">
        <v>8</v>
      </c>
      <c r="PR670" s="27" t="s">
        <v>7</v>
      </c>
      <c r="PS670" s="27" t="s">
        <v>8</v>
      </c>
      <c r="PT670" s="27" t="s">
        <v>7</v>
      </c>
      <c r="QE670" s="27" t="s">
        <v>8</v>
      </c>
      <c r="RN670" s="27" t="s">
        <v>7</v>
      </c>
      <c r="RO670" s="27" t="s">
        <v>8</v>
      </c>
      <c r="RP670" s="27" t="s">
        <v>7</v>
      </c>
      <c r="RQ670" s="27" t="s">
        <v>8</v>
      </c>
      <c r="RR670" s="27" t="s">
        <v>7</v>
      </c>
      <c r="RS670" s="27" t="s">
        <v>8</v>
      </c>
      <c r="RU670" s="27" t="s">
        <v>8</v>
      </c>
      <c r="RV670" s="27" t="s">
        <v>7</v>
      </c>
      <c r="RW670" s="27" t="s">
        <v>8</v>
      </c>
      <c r="SJ670" s="27" t="s">
        <v>7</v>
      </c>
      <c r="SK670" s="27" t="s">
        <v>8</v>
      </c>
      <c r="SL670" s="27" t="s">
        <v>7</v>
      </c>
      <c r="SM670" s="27" t="s">
        <v>8</v>
      </c>
      <c r="SN670" s="27" t="s">
        <v>7</v>
      </c>
    </row>
    <row r="671" spans="1:508" x14ac:dyDescent="0.25">
      <c r="A671" s="7">
        <v>0.18948968420030682</v>
      </c>
      <c r="B671"/>
      <c r="C671"/>
      <c r="D671"/>
      <c r="E671"/>
      <c r="F671" s="27" t="s">
        <v>7</v>
      </c>
      <c r="LW671" s="27" t="s">
        <v>8</v>
      </c>
      <c r="LY671" s="27" t="s">
        <v>8</v>
      </c>
      <c r="LZ671" s="27" t="s">
        <v>7</v>
      </c>
      <c r="MA671" s="27" t="s">
        <v>8</v>
      </c>
      <c r="MB671" s="27" t="s">
        <v>7</v>
      </c>
      <c r="MC671" s="27" t="s">
        <v>8</v>
      </c>
      <c r="MD671" s="27" t="s">
        <v>7</v>
      </c>
      <c r="ME671" s="27" t="s">
        <v>8</v>
      </c>
      <c r="MF671" s="27" t="s">
        <v>7</v>
      </c>
      <c r="PQ671" s="27" t="s">
        <v>8</v>
      </c>
      <c r="PR671" s="27" t="s">
        <v>7</v>
      </c>
      <c r="PS671" s="27" t="s">
        <v>8</v>
      </c>
      <c r="PT671" s="27" t="s">
        <v>7</v>
      </c>
      <c r="QE671" s="27" t="s">
        <v>8</v>
      </c>
      <c r="RN671" s="27" t="s">
        <v>7</v>
      </c>
      <c r="RO671" s="27" t="s">
        <v>8</v>
      </c>
      <c r="RP671" s="27" t="s">
        <v>7</v>
      </c>
      <c r="RQ671" s="27" t="s">
        <v>8</v>
      </c>
      <c r="RR671" s="27" t="s">
        <v>7</v>
      </c>
      <c r="RS671" s="27" t="s">
        <v>8</v>
      </c>
      <c r="RT671" s="27" t="s">
        <v>7</v>
      </c>
      <c r="RU671" s="27" t="s">
        <v>8</v>
      </c>
      <c r="RV671" s="27" t="s">
        <v>7</v>
      </c>
      <c r="RW671" s="27" t="s">
        <v>8</v>
      </c>
      <c r="SJ671" s="27" t="s">
        <v>7</v>
      </c>
      <c r="SK671" s="27" t="s">
        <v>8</v>
      </c>
      <c r="SL671" s="27" t="s">
        <v>7</v>
      </c>
      <c r="SM671" s="27" t="s">
        <v>8</v>
      </c>
      <c r="SN671" s="27" t="s">
        <v>7</v>
      </c>
    </row>
    <row r="672" spans="1:508" x14ac:dyDescent="0.25">
      <c r="A672" s="7">
        <v>0.18577420019637925</v>
      </c>
      <c r="B672"/>
      <c r="C672"/>
      <c r="D672"/>
      <c r="E672"/>
      <c r="F672" s="27" t="s">
        <v>7</v>
      </c>
      <c r="LW672" s="27" t="s">
        <v>8</v>
      </c>
      <c r="LX672" s="27" t="s">
        <v>7</v>
      </c>
      <c r="LY672" s="27" t="s">
        <v>8</v>
      </c>
      <c r="LZ672" s="27" t="s">
        <v>7</v>
      </c>
      <c r="MA672" s="27" t="s">
        <v>8</v>
      </c>
      <c r="MB672" s="27" t="s">
        <v>7</v>
      </c>
      <c r="MC672" s="27" t="s">
        <v>8</v>
      </c>
      <c r="MD672" s="27" t="s">
        <v>7</v>
      </c>
      <c r="ME672" s="27" t="s">
        <v>8</v>
      </c>
      <c r="MF672" s="27" t="s">
        <v>7</v>
      </c>
      <c r="NK672" s="27" t="s">
        <v>8</v>
      </c>
      <c r="PQ672" s="27" t="s">
        <v>8</v>
      </c>
      <c r="PR672" s="27" t="s">
        <v>7</v>
      </c>
      <c r="PS672" s="27" t="s">
        <v>8</v>
      </c>
      <c r="PT672" s="27" t="s">
        <v>7</v>
      </c>
      <c r="QC672" s="27" t="s">
        <v>8</v>
      </c>
      <c r="QE672" s="27" t="s">
        <v>8</v>
      </c>
      <c r="RN672" s="27" t="s">
        <v>7</v>
      </c>
      <c r="RO672" s="27" t="s">
        <v>8</v>
      </c>
      <c r="RP672" s="27" t="s">
        <v>7</v>
      </c>
      <c r="RQ672" s="27" t="s">
        <v>8</v>
      </c>
      <c r="RR672" s="27" t="s">
        <v>7</v>
      </c>
      <c r="RS672" s="27" t="s">
        <v>8</v>
      </c>
      <c r="RT672" s="27" t="s">
        <v>7</v>
      </c>
      <c r="RU672" s="27" t="s">
        <v>8</v>
      </c>
      <c r="RV672" s="27" t="s">
        <v>7</v>
      </c>
      <c r="SJ672" s="27" t="s">
        <v>7</v>
      </c>
      <c r="SK672" s="27" t="s">
        <v>8</v>
      </c>
      <c r="SL672" s="27" t="s">
        <v>7</v>
      </c>
      <c r="SM672" s="27" t="s">
        <v>8</v>
      </c>
      <c r="SN672" s="27" t="s">
        <v>7</v>
      </c>
    </row>
    <row r="673" spans="1:508" x14ac:dyDescent="0.25">
      <c r="A673" s="7">
        <v>0.18213156881997963</v>
      </c>
      <c r="B673"/>
      <c r="C673"/>
      <c r="D673"/>
      <c r="E673"/>
      <c r="F673" s="27" t="s">
        <v>7</v>
      </c>
      <c r="LW673" s="27" t="s">
        <v>8</v>
      </c>
      <c r="LX673" s="27" t="s">
        <v>7</v>
      </c>
      <c r="LY673" s="27" t="s">
        <v>8</v>
      </c>
      <c r="LZ673" s="27" t="s">
        <v>7</v>
      </c>
      <c r="MA673" s="27" t="s">
        <v>8</v>
      </c>
      <c r="MB673" s="27" t="s">
        <v>7</v>
      </c>
      <c r="MC673" s="27" t="s">
        <v>8</v>
      </c>
      <c r="MD673" s="27" t="s">
        <v>7</v>
      </c>
      <c r="ME673" s="27" t="s">
        <v>8</v>
      </c>
      <c r="MF673" s="27" t="s">
        <v>7</v>
      </c>
      <c r="NI673" s="27" t="s">
        <v>8</v>
      </c>
      <c r="NK673" s="27" t="s">
        <v>8</v>
      </c>
      <c r="NL673" s="27" t="s">
        <v>7</v>
      </c>
      <c r="PQ673" s="27" t="s">
        <v>8</v>
      </c>
      <c r="PR673" s="27" t="s">
        <v>7</v>
      </c>
      <c r="PS673" s="27" t="s">
        <v>8</v>
      </c>
      <c r="PT673" s="27" t="s">
        <v>7</v>
      </c>
      <c r="QA673" s="27" t="s">
        <v>8</v>
      </c>
      <c r="QC673" s="27" t="s">
        <v>8</v>
      </c>
      <c r="QD673" s="27" t="s">
        <v>7</v>
      </c>
      <c r="QE673" s="27" t="s">
        <v>8</v>
      </c>
      <c r="RN673" s="27" t="s">
        <v>7</v>
      </c>
      <c r="RO673" s="27" t="s">
        <v>8</v>
      </c>
      <c r="RP673" s="27" t="s">
        <v>7</v>
      </c>
      <c r="RQ673" s="27" t="s">
        <v>8</v>
      </c>
      <c r="RR673" s="27" t="s">
        <v>7</v>
      </c>
      <c r="RS673" s="27" t="s">
        <v>8</v>
      </c>
      <c r="RT673" s="27" t="s">
        <v>7</v>
      </c>
      <c r="RU673" s="27" t="s">
        <v>8</v>
      </c>
      <c r="SJ673" s="27" t="s">
        <v>7</v>
      </c>
      <c r="SK673" s="27" t="s">
        <v>8</v>
      </c>
      <c r="SL673" s="27" t="s">
        <v>7</v>
      </c>
      <c r="SM673" s="27" t="s">
        <v>8</v>
      </c>
      <c r="SN673" s="27" t="s">
        <v>7</v>
      </c>
    </row>
    <row r="674" spans="1:508" x14ac:dyDescent="0.25">
      <c r="A674" s="7">
        <v>0.17856036158821534</v>
      </c>
      <c r="B674"/>
      <c r="C674"/>
      <c r="D674"/>
      <c r="E674"/>
      <c r="F674" s="27" t="s">
        <v>7</v>
      </c>
      <c r="LW674" s="27" t="s">
        <v>8</v>
      </c>
      <c r="LX674" s="27" t="s">
        <v>7</v>
      </c>
      <c r="LY674" s="27" t="s">
        <v>8</v>
      </c>
      <c r="LZ674" s="27" t="s">
        <v>7</v>
      </c>
      <c r="MA674" s="27" t="s">
        <v>8</v>
      </c>
      <c r="MB674" s="27" t="s">
        <v>7</v>
      </c>
      <c r="MC674" s="27" t="s">
        <v>8</v>
      </c>
      <c r="MD674" s="27" t="s">
        <v>7</v>
      </c>
      <c r="ME674" s="27" t="s">
        <v>8</v>
      </c>
      <c r="MF674" s="27" t="s">
        <v>7</v>
      </c>
      <c r="NI674" s="27" t="s">
        <v>8</v>
      </c>
      <c r="NJ674" s="27" t="s">
        <v>7</v>
      </c>
      <c r="NK674" s="27" t="s">
        <v>8</v>
      </c>
      <c r="NL674" s="27" t="s">
        <v>7</v>
      </c>
      <c r="PQ674" s="27" t="s">
        <v>8</v>
      </c>
      <c r="PR674" s="27" t="s">
        <v>7</v>
      </c>
      <c r="PS674" s="27" t="s">
        <v>8</v>
      </c>
      <c r="PT674" s="27" t="s">
        <v>7</v>
      </c>
      <c r="PU674" s="27" t="s">
        <v>8</v>
      </c>
      <c r="QA674" s="27" t="s">
        <v>8</v>
      </c>
      <c r="QB674" s="27" t="s">
        <v>7</v>
      </c>
      <c r="QC674" s="27" t="s">
        <v>8</v>
      </c>
      <c r="QD674" s="27" t="s">
        <v>7</v>
      </c>
      <c r="QE674" s="27" t="s">
        <v>8</v>
      </c>
      <c r="RN674" s="27" t="s">
        <v>7</v>
      </c>
      <c r="RO674" s="27" t="s">
        <v>8</v>
      </c>
      <c r="RP674" s="27" t="s">
        <v>7</v>
      </c>
      <c r="RQ674" s="27" t="s">
        <v>8</v>
      </c>
      <c r="RR674" s="27" t="s">
        <v>7</v>
      </c>
      <c r="RS674" s="27" t="s">
        <v>8</v>
      </c>
      <c r="RT674" s="27" t="s">
        <v>7</v>
      </c>
      <c r="RU674" s="27" t="s">
        <v>8</v>
      </c>
      <c r="SJ674" s="27" t="s">
        <v>7</v>
      </c>
      <c r="SK674" s="27" t="s">
        <v>8</v>
      </c>
      <c r="SL674" s="27" t="s">
        <v>7</v>
      </c>
      <c r="SM674" s="27" t="s">
        <v>8</v>
      </c>
    </row>
    <row r="675" spans="1:508" x14ac:dyDescent="0.25">
      <c r="A675" s="7">
        <v>0.17505917802766208</v>
      </c>
      <c r="B675"/>
      <c r="C675"/>
      <c r="D675"/>
      <c r="E675"/>
      <c r="F675" s="27" t="s">
        <v>7</v>
      </c>
      <c r="LW675" s="27" t="s">
        <v>8</v>
      </c>
      <c r="LX675" s="27" t="s">
        <v>7</v>
      </c>
      <c r="LY675" s="27" t="s">
        <v>8</v>
      </c>
      <c r="LZ675" s="27" t="s">
        <v>7</v>
      </c>
      <c r="MA675" s="27" t="s">
        <v>8</v>
      </c>
      <c r="MB675" s="27" t="s">
        <v>7</v>
      </c>
      <c r="MC675" s="27" t="s">
        <v>8</v>
      </c>
      <c r="MD675" s="27" t="s">
        <v>7</v>
      </c>
      <c r="ME675" s="27" t="s">
        <v>8</v>
      </c>
      <c r="MF675" s="27" t="s">
        <v>7</v>
      </c>
      <c r="MI675" s="27" t="s">
        <v>8</v>
      </c>
      <c r="NI675" s="27" t="s">
        <v>8</v>
      </c>
      <c r="NJ675" s="27" t="s">
        <v>7</v>
      </c>
      <c r="NK675" s="27" t="s">
        <v>8</v>
      </c>
      <c r="NL675" s="27" t="s">
        <v>7</v>
      </c>
      <c r="PQ675" s="27" t="s">
        <v>8</v>
      </c>
      <c r="PR675" s="27" t="s">
        <v>7</v>
      </c>
      <c r="PS675" s="27" t="s">
        <v>8</v>
      </c>
      <c r="PT675" s="27" t="s">
        <v>7</v>
      </c>
      <c r="PU675" s="27" t="s">
        <v>8</v>
      </c>
      <c r="PV675" s="27" t="s">
        <v>7</v>
      </c>
      <c r="PW675" s="27" t="s">
        <v>8</v>
      </c>
      <c r="QA675" s="27" t="s">
        <v>8</v>
      </c>
      <c r="QB675" s="27" t="s">
        <v>7</v>
      </c>
      <c r="QC675" s="27" t="s">
        <v>8</v>
      </c>
      <c r="QD675" s="27" t="s">
        <v>7</v>
      </c>
      <c r="QE675" s="27" t="s">
        <v>8</v>
      </c>
      <c r="RN675" s="27" t="s">
        <v>7</v>
      </c>
      <c r="RO675" s="27" t="s">
        <v>8</v>
      </c>
      <c r="RP675" s="27" t="s">
        <v>7</v>
      </c>
      <c r="RQ675" s="27" t="s">
        <v>8</v>
      </c>
      <c r="RR675" s="27" t="s">
        <v>7</v>
      </c>
      <c r="RS675" s="27" t="s">
        <v>8</v>
      </c>
      <c r="RT675" s="27" t="s">
        <v>7</v>
      </c>
      <c r="RU675" s="27" t="s">
        <v>8</v>
      </c>
      <c r="SJ675" s="27" t="s">
        <v>7</v>
      </c>
      <c r="SK675" s="27" t="s">
        <v>8</v>
      </c>
      <c r="SL675" s="27" t="s">
        <v>7</v>
      </c>
      <c r="SM675" s="27" t="s">
        <v>8</v>
      </c>
    </row>
    <row r="676" spans="1:508" x14ac:dyDescent="0.25">
      <c r="A676" s="7">
        <v>0.17162664512515888</v>
      </c>
      <c r="B676"/>
      <c r="C676"/>
      <c r="D676"/>
      <c r="E676"/>
      <c r="F676" s="27" t="s">
        <v>7</v>
      </c>
      <c r="LW676" s="27" t="s">
        <v>8</v>
      </c>
      <c r="LX676" s="27" t="s">
        <v>7</v>
      </c>
      <c r="LY676" s="27" t="s">
        <v>8</v>
      </c>
      <c r="LZ676" s="27" t="s">
        <v>7</v>
      </c>
      <c r="MA676" s="27" t="s">
        <v>8</v>
      </c>
      <c r="MB676" s="27" t="s">
        <v>7</v>
      </c>
      <c r="MC676" s="27" t="s">
        <v>8</v>
      </c>
      <c r="MD676" s="27" t="s">
        <v>7</v>
      </c>
      <c r="MF676" s="27" t="s">
        <v>7</v>
      </c>
      <c r="MI676" s="27" t="s">
        <v>8</v>
      </c>
      <c r="MJ676" s="27" t="s">
        <v>7</v>
      </c>
      <c r="NI676" s="27" t="s">
        <v>8</v>
      </c>
      <c r="NJ676" s="27" t="s">
        <v>7</v>
      </c>
      <c r="NK676" s="27" t="s">
        <v>8</v>
      </c>
      <c r="NL676" s="27" t="s">
        <v>7</v>
      </c>
      <c r="PQ676" s="27" t="s">
        <v>8</v>
      </c>
      <c r="PR676" s="27" t="s">
        <v>7</v>
      </c>
      <c r="PS676" s="27" t="s">
        <v>8</v>
      </c>
      <c r="PT676" s="27" t="s">
        <v>7</v>
      </c>
      <c r="PU676" s="27" t="s">
        <v>8</v>
      </c>
      <c r="PV676" s="27" t="s">
        <v>7</v>
      </c>
      <c r="PW676" s="27" t="s">
        <v>8</v>
      </c>
      <c r="PX676" s="27" t="s">
        <v>7</v>
      </c>
      <c r="QA676" s="27" t="s">
        <v>8</v>
      </c>
      <c r="QB676" s="27" t="s">
        <v>7</v>
      </c>
      <c r="QC676" s="27" t="s">
        <v>8</v>
      </c>
      <c r="QD676" s="27" t="s">
        <v>7</v>
      </c>
      <c r="QE676" s="27" t="s">
        <v>8</v>
      </c>
      <c r="RN676" s="27" t="s">
        <v>7</v>
      </c>
      <c r="RO676" s="27" t="s">
        <v>8</v>
      </c>
      <c r="RP676" s="27" t="s">
        <v>7</v>
      </c>
      <c r="RQ676" s="27" t="s">
        <v>8</v>
      </c>
      <c r="RR676" s="27" t="s">
        <v>7</v>
      </c>
      <c r="RS676" s="27" t="s">
        <v>8</v>
      </c>
      <c r="RT676" s="27" t="s">
        <v>7</v>
      </c>
      <c r="RU676" s="27" t="s">
        <v>8</v>
      </c>
      <c r="SJ676" s="27" t="s">
        <v>7</v>
      </c>
      <c r="SK676" s="27" t="s">
        <v>8</v>
      </c>
      <c r="SL676" s="27" t="s">
        <v>7</v>
      </c>
      <c r="SM676" s="27" t="s">
        <v>8</v>
      </c>
    </row>
    <row r="677" spans="1:508" x14ac:dyDescent="0.25">
      <c r="A677" s="7">
        <v>0.16826141678937145</v>
      </c>
      <c r="B677"/>
      <c r="C677"/>
      <c r="D677"/>
      <c r="E677"/>
      <c r="F677" s="27" t="s">
        <v>7</v>
      </c>
      <c r="LW677" s="27" t="s">
        <v>8</v>
      </c>
      <c r="LX677" s="27" t="s">
        <v>7</v>
      </c>
      <c r="LY677" s="27" t="s">
        <v>8</v>
      </c>
      <c r="LZ677" s="27" t="s">
        <v>7</v>
      </c>
      <c r="MB677" s="27" t="s">
        <v>7</v>
      </c>
      <c r="MC677" s="27" t="s">
        <v>8</v>
      </c>
      <c r="MF677" s="27" t="s">
        <v>7</v>
      </c>
      <c r="MG677" s="27" t="s">
        <v>8</v>
      </c>
      <c r="MI677" s="27" t="s">
        <v>8</v>
      </c>
      <c r="MJ677" s="27" t="s">
        <v>7</v>
      </c>
      <c r="NI677" s="27" t="s">
        <v>8</v>
      </c>
      <c r="NJ677" s="27" t="s">
        <v>7</v>
      </c>
      <c r="NK677" s="27" t="s">
        <v>8</v>
      </c>
      <c r="NL677" s="27" t="s">
        <v>7</v>
      </c>
      <c r="PQ677" s="27" t="s">
        <v>8</v>
      </c>
      <c r="PR677" s="27" t="s">
        <v>7</v>
      </c>
      <c r="PS677" s="27" t="s">
        <v>8</v>
      </c>
      <c r="PT677" s="27" t="s">
        <v>7</v>
      </c>
      <c r="PV677" s="27" t="s">
        <v>7</v>
      </c>
      <c r="PW677" s="27" t="s">
        <v>8</v>
      </c>
      <c r="PX677" s="27" t="s">
        <v>7</v>
      </c>
      <c r="QA677" s="27" t="s">
        <v>8</v>
      </c>
      <c r="QB677" s="27" t="s">
        <v>7</v>
      </c>
      <c r="QC677" s="27" t="s">
        <v>8</v>
      </c>
      <c r="QD677" s="27" t="s">
        <v>7</v>
      </c>
      <c r="QE677" s="27" t="s">
        <v>8</v>
      </c>
      <c r="RN677" s="27" t="s">
        <v>7</v>
      </c>
      <c r="RO677" s="27" t="s">
        <v>8</v>
      </c>
      <c r="RP677" s="27" t="s">
        <v>7</v>
      </c>
      <c r="RQ677" s="27" t="s">
        <v>8</v>
      </c>
      <c r="RR677" s="27" t="s">
        <v>7</v>
      </c>
      <c r="RS677" s="27" t="s">
        <v>8</v>
      </c>
      <c r="RT677" s="27" t="s">
        <v>7</v>
      </c>
      <c r="RU677" s="27" t="s">
        <v>8</v>
      </c>
      <c r="SJ677" s="27" t="s">
        <v>7</v>
      </c>
      <c r="SK677" s="27" t="s">
        <v>8</v>
      </c>
      <c r="SL677" s="27" t="s">
        <v>7</v>
      </c>
    </row>
    <row r="678" spans="1:508" x14ac:dyDescent="0.25">
      <c r="A678" s="7">
        <v>0.16496217332291319</v>
      </c>
      <c r="B678"/>
      <c r="C678"/>
      <c r="D678"/>
      <c r="E678"/>
      <c r="F678" s="27" t="s">
        <v>7</v>
      </c>
      <c r="LW678" s="27" t="s">
        <v>8</v>
      </c>
      <c r="LX678" s="27" t="s">
        <v>7</v>
      </c>
      <c r="LY678" s="27" t="s">
        <v>8</v>
      </c>
      <c r="MB678" s="27" t="s">
        <v>7</v>
      </c>
      <c r="MC678" s="27" t="s">
        <v>8</v>
      </c>
      <c r="MF678" s="27" t="s">
        <v>7</v>
      </c>
      <c r="MG678" s="27" t="s">
        <v>8</v>
      </c>
      <c r="MH678" s="27" t="s">
        <v>7</v>
      </c>
      <c r="MI678" s="27" t="s">
        <v>8</v>
      </c>
      <c r="MJ678" s="27" t="s">
        <v>7</v>
      </c>
      <c r="MM678" s="27" t="s">
        <v>8</v>
      </c>
      <c r="NI678" s="27" t="s">
        <v>8</v>
      </c>
      <c r="NJ678" s="27" t="s">
        <v>7</v>
      </c>
      <c r="NK678" s="27" t="s">
        <v>8</v>
      </c>
      <c r="NL678" s="27" t="s">
        <v>7</v>
      </c>
      <c r="PQ678" s="27" t="s">
        <v>8</v>
      </c>
      <c r="PR678" s="27" t="s">
        <v>7</v>
      </c>
      <c r="PS678" s="27" t="s">
        <v>8</v>
      </c>
      <c r="PV678" s="27" t="s">
        <v>7</v>
      </c>
      <c r="PW678" s="27" t="s">
        <v>8</v>
      </c>
      <c r="PX678" s="27" t="s">
        <v>7</v>
      </c>
      <c r="QA678" s="27" t="s">
        <v>8</v>
      </c>
      <c r="QB678" s="27" t="s">
        <v>7</v>
      </c>
      <c r="QC678" s="27" t="s">
        <v>8</v>
      </c>
      <c r="QD678" s="27" t="s">
        <v>7</v>
      </c>
      <c r="QE678" s="27" t="s">
        <v>8</v>
      </c>
      <c r="RN678" s="27" t="s">
        <v>7</v>
      </c>
      <c r="RO678" s="27" t="s">
        <v>8</v>
      </c>
      <c r="RP678" s="27" t="s">
        <v>7</v>
      </c>
      <c r="RQ678" s="27" t="s">
        <v>8</v>
      </c>
      <c r="RR678" s="27" t="s">
        <v>7</v>
      </c>
      <c r="RT678" s="27" t="s">
        <v>7</v>
      </c>
      <c r="SJ678" s="27" t="s">
        <v>7</v>
      </c>
    </row>
    <row r="679" spans="1:508" x14ac:dyDescent="0.25">
      <c r="A679" s="7">
        <v>0.16172762090481685</v>
      </c>
      <c r="B679"/>
      <c r="C679"/>
      <c r="D679"/>
      <c r="E679"/>
      <c r="F679" s="27" t="s">
        <v>7</v>
      </c>
      <c r="LW679" s="27" t="s">
        <v>8</v>
      </c>
      <c r="LX679" s="27" t="s">
        <v>7</v>
      </c>
      <c r="LY679" s="27" t="s">
        <v>8</v>
      </c>
      <c r="MB679" s="27" t="s">
        <v>7</v>
      </c>
      <c r="MF679" s="27" t="s">
        <v>7</v>
      </c>
      <c r="MG679" s="27" t="s">
        <v>8</v>
      </c>
      <c r="MH679" s="27" t="s">
        <v>7</v>
      </c>
      <c r="MI679" s="27" t="s">
        <v>8</v>
      </c>
      <c r="MJ679" s="27" t="s">
        <v>7</v>
      </c>
      <c r="MK679" s="27" t="s">
        <v>8</v>
      </c>
      <c r="MM679" s="27" t="s">
        <v>8</v>
      </c>
      <c r="MN679" s="27" t="s">
        <v>7</v>
      </c>
      <c r="NI679" s="27" t="s">
        <v>8</v>
      </c>
      <c r="NJ679" s="27" t="s">
        <v>7</v>
      </c>
      <c r="NK679" s="27" t="s">
        <v>8</v>
      </c>
      <c r="NL679" s="27" t="s">
        <v>7</v>
      </c>
      <c r="PQ679" s="27" t="s">
        <v>8</v>
      </c>
      <c r="PR679" s="27" t="s">
        <v>7</v>
      </c>
      <c r="PV679" s="27" t="s">
        <v>7</v>
      </c>
      <c r="PW679" s="27" t="s">
        <v>8</v>
      </c>
      <c r="PX679" s="27" t="s">
        <v>7</v>
      </c>
      <c r="QA679" s="27" t="s">
        <v>8</v>
      </c>
      <c r="QB679" s="27" t="s">
        <v>7</v>
      </c>
      <c r="QC679" s="27" t="s">
        <v>8</v>
      </c>
      <c r="QD679" s="27" t="s">
        <v>7</v>
      </c>
      <c r="RN679" s="27" t="s">
        <v>7</v>
      </c>
      <c r="RO679" s="27" t="s">
        <v>8</v>
      </c>
      <c r="RP679" s="27" t="s">
        <v>7</v>
      </c>
      <c r="RQ679" s="27" t="s">
        <v>8</v>
      </c>
    </row>
    <row r="680" spans="1:508" x14ac:dyDescent="0.25">
      <c r="A680" s="7">
        <v>0.15855649108315376</v>
      </c>
      <c r="B680"/>
      <c r="C680"/>
      <c r="D680"/>
      <c r="E680"/>
      <c r="F680" s="27" t="s">
        <v>7</v>
      </c>
      <c r="LW680" s="27" t="s">
        <v>8</v>
      </c>
      <c r="LX680" s="27" t="s">
        <v>7</v>
      </c>
      <c r="LY680" s="27" t="s">
        <v>8</v>
      </c>
      <c r="MF680" s="27" t="s">
        <v>7</v>
      </c>
      <c r="MG680" s="27" t="s">
        <v>8</v>
      </c>
      <c r="MH680" s="27" t="s">
        <v>7</v>
      </c>
      <c r="MI680" s="27" t="s">
        <v>8</v>
      </c>
      <c r="MJ680" s="27" t="s">
        <v>7</v>
      </c>
      <c r="MK680" s="27" t="s">
        <v>8</v>
      </c>
      <c r="ML680" s="27" t="s">
        <v>7</v>
      </c>
      <c r="MM680" s="27" t="s">
        <v>8</v>
      </c>
      <c r="MN680" s="27" t="s">
        <v>7</v>
      </c>
      <c r="MY680" s="27" t="s">
        <v>8</v>
      </c>
      <c r="NI680" s="27" t="s">
        <v>8</v>
      </c>
      <c r="NJ680" s="27" t="s">
        <v>7</v>
      </c>
      <c r="NK680" s="27" t="s">
        <v>8</v>
      </c>
      <c r="NL680" s="27" t="s">
        <v>7</v>
      </c>
      <c r="PQ680" s="27" t="s">
        <v>8</v>
      </c>
      <c r="PV680" s="27" t="s">
        <v>7</v>
      </c>
      <c r="PW680" s="27" t="s">
        <v>8</v>
      </c>
      <c r="PX680" s="27" t="s">
        <v>7</v>
      </c>
      <c r="PY680" s="27" t="s">
        <v>8</v>
      </c>
      <c r="QA680" s="27" t="s">
        <v>8</v>
      </c>
      <c r="QB680" s="27" t="s">
        <v>7</v>
      </c>
      <c r="QC680" s="27" t="s">
        <v>8</v>
      </c>
      <c r="RN680" s="27" t="s">
        <v>7</v>
      </c>
      <c r="RO680" s="27" t="s">
        <v>8</v>
      </c>
      <c r="RP680" s="27" t="s">
        <v>7</v>
      </c>
    </row>
    <row r="681" spans="1:508" x14ac:dyDescent="0.25">
      <c r="A681" s="7">
        <v>0.15544754027760171</v>
      </c>
      <c r="B681"/>
      <c r="C681"/>
      <c r="D681"/>
      <c r="E681"/>
      <c r="F681" s="27" t="s">
        <v>7</v>
      </c>
      <c r="LW681" s="27" t="s">
        <v>8</v>
      </c>
      <c r="LX681" s="27" t="s">
        <v>7</v>
      </c>
      <c r="LY681" s="27" t="s">
        <v>8</v>
      </c>
      <c r="MF681" s="27" t="s">
        <v>7</v>
      </c>
      <c r="MG681" s="27" t="s">
        <v>8</v>
      </c>
      <c r="MH681" s="27" t="s">
        <v>7</v>
      </c>
      <c r="MI681" s="27" t="s">
        <v>8</v>
      </c>
      <c r="MJ681" s="27" t="s">
        <v>7</v>
      </c>
      <c r="MK681" s="27" t="s">
        <v>8</v>
      </c>
      <c r="ML681" s="27" t="s">
        <v>7</v>
      </c>
      <c r="MM681" s="27" t="s">
        <v>8</v>
      </c>
      <c r="MN681" s="27" t="s">
        <v>7</v>
      </c>
      <c r="MY681" s="27" t="s">
        <v>8</v>
      </c>
      <c r="MZ681" s="27" t="s">
        <v>7</v>
      </c>
      <c r="NI681" s="27" t="s">
        <v>8</v>
      </c>
      <c r="NJ681" s="27" t="s">
        <v>7</v>
      </c>
      <c r="NK681" s="27" t="s">
        <v>8</v>
      </c>
      <c r="NL681" s="27" t="s">
        <v>7</v>
      </c>
      <c r="PQ681" s="27" t="s">
        <v>8</v>
      </c>
      <c r="PV681" s="27" t="s">
        <v>7</v>
      </c>
      <c r="PW681" s="27" t="s">
        <v>8</v>
      </c>
      <c r="PX681" s="27" t="s">
        <v>7</v>
      </c>
      <c r="PY681" s="27" t="s">
        <v>8</v>
      </c>
      <c r="PZ681" s="27" t="s">
        <v>7</v>
      </c>
      <c r="QA681" s="27" t="s">
        <v>8</v>
      </c>
      <c r="QB681" s="27" t="s">
        <v>7</v>
      </c>
      <c r="QC681" s="27" t="s">
        <v>8</v>
      </c>
      <c r="RN681" s="27" t="s">
        <v>7</v>
      </c>
      <c r="RO681" s="27" t="s">
        <v>8</v>
      </c>
    </row>
    <row r="682" spans="1:508" x14ac:dyDescent="0.25">
      <c r="A682" s="7">
        <v>0.15239954929176638</v>
      </c>
      <c r="B682"/>
      <c r="C682"/>
      <c r="D682"/>
      <c r="E682"/>
      <c r="F682" s="27" t="s">
        <v>7</v>
      </c>
      <c r="LW682" s="27" t="s">
        <v>8</v>
      </c>
      <c r="LX682" s="27" t="s">
        <v>7</v>
      </c>
      <c r="LY682" s="27" t="s">
        <v>8</v>
      </c>
      <c r="MF682" s="27" t="s">
        <v>7</v>
      </c>
      <c r="MG682" s="27" t="s">
        <v>8</v>
      </c>
      <c r="MH682" s="27" t="s">
        <v>7</v>
      </c>
      <c r="MI682" s="27" t="s">
        <v>8</v>
      </c>
      <c r="MJ682" s="27" t="s">
        <v>7</v>
      </c>
      <c r="MK682" s="27" t="s">
        <v>8</v>
      </c>
      <c r="ML682" s="27" t="s">
        <v>7</v>
      </c>
      <c r="MM682" s="27" t="s">
        <v>8</v>
      </c>
      <c r="MN682" s="27" t="s">
        <v>7</v>
      </c>
      <c r="MO682" s="27" t="s">
        <v>8</v>
      </c>
      <c r="MY682" s="27" t="s">
        <v>8</v>
      </c>
      <c r="MZ682" s="27" t="s">
        <v>7</v>
      </c>
      <c r="NI682" s="27" t="s">
        <v>8</v>
      </c>
      <c r="NJ682" s="27" t="s">
        <v>7</v>
      </c>
      <c r="NK682" s="27" t="s">
        <v>8</v>
      </c>
      <c r="NL682" s="27" t="s">
        <v>7</v>
      </c>
      <c r="PQ682" s="27" t="s">
        <v>8</v>
      </c>
      <c r="PV682" s="27" t="s">
        <v>7</v>
      </c>
      <c r="PW682" s="27" t="s">
        <v>8</v>
      </c>
      <c r="PX682" s="27" t="s">
        <v>7</v>
      </c>
      <c r="PY682" s="27" t="s">
        <v>8</v>
      </c>
      <c r="PZ682" s="27" t="s">
        <v>7</v>
      </c>
      <c r="QA682" s="27" t="s">
        <v>8</v>
      </c>
      <c r="QB682" s="27" t="s">
        <v>7</v>
      </c>
      <c r="QC682" s="27" t="s">
        <v>8</v>
      </c>
      <c r="RN682" s="27" t="s">
        <v>7</v>
      </c>
      <c r="RO682" s="27" t="s">
        <v>8</v>
      </c>
    </row>
    <row r="683" spans="1:508" x14ac:dyDescent="0.25">
      <c r="A683" s="7">
        <v>0.14941132283506509</v>
      </c>
      <c r="B683"/>
      <c r="C683"/>
      <c r="D683"/>
      <c r="E683"/>
      <c r="F683" s="27" t="s">
        <v>7</v>
      </c>
      <c r="LW683" s="27" t="s">
        <v>8</v>
      </c>
      <c r="LX683" s="27" t="s">
        <v>7</v>
      </c>
      <c r="LY683" s="27" t="s">
        <v>8</v>
      </c>
      <c r="MF683" s="27" t="s">
        <v>7</v>
      </c>
      <c r="MG683" s="27" t="s">
        <v>8</v>
      </c>
      <c r="MH683" s="27" t="s">
        <v>7</v>
      </c>
      <c r="MI683" s="27" t="s">
        <v>8</v>
      </c>
      <c r="MJ683" s="27" t="s">
        <v>7</v>
      </c>
      <c r="MK683" s="27" t="s">
        <v>8</v>
      </c>
      <c r="ML683" s="27" t="s">
        <v>7</v>
      </c>
      <c r="MM683" s="27" t="s">
        <v>8</v>
      </c>
      <c r="MN683" s="27" t="s">
        <v>7</v>
      </c>
      <c r="MO683" s="27" t="s">
        <v>8</v>
      </c>
      <c r="MP683" s="27" t="s">
        <v>7</v>
      </c>
      <c r="MW683" s="27" t="s">
        <v>8</v>
      </c>
      <c r="MY683" s="27" t="s">
        <v>8</v>
      </c>
      <c r="MZ683" s="27" t="s">
        <v>7</v>
      </c>
      <c r="NA683" s="27" t="s">
        <v>8</v>
      </c>
      <c r="NI683" s="27" t="s">
        <v>8</v>
      </c>
      <c r="NJ683" s="27" t="s">
        <v>7</v>
      </c>
      <c r="NK683" s="27" t="s">
        <v>8</v>
      </c>
      <c r="NL683" s="27" t="s">
        <v>7</v>
      </c>
      <c r="PQ683" s="27" t="s">
        <v>8</v>
      </c>
      <c r="PV683" s="27" t="s">
        <v>7</v>
      </c>
      <c r="PX683" s="27" t="s">
        <v>7</v>
      </c>
      <c r="PY683" s="27" t="s">
        <v>8</v>
      </c>
      <c r="PZ683" s="27" t="s">
        <v>7</v>
      </c>
      <c r="QA683" s="27" t="s">
        <v>8</v>
      </c>
      <c r="QB683" s="27" t="s">
        <v>7</v>
      </c>
      <c r="QC683" s="27" t="s">
        <v>8</v>
      </c>
      <c r="RN683" s="27" t="s">
        <v>7</v>
      </c>
      <c r="RO683" s="27" t="s">
        <v>8</v>
      </c>
    </row>
    <row r="684" spans="1:508" x14ac:dyDescent="0.25">
      <c r="A684" s="7">
        <v>0.14648168905398537</v>
      </c>
      <c r="B684"/>
      <c r="C684"/>
      <c r="D684"/>
      <c r="E684"/>
      <c r="F684" s="27" t="s">
        <v>7</v>
      </c>
      <c r="LW684" s="27" t="s">
        <v>8</v>
      </c>
      <c r="LX684" s="27" t="s">
        <v>7</v>
      </c>
      <c r="LY684" s="27" t="s">
        <v>8</v>
      </c>
      <c r="MF684" s="27" t="s">
        <v>7</v>
      </c>
      <c r="MH684" s="27" t="s">
        <v>7</v>
      </c>
      <c r="MI684" s="27" t="s">
        <v>8</v>
      </c>
      <c r="MJ684" s="27" t="s">
        <v>7</v>
      </c>
      <c r="MK684" s="27" t="s">
        <v>8</v>
      </c>
      <c r="ML684" s="27" t="s">
        <v>7</v>
      </c>
      <c r="MM684" s="27" t="s">
        <v>8</v>
      </c>
      <c r="MN684" s="27" t="s">
        <v>7</v>
      </c>
      <c r="MO684" s="27" t="s">
        <v>8</v>
      </c>
      <c r="MP684" s="27" t="s">
        <v>7</v>
      </c>
      <c r="MW684" s="27" t="s">
        <v>8</v>
      </c>
      <c r="MX684" s="27" t="s">
        <v>7</v>
      </c>
      <c r="MY684" s="27" t="s">
        <v>8</v>
      </c>
      <c r="MZ684" s="27" t="s">
        <v>7</v>
      </c>
      <c r="NA684" s="27" t="s">
        <v>8</v>
      </c>
      <c r="NB684" s="27" t="s">
        <v>7</v>
      </c>
      <c r="NI684" s="27" t="s">
        <v>8</v>
      </c>
      <c r="NJ684" s="27" t="s">
        <v>7</v>
      </c>
      <c r="NK684" s="27" t="s">
        <v>8</v>
      </c>
      <c r="NL684" s="27" t="s">
        <v>7</v>
      </c>
      <c r="PQ684" s="27" t="s">
        <v>8</v>
      </c>
      <c r="PX684" s="27" t="s">
        <v>7</v>
      </c>
      <c r="PY684" s="27" t="s">
        <v>8</v>
      </c>
      <c r="PZ684" s="27" t="s">
        <v>7</v>
      </c>
      <c r="QA684" s="27" t="s">
        <v>8</v>
      </c>
      <c r="QB684" s="27" t="s">
        <v>7</v>
      </c>
      <c r="QC684" s="27" t="s">
        <v>8</v>
      </c>
      <c r="RN684" s="27" t="s">
        <v>7</v>
      </c>
      <c r="RO684" s="27" t="s">
        <v>8</v>
      </c>
    </row>
    <row r="685" spans="1:508" x14ac:dyDescent="0.25">
      <c r="A685" s="7">
        <v>0.14360949907253467</v>
      </c>
      <c r="B685"/>
      <c r="C685"/>
      <c r="D685"/>
      <c r="E685"/>
      <c r="F685" s="27" t="s">
        <v>7</v>
      </c>
      <c r="LW685" s="27" t="s">
        <v>8</v>
      </c>
      <c r="LX685" s="27" t="s">
        <v>7</v>
      </c>
      <c r="LY685" s="27" t="s">
        <v>8</v>
      </c>
      <c r="MH685" s="27" t="s">
        <v>7</v>
      </c>
      <c r="MI685" s="27" t="s">
        <v>8</v>
      </c>
      <c r="MJ685" s="27" t="s">
        <v>7</v>
      </c>
      <c r="MK685" s="27" t="s">
        <v>8</v>
      </c>
      <c r="ML685" s="27" t="s">
        <v>7</v>
      </c>
      <c r="MM685" s="27" t="s">
        <v>8</v>
      </c>
      <c r="MN685" s="27" t="s">
        <v>7</v>
      </c>
      <c r="MO685" s="27" t="s">
        <v>8</v>
      </c>
      <c r="MP685" s="27" t="s">
        <v>7</v>
      </c>
      <c r="MW685" s="27" t="s">
        <v>8</v>
      </c>
      <c r="MX685" s="27" t="s">
        <v>7</v>
      </c>
      <c r="MY685" s="27" t="s">
        <v>8</v>
      </c>
      <c r="MZ685" s="27" t="s">
        <v>7</v>
      </c>
      <c r="NA685" s="27" t="s">
        <v>8</v>
      </c>
      <c r="NB685" s="27" t="s">
        <v>7</v>
      </c>
      <c r="NI685" s="27" t="s">
        <v>8</v>
      </c>
      <c r="NJ685" s="27" t="s">
        <v>7</v>
      </c>
      <c r="NK685" s="27" t="s">
        <v>8</v>
      </c>
      <c r="NL685" s="27" t="s">
        <v>7</v>
      </c>
      <c r="PQ685" s="27" t="s">
        <v>8</v>
      </c>
      <c r="PX685" s="27" t="s">
        <v>7</v>
      </c>
      <c r="PY685" s="27" t="s">
        <v>8</v>
      </c>
      <c r="PZ685" s="27" t="s">
        <v>7</v>
      </c>
      <c r="QA685" s="27" t="s">
        <v>8</v>
      </c>
      <c r="QB685" s="27" t="s">
        <v>7</v>
      </c>
      <c r="QC685" s="27" t="s">
        <v>8</v>
      </c>
      <c r="RN685" s="27" t="s">
        <v>7</v>
      </c>
      <c r="RO685" s="27" t="s">
        <v>8</v>
      </c>
    </row>
    <row r="686" spans="1:508" x14ac:dyDescent="0.25">
      <c r="A686" s="7">
        <v>0.14079362654170066</v>
      </c>
      <c r="B686"/>
      <c r="C686"/>
      <c r="D686"/>
      <c r="E686"/>
      <c r="F686" s="27" t="s">
        <v>7</v>
      </c>
      <c r="LW686" s="27" t="s">
        <v>8</v>
      </c>
      <c r="LX686" s="27" t="s">
        <v>7</v>
      </c>
      <c r="MH686" s="27" t="s">
        <v>7</v>
      </c>
      <c r="MI686" s="27" t="s">
        <v>8</v>
      </c>
      <c r="MJ686" s="27" t="s">
        <v>7</v>
      </c>
      <c r="MK686" s="27" t="s">
        <v>8</v>
      </c>
      <c r="ML686" s="27" t="s">
        <v>7</v>
      </c>
      <c r="MN686" s="27" t="s">
        <v>7</v>
      </c>
      <c r="MO686" s="27" t="s">
        <v>8</v>
      </c>
      <c r="MP686" s="27" t="s">
        <v>7</v>
      </c>
      <c r="MW686" s="27" t="s">
        <v>8</v>
      </c>
      <c r="MX686" s="27" t="s">
        <v>7</v>
      </c>
      <c r="MY686" s="27" t="s">
        <v>8</v>
      </c>
      <c r="MZ686" s="27" t="s">
        <v>7</v>
      </c>
      <c r="NA686" s="27" t="s">
        <v>8</v>
      </c>
      <c r="NB686" s="27" t="s">
        <v>7</v>
      </c>
      <c r="NE686" s="27" t="s">
        <v>8</v>
      </c>
      <c r="NI686" s="27" t="s">
        <v>8</v>
      </c>
      <c r="NJ686" s="27" t="s">
        <v>7</v>
      </c>
      <c r="NK686" s="27" t="s">
        <v>8</v>
      </c>
      <c r="NL686" s="27" t="s">
        <v>7</v>
      </c>
      <c r="PQ686" s="27" t="s">
        <v>8</v>
      </c>
      <c r="PX686" s="27" t="s">
        <v>7</v>
      </c>
      <c r="PY686" s="27" t="s">
        <v>8</v>
      </c>
      <c r="PZ686" s="27" t="s">
        <v>7</v>
      </c>
      <c r="QA686" s="27" t="s">
        <v>8</v>
      </c>
      <c r="QB686" s="27" t="s">
        <v>7</v>
      </c>
      <c r="RN686" s="27" t="s">
        <v>7</v>
      </c>
      <c r="RO686" s="27" t="s">
        <v>8</v>
      </c>
    </row>
    <row r="687" spans="1:508" x14ac:dyDescent="0.25">
      <c r="A687" s="7">
        <v>0.13803296719774574</v>
      </c>
      <c r="B687"/>
      <c r="C687"/>
      <c r="D687"/>
      <c r="E687"/>
      <c r="F687" s="27" t="s">
        <v>7</v>
      </c>
      <c r="LW687" s="27" t="s">
        <v>8</v>
      </c>
      <c r="MH687" s="27" t="s">
        <v>7</v>
      </c>
      <c r="MI687" s="27" t="s">
        <v>8</v>
      </c>
      <c r="MJ687" s="27" t="s">
        <v>7</v>
      </c>
      <c r="MN687" s="27" t="s">
        <v>7</v>
      </c>
      <c r="MP687" s="27" t="s">
        <v>7</v>
      </c>
      <c r="MQ687" s="27" t="s">
        <v>8</v>
      </c>
      <c r="MW687" s="27" t="s">
        <v>8</v>
      </c>
      <c r="MX687" s="27" t="s">
        <v>7</v>
      </c>
      <c r="MY687" s="27" t="s">
        <v>8</v>
      </c>
      <c r="MZ687" s="27" t="s">
        <v>7</v>
      </c>
      <c r="NB687" s="27" t="s">
        <v>7</v>
      </c>
      <c r="NE687" s="27" t="s">
        <v>8</v>
      </c>
      <c r="NF687" s="27" t="s">
        <v>7</v>
      </c>
      <c r="NI687" s="27" t="s">
        <v>8</v>
      </c>
      <c r="NJ687" s="27" t="s">
        <v>7</v>
      </c>
      <c r="NK687" s="27" t="s">
        <v>8</v>
      </c>
      <c r="NL687" s="27" t="s">
        <v>7</v>
      </c>
      <c r="NM687" s="27" t="s">
        <v>8</v>
      </c>
      <c r="PQ687" s="27" t="s">
        <v>8</v>
      </c>
      <c r="PX687" s="27" t="s">
        <v>7</v>
      </c>
      <c r="PY687" s="27" t="s">
        <v>8</v>
      </c>
      <c r="PZ687" s="27" t="s">
        <v>7</v>
      </c>
      <c r="QA687" s="27" t="s">
        <v>8</v>
      </c>
      <c r="RN687" s="27" t="s">
        <v>7</v>
      </c>
      <c r="RO687" s="27" t="s">
        <v>8</v>
      </c>
    </row>
    <row r="688" spans="1:508" x14ac:dyDescent="0.25">
      <c r="A688" s="7">
        <v>0.1353264384291625</v>
      </c>
      <c r="B688"/>
      <c r="C688"/>
      <c r="D688"/>
      <c r="E688"/>
      <c r="F688" s="27" t="s">
        <v>7</v>
      </c>
      <c r="LW688" s="27" t="s">
        <v>8</v>
      </c>
      <c r="MH688" s="27" t="s">
        <v>7</v>
      </c>
      <c r="MI688" s="27" t="s">
        <v>8</v>
      </c>
      <c r="MP688" s="27" t="s">
        <v>7</v>
      </c>
      <c r="MQ688" s="27" t="s">
        <v>8</v>
      </c>
      <c r="MR688" s="27" t="s">
        <v>7</v>
      </c>
      <c r="MW688" s="27" t="s">
        <v>8</v>
      </c>
      <c r="MX688" s="27" t="s">
        <v>7</v>
      </c>
      <c r="MY688" s="27" t="s">
        <v>8</v>
      </c>
      <c r="NB688" s="27" t="s">
        <v>7</v>
      </c>
      <c r="NC688" s="27" t="s">
        <v>8</v>
      </c>
      <c r="NE688" s="27" t="s">
        <v>8</v>
      </c>
      <c r="NF688" s="27" t="s">
        <v>7</v>
      </c>
      <c r="NI688" s="27" t="s">
        <v>8</v>
      </c>
      <c r="NJ688" s="27" t="s">
        <v>7</v>
      </c>
      <c r="NK688" s="27" t="s">
        <v>8</v>
      </c>
      <c r="NL688" s="27" t="s">
        <v>7</v>
      </c>
      <c r="NM688" s="27" t="s">
        <v>8</v>
      </c>
      <c r="NN688" s="27" t="s">
        <v>7</v>
      </c>
      <c r="PK688" s="27" t="s">
        <v>8</v>
      </c>
      <c r="PQ688" s="27" t="s">
        <v>8</v>
      </c>
      <c r="PX688" s="27" t="s">
        <v>7</v>
      </c>
      <c r="PY688" s="27" t="s">
        <v>8</v>
      </c>
      <c r="PZ688" s="27" t="s">
        <v>7</v>
      </c>
      <c r="QA688" s="27" t="s">
        <v>8</v>
      </c>
      <c r="RN688" s="27" t="s">
        <v>7</v>
      </c>
    </row>
    <row r="689" spans="1:443" x14ac:dyDescent="0.25">
      <c r="A689" s="7">
        <v>0.13267297885212009</v>
      </c>
      <c r="B689"/>
      <c r="C689"/>
      <c r="D689"/>
      <c r="E689"/>
      <c r="F689" s="27" t="s">
        <v>7</v>
      </c>
      <c r="LW689" s="27" t="s">
        <v>8</v>
      </c>
      <c r="MH689" s="27" t="s">
        <v>7</v>
      </c>
      <c r="MI689" s="27" t="s">
        <v>8</v>
      </c>
      <c r="MP689" s="27" t="s">
        <v>7</v>
      </c>
      <c r="MQ689" s="27" t="s">
        <v>8</v>
      </c>
      <c r="MR689" s="27" t="s">
        <v>7</v>
      </c>
      <c r="MW689" s="27" t="s">
        <v>8</v>
      </c>
      <c r="MX689" s="27" t="s">
        <v>7</v>
      </c>
      <c r="MY689" s="27" t="s">
        <v>8</v>
      </c>
      <c r="NB689" s="27" t="s">
        <v>7</v>
      </c>
      <c r="NC689" s="27" t="s">
        <v>8</v>
      </c>
      <c r="ND689" s="27" t="s">
        <v>7</v>
      </c>
      <c r="NE689" s="27" t="s">
        <v>8</v>
      </c>
      <c r="NF689" s="27" t="s">
        <v>7</v>
      </c>
      <c r="NI689" s="27" t="s">
        <v>8</v>
      </c>
      <c r="NJ689" s="27" t="s">
        <v>7</v>
      </c>
      <c r="NL689" s="27" t="s">
        <v>7</v>
      </c>
      <c r="NM689" s="27" t="s">
        <v>8</v>
      </c>
      <c r="NN689" s="27" t="s">
        <v>7</v>
      </c>
      <c r="PK689" s="27" t="s">
        <v>8</v>
      </c>
      <c r="PL689" s="27" t="s">
        <v>7</v>
      </c>
      <c r="PO689" s="27" t="s">
        <v>8</v>
      </c>
      <c r="PQ689" s="27" t="s">
        <v>8</v>
      </c>
      <c r="PX689" s="27" t="s">
        <v>7</v>
      </c>
      <c r="PY689" s="27" t="s">
        <v>8</v>
      </c>
      <c r="PZ689" s="27" t="s">
        <v>7</v>
      </c>
      <c r="QA689" s="27" t="s">
        <v>8</v>
      </c>
    </row>
    <row r="690" spans="1:443" x14ac:dyDescent="0.25">
      <c r="A690" s="7">
        <v>0.13007154789423539</v>
      </c>
      <c r="B690"/>
      <c r="C690"/>
      <c r="D690"/>
      <c r="E690"/>
      <c r="F690" s="27" t="s">
        <v>7</v>
      </c>
      <c r="LW690" s="27" t="s">
        <v>8</v>
      </c>
      <c r="MH690" s="27" t="s">
        <v>7</v>
      </c>
      <c r="MI690" s="27" t="s">
        <v>8</v>
      </c>
      <c r="MP690" s="27" t="s">
        <v>7</v>
      </c>
      <c r="MQ690" s="27" t="s">
        <v>8</v>
      </c>
      <c r="MR690" s="27" t="s">
        <v>7</v>
      </c>
      <c r="MW690" s="27" t="s">
        <v>8</v>
      </c>
      <c r="MX690" s="27" t="s">
        <v>7</v>
      </c>
      <c r="MY690" s="27" t="s">
        <v>8</v>
      </c>
      <c r="NB690" s="27" t="s">
        <v>7</v>
      </c>
      <c r="NC690" s="27" t="s">
        <v>8</v>
      </c>
      <c r="ND690" s="27" t="s">
        <v>7</v>
      </c>
      <c r="NE690" s="27" t="s">
        <v>8</v>
      </c>
      <c r="NF690" s="27" t="s">
        <v>7</v>
      </c>
      <c r="NG690" s="27" t="s">
        <v>8</v>
      </c>
      <c r="NI690" s="27" t="s">
        <v>8</v>
      </c>
      <c r="NL690" s="27" t="s">
        <v>7</v>
      </c>
      <c r="NM690" s="27" t="s">
        <v>8</v>
      </c>
      <c r="NN690" s="27" t="s">
        <v>7</v>
      </c>
      <c r="PK690" s="27" t="s">
        <v>8</v>
      </c>
      <c r="PL690" s="27" t="s">
        <v>7</v>
      </c>
      <c r="PO690" s="27" t="s">
        <v>8</v>
      </c>
      <c r="PP690" s="27" t="s">
        <v>7</v>
      </c>
      <c r="PQ690" s="27" t="s">
        <v>8</v>
      </c>
      <c r="PX690" s="27" t="s">
        <v>7</v>
      </c>
      <c r="PY690" s="27" t="s">
        <v>8</v>
      </c>
      <c r="PZ690" s="27" t="s">
        <v>7</v>
      </c>
      <c r="QA690" s="27" t="s">
        <v>8</v>
      </c>
    </row>
    <row r="691" spans="1:443" x14ac:dyDescent="0.25">
      <c r="A691" s="7">
        <v>0.12752112538650529</v>
      </c>
      <c r="B691"/>
      <c r="C691"/>
      <c r="D691"/>
      <c r="E691"/>
      <c r="F691" s="27" t="s">
        <v>7</v>
      </c>
      <c r="LW691" s="27" t="s">
        <v>8</v>
      </c>
      <c r="MH691" s="27" t="s">
        <v>7</v>
      </c>
      <c r="MI691" s="27" t="s">
        <v>8</v>
      </c>
      <c r="MP691" s="27" t="s">
        <v>7</v>
      </c>
      <c r="MQ691" s="27" t="s">
        <v>8</v>
      </c>
      <c r="MR691" s="27" t="s">
        <v>7</v>
      </c>
      <c r="MW691" s="27" t="s">
        <v>8</v>
      </c>
      <c r="MX691" s="27" t="s">
        <v>7</v>
      </c>
      <c r="MY691" s="27" t="s">
        <v>8</v>
      </c>
      <c r="NB691" s="27" t="s">
        <v>7</v>
      </c>
      <c r="NC691" s="27" t="s">
        <v>8</v>
      </c>
      <c r="ND691" s="27" t="s">
        <v>7</v>
      </c>
      <c r="NE691" s="27" t="s">
        <v>8</v>
      </c>
      <c r="NF691" s="27" t="s">
        <v>7</v>
      </c>
      <c r="NG691" s="27" t="s">
        <v>8</v>
      </c>
      <c r="NH691" s="27" t="s">
        <v>7</v>
      </c>
      <c r="NI691" s="27" t="s">
        <v>8</v>
      </c>
      <c r="NL691" s="27" t="s">
        <v>7</v>
      </c>
      <c r="NM691" s="27" t="s">
        <v>8</v>
      </c>
      <c r="NN691" s="27" t="s">
        <v>7</v>
      </c>
      <c r="PK691" s="27" t="s">
        <v>8</v>
      </c>
      <c r="PL691" s="27" t="s">
        <v>7</v>
      </c>
      <c r="PO691" s="27" t="s">
        <v>8</v>
      </c>
      <c r="PP691" s="27" t="s">
        <v>7</v>
      </c>
      <c r="PQ691" s="27" t="s">
        <v>8</v>
      </c>
      <c r="PX691" s="27" t="s">
        <v>7</v>
      </c>
      <c r="PY691" s="27" t="s">
        <v>8</v>
      </c>
      <c r="PZ691" s="27" t="s">
        <v>7</v>
      </c>
    </row>
    <row r="692" spans="1:443" x14ac:dyDescent="0.25">
      <c r="A692" s="7">
        <v>0.12502071116324048</v>
      </c>
      <c r="B692"/>
      <c r="C692"/>
      <c r="D692"/>
      <c r="E692"/>
      <c r="F692" s="27" t="s">
        <v>7</v>
      </c>
      <c r="LU692" s="27" t="s">
        <v>8</v>
      </c>
      <c r="LW692" s="27" t="s">
        <v>8</v>
      </c>
      <c r="MH692" s="27" t="s">
        <v>7</v>
      </c>
      <c r="MI692" s="27" t="s">
        <v>8</v>
      </c>
      <c r="MP692" s="27" t="s">
        <v>7</v>
      </c>
      <c r="MQ692" s="27" t="s">
        <v>8</v>
      </c>
      <c r="MR692" s="27" t="s">
        <v>7</v>
      </c>
      <c r="MS692" s="27" t="s">
        <v>8</v>
      </c>
      <c r="MW692" s="27" t="s">
        <v>8</v>
      </c>
      <c r="MX692" s="27" t="s">
        <v>7</v>
      </c>
      <c r="NB692" s="27" t="s">
        <v>7</v>
      </c>
      <c r="NC692" s="27" t="s">
        <v>8</v>
      </c>
      <c r="ND692" s="27" t="s">
        <v>7</v>
      </c>
      <c r="NF692" s="27" t="s">
        <v>7</v>
      </c>
      <c r="NG692" s="27" t="s">
        <v>8</v>
      </c>
      <c r="NH692" s="27" t="s">
        <v>7</v>
      </c>
      <c r="NI692" s="27" t="s">
        <v>8</v>
      </c>
      <c r="NL692" s="27" t="s">
        <v>7</v>
      </c>
      <c r="NM692" s="27" t="s">
        <v>8</v>
      </c>
      <c r="NN692" s="27" t="s">
        <v>7</v>
      </c>
      <c r="PK692" s="27" t="s">
        <v>8</v>
      </c>
      <c r="PL692" s="27" t="s">
        <v>7</v>
      </c>
      <c r="PM692" s="27" t="s">
        <v>8</v>
      </c>
      <c r="PO692" s="27" t="s">
        <v>8</v>
      </c>
      <c r="PP692" s="27" t="s">
        <v>7</v>
      </c>
      <c r="PQ692" s="27" t="s">
        <v>8</v>
      </c>
      <c r="PX692" s="27" t="s">
        <v>7</v>
      </c>
      <c r="PY692" s="27" t="s">
        <v>8</v>
      </c>
    </row>
    <row r="693" spans="1:443" x14ac:dyDescent="0.25">
      <c r="A693" s="7">
        <v>0.1225693246698436</v>
      </c>
      <c r="B693"/>
      <c r="C693"/>
      <c r="D693"/>
      <c r="E693"/>
      <c r="F693" s="27" t="s">
        <v>7</v>
      </c>
      <c r="LU693" s="27" t="s">
        <v>8</v>
      </c>
      <c r="LV693" s="27" t="s">
        <v>7</v>
      </c>
      <c r="LW693" s="27" t="s">
        <v>8</v>
      </c>
      <c r="MH693" s="27" t="s">
        <v>7</v>
      </c>
      <c r="MI693" s="27" t="s">
        <v>8</v>
      </c>
      <c r="MP693" s="27" t="s">
        <v>7</v>
      </c>
      <c r="MQ693" s="27" t="s">
        <v>8</v>
      </c>
      <c r="MR693" s="27" t="s">
        <v>7</v>
      </c>
      <c r="MS693" s="27" t="s">
        <v>8</v>
      </c>
      <c r="MT693" s="27" t="s">
        <v>7</v>
      </c>
      <c r="MW693" s="27" t="s">
        <v>8</v>
      </c>
      <c r="NB693" s="27" t="s">
        <v>7</v>
      </c>
      <c r="NC693" s="27" t="s">
        <v>8</v>
      </c>
      <c r="NF693" s="27" t="s">
        <v>7</v>
      </c>
      <c r="NG693" s="27" t="s">
        <v>8</v>
      </c>
      <c r="NH693" s="27" t="s">
        <v>7</v>
      </c>
      <c r="NI693" s="27" t="s">
        <v>8</v>
      </c>
      <c r="NL693" s="27" t="s">
        <v>7</v>
      </c>
      <c r="NM693" s="27" t="s">
        <v>8</v>
      </c>
      <c r="NN693" s="27" t="s">
        <v>7</v>
      </c>
      <c r="PE693" s="27" t="s">
        <v>8</v>
      </c>
      <c r="PK693" s="27" t="s">
        <v>8</v>
      </c>
      <c r="PL693" s="27" t="s">
        <v>7</v>
      </c>
      <c r="PM693" s="27" t="s">
        <v>8</v>
      </c>
      <c r="PN693" s="27" t="s">
        <v>7</v>
      </c>
      <c r="PO693" s="27" t="s">
        <v>8</v>
      </c>
      <c r="PP693" s="27" t="s">
        <v>7</v>
      </c>
      <c r="PQ693" s="27" t="s">
        <v>8</v>
      </c>
      <c r="PX693" s="27" t="s">
        <v>7</v>
      </c>
      <c r="PY693" s="27" t="s">
        <v>8</v>
      </c>
    </row>
    <row r="694" spans="1:443" x14ac:dyDescent="0.25">
      <c r="A694" s="7">
        <v>0.12016600457827803</v>
      </c>
      <c r="B694"/>
      <c r="C694"/>
      <c r="D694"/>
      <c r="E694"/>
      <c r="F694" s="27" t="s">
        <v>7</v>
      </c>
      <c r="LU694" s="27" t="s">
        <v>8</v>
      </c>
      <c r="LV694" s="27" t="s">
        <v>7</v>
      </c>
      <c r="LW694" s="27" t="s">
        <v>8</v>
      </c>
      <c r="MH694" s="27" t="s">
        <v>7</v>
      </c>
      <c r="MP694" s="27" t="s">
        <v>7</v>
      </c>
      <c r="MQ694" s="27" t="s">
        <v>8</v>
      </c>
      <c r="MR694" s="27" t="s">
        <v>7</v>
      </c>
      <c r="MS694" s="27" t="s">
        <v>8</v>
      </c>
      <c r="MT694" s="27" t="s">
        <v>7</v>
      </c>
      <c r="MW694" s="27" t="s">
        <v>8</v>
      </c>
      <c r="NB694" s="27" t="s">
        <v>7</v>
      </c>
      <c r="NF694" s="27" t="s">
        <v>7</v>
      </c>
      <c r="NG694" s="27" t="s">
        <v>8</v>
      </c>
      <c r="NH694" s="27" t="s">
        <v>7</v>
      </c>
      <c r="NI694" s="27" t="s">
        <v>8</v>
      </c>
      <c r="NL694" s="27" t="s">
        <v>7</v>
      </c>
      <c r="NM694" s="27" t="s">
        <v>8</v>
      </c>
      <c r="NN694" s="27" t="s">
        <v>7</v>
      </c>
      <c r="PE694" s="27" t="s">
        <v>8</v>
      </c>
      <c r="PF694" s="27" t="s">
        <v>7</v>
      </c>
      <c r="PK694" s="27" t="s">
        <v>8</v>
      </c>
      <c r="PL694" s="27" t="s">
        <v>7</v>
      </c>
      <c r="PM694" s="27" t="s">
        <v>8</v>
      </c>
      <c r="PN694" s="27" t="s">
        <v>7</v>
      </c>
      <c r="PO694" s="27" t="s">
        <v>8</v>
      </c>
      <c r="PP694" s="27" t="s">
        <v>7</v>
      </c>
      <c r="PQ694" s="27" t="s">
        <v>8</v>
      </c>
      <c r="PX694" s="27" t="s">
        <v>7</v>
      </c>
    </row>
    <row r="695" spans="1:443" x14ac:dyDescent="0.25">
      <c r="A695" s="7">
        <v>0.1178098084100765</v>
      </c>
      <c r="B695"/>
      <c r="C695"/>
      <c r="D695"/>
      <c r="E695"/>
      <c r="F695" s="27" t="s">
        <v>7</v>
      </c>
      <c r="LU695" s="27" t="s">
        <v>8</v>
      </c>
      <c r="LV695" s="27" t="s">
        <v>7</v>
      </c>
      <c r="LW695" s="27" t="s">
        <v>8</v>
      </c>
      <c r="MP695" s="27" t="s">
        <v>7</v>
      </c>
      <c r="MQ695" s="27" t="s">
        <v>8</v>
      </c>
      <c r="MR695" s="27" t="s">
        <v>7</v>
      </c>
      <c r="MS695" s="27" t="s">
        <v>8</v>
      </c>
      <c r="MT695" s="27" t="s">
        <v>7</v>
      </c>
      <c r="MW695" s="27" t="s">
        <v>8</v>
      </c>
      <c r="NF695" s="27" t="s">
        <v>7</v>
      </c>
      <c r="NG695" s="27" t="s">
        <v>8</v>
      </c>
      <c r="NH695" s="27" t="s">
        <v>7</v>
      </c>
      <c r="NI695" s="27" t="s">
        <v>8</v>
      </c>
      <c r="NL695" s="27" t="s">
        <v>7</v>
      </c>
      <c r="NM695" s="27" t="s">
        <v>8</v>
      </c>
      <c r="NN695" s="27" t="s">
        <v>7</v>
      </c>
      <c r="NQ695" s="27" t="s">
        <v>8</v>
      </c>
      <c r="NS695" s="27" t="s">
        <v>8</v>
      </c>
      <c r="PA695" s="27" t="s">
        <v>8</v>
      </c>
      <c r="PE695" s="27" t="s">
        <v>8</v>
      </c>
      <c r="PF695" s="27" t="s">
        <v>7</v>
      </c>
      <c r="PK695" s="27" t="s">
        <v>8</v>
      </c>
      <c r="PL695" s="27" t="s">
        <v>7</v>
      </c>
      <c r="PM695" s="27" t="s">
        <v>8</v>
      </c>
      <c r="PN695" s="27" t="s">
        <v>7</v>
      </c>
      <c r="PP695" s="27" t="s">
        <v>7</v>
      </c>
      <c r="PQ695" s="27" t="s">
        <v>8</v>
      </c>
    </row>
    <row r="696" spans="1:443" x14ac:dyDescent="0.25">
      <c r="A696" s="7">
        <v>0.11549981216674166</v>
      </c>
      <c r="B696"/>
      <c r="C696"/>
      <c r="D696"/>
      <c r="E696"/>
      <c r="F696" s="27" t="s">
        <v>7</v>
      </c>
      <c r="LU696" s="27" t="s">
        <v>8</v>
      </c>
      <c r="LV696" s="27" t="s">
        <v>7</v>
      </c>
      <c r="LW696" s="27" t="s">
        <v>8</v>
      </c>
      <c r="MP696" s="27" t="s">
        <v>7</v>
      </c>
      <c r="MQ696" s="27" t="s">
        <v>8</v>
      </c>
      <c r="MR696" s="27" t="s">
        <v>7</v>
      </c>
      <c r="MS696" s="27" t="s">
        <v>8</v>
      </c>
      <c r="MT696" s="27" t="s">
        <v>7</v>
      </c>
      <c r="MW696" s="27" t="s">
        <v>8</v>
      </c>
      <c r="NF696" s="27" t="s">
        <v>7</v>
      </c>
      <c r="NG696" s="27" t="s">
        <v>8</v>
      </c>
      <c r="NH696" s="27" t="s">
        <v>7</v>
      </c>
      <c r="NI696" s="27" t="s">
        <v>8</v>
      </c>
      <c r="NL696" s="27" t="s">
        <v>7</v>
      </c>
      <c r="NM696" s="27" t="s">
        <v>8</v>
      </c>
      <c r="NN696" s="27" t="s">
        <v>7</v>
      </c>
      <c r="NQ696" s="27" t="s">
        <v>8</v>
      </c>
      <c r="NR696" s="27" t="s">
        <v>7</v>
      </c>
      <c r="NS696" s="27" t="s">
        <v>8</v>
      </c>
      <c r="NT696" s="27" t="s">
        <v>7</v>
      </c>
      <c r="PA696" s="27" t="s">
        <v>8</v>
      </c>
      <c r="PB696" s="27" t="s">
        <v>7</v>
      </c>
      <c r="PE696" s="27" t="s">
        <v>8</v>
      </c>
      <c r="PF696" s="27" t="s">
        <v>7</v>
      </c>
      <c r="PK696" s="27" t="s">
        <v>8</v>
      </c>
      <c r="PL696" s="27" t="s">
        <v>7</v>
      </c>
      <c r="PP696" s="27" t="s">
        <v>7</v>
      </c>
      <c r="PQ696" s="27" t="s">
        <v>8</v>
      </c>
    </row>
    <row r="697" spans="1:443" x14ac:dyDescent="0.25">
      <c r="A697" s="7">
        <v>0.11323510996739378</v>
      </c>
      <c r="B697"/>
      <c r="C697"/>
      <c r="D697"/>
      <c r="E697"/>
      <c r="F697" s="27" t="s">
        <v>7</v>
      </c>
      <c r="LU697" s="27" t="s">
        <v>8</v>
      </c>
      <c r="LV697" s="27" t="s">
        <v>7</v>
      </c>
      <c r="LW697" s="27" t="s">
        <v>8</v>
      </c>
      <c r="MP697" s="27" t="s">
        <v>7</v>
      </c>
      <c r="MQ697" s="27" t="s">
        <v>8</v>
      </c>
      <c r="MR697" s="27" t="s">
        <v>7</v>
      </c>
      <c r="MS697" s="27" t="s">
        <v>8</v>
      </c>
      <c r="MT697" s="27" t="s">
        <v>7</v>
      </c>
      <c r="MW697" s="27" t="s">
        <v>8</v>
      </c>
      <c r="NF697" s="27" t="s">
        <v>7</v>
      </c>
      <c r="NG697" s="27" t="s">
        <v>8</v>
      </c>
      <c r="NH697" s="27" t="s">
        <v>7</v>
      </c>
      <c r="NI697" s="27" t="s">
        <v>8</v>
      </c>
      <c r="NL697" s="27" t="s">
        <v>7</v>
      </c>
      <c r="NM697" s="27" t="s">
        <v>8</v>
      </c>
      <c r="NN697" s="27" t="s">
        <v>7</v>
      </c>
      <c r="NQ697" s="27" t="s">
        <v>8</v>
      </c>
      <c r="NR697" s="27" t="s">
        <v>7</v>
      </c>
      <c r="NS697" s="27" t="s">
        <v>8</v>
      </c>
      <c r="NT697" s="27" t="s">
        <v>7</v>
      </c>
      <c r="NW697" s="27" t="s">
        <v>8</v>
      </c>
      <c r="PA697" s="27" t="s">
        <v>8</v>
      </c>
      <c r="PB697" s="27" t="s">
        <v>7</v>
      </c>
      <c r="PC697" s="27" t="s">
        <v>8</v>
      </c>
      <c r="PE697" s="27" t="s">
        <v>8</v>
      </c>
      <c r="PF697" s="27" t="s">
        <v>7</v>
      </c>
      <c r="PG697" s="27" t="s">
        <v>8</v>
      </c>
      <c r="PK697" s="27" t="s">
        <v>8</v>
      </c>
      <c r="PP697" s="27" t="s">
        <v>7</v>
      </c>
      <c r="PQ697" s="27" t="s">
        <v>8</v>
      </c>
    </row>
    <row r="698" spans="1:443" x14ac:dyDescent="0.25">
      <c r="A698" s="7">
        <v>0.11101481369352331</v>
      </c>
      <c r="B698"/>
      <c r="C698"/>
      <c r="D698"/>
      <c r="E698"/>
      <c r="F698" s="27" t="s">
        <v>7</v>
      </c>
      <c r="LU698" s="27" t="s">
        <v>8</v>
      </c>
      <c r="LV698" s="27" t="s">
        <v>7</v>
      </c>
      <c r="LW698" s="27" t="s">
        <v>8</v>
      </c>
      <c r="MP698" s="27" t="s">
        <v>7</v>
      </c>
      <c r="MQ698" s="27" t="s">
        <v>8</v>
      </c>
      <c r="MR698" s="27" t="s">
        <v>7</v>
      </c>
      <c r="MS698" s="27" t="s">
        <v>8</v>
      </c>
      <c r="MT698" s="27" t="s">
        <v>7</v>
      </c>
      <c r="MW698" s="27" t="s">
        <v>8</v>
      </c>
      <c r="NF698" s="27" t="s">
        <v>7</v>
      </c>
      <c r="NH698" s="27" t="s">
        <v>7</v>
      </c>
      <c r="NI698" s="27" t="s">
        <v>8</v>
      </c>
      <c r="NL698" s="27" t="s">
        <v>7</v>
      </c>
      <c r="NM698" s="27" t="s">
        <v>8</v>
      </c>
      <c r="NN698" s="27" t="s">
        <v>7</v>
      </c>
      <c r="NQ698" s="27" t="s">
        <v>8</v>
      </c>
      <c r="NR698" s="27" t="s">
        <v>7</v>
      </c>
      <c r="NS698" s="27" t="s">
        <v>8</v>
      </c>
      <c r="NT698" s="27" t="s">
        <v>7</v>
      </c>
      <c r="NW698" s="27" t="s">
        <v>8</v>
      </c>
      <c r="NX698" s="27" t="s">
        <v>7</v>
      </c>
      <c r="PA698" s="27" t="s">
        <v>8</v>
      </c>
      <c r="PB698" s="27" t="s">
        <v>7</v>
      </c>
      <c r="PC698" s="27" t="s">
        <v>8</v>
      </c>
      <c r="PD698" s="27" t="s">
        <v>7</v>
      </c>
      <c r="PE698" s="27" t="s">
        <v>8</v>
      </c>
      <c r="PF698" s="27" t="s">
        <v>7</v>
      </c>
      <c r="PG698" s="27" t="s">
        <v>8</v>
      </c>
      <c r="PH698" s="27" t="s">
        <v>7</v>
      </c>
      <c r="PK698" s="27" t="s">
        <v>8</v>
      </c>
      <c r="PP698" s="27" t="s">
        <v>7</v>
      </c>
      <c r="PQ698" s="27" t="s">
        <v>8</v>
      </c>
    </row>
    <row r="699" spans="1:443" x14ac:dyDescent="0.25">
      <c r="A699" s="7">
        <v>0.10883805264070913</v>
      </c>
      <c r="B699"/>
      <c r="C699"/>
      <c r="D699"/>
      <c r="E699"/>
      <c r="F699" s="27" t="s">
        <v>7</v>
      </c>
      <c r="LU699" s="27" t="s">
        <v>8</v>
      </c>
      <c r="LV699" s="27" t="s">
        <v>7</v>
      </c>
      <c r="MP699" s="27" t="s">
        <v>7</v>
      </c>
      <c r="MQ699" s="27" t="s">
        <v>8</v>
      </c>
      <c r="MR699" s="27" t="s">
        <v>7</v>
      </c>
      <c r="MS699" s="27" t="s">
        <v>8</v>
      </c>
      <c r="MT699" s="27" t="s">
        <v>7</v>
      </c>
      <c r="MU699" s="27" t="s">
        <v>8</v>
      </c>
      <c r="MW699" s="27" t="s">
        <v>8</v>
      </c>
      <c r="NH699" s="27" t="s">
        <v>7</v>
      </c>
      <c r="NI699" s="27" t="s">
        <v>8</v>
      </c>
      <c r="NL699" s="27" t="s">
        <v>7</v>
      </c>
      <c r="NM699" s="27" t="s">
        <v>8</v>
      </c>
      <c r="NN699" s="27" t="s">
        <v>7</v>
      </c>
      <c r="NQ699" s="27" t="s">
        <v>8</v>
      </c>
      <c r="NR699" s="27" t="s">
        <v>7</v>
      </c>
      <c r="NS699" s="27" t="s">
        <v>8</v>
      </c>
      <c r="NT699" s="27" t="s">
        <v>7</v>
      </c>
      <c r="NW699" s="27" t="s">
        <v>8</v>
      </c>
      <c r="NX699" s="27" t="s">
        <v>7</v>
      </c>
      <c r="PA699" s="27" t="s">
        <v>8</v>
      </c>
      <c r="PB699" s="27" t="s">
        <v>7</v>
      </c>
      <c r="PC699" s="27" t="s">
        <v>8</v>
      </c>
      <c r="PD699" s="27" t="s">
        <v>7</v>
      </c>
      <c r="PE699" s="27" t="s">
        <v>8</v>
      </c>
      <c r="PF699" s="27" t="s">
        <v>7</v>
      </c>
      <c r="PG699" s="27" t="s">
        <v>8</v>
      </c>
      <c r="PH699" s="27" t="s">
        <v>7</v>
      </c>
      <c r="PK699" s="27" t="s">
        <v>8</v>
      </c>
      <c r="PP699" s="27" t="s">
        <v>7</v>
      </c>
      <c r="PQ699" s="27" t="s">
        <v>8</v>
      </c>
    </row>
    <row r="700" spans="1:443" x14ac:dyDescent="0.25">
      <c r="A700" s="7">
        <v>0.10670397317716582</v>
      </c>
      <c r="B700"/>
      <c r="C700"/>
      <c r="D700"/>
      <c r="E700"/>
      <c r="F700" s="27" t="s">
        <v>7</v>
      </c>
      <c r="LS700" s="27" t="s">
        <v>8</v>
      </c>
      <c r="LU700" s="27" t="s">
        <v>8</v>
      </c>
      <c r="MP700" s="27" t="s">
        <v>7</v>
      </c>
      <c r="MQ700" s="27" t="s">
        <v>8</v>
      </c>
      <c r="MR700" s="27" t="s">
        <v>7</v>
      </c>
      <c r="MT700" s="27" t="s">
        <v>7</v>
      </c>
      <c r="MU700" s="27" t="s">
        <v>8</v>
      </c>
      <c r="MV700" s="27" t="s">
        <v>7</v>
      </c>
      <c r="MW700" s="27" t="s">
        <v>8</v>
      </c>
      <c r="NH700" s="27" t="s">
        <v>7</v>
      </c>
      <c r="NI700" s="27" t="s">
        <v>8</v>
      </c>
      <c r="NL700" s="27" t="s">
        <v>7</v>
      </c>
      <c r="NM700" s="27" t="s">
        <v>8</v>
      </c>
      <c r="NN700" s="27" t="s">
        <v>7</v>
      </c>
      <c r="NO700" s="27" t="s">
        <v>8</v>
      </c>
      <c r="NQ700" s="27" t="s">
        <v>8</v>
      </c>
      <c r="NR700" s="27" t="s">
        <v>7</v>
      </c>
      <c r="NS700" s="27" t="s">
        <v>8</v>
      </c>
      <c r="NT700" s="27" t="s">
        <v>7</v>
      </c>
      <c r="NW700" s="27" t="s">
        <v>8</v>
      </c>
      <c r="NX700" s="27" t="s">
        <v>7</v>
      </c>
      <c r="PA700" s="27" t="s">
        <v>8</v>
      </c>
      <c r="PB700" s="27" t="s">
        <v>7</v>
      </c>
      <c r="PC700" s="27" t="s">
        <v>8</v>
      </c>
      <c r="PD700" s="27" t="s">
        <v>7</v>
      </c>
      <c r="PE700" s="27" t="s">
        <v>8</v>
      </c>
      <c r="PF700" s="27" t="s">
        <v>7</v>
      </c>
      <c r="PG700" s="27" t="s">
        <v>8</v>
      </c>
      <c r="PH700" s="27" t="s">
        <v>7</v>
      </c>
      <c r="PK700" s="27" t="s">
        <v>8</v>
      </c>
      <c r="PP700" s="27" t="s">
        <v>7</v>
      </c>
      <c r="PQ700" s="27" t="s">
        <v>8</v>
      </c>
    </row>
    <row r="701" spans="1:443" x14ac:dyDescent="0.25">
      <c r="A701" s="7">
        <v>0.1046117384089861</v>
      </c>
      <c r="B701"/>
      <c r="C701"/>
      <c r="D701"/>
      <c r="E701"/>
      <c r="F701" s="27" t="s">
        <v>7</v>
      </c>
      <c r="LS701" s="27" t="s">
        <v>8</v>
      </c>
      <c r="LT701" s="27" t="s">
        <v>7</v>
      </c>
      <c r="LU701" s="27" t="s">
        <v>8</v>
      </c>
      <c r="MP701" s="27" t="s">
        <v>7</v>
      </c>
      <c r="MQ701" s="27" t="s">
        <v>8</v>
      </c>
      <c r="MT701" s="27" t="s">
        <v>7</v>
      </c>
      <c r="MU701" s="27" t="s">
        <v>8</v>
      </c>
      <c r="MV701" s="27" t="s">
        <v>7</v>
      </c>
      <c r="MW701" s="27" t="s">
        <v>8</v>
      </c>
      <c r="NH701" s="27" t="s">
        <v>7</v>
      </c>
      <c r="NI701" s="27" t="s">
        <v>8</v>
      </c>
      <c r="NL701" s="27" t="s">
        <v>7</v>
      </c>
      <c r="NM701" s="27" t="s">
        <v>8</v>
      </c>
      <c r="NN701" s="27" t="s">
        <v>7</v>
      </c>
      <c r="NO701" s="27" t="s">
        <v>8</v>
      </c>
      <c r="NP701" s="27" t="s">
        <v>7</v>
      </c>
      <c r="NQ701" s="27" t="s">
        <v>8</v>
      </c>
      <c r="NR701" s="27" t="s">
        <v>7</v>
      </c>
      <c r="NS701" s="27" t="s">
        <v>8</v>
      </c>
      <c r="NT701" s="27" t="s">
        <v>7</v>
      </c>
      <c r="NU701" s="27" t="s">
        <v>8</v>
      </c>
      <c r="NW701" s="27" t="s">
        <v>8</v>
      </c>
      <c r="NX701" s="27" t="s">
        <v>7</v>
      </c>
      <c r="PA701" s="27" t="s">
        <v>8</v>
      </c>
      <c r="PB701" s="27" t="s">
        <v>7</v>
      </c>
      <c r="PC701" s="27" t="s">
        <v>8</v>
      </c>
      <c r="PD701" s="27" t="s">
        <v>7</v>
      </c>
      <c r="PF701" s="27" t="s">
        <v>7</v>
      </c>
      <c r="PH701" s="27" t="s">
        <v>7</v>
      </c>
      <c r="PI701" s="27" t="s">
        <v>8</v>
      </c>
      <c r="PK701" s="27" t="s">
        <v>8</v>
      </c>
      <c r="PP701" s="27" t="s">
        <v>7</v>
      </c>
      <c r="PQ701" s="27" t="s">
        <v>8</v>
      </c>
    </row>
    <row r="702" spans="1:443" x14ac:dyDescent="0.25">
      <c r="A702" s="7">
        <v>0.10256052785194716</v>
      </c>
      <c r="B702"/>
      <c r="C702"/>
      <c r="D702"/>
      <c r="E702"/>
      <c r="F702" s="27" t="s">
        <v>7</v>
      </c>
      <c r="LS702" s="27" t="s">
        <v>8</v>
      </c>
      <c r="LT702" s="27" t="s">
        <v>7</v>
      </c>
      <c r="LU702" s="27" t="s">
        <v>8</v>
      </c>
      <c r="MP702" s="27" t="s">
        <v>7</v>
      </c>
      <c r="MT702" s="27" t="s">
        <v>7</v>
      </c>
      <c r="MU702" s="27" t="s">
        <v>8</v>
      </c>
      <c r="MV702" s="27" t="s">
        <v>7</v>
      </c>
      <c r="MW702" s="27" t="s">
        <v>8</v>
      </c>
      <c r="NH702" s="27" t="s">
        <v>7</v>
      </c>
      <c r="NI702" s="27" t="s">
        <v>8</v>
      </c>
      <c r="NL702" s="27" t="s">
        <v>7</v>
      </c>
      <c r="NM702" s="27" t="s">
        <v>8</v>
      </c>
      <c r="NN702" s="27" t="s">
        <v>7</v>
      </c>
      <c r="NO702" s="27" t="s">
        <v>8</v>
      </c>
      <c r="NP702" s="27" t="s">
        <v>7</v>
      </c>
      <c r="NQ702" s="27" t="s">
        <v>8</v>
      </c>
      <c r="NR702" s="27" t="s">
        <v>7</v>
      </c>
      <c r="NS702" s="27" t="s">
        <v>8</v>
      </c>
      <c r="NT702" s="27" t="s">
        <v>7</v>
      </c>
      <c r="NU702" s="27" t="s">
        <v>8</v>
      </c>
      <c r="NV702" s="27" t="s">
        <v>7</v>
      </c>
      <c r="NW702" s="27" t="s">
        <v>8</v>
      </c>
      <c r="NX702" s="27" t="s">
        <v>7</v>
      </c>
      <c r="PA702" s="27" t="s">
        <v>8</v>
      </c>
      <c r="PB702" s="27" t="s">
        <v>7</v>
      </c>
      <c r="PC702" s="27" t="s">
        <v>8</v>
      </c>
      <c r="PH702" s="27" t="s">
        <v>7</v>
      </c>
      <c r="PI702" s="27" t="s">
        <v>8</v>
      </c>
      <c r="PJ702" s="27" t="s">
        <v>7</v>
      </c>
      <c r="PK702" s="27" t="s">
        <v>8</v>
      </c>
      <c r="PP702" s="27" t="s">
        <v>7</v>
      </c>
      <c r="PQ702" s="27" t="s">
        <v>8</v>
      </c>
    </row>
    <row r="703" spans="1:443" x14ac:dyDescent="0.25">
      <c r="A703" s="7">
        <v>0.10054953710975212</v>
      </c>
      <c r="B703"/>
      <c r="C703"/>
      <c r="D703"/>
      <c r="E703"/>
      <c r="F703" s="27" t="s">
        <v>7</v>
      </c>
      <c r="LS703" s="27" t="s">
        <v>8</v>
      </c>
      <c r="LT703" s="27" t="s">
        <v>7</v>
      </c>
      <c r="LU703" s="27" t="s">
        <v>8</v>
      </c>
      <c r="MT703" s="27" t="s">
        <v>7</v>
      </c>
      <c r="MU703" s="27" t="s">
        <v>8</v>
      </c>
      <c r="MV703" s="27" t="s">
        <v>7</v>
      </c>
      <c r="MW703" s="27" t="s">
        <v>8</v>
      </c>
      <c r="NH703" s="27" t="s">
        <v>7</v>
      </c>
      <c r="NI703" s="27" t="s">
        <v>8</v>
      </c>
      <c r="NL703" s="27" t="s">
        <v>7</v>
      </c>
      <c r="NM703" s="27" t="s">
        <v>8</v>
      </c>
      <c r="NN703" s="27" t="s">
        <v>7</v>
      </c>
      <c r="NO703" s="27" t="s">
        <v>8</v>
      </c>
      <c r="NP703" s="27" t="s">
        <v>7</v>
      </c>
      <c r="NQ703" s="27" t="s">
        <v>8</v>
      </c>
      <c r="NR703" s="27" t="s">
        <v>7</v>
      </c>
      <c r="NS703" s="27" t="s">
        <v>8</v>
      </c>
      <c r="NT703" s="27" t="s">
        <v>7</v>
      </c>
      <c r="NU703" s="27" t="s">
        <v>8</v>
      </c>
      <c r="NV703" s="27" t="s">
        <v>7</v>
      </c>
      <c r="NW703" s="27" t="s">
        <v>8</v>
      </c>
      <c r="NX703" s="27" t="s">
        <v>7</v>
      </c>
      <c r="NY703" s="27" t="s">
        <v>8</v>
      </c>
      <c r="OY703" s="27" t="s">
        <v>8</v>
      </c>
      <c r="PA703" s="27" t="s">
        <v>8</v>
      </c>
      <c r="PB703" s="27" t="s">
        <v>7</v>
      </c>
      <c r="PC703" s="27" t="s">
        <v>8</v>
      </c>
      <c r="PH703" s="27" t="s">
        <v>7</v>
      </c>
      <c r="PI703" s="27" t="s">
        <v>8</v>
      </c>
      <c r="PJ703" s="27" t="s">
        <v>7</v>
      </c>
      <c r="PK703" s="27" t="s">
        <v>8</v>
      </c>
      <c r="PP703" s="27" t="s">
        <v>7</v>
      </c>
      <c r="PQ703" s="27" t="s">
        <v>8</v>
      </c>
    </row>
    <row r="704" spans="1:443" x14ac:dyDescent="0.25">
      <c r="A704" s="7">
        <v>9.8577977558580512E-2</v>
      </c>
      <c r="B704"/>
      <c r="C704"/>
      <c r="D704"/>
      <c r="E704"/>
      <c r="F704" s="27" t="s">
        <v>7</v>
      </c>
      <c r="LS704" s="27" t="s">
        <v>8</v>
      </c>
      <c r="LT704" s="27" t="s">
        <v>7</v>
      </c>
      <c r="LU704" s="27" t="s">
        <v>8</v>
      </c>
      <c r="MT704" s="27" t="s">
        <v>7</v>
      </c>
      <c r="MU704" s="27" t="s">
        <v>8</v>
      </c>
      <c r="MV704" s="27" t="s">
        <v>7</v>
      </c>
      <c r="MW704" s="27" t="s">
        <v>8</v>
      </c>
      <c r="NH704" s="27" t="s">
        <v>7</v>
      </c>
      <c r="NL704" s="27" t="s">
        <v>7</v>
      </c>
      <c r="NM704" s="27" t="s">
        <v>8</v>
      </c>
      <c r="NN704" s="27" t="s">
        <v>7</v>
      </c>
      <c r="NO704" s="27" t="s">
        <v>8</v>
      </c>
      <c r="NP704" s="27" t="s">
        <v>7</v>
      </c>
      <c r="NQ704" s="27" t="s">
        <v>8</v>
      </c>
      <c r="NR704" s="27" t="s">
        <v>7</v>
      </c>
      <c r="NS704" s="27" t="s">
        <v>8</v>
      </c>
      <c r="NT704" s="27" t="s">
        <v>7</v>
      </c>
      <c r="NU704" s="27" t="s">
        <v>8</v>
      </c>
      <c r="NV704" s="27" t="s">
        <v>7</v>
      </c>
      <c r="NW704" s="27" t="s">
        <v>8</v>
      </c>
      <c r="NX704" s="27" t="s">
        <v>7</v>
      </c>
      <c r="NY704" s="27" t="s">
        <v>8</v>
      </c>
      <c r="NZ704" s="27" t="s">
        <v>7</v>
      </c>
      <c r="OY704" s="27" t="s">
        <v>8</v>
      </c>
      <c r="OZ704" s="27" t="s">
        <v>7</v>
      </c>
      <c r="PA704" s="27" t="s">
        <v>8</v>
      </c>
      <c r="PB704" s="27" t="s">
        <v>7</v>
      </c>
      <c r="PC704" s="27" t="s">
        <v>8</v>
      </c>
      <c r="PH704" s="27" t="s">
        <v>7</v>
      </c>
      <c r="PI704" s="27" t="s">
        <v>8</v>
      </c>
      <c r="PJ704" s="27" t="s">
        <v>7</v>
      </c>
      <c r="PK704" s="27" t="s">
        <v>8</v>
      </c>
      <c r="PP704" s="27" t="s">
        <v>7</v>
      </c>
    </row>
    <row r="705" spans="1:426" x14ac:dyDescent="0.25">
      <c r="A705" s="7">
        <v>9.6645076037824032E-2</v>
      </c>
      <c r="B705"/>
      <c r="C705"/>
      <c r="D705"/>
      <c r="E705"/>
      <c r="F705" s="27" t="s">
        <v>7</v>
      </c>
      <c r="LS705" s="27" t="s">
        <v>8</v>
      </c>
      <c r="LT705" s="27" t="s">
        <v>7</v>
      </c>
      <c r="LU705" s="27" t="s">
        <v>8</v>
      </c>
      <c r="MT705" s="27" t="s">
        <v>7</v>
      </c>
      <c r="MU705" s="27" t="s">
        <v>8</v>
      </c>
      <c r="MV705" s="27" t="s">
        <v>7</v>
      </c>
      <c r="MW705" s="27" t="s">
        <v>8</v>
      </c>
      <c r="NL705" s="27" t="s">
        <v>7</v>
      </c>
      <c r="NM705" s="27" t="s">
        <v>8</v>
      </c>
      <c r="NN705" s="27" t="s">
        <v>7</v>
      </c>
      <c r="NO705" s="27" t="s">
        <v>8</v>
      </c>
      <c r="NP705" s="27" t="s">
        <v>7</v>
      </c>
      <c r="NQ705" s="27" t="s">
        <v>8</v>
      </c>
      <c r="NR705" s="27" t="s">
        <v>7</v>
      </c>
      <c r="NS705" s="27" t="s">
        <v>8</v>
      </c>
      <c r="NT705" s="27" t="s">
        <v>7</v>
      </c>
      <c r="NU705" s="27" t="s">
        <v>8</v>
      </c>
      <c r="NV705" s="27" t="s">
        <v>7</v>
      </c>
      <c r="NX705" s="27" t="s">
        <v>7</v>
      </c>
      <c r="NY705" s="27" t="s">
        <v>8</v>
      </c>
      <c r="NZ705" s="27" t="s">
        <v>7</v>
      </c>
      <c r="OY705" s="27" t="s">
        <v>8</v>
      </c>
      <c r="OZ705" s="27" t="s">
        <v>7</v>
      </c>
      <c r="PA705" s="27" t="s">
        <v>8</v>
      </c>
      <c r="PB705" s="27" t="s">
        <v>7</v>
      </c>
      <c r="PC705" s="27" t="s">
        <v>8</v>
      </c>
      <c r="PH705" s="27" t="s">
        <v>7</v>
      </c>
      <c r="PJ705" s="27" t="s">
        <v>7</v>
      </c>
    </row>
    <row r="706" spans="1:426" x14ac:dyDescent="0.25">
      <c r="A706" s="7">
        <v>9.4750074546886304E-2</v>
      </c>
      <c r="B706"/>
      <c r="C706"/>
      <c r="D706"/>
      <c r="E706"/>
      <c r="F706" s="27" t="s">
        <v>7</v>
      </c>
      <c r="LS706" s="27" t="s">
        <v>8</v>
      </c>
      <c r="LT706" s="27" t="s">
        <v>7</v>
      </c>
      <c r="LU706" s="27" t="s">
        <v>8</v>
      </c>
      <c r="MT706" s="27" t="s">
        <v>7</v>
      </c>
      <c r="MU706" s="27" t="s">
        <v>8</v>
      </c>
      <c r="MV706" s="27" t="s">
        <v>7</v>
      </c>
      <c r="MW706" s="27" t="s">
        <v>8</v>
      </c>
      <c r="NL706" s="27" t="s">
        <v>7</v>
      </c>
      <c r="NM706" s="27" t="s">
        <v>8</v>
      </c>
      <c r="NN706" s="27" t="s">
        <v>7</v>
      </c>
      <c r="NO706" s="27" t="s">
        <v>8</v>
      </c>
      <c r="NP706" s="27" t="s">
        <v>7</v>
      </c>
      <c r="NQ706" s="27" t="s">
        <v>8</v>
      </c>
      <c r="NR706" s="27" t="s">
        <v>7</v>
      </c>
      <c r="NT706" s="27" t="s">
        <v>7</v>
      </c>
      <c r="NU706" s="27" t="s">
        <v>8</v>
      </c>
      <c r="NX706" s="27" t="s">
        <v>7</v>
      </c>
      <c r="NY706" s="27" t="s">
        <v>8</v>
      </c>
      <c r="NZ706" s="27" t="s">
        <v>7</v>
      </c>
      <c r="OY706" s="27" t="s">
        <v>8</v>
      </c>
      <c r="OZ706" s="27" t="s">
        <v>7</v>
      </c>
      <c r="PA706" s="27" t="s">
        <v>8</v>
      </c>
      <c r="PB706" s="27" t="s">
        <v>7</v>
      </c>
      <c r="PC706" s="27" t="s">
        <v>8</v>
      </c>
    </row>
    <row r="707" spans="1:426" x14ac:dyDescent="0.25">
      <c r="A707" s="7">
        <v>9.2892229947927743E-2</v>
      </c>
      <c r="B707"/>
      <c r="C707"/>
      <c r="D707"/>
      <c r="E707"/>
      <c r="F707" s="27" t="s">
        <v>7</v>
      </c>
      <c r="LS707" s="27" t="s">
        <v>8</v>
      </c>
      <c r="LT707" s="27" t="s">
        <v>7</v>
      </c>
      <c r="LU707" s="27" t="s">
        <v>8</v>
      </c>
      <c r="MT707" s="27" t="s">
        <v>7</v>
      </c>
      <c r="MU707" s="27" t="s">
        <v>8</v>
      </c>
      <c r="MV707" s="27" t="s">
        <v>7</v>
      </c>
      <c r="MW707" s="27" t="s">
        <v>8</v>
      </c>
      <c r="NL707" s="27" t="s">
        <v>7</v>
      </c>
      <c r="NM707" s="27" t="s">
        <v>8</v>
      </c>
      <c r="NN707" s="27" t="s">
        <v>7</v>
      </c>
      <c r="NO707" s="27" t="s">
        <v>8</v>
      </c>
      <c r="NP707" s="27" t="s">
        <v>7</v>
      </c>
      <c r="NQ707" s="27" t="s">
        <v>8</v>
      </c>
      <c r="NT707" s="27" t="s">
        <v>7</v>
      </c>
      <c r="NU707" s="27" t="s">
        <v>8</v>
      </c>
      <c r="NX707" s="27" t="s">
        <v>7</v>
      </c>
      <c r="NY707" s="27" t="s">
        <v>8</v>
      </c>
      <c r="NZ707" s="27" t="s">
        <v>7</v>
      </c>
      <c r="OM707" s="27" t="s">
        <v>8</v>
      </c>
      <c r="OY707" s="27" t="s">
        <v>8</v>
      </c>
      <c r="OZ707" s="27" t="s">
        <v>7</v>
      </c>
      <c r="PA707" s="27" t="s">
        <v>8</v>
      </c>
      <c r="PB707" s="27" t="s">
        <v>7</v>
      </c>
      <c r="PC707" s="27" t="s">
        <v>8</v>
      </c>
    </row>
    <row r="708" spans="1:426" x14ac:dyDescent="0.25">
      <c r="A708" s="7">
        <v>9.1070813674438963E-2</v>
      </c>
      <c r="B708"/>
      <c r="C708"/>
      <c r="D708"/>
      <c r="E708"/>
      <c r="F708" s="27" t="s">
        <v>7</v>
      </c>
      <c r="LS708" s="27" t="s">
        <v>8</v>
      </c>
      <c r="LT708" s="27" t="s">
        <v>7</v>
      </c>
      <c r="LU708" s="27" t="s">
        <v>8</v>
      </c>
      <c r="MT708" s="27" t="s">
        <v>7</v>
      </c>
      <c r="MU708" s="27" t="s">
        <v>8</v>
      </c>
      <c r="MV708" s="27" t="s">
        <v>7</v>
      </c>
      <c r="MW708" s="27" t="s">
        <v>8</v>
      </c>
      <c r="NL708" s="27" t="s">
        <v>7</v>
      </c>
      <c r="NM708" s="27" t="s">
        <v>8</v>
      </c>
      <c r="NN708" s="27" t="s">
        <v>7</v>
      </c>
      <c r="NO708" s="27" t="s">
        <v>8</v>
      </c>
      <c r="NP708" s="27" t="s">
        <v>7</v>
      </c>
      <c r="NQ708" s="27" t="s">
        <v>8</v>
      </c>
      <c r="NT708" s="27" t="s">
        <v>7</v>
      </c>
      <c r="NU708" s="27" t="s">
        <v>8</v>
      </c>
      <c r="NX708" s="27" t="s">
        <v>7</v>
      </c>
      <c r="NY708" s="27" t="s">
        <v>8</v>
      </c>
      <c r="NZ708" s="27" t="s">
        <v>7</v>
      </c>
      <c r="OA708" s="27" t="s">
        <v>8</v>
      </c>
      <c r="OM708" s="27" t="s">
        <v>8</v>
      </c>
      <c r="ON708" s="27" t="s">
        <v>7</v>
      </c>
      <c r="OO708" s="27" t="s">
        <v>8</v>
      </c>
      <c r="OY708" s="27" t="s">
        <v>8</v>
      </c>
      <c r="OZ708" s="27" t="s">
        <v>7</v>
      </c>
      <c r="PA708" s="27" t="s">
        <v>8</v>
      </c>
      <c r="PB708" s="27" t="s">
        <v>7</v>
      </c>
    </row>
    <row r="709" spans="1:426" x14ac:dyDescent="0.25">
      <c r="A709" s="7">
        <v>8.9285111445528392E-2</v>
      </c>
      <c r="B709"/>
      <c r="C709"/>
      <c r="D709"/>
      <c r="E709"/>
      <c r="F709" s="27" t="s">
        <v>7</v>
      </c>
      <c r="LS709" s="27" t="s">
        <v>8</v>
      </c>
      <c r="LT709" s="27" t="s">
        <v>7</v>
      </c>
      <c r="LU709" s="27" t="s">
        <v>8</v>
      </c>
      <c r="MT709" s="27" t="s">
        <v>7</v>
      </c>
      <c r="MU709" s="27" t="s">
        <v>8</v>
      </c>
      <c r="MV709" s="27" t="s">
        <v>7</v>
      </c>
      <c r="MW709" s="27" t="s">
        <v>8</v>
      </c>
      <c r="NL709" s="27" t="s">
        <v>7</v>
      </c>
      <c r="NM709" s="27" t="s">
        <v>8</v>
      </c>
      <c r="NN709" s="27" t="s">
        <v>7</v>
      </c>
      <c r="NO709" s="27" t="s">
        <v>8</v>
      </c>
      <c r="NP709" s="27" t="s">
        <v>7</v>
      </c>
      <c r="NQ709" s="27" t="s">
        <v>8</v>
      </c>
      <c r="NT709" s="27" t="s">
        <v>7</v>
      </c>
      <c r="NU709" s="27" t="s">
        <v>8</v>
      </c>
      <c r="NX709" s="27" t="s">
        <v>7</v>
      </c>
      <c r="NZ709" s="27" t="s">
        <v>7</v>
      </c>
      <c r="OA709" s="27" t="s">
        <v>8</v>
      </c>
      <c r="OB709" s="27" t="s">
        <v>7</v>
      </c>
      <c r="OM709" s="27" t="s">
        <v>8</v>
      </c>
      <c r="ON709" s="27" t="s">
        <v>7</v>
      </c>
      <c r="OO709" s="27" t="s">
        <v>8</v>
      </c>
      <c r="OP709" s="27" t="s">
        <v>7</v>
      </c>
      <c r="OY709" s="27" t="s">
        <v>8</v>
      </c>
      <c r="OZ709" s="27" t="s">
        <v>7</v>
      </c>
    </row>
    <row r="710" spans="1:426" x14ac:dyDescent="0.25">
      <c r="A710" s="7">
        <v>8.7534422985812155E-2</v>
      </c>
      <c r="B710"/>
      <c r="C710"/>
      <c r="D710"/>
      <c r="E710"/>
      <c r="F710" s="27" t="s">
        <v>7</v>
      </c>
      <c r="LS710" s="27" t="s">
        <v>8</v>
      </c>
      <c r="LT710" s="27" t="s">
        <v>7</v>
      </c>
      <c r="LU710" s="27" t="s">
        <v>8</v>
      </c>
      <c r="MT710" s="27" t="s">
        <v>7</v>
      </c>
      <c r="MU710" s="27" t="s">
        <v>8</v>
      </c>
      <c r="MV710" s="27" t="s">
        <v>7</v>
      </c>
      <c r="NL710" s="27" t="s">
        <v>7</v>
      </c>
      <c r="NM710" s="27" t="s">
        <v>8</v>
      </c>
      <c r="NN710" s="27" t="s">
        <v>7</v>
      </c>
      <c r="NO710" s="27" t="s">
        <v>8</v>
      </c>
      <c r="NP710" s="27" t="s">
        <v>7</v>
      </c>
      <c r="NQ710" s="27" t="s">
        <v>8</v>
      </c>
      <c r="NT710" s="27" t="s">
        <v>7</v>
      </c>
      <c r="NU710" s="27" t="s">
        <v>8</v>
      </c>
      <c r="NZ710" s="27" t="s">
        <v>7</v>
      </c>
      <c r="OA710" s="27" t="s">
        <v>8</v>
      </c>
      <c r="OB710" s="27" t="s">
        <v>7</v>
      </c>
      <c r="OM710" s="27" t="s">
        <v>8</v>
      </c>
      <c r="ON710" s="27" t="s">
        <v>7</v>
      </c>
      <c r="OO710" s="27" t="s">
        <v>8</v>
      </c>
      <c r="OP710" s="27" t="s">
        <v>7</v>
      </c>
      <c r="OY710" s="27" t="s">
        <v>8</v>
      </c>
    </row>
    <row r="711" spans="1:426" x14ac:dyDescent="0.25">
      <c r="A711" s="7">
        <v>8.5818061750796232E-2</v>
      </c>
      <c r="B711"/>
      <c r="C711"/>
      <c r="D711"/>
      <c r="E711"/>
      <c r="F711" s="27" t="s">
        <v>7</v>
      </c>
      <c r="LS711" s="27" t="s">
        <v>8</v>
      </c>
      <c r="LT711" s="27" t="s">
        <v>7</v>
      </c>
      <c r="LU711" s="27" t="s">
        <v>8</v>
      </c>
      <c r="MT711" s="27" t="s">
        <v>7</v>
      </c>
      <c r="MU711" s="27" t="s">
        <v>8</v>
      </c>
      <c r="NL711" s="27" t="s">
        <v>7</v>
      </c>
      <c r="NM711" s="27" t="s">
        <v>8</v>
      </c>
      <c r="NN711" s="27" t="s">
        <v>7</v>
      </c>
      <c r="NO711" s="27" t="s">
        <v>8</v>
      </c>
      <c r="NP711" s="27" t="s">
        <v>7</v>
      </c>
      <c r="NQ711" s="27" t="s">
        <v>8</v>
      </c>
      <c r="NT711" s="27" t="s">
        <v>7</v>
      </c>
      <c r="NU711" s="27" t="s">
        <v>8</v>
      </c>
      <c r="NZ711" s="27" t="s">
        <v>7</v>
      </c>
      <c r="OA711" s="27" t="s">
        <v>8</v>
      </c>
      <c r="OB711" s="27" t="s">
        <v>7</v>
      </c>
      <c r="OC711" s="27" t="s">
        <v>8</v>
      </c>
      <c r="OE711" s="27" t="s">
        <v>8</v>
      </c>
      <c r="OM711" s="27" t="s">
        <v>8</v>
      </c>
      <c r="ON711" s="27" t="s">
        <v>7</v>
      </c>
      <c r="OO711" s="27" t="s">
        <v>8</v>
      </c>
      <c r="OP711" s="27" t="s">
        <v>7</v>
      </c>
      <c r="OQ711" s="27" t="s">
        <v>8</v>
      </c>
      <c r="OY711" s="27" t="s">
        <v>8</v>
      </c>
    </row>
    <row r="712" spans="1:426" x14ac:dyDescent="0.25">
      <c r="A712" s="7">
        <v>8.4135354657643366E-2</v>
      </c>
      <c r="B712"/>
      <c r="C712"/>
      <c r="D712"/>
      <c r="E712"/>
      <c r="F712" s="27" t="s">
        <v>7</v>
      </c>
      <c r="LS712" s="27" t="s">
        <v>8</v>
      </c>
      <c r="LT712" s="27" t="s">
        <v>7</v>
      </c>
      <c r="LU712" s="27" t="s">
        <v>8</v>
      </c>
      <c r="MT712" s="27" t="s">
        <v>7</v>
      </c>
      <c r="MU712" s="27" t="s">
        <v>8</v>
      </c>
      <c r="NL712" s="27" t="s">
        <v>7</v>
      </c>
      <c r="NM712" s="27" t="s">
        <v>8</v>
      </c>
      <c r="NN712" s="27" t="s">
        <v>7</v>
      </c>
      <c r="NP712" s="27" t="s">
        <v>7</v>
      </c>
      <c r="NQ712" s="27" t="s">
        <v>8</v>
      </c>
      <c r="NT712" s="27" t="s">
        <v>7</v>
      </c>
      <c r="NU712" s="27" t="s">
        <v>8</v>
      </c>
      <c r="NZ712" s="27" t="s">
        <v>7</v>
      </c>
      <c r="OA712" s="27" t="s">
        <v>8</v>
      </c>
      <c r="OB712" s="27" t="s">
        <v>7</v>
      </c>
      <c r="OC712" s="27" t="s">
        <v>8</v>
      </c>
      <c r="OD712" s="27" t="s">
        <v>7</v>
      </c>
      <c r="OE712" s="27" t="s">
        <v>8</v>
      </c>
      <c r="OF712" s="27" t="s">
        <v>7</v>
      </c>
      <c r="OM712" s="27" t="s">
        <v>8</v>
      </c>
      <c r="ON712" s="27" t="s">
        <v>7</v>
      </c>
      <c r="OO712" s="27" t="s">
        <v>8</v>
      </c>
      <c r="OP712" s="27" t="s">
        <v>7</v>
      </c>
      <c r="OQ712" s="27" t="s">
        <v>8</v>
      </c>
      <c r="OR712" s="27" t="s">
        <v>7</v>
      </c>
      <c r="OY712" s="27" t="s">
        <v>8</v>
      </c>
    </row>
    <row r="713" spans="1:426" x14ac:dyDescent="0.25">
      <c r="A713" s="7">
        <v>8.248564182121898E-2</v>
      </c>
      <c r="B713"/>
      <c r="C713"/>
      <c r="D713"/>
      <c r="E713"/>
      <c r="F713" s="27" t="s">
        <v>7</v>
      </c>
      <c r="LS713" s="27" t="s">
        <v>8</v>
      </c>
      <c r="LT713" s="27" t="s">
        <v>7</v>
      </c>
      <c r="LU713" s="27" t="s">
        <v>8</v>
      </c>
      <c r="MT713" s="27" t="s">
        <v>7</v>
      </c>
      <c r="MU713" s="27" t="s">
        <v>8</v>
      </c>
      <c r="NL713" s="27" t="s">
        <v>7</v>
      </c>
      <c r="NM713" s="27" t="s">
        <v>8</v>
      </c>
      <c r="NP713" s="27" t="s">
        <v>7</v>
      </c>
      <c r="NQ713" s="27" t="s">
        <v>8</v>
      </c>
      <c r="NT713" s="27" t="s">
        <v>7</v>
      </c>
      <c r="NU713" s="27" t="s">
        <v>8</v>
      </c>
      <c r="NZ713" s="27" t="s">
        <v>7</v>
      </c>
      <c r="OA713" s="27" t="s">
        <v>8</v>
      </c>
      <c r="OB713" s="27" t="s">
        <v>7</v>
      </c>
      <c r="OC713" s="27" t="s">
        <v>8</v>
      </c>
      <c r="OD713" s="27" t="s">
        <v>7</v>
      </c>
      <c r="OE713" s="27" t="s">
        <v>8</v>
      </c>
      <c r="OF713" s="27" t="s">
        <v>7</v>
      </c>
      <c r="OM713" s="27" t="s">
        <v>8</v>
      </c>
      <c r="ON713" s="27" t="s">
        <v>7</v>
      </c>
      <c r="OO713" s="27" t="s">
        <v>8</v>
      </c>
      <c r="OP713" s="27" t="s">
        <v>7</v>
      </c>
      <c r="OQ713" s="27" t="s">
        <v>8</v>
      </c>
      <c r="OR713" s="27" t="s">
        <v>7</v>
      </c>
      <c r="OU713" s="27" t="s">
        <v>8</v>
      </c>
      <c r="OW713" s="27" t="s">
        <v>8</v>
      </c>
      <c r="OY713" s="27" t="s">
        <v>8</v>
      </c>
    </row>
    <row r="714" spans="1:426" x14ac:dyDescent="0.25">
      <c r="A714" s="7">
        <v>8.0868276295312735E-2</v>
      </c>
      <c r="B714"/>
      <c r="C714"/>
      <c r="D714"/>
      <c r="E714"/>
      <c r="F714" s="27" t="s">
        <v>7</v>
      </c>
      <c r="LS714" s="27" t="s">
        <v>8</v>
      </c>
      <c r="LT714" s="27" t="s">
        <v>7</v>
      </c>
      <c r="LU714" s="27" t="s">
        <v>8</v>
      </c>
      <c r="MT714" s="27" t="s">
        <v>7</v>
      </c>
      <c r="MU714" s="27" t="s">
        <v>8</v>
      </c>
      <c r="NL714" s="27" t="s">
        <v>7</v>
      </c>
      <c r="NM714" s="27" t="s">
        <v>8</v>
      </c>
      <c r="NP714" s="27" t="s">
        <v>7</v>
      </c>
      <c r="NQ714" s="27" t="s">
        <v>8</v>
      </c>
      <c r="NT714" s="27" t="s">
        <v>7</v>
      </c>
      <c r="NU714" s="27" t="s">
        <v>8</v>
      </c>
      <c r="NZ714" s="27" t="s">
        <v>7</v>
      </c>
      <c r="OA714" s="27" t="s">
        <v>8</v>
      </c>
      <c r="OB714" s="27" t="s">
        <v>7</v>
      </c>
      <c r="OC714" s="27" t="s">
        <v>8</v>
      </c>
      <c r="OD714" s="27" t="s">
        <v>7</v>
      </c>
      <c r="OF714" s="27" t="s">
        <v>7</v>
      </c>
      <c r="OM714" s="27" t="s">
        <v>8</v>
      </c>
      <c r="ON714" s="27" t="s">
        <v>7</v>
      </c>
      <c r="OO714" s="27" t="s">
        <v>8</v>
      </c>
      <c r="OP714" s="27" t="s">
        <v>7</v>
      </c>
      <c r="OQ714" s="27" t="s">
        <v>8</v>
      </c>
      <c r="OR714" s="27" t="s">
        <v>7</v>
      </c>
      <c r="OU714" s="27" t="s">
        <v>8</v>
      </c>
      <c r="OV714" s="27" t="s">
        <v>7</v>
      </c>
      <c r="OW714" s="27" t="s">
        <v>8</v>
      </c>
      <c r="OX714" s="27" t="s">
        <v>7</v>
      </c>
      <c r="OY714" s="27" t="s">
        <v>8</v>
      </c>
    </row>
    <row r="715" spans="1:426" x14ac:dyDescent="0.25">
      <c r="A715" s="7">
        <v>7.9282623818934056E-2</v>
      </c>
      <c r="B715"/>
      <c r="C715"/>
      <c r="D715"/>
      <c r="E715"/>
      <c r="F715" s="27" t="s">
        <v>7</v>
      </c>
      <c r="LS715" s="27" t="s">
        <v>8</v>
      </c>
      <c r="LT715" s="27" t="s">
        <v>7</v>
      </c>
      <c r="LU715" s="27" t="s">
        <v>8</v>
      </c>
      <c r="MT715" s="27" t="s">
        <v>7</v>
      </c>
      <c r="MU715" s="27" t="s">
        <v>8</v>
      </c>
      <c r="NL715" s="27" t="s">
        <v>7</v>
      </c>
      <c r="NM715" s="27" t="s">
        <v>8</v>
      </c>
      <c r="NP715" s="27" t="s">
        <v>7</v>
      </c>
      <c r="NQ715" s="27" t="s">
        <v>8</v>
      </c>
      <c r="NT715" s="27" t="s">
        <v>7</v>
      </c>
      <c r="NU715" s="27" t="s">
        <v>8</v>
      </c>
      <c r="NZ715" s="27" t="s">
        <v>7</v>
      </c>
      <c r="OB715" s="27" t="s">
        <v>7</v>
      </c>
      <c r="OC715" s="27" t="s">
        <v>8</v>
      </c>
      <c r="OF715" s="27" t="s">
        <v>7</v>
      </c>
      <c r="OM715" s="27" t="s">
        <v>8</v>
      </c>
      <c r="ON715" s="27" t="s">
        <v>7</v>
      </c>
      <c r="OO715" s="27" t="s">
        <v>8</v>
      </c>
      <c r="OP715" s="27" t="s">
        <v>7</v>
      </c>
      <c r="OQ715" s="27" t="s">
        <v>8</v>
      </c>
      <c r="OR715" s="27" t="s">
        <v>7</v>
      </c>
      <c r="OU715" s="27" t="s">
        <v>8</v>
      </c>
      <c r="OV715" s="27" t="s">
        <v>7</v>
      </c>
      <c r="OW715" s="27" t="s">
        <v>8</v>
      </c>
      <c r="OX715" s="27" t="s">
        <v>7</v>
      </c>
      <c r="OY715" s="27" t="s">
        <v>8</v>
      </c>
    </row>
    <row r="716" spans="1:426" x14ac:dyDescent="0.25">
      <c r="A716" s="7">
        <v>7.7728062567582412E-2</v>
      </c>
      <c r="B716"/>
      <c r="C716"/>
      <c r="D716"/>
      <c r="E716"/>
      <c r="F716" s="27" t="s">
        <v>7</v>
      </c>
      <c r="LS716" s="27" t="s">
        <v>8</v>
      </c>
      <c r="LT716" s="27" t="s">
        <v>7</v>
      </c>
      <c r="LU716" s="27" t="s">
        <v>8</v>
      </c>
      <c r="MT716" s="27" t="s">
        <v>7</v>
      </c>
      <c r="MU716" s="27" t="s">
        <v>8</v>
      </c>
      <c r="NL716" s="27" t="s">
        <v>7</v>
      </c>
      <c r="NM716" s="27" t="s">
        <v>8</v>
      </c>
      <c r="NP716" s="27" t="s">
        <v>7</v>
      </c>
      <c r="NQ716" s="27" t="s">
        <v>8</v>
      </c>
      <c r="NT716" s="27" t="s">
        <v>7</v>
      </c>
      <c r="OB716" s="27" t="s">
        <v>7</v>
      </c>
      <c r="OC716" s="27" t="s">
        <v>8</v>
      </c>
      <c r="OF716" s="27" t="s">
        <v>7</v>
      </c>
      <c r="OM716" s="27" t="s">
        <v>8</v>
      </c>
      <c r="ON716" s="27" t="s">
        <v>7</v>
      </c>
      <c r="OP716" s="27" t="s">
        <v>7</v>
      </c>
      <c r="OR716" s="27" t="s">
        <v>7</v>
      </c>
      <c r="OU716" s="27" t="s">
        <v>8</v>
      </c>
      <c r="OV716" s="27" t="s">
        <v>7</v>
      </c>
      <c r="OW716" s="27" t="s">
        <v>8</v>
      </c>
      <c r="OX716" s="27" t="s">
        <v>7</v>
      </c>
      <c r="OY716" s="27" t="s">
        <v>8</v>
      </c>
    </row>
    <row r="717" spans="1:426" x14ac:dyDescent="0.25">
      <c r="A717" s="7">
        <v>7.6203982909394521E-2</v>
      </c>
      <c r="B717"/>
      <c r="C717"/>
      <c r="D717"/>
      <c r="E717"/>
      <c r="F717" s="27" t="s">
        <v>7</v>
      </c>
      <c r="LS717" s="27" t="s">
        <v>8</v>
      </c>
      <c r="LT717" s="27" t="s">
        <v>7</v>
      </c>
      <c r="LU717" s="27" t="s">
        <v>8</v>
      </c>
      <c r="MT717" s="27" t="s">
        <v>7</v>
      </c>
      <c r="MU717" s="27" t="s">
        <v>8</v>
      </c>
      <c r="NL717" s="27" t="s">
        <v>7</v>
      </c>
      <c r="NM717" s="27" t="s">
        <v>8</v>
      </c>
      <c r="NP717" s="27" t="s">
        <v>7</v>
      </c>
      <c r="NQ717" s="27" t="s">
        <v>8</v>
      </c>
      <c r="OB717" s="27" t="s">
        <v>7</v>
      </c>
      <c r="OC717" s="27" t="s">
        <v>8</v>
      </c>
      <c r="OF717" s="27" t="s">
        <v>7</v>
      </c>
      <c r="OM717" s="27" t="s">
        <v>8</v>
      </c>
      <c r="OR717" s="27" t="s">
        <v>7</v>
      </c>
      <c r="OU717" s="27" t="s">
        <v>8</v>
      </c>
      <c r="OV717" s="27" t="s">
        <v>7</v>
      </c>
      <c r="OW717" s="27" t="s">
        <v>8</v>
      </c>
      <c r="OX717" s="27" t="s">
        <v>7</v>
      </c>
      <c r="OY717" s="27" t="s">
        <v>8</v>
      </c>
    </row>
    <row r="718" spans="1:426" x14ac:dyDescent="0.25">
      <c r="A718" s="7">
        <v>7.4709787166073058E-2</v>
      </c>
      <c r="B718"/>
      <c r="C718"/>
      <c r="D718"/>
      <c r="E718"/>
      <c r="F718" s="27" t="s">
        <v>7</v>
      </c>
      <c r="LS718" s="27" t="s">
        <v>8</v>
      </c>
      <c r="LT718" s="27" t="s">
        <v>7</v>
      </c>
      <c r="MT718" s="27" t="s">
        <v>7</v>
      </c>
      <c r="MU718" s="27" t="s">
        <v>8</v>
      </c>
      <c r="NL718" s="27" t="s">
        <v>7</v>
      </c>
      <c r="NM718" s="27" t="s">
        <v>8</v>
      </c>
      <c r="NP718" s="27" t="s">
        <v>7</v>
      </c>
      <c r="NQ718" s="27" t="s">
        <v>8</v>
      </c>
      <c r="OB718" s="27" t="s">
        <v>7</v>
      </c>
      <c r="OC718" s="27" t="s">
        <v>8</v>
      </c>
      <c r="OF718" s="27" t="s">
        <v>7</v>
      </c>
      <c r="OM718" s="27" t="s">
        <v>8</v>
      </c>
      <c r="OR718" s="27" t="s">
        <v>7</v>
      </c>
      <c r="OS718" s="27" t="s">
        <v>8</v>
      </c>
      <c r="OU718" s="27" t="s">
        <v>8</v>
      </c>
      <c r="OV718" s="27" t="s">
        <v>7</v>
      </c>
      <c r="OW718" s="27" t="s">
        <v>8</v>
      </c>
      <c r="OX718" s="27" t="s">
        <v>7</v>
      </c>
      <c r="OY718" s="27" t="s">
        <v>8</v>
      </c>
    </row>
    <row r="719" spans="1:426" x14ac:dyDescent="0.25">
      <c r="A719" s="7">
        <v>7.3244889378503E-2</v>
      </c>
      <c r="B719"/>
      <c r="C719"/>
      <c r="D719"/>
      <c r="E719"/>
      <c r="F719" s="27" t="s">
        <v>7</v>
      </c>
      <c r="LS719" s="27" t="s">
        <v>8</v>
      </c>
      <c r="MT719" s="27" t="s">
        <v>7</v>
      </c>
      <c r="MU719" s="27" t="s">
        <v>8</v>
      </c>
      <c r="NL719" s="27" t="s">
        <v>7</v>
      </c>
      <c r="NM719" s="27" t="s">
        <v>8</v>
      </c>
      <c r="NP719" s="27" t="s">
        <v>7</v>
      </c>
      <c r="NQ719" s="27" t="s">
        <v>8</v>
      </c>
      <c r="OB719" s="27" t="s">
        <v>7</v>
      </c>
      <c r="OF719" s="27" t="s">
        <v>7</v>
      </c>
      <c r="OM719" s="27" t="s">
        <v>8</v>
      </c>
      <c r="OR719" s="27" t="s">
        <v>7</v>
      </c>
      <c r="OS719" s="27" t="s">
        <v>8</v>
      </c>
      <c r="OT719" s="27" t="s">
        <v>7</v>
      </c>
      <c r="OU719" s="27" t="s">
        <v>8</v>
      </c>
      <c r="OV719" s="27" t="s">
        <v>7</v>
      </c>
      <c r="OW719" s="27" t="s">
        <v>8</v>
      </c>
      <c r="OX719" s="27" t="s">
        <v>7</v>
      </c>
    </row>
    <row r="720" spans="1:426" x14ac:dyDescent="0.25">
      <c r="A720" s="7">
        <v>7.1808715076963722E-2</v>
      </c>
      <c r="B720"/>
      <c r="C720"/>
      <c r="D720"/>
      <c r="E720"/>
      <c r="F720" s="27" t="s">
        <v>7</v>
      </c>
      <c r="LS720" s="27" t="s">
        <v>8</v>
      </c>
      <c r="MT720" s="27" t="s">
        <v>7</v>
      </c>
      <c r="MU720" s="27" t="s">
        <v>8</v>
      </c>
      <c r="NL720" s="27" t="s">
        <v>7</v>
      </c>
      <c r="NM720" s="27" t="s">
        <v>8</v>
      </c>
      <c r="NP720" s="27" t="s">
        <v>7</v>
      </c>
      <c r="NQ720" s="27" t="s">
        <v>8</v>
      </c>
      <c r="OF720" s="27" t="s">
        <v>7</v>
      </c>
      <c r="OM720" s="27" t="s">
        <v>8</v>
      </c>
      <c r="OR720" s="27" t="s">
        <v>7</v>
      </c>
      <c r="OS720" s="27" t="s">
        <v>8</v>
      </c>
      <c r="OT720" s="27" t="s">
        <v>7</v>
      </c>
      <c r="OU720" s="27" t="s">
        <v>8</v>
      </c>
      <c r="OV720" s="27" t="s">
        <v>7</v>
      </c>
      <c r="OW720" s="27" t="s">
        <v>8</v>
      </c>
    </row>
    <row r="721" spans="1:412" x14ac:dyDescent="0.25">
      <c r="A721" s="7">
        <v>7.0400701055846782E-2</v>
      </c>
      <c r="B721"/>
      <c r="C721"/>
      <c r="D721"/>
      <c r="E721"/>
      <c r="F721" s="27" t="s">
        <v>7</v>
      </c>
      <c r="LS721" s="27" t="s">
        <v>8</v>
      </c>
      <c r="MT721" s="27" t="s">
        <v>7</v>
      </c>
      <c r="NL721" s="27" t="s">
        <v>7</v>
      </c>
      <c r="NP721" s="27" t="s">
        <v>7</v>
      </c>
      <c r="NQ721" s="27" t="s">
        <v>8</v>
      </c>
      <c r="OF721" s="27" t="s">
        <v>7</v>
      </c>
      <c r="OI721" s="27" t="s">
        <v>8</v>
      </c>
      <c r="OM721" s="27" t="s">
        <v>8</v>
      </c>
      <c r="OR721" s="27" t="s">
        <v>7</v>
      </c>
      <c r="OS721" s="27" t="s">
        <v>8</v>
      </c>
      <c r="OT721" s="27" t="s">
        <v>7</v>
      </c>
      <c r="OU721" s="27" t="s">
        <v>8</v>
      </c>
      <c r="OV721" s="27" t="s">
        <v>7</v>
      </c>
    </row>
    <row r="722" spans="1:412" x14ac:dyDescent="0.25">
      <c r="A722" s="7">
        <v>6.9020295152790956E-2</v>
      </c>
      <c r="B722"/>
      <c r="C722"/>
      <c r="D722"/>
      <c r="E722"/>
      <c r="F722" s="27" t="s">
        <v>7</v>
      </c>
      <c r="LS722" s="27" t="s">
        <v>8</v>
      </c>
      <c r="NP722" s="27" t="s">
        <v>7</v>
      </c>
      <c r="NQ722" s="27" t="s">
        <v>8</v>
      </c>
      <c r="OF722" s="27" t="s">
        <v>7</v>
      </c>
      <c r="OI722" s="27" t="s">
        <v>8</v>
      </c>
      <c r="OJ722" s="27" t="s">
        <v>7</v>
      </c>
      <c r="OM722" s="27" t="s">
        <v>8</v>
      </c>
      <c r="OR722" s="27" t="s">
        <v>7</v>
      </c>
      <c r="OS722" s="27" t="s">
        <v>8</v>
      </c>
      <c r="OT722" s="27" t="s">
        <v>7</v>
      </c>
    </row>
    <row r="723" spans="1:412" x14ac:dyDescent="0.25">
      <c r="A723" s="7">
        <v>6.7666956032147993E-2</v>
      </c>
      <c r="B723"/>
      <c r="C723"/>
      <c r="D723"/>
      <c r="E723"/>
      <c r="F723" s="27" t="s">
        <v>7</v>
      </c>
      <c r="LS723" s="27" t="s">
        <v>8</v>
      </c>
      <c r="NP723" s="27" t="s">
        <v>7</v>
      </c>
      <c r="NQ723" s="27" t="s">
        <v>8</v>
      </c>
      <c r="OF723" s="27" t="s">
        <v>7</v>
      </c>
      <c r="OI723" s="27" t="s">
        <v>8</v>
      </c>
      <c r="OJ723" s="27" t="s">
        <v>7</v>
      </c>
      <c r="OK723" s="27" t="s">
        <v>8</v>
      </c>
      <c r="OM723" s="27" t="s">
        <v>8</v>
      </c>
      <c r="OR723" s="27" t="s">
        <v>7</v>
      </c>
      <c r="OS723" s="27" t="s">
        <v>8</v>
      </c>
    </row>
    <row r="724" spans="1:412" x14ac:dyDescent="0.25">
      <c r="A724" s="7">
        <v>6.6340152972694105E-2</v>
      </c>
      <c r="B724"/>
      <c r="C724"/>
      <c r="D724"/>
      <c r="E724"/>
      <c r="F724" s="27" t="s">
        <v>7</v>
      </c>
      <c r="LS724" s="27" t="s">
        <v>8</v>
      </c>
      <c r="NP724" s="27" t="s">
        <v>7</v>
      </c>
      <c r="NQ724" s="27" t="s">
        <v>8</v>
      </c>
      <c r="OF724" s="27" t="s">
        <v>7</v>
      </c>
      <c r="OI724" s="27" t="s">
        <v>8</v>
      </c>
      <c r="OJ724" s="27" t="s">
        <v>7</v>
      </c>
      <c r="OK724" s="27" t="s">
        <v>8</v>
      </c>
      <c r="OL724" s="27" t="s">
        <v>7</v>
      </c>
      <c r="OM724" s="27" t="s">
        <v>8</v>
      </c>
      <c r="OR724" s="27" t="s">
        <v>7</v>
      </c>
      <c r="OS724" s="27" t="s">
        <v>8</v>
      </c>
    </row>
    <row r="725" spans="1:412" x14ac:dyDescent="0.25">
      <c r="A725" s="7">
        <v>6.5039365659504023E-2</v>
      </c>
      <c r="B725"/>
      <c r="C725"/>
      <c r="D725"/>
      <c r="E725"/>
      <c r="F725" s="27" t="s">
        <v>7</v>
      </c>
      <c r="LS725" s="27" t="s">
        <v>8</v>
      </c>
      <c r="NP725" s="27" t="s">
        <v>7</v>
      </c>
      <c r="NQ725" s="27" t="s">
        <v>8</v>
      </c>
      <c r="OF725" s="27" t="s">
        <v>7</v>
      </c>
      <c r="OI725" s="27" t="s">
        <v>8</v>
      </c>
      <c r="OJ725" s="27" t="s">
        <v>7</v>
      </c>
      <c r="OK725" s="27" t="s">
        <v>8</v>
      </c>
      <c r="OL725" s="27" t="s">
        <v>7</v>
      </c>
      <c r="OM725" s="27" t="s">
        <v>8</v>
      </c>
      <c r="OR725" s="27" t="s">
        <v>7</v>
      </c>
      <c r="OS725" s="27" t="s">
        <v>8</v>
      </c>
    </row>
    <row r="726" spans="1:412" x14ac:dyDescent="0.25">
      <c r="A726" s="7">
        <v>6.3764083979905906E-2</v>
      </c>
      <c r="B726"/>
      <c r="C726"/>
      <c r="D726"/>
      <c r="E726"/>
      <c r="F726" s="27" t="s">
        <v>7</v>
      </c>
      <c r="LS726" s="27" t="s">
        <v>8</v>
      </c>
      <c r="NP726" s="27" t="s">
        <v>7</v>
      </c>
      <c r="NQ726" s="27" t="s">
        <v>8</v>
      </c>
      <c r="OF726" s="27" t="s">
        <v>7</v>
      </c>
      <c r="OI726" s="27" t="s">
        <v>8</v>
      </c>
      <c r="OJ726" s="27" t="s">
        <v>7</v>
      </c>
      <c r="OK726" s="27" t="s">
        <v>8</v>
      </c>
      <c r="OL726" s="27" t="s">
        <v>7</v>
      </c>
      <c r="OM726" s="27" t="s">
        <v>8</v>
      </c>
      <c r="OR726" s="27" t="s">
        <v>7</v>
      </c>
      <c r="OS726" s="27" t="s">
        <v>8</v>
      </c>
    </row>
    <row r="727" spans="1:412" x14ac:dyDescent="0.25">
      <c r="A727" s="7">
        <v>6.251380782343717E-2</v>
      </c>
      <c r="B727"/>
      <c r="C727"/>
      <c r="D727"/>
      <c r="E727"/>
      <c r="F727" s="27" t="s">
        <v>7</v>
      </c>
      <c r="LS727" s="27" t="s">
        <v>8</v>
      </c>
      <c r="NP727" s="27" t="s">
        <v>7</v>
      </c>
      <c r="NQ727" s="27" t="s">
        <v>8</v>
      </c>
      <c r="OF727" s="27" t="s">
        <v>7</v>
      </c>
      <c r="OG727" s="27" t="s">
        <v>8</v>
      </c>
      <c r="OI727" s="27" t="s">
        <v>8</v>
      </c>
      <c r="OJ727" s="27" t="s">
        <v>7</v>
      </c>
      <c r="OK727" s="27" t="s">
        <v>8</v>
      </c>
      <c r="OL727" s="27" t="s">
        <v>7</v>
      </c>
      <c r="OR727" s="27" t="s">
        <v>7</v>
      </c>
      <c r="OS727" s="27" t="s">
        <v>8</v>
      </c>
    </row>
    <row r="728" spans="1:412" x14ac:dyDescent="0.25">
      <c r="A728" s="7">
        <v>6.1288046885722716E-2</v>
      </c>
      <c r="B728"/>
      <c r="C728"/>
      <c r="D728"/>
      <c r="E728"/>
      <c r="F728" s="27" t="s">
        <v>7</v>
      </c>
      <c r="LS728" s="27" t="s">
        <v>8</v>
      </c>
      <c r="NP728" s="27" t="s">
        <v>7</v>
      </c>
      <c r="NQ728" s="27" t="s">
        <v>8</v>
      </c>
      <c r="OF728" s="27" t="s">
        <v>7</v>
      </c>
      <c r="OG728" s="27" t="s">
        <v>8</v>
      </c>
      <c r="OH728" s="27" t="s">
        <v>7</v>
      </c>
      <c r="OI728" s="27" t="s">
        <v>8</v>
      </c>
      <c r="OJ728" s="27" t="s">
        <v>7</v>
      </c>
      <c r="OR728" s="27" t="s">
        <v>7</v>
      </c>
      <c r="OS728" s="27" t="s">
        <v>8</v>
      </c>
    </row>
    <row r="729" spans="1:412" x14ac:dyDescent="0.25">
      <c r="A729" s="7">
        <v>6.0086320476198739E-2</v>
      </c>
      <c r="B729"/>
      <c r="C729"/>
      <c r="D729"/>
      <c r="E729"/>
      <c r="F729" s="27" t="s">
        <v>7</v>
      </c>
      <c r="LS729" s="27" t="s">
        <v>8</v>
      </c>
      <c r="NP729" s="27" t="s">
        <v>7</v>
      </c>
      <c r="NQ729" s="27" t="s">
        <v>8</v>
      </c>
      <c r="OF729" s="27" t="s">
        <v>7</v>
      </c>
      <c r="OG729" s="27" t="s">
        <v>8</v>
      </c>
      <c r="OH729" s="27" t="s">
        <v>7</v>
      </c>
      <c r="OI729" s="27" t="s">
        <v>8</v>
      </c>
      <c r="OR729" s="18" t="s">
        <v>7</v>
      </c>
      <c r="OS729" s="27" t="s">
        <v>8</v>
      </c>
    </row>
    <row r="730" spans="1:412" x14ac:dyDescent="0.25">
      <c r="A730" s="7">
        <v>5.8908157329606609E-2</v>
      </c>
      <c r="B730"/>
      <c r="C730"/>
      <c r="D730"/>
      <c r="E730"/>
      <c r="F730" s="27" t="s">
        <v>7</v>
      </c>
      <c r="LS730" s="27" t="s">
        <v>8</v>
      </c>
      <c r="NP730" s="27" t="s">
        <v>7</v>
      </c>
      <c r="OF730" s="27" t="s">
        <v>7</v>
      </c>
      <c r="OG730" s="27" t="s">
        <v>8</v>
      </c>
      <c r="OH730" s="27" t="s">
        <v>7</v>
      </c>
      <c r="OI730" s="27" t="s">
        <v>8</v>
      </c>
      <c r="OR730" s="27" t="s">
        <v>7</v>
      </c>
      <c r="OS730" s="27" t="s">
        <v>8</v>
      </c>
    </row>
    <row r="731" spans="1:412" x14ac:dyDescent="0.25">
      <c r="A731" s="7">
        <v>5.7753095421182947E-2</v>
      </c>
      <c r="B731"/>
      <c r="C731"/>
      <c r="D731"/>
      <c r="E731"/>
      <c r="F731" s="27" t="s">
        <v>7</v>
      </c>
      <c r="LS731" s="27" t="s">
        <v>8</v>
      </c>
      <c r="OF731" s="27" t="s">
        <v>7</v>
      </c>
      <c r="OG731" s="27" t="s">
        <v>8</v>
      </c>
      <c r="OH731" s="27" t="s">
        <v>7</v>
      </c>
      <c r="OI731" s="27" t="s">
        <v>8</v>
      </c>
      <c r="OR731" s="27" t="s">
        <v>7</v>
      </c>
      <c r="OS731" s="27" t="s">
        <v>8</v>
      </c>
    </row>
    <row r="732" spans="1:412" x14ac:dyDescent="0.25">
      <c r="A732" s="7">
        <v>5.6620681785473484E-2</v>
      </c>
      <c r="B732"/>
      <c r="C732"/>
      <c r="D732"/>
      <c r="E732"/>
      <c r="F732" s="27" t="s">
        <v>7</v>
      </c>
      <c r="LS732" s="27" t="s">
        <v>8</v>
      </c>
      <c r="OF732" s="27" t="s">
        <v>7</v>
      </c>
      <c r="OG732" s="27" t="s">
        <v>8</v>
      </c>
      <c r="OH732" s="27" t="s">
        <v>7</v>
      </c>
      <c r="OI732" s="27" t="s">
        <v>8</v>
      </c>
      <c r="OR732" s="27" t="s">
        <v>7</v>
      </c>
      <c r="OS732" s="27" t="s">
        <v>8</v>
      </c>
    </row>
    <row r="733" spans="1:412" x14ac:dyDescent="0.25">
      <c r="A733" s="7">
        <v>5.5510472338699497E-2</v>
      </c>
      <c r="B733"/>
      <c r="C733"/>
      <c r="D733"/>
      <c r="E733"/>
      <c r="F733" s="27" t="s">
        <v>7</v>
      </c>
      <c r="LS733" s="27" t="s">
        <v>8</v>
      </c>
      <c r="OF733" s="27" t="s">
        <v>7</v>
      </c>
      <c r="OG733" s="27" t="s">
        <v>8</v>
      </c>
      <c r="OH733" s="27" t="s">
        <v>7</v>
      </c>
      <c r="OI733" s="27" t="s">
        <v>8</v>
      </c>
      <c r="OR733" s="27" t="s">
        <v>7</v>
      </c>
      <c r="OS733" s="27" t="s">
        <v>8</v>
      </c>
    </row>
    <row r="734" spans="1:412" x14ac:dyDescent="0.25">
      <c r="A734" s="7">
        <v>5.4422031704607354E-2</v>
      </c>
      <c r="B734"/>
      <c r="C734"/>
      <c r="D734"/>
      <c r="E734"/>
      <c r="F734" s="27" t="s">
        <v>7</v>
      </c>
      <c r="LS734" s="27" t="s">
        <v>8</v>
      </c>
      <c r="OF734" s="27" t="s">
        <v>7</v>
      </c>
      <c r="OG734" s="27" t="s">
        <v>8</v>
      </c>
      <c r="OH734" s="27" t="s">
        <v>7</v>
      </c>
      <c r="OI734" s="27" t="s">
        <v>8</v>
      </c>
      <c r="OR734" s="27" t="s">
        <v>7</v>
      </c>
    </row>
    <row r="735" spans="1:412" x14ac:dyDescent="0.25">
      <c r="A735" s="7">
        <v>5.3354933043732705E-2</v>
      </c>
      <c r="B735"/>
      <c r="C735"/>
      <c r="D735"/>
      <c r="E735"/>
      <c r="F735" s="27" t="s">
        <v>7</v>
      </c>
      <c r="LS735" s="27" t="s">
        <v>8</v>
      </c>
      <c r="OF735" s="27" t="s">
        <v>7</v>
      </c>
      <c r="OG735" s="27" t="s">
        <v>8</v>
      </c>
      <c r="OH735" s="27" t="s">
        <v>7</v>
      </c>
    </row>
    <row r="736" spans="1:412" x14ac:dyDescent="0.25">
      <c r="A736" s="7">
        <v>5.2308757886012455E-2</v>
      </c>
      <c r="B736"/>
      <c r="C736"/>
      <c r="D736"/>
      <c r="E736"/>
      <c r="F736" s="27" t="s">
        <v>7</v>
      </c>
      <c r="LS736" s="27" t="s">
        <v>8</v>
      </c>
      <c r="OF736" s="27" t="s">
        <v>7</v>
      </c>
      <c r="OG736" s="27" t="s">
        <v>8</v>
      </c>
    </row>
    <row r="737" spans="1:397" x14ac:dyDescent="0.25">
      <c r="A737" s="7">
        <v>5.1283095966678877E-2</v>
      </c>
      <c r="B737"/>
      <c r="C737"/>
      <c r="D737"/>
      <c r="E737"/>
      <c r="F737" s="27" t="s">
        <v>7</v>
      </c>
      <c r="LS737" s="27" t="s">
        <v>8</v>
      </c>
      <c r="OF737" s="27" t="s">
        <v>7</v>
      </c>
      <c r="OG737" s="27" t="s">
        <v>8</v>
      </c>
    </row>
    <row r="738" spans="1:397" x14ac:dyDescent="0.25">
      <c r="A738" s="7">
        <v>5.0277545065371444E-2</v>
      </c>
      <c r="B738"/>
      <c r="C738"/>
      <c r="D738"/>
      <c r="E738"/>
      <c r="F738" s="27" t="s">
        <v>7</v>
      </c>
      <c r="LS738" s="27" t="s">
        <v>8</v>
      </c>
      <c r="OF738" s="27" t="s">
        <v>7</v>
      </c>
      <c r="OG738" s="27" t="s">
        <v>8</v>
      </c>
    </row>
    <row r="739" spans="1:397" x14ac:dyDescent="0.25">
      <c r="A739" s="7">
        <v>4.9291710848403378E-2</v>
      </c>
      <c r="B739"/>
      <c r="C739"/>
      <c r="D739"/>
      <c r="E739"/>
      <c r="F739" s="27" t="s">
        <v>7</v>
      </c>
      <c r="LS739" s="27" t="s">
        <v>8</v>
      </c>
      <c r="OF739" s="27" t="s">
        <v>7</v>
      </c>
      <c r="OG739" s="27" t="s">
        <v>8</v>
      </c>
    </row>
    <row r="740" spans="1:397" x14ac:dyDescent="0.25">
      <c r="A740" s="7">
        <v>4.8325206714120959E-2</v>
      </c>
      <c r="B740"/>
      <c r="C740"/>
      <c r="D740"/>
      <c r="E740"/>
      <c r="F740" s="27" t="s">
        <v>7</v>
      </c>
      <c r="LS740" s="27" t="s">
        <v>8</v>
      </c>
      <c r="OF740" s="27" t="s">
        <v>7</v>
      </c>
      <c r="OG740" s="27" t="s">
        <v>8</v>
      </c>
    </row>
    <row r="741" spans="1:397" x14ac:dyDescent="0.25">
      <c r="A741" s="7">
        <v>4.7377653641295057E-2</v>
      </c>
      <c r="B741"/>
      <c r="C741"/>
      <c r="D741"/>
      <c r="E741"/>
      <c r="F741" s="27" t="s">
        <v>7</v>
      </c>
      <c r="LS741" s="27" t="s">
        <v>8</v>
      </c>
      <c r="OF741" s="27" t="s">
        <v>7</v>
      </c>
    </row>
    <row r="742" spans="1:397" x14ac:dyDescent="0.25">
      <c r="A742" s="7">
        <v>4.644868004048535E-2</v>
      </c>
      <c r="B742"/>
      <c r="C742"/>
      <c r="D742"/>
      <c r="E742"/>
      <c r="F742" s="27" t="s">
        <v>7</v>
      </c>
      <c r="LQ742" s="27" t="s">
        <v>8</v>
      </c>
      <c r="LS742" s="27" t="s">
        <v>8</v>
      </c>
    </row>
    <row r="743" spans="1:397" x14ac:dyDescent="0.25">
      <c r="A743" s="7">
        <v>4.5537921608318974E-2</v>
      </c>
      <c r="B743"/>
      <c r="C743"/>
      <c r="D743"/>
      <c r="E743"/>
      <c r="F743" s="27" t="s">
        <v>7</v>
      </c>
      <c r="LQ743" s="27" t="s">
        <v>8</v>
      </c>
      <c r="LR743" s="27" t="s">
        <v>7</v>
      </c>
      <c r="LS743" s="27" t="s">
        <v>8</v>
      </c>
    </row>
    <row r="744" spans="1:397" x14ac:dyDescent="0.25">
      <c r="A744" s="7">
        <v>4.4645021184626446E-2</v>
      </c>
      <c r="B744"/>
      <c r="C744"/>
      <c r="D744"/>
      <c r="E744"/>
      <c r="F744" s="27" t="s">
        <v>7</v>
      </c>
      <c r="LQ744" s="27" t="s">
        <v>8</v>
      </c>
      <c r="LR744" s="27" t="s">
        <v>7</v>
      </c>
      <c r="LS744" s="27" t="s">
        <v>8</v>
      </c>
    </row>
    <row r="745" spans="1:397" x14ac:dyDescent="0.25">
      <c r="A745" s="7">
        <v>4.3769628612378868E-2</v>
      </c>
      <c r="B745"/>
      <c r="C745"/>
      <c r="D745"/>
      <c r="E745"/>
      <c r="F745" s="27" t="s">
        <v>7</v>
      </c>
      <c r="LQ745" s="27" t="s">
        <v>8</v>
      </c>
      <c r="LR745" s="27" t="s">
        <v>7</v>
      </c>
      <c r="LS745" s="27" t="s">
        <v>8</v>
      </c>
    </row>
    <row r="746" spans="1:397" x14ac:dyDescent="0.25">
      <c r="A746" s="7">
        <v>4.2911400600371442E-2</v>
      </c>
      <c r="B746"/>
      <c r="C746"/>
      <c r="D746"/>
      <c r="E746"/>
      <c r="F746" s="27" t="s">
        <v>7</v>
      </c>
      <c r="LO746" s="27" t="s">
        <v>8</v>
      </c>
      <c r="LQ746" s="27" t="s">
        <v>8</v>
      </c>
      <c r="LR746" s="27" t="s">
        <v>7</v>
      </c>
      <c r="LS746" s="27" t="s">
        <v>8</v>
      </c>
    </row>
    <row r="747" spans="1:397" x14ac:dyDescent="0.25">
      <c r="A747" s="7">
        <v>4.2070000588599457E-2</v>
      </c>
      <c r="B747"/>
      <c r="C747"/>
      <c r="D747"/>
      <c r="E747"/>
      <c r="F747" s="27" t="s">
        <v>7</v>
      </c>
      <c r="LO747" s="27" t="s">
        <v>8</v>
      </c>
      <c r="LP747" s="27" t="s">
        <v>7</v>
      </c>
      <c r="LQ747" s="27" t="s">
        <v>8</v>
      </c>
      <c r="LR747" s="27" t="s">
        <v>7</v>
      </c>
      <c r="LS747" s="27" t="s">
        <v>8</v>
      </c>
    </row>
    <row r="748" spans="1:397" x14ac:dyDescent="0.25">
      <c r="A748" s="7">
        <v>4.1245098616273977E-2</v>
      </c>
      <c r="B748"/>
      <c r="C748"/>
      <c r="D748"/>
      <c r="E748"/>
      <c r="F748" s="27" t="s">
        <v>7</v>
      </c>
      <c r="LO748" s="27" t="s">
        <v>8</v>
      </c>
      <c r="LP748" s="27" t="s">
        <v>7</v>
      </c>
      <c r="LQ748" s="27" t="s">
        <v>8</v>
      </c>
      <c r="LR748" s="27" t="s">
        <v>7</v>
      </c>
      <c r="LS748" s="27" t="s">
        <v>8</v>
      </c>
    </row>
    <row r="749" spans="1:397" x14ac:dyDescent="0.25">
      <c r="A749" s="7">
        <v>4.043637119242547E-2</v>
      </c>
      <c r="B749"/>
      <c r="C749"/>
      <c r="D749"/>
      <c r="E749"/>
      <c r="F749" s="27" t="s">
        <v>7</v>
      </c>
      <c r="LO749" s="27" t="s">
        <v>8</v>
      </c>
      <c r="LP749" s="27" t="s">
        <v>7</v>
      </c>
      <c r="LQ749" s="27" t="s">
        <v>8</v>
      </c>
      <c r="LR749" s="27" t="s">
        <v>7</v>
      </c>
      <c r="LS749" s="27" t="s">
        <v>8</v>
      </c>
    </row>
    <row r="750" spans="1:397" x14ac:dyDescent="0.25">
      <c r="A750" s="7">
        <v>3.9643501169044582E-2</v>
      </c>
      <c r="B750"/>
      <c r="C750"/>
      <c r="D750"/>
      <c r="E750"/>
      <c r="F750" s="27" t="s">
        <v>7</v>
      </c>
      <c r="LO750" s="27" t="s">
        <v>8</v>
      </c>
      <c r="LP750" s="27" t="s">
        <v>7</v>
      </c>
      <c r="LQ750" s="27" t="s">
        <v>8</v>
      </c>
      <c r="LR750" s="27" t="s">
        <v>7</v>
      </c>
      <c r="LS750" s="27" t="s">
        <v>8</v>
      </c>
    </row>
    <row r="751" spans="1:397" x14ac:dyDescent="0.25">
      <c r="A751" s="7">
        <v>3.8866177616710372E-2</v>
      </c>
      <c r="B751"/>
      <c r="C751"/>
      <c r="D751"/>
      <c r="E751"/>
      <c r="F751" s="27" t="s">
        <v>7</v>
      </c>
      <c r="LO751" s="27" t="s">
        <v>8</v>
      </c>
      <c r="LP751" s="27" t="s">
        <v>7</v>
      </c>
      <c r="LQ751" s="27" t="s">
        <v>8</v>
      </c>
      <c r="LR751" s="27" t="s">
        <v>7</v>
      </c>
    </row>
    <row r="752" spans="1:397" x14ac:dyDescent="0.25">
      <c r="A752" s="7">
        <v>3.8104095702657229E-2</v>
      </c>
      <c r="B752"/>
      <c r="C752"/>
      <c r="D752"/>
      <c r="E752"/>
      <c r="F752" s="27" t="s">
        <v>7</v>
      </c>
      <c r="LE752" s="27" t="s">
        <v>8</v>
      </c>
      <c r="LO752" s="27" t="s">
        <v>8</v>
      </c>
      <c r="LP752" s="27" t="s">
        <v>7</v>
      </c>
      <c r="LQ752" s="27" t="s">
        <v>8</v>
      </c>
    </row>
    <row r="753" spans="1:329" x14ac:dyDescent="0.25">
      <c r="A753" s="7">
        <v>3.7356956571232579E-2</v>
      </c>
      <c r="B753"/>
      <c r="C753"/>
      <c r="D753"/>
      <c r="E753"/>
      <c r="F753" s="27" t="s">
        <v>7</v>
      </c>
      <c r="LE753" s="27" t="s">
        <v>8</v>
      </c>
      <c r="LF753" s="27" t="s">
        <v>7</v>
      </c>
      <c r="LO753" s="27" t="s">
        <v>8</v>
      </c>
      <c r="LP753" s="27" t="s">
        <v>7</v>
      </c>
      <c r="LQ753" s="27" t="s">
        <v>8</v>
      </c>
    </row>
    <row r="754" spans="1:329" x14ac:dyDescent="0.25">
      <c r="A754" s="7">
        <v>3.6624467226698605E-2</v>
      </c>
      <c r="B754"/>
      <c r="C754"/>
      <c r="D754"/>
      <c r="E754"/>
      <c r="F754" s="27" t="s">
        <v>7</v>
      </c>
      <c r="LE754" s="27" t="s">
        <v>8</v>
      </c>
      <c r="LF754" s="27" t="s">
        <v>7</v>
      </c>
      <c r="LO754" s="27" t="s">
        <v>8</v>
      </c>
      <c r="LP754" s="27" t="s">
        <v>7</v>
      </c>
      <c r="LQ754" s="27" t="s">
        <v>8</v>
      </c>
    </row>
    <row r="755" spans="1:329" x14ac:dyDescent="0.25">
      <c r="A755" s="7">
        <v>3.5906340418331961E-2</v>
      </c>
      <c r="B755"/>
      <c r="C755"/>
      <c r="D755"/>
      <c r="E755"/>
      <c r="F755" s="27" t="s">
        <v>7</v>
      </c>
      <c r="LE755" s="27" t="s">
        <v>8</v>
      </c>
      <c r="LF755" s="27" t="s">
        <v>7</v>
      </c>
      <c r="LO755" s="27" t="s">
        <v>8</v>
      </c>
      <c r="LP755" s="27" t="s">
        <v>7</v>
      </c>
      <c r="LQ755" s="27" t="s">
        <v>8</v>
      </c>
    </row>
    <row r="756" spans="1:329" x14ac:dyDescent="0.25">
      <c r="A756" s="7">
        <v>3.5202294527776436E-2</v>
      </c>
      <c r="B756"/>
      <c r="C756"/>
      <c r="D756"/>
      <c r="E756"/>
      <c r="F756" s="27" t="s">
        <v>7</v>
      </c>
      <c r="LE756" s="27" t="s">
        <v>8</v>
      </c>
      <c r="LF756" s="27" t="s">
        <v>7</v>
      </c>
      <c r="LO756" s="27" t="s">
        <v>8</v>
      </c>
      <c r="LP756" s="27" t="s">
        <v>7</v>
      </c>
      <c r="LQ756" s="27" t="s">
        <v>8</v>
      </c>
    </row>
    <row r="757" spans="1:329" x14ac:dyDescent="0.25">
      <c r="A757" s="7">
        <v>3.451205345860435E-2</v>
      </c>
      <c r="B757"/>
      <c r="C757"/>
      <c r="D757"/>
      <c r="E757"/>
      <c r="F757" s="27" t="s">
        <v>7</v>
      </c>
      <c r="LE757" s="27" t="s">
        <v>8</v>
      </c>
      <c r="LF757" s="27" t="s">
        <v>7</v>
      </c>
      <c r="LI757" s="27" t="s">
        <v>8</v>
      </c>
      <c r="LO757" s="27" t="s">
        <v>8</v>
      </c>
      <c r="LP757" s="27" t="s">
        <v>7</v>
      </c>
    </row>
    <row r="758" spans="1:329" x14ac:dyDescent="0.25">
      <c r="A758" s="7">
        <v>3.3835346528043479E-2</v>
      </c>
      <c r="B758"/>
      <c r="C758"/>
      <c r="D758"/>
      <c r="E758"/>
      <c r="F758" s="27" t="s">
        <v>7</v>
      </c>
      <c r="LE758" s="27" t="s">
        <v>8</v>
      </c>
      <c r="LF758" s="27" t="s">
        <v>7</v>
      </c>
      <c r="LI758" s="27" t="s">
        <v>8</v>
      </c>
      <c r="LJ758" s="27" t="s">
        <v>7</v>
      </c>
      <c r="LO758" s="27" t="s">
        <v>8</v>
      </c>
    </row>
    <row r="759" spans="1:329" x14ac:dyDescent="0.25">
      <c r="A759" s="7">
        <v>3.3171908360826938E-2</v>
      </c>
      <c r="B759"/>
      <c r="C759"/>
      <c r="D759"/>
      <c r="E759"/>
      <c r="F759" s="27" t="s">
        <v>7</v>
      </c>
      <c r="LE759" s="27" t="s">
        <v>8</v>
      </c>
      <c r="LF759" s="27" t="s">
        <v>7</v>
      </c>
      <c r="LG759" s="27" t="s">
        <v>8</v>
      </c>
      <c r="LI759" s="27" t="s">
        <v>8</v>
      </c>
      <c r="LJ759" s="27" t="s">
        <v>7</v>
      </c>
      <c r="LO759" s="27" t="s">
        <v>8</v>
      </c>
    </row>
    <row r="760" spans="1:329" x14ac:dyDescent="0.25">
      <c r="A760" s="7">
        <v>3.2521478785124451E-2</v>
      </c>
      <c r="B760"/>
      <c r="C760"/>
      <c r="D760"/>
      <c r="E760"/>
      <c r="F760" s="27" t="s">
        <v>7</v>
      </c>
      <c r="LE760" s="27" t="s">
        <v>8</v>
      </c>
      <c r="LF760" s="27" t="s">
        <v>7</v>
      </c>
      <c r="LG760" s="27" t="s">
        <v>8</v>
      </c>
      <c r="LH760" s="27" t="s">
        <v>7</v>
      </c>
      <c r="LI760" s="27" t="s">
        <v>8</v>
      </c>
      <c r="LJ760" s="27" t="s">
        <v>7</v>
      </c>
      <c r="LO760" s="27" t="s">
        <v>8</v>
      </c>
    </row>
    <row r="761" spans="1:329" x14ac:dyDescent="0.25">
      <c r="A761" s="7">
        <v>3.1883802730514173E-2</v>
      </c>
      <c r="B761"/>
      <c r="C761"/>
      <c r="D761"/>
      <c r="E761"/>
      <c r="F761" s="27" t="s">
        <v>7</v>
      </c>
      <c r="LE761" s="27" t="s">
        <v>8</v>
      </c>
      <c r="LF761" s="27" t="s">
        <v>7</v>
      </c>
      <c r="LG761" s="27" t="s">
        <v>8</v>
      </c>
      <c r="LH761" s="27" t="s">
        <v>7</v>
      </c>
      <c r="LI761" s="27" t="s">
        <v>8</v>
      </c>
      <c r="LJ761" s="27" t="s">
        <v>7</v>
      </c>
      <c r="LM761" s="27" t="s">
        <v>8</v>
      </c>
      <c r="LO761" s="27" t="s">
        <v>8</v>
      </c>
    </row>
    <row r="762" spans="1:329" x14ac:dyDescent="0.25">
      <c r="A762" s="7">
        <v>3.1258630127955073E-2</v>
      </c>
      <c r="B762"/>
      <c r="C762"/>
      <c r="D762"/>
      <c r="E762"/>
      <c r="F762" s="27" t="s">
        <v>7</v>
      </c>
      <c r="LE762" s="27" t="s">
        <v>8</v>
      </c>
      <c r="LF762" s="27" t="s">
        <v>7</v>
      </c>
      <c r="LG762" s="27" t="s">
        <v>8</v>
      </c>
      <c r="LH762" s="27" t="s">
        <v>7</v>
      </c>
      <c r="LI762" s="27" t="s">
        <v>8</v>
      </c>
      <c r="LJ762" s="27" t="s">
        <v>7</v>
      </c>
      <c r="LM762" s="27" t="s">
        <v>8</v>
      </c>
      <c r="LN762" s="27" t="s">
        <v>7</v>
      </c>
      <c r="LO762" s="27" t="s">
        <v>8</v>
      </c>
    </row>
    <row r="763" spans="1:329" x14ac:dyDescent="0.25">
      <c r="A763" s="7">
        <v>3.064571581172066E-2</v>
      </c>
      <c r="B763"/>
      <c r="C763"/>
      <c r="D763"/>
      <c r="E763"/>
      <c r="F763" s="27" t="s">
        <v>7</v>
      </c>
      <c r="G763" s="27" t="s">
        <v>8</v>
      </c>
      <c r="LE763" s="27" t="s">
        <v>8</v>
      </c>
      <c r="LF763" s="27" t="s">
        <v>7</v>
      </c>
      <c r="LG763" s="27" t="s">
        <v>8</v>
      </c>
      <c r="LH763" s="27" t="s">
        <v>7</v>
      </c>
      <c r="LI763" s="27" t="s">
        <v>8</v>
      </c>
      <c r="LJ763" s="27" t="s">
        <v>7</v>
      </c>
      <c r="LM763" s="27" t="s">
        <v>8</v>
      </c>
      <c r="LN763" s="27" t="s">
        <v>7</v>
      </c>
      <c r="LO763" s="27" t="s">
        <v>8</v>
      </c>
    </row>
    <row r="764" spans="1:329" x14ac:dyDescent="0.25">
      <c r="A764" s="7">
        <v>3.0044819423255549E-2</v>
      </c>
      <c r="B764"/>
      <c r="C764"/>
      <c r="D764"/>
      <c r="E764"/>
      <c r="F764" s="27" t="s">
        <v>7</v>
      </c>
      <c r="G764" s="27" t="s">
        <v>8</v>
      </c>
      <c r="H764" s="27" t="s">
        <v>7</v>
      </c>
      <c r="LE764" s="27" t="s">
        <v>8</v>
      </c>
      <c r="LF764" s="27" t="s">
        <v>7</v>
      </c>
      <c r="LG764" s="27" t="s">
        <v>8</v>
      </c>
      <c r="LH764" s="27" t="s">
        <v>7</v>
      </c>
      <c r="LI764" s="27" t="s">
        <v>8</v>
      </c>
      <c r="LJ764" s="27" t="s">
        <v>7</v>
      </c>
      <c r="LK764" s="27" t="s">
        <v>8</v>
      </c>
      <c r="LM764" s="27" t="s">
        <v>8</v>
      </c>
      <c r="LN764" s="27" t="s">
        <v>7</v>
      </c>
      <c r="LO764" s="27" t="s">
        <v>8</v>
      </c>
    </row>
    <row r="765" spans="1:329" x14ac:dyDescent="0.25">
      <c r="A765" s="7">
        <v>2.9455705316917203E-2</v>
      </c>
      <c r="B765"/>
      <c r="C765"/>
      <c r="D765"/>
      <c r="E765"/>
      <c r="F765" s="27" t="s">
        <v>7</v>
      </c>
      <c r="G765" s="27" t="s">
        <v>8</v>
      </c>
      <c r="H765" s="27" t="s">
        <v>7</v>
      </c>
      <c r="LE765" s="27" t="s">
        <v>8</v>
      </c>
      <c r="LF765" s="27" t="s">
        <v>7</v>
      </c>
      <c r="LG765" s="27" t="s">
        <v>8</v>
      </c>
      <c r="LH765" s="27" t="s">
        <v>7</v>
      </c>
      <c r="LI765" s="27" t="s">
        <v>8</v>
      </c>
      <c r="LJ765" s="27" t="s">
        <v>7</v>
      </c>
      <c r="LK765" s="27" t="s">
        <v>8</v>
      </c>
      <c r="LL765" s="27" t="s">
        <v>7</v>
      </c>
      <c r="LM765" s="27" t="s">
        <v>8</v>
      </c>
      <c r="LN765" s="27" t="s">
        <v>7</v>
      </c>
      <c r="LO765" s="27" t="s">
        <v>8</v>
      </c>
    </row>
    <row r="766" spans="1:329" x14ac:dyDescent="0.25">
      <c r="A766" s="7">
        <v>2.8878142467565884E-2</v>
      </c>
      <c r="B766"/>
      <c r="C766"/>
      <c r="D766"/>
      <c r="E766"/>
      <c r="F766" s="27" t="s">
        <v>7</v>
      </c>
      <c r="G766" s="27" t="s">
        <v>8</v>
      </c>
      <c r="H766" s="27" t="s">
        <v>7</v>
      </c>
      <c r="LE766" s="27" t="s">
        <v>8</v>
      </c>
      <c r="LF766" s="27" t="s">
        <v>7</v>
      </c>
      <c r="LG766" s="27" t="s">
        <v>8</v>
      </c>
      <c r="LH766" s="27" t="s">
        <v>7</v>
      </c>
      <c r="LI766" s="27" t="s">
        <v>8</v>
      </c>
      <c r="LJ766" s="27" t="s">
        <v>7</v>
      </c>
      <c r="LK766" s="27" t="s">
        <v>8</v>
      </c>
      <c r="LL766" s="27" t="s">
        <v>7</v>
      </c>
      <c r="LM766" s="27" t="s">
        <v>8</v>
      </c>
      <c r="LN766" s="27" t="s">
        <v>7</v>
      </c>
    </row>
    <row r="767" spans="1:329" x14ac:dyDescent="0.25">
      <c r="A767" s="7">
        <v>2.8311904379966554E-2</v>
      </c>
      <c r="B767"/>
      <c r="C767"/>
      <c r="D767"/>
      <c r="E767"/>
      <c r="F767" s="27" t="s">
        <v>7</v>
      </c>
      <c r="G767" s="27" t="s">
        <v>8</v>
      </c>
      <c r="H767" s="27" t="s">
        <v>7</v>
      </c>
      <c r="LE767" s="27" t="s">
        <v>8</v>
      </c>
      <c r="LF767" s="27" t="s">
        <v>7</v>
      </c>
      <c r="LG767" s="27" t="s">
        <v>8</v>
      </c>
      <c r="LH767" s="27" t="s">
        <v>7</v>
      </c>
      <c r="LI767" s="27" t="s">
        <v>8</v>
      </c>
      <c r="LJ767" s="27" t="s">
        <v>7</v>
      </c>
      <c r="LK767" s="27" t="s">
        <v>8</v>
      </c>
      <c r="LL767" s="27" t="s">
        <v>7</v>
      </c>
      <c r="LM767" s="27" t="s">
        <v>8</v>
      </c>
    </row>
    <row r="768" spans="1:329" x14ac:dyDescent="0.25">
      <c r="A768" s="7">
        <v>2.7756768999967207E-2</v>
      </c>
      <c r="B768"/>
      <c r="C768"/>
      <c r="D768"/>
      <c r="E768"/>
      <c r="F768" s="27" t="s">
        <v>7</v>
      </c>
      <c r="G768" s="27" t="s">
        <v>8</v>
      </c>
      <c r="H768" s="27" t="s">
        <v>7</v>
      </c>
      <c r="LE768" s="27" t="s">
        <v>8</v>
      </c>
      <c r="LF768" s="27" t="s">
        <v>7</v>
      </c>
      <c r="LG768" s="27" t="s">
        <v>8</v>
      </c>
      <c r="LH768" s="27" t="s">
        <v>7</v>
      </c>
      <c r="LI768" s="27" t="s">
        <v>8</v>
      </c>
      <c r="LJ768" s="27" t="s">
        <v>7</v>
      </c>
      <c r="LK768" s="27" t="s">
        <v>8</v>
      </c>
      <c r="LL768" s="27" t="s">
        <v>7</v>
      </c>
      <c r="LM768" s="27" t="s">
        <v>8</v>
      </c>
    </row>
    <row r="769" spans="1:325" x14ac:dyDescent="0.25">
      <c r="A769" s="7">
        <v>2.7212518627418834E-2</v>
      </c>
      <c r="B769"/>
      <c r="C769"/>
      <c r="D769"/>
      <c r="E769"/>
      <c r="F769" s="27" t="s">
        <v>7</v>
      </c>
      <c r="G769" s="27" t="s">
        <v>8</v>
      </c>
      <c r="H769" s="27" t="s">
        <v>7</v>
      </c>
      <c r="I769" s="27" t="s">
        <v>8</v>
      </c>
      <c r="LE769" s="27" t="s">
        <v>8</v>
      </c>
      <c r="LF769" s="27" t="s">
        <v>7</v>
      </c>
      <c r="LH769" s="27" t="s">
        <v>7</v>
      </c>
      <c r="LI769" s="27" t="s">
        <v>8</v>
      </c>
      <c r="LJ769" s="27" t="s">
        <v>7</v>
      </c>
      <c r="LK769" s="27" t="s">
        <v>8</v>
      </c>
      <c r="LL769" s="27" t="s">
        <v>7</v>
      </c>
      <c r="LM769" s="27" t="s">
        <v>8</v>
      </c>
    </row>
    <row r="770" spans="1:325" x14ac:dyDescent="0.25">
      <c r="A770" s="7">
        <v>2.6678939830802779E-2</v>
      </c>
      <c r="B770"/>
      <c r="C770"/>
      <c r="D770"/>
      <c r="E770"/>
      <c r="F770" s="27" t="s">
        <v>7</v>
      </c>
      <c r="G770" s="27" t="s">
        <v>8</v>
      </c>
      <c r="H770" s="27" t="s">
        <v>7</v>
      </c>
      <c r="I770" s="27" t="s">
        <v>8</v>
      </c>
      <c r="J770" s="27" t="s">
        <v>7</v>
      </c>
      <c r="LE770" s="27" t="s">
        <v>8</v>
      </c>
      <c r="LH770" s="27" t="s">
        <v>7</v>
      </c>
      <c r="LI770" s="27" t="s">
        <v>8</v>
      </c>
      <c r="LJ770" s="27" t="s">
        <v>7</v>
      </c>
      <c r="LK770" s="27" t="s">
        <v>8</v>
      </c>
      <c r="LL770" s="27" t="s">
        <v>7</v>
      </c>
      <c r="LM770" s="27" t="s">
        <v>8</v>
      </c>
    </row>
    <row r="771" spans="1:325" x14ac:dyDescent="0.25">
      <c r="A771" s="7">
        <v>2.615582336353214E-2</v>
      </c>
      <c r="B771"/>
      <c r="C771"/>
      <c r="D771"/>
      <c r="E771"/>
      <c r="F771" s="27" t="s">
        <v>7</v>
      </c>
      <c r="G771" s="27" t="s">
        <v>8</v>
      </c>
      <c r="H771" s="27" t="s">
        <v>7</v>
      </c>
      <c r="I771" s="27" t="s">
        <v>8</v>
      </c>
      <c r="J771" s="27" t="s">
        <v>7</v>
      </c>
      <c r="LE771" s="27" t="s">
        <v>8</v>
      </c>
      <c r="LH771" s="27" t="s">
        <v>7</v>
      </c>
      <c r="LI771" s="27" t="s">
        <v>8</v>
      </c>
      <c r="LJ771" s="27" t="s">
        <v>7</v>
      </c>
      <c r="LK771" s="27" t="s">
        <v>8</v>
      </c>
      <c r="LL771" s="27" t="s">
        <v>7</v>
      </c>
      <c r="LM771" s="27" t="s">
        <v>8</v>
      </c>
    </row>
    <row r="772" spans="1:325" x14ac:dyDescent="0.25">
      <c r="A772" s="7">
        <v>2.5642964081894253E-2</v>
      </c>
      <c r="B772"/>
      <c r="C772"/>
      <c r="D772"/>
      <c r="E772"/>
      <c r="F772" s="27" t="s">
        <v>7</v>
      </c>
      <c r="G772" s="27" t="s">
        <v>8</v>
      </c>
      <c r="H772" s="27" t="s">
        <v>7</v>
      </c>
      <c r="I772" s="27" t="s">
        <v>8</v>
      </c>
      <c r="J772" s="27" t="s">
        <v>7</v>
      </c>
      <c r="LE772" s="27" t="s">
        <v>8</v>
      </c>
      <c r="LH772" s="27" t="s">
        <v>7</v>
      </c>
      <c r="LI772" s="27" t="s">
        <v>8</v>
      </c>
      <c r="LJ772" s="27" t="s">
        <v>7</v>
      </c>
      <c r="LK772" s="27" t="s">
        <v>8</v>
      </c>
      <c r="LL772" s="27" t="s">
        <v>7</v>
      </c>
      <c r="LM772" s="27" t="s">
        <v>8</v>
      </c>
    </row>
    <row r="773" spans="1:325" x14ac:dyDescent="0.25">
      <c r="A773" s="7">
        <v>2.5140160864602207E-2</v>
      </c>
      <c r="B773"/>
      <c r="C773"/>
      <c r="D773"/>
      <c r="E773"/>
      <c r="F773" s="27" t="s">
        <v>7</v>
      </c>
      <c r="G773" s="27" t="s">
        <v>8</v>
      </c>
      <c r="H773" s="27" t="s">
        <v>7</v>
      </c>
      <c r="I773" s="27" t="s">
        <v>8</v>
      </c>
      <c r="J773" s="27" t="s">
        <v>7</v>
      </c>
      <c r="LE773" s="27" t="s">
        <v>8</v>
      </c>
      <c r="LH773" s="27" t="s">
        <v>7</v>
      </c>
      <c r="LJ773" s="27" t="s">
        <v>7</v>
      </c>
      <c r="LK773" s="27" t="s">
        <v>8</v>
      </c>
      <c r="LL773" s="27" t="s">
        <v>7</v>
      </c>
      <c r="LM773" s="27" t="s">
        <v>8</v>
      </c>
    </row>
    <row r="774" spans="1:325" x14ac:dyDescent="0.25">
      <c r="A774" s="7">
        <v>2.4647216533923735E-2</v>
      </c>
      <c r="B774"/>
      <c r="C774"/>
      <c r="D774"/>
      <c r="E774"/>
      <c r="F774" s="27" t="s">
        <v>7</v>
      </c>
      <c r="G774" s="27" t="s">
        <v>8</v>
      </c>
      <c r="H774" s="27" t="s">
        <v>7</v>
      </c>
      <c r="J774" s="27" t="s">
        <v>7</v>
      </c>
      <c r="K774" s="27" t="s">
        <v>8</v>
      </c>
      <c r="O774" s="27" t="s">
        <v>8</v>
      </c>
      <c r="LE774" s="27" t="s">
        <v>8</v>
      </c>
      <c r="LJ774" s="27" t="s">
        <v>7</v>
      </c>
      <c r="LK774" s="27" t="s">
        <v>8</v>
      </c>
      <c r="LL774" s="27" t="s">
        <v>7</v>
      </c>
      <c r="LM774" s="27" t="s">
        <v>8</v>
      </c>
    </row>
    <row r="775" spans="1:325" x14ac:dyDescent="0.25">
      <c r="A775" s="7">
        <v>2.4163937778356601E-2</v>
      </c>
      <c r="B775"/>
      <c r="C775"/>
      <c r="D775"/>
      <c r="E775"/>
      <c r="F775" s="27" t="s">
        <v>7</v>
      </c>
      <c r="G775" s="27" t="s">
        <v>8</v>
      </c>
      <c r="J775" s="27" t="s">
        <v>7</v>
      </c>
      <c r="K775" s="27" t="s">
        <v>8</v>
      </c>
      <c r="L775" s="27" t="s">
        <v>7</v>
      </c>
      <c r="O775" s="27" t="s">
        <v>8</v>
      </c>
      <c r="P775" s="27" t="s">
        <v>7</v>
      </c>
      <c r="LE775" s="27" t="s">
        <v>8</v>
      </c>
      <c r="LJ775" s="27" t="s">
        <v>7</v>
      </c>
      <c r="LK775" s="27" t="s">
        <v>8</v>
      </c>
      <c r="LL775" s="27" t="s">
        <v>7</v>
      </c>
      <c r="LM775" s="27" t="s">
        <v>8</v>
      </c>
    </row>
    <row r="776" spans="1:325" x14ac:dyDescent="0.25">
      <c r="A776" s="7">
        <v>2.3690135076820197E-2</v>
      </c>
      <c r="B776"/>
      <c r="C776"/>
      <c r="D776"/>
      <c r="E776"/>
      <c r="F776" s="27" t="s">
        <v>7</v>
      </c>
      <c r="G776" s="27" t="s">
        <v>8</v>
      </c>
      <c r="J776" s="27" t="s">
        <v>7</v>
      </c>
      <c r="K776" s="27" t="s">
        <v>8</v>
      </c>
      <c r="L776" s="27" t="s">
        <v>7</v>
      </c>
      <c r="O776" s="27" t="s">
        <v>8</v>
      </c>
      <c r="P776" s="27" t="s">
        <v>7</v>
      </c>
      <c r="LE776" s="27" t="s">
        <v>8</v>
      </c>
      <c r="LJ776" s="27" t="s">
        <v>7</v>
      </c>
      <c r="LK776" s="27" t="s">
        <v>8</v>
      </c>
      <c r="LL776" s="27" t="s">
        <v>7</v>
      </c>
      <c r="LM776" s="27" t="s">
        <v>8</v>
      </c>
    </row>
    <row r="777" spans="1:325" x14ac:dyDescent="0.25">
      <c r="A777" s="7">
        <v>2.3225622624333527E-2</v>
      </c>
      <c r="B777"/>
      <c r="C777"/>
      <c r="D777"/>
      <c r="E777"/>
      <c r="F777" s="27" t="s">
        <v>7</v>
      </c>
      <c r="G777" s="27" t="s">
        <v>8</v>
      </c>
      <c r="J777" s="27" t="s">
        <v>7</v>
      </c>
      <c r="K777" s="27" t="s">
        <v>8</v>
      </c>
      <c r="L777" s="27" t="s">
        <v>7</v>
      </c>
      <c r="O777" s="27" t="s">
        <v>8</v>
      </c>
      <c r="P777" s="27" t="s">
        <v>7</v>
      </c>
      <c r="LE777" s="27" t="s">
        <v>8</v>
      </c>
      <c r="LJ777" s="27" t="s">
        <v>7</v>
      </c>
      <c r="LK777" s="27" t="s">
        <v>8</v>
      </c>
      <c r="LL777" s="27" t="s">
        <v>7</v>
      </c>
      <c r="LM777" s="27" t="s">
        <v>8</v>
      </c>
    </row>
    <row r="778" spans="1:325" x14ac:dyDescent="0.25">
      <c r="A778" s="7">
        <v>2.2770218259150519E-2</v>
      </c>
      <c r="B778"/>
      <c r="C778"/>
      <c r="D778"/>
      <c r="E778"/>
      <c r="F778" s="27" t="s">
        <v>7</v>
      </c>
      <c r="G778" s="27" t="s">
        <v>8</v>
      </c>
      <c r="J778" s="27" t="s">
        <v>7</v>
      </c>
      <c r="K778" s="27" t="s">
        <v>8</v>
      </c>
      <c r="L778" s="27" t="s">
        <v>7</v>
      </c>
      <c r="O778" s="27" t="s">
        <v>8</v>
      </c>
      <c r="P778" s="27" t="s">
        <v>7</v>
      </c>
      <c r="U778" s="27" t="s">
        <v>8</v>
      </c>
      <c r="LC778" s="27" t="s">
        <v>8</v>
      </c>
      <c r="LE778" s="27" t="s">
        <v>8</v>
      </c>
      <c r="LJ778" s="27" t="s">
        <v>7</v>
      </c>
      <c r="LK778" s="27" t="s">
        <v>8</v>
      </c>
      <c r="LL778" s="27" t="s">
        <v>7</v>
      </c>
      <c r="LM778" s="27" t="s">
        <v>8</v>
      </c>
    </row>
    <row r="779" spans="1:325" x14ac:dyDescent="0.25">
      <c r="A779" s="7">
        <v>2.2323743391324039E-2</v>
      </c>
      <c r="B779"/>
      <c r="C779"/>
      <c r="D779"/>
      <c r="E779"/>
      <c r="F779" s="27" t="s">
        <v>7</v>
      </c>
      <c r="G779" s="27" t="s">
        <v>8</v>
      </c>
      <c r="J779" s="27" t="s">
        <v>7</v>
      </c>
      <c r="K779" s="27" t="s">
        <v>8</v>
      </c>
      <c r="L779" s="27" t="s">
        <v>7</v>
      </c>
      <c r="O779" s="27" t="s">
        <v>8</v>
      </c>
      <c r="P779" s="27" t="s">
        <v>7</v>
      </c>
      <c r="Q779" s="27" t="s">
        <v>8</v>
      </c>
      <c r="U779" s="27" t="s">
        <v>8</v>
      </c>
      <c r="V779" s="27" t="s">
        <v>7</v>
      </c>
      <c r="LC779" s="27" t="s">
        <v>8</v>
      </c>
      <c r="LD779" s="27" t="s">
        <v>7</v>
      </c>
      <c r="LE779" s="27" t="s">
        <v>8</v>
      </c>
      <c r="LJ779" s="27" t="s">
        <v>7</v>
      </c>
      <c r="LK779" s="27" t="s">
        <v>8</v>
      </c>
      <c r="LL779" s="27" t="s">
        <v>7</v>
      </c>
      <c r="LM779" s="27" t="s">
        <v>8</v>
      </c>
    </row>
    <row r="780" spans="1:325" x14ac:dyDescent="0.25">
      <c r="A780" s="7">
        <v>2.188602293267063E-2</v>
      </c>
      <c r="B780"/>
      <c r="C780"/>
      <c r="D780"/>
      <c r="E780"/>
      <c r="F780" s="27" t="s">
        <v>7</v>
      </c>
      <c r="G780" s="27" t="s">
        <v>8</v>
      </c>
      <c r="J780" s="27" t="s">
        <v>7</v>
      </c>
      <c r="K780" s="27" t="s">
        <v>8</v>
      </c>
      <c r="L780" s="27" t="s">
        <v>7</v>
      </c>
      <c r="M780" s="27" t="s">
        <v>8</v>
      </c>
      <c r="O780" s="27" t="s">
        <v>8</v>
      </c>
      <c r="P780" s="27" t="s">
        <v>7</v>
      </c>
      <c r="Q780" s="27" t="s">
        <v>8</v>
      </c>
      <c r="R780" s="27" t="s">
        <v>7</v>
      </c>
      <c r="U780" s="27" t="s">
        <v>8</v>
      </c>
      <c r="V780" s="27" t="s">
        <v>7</v>
      </c>
      <c r="LC780" s="27" t="s">
        <v>8</v>
      </c>
      <c r="LD780" s="27" t="s">
        <v>7</v>
      </c>
      <c r="LE780" s="27" t="s">
        <v>8</v>
      </c>
      <c r="LJ780" s="27" t="s">
        <v>7</v>
      </c>
      <c r="LK780" s="27" t="s">
        <v>8</v>
      </c>
      <c r="LL780" s="27" t="s">
        <v>7</v>
      </c>
    </row>
    <row r="781" spans="1:325" x14ac:dyDescent="0.25">
      <c r="A781" s="7">
        <v>2.1456885228108461E-2</v>
      </c>
      <c r="B781"/>
      <c r="C781"/>
      <c r="D781"/>
      <c r="E781"/>
      <c r="F781" s="27" t="s">
        <v>7</v>
      </c>
      <c r="G781" s="27" t="s">
        <v>8</v>
      </c>
      <c r="J781" s="27" t="s">
        <v>7</v>
      </c>
      <c r="L781" s="27" t="s">
        <v>7</v>
      </c>
      <c r="M781" s="27" t="s">
        <v>8</v>
      </c>
      <c r="N781" s="27" t="s">
        <v>7</v>
      </c>
      <c r="O781" s="27" t="s">
        <v>8</v>
      </c>
      <c r="P781" s="27" t="s">
        <v>7</v>
      </c>
      <c r="Q781" s="27" t="s">
        <v>8</v>
      </c>
      <c r="R781" s="27" t="s">
        <v>7</v>
      </c>
      <c r="U781" s="27" t="s">
        <v>8</v>
      </c>
      <c r="V781" s="27" t="s">
        <v>7</v>
      </c>
      <c r="LC781" s="27" t="s">
        <v>8</v>
      </c>
      <c r="LD781" s="27" t="s">
        <v>7</v>
      </c>
      <c r="LE781" s="27" t="s">
        <v>8</v>
      </c>
      <c r="LJ781" s="27" t="s">
        <v>7</v>
      </c>
      <c r="LK781" s="27" t="s">
        <v>8</v>
      </c>
    </row>
    <row r="782" spans="1:325" x14ac:dyDescent="0.25">
      <c r="A782" s="7">
        <v>2.1036161988341632E-2</v>
      </c>
      <c r="B782"/>
      <c r="C782"/>
      <c r="D782"/>
      <c r="E782"/>
      <c r="F782" s="27" t="s">
        <v>7</v>
      </c>
      <c r="G782" s="27" t="s">
        <v>8</v>
      </c>
      <c r="L782" s="27" t="s">
        <v>7</v>
      </c>
      <c r="M782" s="27" t="s">
        <v>8</v>
      </c>
      <c r="N782" s="27" t="s">
        <v>7</v>
      </c>
      <c r="O782" s="27" t="s">
        <v>8</v>
      </c>
      <c r="P782" s="27" t="s">
        <v>7</v>
      </c>
      <c r="Q782" s="27" t="s">
        <v>8</v>
      </c>
      <c r="R782" s="27" t="s">
        <v>7</v>
      </c>
      <c r="S782" s="27" t="s">
        <v>8</v>
      </c>
      <c r="U782" s="27" t="s">
        <v>8</v>
      </c>
      <c r="V782" s="27" t="s">
        <v>7</v>
      </c>
      <c r="LC782" s="27" t="s">
        <v>8</v>
      </c>
      <c r="LD782" s="27" t="s">
        <v>7</v>
      </c>
      <c r="LE782" s="27" t="s">
        <v>8</v>
      </c>
      <c r="LJ782" s="27" t="s">
        <v>7</v>
      </c>
      <c r="LK782" s="27" t="s">
        <v>8</v>
      </c>
    </row>
    <row r="783" spans="1:325" x14ac:dyDescent="0.25">
      <c r="A783" s="7">
        <v>2.0623688223864345E-2</v>
      </c>
      <c r="B783"/>
      <c r="C783"/>
      <c r="D783"/>
      <c r="E783"/>
      <c r="F783" s="27" t="s">
        <v>7</v>
      </c>
      <c r="G783" s="27" t="s">
        <v>8</v>
      </c>
      <c r="L783" s="27" t="s">
        <v>7</v>
      </c>
      <c r="M783" s="27" t="s">
        <v>8</v>
      </c>
      <c r="N783" s="27" t="s">
        <v>7</v>
      </c>
      <c r="P783" s="27" t="s">
        <v>7</v>
      </c>
      <c r="R783" s="27" t="s">
        <v>7</v>
      </c>
      <c r="S783" s="27" t="s">
        <v>8</v>
      </c>
      <c r="T783" s="27" t="s">
        <v>7</v>
      </c>
      <c r="U783" s="27" t="s">
        <v>8</v>
      </c>
      <c r="V783" s="27" t="s">
        <v>7</v>
      </c>
      <c r="LC783" s="27" t="s">
        <v>8</v>
      </c>
      <c r="LD783" s="27" t="s">
        <v>7</v>
      </c>
      <c r="LE783" s="27" t="s">
        <v>8</v>
      </c>
      <c r="LJ783" s="27" t="s">
        <v>7</v>
      </c>
      <c r="LK783" s="27" t="s">
        <v>8</v>
      </c>
    </row>
    <row r="784" spans="1:325" x14ac:dyDescent="0.25">
      <c r="A784" s="7">
        <v>2.021930218025916E-2</v>
      </c>
      <c r="B784"/>
      <c r="C784"/>
      <c r="D784"/>
      <c r="E784"/>
      <c r="F784" s="27" t="s">
        <v>7</v>
      </c>
      <c r="G784" s="27" t="s">
        <v>8</v>
      </c>
      <c r="L784" s="27" t="s">
        <v>7</v>
      </c>
      <c r="M784" s="27" t="s">
        <v>8</v>
      </c>
      <c r="R784" s="27" t="s">
        <v>7</v>
      </c>
      <c r="S784" s="27" t="s">
        <v>8</v>
      </c>
      <c r="T784" s="27" t="s">
        <v>7</v>
      </c>
      <c r="U784" s="27" t="s">
        <v>8</v>
      </c>
      <c r="V784" s="27" t="s">
        <v>7</v>
      </c>
      <c r="LC784" s="27" t="s">
        <v>8</v>
      </c>
      <c r="LD784" s="27" t="s">
        <v>7</v>
      </c>
      <c r="LE784" s="27" t="s">
        <v>8</v>
      </c>
      <c r="LJ784" s="27" t="s">
        <v>7</v>
      </c>
      <c r="LK784" s="27" t="s">
        <v>8</v>
      </c>
    </row>
    <row r="785" spans="1:323" x14ac:dyDescent="0.25">
      <c r="A785" s="7">
        <v>1.9822845274763884E-2</v>
      </c>
      <c r="B785"/>
      <c r="C785"/>
      <c r="D785"/>
      <c r="E785"/>
      <c r="F785" s="27" t="s">
        <v>7</v>
      </c>
      <c r="G785" s="27" t="s">
        <v>8</v>
      </c>
      <c r="L785" s="27" t="s">
        <v>7</v>
      </c>
      <c r="R785" s="27" t="s">
        <v>7</v>
      </c>
      <c r="S785" s="27" t="s">
        <v>8</v>
      </c>
      <c r="T785" s="27" t="s">
        <v>7</v>
      </c>
      <c r="U785" s="27" t="s">
        <v>8</v>
      </c>
      <c r="V785" s="27" t="s">
        <v>7</v>
      </c>
      <c r="LC785" s="27" t="s">
        <v>8</v>
      </c>
      <c r="LD785" s="27" t="s">
        <v>7</v>
      </c>
      <c r="LE785" s="27" t="s">
        <v>8</v>
      </c>
      <c r="LJ785" s="27" t="s">
        <v>7</v>
      </c>
      <c r="LK785" s="27" t="s">
        <v>8</v>
      </c>
    </row>
    <row r="786" spans="1:323" x14ac:dyDescent="0.25">
      <c r="A786" s="7">
        <v>1.9434162034082238E-2</v>
      </c>
      <c r="B786"/>
      <c r="C786"/>
      <c r="D786"/>
      <c r="E786"/>
      <c r="F786" s="27" t="s">
        <v>7</v>
      </c>
      <c r="R786" s="27" t="s">
        <v>7</v>
      </c>
      <c r="S786" s="27" t="s">
        <v>8</v>
      </c>
      <c r="T786" s="27" t="s">
        <v>7</v>
      </c>
      <c r="U786" s="27" t="s">
        <v>8</v>
      </c>
      <c r="V786" s="27" t="s">
        <v>7</v>
      </c>
      <c r="LC786" s="27" t="s">
        <v>8</v>
      </c>
      <c r="LD786" s="27" t="s">
        <v>7</v>
      </c>
      <c r="LE786" s="27" t="s">
        <v>8</v>
      </c>
      <c r="LJ786" s="27" t="s">
        <v>7</v>
      </c>
      <c r="LK786" s="27" t="s">
        <v>8</v>
      </c>
    </row>
    <row r="787" spans="1:323" x14ac:dyDescent="0.25">
      <c r="A787" s="7">
        <v>1.9053100033413959E-2</v>
      </c>
      <c r="B787"/>
      <c r="C787"/>
      <c r="D787"/>
      <c r="E787"/>
      <c r="R787" s="27" t="s">
        <v>7</v>
      </c>
      <c r="S787" s="27" t="s">
        <v>8</v>
      </c>
      <c r="T787" s="27" t="s">
        <v>7</v>
      </c>
      <c r="U787" s="27" t="s">
        <v>8</v>
      </c>
      <c r="V787" s="27" t="s">
        <v>7</v>
      </c>
      <c r="LC787" s="27" t="s">
        <v>8</v>
      </c>
      <c r="LD787" s="27" t="s">
        <v>7</v>
      </c>
      <c r="LE787" s="27" t="s">
        <v>8</v>
      </c>
      <c r="LJ787" s="27" t="s">
        <v>7</v>
      </c>
      <c r="LK787" s="27" t="s">
        <v>8</v>
      </c>
    </row>
    <row r="788" spans="1:323" x14ac:dyDescent="0.25">
      <c r="A788" s="7">
        <v>1.867950983668035E-2</v>
      </c>
      <c r="B788"/>
      <c r="C788"/>
      <c r="D788"/>
      <c r="E788"/>
      <c r="R788" s="27" t="s">
        <v>7</v>
      </c>
      <c r="S788" s="27" t="s">
        <v>8</v>
      </c>
      <c r="T788" s="27" t="s">
        <v>7</v>
      </c>
      <c r="U788" s="27" t="s">
        <v>8</v>
      </c>
      <c r="V788" s="27" t="s">
        <v>7</v>
      </c>
      <c r="LC788" s="27" t="s">
        <v>8</v>
      </c>
      <c r="LD788" s="27" t="s">
        <v>7</v>
      </c>
      <c r="LE788" s="27" t="s">
        <v>8</v>
      </c>
      <c r="LJ788" s="27" t="s">
        <v>7</v>
      </c>
      <c r="LK788" s="27" t="s">
        <v>8</v>
      </c>
    </row>
    <row r="789" spans="1:323" x14ac:dyDescent="0.25">
      <c r="A789" s="7">
        <v>1.8313244937921913E-2</v>
      </c>
      <c r="B789"/>
      <c r="C789"/>
      <c r="D789"/>
      <c r="E789"/>
      <c r="R789" s="27" t="s">
        <v>7</v>
      </c>
      <c r="S789" s="27" t="s">
        <v>8</v>
      </c>
      <c r="T789" s="27" t="s">
        <v>7</v>
      </c>
      <c r="V789" s="27" t="s">
        <v>7</v>
      </c>
      <c r="LC789" s="27" t="s">
        <v>8</v>
      </c>
      <c r="LD789" s="27" t="s">
        <v>7</v>
      </c>
      <c r="LE789" s="27" t="s">
        <v>8</v>
      </c>
      <c r="LJ789" s="27" t="s">
        <v>7</v>
      </c>
      <c r="LK789" s="27" t="s">
        <v>8</v>
      </c>
    </row>
    <row r="790" spans="1:323" x14ac:dyDescent="0.25">
      <c r="A790" s="7">
        <v>1.7954161703845013E-2</v>
      </c>
      <c r="B790"/>
      <c r="C790"/>
      <c r="D790"/>
      <c r="E790"/>
      <c r="R790" s="27" t="s">
        <v>7</v>
      </c>
      <c r="S790" s="27" t="s">
        <v>8</v>
      </c>
      <c r="V790" s="27" t="s">
        <v>7</v>
      </c>
      <c r="LC790" s="27" t="s">
        <v>8</v>
      </c>
      <c r="LD790" s="27" t="s">
        <v>7</v>
      </c>
      <c r="LE790" s="27" t="s">
        <v>8</v>
      </c>
      <c r="LJ790" s="27" t="s">
        <v>7</v>
      </c>
      <c r="LK790" s="27" t="s">
        <v>8</v>
      </c>
    </row>
    <row r="791" spans="1:323" x14ac:dyDescent="0.25">
      <c r="A791" s="7">
        <v>1.7602119317495109E-2</v>
      </c>
      <c r="B791"/>
      <c r="C791"/>
      <c r="D791"/>
      <c r="E791"/>
      <c r="R791" s="27" t="s">
        <v>7</v>
      </c>
      <c r="S791" s="27" t="s">
        <v>8</v>
      </c>
      <c r="V791" s="27" t="s">
        <v>7</v>
      </c>
      <c r="LC791" s="27" t="s">
        <v>8</v>
      </c>
      <c r="LD791" s="27" t="s">
        <v>7</v>
      </c>
      <c r="LE791" s="27" t="s">
        <v>8</v>
      </c>
      <c r="LJ791" s="27" t="s">
        <v>7</v>
      </c>
      <c r="LK791" s="27" t="s">
        <v>8</v>
      </c>
    </row>
    <row r="792" spans="1:323" x14ac:dyDescent="0.25">
      <c r="A792" s="7">
        <v>1.7256979723034419E-2</v>
      </c>
      <c r="B792"/>
      <c r="C792"/>
      <c r="D792"/>
      <c r="E792"/>
      <c r="R792" s="27" t="s">
        <v>7</v>
      </c>
      <c r="S792" s="27" t="s">
        <v>8</v>
      </c>
      <c r="V792" s="27" t="s">
        <v>7</v>
      </c>
      <c r="LC792" s="27" t="s">
        <v>8</v>
      </c>
      <c r="LD792" s="27" t="s">
        <v>7</v>
      </c>
      <c r="LE792" s="27" t="s">
        <v>8</v>
      </c>
      <c r="LJ792" s="27" t="s">
        <v>7</v>
      </c>
    </row>
    <row r="793" spans="1:323" x14ac:dyDescent="0.25">
      <c r="A793" s="7">
        <v>1.6918607571602372E-2</v>
      </c>
      <c r="B793"/>
      <c r="C793"/>
      <c r="D793"/>
      <c r="E793"/>
      <c r="R793" s="27" t="s">
        <v>7</v>
      </c>
      <c r="V793" s="27" t="s">
        <v>7</v>
      </c>
      <c r="LC793" s="27" t="s">
        <v>8</v>
      </c>
      <c r="LD793" s="27" t="s">
        <v>7</v>
      </c>
      <c r="LE793" s="27" t="s">
        <v>8</v>
      </c>
    </row>
    <row r="794" spans="1:323" x14ac:dyDescent="0.25">
      <c r="A794" s="7">
        <v>1.6586870168237622E-2</v>
      </c>
      <c r="B794"/>
      <c r="C794"/>
      <c r="D794"/>
      <c r="E794"/>
      <c r="V794" s="27" t="s">
        <v>7</v>
      </c>
      <c r="W794" s="27" t="s">
        <v>8</v>
      </c>
      <c r="AA794" s="27" t="s">
        <v>8</v>
      </c>
      <c r="LC794" s="27" t="s">
        <v>8</v>
      </c>
      <c r="LD794" s="27" t="s">
        <v>7</v>
      </c>
    </row>
    <row r="795" spans="1:323" x14ac:dyDescent="0.25">
      <c r="A795" s="7">
        <v>1.6261637419840807E-2</v>
      </c>
      <c r="B795"/>
      <c r="C795"/>
      <c r="D795"/>
      <c r="E795"/>
      <c r="V795" s="27" t="s">
        <v>7</v>
      </c>
      <c r="W795" s="27" t="s">
        <v>8</v>
      </c>
      <c r="X795" s="27" t="s">
        <v>7</v>
      </c>
      <c r="Y795" s="27" t="s">
        <v>8</v>
      </c>
      <c r="AA795" s="27" t="s">
        <v>8</v>
      </c>
      <c r="AB795" s="27" t="s">
        <v>7</v>
      </c>
      <c r="LC795" s="27" t="s">
        <v>8</v>
      </c>
    </row>
    <row r="796" spans="1:323" x14ac:dyDescent="0.25">
      <c r="A796" s="7">
        <v>1.5942781784157655E-2</v>
      </c>
      <c r="B796"/>
      <c r="C796"/>
      <c r="D796"/>
      <c r="E796"/>
      <c r="V796" s="27" t="s">
        <v>7</v>
      </c>
      <c r="W796" s="27" t="s">
        <v>8</v>
      </c>
      <c r="X796" s="27" t="s">
        <v>7</v>
      </c>
      <c r="Y796" s="27" t="s">
        <v>8</v>
      </c>
      <c r="Z796" s="27" t="s">
        <v>7</v>
      </c>
      <c r="AA796" s="27" t="s">
        <v>8</v>
      </c>
      <c r="AB796" s="27" t="s">
        <v>7</v>
      </c>
      <c r="LC796" s="27" t="s">
        <v>8</v>
      </c>
    </row>
    <row r="797" spans="1:323" x14ac:dyDescent="0.25">
      <c r="A797" s="7">
        <v>1.5630178219762408E-2</v>
      </c>
      <c r="B797"/>
      <c r="C797"/>
      <c r="D797"/>
      <c r="E797"/>
      <c r="V797" s="27" t="s">
        <v>7</v>
      </c>
      <c r="W797" s="27" t="s">
        <v>8</v>
      </c>
      <c r="X797" s="27" t="s">
        <v>7</v>
      </c>
      <c r="Y797" s="27" t="s">
        <v>8</v>
      </c>
      <c r="Z797" s="27" t="s">
        <v>7</v>
      </c>
      <c r="AA797" s="27" t="s">
        <v>8</v>
      </c>
      <c r="AB797" s="27" t="s">
        <v>7</v>
      </c>
      <c r="LC797" s="27" t="s">
        <v>8</v>
      </c>
    </row>
    <row r="798" spans="1:323" x14ac:dyDescent="0.25">
      <c r="A798" s="7">
        <v>1.5323704137021967E-2</v>
      </c>
      <c r="B798"/>
      <c r="C798"/>
      <c r="D798"/>
      <c r="E798"/>
      <c r="V798" s="27" t="s">
        <v>7</v>
      </c>
      <c r="W798" s="27" t="s">
        <v>8</v>
      </c>
      <c r="X798" s="27" t="s">
        <v>7</v>
      </c>
      <c r="Z798" s="27" t="s">
        <v>7</v>
      </c>
      <c r="AA798" s="27" t="s">
        <v>8</v>
      </c>
      <c r="AB798" s="27" t="s">
        <v>7</v>
      </c>
      <c r="LC798" s="27" t="s">
        <v>8</v>
      </c>
    </row>
    <row r="799" spans="1:323" x14ac:dyDescent="0.25">
      <c r="A799" s="7">
        <v>1.5023239350021535E-2</v>
      </c>
      <c r="B799"/>
      <c r="C799"/>
      <c r="D799"/>
      <c r="E799"/>
      <c r="V799" s="27" t="s">
        <v>7</v>
      </c>
      <c r="Z799" s="27" t="s">
        <v>7</v>
      </c>
      <c r="AA799" s="27" t="s">
        <v>8</v>
      </c>
      <c r="AB799" s="27" t="s">
        <v>7</v>
      </c>
      <c r="LC799" s="27" t="s">
        <v>8</v>
      </c>
    </row>
    <row r="800" spans="1:323" x14ac:dyDescent="0.25">
      <c r="A800" s="7">
        <v>1.4728666029432878E-2</v>
      </c>
      <c r="B800"/>
      <c r="C800"/>
      <c r="D800"/>
      <c r="E800"/>
      <c r="Z800" s="27" t="s">
        <v>7</v>
      </c>
      <c r="AA800" s="27" t="s">
        <v>8</v>
      </c>
      <c r="AB800" s="27" t="s">
        <v>7</v>
      </c>
      <c r="LC800" s="27" t="s">
        <v>8</v>
      </c>
    </row>
    <row r="801" spans="1:315" x14ac:dyDescent="0.25">
      <c r="A801" s="7">
        <v>1.4439868656306743E-2</v>
      </c>
      <c r="B801"/>
      <c r="C801"/>
      <c r="D801"/>
      <c r="E801"/>
      <c r="Z801" s="27" t="s">
        <v>7</v>
      </c>
      <c r="AA801" s="27" t="s">
        <v>8</v>
      </c>
      <c r="AB801" s="27" t="s">
        <v>7</v>
      </c>
      <c r="AO801" s="27" t="s">
        <v>8</v>
      </c>
      <c r="LC801" s="27" t="s">
        <v>8</v>
      </c>
    </row>
    <row r="802" spans="1:315" x14ac:dyDescent="0.25">
      <c r="A802" s="7">
        <v>1.4156733976771318E-2</v>
      </c>
      <c r="B802"/>
      <c r="C802"/>
      <c r="D802"/>
      <c r="E802"/>
      <c r="Z802" s="27" t="s">
        <v>7</v>
      </c>
      <c r="AA802" s="27" t="s">
        <v>8</v>
      </c>
      <c r="AB802" s="27" t="s">
        <v>7</v>
      </c>
      <c r="AO802" s="27" t="s">
        <v>8</v>
      </c>
      <c r="AP802" s="27" t="s">
        <v>7</v>
      </c>
      <c r="HO802" s="27" t="s">
        <v>8</v>
      </c>
      <c r="LC802" s="27" t="s">
        <v>8</v>
      </c>
    </row>
    <row r="803" spans="1:315" x14ac:dyDescent="0.25">
      <c r="A803" s="7">
        <v>1.3879150957618939E-2</v>
      </c>
      <c r="B803"/>
      <c r="C803"/>
      <c r="D803"/>
      <c r="E803"/>
      <c r="Z803" s="27" t="s">
        <v>7</v>
      </c>
      <c r="AA803" s="27" t="s">
        <v>8</v>
      </c>
      <c r="AB803" s="27" t="s">
        <v>7</v>
      </c>
      <c r="AC803" s="27" t="s">
        <v>8</v>
      </c>
      <c r="AO803" s="27" t="s">
        <v>8</v>
      </c>
      <c r="AP803" s="27" t="s">
        <v>7</v>
      </c>
      <c r="HO803" s="27" t="s">
        <v>8</v>
      </c>
      <c r="HP803" s="27" t="s">
        <v>7</v>
      </c>
      <c r="LC803" s="27" t="s">
        <v>8</v>
      </c>
    </row>
    <row r="804" spans="1:315" x14ac:dyDescent="0.25">
      <c r="A804" s="7">
        <v>1.3607010742763666E-2</v>
      </c>
      <c r="B804"/>
      <c r="C804"/>
      <c r="D804"/>
      <c r="E804"/>
      <c r="Z804" s="27" t="s">
        <v>7</v>
      </c>
      <c r="AA804" s="27" t="s">
        <v>8</v>
      </c>
      <c r="AB804" s="27" t="s">
        <v>7</v>
      </c>
      <c r="AC804" s="27" t="s">
        <v>8</v>
      </c>
      <c r="AD804" s="27" t="s">
        <v>7</v>
      </c>
      <c r="AO804" s="27" t="s">
        <v>8</v>
      </c>
      <c r="AP804" s="27" t="s">
        <v>7</v>
      </c>
      <c r="HO804" s="27" t="s">
        <v>8</v>
      </c>
      <c r="HP804" s="27" t="s">
        <v>7</v>
      </c>
      <c r="HQ804" s="27" t="s">
        <v>8</v>
      </c>
      <c r="LC804" s="27" t="s">
        <v>8</v>
      </c>
    </row>
    <row r="805" spans="1:315" x14ac:dyDescent="0.25">
      <c r="A805" s="7">
        <v>1.3340206610552614E-2</v>
      </c>
      <c r="B805"/>
      <c r="C805"/>
      <c r="D805"/>
      <c r="E805"/>
      <c r="Z805" s="27" t="s">
        <v>7</v>
      </c>
      <c r="AA805" s="27" t="s">
        <v>8</v>
      </c>
      <c r="AB805" s="27" t="s">
        <v>7</v>
      </c>
      <c r="AC805" s="27" t="s">
        <v>8</v>
      </c>
      <c r="AD805" s="27" t="s">
        <v>7</v>
      </c>
      <c r="AE805" s="27" t="s">
        <v>8</v>
      </c>
      <c r="AO805" s="27" t="s">
        <v>8</v>
      </c>
      <c r="AP805" s="27" t="s">
        <v>7</v>
      </c>
      <c r="HO805" s="27" t="s">
        <v>8</v>
      </c>
      <c r="HP805" s="27" t="s">
        <v>7</v>
      </c>
      <c r="HQ805" s="27" t="s">
        <v>8</v>
      </c>
      <c r="HR805" s="27" t="s">
        <v>7</v>
      </c>
      <c r="LC805" s="27" t="s">
        <v>8</v>
      </c>
    </row>
    <row r="806" spans="1:315" x14ac:dyDescent="0.25">
      <c r="A806" s="7">
        <v>1.3078633931914328E-2</v>
      </c>
      <c r="B806"/>
      <c r="C806"/>
      <c r="D806"/>
      <c r="E806"/>
      <c r="Z806" s="27" t="s">
        <v>7</v>
      </c>
      <c r="AA806" s="27" t="s">
        <v>8</v>
      </c>
      <c r="AB806" s="27" t="s">
        <v>7</v>
      </c>
      <c r="AC806" s="27" t="s">
        <v>8</v>
      </c>
      <c r="AD806" s="27" t="s">
        <v>7</v>
      </c>
      <c r="AE806" s="27" t="s">
        <v>8</v>
      </c>
      <c r="AF806" s="27" t="s">
        <v>7</v>
      </c>
      <c r="AO806" s="27" t="s">
        <v>8</v>
      </c>
      <c r="AP806" s="27" t="s">
        <v>7</v>
      </c>
      <c r="HO806" s="27" t="s">
        <v>8</v>
      </c>
      <c r="HP806" s="27" t="s">
        <v>7</v>
      </c>
      <c r="HQ806" s="27" t="s">
        <v>8</v>
      </c>
      <c r="HR806" s="27" t="s">
        <v>7</v>
      </c>
      <c r="LC806" s="27" t="s">
        <v>8</v>
      </c>
    </row>
    <row r="807" spans="1:315" x14ac:dyDescent="0.25">
      <c r="A807" s="7">
        <v>1.2822190129327771E-2</v>
      </c>
      <c r="B807"/>
      <c r="C807"/>
      <c r="D807"/>
      <c r="E807"/>
      <c r="Z807" s="27" t="s">
        <v>7</v>
      </c>
      <c r="AA807" s="27" t="s">
        <v>8</v>
      </c>
      <c r="AB807" s="27" t="s">
        <v>7</v>
      </c>
      <c r="AC807" s="27" t="s">
        <v>8</v>
      </c>
      <c r="AD807" s="27" t="s">
        <v>7</v>
      </c>
      <c r="AE807" s="27" t="s">
        <v>8</v>
      </c>
      <c r="AF807" s="27" t="s">
        <v>7</v>
      </c>
      <c r="AO807" s="27" t="s">
        <v>8</v>
      </c>
      <c r="AP807" s="27" t="s">
        <v>7</v>
      </c>
      <c r="HM807" s="27" t="s">
        <v>8</v>
      </c>
      <c r="HO807" s="27" t="s">
        <v>8</v>
      </c>
      <c r="HP807" s="27" t="s">
        <v>7</v>
      </c>
      <c r="HQ807" s="27" t="s">
        <v>8</v>
      </c>
      <c r="HR807" s="27" t="s">
        <v>7</v>
      </c>
      <c r="LC807" s="27" t="s">
        <v>8</v>
      </c>
    </row>
    <row r="808" spans="1:315" x14ac:dyDescent="0.25">
      <c r="A808" s="7">
        <v>1.2570774636595854E-2</v>
      </c>
      <c r="B808"/>
      <c r="C808"/>
      <c r="D808"/>
      <c r="E808"/>
      <c r="Z808" s="27" t="s">
        <v>7</v>
      </c>
      <c r="AA808" s="27" t="s">
        <v>8</v>
      </c>
      <c r="AB808" s="27" t="s">
        <v>7</v>
      </c>
      <c r="AC808" s="27" t="s">
        <v>8</v>
      </c>
      <c r="AD808" s="27" t="s">
        <v>7</v>
      </c>
      <c r="AF808" s="27" t="s">
        <v>7</v>
      </c>
      <c r="AO808" s="27" t="s">
        <v>8</v>
      </c>
      <c r="AP808" s="27" t="s">
        <v>7</v>
      </c>
      <c r="AQ808" s="27" t="s">
        <v>8</v>
      </c>
      <c r="AU808" s="27" t="s">
        <v>8</v>
      </c>
      <c r="HM808" s="27" t="s">
        <v>8</v>
      </c>
      <c r="HN808" s="27" t="s">
        <v>7</v>
      </c>
      <c r="HO808" s="27" t="s">
        <v>8</v>
      </c>
      <c r="HP808" s="27" t="s">
        <v>7</v>
      </c>
      <c r="HR808" s="27" t="s">
        <v>7</v>
      </c>
      <c r="LC808" s="27" t="s">
        <v>8</v>
      </c>
    </row>
    <row r="809" spans="1:315" x14ac:dyDescent="0.25">
      <c r="A809" s="7">
        <v>1.23242888594077E-2</v>
      </c>
      <c r="B809"/>
      <c r="C809"/>
      <c r="D809"/>
      <c r="E809"/>
      <c r="Z809" s="27" t="s">
        <v>7</v>
      </c>
      <c r="AA809" s="27" t="s">
        <v>8</v>
      </c>
      <c r="AB809" s="27" t="s">
        <v>7</v>
      </c>
      <c r="AC809" s="27" t="s">
        <v>8</v>
      </c>
      <c r="AF809" s="27" t="s">
        <v>7</v>
      </c>
      <c r="AO809" s="27" t="s">
        <v>8</v>
      </c>
      <c r="AP809" s="27" t="s">
        <v>7</v>
      </c>
      <c r="AQ809" s="27" t="s">
        <v>8</v>
      </c>
      <c r="AR809" s="27" t="s">
        <v>7</v>
      </c>
      <c r="AU809" s="27" t="s">
        <v>8</v>
      </c>
      <c r="AV809" s="27" t="s">
        <v>7</v>
      </c>
      <c r="HM809" s="27" t="s">
        <v>8</v>
      </c>
      <c r="HN809" s="27" t="s">
        <v>7</v>
      </c>
      <c r="HO809" s="27" t="s">
        <v>8</v>
      </c>
      <c r="HR809" s="27" t="s">
        <v>7</v>
      </c>
      <c r="HS809" s="27" t="s">
        <v>8</v>
      </c>
      <c r="LC809" s="27" t="s">
        <v>8</v>
      </c>
    </row>
    <row r="810" spans="1:315" x14ac:dyDescent="0.25">
      <c r="A810" s="7">
        <v>1.2082636136674216E-2</v>
      </c>
      <c r="B810"/>
      <c r="C810"/>
      <c r="D810"/>
      <c r="E810"/>
      <c r="Z810" s="27" t="s">
        <v>7</v>
      </c>
      <c r="AA810" s="27" t="s">
        <v>8</v>
      </c>
      <c r="AB810" s="27" t="s">
        <v>7</v>
      </c>
      <c r="AC810" s="27" t="s">
        <v>8</v>
      </c>
      <c r="AF810" s="27" t="s">
        <v>7</v>
      </c>
      <c r="AO810" s="27" t="s">
        <v>8</v>
      </c>
      <c r="AP810" s="27" t="s">
        <v>7</v>
      </c>
      <c r="AQ810" s="27" t="s">
        <v>8</v>
      </c>
      <c r="AR810" s="27" t="s">
        <v>7</v>
      </c>
      <c r="AS810" s="27" t="s">
        <v>8</v>
      </c>
      <c r="AU810" s="27" t="s">
        <v>8</v>
      </c>
      <c r="AV810" s="27" t="s">
        <v>7</v>
      </c>
      <c r="AW810" s="27" t="s">
        <v>8</v>
      </c>
      <c r="HM810" s="27" t="s">
        <v>8</v>
      </c>
      <c r="HN810" s="27" t="s">
        <v>7</v>
      </c>
      <c r="HO810" s="27" t="s">
        <v>8</v>
      </c>
      <c r="HR810" s="27" t="s">
        <v>7</v>
      </c>
      <c r="HS810" s="27" t="s">
        <v>8</v>
      </c>
      <c r="HT810" s="27" t="s">
        <v>7</v>
      </c>
      <c r="LC810" s="27" t="s">
        <v>8</v>
      </c>
    </row>
    <row r="811" spans="1:315" x14ac:dyDescent="0.25">
      <c r="A811" s="7">
        <v>1.184572170262178E-2</v>
      </c>
      <c r="B811"/>
      <c r="C811"/>
      <c r="D811"/>
      <c r="E811"/>
      <c r="Z811" s="27" t="s">
        <v>7</v>
      </c>
      <c r="AB811" s="27" t="s">
        <v>7</v>
      </c>
      <c r="AC811" s="27" t="s">
        <v>8</v>
      </c>
      <c r="AF811" s="27" t="s">
        <v>7</v>
      </c>
      <c r="AI811" s="27" t="s">
        <v>8</v>
      </c>
      <c r="AO811" s="27" t="s">
        <v>8</v>
      </c>
      <c r="AP811" s="27" t="s">
        <v>7</v>
      </c>
      <c r="AQ811" s="27" t="s">
        <v>8</v>
      </c>
      <c r="AR811" s="27" t="s">
        <v>7</v>
      </c>
      <c r="AS811" s="27" t="s">
        <v>8</v>
      </c>
      <c r="AT811" s="27" t="s">
        <v>7</v>
      </c>
      <c r="AU811" s="27" t="s">
        <v>8</v>
      </c>
      <c r="AV811" s="27" t="s">
        <v>7</v>
      </c>
      <c r="AW811" s="27" t="s">
        <v>8</v>
      </c>
      <c r="AX811" s="27" t="s">
        <v>7</v>
      </c>
      <c r="HM811" s="27" t="s">
        <v>8</v>
      </c>
      <c r="HN811" s="27" t="s">
        <v>7</v>
      </c>
      <c r="HO811" s="27" t="s">
        <v>8</v>
      </c>
      <c r="HR811" s="27" t="s">
        <v>7</v>
      </c>
      <c r="HS811" s="27" t="s">
        <v>8</v>
      </c>
      <c r="HT811" s="27" t="s">
        <v>7</v>
      </c>
      <c r="HW811" s="27" t="s">
        <v>8</v>
      </c>
      <c r="KY811" s="27" t="s">
        <v>8</v>
      </c>
      <c r="LC811" s="27" t="s">
        <v>8</v>
      </c>
    </row>
    <row r="812" spans="1:315" x14ac:dyDescent="0.25">
      <c r="A812" s="7">
        <v>1.1613452649629196E-2</v>
      </c>
      <c r="B812"/>
      <c r="C812"/>
      <c r="D812"/>
      <c r="E812"/>
      <c r="AB812" s="27" t="s">
        <v>7</v>
      </c>
      <c r="AC812" s="27" t="s">
        <v>8</v>
      </c>
      <c r="AF812" s="27" t="s">
        <v>7</v>
      </c>
      <c r="AG812" s="27" t="s">
        <v>8</v>
      </c>
      <c r="AI812" s="27" t="s">
        <v>8</v>
      </c>
      <c r="AJ812" s="27" t="s">
        <v>7</v>
      </c>
      <c r="AO812" s="27" t="s">
        <v>8</v>
      </c>
      <c r="AP812" s="27" t="s">
        <v>7</v>
      </c>
      <c r="AQ812" s="27" t="s">
        <v>8</v>
      </c>
      <c r="AR812" s="27" t="s">
        <v>7</v>
      </c>
      <c r="AS812" s="27" t="s">
        <v>8</v>
      </c>
      <c r="AT812" s="27" t="s">
        <v>7</v>
      </c>
      <c r="AU812" s="27" t="s">
        <v>8</v>
      </c>
      <c r="AV812" s="27" t="s">
        <v>7</v>
      </c>
      <c r="AW812" s="27" t="s">
        <v>8</v>
      </c>
      <c r="AX812" s="27" t="s">
        <v>7</v>
      </c>
      <c r="HM812" s="27" t="s">
        <v>8</v>
      </c>
      <c r="HN812" s="27" t="s">
        <v>7</v>
      </c>
      <c r="HO812" s="27" t="s">
        <v>8</v>
      </c>
      <c r="HR812" s="27" t="s">
        <v>7</v>
      </c>
      <c r="HS812" s="27" t="s">
        <v>8</v>
      </c>
      <c r="HT812" s="27" t="s">
        <v>7</v>
      </c>
      <c r="HU812" s="27" t="s">
        <v>8</v>
      </c>
      <c r="HW812" s="27" t="s">
        <v>8</v>
      </c>
      <c r="HX812" s="27" t="s">
        <v>7</v>
      </c>
      <c r="KY812" s="27" t="s">
        <v>8</v>
      </c>
      <c r="KZ812" s="27" t="s">
        <v>7</v>
      </c>
      <c r="LC812" s="27" t="s">
        <v>8</v>
      </c>
    </row>
    <row r="813" spans="1:315" x14ac:dyDescent="0.25">
      <c r="A813" s="7">
        <v>1.138573789179333E-2</v>
      </c>
      <c r="B813"/>
      <c r="C813"/>
      <c r="D813"/>
      <c r="E813"/>
      <c r="AB813" s="27" t="s">
        <v>7</v>
      </c>
      <c r="AF813" s="27" t="s">
        <v>7</v>
      </c>
      <c r="AG813" s="27" t="s">
        <v>8</v>
      </c>
      <c r="AH813" s="27" t="s">
        <v>7</v>
      </c>
      <c r="AI813" s="27" t="s">
        <v>8</v>
      </c>
      <c r="AJ813" s="27" t="s">
        <v>7</v>
      </c>
      <c r="AO813" s="27" t="s">
        <v>8</v>
      </c>
      <c r="AP813" s="27" t="s">
        <v>7</v>
      </c>
      <c r="AQ813" s="27" t="s">
        <v>8</v>
      </c>
      <c r="AR813" s="27" t="s">
        <v>7</v>
      </c>
      <c r="AS813" s="27" t="s">
        <v>8</v>
      </c>
      <c r="AT813" s="27" t="s">
        <v>7</v>
      </c>
      <c r="AU813" s="27" t="s">
        <v>8</v>
      </c>
      <c r="AV813" s="27" t="s">
        <v>7</v>
      </c>
      <c r="AW813" s="27" t="s">
        <v>8</v>
      </c>
      <c r="AX813" s="27" t="s">
        <v>7</v>
      </c>
      <c r="HC813" s="27" t="s">
        <v>8</v>
      </c>
      <c r="HM813" s="27" t="s">
        <v>8</v>
      </c>
      <c r="HN813" s="27" t="s">
        <v>7</v>
      </c>
      <c r="HO813" s="27" t="s">
        <v>8</v>
      </c>
      <c r="HR813" s="27" t="s">
        <v>7</v>
      </c>
      <c r="HS813" s="27" t="s">
        <v>8</v>
      </c>
      <c r="HT813" s="27" t="s">
        <v>7</v>
      </c>
      <c r="HU813" s="27" t="s">
        <v>8</v>
      </c>
      <c r="HV813" s="27" t="s">
        <v>7</v>
      </c>
      <c r="HW813" s="27" t="s">
        <v>8</v>
      </c>
      <c r="HX813" s="27" t="s">
        <v>7</v>
      </c>
      <c r="KY813" s="27" t="s">
        <v>8</v>
      </c>
      <c r="KZ813" s="27" t="s">
        <v>7</v>
      </c>
      <c r="LA813" s="27" t="s">
        <v>8</v>
      </c>
      <c r="LC813" s="27" t="s">
        <v>8</v>
      </c>
    </row>
    <row r="814" spans="1:315" x14ac:dyDescent="0.25">
      <c r="A814" s="7">
        <v>1.1162488129209149E-2</v>
      </c>
      <c r="B814"/>
      <c r="C814"/>
      <c r="D814"/>
      <c r="E814"/>
      <c r="AF814" s="27" t="s">
        <v>7</v>
      </c>
      <c r="AG814" s="27" t="s">
        <v>8</v>
      </c>
      <c r="AH814" s="27" t="s">
        <v>7</v>
      </c>
      <c r="AI814" s="27" t="s">
        <v>8</v>
      </c>
      <c r="AJ814" s="27" t="s">
        <v>7</v>
      </c>
      <c r="AK814" s="27" t="s">
        <v>8</v>
      </c>
      <c r="AO814" s="27" t="s">
        <v>8</v>
      </c>
      <c r="AP814" s="27" t="s">
        <v>7</v>
      </c>
      <c r="AQ814" s="27" t="s">
        <v>8</v>
      </c>
      <c r="AR814" s="27" t="s">
        <v>7</v>
      </c>
      <c r="AT814" s="27" t="s">
        <v>7</v>
      </c>
      <c r="AU814" s="27" t="s">
        <v>8</v>
      </c>
      <c r="AV814" s="27" t="s">
        <v>7</v>
      </c>
      <c r="AW814" s="27" t="s">
        <v>8</v>
      </c>
      <c r="AX814" s="27" t="s">
        <v>7</v>
      </c>
      <c r="HC814" s="27" t="s">
        <v>8</v>
      </c>
      <c r="HD814" s="27" t="s">
        <v>7</v>
      </c>
      <c r="HM814" s="27" t="s">
        <v>8</v>
      </c>
      <c r="HN814" s="27" t="s">
        <v>7</v>
      </c>
      <c r="HO814" s="27" t="s">
        <v>8</v>
      </c>
      <c r="HR814" s="27" t="s">
        <v>7</v>
      </c>
      <c r="HS814" s="27" t="s">
        <v>8</v>
      </c>
      <c r="HT814" s="27" t="s">
        <v>7</v>
      </c>
      <c r="HU814" s="27" t="s">
        <v>8</v>
      </c>
      <c r="HV814" s="27" t="s">
        <v>7</v>
      </c>
      <c r="HW814" s="27" t="s">
        <v>8</v>
      </c>
      <c r="HX814" s="27" t="s">
        <v>7</v>
      </c>
      <c r="KY814" s="27" t="s">
        <v>8</v>
      </c>
      <c r="KZ814" s="27" t="s">
        <v>7</v>
      </c>
      <c r="LA814" s="27" t="s">
        <v>8</v>
      </c>
      <c r="LB814" s="27" t="s">
        <v>7</v>
      </c>
      <c r="LC814" s="27" t="s">
        <v>8</v>
      </c>
    </row>
    <row r="815" spans="1:315" x14ac:dyDescent="0.25">
      <c r="A815" s="7">
        <v>1.0943615812950145E-2</v>
      </c>
      <c r="B815"/>
      <c r="C815"/>
      <c r="D815"/>
      <c r="E815"/>
      <c r="AF815" s="27" t="s">
        <v>7</v>
      </c>
      <c r="AG815" s="27" t="s">
        <v>8</v>
      </c>
      <c r="AH815" s="27" t="s">
        <v>7</v>
      </c>
      <c r="AI815" s="27" t="s">
        <v>8</v>
      </c>
      <c r="AJ815" s="27" t="s">
        <v>7</v>
      </c>
      <c r="AK815" s="27" t="s">
        <v>8</v>
      </c>
      <c r="AL815" s="27" t="s">
        <v>7</v>
      </c>
      <c r="AO815" s="27" t="s">
        <v>8</v>
      </c>
      <c r="AP815" s="27" t="s">
        <v>7</v>
      </c>
      <c r="AQ815" s="27" t="s">
        <v>8</v>
      </c>
      <c r="AT815" s="27" t="s">
        <v>7</v>
      </c>
      <c r="AU815" s="27" t="s">
        <v>8</v>
      </c>
      <c r="AV815" s="27" t="s">
        <v>7</v>
      </c>
      <c r="AW815" s="27" t="s">
        <v>8</v>
      </c>
      <c r="AX815" s="27" t="s">
        <v>7</v>
      </c>
      <c r="HC815" s="27" t="s">
        <v>8</v>
      </c>
      <c r="HD815" s="27" t="s">
        <v>7</v>
      </c>
      <c r="HM815" s="27" t="s">
        <v>8</v>
      </c>
      <c r="HN815" s="27" t="s">
        <v>7</v>
      </c>
      <c r="HO815" s="27" t="s">
        <v>8</v>
      </c>
      <c r="HR815" s="27" t="s">
        <v>7</v>
      </c>
      <c r="HS815" s="27" t="s">
        <v>8</v>
      </c>
      <c r="HT815" s="27" t="s">
        <v>7</v>
      </c>
      <c r="HU815" s="27" t="s">
        <v>8</v>
      </c>
      <c r="HV815" s="27" t="s">
        <v>7</v>
      </c>
      <c r="HW815" s="27" t="s">
        <v>8</v>
      </c>
      <c r="HX815" s="27" t="s">
        <v>7</v>
      </c>
      <c r="KY815" s="27" t="s">
        <v>8</v>
      </c>
      <c r="KZ815" s="27" t="s">
        <v>7</v>
      </c>
      <c r="LA815" s="27" t="s">
        <v>8</v>
      </c>
      <c r="LB815" s="27" t="s">
        <v>7</v>
      </c>
      <c r="LC815" s="27" t="s">
        <v>8</v>
      </c>
    </row>
    <row r="816" spans="1:315" x14ac:dyDescent="0.25">
      <c r="A816" s="7">
        <v>1.0729035110735436E-2</v>
      </c>
      <c r="B816"/>
      <c r="C816"/>
      <c r="D816"/>
      <c r="E816"/>
      <c r="AF816" s="27" t="s">
        <v>7</v>
      </c>
      <c r="AG816" s="27" t="s">
        <v>8</v>
      </c>
      <c r="AH816" s="27" t="s">
        <v>7</v>
      </c>
      <c r="AJ816" s="27" t="s">
        <v>7</v>
      </c>
      <c r="AK816" s="27" t="s">
        <v>8</v>
      </c>
      <c r="AL816" s="27" t="s">
        <v>7</v>
      </c>
      <c r="AM816" s="27" t="s">
        <v>8</v>
      </c>
      <c r="AO816" s="27" t="s">
        <v>8</v>
      </c>
      <c r="AP816" s="27" t="s">
        <v>7</v>
      </c>
      <c r="AQ816" s="27" t="s">
        <v>8</v>
      </c>
      <c r="AT816" s="27" t="s">
        <v>7</v>
      </c>
      <c r="AU816" s="27" t="s">
        <v>8</v>
      </c>
      <c r="AV816" s="27" t="s">
        <v>7</v>
      </c>
      <c r="AX816" s="27" t="s">
        <v>7</v>
      </c>
      <c r="HC816" s="27" t="s">
        <v>8</v>
      </c>
      <c r="HD816" s="27" t="s">
        <v>7</v>
      </c>
      <c r="HM816" s="27" t="s">
        <v>8</v>
      </c>
      <c r="HN816" s="27" t="s">
        <v>7</v>
      </c>
      <c r="HO816" s="27" t="s">
        <v>8</v>
      </c>
      <c r="HR816" s="27" t="s">
        <v>7</v>
      </c>
      <c r="HS816" s="27" t="s">
        <v>8</v>
      </c>
      <c r="HT816" s="27" t="s">
        <v>7</v>
      </c>
      <c r="HU816" s="27" t="s">
        <v>8</v>
      </c>
      <c r="HV816" s="27" t="s">
        <v>7</v>
      </c>
      <c r="HW816" s="27" t="s">
        <v>8</v>
      </c>
      <c r="HX816" s="27" t="s">
        <v>7</v>
      </c>
      <c r="KY816" s="27" t="s">
        <v>8</v>
      </c>
      <c r="KZ816" s="27" t="s">
        <v>7</v>
      </c>
      <c r="LA816" s="27" t="s">
        <v>8</v>
      </c>
      <c r="LB816" s="27" t="s">
        <v>7</v>
      </c>
      <c r="LC816" s="27" t="s">
        <v>8</v>
      </c>
    </row>
    <row r="817" spans="1:315" x14ac:dyDescent="0.25">
      <c r="A817" s="7">
        <v>1.0518661873270036E-2</v>
      </c>
      <c r="B817"/>
      <c r="C817"/>
      <c r="D817"/>
      <c r="E817"/>
      <c r="AF817" s="27" t="s">
        <v>7</v>
      </c>
      <c r="AG817" s="27" t="s">
        <v>8</v>
      </c>
      <c r="AJ817" s="27" t="s">
        <v>7</v>
      </c>
      <c r="AK817" s="27" t="s">
        <v>8</v>
      </c>
      <c r="AL817" s="27" t="s">
        <v>7</v>
      </c>
      <c r="AM817" s="27" t="s">
        <v>8</v>
      </c>
      <c r="AN817" s="27" t="s">
        <v>7</v>
      </c>
      <c r="AO817" s="27" t="s">
        <v>8</v>
      </c>
      <c r="AP817" s="27" t="s">
        <v>7</v>
      </c>
      <c r="AQ817" s="27" t="s">
        <v>8</v>
      </c>
      <c r="AT817" s="27" t="s">
        <v>7</v>
      </c>
      <c r="AU817" s="27" t="s">
        <v>8</v>
      </c>
      <c r="AX817" s="27" t="s">
        <v>7</v>
      </c>
      <c r="HC817" s="27" t="s">
        <v>8</v>
      </c>
      <c r="HD817" s="27" t="s">
        <v>7</v>
      </c>
      <c r="HK817" s="27" t="s">
        <v>8</v>
      </c>
      <c r="HM817" s="27" t="s">
        <v>8</v>
      </c>
      <c r="HN817" s="27" t="s">
        <v>7</v>
      </c>
      <c r="HO817" s="27" t="s">
        <v>8</v>
      </c>
      <c r="HR817" s="27" t="s">
        <v>7</v>
      </c>
      <c r="HS817" s="27" t="s">
        <v>8</v>
      </c>
      <c r="HT817" s="27" t="s">
        <v>7</v>
      </c>
      <c r="HU817" s="27" t="s">
        <v>8</v>
      </c>
      <c r="HV817" s="27" t="s">
        <v>7</v>
      </c>
      <c r="HW817" s="27" t="s">
        <v>8</v>
      </c>
      <c r="HX817" s="27" t="s">
        <v>7</v>
      </c>
      <c r="KY817" s="27" t="s">
        <v>8</v>
      </c>
      <c r="KZ817" s="27" t="s">
        <v>7</v>
      </c>
      <c r="LB817" s="27" t="s">
        <v>7</v>
      </c>
      <c r="LC817" s="27" t="s">
        <v>8</v>
      </c>
    </row>
    <row r="818" spans="1:315" x14ac:dyDescent="0.25">
      <c r="A818" s="7">
        <v>1.0312413601245135E-2</v>
      </c>
      <c r="B818"/>
      <c r="C818"/>
      <c r="D818"/>
      <c r="E818"/>
      <c r="AF818" s="27" t="s">
        <v>7</v>
      </c>
      <c r="AJ818" s="27" t="s">
        <v>7</v>
      </c>
      <c r="AK818" s="27" t="s">
        <v>8</v>
      </c>
      <c r="AL818" s="27" t="s">
        <v>7</v>
      </c>
      <c r="AM818" s="27" t="s">
        <v>8</v>
      </c>
      <c r="AN818" s="27" t="s">
        <v>7</v>
      </c>
      <c r="AO818" s="27" t="s">
        <v>8</v>
      </c>
      <c r="AP818" s="27" t="s">
        <v>7</v>
      </c>
      <c r="AQ818" s="27" t="s">
        <v>8</v>
      </c>
      <c r="AT818" s="27" t="s">
        <v>7</v>
      </c>
      <c r="AU818" s="27" t="s">
        <v>8</v>
      </c>
      <c r="AX818" s="27" t="s">
        <v>7</v>
      </c>
      <c r="HC818" s="27" t="s">
        <v>8</v>
      </c>
      <c r="HD818" s="27" t="s">
        <v>7</v>
      </c>
      <c r="HK818" s="27" t="s">
        <v>8</v>
      </c>
      <c r="HL818" s="27" t="s">
        <v>7</v>
      </c>
      <c r="HM818" s="27" t="s">
        <v>8</v>
      </c>
      <c r="HN818" s="27" t="s">
        <v>7</v>
      </c>
      <c r="HR818" s="27" t="s">
        <v>7</v>
      </c>
      <c r="HS818" s="27" t="s">
        <v>8</v>
      </c>
      <c r="HT818" s="27" t="s">
        <v>7</v>
      </c>
      <c r="HU818" s="27" t="s">
        <v>8</v>
      </c>
      <c r="HV818" s="27" t="s">
        <v>7</v>
      </c>
      <c r="HW818" s="27" t="s">
        <v>8</v>
      </c>
      <c r="HX818" s="27" t="s">
        <v>7</v>
      </c>
      <c r="KY818" s="27" t="s">
        <v>8</v>
      </c>
      <c r="LB818" s="27" t="s">
        <v>7</v>
      </c>
      <c r="LC818" s="27" t="s">
        <v>8</v>
      </c>
    </row>
    <row r="819" spans="1:315" x14ac:dyDescent="0.25">
      <c r="A819" s="7">
        <v>1.0110209412985426E-2</v>
      </c>
      <c r="B819"/>
      <c r="C819"/>
      <c r="D819"/>
      <c r="E819"/>
      <c r="AJ819" s="27" t="s">
        <v>7</v>
      </c>
      <c r="AL819" s="27" t="s">
        <v>7</v>
      </c>
      <c r="AM819" s="27" t="s">
        <v>8</v>
      </c>
      <c r="AN819" s="27" t="s">
        <v>7</v>
      </c>
      <c r="AO819" s="27" t="s">
        <v>8</v>
      </c>
      <c r="AP819" s="27" t="s">
        <v>7</v>
      </c>
      <c r="AQ819" s="27" t="s">
        <v>8</v>
      </c>
      <c r="AT819" s="27" t="s">
        <v>7</v>
      </c>
      <c r="AU819" s="27" t="s">
        <v>8</v>
      </c>
      <c r="AX819" s="27" t="s">
        <v>7</v>
      </c>
      <c r="HC819" s="27" t="s">
        <v>8</v>
      </c>
      <c r="HD819" s="27" t="s">
        <v>7</v>
      </c>
      <c r="HK819" s="27" t="s">
        <v>8</v>
      </c>
      <c r="HL819" s="27" t="s">
        <v>7</v>
      </c>
      <c r="HM819" s="27" t="s">
        <v>8</v>
      </c>
      <c r="HR819" s="27" t="s">
        <v>7</v>
      </c>
      <c r="HS819" s="27" t="s">
        <v>8</v>
      </c>
      <c r="HT819" s="27" t="s">
        <v>7</v>
      </c>
      <c r="HU819" s="27" t="s">
        <v>8</v>
      </c>
      <c r="HV819" s="27" t="s">
        <v>7</v>
      </c>
      <c r="HW819" s="27" t="s">
        <v>8</v>
      </c>
      <c r="HX819" s="27" t="s">
        <v>7</v>
      </c>
      <c r="KY819" s="27" t="s">
        <v>8</v>
      </c>
      <c r="LB819" s="27" t="s">
        <v>7</v>
      </c>
    </row>
    <row r="820" spans="1:315" x14ac:dyDescent="0.25">
      <c r="A820" s="7">
        <v>9.9119700127308103E-3</v>
      </c>
      <c r="B820"/>
      <c r="C820"/>
      <c r="D820"/>
      <c r="E820"/>
      <c r="AL820" s="27" t="s">
        <v>7</v>
      </c>
      <c r="AM820" s="27" t="s">
        <v>8</v>
      </c>
      <c r="AN820" s="27" t="s">
        <v>7</v>
      </c>
      <c r="AO820" s="27" t="s">
        <v>8</v>
      </c>
      <c r="AP820" s="27" t="s">
        <v>7</v>
      </c>
      <c r="AT820" s="27" t="s">
        <v>7</v>
      </c>
      <c r="AU820" s="27" t="s">
        <v>8</v>
      </c>
      <c r="AX820" s="27" t="s">
        <v>7</v>
      </c>
      <c r="HC820" s="27" t="s">
        <v>8</v>
      </c>
      <c r="HD820" s="27" t="s">
        <v>7</v>
      </c>
      <c r="HK820" s="27" t="s">
        <v>8</v>
      </c>
      <c r="HL820" s="27" t="s">
        <v>7</v>
      </c>
      <c r="HM820" s="27" t="s">
        <v>8</v>
      </c>
      <c r="HR820" s="27" t="s">
        <v>7</v>
      </c>
      <c r="HT820" s="27" t="s">
        <v>7</v>
      </c>
      <c r="HV820" s="27" t="s">
        <v>7</v>
      </c>
      <c r="HW820" s="27" t="s">
        <v>8</v>
      </c>
      <c r="HX820" s="27" t="s">
        <v>7</v>
      </c>
      <c r="KY820" s="27" t="s">
        <v>8</v>
      </c>
    </row>
    <row r="821" spans="1:315" x14ac:dyDescent="0.25">
      <c r="A821" s="7">
        <v>9.717617659540009E-3</v>
      </c>
      <c r="B821"/>
      <c r="C821"/>
      <c r="D821"/>
      <c r="E821"/>
      <c r="AL821" s="27" t="s">
        <v>7</v>
      </c>
      <c r="AM821" s="27" t="s">
        <v>8</v>
      </c>
      <c r="AN821" s="27" t="s">
        <v>7</v>
      </c>
      <c r="AO821" s="27" t="s">
        <v>8</v>
      </c>
      <c r="AT821" s="27" t="s">
        <v>7</v>
      </c>
      <c r="AU821" s="27" t="s">
        <v>8</v>
      </c>
      <c r="AX821" s="27" t="s">
        <v>7</v>
      </c>
      <c r="HC821" s="27" t="s">
        <v>8</v>
      </c>
      <c r="HD821" s="27" t="s">
        <v>7</v>
      </c>
      <c r="HK821" s="27" t="s">
        <v>8</v>
      </c>
      <c r="HL821" s="27" t="s">
        <v>7</v>
      </c>
      <c r="HM821" s="27" t="s">
        <v>8</v>
      </c>
      <c r="HV821" s="27" t="s">
        <v>7</v>
      </c>
      <c r="HW821" s="27" t="s">
        <v>8</v>
      </c>
      <c r="HX821" s="27" t="s">
        <v>7</v>
      </c>
      <c r="KU821" s="27" t="s">
        <v>8</v>
      </c>
      <c r="KY821" s="27" t="s">
        <v>8</v>
      </c>
    </row>
    <row r="822" spans="1:315" x14ac:dyDescent="0.25">
      <c r="A822" s="7">
        <v>9.5270761368039299E-3</v>
      </c>
      <c r="B822"/>
      <c r="C822"/>
      <c r="D822"/>
      <c r="E822"/>
      <c r="AL822" s="27" t="s">
        <v>7</v>
      </c>
      <c r="AN822" s="27" t="s">
        <v>7</v>
      </c>
      <c r="AT822" s="27" t="s">
        <v>7</v>
      </c>
      <c r="AX822" s="27" t="s">
        <v>7</v>
      </c>
      <c r="HC822" s="27" t="s">
        <v>8</v>
      </c>
      <c r="HD822" s="27" t="s">
        <v>7</v>
      </c>
      <c r="HG822" s="27" t="s">
        <v>8</v>
      </c>
      <c r="HK822" s="27" t="s">
        <v>8</v>
      </c>
      <c r="HL822" s="27" t="s">
        <v>7</v>
      </c>
      <c r="HV822" s="27" t="s">
        <v>7</v>
      </c>
      <c r="HX822" s="27" t="s">
        <v>7</v>
      </c>
      <c r="KU822" s="27" t="s">
        <v>8</v>
      </c>
      <c r="KV822" s="27" t="s">
        <v>7</v>
      </c>
      <c r="KY822" s="27" t="s">
        <v>8</v>
      </c>
    </row>
    <row r="823" spans="1:315" x14ac:dyDescent="0.25">
      <c r="A823" s="7">
        <v>9.3402707223567936E-3</v>
      </c>
      <c r="B823"/>
      <c r="C823"/>
      <c r="D823"/>
      <c r="E823"/>
      <c r="AX823" s="27" t="s">
        <v>7</v>
      </c>
      <c r="HC823" s="27" t="s">
        <v>8</v>
      </c>
      <c r="HD823" s="27" t="s">
        <v>7</v>
      </c>
      <c r="HG823" s="27" t="s">
        <v>8</v>
      </c>
      <c r="HH823" s="27" t="s">
        <v>7</v>
      </c>
      <c r="HK823" s="27" t="s">
        <v>8</v>
      </c>
      <c r="HX823" s="27" t="s">
        <v>7</v>
      </c>
      <c r="KU823" s="27" t="s">
        <v>8</v>
      </c>
      <c r="KV823" s="27" t="s">
        <v>7</v>
      </c>
      <c r="KW823" s="27" t="s">
        <v>8</v>
      </c>
      <c r="KY823" s="27" t="s">
        <v>8</v>
      </c>
    </row>
    <row r="824" spans="1:315" x14ac:dyDescent="0.25">
      <c r="A824" s="7">
        <v>9.1571281591733261E-3</v>
      </c>
      <c r="B824"/>
      <c r="C824"/>
      <c r="D824"/>
      <c r="E824"/>
      <c r="AX824" s="27" t="s">
        <v>7</v>
      </c>
      <c r="AY824" s="27" t="s">
        <v>8</v>
      </c>
      <c r="BA824" s="27" t="s">
        <v>8</v>
      </c>
      <c r="BC824" s="27" t="s">
        <v>8</v>
      </c>
      <c r="HC824" s="27" t="s">
        <v>8</v>
      </c>
      <c r="HD824" s="27" t="s">
        <v>7</v>
      </c>
      <c r="HE824" s="27" t="s">
        <v>8</v>
      </c>
      <c r="HG824" s="27" t="s">
        <v>8</v>
      </c>
      <c r="HH824" s="27" t="s">
        <v>7</v>
      </c>
      <c r="HK824" s="27" t="s">
        <v>8</v>
      </c>
      <c r="HX824" s="27" t="s">
        <v>7</v>
      </c>
      <c r="KU824" s="27" t="s">
        <v>8</v>
      </c>
      <c r="KV824" s="27" t="s">
        <v>7</v>
      </c>
      <c r="KW824" s="27" t="s">
        <v>8</v>
      </c>
      <c r="KX824" s="27" t="s">
        <v>7</v>
      </c>
      <c r="KY824" s="27" t="s">
        <v>8</v>
      </c>
    </row>
    <row r="825" spans="1:315" x14ac:dyDescent="0.25">
      <c r="A825" s="7">
        <v>8.9775766266405148E-3</v>
      </c>
      <c r="B825"/>
      <c r="C825"/>
      <c r="D825"/>
      <c r="E825"/>
      <c r="AX825" s="27" t="s">
        <v>7</v>
      </c>
      <c r="AY825" s="27" t="s">
        <v>8</v>
      </c>
      <c r="AZ825" s="27" t="s">
        <v>7</v>
      </c>
      <c r="BA825" s="27" t="s">
        <v>8</v>
      </c>
      <c r="BB825" s="27" t="s">
        <v>7</v>
      </c>
      <c r="BC825" s="27" t="s">
        <v>8</v>
      </c>
      <c r="BD825" s="27" t="s">
        <v>7</v>
      </c>
      <c r="HC825" s="27" t="s">
        <v>8</v>
      </c>
      <c r="HD825" s="27" t="s">
        <v>7</v>
      </c>
      <c r="HE825" s="27" t="s">
        <v>8</v>
      </c>
      <c r="HF825" s="27" t="s">
        <v>7</v>
      </c>
      <c r="HG825" s="27" t="s">
        <v>8</v>
      </c>
      <c r="HH825" s="27" t="s">
        <v>7</v>
      </c>
      <c r="HK825" s="27" t="s">
        <v>8</v>
      </c>
      <c r="HX825" s="27" t="s">
        <v>7</v>
      </c>
      <c r="KU825" s="27" t="s">
        <v>8</v>
      </c>
      <c r="KV825" s="27" t="s">
        <v>7</v>
      </c>
      <c r="KW825" s="27" t="s">
        <v>8</v>
      </c>
      <c r="KX825" s="27" t="s">
        <v>7</v>
      </c>
      <c r="KY825" s="27" t="s">
        <v>8</v>
      </c>
    </row>
    <row r="826" spans="1:315" x14ac:dyDescent="0.25">
      <c r="A826" s="7">
        <v>8.8015457123926614E-3</v>
      </c>
      <c r="B826"/>
      <c r="C826"/>
      <c r="D826"/>
      <c r="E826"/>
      <c r="AX826" s="27" t="s">
        <v>7</v>
      </c>
      <c r="AY826" s="27" t="s">
        <v>8</v>
      </c>
      <c r="AZ826" s="27" t="s">
        <v>7</v>
      </c>
      <c r="BA826" s="27" t="s">
        <v>8</v>
      </c>
      <c r="BB826" s="27" t="s">
        <v>7</v>
      </c>
      <c r="BC826" s="27" t="s">
        <v>8</v>
      </c>
      <c r="BD826" s="27" t="s">
        <v>7</v>
      </c>
      <c r="HC826" s="27" t="s">
        <v>8</v>
      </c>
      <c r="HD826" s="27" t="s">
        <v>7</v>
      </c>
      <c r="HE826" s="27" t="s">
        <v>8</v>
      </c>
      <c r="HF826" s="27" t="s">
        <v>7</v>
      </c>
      <c r="HG826" s="27" t="s">
        <v>8</v>
      </c>
      <c r="HH826" s="27" t="s">
        <v>7</v>
      </c>
      <c r="HK826" s="27" t="s">
        <v>8</v>
      </c>
      <c r="HX826" s="27" t="s">
        <v>7</v>
      </c>
      <c r="KU826" s="27" t="s">
        <v>8</v>
      </c>
      <c r="KV826" s="27" t="s">
        <v>7</v>
      </c>
      <c r="KW826" s="27" t="s">
        <v>8</v>
      </c>
      <c r="KX826" s="27" t="s">
        <v>7</v>
      </c>
      <c r="KY826" s="27" t="s">
        <v>8</v>
      </c>
    </row>
    <row r="827" spans="1:315" x14ac:dyDescent="0.25">
      <c r="A827" s="7">
        <v>8.6289663846986879E-3</v>
      </c>
      <c r="B827"/>
      <c r="C827"/>
      <c r="D827"/>
      <c r="E827"/>
      <c r="AX827" s="27" t="s">
        <v>7</v>
      </c>
      <c r="AZ827" s="27" t="s">
        <v>7</v>
      </c>
      <c r="BA827" s="27" t="s">
        <v>8</v>
      </c>
      <c r="BB827" s="27" t="s">
        <v>7</v>
      </c>
      <c r="BC827" s="27" t="s">
        <v>8</v>
      </c>
      <c r="BD827" s="27" t="s">
        <v>7</v>
      </c>
      <c r="HC827" s="27" t="s">
        <v>8</v>
      </c>
      <c r="HD827" s="27" t="s">
        <v>7</v>
      </c>
      <c r="HE827" s="27" t="s">
        <v>8</v>
      </c>
      <c r="HF827" s="27" t="s">
        <v>7</v>
      </c>
      <c r="HG827" s="27" t="s">
        <v>8</v>
      </c>
      <c r="HH827" s="27" t="s">
        <v>7</v>
      </c>
      <c r="HK827" s="27" t="s">
        <v>8</v>
      </c>
      <c r="HX827" s="27" t="s">
        <v>7</v>
      </c>
      <c r="KK827" s="27" t="s">
        <v>8</v>
      </c>
      <c r="KU827" s="27" t="s">
        <v>8</v>
      </c>
      <c r="KV827" s="27" t="s">
        <v>7</v>
      </c>
      <c r="KW827" s="27" t="s">
        <v>8</v>
      </c>
      <c r="KX827" s="27" t="s">
        <v>7</v>
      </c>
      <c r="KY827" s="27" t="s">
        <v>8</v>
      </c>
    </row>
    <row r="828" spans="1:315" x14ac:dyDescent="0.25">
      <c r="A828" s="7">
        <v>8.4597709653908715E-3</v>
      </c>
      <c r="B828"/>
      <c r="C828"/>
      <c r="D828"/>
      <c r="E828"/>
      <c r="AZ828" s="27" t="s">
        <v>7</v>
      </c>
      <c r="BA828" s="27" t="s">
        <v>8</v>
      </c>
      <c r="BB828" s="27" t="s">
        <v>7</v>
      </c>
      <c r="BD828" s="27" t="s">
        <v>7</v>
      </c>
      <c r="CU828" s="27" t="s">
        <v>8</v>
      </c>
      <c r="HC828" s="27" t="s">
        <v>8</v>
      </c>
      <c r="HD828" s="27" t="s">
        <v>7</v>
      </c>
      <c r="HF828" s="27" t="s">
        <v>7</v>
      </c>
      <c r="HG828" s="27" t="s">
        <v>8</v>
      </c>
      <c r="HH828" s="27" t="s">
        <v>7</v>
      </c>
      <c r="HI828" s="27" t="s">
        <v>8</v>
      </c>
      <c r="HK828" s="27" t="s">
        <v>8</v>
      </c>
      <c r="HX828" s="27" t="s">
        <v>7</v>
      </c>
      <c r="KK828" s="27" t="s">
        <v>8</v>
      </c>
      <c r="KL828" s="27" t="s">
        <v>7</v>
      </c>
      <c r="KU828" s="27" t="s">
        <v>8</v>
      </c>
      <c r="KV828" s="27" t="s">
        <v>7</v>
      </c>
      <c r="KW828" s="27" t="s">
        <v>8</v>
      </c>
      <c r="KX828" s="27" t="s">
        <v>7</v>
      </c>
      <c r="KY828" s="27" t="s">
        <v>8</v>
      </c>
    </row>
    <row r="829" spans="1:315" x14ac:dyDescent="0.25">
      <c r="A829" s="7">
        <v>8.2938931033243839E-3</v>
      </c>
      <c r="B829"/>
      <c r="C829"/>
      <c r="D829"/>
      <c r="E829"/>
      <c r="AZ829" s="27" t="s">
        <v>7</v>
      </c>
      <c r="BA829" s="27" t="s">
        <v>8</v>
      </c>
      <c r="BD829" s="27" t="s">
        <v>7</v>
      </c>
      <c r="BG829" s="27" t="s">
        <v>8</v>
      </c>
      <c r="CU829" s="27" t="s">
        <v>8</v>
      </c>
      <c r="CV829" s="27" t="s">
        <v>7</v>
      </c>
      <c r="HA829" s="27" t="s">
        <v>8</v>
      </c>
      <c r="HC829" s="27" t="s">
        <v>8</v>
      </c>
      <c r="HF829" s="27" t="s">
        <v>7</v>
      </c>
      <c r="HG829" s="27" t="s">
        <v>8</v>
      </c>
      <c r="HH829" s="27" t="s">
        <v>7</v>
      </c>
      <c r="HI829" s="27" t="s">
        <v>8</v>
      </c>
      <c r="HJ829" s="27" t="s">
        <v>7</v>
      </c>
      <c r="HK829" s="27" t="s">
        <v>8</v>
      </c>
      <c r="HX829" s="27" t="s">
        <v>7</v>
      </c>
      <c r="IA829" s="27" t="s">
        <v>8</v>
      </c>
      <c r="KK829" s="27" t="s">
        <v>8</v>
      </c>
      <c r="KL829" s="27" t="s">
        <v>7</v>
      </c>
      <c r="KU829" s="27" t="s">
        <v>8</v>
      </c>
      <c r="KV829" s="27" t="s">
        <v>7</v>
      </c>
      <c r="KW829" s="27" t="s">
        <v>8</v>
      </c>
      <c r="KX829" s="27" t="s">
        <v>7</v>
      </c>
      <c r="KY829" s="27" t="s">
        <v>8</v>
      </c>
    </row>
    <row r="830" spans="1:315" x14ac:dyDescent="0.25">
      <c r="A830" s="7">
        <v>8.1312677483572383E-3</v>
      </c>
      <c r="B830"/>
      <c r="C830"/>
      <c r="D830"/>
      <c r="E830"/>
      <c r="AZ830" s="27" t="s">
        <v>7</v>
      </c>
      <c r="BD830" s="27" t="s">
        <v>7</v>
      </c>
      <c r="BE830" s="27" t="s">
        <v>8</v>
      </c>
      <c r="BG830" s="27" t="s">
        <v>8</v>
      </c>
      <c r="BH830" s="27" t="s">
        <v>7</v>
      </c>
      <c r="CU830" s="27" t="s">
        <v>8</v>
      </c>
      <c r="CV830" s="27" t="s">
        <v>7</v>
      </c>
      <c r="HA830" s="27" t="s">
        <v>8</v>
      </c>
      <c r="HB830" s="27" t="s">
        <v>7</v>
      </c>
      <c r="HC830" s="27" t="s">
        <v>8</v>
      </c>
      <c r="HF830" s="27" t="s">
        <v>7</v>
      </c>
      <c r="HG830" s="27" t="s">
        <v>8</v>
      </c>
      <c r="HH830" s="27" t="s">
        <v>7</v>
      </c>
      <c r="HI830" s="27" t="s">
        <v>8</v>
      </c>
      <c r="HJ830" s="27" t="s">
        <v>7</v>
      </c>
      <c r="HK830" s="27" t="s">
        <v>8</v>
      </c>
      <c r="HX830" s="27" t="s">
        <v>7</v>
      </c>
      <c r="IA830" s="27" t="s">
        <v>8</v>
      </c>
      <c r="IB830" s="27" t="s">
        <v>7</v>
      </c>
      <c r="KK830" s="27" t="s">
        <v>8</v>
      </c>
      <c r="KL830" s="27" t="s">
        <v>7</v>
      </c>
      <c r="KO830" s="27" t="s">
        <v>8</v>
      </c>
      <c r="KU830" s="27" t="s">
        <v>8</v>
      </c>
      <c r="KV830" s="27" t="s">
        <v>7</v>
      </c>
      <c r="KX830" s="27" t="s">
        <v>7</v>
      </c>
    </row>
    <row r="831" spans="1:315" x14ac:dyDescent="0.25">
      <c r="A831" s="7">
        <v>7.9718311258404305E-3</v>
      </c>
      <c r="B831"/>
      <c r="C831"/>
      <c r="D831"/>
      <c r="E831"/>
      <c r="BD831" s="27" t="s">
        <v>7</v>
      </c>
      <c r="BE831" s="27" t="s">
        <v>8</v>
      </c>
      <c r="BF831" s="27" t="s">
        <v>7</v>
      </c>
      <c r="BG831" s="27" t="s">
        <v>8</v>
      </c>
      <c r="BH831" s="27" t="s">
        <v>7</v>
      </c>
      <c r="CU831" s="27" t="s">
        <v>8</v>
      </c>
      <c r="CV831" s="27" t="s">
        <v>7</v>
      </c>
      <c r="HA831" s="27" t="s">
        <v>8</v>
      </c>
      <c r="HB831" s="27" t="s">
        <v>7</v>
      </c>
      <c r="HC831" s="27" t="s">
        <v>8</v>
      </c>
      <c r="HF831" s="27" t="s">
        <v>7</v>
      </c>
      <c r="HH831" s="27" t="s">
        <v>7</v>
      </c>
      <c r="HI831" s="27" t="s">
        <v>8</v>
      </c>
      <c r="HJ831" s="27" t="s">
        <v>7</v>
      </c>
      <c r="HX831" s="27" t="s">
        <v>7</v>
      </c>
      <c r="IA831" s="27" t="s">
        <v>8</v>
      </c>
      <c r="IB831" s="27" t="s">
        <v>7</v>
      </c>
      <c r="KK831" s="27" t="s">
        <v>8</v>
      </c>
      <c r="KL831" s="27" t="s">
        <v>7</v>
      </c>
      <c r="KO831" s="27" t="s">
        <v>8</v>
      </c>
      <c r="KP831" s="27" t="s">
        <v>7</v>
      </c>
      <c r="KU831" s="27" t="s">
        <v>8</v>
      </c>
    </row>
    <row r="832" spans="1:315" x14ac:dyDescent="0.25">
      <c r="A832" s="7">
        <v>7.8155207116082648E-3</v>
      </c>
      <c r="B832"/>
      <c r="C832"/>
      <c r="D832"/>
      <c r="E832"/>
      <c r="BD832" s="27" t="s">
        <v>7</v>
      </c>
      <c r="BE832" s="27" t="s">
        <v>8</v>
      </c>
      <c r="BF832" s="27" t="s">
        <v>7</v>
      </c>
      <c r="BG832" s="27" t="s">
        <v>8</v>
      </c>
      <c r="BH832" s="27" t="s">
        <v>7</v>
      </c>
      <c r="CU832" s="27" t="s">
        <v>8</v>
      </c>
      <c r="CV832" s="27" t="s">
        <v>7</v>
      </c>
      <c r="HA832" s="27" t="s">
        <v>8</v>
      </c>
      <c r="HB832" s="27" t="s">
        <v>7</v>
      </c>
      <c r="HC832" s="27" t="s">
        <v>8</v>
      </c>
      <c r="HH832" s="27" t="s">
        <v>7</v>
      </c>
      <c r="HX832" s="27" t="s">
        <v>7</v>
      </c>
      <c r="IA832" s="27" t="s">
        <v>8</v>
      </c>
      <c r="IB832" s="27" t="s">
        <v>7</v>
      </c>
      <c r="KK832" s="27" t="s">
        <v>8</v>
      </c>
      <c r="KL832" s="27" t="s">
        <v>7</v>
      </c>
      <c r="KO832" s="27" t="s">
        <v>8</v>
      </c>
      <c r="KP832" s="27" t="s">
        <v>7</v>
      </c>
      <c r="KS832" s="27" t="s">
        <v>8</v>
      </c>
      <c r="KU832" s="27" t="s">
        <v>8</v>
      </c>
    </row>
    <row r="833" spans="1:307" x14ac:dyDescent="0.25">
      <c r="A833" s="7">
        <v>7.6622752074590825E-3</v>
      </c>
      <c r="B833"/>
      <c r="C833"/>
      <c r="D833"/>
      <c r="E833"/>
      <c r="BD833" s="27" t="s">
        <v>7</v>
      </c>
      <c r="BE833" s="27" t="s">
        <v>8</v>
      </c>
      <c r="BF833" s="27" t="s">
        <v>7</v>
      </c>
      <c r="BH833" s="27" t="s">
        <v>7</v>
      </c>
      <c r="CU833" s="27" t="s">
        <v>8</v>
      </c>
      <c r="CV833" s="27" t="s">
        <v>7</v>
      </c>
      <c r="GY833" s="27" t="s">
        <v>8</v>
      </c>
      <c r="HA833" s="27" t="s">
        <v>8</v>
      </c>
      <c r="HB833" s="27" t="s">
        <v>7</v>
      </c>
      <c r="HC833" s="27" t="s">
        <v>8</v>
      </c>
      <c r="HX833" s="27" t="s">
        <v>7</v>
      </c>
      <c r="IA833" s="27" t="s">
        <v>8</v>
      </c>
      <c r="IB833" s="27" t="s">
        <v>7</v>
      </c>
      <c r="KK833" s="27" t="s">
        <v>8</v>
      </c>
      <c r="KL833" s="27" t="s">
        <v>7</v>
      </c>
      <c r="KO833" s="27" t="s">
        <v>8</v>
      </c>
      <c r="KP833" s="27" t="s">
        <v>7</v>
      </c>
      <c r="KS833" s="27" t="s">
        <v>8</v>
      </c>
      <c r="KT833" s="27" t="s">
        <v>7</v>
      </c>
      <c r="KU833" s="27" t="s">
        <v>8</v>
      </c>
    </row>
    <row r="834" spans="1:307" x14ac:dyDescent="0.25">
      <c r="A834" s="7">
        <v>7.5120345171167469E-3</v>
      </c>
      <c r="B834"/>
      <c r="C834"/>
      <c r="D834"/>
      <c r="E834"/>
      <c r="BD834" s="27" t="s">
        <v>7</v>
      </c>
      <c r="BH834" s="27" t="s">
        <v>7</v>
      </c>
      <c r="CU834" s="27" t="s">
        <v>8</v>
      </c>
      <c r="CV834" s="27" t="s">
        <v>7</v>
      </c>
      <c r="GY834" s="27" t="s">
        <v>8</v>
      </c>
      <c r="GZ834" s="27" t="s">
        <v>7</v>
      </c>
      <c r="HA834" s="27" t="s">
        <v>8</v>
      </c>
      <c r="HB834" s="27" t="s">
        <v>7</v>
      </c>
      <c r="HC834" s="27" t="s">
        <v>8</v>
      </c>
      <c r="HX834" s="27" t="s">
        <v>7</v>
      </c>
      <c r="IA834" s="27" t="s">
        <v>8</v>
      </c>
      <c r="IB834" s="27" t="s">
        <v>7</v>
      </c>
      <c r="IC834" s="27" t="s">
        <v>8</v>
      </c>
      <c r="KK834" s="27" t="s">
        <v>8</v>
      </c>
      <c r="KL834" s="27" t="s">
        <v>7</v>
      </c>
      <c r="KM834" s="27" t="s">
        <v>8</v>
      </c>
      <c r="KO834" s="27" t="s">
        <v>8</v>
      </c>
      <c r="KP834" s="27" t="s">
        <v>7</v>
      </c>
      <c r="KQ834" s="27" t="s">
        <v>8</v>
      </c>
      <c r="KS834" s="27" t="s">
        <v>8</v>
      </c>
      <c r="KT834" s="27" t="s">
        <v>7</v>
      </c>
      <c r="KU834" s="27" t="s">
        <v>8</v>
      </c>
    </row>
    <row r="835" spans="1:307" x14ac:dyDescent="0.25">
      <c r="A835" s="7">
        <v>7.3647397226634772E-3</v>
      </c>
      <c r="B835"/>
      <c r="C835"/>
      <c r="D835"/>
      <c r="E835"/>
      <c r="BH835" s="27" t="s">
        <v>7</v>
      </c>
      <c r="CU835" s="27" t="s">
        <v>8</v>
      </c>
      <c r="CV835" s="27" t="s">
        <v>7</v>
      </c>
      <c r="DW835" s="27" t="s">
        <v>8</v>
      </c>
      <c r="GY835" s="27" t="s">
        <v>8</v>
      </c>
      <c r="GZ835" s="27" t="s">
        <v>7</v>
      </c>
      <c r="HA835" s="27" t="s">
        <v>8</v>
      </c>
      <c r="HB835" s="27" t="s">
        <v>7</v>
      </c>
      <c r="HC835" s="27" t="s">
        <v>8</v>
      </c>
      <c r="HX835" s="27" t="s">
        <v>7</v>
      </c>
      <c r="IA835" s="27" t="s">
        <v>8</v>
      </c>
      <c r="IB835" s="27" t="s">
        <v>7</v>
      </c>
      <c r="IC835" s="27" t="s">
        <v>8</v>
      </c>
      <c r="ID835" s="27" t="s">
        <v>7</v>
      </c>
      <c r="KK835" s="27" t="s">
        <v>8</v>
      </c>
      <c r="KL835" s="27" t="s">
        <v>7</v>
      </c>
      <c r="KM835" s="27" t="s">
        <v>8</v>
      </c>
      <c r="KN835" s="27" t="s">
        <v>7</v>
      </c>
      <c r="KO835" s="27" t="s">
        <v>8</v>
      </c>
      <c r="KP835" s="27" t="s">
        <v>7</v>
      </c>
      <c r="KQ835" s="27" t="s">
        <v>8</v>
      </c>
      <c r="KR835" s="27" t="s">
        <v>7</v>
      </c>
      <c r="KS835" s="27" t="s">
        <v>8</v>
      </c>
      <c r="KT835" s="27" t="s">
        <v>7</v>
      </c>
      <c r="KU835" s="27" t="s">
        <v>8</v>
      </c>
    </row>
    <row r="836" spans="1:307" x14ac:dyDescent="0.25">
      <c r="A836" s="7">
        <v>7.2203330614347815E-3</v>
      </c>
      <c r="B836"/>
      <c r="C836"/>
      <c r="D836"/>
      <c r="E836"/>
      <c r="BH836" s="27" t="s">
        <v>7</v>
      </c>
      <c r="CU836" s="27" t="s">
        <v>8</v>
      </c>
      <c r="CV836" s="27" t="s">
        <v>7</v>
      </c>
      <c r="DW836" s="27" t="s">
        <v>8</v>
      </c>
      <c r="DX836" s="27" t="s">
        <v>7</v>
      </c>
      <c r="GY836" s="27" t="s">
        <v>8</v>
      </c>
      <c r="GZ836" s="27" t="s">
        <v>7</v>
      </c>
      <c r="HA836" s="27" t="s">
        <v>8</v>
      </c>
      <c r="HB836" s="27" t="s">
        <v>7</v>
      </c>
      <c r="HX836" s="27" t="s">
        <v>7</v>
      </c>
      <c r="HY836" s="27" t="s">
        <v>8</v>
      </c>
      <c r="IA836" s="27" t="s">
        <v>8</v>
      </c>
      <c r="IB836" s="27" t="s">
        <v>7</v>
      </c>
      <c r="IC836" s="27" t="s">
        <v>8</v>
      </c>
      <c r="ID836" s="27" t="s">
        <v>7</v>
      </c>
      <c r="KK836" s="27" t="s">
        <v>8</v>
      </c>
      <c r="KL836" s="27" t="s">
        <v>7</v>
      </c>
      <c r="KM836" s="27" t="s">
        <v>8</v>
      </c>
      <c r="KN836" s="27" t="s">
        <v>7</v>
      </c>
      <c r="KO836" s="27" t="s">
        <v>8</v>
      </c>
      <c r="KP836" s="27" t="s">
        <v>7</v>
      </c>
      <c r="KQ836" s="27" t="s">
        <v>8</v>
      </c>
      <c r="KR836" s="27" t="s">
        <v>7</v>
      </c>
      <c r="KS836" s="27" t="s">
        <v>8</v>
      </c>
      <c r="KT836" s="27" t="s">
        <v>7</v>
      </c>
      <c r="KU836" s="27" t="s">
        <v>8</v>
      </c>
    </row>
    <row r="837" spans="1:307" x14ac:dyDescent="0.25">
      <c r="A837" s="7">
        <v>7.0787579033674327E-3</v>
      </c>
      <c r="B837"/>
      <c r="C837"/>
      <c r="D837"/>
      <c r="E837"/>
      <c r="BH837" s="27" t="s">
        <v>7</v>
      </c>
      <c r="CU837" s="27" t="s">
        <v>8</v>
      </c>
      <c r="CV837" s="27" t="s">
        <v>7</v>
      </c>
      <c r="DU837" s="27" t="s">
        <v>8</v>
      </c>
      <c r="DW837" s="27" t="s">
        <v>8</v>
      </c>
      <c r="DX837" s="27" t="s">
        <v>7</v>
      </c>
      <c r="GY837" s="27" t="s">
        <v>8</v>
      </c>
      <c r="GZ837" s="27" t="s">
        <v>7</v>
      </c>
      <c r="HA837" s="27" t="s">
        <v>8</v>
      </c>
      <c r="HX837" s="27" t="s">
        <v>7</v>
      </c>
      <c r="HY837" s="27" t="s">
        <v>8</v>
      </c>
      <c r="HZ837" s="27" t="s">
        <v>7</v>
      </c>
      <c r="IA837" s="27" t="s">
        <v>8</v>
      </c>
      <c r="IB837" s="27" t="s">
        <v>7</v>
      </c>
      <c r="ID837" s="27" t="s">
        <v>7</v>
      </c>
      <c r="KK837" s="27" t="s">
        <v>8</v>
      </c>
      <c r="KL837" s="27" t="s">
        <v>7</v>
      </c>
      <c r="KM837" s="27" t="s">
        <v>8</v>
      </c>
      <c r="KN837" s="27" t="s">
        <v>7</v>
      </c>
      <c r="KO837" s="27" t="s">
        <v>8</v>
      </c>
      <c r="KP837" s="27" t="s">
        <v>7</v>
      </c>
      <c r="KQ837" s="27" t="s">
        <v>8</v>
      </c>
      <c r="KR837" s="27" t="s">
        <v>7</v>
      </c>
      <c r="KS837" s="27" t="s">
        <v>8</v>
      </c>
      <c r="KT837" s="27" t="s">
        <v>7</v>
      </c>
      <c r="KU837" s="27" t="s">
        <v>8</v>
      </c>
    </row>
    <row r="838" spans="1:307" x14ac:dyDescent="0.25">
      <c r="A838" s="7">
        <v>6.9399587287916013E-3</v>
      </c>
      <c r="B838"/>
      <c r="C838"/>
      <c r="D838"/>
      <c r="E838"/>
      <c r="BH838" s="27" t="s">
        <v>7</v>
      </c>
      <c r="BO838" s="27" t="s">
        <v>8</v>
      </c>
      <c r="CU838" s="27" t="s">
        <v>8</v>
      </c>
      <c r="CV838" s="27" t="s">
        <v>7</v>
      </c>
      <c r="DU838" s="27" t="s">
        <v>8</v>
      </c>
      <c r="DV838" s="27" t="s">
        <v>7</v>
      </c>
      <c r="DW838" s="27" t="s">
        <v>8</v>
      </c>
      <c r="DX838" s="27" t="s">
        <v>7</v>
      </c>
      <c r="GY838" s="27" t="s">
        <v>8</v>
      </c>
      <c r="GZ838" s="27" t="s">
        <v>7</v>
      </c>
      <c r="HA838" s="27" t="s">
        <v>8</v>
      </c>
      <c r="HX838" s="27" t="s">
        <v>7</v>
      </c>
      <c r="HY838" s="27" t="s">
        <v>8</v>
      </c>
      <c r="HZ838" s="27" t="s">
        <v>7</v>
      </c>
      <c r="IA838" s="27" t="s">
        <v>8</v>
      </c>
      <c r="ID838" s="27" t="s">
        <v>7</v>
      </c>
      <c r="KK838" s="27" t="s">
        <v>8</v>
      </c>
      <c r="KL838" s="27" t="s">
        <v>7</v>
      </c>
      <c r="KM838" s="27" t="s">
        <v>8</v>
      </c>
      <c r="KN838" s="27" t="s">
        <v>7</v>
      </c>
      <c r="KO838" s="27" t="s">
        <v>8</v>
      </c>
      <c r="KP838" s="27" t="s">
        <v>7</v>
      </c>
      <c r="KQ838" s="27" t="s">
        <v>8</v>
      </c>
      <c r="KR838" s="27" t="s">
        <v>7</v>
      </c>
      <c r="KS838" s="27" t="s">
        <v>8</v>
      </c>
      <c r="KT838" s="27" t="s">
        <v>7</v>
      </c>
      <c r="KU838" s="27" t="s">
        <v>8</v>
      </c>
    </row>
    <row r="839" spans="1:307" x14ac:dyDescent="0.25">
      <c r="A839" s="7">
        <v>6.8038811066584333E-3</v>
      </c>
      <c r="B839"/>
      <c r="C839"/>
      <c r="D839"/>
      <c r="E839"/>
      <c r="BH839" s="27" t="s">
        <v>7</v>
      </c>
      <c r="BO839" s="27" t="s">
        <v>8</v>
      </c>
      <c r="BP839" s="27" t="s">
        <v>7</v>
      </c>
      <c r="CU839" s="27" t="s">
        <v>8</v>
      </c>
      <c r="CV839" s="27" t="s">
        <v>7</v>
      </c>
      <c r="DS839" s="27" t="s">
        <v>8</v>
      </c>
      <c r="DU839" s="27" t="s">
        <v>8</v>
      </c>
      <c r="DV839" s="27" t="s">
        <v>7</v>
      </c>
      <c r="DW839" s="27" t="s">
        <v>8</v>
      </c>
      <c r="DX839" s="27" t="s">
        <v>7</v>
      </c>
      <c r="GY839" s="27" t="s">
        <v>8</v>
      </c>
      <c r="GZ839" s="27" t="s">
        <v>7</v>
      </c>
      <c r="HX839" s="27" t="s">
        <v>7</v>
      </c>
      <c r="HY839" s="27" t="s">
        <v>8</v>
      </c>
      <c r="HZ839" s="27" t="s">
        <v>7</v>
      </c>
      <c r="IA839" s="27" t="s">
        <v>8</v>
      </c>
      <c r="ID839" s="27" t="s">
        <v>7</v>
      </c>
      <c r="JI839" s="27" t="s">
        <v>8</v>
      </c>
      <c r="KK839" s="27" t="s">
        <v>8</v>
      </c>
      <c r="KL839" s="27" t="s">
        <v>7</v>
      </c>
      <c r="KM839" s="27" t="s">
        <v>8</v>
      </c>
      <c r="KN839" s="27" t="s">
        <v>7</v>
      </c>
      <c r="KP839" s="27" t="s">
        <v>7</v>
      </c>
      <c r="KR839" s="27" t="s">
        <v>7</v>
      </c>
      <c r="KS839" s="27" t="s">
        <v>8</v>
      </c>
      <c r="KT839" s="27" t="s">
        <v>7</v>
      </c>
      <c r="KU839" s="27" t="s">
        <v>8</v>
      </c>
    </row>
    <row r="840" spans="1:307" x14ac:dyDescent="0.25">
      <c r="A840" s="7">
        <v>6.6704716731945425E-3</v>
      </c>
      <c r="B840"/>
      <c r="C840"/>
      <c r="D840"/>
      <c r="E840"/>
      <c r="BH840" s="27" t="s">
        <v>7</v>
      </c>
      <c r="BO840" s="27" t="s">
        <v>8</v>
      </c>
      <c r="BP840" s="27" t="s">
        <v>7</v>
      </c>
      <c r="BQ840" s="27" t="s">
        <v>8</v>
      </c>
      <c r="CU840" s="27" t="s">
        <v>8</v>
      </c>
      <c r="CV840" s="27" t="s">
        <v>7</v>
      </c>
      <c r="DS840" s="27" t="s">
        <v>8</v>
      </c>
      <c r="DT840" s="27" t="s">
        <v>7</v>
      </c>
      <c r="DU840" s="27" t="s">
        <v>8</v>
      </c>
      <c r="DV840" s="27" t="s">
        <v>7</v>
      </c>
      <c r="DW840" s="27" t="s">
        <v>8</v>
      </c>
      <c r="DX840" s="27" t="s">
        <v>7</v>
      </c>
      <c r="GY840" s="27" t="s">
        <v>8</v>
      </c>
      <c r="HX840" s="27" t="s">
        <v>7</v>
      </c>
      <c r="HY840" s="27" t="s">
        <v>8</v>
      </c>
      <c r="HZ840" s="27" t="s">
        <v>7</v>
      </c>
      <c r="IA840" s="27" t="s">
        <v>8</v>
      </c>
      <c r="ID840" s="27" t="s">
        <v>7</v>
      </c>
      <c r="JI840" s="27" t="s">
        <v>8</v>
      </c>
      <c r="JJ840" s="27" t="s">
        <v>7</v>
      </c>
      <c r="KK840" s="27" t="s">
        <v>8</v>
      </c>
      <c r="KL840" s="27" t="s">
        <v>7</v>
      </c>
      <c r="KM840" s="27" t="s">
        <v>8</v>
      </c>
      <c r="KR840" s="27" t="s">
        <v>7</v>
      </c>
      <c r="KS840" s="27" t="s">
        <v>8</v>
      </c>
      <c r="KT840" s="27" t="s">
        <v>7</v>
      </c>
      <c r="KU840" s="27" t="s">
        <v>8</v>
      </c>
    </row>
    <row r="841" spans="1:307" x14ac:dyDescent="0.25">
      <c r="A841" s="7">
        <v>6.5396781109750427E-3</v>
      </c>
      <c r="B841"/>
      <c r="C841"/>
      <c r="D841"/>
      <c r="E841"/>
      <c r="BH841" s="27" t="s">
        <v>7</v>
      </c>
      <c r="BO841" s="27" t="s">
        <v>8</v>
      </c>
      <c r="BP841" s="27" t="s">
        <v>7</v>
      </c>
      <c r="BQ841" s="27" t="s">
        <v>8</v>
      </c>
      <c r="BR841" s="27" t="s">
        <v>7</v>
      </c>
      <c r="CM841" s="27" t="s">
        <v>8</v>
      </c>
      <c r="CS841" s="27" t="s">
        <v>8</v>
      </c>
      <c r="CU841" s="27" t="s">
        <v>8</v>
      </c>
      <c r="CV841" s="27" t="s">
        <v>7</v>
      </c>
      <c r="DS841" s="27" t="s">
        <v>8</v>
      </c>
      <c r="DT841" s="27" t="s">
        <v>7</v>
      </c>
      <c r="DU841" s="27" t="s">
        <v>8</v>
      </c>
      <c r="DV841" s="27" t="s">
        <v>7</v>
      </c>
      <c r="DW841" s="27" t="s">
        <v>8</v>
      </c>
      <c r="DX841" s="27" t="s">
        <v>7</v>
      </c>
      <c r="GY841" s="27" t="s">
        <v>8</v>
      </c>
      <c r="HX841" s="27" t="s">
        <v>7</v>
      </c>
      <c r="HY841" s="27" t="s">
        <v>8</v>
      </c>
      <c r="HZ841" s="27" t="s">
        <v>7</v>
      </c>
      <c r="IA841" s="27" t="s">
        <v>8</v>
      </c>
      <c r="ID841" s="27" t="s">
        <v>7</v>
      </c>
      <c r="JI841" s="27" t="s">
        <v>8</v>
      </c>
      <c r="JJ841" s="27" t="s">
        <v>7</v>
      </c>
      <c r="KK841" s="27" t="s">
        <v>8</v>
      </c>
      <c r="KL841" s="27" t="s">
        <v>7</v>
      </c>
      <c r="KM841" s="27" t="s">
        <v>8</v>
      </c>
      <c r="KR841" s="27" t="s">
        <v>7</v>
      </c>
      <c r="KS841" s="27" t="s">
        <v>8</v>
      </c>
      <c r="KT841" s="27" t="s">
        <v>7</v>
      </c>
      <c r="KU841" s="27" t="s">
        <v>8</v>
      </c>
    </row>
    <row r="842" spans="1:307" x14ac:dyDescent="0.25">
      <c r="A842" s="7">
        <v>6.4114491284069045E-3</v>
      </c>
      <c r="B842"/>
      <c r="C842"/>
      <c r="D842"/>
      <c r="E842"/>
      <c r="BH842" s="27" t="s">
        <v>7</v>
      </c>
      <c r="BM842" s="27" t="s">
        <v>8</v>
      </c>
      <c r="BO842" s="27" t="s">
        <v>8</v>
      </c>
      <c r="BP842" s="27" t="s">
        <v>7</v>
      </c>
      <c r="BQ842" s="27" t="s">
        <v>8</v>
      </c>
      <c r="BR842" s="27" t="s">
        <v>7</v>
      </c>
      <c r="CC842" s="27" t="s">
        <v>8</v>
      </c>
      <c r="CM842" s="27" t="s">
        <v>8</v>
      </c>
      <c r="CN842" s="27" t="s">
        <v>7</v>
      </c>
      <c r="CO842" s="27" t="s">
        <v>8</v>
      </c>
      <c r="CS842" s="27" t="s">
        <v>8</v>
      </c>
      <c r="CT842" s="27" t="s">
        <v>7</v>
      </c>
      <c r="CU842" s="27" t="s">
        <v>8</v>
      </c>
      <c r="CV842" s="27" t="s">
        <v>7</v>
      </c>
      <c r="DS842" s="27" t="s">
        <v>8</v>
      </c>
      <c r="DT842" s="27" t="s">
        <v>7</v>
      </c>
      <c r="DU842" s="27" t="s">
        <v>8</v>
      </c>
      <c r="DV842" s="27" t="s">
        <v>7</v>
      </c>
      <c r="DX842" s="27" t="s">
        <v>7</v>
      </c>
      <c r="GS842" s="27" t="s">
        <v>8</v>
      </c>
      <c r="GY842" s="27" t="s">
        <v>8</v>
      </c>
      <c r="HX842" s="27" t="s">
        <v>7</v>
      </c>
      <c r="HY842" s="27" t="s">
        <v>8</v>
      </c>
      <c r="HZ842" s="27" t="s">
        <v>7</v>
      </c>
      <c r="IA842" s="27" t="s">
        <v>8</v>
      </c>
      <c r="ID842" s="27" t="s">
        <v>7</v>
      </c>
      <c r="JI842" s="27" t="s">
        <v>8</v>
      </c>
      <c r="JJ842" s="27" t="s">
        <v>7</v>
      </c>
      <c r="KK842" s="27" t="s">
        <v>8</v>
      </c>
      <c r="KL842" s="27" t="s">
        <v>7</v>
      </c>
      <c r="KM842" s="27" t="s">
        <v>8</v>
      </c>
      <c r="KR842" s="27" t="s">
        <v>7</v>
      </c>
      <c r="KS842" s="27" t="s">
        <v>8</v>
      </c>
      <c r="KT842" s="27" t="s">
        <v>7</v>
      </c>
    </row>
    <row r="843" spans="1:307" x14ac:dyDescent="0.25">
      <c r="A843" s="7">
        <v>6.2857344396146115E-3</v>
      </c>
      <c r="B843"/>
      <c r="C843"/>
      <c r="D843"/>
      <c r="E843"/>
      <c r="BH843" s="27" t="s">
        <v>7</v>
      </c>
      <c r="BM843" s="27" t="s">
        <v>8</v>
      </c>
      <c r="BN843" s="27" t="s">
        <v>7</v>
      </c>
      <c r="BO843" s="27" t="s">
        <v>8</v>
      </c>
      <c r="BP843" s="27" t="s">
        <v>7</v>
      </c>
      <c r="BQ843" s="27" t="s">
        <v>8</v>
      </c>
      <c r="BR843" s="27" t="s">
        <v>7</v>
      </c>
      <c r="CC843" s="27" t="s">
        <v>8</v>
      </c>
      <c r="CD843" s="27" t="s">
        <v>7</v>
      </c>
      <c r="CI843" s="27" t="s">
        <v>8</v>
      </c>
      <c r="CM843" s="27" t="s">
        <v>8</v>
      </c>
      <c r="CN843" s="27" t="s">
        <v>7</v>
      </c>
      <c r="CO843" s="27" t="s">
        <v>8</v>
      </c>
      <c r="CP843" s="27" t="s">
        <v>7</v>
      </c>
      <c r="CQ843" s="27" t="s">
        <v>8</v>
      </c>
      <c r="CS843" s="27" t="s">
        <v>8</v>
      </c>
      <c r="CT843" s="27" t="s">
        <v>7</v>
      </c>
      <c r="CU843" s="27" t="s">
        <v>8</v>
      </c>
      <c r="CV843" s="27" t="s">
        <v>7</v>
      </c>
      <c r="DS843" s="27" t="s">
        <v>8</v>
      </c>
      <c r="DT843" s="27" t="s">
        <v>7</v>
      </c>
      <c r="DU843" s="27" t="s">
        <v>8</v>
      </c>
      <c r="DX843" s="27" t="s">
        <v>7</v>
      </c>
      <c r="GS843" s="27" t="s">
        <v>8</v>
      </c>
      <c r="GT843" s="27" t="s">
        <v>7</v>
      </c>
      <c r="GU843" s="27" t="s">
        <v>8</v>
      </c>
      <c r="GY843" s="27" t="s">
        <v>8</v>
      </c>
      <c r="HX843" s="27" t="s">
        <v>7</v>
      </c>
      <c r="HY843" s="27" t="s">
        <v>8</v>
      </c>
      <c r="HZ843" s="27" t="s">
        <v>7</v>
      </c>
      <c r="IA843" s="27" t="s">
        <v>8</v>
      </c>
      <c r="ID843" s="27" t="s">
        <v>7</v>
      </c>
      <c r="JI843" s="27" t="s">
        <v>8</v>
      </c>
      <c r="JJ843" s="27" t="s">
        <v>7</v>
      </c>
      <c r="KK843" s="27" t="s">
        <v>8</v>
      </c>
      <c r="KL843" s="27" t="s">
        <v>7</v>
      </c>
      <c r="KM843" s="27" t="s">
        <v>8</v>
      </c>
      <c r="KR843" s="27" t="s">
        <v>7</v>
      </c>
      <c r="KS843" s="27" t="s">
        <v>8</v>
      </c>
    </row>
    <row r="844" spans="1:307" x14ac:dyDescent="0.25">
      <c r="A844" s="7">
        <v>6.1624847447202076E-3</v>
      </c>
      <c r="B844"/>
      <c r="C844"/>
      <c r="D844"/>
      <c r="E844"/>
      <c r="BH844" s="27" t="s">
        <v>7</v>
      </c>
      <c r="BM844" s="27" t="s">
        <v>8</v>
      </c>
      <c r="BN844" s="27" t="s">
        <v>7</v>
      </c>
      <c r="BO844" s="27" t="s">
        <v>8</v>
      </c>
      <c r="BP844" s="27" t="s">
        <v>7</v>
      </c>
      <c r="BQ844" s="27" t="s">
        <v>8</v>
      </c>
      <c r="BR844" s="27" t="s">
        <v>7</v>
      </c>
      <c r="CC844" s="27" t="s">
        <v>8</v>
      </c>
      <c r="CD844" s="27" t="s">
        <v>7</v>
      </c>
      <c r="CI844" s="27" t="s">
        <v>8</v>
      </c>
      <c r="CJ844" s="27" t="s">
        <v>7</v>
      </c>
      <c r="CM844" s="27" t="s">
        <v>8</v>
      </c>
      <c r="CN844" s="27" t="s">
        <v>7</v>
      </c>
      <c r="CO844" s="27" t="s">
        <v>8</v>
      </c>
      <c r="CP844" s="27" t="s">
        <v>7</v>
      </c>
      <c r="CQ844" s="27" t="s">
        <v>8</v>
      </c>
      <c r="CR844" s="27" t="s">
        <v>7</v>
      </c>
      <c r="CS844" s="27" t="s">
        <v>8</v>
      </c>
      <c r="CT844" s="27" t="s">
        <v>7</v>
      </c>
      <c r="CU844" s="27" t="s">
        <v>8</v>
      </c>
      <c r="CV844" s="27" t="s">
        <v>7</v>
      </c>
      <c r="DS844" s="27" t="s">
        <v>8</v>
      </c>
      <c r="DT844" s="27" t="s">
        <v>7</v>
      </c>
      <c r="DU844" s="27" t="s">
        <v>8</v>
      </c>
      <c r="DX844" s="27" t="s">
        <v>7</v>
      </c>
      <c r="DY844" s="27" t="s">
        <v>8</v>
      </c>
      <c r="GS844" s="27" t="s">
        <v>8</v>
      </c>
      <c r="GT844" s="27" t="s">
        <v>7</v>
      </c>
      <c r="GU844" s="27" t="s">
        <v>8</v>
      </c>
      <c r="GV844" s="27" t="s">
        <v>7</v>
      </c>
      <c r="GY844" s="27" t="s">
        <v>8</v>
      </c>
      <c r="HX844" s="27" t="s">
        <v>7</v>
      </c>
      <c r="HZ844" s="27" t="s">
        <v>7</v>
      </c>
      <c r="ID844" s="27" t="s">
        <v>7</v>
      </c>
      <c r="IE844" s="27" t="s">
        <v>8</v>
      </c>
      <c r="JI844" s="27" t="s">
        <v>8</v>
      </c>
      <c r="JJ844" s="27" t="s">
        <v>7</v>
      </c>
      <c r="KK844" s="27" t="s">
        <v>8</v>
      </c>
      <c r="KL844" s="27" t="s">
        <v>7</v>
      </c>
      <c r="KM844" s="27" t="s">
        <v>8</v>
      </c>
      <c r="KR844" s="27" t="s">
        <v>7</v>
      </c>
    </row>
    <row r="845" spans="1:307" x14ac:dyDescent="0.25">
      <c r="A845" s="7">
        <v>6.0416517105100079E-3</v>
      </c>
      <c r="B845"/>
      <c r="C845"/>
      <c r="D845"/>
      <c r="E845"/>
      <c r="BH845" s="27" t="s">
        <v>7</v>
      </c>
      <c r="BM845" s="27" t="s">
        <v>8</v>
      </c>
      <c r="BN845" s="27" t="s">
        <v>7</v>
      </c>
      <c r="BO845" s="27" t="s">
        <v>8</v>
      </c>
      <c r="BP845" s="27" t="s">
        <v>7</v>
      </c>
      <c r="BQ845" s="27" t="s">
        <v>8</v>
      </c>
      <c r="BR845" s="27" t="s">
        <v>7</v>
      </c>
      <c r="BS845" s="27" t="s">
        <v>8</v>
      </c>
      <c r="CC845" s="27" t="s">
        <v>8</v>
      </c>
      <c r="CD845" s="27" t="s">
        <v>7</v>
      </c>
      <c r="CI845" s="27" t="s">
        <v>8</v>
      </c>
      <c r="CJ845" s="27" t="s">
        <v>7</v>
      </c>
      <c r="CM845" s="27" t="s">
        <v>8</v>
      </c>
      <c r="CN845" s="27" t="s">
        <v>7</v>
      </c>
      <c r="CO845" s="27" t="s">
        <v>8</v>
      </c>
      <c r="CP845" s="27" t="s">
        <v>7</v>
      </c>
      <c r="CQ845" s="27" t="s">
        <v>8</v>
      </c>
      <c r="CR845" s="27" t="s">
        <v>7</v>
      </c>
      <c r="CS845" s="27" t="s">
        <v>8</v>
      </c>
      <c r="CT845" s="27" t="s">
        <v>7</v>
      </c>
      <c r="CU845" s="27" t="s">
        <v>8</v>
      </c>
      <c r="CV845" s="27" t="s">
        <v>7</v>
      </c>
      <c r="DS845" s="27" t="s">
        <v>8</v>
      </c>
      <c r="DT845" s="27" t="s">
        <v>7</v>
      </c>
      <c r="DU845" s="27" t="s">
        <v>8</v>
      </c>
      <c r="DX845" s="27" t="s">
        <v>7</v>
      </c>
      <c r="DY845" s="27" t="s">
        <v>8</v>
      </c>
      <c r="DZ845" s="27" t="s">
        <v>7</v>
      </c>
      <c r="GS845" s="27" t="s">
        <v>8</v>
      </c>
      <c r="GT845" s="27" t="s">
        <v>7</v>
      </c>
      <c r="GU845" s="27" t="s">
        <v>8</v>
      </c>
      <c r="GV845" s="27" t="s">
        <v>7</v>
      </c>
      <c r="GW845" s="27" t="s">
        <v>8</v>
      </c>
      <c r="GY845" s="27" t="s">
        <v>8</v>
      </c>
      <c r="ID845" s="27" t="s">
        <v>7</v>
      </c>
      <c r="IE845" s="27" t="s">
        <v>8</v>
      </c>
      <c r="IF845" s="27" t="s">
        <v>7</v>
      </c>
      <c r="IK845" s="27" t="s">
        <v>8</v>
      </c>
      <c r="JI845" s="27" t="s">
        <v>8</v>
      </c>
      <c r="JJ845" s="27" t="s">
        <v>7</v>
      </c>
      <c r="KK845" s="27" t="s">
        <v>8</v>
      </c>
      <c r="KL845" s="27" t="s">
        <v>7</v>
      </c>
      <c r="KM845" s="27" t="s">
        <v>8</v>
      </c>
    </row>
    <row r="846" spans="1:307" x14ac:dyDescent="0.25">
      <c r="A846" s="7">
        <v>5.9231879514803996E-3</v>
      </c>
      <c r="B846"/>
      <c r="C846"/>
      <c r="D846"/>
      <c r="E846"/>
      <c r="BH846" s="27" t="s">
        <v>7</v>
      </c>
      <c r="BM846" s="27" t="s">
        <v>8</v>
      </c>
      <c r="BN846" s="27" t="s">
        <v>7</v>
      </c>
      <c r="BO846" s="27" t="s">
        <v>8</v>
      </c>
      <c r="BP846" s="27" t="s">
        <v>7</v>
      </c>
      <c r="BR846" s="27" t="s">
        <v>7</v>
      </c>
      <c r="BS846" s="27" t="s">
        <v>8</v>
      </c>
      <c r="BT846" s="27" t="s">
        <v>7</v>
      </c>
      <c r="CC846" s="27" t="s">
        <v>8</v>
      </c>
      <c r="CD846" s="27" t="s">
        <v>7</v>
      </c>
      <c r="CI846" s="27" t="s">
        <v>8</v>
      </c>
      <c r="CJ846" s="27" t="s">
        <v>7</v>
      </c>
      <c r="CK846" s="27" t="s">
        <v>8</v>
      </c>
      <c r="CM846" s="27" t="s">
        <v>8</v>
      </c>
      <c r="CN846" s="27" t="s">
        <v>7</v>
      </c>
      <c r="CO846" s="27" t="s">
        <v>8</v>
      </c>
      <c r="CP846" s="27" t="s">
        <v>7</v>
      </c>
      <c r="CR846" s="27" t="s">
        <v>7</v>
      </c>
      <c r="CS846" s="27" t="s">
        <v>8</v>
      </c>
      <c r="CT846" s="27" t="s">
        <v>7</v>
      </c>
      <c r="CV846" s="27" t="s">
        <v>7</v>
      </c>
      <c r="CW846" s="27" t="s">
        <v>8</v>
      </c>
      <c r="DS846" s="27" t="s">
        <v>8</v>
      </c>
      <c r="DT846" s="27" t="s">
        <v>7</v>
      </c>
      <c r="DX846" s="27" t="s">
        <v>7</v>
      </c>
      <c r="DY846" s="27" t="s">
        <v>8</v>
      </c>
      <c r="DZ846" s="27" t="s">
        <v>7</v>
      </c>
      <c r="GS846" s="27" t="s">
        <v>8</v>
      </c>
      <c r="GT846" s="27" t="s">
        <v>7</v>
      </c>
      <c r="GU846" s="27" t="s">
        <v>8</v>
      </c>
      <c r="GV846" s="27" t="s">
        <v>7</v>
      </c>
      <c r="GW846" s="27" t="s">
        <v>8</v>
      </c>
      <c r="GX846" s="27" t="s">
        <v>7</v>
      </c>
      <c r="GY846" s="27" t="s">
        <v>8</v>
      </c>
      <c r="ID846" s="27" t="s">
        <v>7</v>
      </c>
      <c r="IE846" s="27" t="s">
        <v>8</v>
      </c>
      <c r="IF846" s="27" t="s">
        <v>7</v>
      </c>
      <c r="IK846" s="27" t="s">
        <v>8</v>
      </c>
      <c r="IL846" s="27" t="s">
        <v>7</v>
      </c>
      <c r="JI846" s="27" t="s">
        <v>8</v>
      </c>
      <c r="JJ846" s="27" t="s">
        <v>7</v>
      </c>
      <c r="KK846" s="27" t="s">
        <v>8</v>
      </c>
      <c r="KL846" s="27" t="s">
        <v>7</v>
      </c>
      <c r="KM846" s="27" t="s">
        <v>8</v>
      </c>
    </row>
    <row r="847" spans="1:307" x14ac:dyDescent="0.25">
      <c r="A847" s="7">
        <v>5.8070470112552936E-3</v>
      </c>
      <c r="B847"/>
      <c r="C847"/>
      <c r="D847"/>
      <c r="E847"/>
      <c r="BH847" s="27" t="s">
        <v>7</v>
      </c>
      <c r="BM847" s="27" t="s">
        <v>8</v>
      </c>
      <c r="BN847" s="27" t="s">
        <v>7</v>
      </c>
      <c r="BO847" s="27" t="s">
        <v>8</v>
      </c>
      <c r="BR847" s="27" t="s">
        <v>7</v>
      </c>
      <c r="BS847" s="27" t="s">
        <v>8</v>
      </c>
      <c r="BT847" s="27" t="s">
        <v>7</v>
      </c>
      <c r="BU847" s="27" t="s">
        <v>8</v>
      </c>
      <c r="CA847" s="27" t="s">
        <v>8</v>
      </c>
      <c r="CC847" s="27" t="s">
        <v>8</v>
      </c>
      <c r="CD847" s="27" t="s">
        <v>7</v>
      </c>
      <c r="CE847" s="27" t="s">
        <v>8</v>
      </c>
      <c r="CG847" s="27" t="s">
        <v>8</v>
      </c>
      <c r="CI847" s="27" t="s">
        <v>8</v>
      </c>
      <c r="CJ847" s="27" t="s">
        <v>7</v>
      </c>
      <c r="CK847" s="27" t="s">
        <v>8</v>
      </c>
      <c r="CL847" s="27" t="s">
        <v>7</v>
      </c>
      <c r="CM847" s="27" t="s">
        <v>8</v>
      </c>
      <c r="CN847" s="27" t="s">
        <v>7</v>
      </c>
      <c r="CO847" s="27" t="s">
        <v>8</v>
      </c>
      <c r="CR847" s="27" t="s">
        <v>7</v>
      </c>
      <c r="CS847" s="27" t="s">
        <v>8</v>
      </c>
      <c r="CV847" s="27" t="s">
        <v>7</v>
      </c>
      <c r="CW847" s="27" t="s">
        <v>8</v>
      </c>
      <c r="CX847" s="27" t="s">
        <v>7</v>
      </c>
      <c r="DS847" s="27" t="s">
        <v>8</v>
      </c>
      <c r="DX847" s="27" t="s">
        <v>7</v>
      </c>
      <c r="DY847" s="27" t="s">
        <v>8</v>
      </c>
      <c r="DZ847" s="27" t="s">
        <v>7</v>
      </c>
      <c r="GS847" s="27" t="s">
        <v>8</v>
      </c>
      <c r="GT847" s="27" t="s">
        <v>7</v>
      </c>
      <c r="GV847" s="27" t="s">
        <v>7</v>
      </c>
      <c r="GW847" s="27" t="s">
        <v>8</v>
      </c>
      <c r="GX847" s="27" t="s">
        <v>7</v>
      </c>
      <c r="GY847" s="27" t="s">
        <v>8</v>
      </c>
      <c r="ID847" s="27" t="s">
        <v>7</v>
      </c>
      <c r="IF847" s="27" t="s">
        <v>7</v>
      </c>
      <c r="IK847" s="27" t="s">
        <v>8</v>
      </c>
      <c r="IL847" s="27" t="s">
        <v>7</v>
      </c>
      <c r="JI847" s="27" t="s">
        <v>8</v>
      </c>
      <c r="JJ847" s="27" t="s">
        <v>7</v>
      </c>
      <c r="KK847" s="27" t="s">
        <v>8</v>
      </c>
      <c r="KL847" s="27" t="s">
        <v>7</v>
      </c>
      <c r="KM847" s="27" t="s">
        <v>8</v>
      </c>
    </row>
    <row r="848" spans="1:307" x14ac:dyDescent="0.25">
      <c r="A848" s="7">
        <v>5.6931833443679353E-3</v>
      </c>
      <c r="B848"/>
      <c r="C848"/>
      <c r="D848"/>
      <c r="E848"/>
      <c r="BH848" s="27" t="s">
        <v>7</v>
      </c>
      <c r="BM848" s="27" t="s">
        <v>8</v>
      </c>
      <c r="BN848" s="27" t="s">
        <v>7</v>
      </c>
      <c r="BO848" s="27" t="s">
        <v>8</v>
      </c>
      <c r="BR848" s="27" t="s">
        <v>7</v>
      </c>
      <c r="BS848" s="27" t="s">
        <v>8</v>
      </c>
      <c r="BT848" s="27" t="s">
        <v>7</v>
      </c>
      <c r="BU848" s="27" t="s">
        <v>8</v>
      </c>
      <c r="BV848" s="27" t="s">
        <v>7</v>
      </c>
      <c r="CA848" s="27" t="s">
        <v>8</v>
      </c>
      <c r="CB848" s="27" t="s">
        <v>7</v>
      </c>
      <c r="CC848" s="27" t="s">
        <v>8</v>
      </c>
      <c r="CD848" s="27" t="s">
        <v>7</v>
      </c>
      <c r="CE848" s="27" t="s">
        <v>8</v>
      </c>
      <c r="CF848" s="27" t="s">
        <v>7</v>
      </c>
      <c r="CG848" s="27" t="s">
        <v>8</v>
      </c>
      <c r="CH848" s="27" t="s">
        <v>7</v>
      </c>
      <c r="CI848" s="27" t="s">
        <v>8</v>
      </c>
      <c r="CJ848" s="27" t="s">
        <v>7</v>
      </c>
      <c r="CK848" s="27" t="s">
        <v>8</v>
      </c>
      <c r="CL848" s="27" t="s">
        <v>7</v>
      </c>
      <c r="CM848" s="27" t="s">
        <v>8</v>
      </c>
      <c r="CN848" s="27" t="s">
        <v>7</v>
      </c>
      <c r="CO848" s="27" t="s">
        <v>8</v>
      </c>
      <c r="CR848" s="27" t="s">
        <v>7</v>
      </c>
      <c r="CS848" s="27" t="s">
        <v>8</v>
      </c>
      <c r="CV848" s="27" t="s">
        <v>7</v>
      </c>
      <c r="CW848" s="27" t="s">
        <v>8</v>
      </c>
      <c r="CX848" s="27" t="s">
        <v>7</v>
      </c>
      <c r="DS848" s="27" t="s">
        <v>8</v>
      </c>
      <c r="DX848" s="27" t="s">
        <v>7</v>
      </c>
      <c r="DY848" s="27" t="s">
        <v>8</v>
      </c>
      <c r="DZ848" s="27" t="s">
        <v>7</v>
      </c>
      <c r="GS848" s="27" t="s">
        <v>8</v>
      </c>
      <c r="GV848" s="27" t="s">
        <v>7</v>
      </c>
      <c r="GW848" s="27" t="s">
        <v>8</v>
      </c>
      <c r="GX848" s="27" t="s">
        <v>7</v>
      </c>
      <c r="IF848" s="27" t="s">
        <v>7</v>
      </c>
      <c r="IK848" s="27" t="s">
        <v>8</v>
      </c>
      <c r="IL848" s="27" t="s">
        <v>7</v>
      </c>
      <c r="JI848" s="27" t="s">
        <v>8</v>
      </c>
      <c r="JJ848" s="27" t="s">
        <v>7</v>
      </c>
      <c r="JM848" s="27" t="s">
        <v>8</v>
      </c>
      <c r="JW848" s="27" t="s">
        <v>8</v>
      </c>
      <c r="KK848" s="27" t="s">
        <v>8</v>
      </c>
      <c r="KL848" s="27" t="s">
        <v>7</v>
      </c>
      <c r="KM848" s="27" t="s">
        <v>8</v>
      </c>
    </row>
    <row r="849" spans="1:299" x14ac:dyDescent="0.25">
      <c r="A849" s="7">
        <v>5.5815522983999367E-3</v>
      </c>
      <c r="B849"/>
      <c r="C849"/>
      <c r="D849"/>
      <c r="E849"/>
      <c r="BH849" s="27" t="s">
        <v>7</v>
      </c>
      <c r="BI849" s="27" t="s">
        <v>8</v>
      </c>
      <c r="BM849" s="27" t="s">
        <v>8</v>
      </c>
      <c r="BN849" s="27" t="s">
        <v>7</v>
      </c>
      <c r="BR849" s="27" t="s">
        <v>7</v>
      </c>
      <c r="BT849" s="27" t="s">
        <v>7</v>
      </c>
      <c r="BU849" s="27" t="s">
        <v>8</v>
      </c>
      <c r="BV849" s="27" t="s">
        <v>7</v>
      </c>
      <c r="CA849" s="27" t="s">
        <v>8</v>
      </c>
      <c r="CB849" s="27" t="s">
        <v>7</v>
      </c>
      <c r="CC849" s="27" t="s">
        <v>8</v>
      </c>
      <c r="CD849" s="27" t="s">
        <v>7</v>
      </c>
      <c r="CE849" s="27" t="s">
        <v>8</v>
      </c>
      <c r="CF849" s="27" t="s">
        <v>7</v>
      </c>
      <c r="CG849" s="27" t="s">
        <v>8</v>
      </c>
      <c r="CH849" s="27" t="s">
        <v>7</v>
      </c>
      <c r="CI849" s="27" t="s">
        <v>8</v>
      </c>
      <c r="CJ849" s="27" t="s">
        <v>7</v>
      </c>
      <c r="CK849" s="27" t="s">
        <v>8</v>
      </c>
      <c r="CL849" s="27" t="s">
        <v>7</v>
      </c>
      <c r="CM849" s="27" t="s">
        <v>8</v>
      </c>
      <c r="CN849" s="27" t="s">
        <v>7</v>
      </c>
      <c r="CR849" s="27" t="s">
        <v>7</v>
      </c>
      <c r="CS849" s="27" t="s">
        <v>8</v>
      </c>
      <c r="CV849" s="27" t="s">
        <v>7</v>
      </c>
      <c r="CW849" s="27" t="s">
        <v>8</v>
      </c>
      <c r="CX849" s="27" t="s">
        <v>7</v>
      </c>
      <c r="DS849" s="27" t="s">
        <v>8</v>
      </c>
      <c r="DX849" s="27" t="s">
        <v>7</v>
      </c>
      <c r="DY849" s="27" t="s">
        <v>8</v>
      </c>
      <c r="DZ849" s="27" t="s">
        <v>7</v>
      </c>
      <c r="EA849" s="27" t="s">
        <v>8</v>
      </c>
      <c r="EC849" s="27" t="s">
        <v>8</v>
      </c>
      <c r="GQ849" s="27" t="s">
        <v>8</v>
      </c>
      <c r="GS849" s="27" t="s">
        <v>8</v>
      </c>
      <c r="GV849" s="27" t="s">
        <v>7</v>
      </c>
      <c r="IF849" s="27" t="s">
        <v>7</v>
      </c>
      <c r="IG849" s="27" t="s">
        <v>8</v>
      </c>
      <c r="II849" s="27" t="s">
        <v>8</v>
      </c>
      <c r="IK849" s="27" t="s">
        <v>8</v>
      </c>
      <c r="IL849" s="27" t="s">
        <v>7</v>
      </c>
      <c r="IM849" s="27" t="s">
        <v>8</v>
      </c>
      <c r="IO849" s="27" t="s">
        <v>8</v>
      </c>
      <c r="IQ849" s="27" t="s">
        <v>8</v>
      </c>
      <c r="JI849" s="27" t="s">
        <v>8</v>
      </c>
      <c r="JJ849" s="27" t="s">
        <v>7</v>
      </c>
      <c r="JM849" s="27" t="s">
        <v>8</v>
      </c>
      <c r="JN849" s="27" t="s">
        <v>7</v>
      </c>
      <c r="JW849" s="27" t="s">
        <v>8</v>
      </c>
      <c r="JX849" s="27" t="s">
        <v>7</v>
      </c>
      <c r="KI849" s="27" t="s">
        <v>8</v>
      </c>
      <c r="KK849" s="27" t="s">
        <v>8</v>
      </c>
      <c r="KL849" s="27" t="s">
        <v>7</v>
      </c>
      <c r="KM849" s="27" t="s">
        <v>8</v>
      </c>
    </row>
    <row r="850" spans="1:299" x14ac:dyDescent="0.25">
      <c r="A850" s="7">
        <v>5.4721100964705257E-3</v>
      </c>
      <c r="B850"/>
      <c r="C850"/>
      <c r="D850"/>
      <c r="E850"/>
      <c r="BH850" s="27" t="s">
        <v>7</v>
      </c>
      <c r="BI850" s="27" t="s">
        <v>8</v>
      </c>
      <c r="BJ850" s="27" t="s">
        <v>7</v>
      </c>
      <c r="BM850" s="27" t="s">
        <v>8</v>
      </c>
      <c r="BT850" s="27" t="s">
        <v>7</v>
      </c>
      <c r="BV850" s="27" t="s">
        <v>7</v>
      </c>
      <c r="BW850" s="27" t="s">
        <v>8</v>
      </c>
      <c r="BY850" s="27" t="s">
        <v>8</v>
      </c>
      <c r="CA850" s="27" t="s">
        <v>8</v>
      </c>
      <c r="CB850" s="27" t="s">
        <v>7</v>
      </c>
      <c r="CD850" s="27" t="s">
        <v>7</v>
      </c>
      <c r="CF850" s="27" t="s">
        <v>7</v>
      </c>
      <c r="CH850" s="27" t="s">
        <v>7</v>
      </c>
      <c r="CI850" s="27" t="s">
        <v>8</v>
      </c>
      <c r="CJ850" s="27" t="s">
        <v>7</v>
      </c>
      <c r="CK850" s="27" t="s">
        <v>8</v>
      </c>
      <c r="CL850" s="27" t="s">
        <v>7</v>
      </c>
      <c r="CM850" s="27" t="s">
        <v>8</v>
      </c>
      <c r="CR850" s="27" t="s">
        <v>7</v>
      </c>
      <c r="CS850" s="27" t="s">
        <v>8</v>
      </c>
      <c r="CV850" s="27" t="s">
        <v>7</v>
      </c>
      <c r="CW850" s="27" t="s">
        <v>8</v>
      </c>
      <c r="CX850" s="27" t="s">
        <v>7</v>
      </c>
      <c r="DS850" s="27" t="s">
        <v>8</v>
      </c>
      <c r="DX850" s="27" t="s">
        <v>7</v>
      </c>
      <c r="DY850" s="27" t="s">
        <v>8</v>
      </c>
      <c r="DZ850" s="27" t="s">
        <v>7</v>
      </c>
      <c r="EA850" s="27" t="s">
        <v>8</v>
      </c>
      <c r="EB850" s="27" t="s">
        <v>7</v>
      </c>
      <c r="EC850" s="27" t="s">
        <v>8</v>
      </c>
      <c r="ED850" s="27" t="s">
        <v>7</v>
      </c>
      <c r="GQ850" s="27" t="s">
        <v>8</v>
      </c>
      <c r="GR850" s="27" t="s">
        <v>7</v>
      </c>
      <c r="GS850" s="27" t="s">
        <v>8</v>
      </c>
      <c r="IF850" s="27" t="s">
        <v>7</v>
      </c>
      <c r="IG850" s="27" t="s">
        <v>8</v>
      </c>
      <c r="IH850" s="27" t="s">
        <v>7</v>
      </c>
      <c r="II850" s="27" t="s">
        <v>8</v>
      </c>
      <c r="IJ850" s="27" t="s">
        <v>7</v>
      </c>
      <c r="IK850" s="27" t="s">
        <v>8</v>
      </c>
      <c r="IL850" s="27" t="s">
        <v>7</v>
      </c>
      <c r="IM850" s="27" t="s">
        <v>8</v>
      </c>
      <c r="IN850" s="27" t="s">
        <v>7</v>
      </c>
      <c r="IO850" s="27" t="s">
        <v>8</v>
      </c>
      <c r="IP850" s="27" t="s">
        <v>7</v>
      </c>
      <c r="IQ850" s="27" t="s">
        <v>8</v>
      </c>
      <c r="IR850" s="27" t="s">
        <v>7</v>
      </c>
      <c r="IW850" s="27" t="s">
        <v>8</v>
      </c>
      <c r="JC850" s="27" t="s">
        <v>8</v>
      </c>
      <c r="JI850" s="27" t="s">
        <v>8</v>
      </c>
      <c r="JJ850" s="27" t="s">
        <v>7</v>
      </c>
      <c r="JM850" s="27" t="s">
        <v>8</v>
      </c>
      <c r="JN850" s="27" t="s">
        <v>7</v>
      </c>
      <c r="JO850" s="27" t="s">
        <v>8</v>
      </c>
      <c r="JU850" s="27" t="s">
        <v>8</v>
      </c>
      <c r="JW850" s="27" t="s">
        <v>8</v>
      </c>
      <c r="JX850" s="27" t="s">
        <v>7</v>
      </c>
      <c r="JY850" s="27" t="s">
        <v>8</v>
      </c>
      <c r="KI850" s="27" t="s">
        <v>8</v>
      </c>
      <c r="KJ850" s="27" t="s">
        <v>7</v>
      </c>
      <c r="KK850" s="27" t="s">
        <v>8</v>
      </c>
      <c r="KL850" s="27" t="s">
        <v>7</v>
      </c>
      <c r="KM850" s="27" t="s">
        <v>8</v>
      </c>
    </row>
    <row r="851" spans="1:299" x14ac:dyDescent="0.25">
      <c r="A851" s="7">
        <v>5.3648138200691423E-3</v>
      </c>
      <c r="B851"/>
      <c r="C851"/>
      <c r="D851"/>
      <c r="E851"/>
      <c r="BH851" s="27" t="s">
        <v>7</v>
      </c>
      <c r="BI851" s="27" t="s">
        <v>8</v>
      </c>
      <c r="BJ851" s="27" t="s">
        <v>7</v>
      </c>
      <c r="BM851" s="27" t="s">
        <v>8</v>
      </c>
      <c r="BV851" s="27" t="s">
        <v>7</v>
      </c>
      <c r="BW851" s="27" t="s">
        <v>8</v>
      </c>
      <c r="BX851" s="27" t="s">
        <v>7</v>
      </c>
      <c r="BY851" s="27" t="s">
        <v>8</v>
      </c>
      <c r="BZ851" s="27" t="s">
        <v>7</v>
      </c>
      <c r="CA851" s="27" t="s">
        <v>8</v>
      </c>
      <c r="CH851" s="27" t="s">
        <v>7</v>
      </c>
      <c r="CI851" s="27" t="s">
        <v>8</v>
      </c>
      <c r="CJ851" s="27" t="s">
        <v>7</v>
      </c>
      <c r="CL851" s="27" t="s">
        <v>7</v>
      </c>
      <c r="CM851" s="27" t="s">
        <v>8</v>
      </c>
      <c r="CR851" s="27" t="s">
        <v>7</v>
      </c>
      <c r="CS851" s="27" t="s">
        <v>8</v>
      </c>
      <c r="CV851" s="27" t="s">
        <v>7</v>
      </c>
      <c r="CW851" s="27" t="s">
        <v>8</v>
      </c>
      <c r="CX851" s="27" t="s">
        <v>7</v>
      </c>
      <c r="DC851" s="27" t="s">
        <v>8</v>
      </c>
      <c r="DQ851" s="27" t="s">
        <v>8</v>
      </c>
      <c r="DS851" s="27" t="s">
        <v>8</v>
      </c>
      <c r="DX851" s="27" t="s">
        <v>7</v>
      </c>
      <c r="DZ851" s="27" t="s">
        <v>7</v>
      </c>
      <c r="EA851" s="27" t="s">
        <v>8</v>
      </c>
      <c r="EB851" s="27" t="s">
        <v>7</v>
      </c>
      <c r="EC851" s="27" t="s">
        <v>8</v>
      </c>
      <c r="ED851" s="27" t="s">
        <v>7</v>
      </c>
      <c r="EI851" s="27" t="s">
        <v>8</v>
      </c>
      <c r="GQ851" s="27" t="s">
        <v>8</v>
      </c>
      <c r="GR851" s="27" t="s">
        <v>7</v>
      </c>
      <c r="GS851" s="27" t="s">
        <v>8</v>
      </c>
      <c r="IF851" s="27" t="s">
        <v>7</v>
      </c>
      <c r="IG851" s="27" t="s">
        <v>8</v>
      </c>
      <c r="IH851" s="27" t="s">
        <v>7</v>
      </c>
      <c r="II851" s="27" t="s">
        <v>8</v>
      </c>
      <c r="IJ851" s="27" t="s">
        <v>7</v>
      </c>
      <c r="IK851" s="27" t="s">
        <v>8</v>
      </c>
      <c r="IL851" s="27" t="s">
        <v>7</v>
      </c>
      <c r="IM851" s="27" t="s">
        <v>8</v>
      </c>
      <c r="IN851" s="27" t="s">
        <v>7</v>
      </c>
      <c r="IO851" s="27" t="s">
        <v>8</v>
      </c>
      <c r="IP851" s="27" t="s">
        <v>7</v>
      </c>
      <c r="IQ851" s="27" t="s">
        <v>8</v>
      </c>
      <c r="IR851" s="27" t="s">
        <v>7</v>
      </c>
      <c r="IS851" s="27" t="s">
        <v>8</v>
      </c>
      <c r="IW851" s="27" t="s">
        <v>8</v>
      </c>
      <c r="IX851" s="27" t="s">
        <v>7</v>
      </c>
      <c r="JC851" s="27" t="s">
        <v>8</v>
      </c>
      <c r="JD851" s="27" t="s">
        <v>7</v>
      </c>
      <c r="JI851" s="27" t="s">
        <v>8</v>
      </c>
      <c r="JJ851" s="27" t="s">
        <v>7</v>
      </c>
      <c r="JK851" s="27" t="s">
        <v>8</v>
      </c>
      <c r="JM851" s="27" t="s">
        <v>8</v>
      </c>
      <c r="JN851" s="27" t="s">
        <v>7</v>
      </c>
      <c r="JO851" s="27" t="s">
        <v>8</v>
      </c>
      <c r="JP851" s="27" t="s">
        <v>7</v>
      </c>
      <c r="JU851" s="27" t="s">
        <v>8</v>
      </c>
      <c r="JV851" s="27" t="s">
        <v>7</v>
      </c>
      <c r="JW851" s="27" t="s">
        <v>8</v>
      </c>
      <c r="JX851" s="27" t="s">
        <v>7</v>
      </c>
      <c r="JY851" s="27" t="s">
        <v>8</v>
      </c>
      <c r="JZ851" s="27" t="s">
        <v>7</v>
      </c>
      <c r="KI851" s="27" t="s">
        <v>8</v>
      </c>
      <c r="KJ851" s="27" t="s">
        <v>7</v>
      </c>
      <c r="KK851" s="27" t="s">
        <v>8</v>
      </c>
      <c r="KL851" s="27" t="s">
        <v>7</v>
      </c>
      <c r="KM851" s="27" t="s">
        <v>8</v>
      </c>
    </row>
    <row r="852" spans="1:299" x14ac:dyDescent="0.25">
      <c r="A852" s="7">
        <v>5.2596213922246494E-3</v>
      </c>
      <c r="B852"/>
      <c r="C852"/>
      <c r="D852"/>
      <c r="E852"/>
      <c r="BH852" s="27" t="s">
        <v>7</v>
      </c>
      <c r="BI852" s="27" t="s">
        <v>8</v>
      </c>
      <c r="BJ852" s="27" t="s">
        <v>7</v>
      </c>
      <c r="BK852" s="27" t="s">
        <v>8</v>
      </c>
      <c r="BM852" s="27" t="s">
        <v>8</v>
      </c>
      <c r="BV852" s="27" t="s">
        <v>7</v>
      </c>
      <c r="BW852" s="27" t="s">
        <v>8</v>
      </c>
      <c r="BX852" s="27" t="s">
        <v>7</v>
      </c>
      <c r="BY852" s="27" t="s">
        <v>8</v>
      </c>
      <c r="BZ852" s="27" t="s">
        <v>7</v>
      </c>
      <c r="CA852" s="27" t="s">
        <v>8</v>
      </c>
      <c r="CH852" s="27" t="s">
        <v>7</v>
      </c>
      <c r="CL852" s="27" t="s">
        <v>7</v>
      </c>
      <c r="CM852" s="27" t="s">
        <v>8</v>
      </c>
      <c r="CR852" s="27" t="s">
        <v>7</v>
      </c>
      <c r="CV852" s="27" t="s">
        <v>7</v>
      </c>
      <c r="CW852" s="27" t="s">
        <v>8</v>
      </c>
      <c r="CX852" s="27" t="s">
        <v>7</v>
      </c>
      <c r="DC852" s="27" t="s">
        <v>8</v>
      </c>
      <c r="DD852" s="27" t="s">
        <v>7</v>
      </c>
      <c r="DM852" s="27" t="s">
        <v>8</v>
      </c>
      <c r="DQ852" s="27" t="s">
        <v>8</v>
      </c>
      <c r="DR852" s="27" t="s">
        <v>7</v>
      </c>
      <c r="DS852" s="27" t="s">
        <v>8</v>
      </c>
      <c r="DZ852" s="27" t="s">
        <v>7</v>
      </c>
      <c r="EB852" s="27" t="s">
        <v>7</v>
      </c>
      <c r="ED852" s="27" t="s">
        <v>7</v>
      </c>
      <c r="EI852" s="27" t="s">
        <v>8</v>
      </c>
      <c r="EJ852" s="27" t="s">
        <v>7</v>
      </c>
      <c r="GK852" s="27" t="s">
        <v>8</v>
      </c>
      <c r="GQ852" s="27" t="s">
        <v>8</v>
      </c>
      <c r="GR852" s="27" t="s">
        <v>7</v>
      </c>
      <c r="GS852" s="27" t="s">
        <v>8</v>
      </c>
      <c r="IF852" s="27" t="s">
        <v>7</v>
      </c>
      <c r="IG852" s="27" t="s">
        <v>8</v>
      </c>
      <c r="IH852" s="27" t="s">
        <v>7</v>
      </c>
      <c r="II852" s="27" t="s">
        <v>8</v>
      </c>
      <c r="IJ852" s="27" t="s">
        <v>7</v>
      </c>
      <c r="IK852" s="27" t="s">
        <v>8</v>
      </c>
      <c r="IL852" s="27" t="s">
        <v>7</v>
      </c>
      <c r="IM852" s="27" t="s">
        <v>8</v>
      </c>
      <c r="IN852" s="27" t="s">
        <v>7</v>
      </c>
      <c r="IO852" s="27" t="s">
        <v>8</v>
      </c>
      <c r="IP852" s="27" t="s">
        <v>7</v>
      </c>
      <c r="IR852" s="27" t="s">
        <v>7</v>
      </c>
      <c r="IS852" s="27" t="s">
        <v>8</v>
      </c>
      <c r="IT852" s="27" t="s">
        <v>7</v>
      </c>
      <c r="IW852" s="27" t="s">
        <v>8</v>
      </c>
      <c r="IX852" s="27" t="s">
        <v>7</v>
      </c>
      <c r="JC852" s="27" t="s">
        <v>8</v>
      </c>
      <c r="JD852" s="27" t="s">
        <v>7</v>
      </c>
      <c r="JE852" s="27" t="s">
        <v>8</v>
      </c>
      <c r="JI852" s="27" t="s">
        <v>8</v>
      </c>
      <c r="JJ852" s="27" t="s">
        <v>7</v>
      </c>
      <c r="JK852" s="27" t="s">
        <v>8</v>
      </c>
      <c r="JL852" s="27" t="s">
        <v>7</v>
      </c>
      <c r="JM852" s="27" t="s">
        <v>8</v>
      </c>
      <c r="JN852" s="27" t="s">
        <v>7</v>
      </c>
      <c r="JO852" s="27" t="s">
        <v>8</v>
      </c>
      <c r="JP852" s="27" t="s">
        <v>7</v>
      </c>
      <c r="JQ852" s="27" t="s">
        <v>8</v>
      </c>
      <c r="JU852" s="27" t="s">
        <v>8</v>
      </c>
      <c r="JV852" s="27" t="s">
        <v>7</v>
      </c>
      <c r="JW852" s="27" t="s">
        <v>8</v>
      </c>
      <c r="JX852" s="27" t="s">
        <v>7</v>
      </c>
      <c r="JY852" s="27" t="s">
        <v>8</v>
      </c>
      <c r="JZ852" s="27" t="s">
        <v>7</v>
      </c>
      <c r="KI852" s="27" t="s">
        <v>8</v>
      </c>
      <c r="KJ852" s="27" t="s">
        <v>7</v>
      </c>
      <c r="KK852" s="27" t="s">
        <v>8</v>
      </c>
      <c r="KL852" s="27" t="s">
        <v>7</v>
      </c>
    </row>
    <row r="853" spans="1:299" x14ac:dyDescent="0.25">
      <c r="A853" s="7">
        <v>5.1564915610045588E-3</v>
      </c>
      <c r="B853"/>
      <c r="C853"/>
      <c r="D853"/>
      <c r="E853"/>
      <c r="BH853" s="27" t="s">
        <v>7</v>
      </c>
      <c r="BI853" s="27" t="s">
        <v>8</v>
      </c>
      <c r="BJ853" s="27" t="s">
        <v>7</v>
      </c>
      <c r="BK853" s="27" t="s">
        <v>8</v>
      </c>
      <c r="BL853" s="27" t="s">
        <v>7</v>
      </c>
      <c r="BM853" s="27" t="s">
        <v>8</v>
      </c>
      <c r="BV853" s="27" t="s">
        <v>7</v>
      </c>
      <c r="BW853" s="27" t="s">
        <v>8</v>
      </c>
      <c r="BX853" s="27" t="s">
        <v>7</v>
      </c>
      <c r="BY853" s="27" t="s">
        <v>8</v>
      </c>
      <c r="BZ853" s="27" t="s">
        <v>7</v>
      </c>
      <c r="CA853" s="27" t="s">
        <v>8</v>
      </c>
      <c r="CL853" s="27" t="s">
        <v>7</v>
      </c>
      <c r="CM853" s="27" t="s">
        <v>8</v>
      </c>
      <c r="CV853" s="27" t="s">
        <v>7</v>
      </c>
      <c r="CW853" s="27" t="s">
        <v>8</v>
      </c>
      <c r="CX853" s="27" t="s">
        <v>7</v>
      </c>
      <c r="DA853" s="27" t="s">
        <v>8</v>
      </c>
      <c r="DC853" s="27" t="s">
        <v>8</v>
      </c>
      <c r="DD853" s="27" t="s">
        <v>7</v>
      </c>
      <c r="DM853" s="27" t="s">
        <v>8</v>
      </c>
      <c r="DN853" s="27" t="s">
        <v>7</v>
      </c>
      <c r="DO853" s="27" t="s">
        <v>8</v>
      </c>
      <c r="DQ853" s="27" t="s">
        <v>8</v>
      </c>
      <c r="DR853" s="27" t="s">
        <v>7</v>
      </c>
      <c r="DS853" s="27" t="s">
        <v>8</v>
      </c>
      <c r="ED853" s="27" t="s">
        <v>7</v>
      </c>
      <c r="EI853" s="27" t="s">
        <v>8</v>
      </c>
      <c r="EJ853" s="27" t="s">
        <v>7</v>
      </c>
      <c r="GK853" s="27" t="s">
        <v>8</v>
      </c>
      <c r="GL853" s="27" t="s">
        <v>7</v>
      </c>
      <c r="GQ853" s="27" t="s">
        <v>8</v>
      </c>
      <c r="GR853" s="27" t="s">
        <v>7</v>
      </c>
      <c r="GS853" s="27" t="s">
        <v>8</v>
      </c>
      <c r="IF853" s="27" t="s">
        <v>7</v>
      </c>
      <c r="IG853" s="27" t="s">
        <v>8</v>
      </c>
      <c r="IH853" s="27" t="s">
        <v>7</v>
      </c>
      <c r="II853" s="27" t="s">
        <v>8</v>
      </c>
      <c r="IJ853" s="27" t="s">
        <v>7</v>
      </c>
      <c r="IK853" s="27" t="s">
        <v>8</v>
      </c>
      <c r="IL853" s="27" t="s">
        <v>7</v>
      </c>
      <c r="IN853" s="27" t="s">
        <v>7</v>
      </c>
      <c r="IO853" s="27" t="s">
        <v>8</v>
      </c>
      <c r="IR853" s="27" t="s">
        <v>7</v>
      </c>
      <c r="IS853" s="27" t="s">
        <v>8</v>
      </c>
      <c r="IT853" s="27" t="s">
        <v>7</v>
      </c>
      <c r="IW853" s="27" t="s">
        <v>8</v>
      </c>
      <c r="IX853" s="27" t="s">
        <v>7</v>
      </c>
      <c r="JA853" s="27" t="s">
        <v>8</v>
      </c>
      <c r="JC853" s="27" t="s">
        <v>8</v>
      </c>
      <c r="JD853" s="27" t="s">
        <v>7</v>
      </c>
      <c r="JE853" s="27" t="s">
        <v>8</v>
      </c>
      <c r="JF853" s="27" t="s">
        <v>7</v>
      </c>
      <c r="JG853" s="27" t="s">
        <v>8</v>
      </c>
      <c r="JI853" s="27" t="s">
        <v>8</v>
      </c>
      <c r="JJ853" s="27" t="s">
        <v>7</v>
      </c>
      <c r="JK853" s="27" t="s">
        <v>8</v>
      </c>
      <c r="JL853" s="27" t="s">
        <v>7</v>
      </c>
      <c r="JM853" s="27" t="s">
        <v>8</v>
      </c>
      <c r="JN853" s="27" t="s">
        <v>7</v>
      </c>
      <c r="JP853" s="27" t="s">
        <v>7</v>
      </c>
      <c r="JQ853" s="27" t="s">
        <v>8</v>
      </c>
      <c r="JR853" s="27" t="s">
        <v>7</v>
      </c>
      <c r="JS853" s="27" t="s">
        <v>8</v>
      </c>
      <c r="JU853" s="27" t="s">
        <v>8</v>
      </c>
      <c r="JV853" s="27" t="s">
        <v>7</v>
      </c>
      <c r="JW853" s="27" t="s">
        <v>8</v>
      </c>
      <c r="JX853" s="27" t="s">
        <v>7</v>
      </c>
      <c r="JY853" s="27" t="s">
        <v>8</v>
      </c>
      <c r="JZ853" s="27" t="s">
        <v>7</v>
      </c>
      <c r="KA853" s="27" t="s">
        <v>8</v>
      </c>
      <c r="KI853" s="27" t="s">
        <v>8</v>
      </c>
      <c r="KJ853" s="27" t="s">
        <v>7</v>
      </c>
      <c r="KK853" s="27" t="s">
        <v>8</v>
      </c>
    </row>
    <row r="854" spans="1:299" x14ac:dyDescent="0.25">
      <c r="A854" s="7">
        <v>5.0553838833378023E-3</v>
      </c>
      <c r="B854"/>
      <c r="C854"/>
      <c r="D854"/>
      <c r="E854"/>
      <c r="BH854" s="27" t="s">
        <v>7</v>
      </c>
      <c r="BJ854" s="27" t="s">
        <v>7</v>
      </c>
      <c r="BK854" s="27" t="s">
        <v>8</v>
      </c>
      <c r="BL854" s="27" t="s">
        <v>7</v>
      </c>
      <c r="BM854" s="27" t="s">
        <v>8</v>
      </c>
      <c r="BV854" s="27" t="s">
        <v>7</v>
      </c>
      <c r="BW854" s="27" t="s">
        <v>8</v>
      </c>
      <c r="BX854" s="27" t="s">
        <v>7</v>
      </c>
      <c r="BY854" s="27" t="s">
        <v>8</v>
      </c>
      <c r="BZ854" s="27" t="s">
        <v>7</v>
      </c>
      <c r="CA854" s="27" t="s">
        <v>8</v>
      </c>
      <c r="CL854" s="27" t="s">
        <v>7</v>
      </c>
      <c r="CM854" s="27" t="s">
        <v>8</v>
      </c>
      <c r="CV854" s="27" t="s">
        <v>7</v>
      </c>
      <c r="CW854" s="27" t="s">
        <v>8</v>
      </c>
      <c r="CX854" s="27" t="s">
        <v>7</v>
      </c>
      <c r="DA854" s="27" t="s">
        <v>8</v>
      </c>
      <c r="DB854" s="27" t="s">
        <v>7</v>
      </c>
      <c r="DC854" s="27" t="s">
        <v>8</v>
      </c>
      <c r="DD854" s="27" t="s">
        <v>7</v>
      </c>
      <c r="DM854" s="27" t="s">
        <v>8</v>
      </c>
      <c r="DN854" s="27" t="s">
        <v>7</v>
      </c>
      <c r="DO854" s="27" t="s">
        <v>8</v>
      </c>
      <c r="DP854" s="27" t="s">
        <v>7</v>
      </c>
      <c r="DQ854" s="27" t="s">
        <v>8</v>
      </c>
      <c r="DR854" s="27" t="s">
        <v>7</v>
      </c>
      <c r="DS854" s="27" t="s">
        <v>8</v>
      </c>
      <c r="ED854" s="27" t="s">
        <v>7</v>
      </c>
      <c r="EI854" s="27" t="s">
        <v>8</v>
      </c>
      <c r="EJ854" s="27" t="s">
        <v>7</v>
      </c>
      <c r="GK854" s="27" t="s">
        <v>8</v>
      </c>
      <c r="GL854" s="27" t="s">
        <v>7</v>
      </c>
      <c r="GM854" s="27" t="s">
        <v>8</v>
      </c>
      <c r="GQ854" s="27" t="s">
        <v>8</v>
      </c>
      <c r="GR854" s="27" t="s">
        <v>7</v>
      </c>
      <c r="GS854" s="27" t="s">
        <v>8</v>
      </c>
      <c r="IF854" s="27" t="s">
        <v>7</v>
      </c>
      <c r="IG854" s="27" t="s">
        <v>8</v>
      </c>
      <c r="IH854" s="27" t="s">
        <v>7</v>
      </c>
      <c r="II854" s="27" t="s">
        <v>8</v>
      </c>
      <c r="IJ854" s="27" t="s">
        <v>7</v>
      </c>
      <c r="IK854" s="27" t="s">
        <v>8</v>
      </c>
      <c r="IN854" s="27" t="s">
        <v>7</v>
      </c>
      <c r="IO854" s="27" t="s">
        <v>8</v>
      </c>
      <c r="IR854" s="27" t="s">
        <v>7</v>
      </c>
      <c r="IS854" s="27" t="s">
        <v>8</v>
      </c>
      <c r="IT854" s="27" t="s">
        <v>7</v>
      </c>
      <c r="IW854" s="27" t="s">
        <v>8</v>
      </c>
      <c r="IX854" s="27" t="s">
        <v>7</v>
      </c>
      <c r="JA854" s="27" t="s">
        <v>8</v>
      </c>
      <c r="JB854" s="27" t="s">
        <v>7</v>
      </c>
      <c r="JC854" s="27" t="s">
        <v>8</v>
      </c>
      <c r="JD854" s="27" t="s">
        <v>7</v>
      </c>
      <c r="JE854" s="27" t="s">
        <v>8</v>
      </c>
      <c r="JF854" s="27" t="s">
        <v>7</v>
      </c>
      <c r="JG854" s="27" t="s">
        <v>8</v>
      </c>
      <c r="JH854" s="27" t="s">
        <v>7</v>
      </c>
      <c r="JI854" s="27" t="s">
        <v>8</v>
      </c>
      <c r="JJ854" s="27" t="s">
        <v>7</v>
      </c>
      <c r="JK854" s="27" t="s">
        <v>8</v>
      </c>
      <c r="JL854" s="27" t="s">
        <v>7</v>
      </c>
      <c r="JM854" s="27" t="s">
        <v>8</v>
      </c>
      <c r="JP854" s="27" t="s">
        <v>7</v>
      </c>
      <c r="JQ854" s="27" t="s">
        <v>8</v>
      </c>
      <c r="JR854" s="27" t="s">
        <v>7</v>
      </c>
      <c r="JS854" s="27" t="s">
        <v>8</v>
      </c>
      <c r="JT854" s="27" t="s">
        <v>7</v>
      </c>
      <c r="JU854" s="27" t="s">
        <v>8</v>
      </c>
      <c r="JV854" s="27" t="s">
        <v>7</v>
      </c>
      <c r="JX854" s="27" t="s">
        <v>7</v>
      </c>
      <c r="JY854" s="27" t="s">
        <v>8</v>
      </c>
      <c r="JZ854" s="27" t="s">
        <v>7</v>
      </c>
      <c r="KA854" s="27" t="s">
        <v>8</v>
      </c>
      <c r="KB854" s="27" t="s">
        <v>7</v>
      </c>
      <c r="KE854" s="27" t="s">
        <v>8</v>
      </c>
      <c r="KI854" s="27" t="s">
        <v>8</v>
      </c>
      <c r="KJ854" s="27" t="s">
        <v>7</v>
      </c>
      <c r="KK854" s="27" t="s">
        <v>8</v>
      </c>
    </row>
    <row r="855" spans="1:299" x14ac:dyDescent="0.25">
      <c r="A855" s="7">
        <v>4.9562587091547079E-3</v>
      </c>
      <c r="B855"/>
      <c r="C855"/>
      <c r="D855"/>
      <c r="E855"/>
      <c r="BJ855" s="27" t="s">
        <v>7</v>
      </c>
      <c r="BK855" s="27" t="s">
        <v>8</v>
      </c>
      <c r="BL855" s="27" t="s">
        <v>7</v>
      </c>
      <c r="BM855" s="27" t="s">
        <v>8</v>
      </c>
      <c r="BV855" s="27" t="s">
        <v>7</v>
      </c>
      <c r="BW855" s="27" t="s">
        <v>8</v>
      </c>
      <c r="BX855" s="27" t="s">
        <v>7</v>
      </c>
      <c r="BZ855" s="27" t="s">
        <v>7</v>
      </c>
      <c r="CL855" s="27" t="s">
        <v>7</v>
      </c>
      <c r="CM855" s="27" t="s">
        <v>8</v>
      </c>
      <c r="CV855" s="27" t="s">
        <v>7</v>
      </c>
      <c r="CW855" s="27" t="s">
        <v>8</v>
      </c>
      <c r="CX855" s="27" t="s">
        <v>7</v>
      </c>
      <c r="DA855" s="27" t="s">
        <v>8</v>
      </c>
      <c r="DB855" s="27" t="s">
        <v>7</v>
      </c>
      <c r="DC855" s="27" t="s">
        <v>8</v>
      </c>
      <c r="DD855" s="27" t="s">
        <v>7</v>
      </c>
      <c r="DE855" s="27" t="s">
        <v>8</v>
      </c>
      <c r="DG855" s="27" t="s">
        <v>8</v>
      </c>
      <c r="DM855" s="27" t="s">
        <v>8</v>
      </c>
      <c r="DN855" s="27" t="s">
        <v>7</v>
      </c>
      <c r="DO855" s="27" t="s">
        <v>8</v>
      </c>
      <c r="DP855" s="27" t="s">
        <v>7</v>
      </c>
      <c r="DQ855" s="27" t="s">
        <v>8</v>
      </c>
      <c r="DR855" s="27" t="s">
        <v>7</v>
      </c>
      <c r="ED855" s="27" t="s">
        <v>7</v>
      </c>
      <c r="EI855" s="27" t="s">
        <v>8</v>
      </c>
      <c r="EJ855" s="27" t="s">
        <v>7</v>
      </c>
      <c r="GK855" s="27" t="s">
        <v>8</v>
      </c>
      <c r="GL855" s="27" t="s">
        <v>7</v>
      </c>
      <c r="GM855" s="27" t="s">
        <v>8</v>
      </c>
      <c r="GN855" s="27" t="s">
        <v>7</v>
      </c>
      <c r="GO855" s="27" t="s">
        <v>8</v>
      </c>
      <c r="GQ855" s="27" t="s">
        <v>8</v>
      </c>
      <c r="GR855" s="27" t="s">
        <v>7</v>
      </c>
      <c r="GS855" s="27" t="s">
        <v>8</v>
      </c>
      <c r="IF855" s="27" t="s">
        <v>7</v>
      </c>
      <c r="IG855" s="27" t="s">
        <v>8</v>
      </c>
      <c r="IH855" s="27" t="s">
        <v>7</v>
      </c>
      <c r="II855" s="27" t="s">
        <v>8</v>
      </c>
      <c r="IJ855" s="27" t="s">
        <v>7</v>
      </c>
      <c r="IN855" s="27" t="s">
        <v>7</v>
      </c>
      <c r="IO855" s="27" t="s">
        <v>8</v>
      </c>
      <c r="IR855" s="27" t="s">
        <v>7</v>
      </c>
      <c r="IS855" s="27" t="s">
        <v>8</v>
      </c>
      <c r="IT855" s="27" t="s">
        <v>7</v>
      </c>
      <c r="IU855" s="27" t="s">
        <v>8</v>
      </c>
      <c r="IW855" s="27" t="s">
        <v>8</v>
      </c>
      <c r="IX855" s="27" t="s">
        <v>7</v>
      </c>
      <c r="JA855" s="27" t="s">
        <v>8</v>
      </c>
      <c r="JB855" s="27" t="s">
        <v>7</v>
      </c>
      <c r="JC855" s="27" t="s">
        <v>8</v>
      </c>
      <c r="JD855" s="27" t="s">
        <v>7</v>
      </c>
      <c r="JF855" s="27" t="s">
        <v>7</v>
      </c>
      <c r="JG855" s="27" t="s">
        <v>8</v>
      </c>
      <c r="JH855" s="27" t="s">
        <v>7</v>
      </c>
      <c r="JI855" s="27" t="s">
        <v>8</v>
      </c>
      <c r="JJ855" s="27" t="s">
        <v>7</v>
      </c>
      <c r="JK855" s="27" t="s">
        <v>8</v>
      </c>
      <c r="JL855" s="27" t="s">
        <v>7</v>
      </c>
      <c r="JP855" s="27" t="s">
        <v>7</v>
      </c>
      <c r="JR855" s="27" t="s">
        <v>7</v>
      </c>
      <c r="JS855" s="27" t="s">
        <v>8</v>
      </c>
      <c r="JT855" s="27" t="s">
        <v>7</v>
      </c>
      <c r="JU855" s="27" t="s">
        <v>8</v>
      </c>
      <c r="JX855" s="27" t="s">
        <v>7</v>
      </c>
      <c r="JZ855" s="27" t="s">
        <v>7</v>
      </c>
      <c r="KA855" s="27" t="s">
        <v>8</v>
      </c>
      <c r="KB855" s="27" t="s">
        <v>7</v>
      </c>
      <c r="KE855" s="27" t="s">
        <v>8</v>
      </c>
      <c r="KF855" s="27" t="s">
        <v>7</v>
      </c>
      <c r="KI855" s="27" t="s">
        <v>8</v>
      </c>
      <c r="KJ855" s="27" t="s">
        <v>7</v>
      </c>
    </row>
    <row r="856" spans="1:299" x14ac:dyDescent="0.25">
      <c r="A856" s="7">
        <v>4.8590771658379491E-3</v>
      </c>
      <c r="B856"/>
      <c r="C856"/>
      <c r="D856"/>
      <c r="E856"/>
      <c r="BJ856" s="27" t="s">
        <v>7</v>
      </c>
      <c r="BK856" s="27" t="s">
        <v>8</v>
      </c>
      <c r="BL856" s="27" t="s">
        <v>7</v>
      </c>
      <c r="BV856" s="27" t="s">
        <v>7</v>
      </c>
      <c r="BW856" s="27" t="s">
        <v>8</v>
      </c>
      <c r="CL856" s="27" t="s">
        <v>7</v>
      </c>
      <c r="CM856" s="27" t="s">
        <v>8</v>
      </c>
      <c r="CV856" s="27" t="s">
        <v>7</v>
      </c>
      <c r="CW856" s="27" t="s">
        <v>8</v>
      </c>
      <c r="CX856" s="27" t="s">
        <v>7</v>
      </c>
      <c r="DA856" s="27" t="s">
        <v>8</v>
      </c>
      <c r="DB856" s="27" t="s">
        <v>7</v>
      </c>
      <c r="DC856" s="27" t="s">
        <v>8</v>
      </c>
      <c r="DD856" s="27" t="s">
        <v>7</v>
      </c>
      <c r="DE856" s="27" t="s">
        <v>8</v>
      </c>
      <c r="DF856" s="27" t="s">
        <v>7</v>
      </c>
      <c r="DG856" s="27" t="s">
        <v>8</v>
      </c>
      <c r="DH856" s="27" t="s">
        <v>7</v>
      </c>
      <c r="DI856" s="27" t="s">
        <v>8</v>
      </c>
      <c r="DK856" s="27" t="s">
        <v>8</v>
      </c>
      <c r="DM856" s="27" t="s">
        <v>8</v>
      </c>
      <c r="DN856" s="27" t="s">
        <v>7</v>
      </c>
      <c r="DP856" s="27" t="s">
        <v>7</v>
      </c>
      <c r="DQ856" s="27" t="s">
        <v>8</v>
      </c>
      <c r="ED856" s="27" t="s">
        <v>7</v>
      </c>
      <c r="EI856" s="27" t="s">
        <v>8</v>
      </c>
      <c r="EJ856" s="27" t="s">
        <v>7</v>
      </c>
      <c r="GK856" s="27" t="s">
        <v>8</v>
      </c>
      <c r="GL856" s="27" t="s">
        <v>7</v>
      </c>
      <c r="GM856" s="27" t="s">
        <v>8</v>
      </c>
      <c r="GN856" s="27" t="s">
        <v>7</v>
      </c>
      <c r="GO856" s="27" t="s">
        <v>8</v>
      </c>
      <c r="GP856" s="27" t="s">
        <v>7</v>
      </c>
      <c r="GQ856" s="27" t="s">
        <v>8</v>
      </c>
      <c r="GR856" s="27" t="s">
        <v>7</v>
      </c>
      <c r="IF856" s="27" t="s">
        <v>7</v>
      </c>
      <c r="IG856" s="27" t="s">
        <v>8</v>
      </c>
      <c r="IH856" s="27" t="s">
        <v>7</v>
      </c>
      <c r="II856" s="27" t="s">
        <v>8</v>
      </c>
      <c r="IN856" s="27" t="s">
        <v>7</v>
      </c>
      <c r="IO856" s="27" t="s">
        <v>8</v>
      </c>
      <c r="IR856" s="27" t="s">
        <v>7</v>
      </c>
      <c r="IS856" s="27" t="s">
        <v>8</v>
      </c>
      <c r="IT856" s="27" t="s">
        <v>7</v>
      </c>
      <c r="IU856" s="27" t="s">
        <v>8</v>
      </c>
      <c r="IV856" s="27" t="s">
        <v>7</v>
      </c>
      <c r="IW856" s="27" t="s">
        <v>8</v>
      </c>
      <c r="IX856" s="27" t="s">
        <v>7</v>
      </c>
      <c r="JA856" s="27" t="s">
        <v>8</v>
      </c>
      <c r="JB856" s="27" t="s">
        <v>7</v>
      </c>
      <c r="JC856" s="27" t="s">
        <v>8</v>
      </c>
      <c r="JF856" s="27" t="s">
        <v>7</v>
      </c>
      <c r="JG856" s="27" t="s">
        <v>8</v>
      </c>
      <c r="JH856" s="27" t="s">
        <v>7</v>
      </c>
      <c r="JI856" s="27" t="s">
        <v>8</v>
      </c>
      <c r="JJ856" s="27" t="s">
        <v>7</v>
      </c>
      <c r="JK856" s="27" t="s">
        <v>8</v>
      </c>
      <c r="JR856" s="27" t="s">
        <v>7</v>
      </c>
      <c r="JS856" s="27" t="s">
        <v>8</v>
      </c>
      <c r="JT856" s="27" t="s">
        <v>7</v>
      </c>
      <c r="JU856" s="27" t="s">
        <v>8</v>
      </c>
      <c r="JZ856" s="27" t="s">
        <v>7</v>
      </c>
      <c r="KA856" s="27" t="s">
        <v>8</v>
      </c>
      <c r="KB856" s="27" t="s">
        <v>7</v>
      </c>
      <c r="KC856" s="27" t="s">
        <v>8</v>
      </c>
      <c r="KE856" s="27" t="s">
        <v>8</v>
      </c>
      <c r="KF856" s="27" t="s">
        <v>7</v>
      </c>
      <c r="KI856" s="27" t="s">
        <v>8</v>
      </c>
    </row>
    <row r="857" spans="1:299" x14ac:dyDescent="0.25">
      <c r="A857" s="7">
        <v>4.7638011429783815E-3</v>
      </c>
      <c r="B857"/>
      <c r="C857"/>
      <c r="D857"/>
      <c r="E857"/>
      <c r="BJ857" s="27" t="s">
        <v>7</v>
      </c>
      <c r="BK857" s="27" t="s">
        <v>8</v>
      </c>
      <c r="BV857" s="27" t="s">
        <v>7</v>
      </c>
      <c r="CL857" s="27" t="s">
        <v>7</v>
      </c>
      <c r="CM857" s="27" t="s">
        <v>8</v>
      </c>
      <c r="CV857" s="27" t="s">
        <v>7</v>
      </c>
      <c r="CW857" s="27" t="s">
        <v>8</v>
      </c>
      <c r="CX857" s="27" t="s">
        <v>7</v>
      </c>
      <c r="DA857" s="27" t="s">
        <v>8</v>
      </c>
      <c r="DB857" s="27" t="s">
        <v>7</v>
      </c>
      <c r="DD857" s="27" t="s">
        <v>7</v>
      </c>
      <c r="DE857" s="27" t="s">
        <v>8</v>
      </c>
      <c r="DF857" s="27" t="s">
        <v>7</v>
      </c>
      <c r="DG857" s="27" t="s">
        <v>8</v>
      </c>
      <c r="DH857" s="27" t="s">
        <v>7</v>
      </c>
      <c r="DI857" s="27" t="s">
        <v>8</v>
      </c>
      <c r="DJ857" s="27" t="s">
        <v>7</v>
      </c>
      <c r="DK857" s="27" t="s">
        <v>8</v>
      </c>
      <c r="DL857" s="27" t="s">
        <v>7</v>
      </c>
      <c r="DM857" s="27" t="s">
        <v>8</v>
      </c>
      <c r="DP857" s="27" t="s">
        <v>7</v>
      </c>
      <c r="DQ857" s="27" t="s">
        <v>8</v>
      </c>
      <c r="ED857" s="27" t="s">
        <v>7</v>
      </c>
      <c r="EI857" s="27" t="s">
        <v>8</v>
      </c>
      <c r="EJ857" s="27" t="s">
        <v>7</v>
      </c>
      <c r="GG857" s="27" t="s">
        <v>8</v>
      </c>
      <c r="GK857" s="27" t="s">
        <v>8</v>
      </c>
      <c r="GL857" s="27" t="s">
        <v>7</v>
      </c>
      <c r="GM857" s="27" t="s">
        <v>8</v>
      </c>
      <c r="GN857" s="27" t="s">
        <v>7</v>
      </c>
      <c r="GO857" s="27" t="s">
        <v>8</v>
      </c>
      <c r="GP857" s="27" t="s">
        <v>7</v>
      </c>
      <c r="GQ857" s="27" t="s">
        <v>8</v>
      </c>
      <c r="IF857" s="27" t="s">
        <v>7</v>
      </c>
      <c r="IG857" s="27" t="s">
        <v>8</v>
      </c>
      <c r="IH857" s="27" t="s">
        <v>7</v>
      </c>
      <c r="II857" s="27" t="s">
        <v>8</v>
      </c>
      <c r="IN857" s="27" t="s">
        <v>7</v>
      </c>
      <c r="IO857" s="27" t="s">
        <v>8</v>
      </c>
      <c r="IR857" s="27" t="s">
        <v>7</v>
      </c>
      <c r="IT857" s="27" t="s">
        <v>7</v>
      </c>
      <c r="IU857" s="27" t="s">
        <v>8</v>
      </c>
      <c r="IV857" s="27" t="s">
        <v>7</v>
      </c>
      <c r="IW857" s="27" t="s">
        <v>8</v>
      </c>
      <c r="IX857" s="27" t="s">
        <v>7</v>
      </c>
      <c r="JA857" s="27" t="s">
        <v>8</v>
      </c>
      <c r="JB857" s="27" t="s">
        <v>7</v>
      </c>
      <c r="JC857" s="27" t="s">
        <v>8</v>
      </c>
      <c r="JF857" s="27" t="s">
        <v>7</v>
      </c>
      <c r="JG857" s="27" t="s">
        <v>8</v>
      </c>
      <c r="JH857" s="27" t="s">
        <v>7</v>
      </c>
      <c r="JI857" s="27" t="s">
        <v>8</v>
      </c>
      <c r="JJ857" s="27" t="s">
        <v>7</v>
      </c>
      <c r="JR857" s="27" t="s">
        <v>7</v>
      </c>
      <c r="JS857" s="27" t="s">
        <v>8</v>
      </c>
      <c r="JT857" s="27" t="s">
        <v>7</v>
      </c>
      <c r="JU857" s="27" t="s">
        <v>8</v>
      </c>
      <c r="JZ857" s="27" t="s">
        <v>7</v>
      </c>
      <c r="KB857" s="27" t="s">
        <v>7</v>
      </c>
      <c r="KC857" s="27" t="s">
        <v>8</v>
      </c>
      <c r="KD857" s="27" t="s">
        <v>7</v>
      </c>
      <c r="KE857" s="27" t="s">
        <v>8</v>
      </c>
      <c r="KF857" s="27" t="s">
        <v>7</v>
      </c>
      <c r="KI857" s="27" t="s">
        <v>8</v>
      </c>
    </row>
    <row r="858" spans="1:299" x14ac:dyDescent="0.25">
      <c r="A858" s="7">
        <v>4.6703932774297859E-3</v>
      </c>
      <c r="B858"/>
      <c r="C858"/>
      <c r="D858"/>
      <c r="E858"/>
      <c r="BJ858" s="27" t="s">
        <v>7</v>
      </c>
      <c r="CL858" s="27" t="s">
        <v>7</v>
      </c>
      <c r="CM858" s="27" t="s">
        <v>8</v>
      </c>
      <c r="CV858" s="27" t="s">
        <v>7</v>
      </c>
      <c r="CX858" s="27" t="s">
        <v>7</v>
      </c>
      <c r="CY858" s="27" t="s">
        <v>8</v>
      </c>
      <c r="DA858" s="27" t="s">
        <v>8</v>
      </c>
      <c r="DD858" s="27" t="s">
        <v>7</v>
      </c>
      <c r="DF858" s="27" t="s">
        <v>7</v>
      </c>
      <c r="DH858" s="27" t="s">
        <v>7</v>
      </c>
      <c r="DI858" s="27" t="s">
        <v>8</v>
      </c>
      <c r="DJ858" s="27" t="s">
        <v>7</v>
      </c>
      <c r="DK858" s="27" t="s">
        <v>8</v>
      </c>
      <c r="DL858" s="27" t="s">
        <v>7</v>
      </c>
      <c r="DM858" s="27" t="s">
        <v>8</v>
      </c>
      <c r="DP858" s="27" t="s">
        <v>7</v>
      </c>
      <c r="ED858" s="27" t="s">
        <v>7</v>
      </c>
      <c r="EI858" s="27" t="s">
        <v>8</v>
      </c>
      <c r="EJ858" s="27" t="s">
        <v>7</v>
      </c>
      <c r="GG858" s="27" t="s">
        <v>8</v>
      </c>
      <c r="GH858" s="27" t="s">
        <v>7</v>
      </c>
      <c r="GK858" s="27" t="s">
        <v>8</v>
      </c>
      <c r="GL858" s="27" t="s">
        <v>7</v>
      </c>
      <c r="GN858" s="27" t="s">
        <v>7</v>
      </c>
      <c r="GO858" s="27" t="s">
        <v>8</v>
      </c>
      <c r="GP858" s="27" t="s">
        <v>7</v>
      </c>
      <c r="GQ858" s="27" t="s">
        <v>8</v>
      </c>
      <c r="IF858" s="27" t="s">
        <v>7</v>
      </c>
      <c r="IH858" s="27" t="s">
        <v>7</v>
      </c>
      <c r="II858" s="27" t="s">
        <v>8</v>
      </c>
      <c r="IN858" s="27" t="s">
        <v>7</v>
      </c>
      <c r="IO858" s="27" t="s">
        <v>8</v>
      </c>
      <c r="IT858" s="27" t="s">
        <v>7</v>
      </c>
      <c r="IU858" s="27" t="s">
        <v>8</v>
      </c>
      <c r="IV858" s="27" t="s">
        <v>7</v>
      </c>
      <c r="IW858" s="27" t="s">
        <v>8</v>
      </c>
      <c r="IX858" s="27" t="s">
        <v>7</v>
      </c>
      <c r="JA858" s="27" t="s">
        <v>8</v>
      </c>
      <c r="JB858" s="27" t="s">
        <v>7</v>
      </c>
      <c r="JF858" s="27" t="s">
        <v>7</v>
      </c>
      <c r="JH858" s="27" t="s">
        <v>7</v>
      </c>
      <c r="JI858" s="27" t="s">
        <v>8</v>
      </c>
      <c r="JR858" s="27" t="s">
        <v>7</v>
      </c>
      <c r="JT858" s="27" t="s">
        <v>7</v>
      </c>
      <c r="JU858" s="27" t="s">
        <v>8</v>
      </c>
      <c r="KB858" s="27" t="s">
        <v>7</v>
      </c>
      <c r="KC858" s="27" t="s">
        <v>8</v>
      </c>
      <c r="KD858" s="27" t="s">
        <v>7</v>
      </c>
      <c r="KE858" s="27" t="s">
        <v>8</v>
      </c>
      <c r="KF858" s="27" t="s">
        <v>7</v>
      </c>
      <c r="KI858" s="27" t="s">
        <v>8</v>
      </c>
    </row>
    <row r="859" spans="1:299" x14ac:dyDescent="0.25">
      <c r="A859" s="7">
        <v>4.5788169386566527E-3</v>
      </c>
      <c r="B859"/>
      <c r="C859"/>
      <c r="D859"/>
      <c r="E859"/>
      <c r="CL859" s="27" t="s">
        <v>7</v>
      </c>
      <c r="CX859" s="27" t="s">
        <v>7</v>
      </c>
      <c r="CY859" s="27" t="s">
        <v>8</v>
      </c>
      <c r="CZ859" s="27" t="s">
        <v>7</v>
      </c>
      <c r="DA859" s="27" t="s">
        <v>8</v>
      </c>
      <c r="DH859" s="27" t="s">
        <v>7</v>
      </c>
      <c r="DI859" s="27" t="s">
        <v>8</v>
      </c>
      <c r="DJ859" s="27" t="s">
        <v>7</v>
      </c>
      <c r="DL859" s="27" t="s">
        <v>7</v>
      </c>
      <c r="DM859" s="27" t="s">
        <v>8</v>
      </c>
      <c r="ED859" s="27" t="s">
        <v>7</v>
      </c>
      <c r="EG859" s="27" t="s">
        <v>8</v>
      </c>
      <c r="EI859" s="27" t="s">
        <v>8</v>
      </c>
      <c r="EJ859" s="27" t="s">
        <v>7</v>
      </c>
      <c r="GG859" s="27" t="s">
        <v>8</v>
      </c>
      <c r="GH859" s="27" t="s">
        <v>7</v>
      </c>
      <c r="GI859" s="27" t="s">
        <v>8</v>
      </c>
      <c r="GK859" s="27" t="s">
        <v>8</v>
      </c>
      <c r="GN859" s="27" t="s">
        <v>7</v>
      </c>
      <c r="GO859" s="27" t="s">
        <v>8</v>
      </c>
      <c r="GP859" s="27" t="s">
        <v>7</v>
      </c>
      <c r="GQ859" s="27" t="s">
        <v>8</v>
      </c>
      <c r="IH859" s="27" t="s">
        <v>7</v>
      </c>
      <c r="IN859" s="27" t="s">
        <v>7</v>
      </c>
      <c r="IO859" s="27" t="s">
        <v>8</v>
      </c>
      <c r="IT859" s="27" t="s">
        <v>7</v>
      </c>
      <c r="IV859" s="27" t="s">
        <v>7</v>
      </c>
      <c r="IW859" s="27" t="s">
        <v>8</v>
      </c>
      <c r="IX859" s="27" t="s">
        <v>7</v>
      </c>
      <c r="JA859" s="27" t="s">
        <v>8</v>
      </c>
      <c r="JH859" s="27" t="s">
        <v>7</v>
      </c>
      <c r="JI859" s="27" t="s">
        <v>8</v>
      </c>
      <c r="JT859" s="27" t="s">
        <v>7</v>
      </c>
      <c r="KB859" s="27" t="s">
        <v>7</v>
      </c>
      <c r="KC859" s="27" t="s">
        <v>8</v>
      </c>
      <c r="KD859" s="27" t="s">
        <v>7</v>
      </c>
      <c r="KF859" s="27" t="s">
        <v>7</v>
      </c>
      <c r="KI859" s="27" t="s">
        <v>8</v>
      </c>
    </row>
    <row r="860" spans="1:299" x14ac:dyDescent="0.25">
      <c r="A860" s="7">
        <v>4.4890362143692672E-3</v>
      </c>
      <c r="B860"/>
      <c r="C860"/>
      <c r="D860"/>
      <c r="E860"/>
      <c r="CX860" s="27" t="s">
        <v>7</v>
      </c>
      <c r="CY860" s="27" t="s">
        <v>8</v>
      </c>
      <c r="CZ860" s="27" t="s">
        <v>7</v>
      </c>
      <c r="DA860" s="27" t="s">
        <v>8</v>
      </c>
      <c r="DH860" s="27" t="s">
        <v>7</v>
      </c>
      <c r="DL860" s="27" t="s">
        <v>7</v>
      </c>
      <c r="DM860" s="27" t="s">
        <v>8</v>
      </c>
      <c r="ED860" s="27" t="s">
        <v>7</v>
      </c>
      <c r="EE860" s="27" t="s">
        <v>8</v>
      </c>
      <c r="EG860" s="27" t="s">
        <v>8</v>
      </c>
      <c r="EH860" s="27" t="s">
        <v>7</v>
      </c>
      <c r="EI860" s="27" t="s">
        <v>8</v>
      </c>
      <c r="EJ860" s="27" t="s">
        <v>7</v>
      </c>
      <c r="GG860" s="27" t="s">
        <v>8</v>
      </c>
      <c r="GH860" s="27" t="s">
        <v>7</v>
      </c>
      <c r="GI860" s="27" t="s">
        <v>8</v>
      </c>
      <c r="GJ860" s="27" t="s">
        <v>7</v>
      </c>
      <c r="GK860" s="27" t="s">
        <v>8</v>
      </c>
      <c r="GN860" s="27" t="s">
        <v>7</v>
      </c>
      <c r="GO860" s="27" t="s">
        <v>8</v>
      </c>
      <c r="GP860" s="27" t="s">
        <v>7</v>
      </c>
      <c r="GQ860" s="27" t="s">
        <v>8</v>
      </c>
      <c r="IN860" s="27" t="s">
        <v>7</v>
      </c>
      <c r="IO860" s="27" t="s">
        <v>8</v>
      </c>
      <c r="IV860" s="27" t="s">
        <v>7</v>
      </c>
      <c r="IW860" s="27" t="s">
        <v>8</v>
      </c>
      <c r="IX860" s="27" t="s">
        <v>7</v>
      </c>
      <c r="JA860" s="27" t="s">
        <v>8</v>
      </c>
      <c r="JH860" s="27" t="s">
        <v>7</v>
      </c>
      <c r="KB860" s="27" t="s">
        <v>7</v>
      </c>
      <c r="KC860" s="27" t="s">
        <v>8</v>
      </c>
      <c r="KF860" s="27" t="s">
        <v>7</v>
      </c>
      <c r="KG860" s="27" t="s">
        <v>8</v>
      </c>
      <c r="KI860" s="27" t="s">
        <v>8</v>
      </c>
    </row>
    <row r="861" spans="1:299" x14ac:dyDescent="0.25">
      <c r="A861" s="7">
        <v>4.4010158964404578E-3</v>
      </c>
      <c r="B861"/>
      <c r="C861"/>
      <c r="D861"/>
      <c r="E861"/>
      <c r="CX861" s="27" t="s">
        <v>7</v>
      </c>
      <c r="CY861" s="27" t="s">
        <v>8</v>
      </c>
      <c r="CZ861" s="27" t="s">
        <v>7</v>
      </c>
      <c r="DA861" s="27" t="s">
        <v>8</v>
      </c>
      <c r="DL861" s="27" t="s">
        <v>7</v>
      </c>
      <c r="ED861" s="27" t="s">
        <v>7</v>
      </c>
      <c r="EE861" s="27" t="s">
        <v>8</v>
      </c>
      <c r="EF861" s="27" t="s">
        <v>7</v>
      </c>
      <c r="EG861" s="27" t="s">
        <v>8</v>
      </c>
      <c r="EH861" s="27" t="s">
        <v>7</v>
      </c>
      <c r="EI861" s="27" t="s">
        <v>8</v>
      </c>
      <c r="EJ861" s="27" t="s">
        <v>7</v>
      </c>
      <c r="GG861" s="27" t="s">
        <v>8</v>
      </c>
      <c r="GH861" s="27" t="s">
        <v>7</v>
      </c>
      <c r="GI861" s="27" t="s">
        <v>8</v>
      </c>
      <c r="GJ861" s="27" t="s">
        <v>7</v>
      </c>
      <c r="GK861" s="27" t="s">
        <v>8</v>
      </c>
      <c r="GN861" s="27" t="s">
        <v>7</v>
      </c>
      <c r="GO861" s="27" t="s">
        <v>8</v>
      </c>
      <c r="GP861" s="27" t="s">
        <v>7</v>
      </c>
      <c r="IN861" s="27" t="s">
        <v>7</v>
      </c>
      <c r="IV861" s="27" t="s">
        <v>7</v>
      </c>
      <c r="IW861" s="27" t="s">
        <v>8</v>
      </c>
      <c r="IX861" s="27" t="s">
        <v>7</v>
      </c>
      <c r="IY861" s="27" t="s">
        <v>8</v>
      </c>
      <c r="JA861" s="27" t="s">
        <v>8</v>
      </c>
      <c r="KB861" s="27" t="s">
        <v>7</v>
      </c>
      <c r="KC861" s="27" t="s">
        <v>8</v>
      </c>
      <c r="KF861" s="27" t="s">
        <v>7</v>
      </c>
      <c r="KG861" s="27" t="s">
        <v>8</v>
      </c>
      <c r="KH861" s="27" t="s">
        <v>7</v>
      </c>
      <c r="KI861" s="27" t="s">
        <v>8</v>
      </c>
    </row>
    <row r="862" spans="1:299" x14ac:dyDescent="0.25">
      <c r="A862" s="7">
        <v>4.314721467098488E-3</v>
      </c>
      <c r="B862"/>
      <c r="C862"/>
      <c r="D862"/>
      <c r="E862"/>
      <c r="CX862" s="27" t="s">
        <v>7</v>
      </c>
      <c r="CY862" s="27" t="s">
        <v>8</v>
      </c>
      <c r="CZ862" s="27" t="s">
        <v>7</v>
      </c>
      <c r="ED862" s="27" t="s">
        <v>7</v>
      </c>
      <c r="EE862" s="27" t="s">
        <v>8</v>
      </c>
      <c r="EF862" s="27" t="s">
        <v>7</v>
      </c>
      <c r="EG862" s="27" t="s">
        <v>8</v>
      </c>
      <c r="EH862" s="27" t="s">
        <v>7</v>
      </c>
      <c r="EJ862" s="27" t="s">
        <v>7</v>
      </c>
      <c r="FW862" s="27" t="s">
        <v>8</v>
      </c>
      <c r="GG862" s="27" t="s">
        <v>8</v>
      </c>
      <c r="GH862" s="27" t="s">
        <v>7</v>
      </c>
      <c r="GI862" s="27" t="s">
        <v>8</v>
      </c>
      <c r="GJ862" s="27" t="s">
        <v>7</v>
      </c>
      <c r="GK862" s="27" t="s">
        <v>8</v>
      </c>
      <c r="GN862" s="27" t="s">
        <v>7</v>
      </c>
      <c r="GO862" s="27" t="s">
        <v>8</v>
      </c>
      <c r="IV862" s="27" t="s">
        <v>7</v>
      </c>
      <c r="IW862" s="27" t="s">
        <v>8</v>
      </c>
      <c r="IX862" s="27" t="s">
        <v>7</v>
      </c>
      <c r="IY862" s="27" t="s">
        <v>8</v>
      </c>
      <c r="IZ862" s="27" t="s">
        <v>7</v>
      </c>
      <c r="JA862" s="27" t="s">
        <v>8</v>
      </c>
      <c r="KB862" s="27" t="s">
        <v>7</v>
      </c>
      <c r="KC862" s="27" t="s">
        <v>8</v>
      </c>
      <c r="KF862" s="27" t="s">
        <v>7</v>
      </c>
      <c r="KG862" s="27" t="s">
        <v>8</v>
      </c>
      <c r="KH862" s="27" t="s">
        <v>7</v>
      </c>
      <c r="KI862" s="27" t="s">
        <v>8</v>
      </c>
    </row>
    <row r="863" spans="1:299" x14ac:dyDescent="0.25">
      <c r="A863" s="7">
        <v>4.2301190853906746E-3</v>
      </c>
      <c r="B863"/>
      <c r="C863"/>
      <c r="D863"/>
      <c r="E863"/>
      <c r="CX863" s="27" t="s">
        <v>7</v>
      </c>
      <c r="CY863" s="27" t="s">
        <v>8</v>
      </c>
      <c r="ED863" s="27" t="s">
        <v>7</v>
      </c>
      <c r="EE863" s="27" t="s">
        <v>8</v>
      </c>
      <c r="EF863" s="27" t="s">
        <v>7</v>
      </c>
      <c r="EG863" s="27" t="s">
        <v>8</v>
      </c>
      <c r="EJ863" s="27" t="s">
        <v>7</v>
      </c>
      <c r="FW863" s="27" t="s">
        <v>8</v>
      </c>
      <c r="FX863" s="27" t="s">
        <v>7</v>
      </c>
      <c r="FY863" s="27" t="s">
        <v>8</v>
      </c>
      <c r="GG863" s="27" t="s">
        <v>8</v>
      </c>
      <c r="GH863" s="27" t="s">
        <v>7</v>
      </c>
      <c r="GI863" s="27" t="s">
        <v>8</v>
      </c>
      <c r="GJ863" s="27" t="s">
        <v>7</v>
      </c>
      <c r="GN863" s="27" t="s">
        <v>7</v>
      </c>
      <c r="GO863" s="27" t="s">
        <v>8</v>
      </c>
      <c r="IV863" s="27" t="s">
        <v>7</v>
      </c>
      <c r="IW863" s="27" t="s">
        <v>8</v>
      </c>
      <c r="IX863" s="27" t="s">
        <v>7</v>
      </c>
      <c r="IY863" s="27" t="s">
        <v>8</v>
      </c>
      <c r="IZ863" s="27" t="s">
        <v>7</v>
      </c>
      <c r="JA863" s="27" t="s">
        <v>8</v>
      </c>
      <c r="KB863" s="27" t="s">
        <v>7</v>
      </c>
      <c r="KC863" s="27" t="s">
        <v>8</v>
      </c>
      <c r="KF863" s="27" t="s">
        <v>7</v>
      </c>
      <c r="KG863" s="27" t="s">
        <v>8</v>
      </c>
      <c r="KH863" s="27" t="s">
        <v>7</v>
      </c>
      <c r="KI863" s="27" t="s">
        <v>8</v>
      </c>
    </row>
    <row r="864" spans="1:299" x14ac:dyDescent="0.25">
      <c r="A864" s="7">
        <v>4.1471755739124266E-3</v>
      </c>
      <c r="B864"/>
      <c r="C864"/>
      <c r="D864"/>
      <c r="E864"/>
      <c r="CX864" s="27" t="s">
        <v>7</v>
      </c>
      <c r="CY864" s="27" t="s">
        <v>8</v>
      </c>
      <c r="ED864" s="27" t="s">
        <v>7</v>
      </c>
      <c r="EE864" s="27" t="s">
        <v>8</v>
      </c>
      <c r="EF864" s="27" t="s">
        <v>7</v>
      </c>
      <c r="EJ864" s="27" t="s">
        <v>7</v>
      </c>
      <c r="FW864" s="27" t="s">
        <v>8</v>
      </c>
      <c r="FX864" s="27" t="s">
        <v>7</v>
      </c>
      <c r="FY864" s="27" t="s">
        <v>8</v>
      </c>
      <c r="FZ864" s="27" t="s">
        <v>7</v>
      </c>
      <c r="GG864" s="27" t="s">
        <v>8</v>
      </c>
      <c r="GH864" s="27" t="s">
        <v>7</v>
      </c>
      <c r="GI864" s="27" t="s">
        <v>8</v>
      </c>
      <c r="GN864" s="27" t="s">
        <v>7</v>
      </c>
      <c r="GO864" s="27" t="s">
        <v>8</v>
      </c>
      <c r="IV864" s="27" t="s">
        <v>7</v>
      </c>
      <c r="IW864" s="27" t="s">
        <v>8</v>
      </c>
      <c r="IX864" s="27" t="s">
        <v>7</v>
      </c>
      <c r="IY864" s="27" t="s">
        <v>8</v>
      </c>
      <c r="IZ864" s="27" t="s">
        <v>7</v>
      </c>
      <c r="JA864" s="27" t="s">
        <v>8</v>
      </c>
      <c r="KB864" s="27" t="s">
        <v>7</v>
      </c>
      <c r="KF864" s="27" t="s">
        <v>7</v>
      </c>
      <c r="KG864" s="27" t="s">
        <v>8</v>
      </c>
      <c r="KH864" s="27" t="s">
        <v>7</v>
      </c>
    </row>
    <row r="865" spans="1:292" x14ac:dyDescent="0.25">
      <c r="A865" s="7">
        <v>4.0658584057964966E-3</v>
      </c>
      <c r="B865"/>
      <c r="C865"/>
      <c r="D865"/>
      <c r="E865"/>
      <c r="CX865" s="27" t="s">
        <v>7</v>
      </c>
      <c r="CY865" s="27" t="s">
        <v>8</v>
      </c>
      <c r="ED865" s="27" t="s">
        <v>7</v>
      </c>
      <c r="EE865" s="27" t="s">
        <v>8</v>
      </c>
      <c r="EJ865" s="27" t="s">
        <v>7</v>
      </c>
      <c r="FW865" s="27" t="s">
        <v>8</v>
      </c>
      <c r="FX865" s="27" t="s">
        <v>7</v>
      </c>
      <c r="FY865" s="27" t="s">
        <v>8</v>
      </c>
      <c r="FZ865" s="27" t="s">
        <v>7</v>
      </c>
      <c r="GC865" s="27" t="s">
        <v>8</v>
      </c>
      <c r="GE865" s="27" t="s">
        <v>8</v>
      </c>
      <c r="GG865" s="27" t="s">
        <v>8</v>
      </c>
      <c r="GH865" s="27" t="s">
        <v>7</v>
      </c>
      <c r="GI865" s="27" t="s">
        <v>8</v>
      </c>
      <c r="GN865" s="27" t="s">
        <v>7</v>
      </c>
      <c r="GO865" s="27" t="s">
        <v>8</v>
      </c>
      <c r="IV865" s="27" t="s">
        <v>7</v>
      </c>
      <c r="IW865" s="27" t="s">
        <v>8</v>
      </c>
      <c r="IX865" s="27" t="s">
        <v>7</v>
      </c>
      <c r="IZ865" s="27" t="s">
        <v>7</v>
      </c>
      <c r="KF865" s="27" t="s">
        <v>7</v>
      </c>
    </row>
    <row r="866" spans="1:292" x14ac:dyDescent="0.25">
      <c r="A866" s="7">
        <v>3.9861356919573491E-3</v>
      </c>
      <c r="B866"/>
      <c r="C866"/>
      <c r="D866"/>
      <c r="E866"/>
      <c r="CX866" s="27" t="s">
        <v>7</v>
      </c>
      <c r="CY866" s="27" t="s">
        <v>8</v>
      </c>
      <c r="ED866" s="27" t="s">
        <v>7</v>
      </c>
      <c r="EJ866" s="27" t="s">
        <v>7</v>
      </c>
      <c r="EK866" s="27" t="s">
        <v>8</v>
      </c>
      <c r="FW866" s="27" t="s">
        <v>8</v>
      </c>
      <c r="FX866" s="27" t="s">
        <v>7</v>
      </c>
      <c r="FY866" s="27" t="s">
        <v>8</v>
      </c>
      <c r="FZ866" s="27" t="s">
        <v>7</v>
      </c>
      <c r="GC866" s="27" t="s">
        <v>8</v>
      </c>
      <c r="GD866" s="27" t="s">
        <v>7</v>
      </c>
      <c r="GE866" s="27" t="s">
        <v>8</v>
      </c>
      <c r="GF866" s="27" t="s">
        <v>7</v>
      </c>
      <c r="GG866" s="27" t="s">
        <v>8</v>
      </c>
      <c r="GH866" s="27" t="s">
        <v>7</v>
      </c>
      <c r="GI866" s="27" t="s">
        <v>8</v>
      </c>
      <c r="GN866" s="27" t="s">
        <v>7</v>
      </c>
      <c r="GO866" s="27" t="s">
        <v>8</v>
      </c>
      <c r="IV866" s="27" t="s">
        <v>7</v>
      </c>
      <c r="IW866" s="27" t="s">
        <v>8</v>
      </c>
    </row>
    <row r="867" spans="1:292" x14ac:dyDescent="0.25">
      <c r="A867" s="7">
        <v>3.9079761685856364E-3</v>
      </c>
      <c r="B867"/>
      <c r="C867"/>
      <c r="D867"/>
      <c r="E867"/>
      <c r="CX867" s="27" t="s">
        <v>7</v>
      </c>
      <c r="EJ867" s="27" t="s">
        <v>7</v>
      </c>
      <c r="EK867" s="27" t="s">
        <v>8</v>
      </c>
      <c r="EL867" s="27" t="s">
        <v>7</v>
      </c>
      <c r="FU867" s="27" t="s">
        <v>8</v>
      </c>
      <c r="FW867" s="27" t="s">
        <v>8</v>
      </c>
      <c r="FX867" s="27" t="s">
        <v>7</v>
      </c>
      <c r="FY867" s="27" t="s">
        <v>8</v>
      </c>
      <c r="FZ867" s="27" t="s">
        <v>7</v>
      </c>
      <c r="GA867" s="27" t="s">
        <v>8</v>
      </c>
      <c r="GC867" s="27" t="s">
        <v>8</v>
      </c>
      <c r="GD867" s="27" t="s">
        <v>7</v>
      </c>
      <c r="GE867" s="27" t="s">
        <v>8</v>
      </c>
      <c r="GF867" s="27" t="s">
        <v>7</v>
      </c>
      <c r="GG867" s="27" t="s">
        <v>8</v>
      </c>
      <c r="GH867" s="27" t="s">
        <v>7</v>
      </c>
      <c r="GI867" s="27" t="s">
        <v>8</v>
      </c>
      <c r="GN867" s="27" t="s">
        <v>7</v>
      </c>
      <c r="GO867" s="27" t="s">
        <v>8</v>
      </c>
      <c r="IV867" s="27" t="s">
        <v>7</v>
      </c>
    </row>
    <row r="868" spans="1:292" x14ac:dyDescent="0.25">
      <c r="A868" s="7">
        <v>3.8313491848878793E-3</v>
      </c>
      <c r="B868"/>
      <c r="C868"/>
      <c r="D868"/>
      <c r="E868"/>
      <c r="EJ868" s="27" t="s">
        <v>7</v>
      </c>
      <c r="EK868" s="27" t="s">
        <v>8</v>
      </c>
      <c r="EL868" s="27" t="s">
        <v>7</v>
      </c>
      <c r="FU868" s="27" t="s">
        <v>8</v>
      </c>
      <c r="FV868" s="27" t="s">
        <v>7</v>
      </c>
      <c r="FW868" s="27" t="s">
        <v>8</v>
      </c>
      <c r="FX868" s="27" t="s">
        <v>7</v>
      </c>
      <c r="FY868" s="27" t="s">
        <v>8</v>
      </c>
      <c r="FZ868" s="27" t="s">
        <v>7</v>
      </c>
      <c r="GA868" s="27" t="s">
        <v>8</v>
      </c>
      <c r="GB868" s="27" t="s">
        <v>7</v>
      </c>
      <c r="GC868" s="27" t="s">
        <v>8</v>
      </c>
      <c r="GD868" s="27" t="s">
        <v>7</v>
      </c>
      <c r="GF868" s="27" t="s">
        <v>7</v>
      </c>
      <c r="GG868" s="27" t="s">
        <v>8</v>
      </c>
      <c r="GH868" s="27" t="s">
        <v>7</v>
      </c>
      <c r="GN868" s="27" t="s">
        <v>7</v>
      </c>
      <c r="GO868" s="27" t="s">
        <v>8</v>
      </c>
    </row>
    <row r="869" spans="1:292" x14ac:dyDescent="0.25">
      <c r="A869" s="7">
        <v>3.7562246910665485E-3</v>
      </c>
      <c r="B869"/>
      <c r="C869"/>
      <c r="D869"/>
      <c r="E869"/>
      <c r="EJ869" s="27" t="s">
        <v>7</v>
      </c>
      <c r="EK869" s="27" t="s">
        <v>8</v>
      </c>
      <c r="EL869" s="27" t="s">
        <v>7</v>
      </c>
      <c r="FS869" s="27" t="s">
        <v>8</v>
      </c>
      <c r="FU869" s="27" t="s">
        <v>8</v>
      </c>
      <c r="FV869" s="27" t="s">
        <v>7</v>
      </c>
      <c r="FW869" s="27" t="s">
        <v>8</v>
      </c>
      <c r="FX869" s="27" t="s">
        <v>7</v>
      </c>
      <c r="FY869" s="27" t="s">
        <v>8</v>
      </c>
      <c r="FZ869" s="27" t="s">
        <v>7</v>
      </c>
      <c r="GA869" s="27" t="s">
        <v>8</v>
      </c>
      <c r="GB869" s="27" t="s">
        <v>7</v>
      </c>
      <c r="GC869" s="27" t="s">
        <v>8</v>
      </c>
      <c r="GF869" s="27" t="s">
        <v>7</v>
      </c>
      <c r="GG869" s="27" t="s">
        <v>8</v>
      </c>
      <c r="GN869" s="27" t="s">
        <v>7</v>
      </c>
      <c r="GO869" s="27" t="s">
        <v>8</v>
      </c>
    </row>
    <row r="870" spans="1:292" x14ac:dyDescent="0.25">
      <c r="A870" s="7">
        <v>3.6825732265358315E-3</v>
      </c>
      <c r="B870"/>
      <c r="C870"/>
      <c r="D870"/>
      <c r="E870"/>
      <c r="EJ870" s="27" t="s">
        <v>7</v>
      </c>
      <c r="EK870" s="27" t="s">
        <v>8</v>
      </c>
      <c r="EL870" s="27" t="s">
        <v>7</v>
      </c>
      <c r="FS870" s="27" t="s">
        <v>8</v>
      </c>
      <c r="FT870" s="27" t="s">
        <v>7</v>
      </c>
      <c r="FU870" s="27" t="s">
        <v>8</v>
      </c>
      <c r="FV870" s="27" t="s">
        <v>7</v>
      </c>
      <c r="FW870" s="27" t="s">
        <v>8</v>
      </c>
      <c r="FX870" s="27" t="s">
        <v>7</v>
      </c>
      <c r="FY870" s="27" t="s">
        <v>8</v>
      </c>
      <c r="FZ870" s="27" t="s">
        <v>7</v>
      </c>
      <c r="GA870" s="27" t="s">
        <v>8</v>
      </c>
      <c r="GB870" s="27" t="s">
        <v>7</v>
      </c>
      <c r="GC870" s="27" t="s">
        <v>8</v>
      </c>
      <c r="GF870" s="27" t="s">
        <v>7</v>
      </c>
      <c r="GG870" s="27" t="s">
        <v>8</v>
      </c>
      <c r="GN870" s="27" t="s">
        <v>7</v>
      </c>
      <c r="GO870" s="27" t="s">
        <v>8</v>
      </c>
    </row>
    <row r="871" spans="1:292" x14ac:dyDescent="0.25">
      <c r="A871" s="7">
        <v>3.6103659083684624E-3</v>
      </c>
      <c r="B871"/>
      <c r="C871"/>
      <c r="D871"/>
      <c r="E871"/>
      <c r="EJ871" s="27" t="s">
        <v>7</v>
      </c>
      <c r="EK871" s="27" t="s">
        <v>8</v>
      </c>
      <c r="EL871" s="27" t="s">
        <v>7</v>
      </c>
      <c r="FO871" s="27" t="s">
        <v>8</v>
      </c>
      <c r="FS871" s="27" t="s">
        <v>8</v>
      </c>
      <c r="FT871" s="27" t="s">
        <v>7</v>
      </c>
      <c r="FU871" s="27" t="s">
        <v>8</v>
      </c>
      <c r="FV871" s="27" t="s">
        <v>7</v>
      </c>
      <c r="FX871" s="27" t="s">
        <v>7</v>
      </c>
      <c r="FY871" s="27" t="s">
        <v>8</v>
      </c>
      <c r="FZ871" s="27" t="s">
        <v>7</v>
      </c>
      <c r="GA871" s="27" t="s">
        <v>8</v>
      </c>
      <c r="GB871" s="27" t="s">
        <v>7</v>
      </c>
      <c r="GF871" s="27" t="s">
        <v>7</v>
      </c>
      <c r="GG871" s="27" t="s">
        <v>8</v>
      </c>
      <c r="GN871" s="27" t="s">
        <v>7</v>
      </c>
    </row>
    <row r="872" spans="1:292" x14ac:dyDescent="0.25">
      <c r="A872" s="7">
        <v>3.539574419969081E-3</v>
      </c>
      <c r="B872"/>
      <c r="C872"/>
      <c r="D872"/>
      <c r="E872"/>
      <c r="EJ872" s="27" t="s">
        <v>7</v>
      </c>
      <c r="EL872" s="27" t="s">
        <v>7</v>
      </c>
      <c r="FO872" s="27" t="s">
        <v>8</v>
      </c>
      <c r="FP872" s="27" t="s">
        <v>7</v>
      </c>
      <c r="FQ872" s="27" t="s">
        <v>8</v>
      </c>
      <c r="FS872" s="27" t="s">
        <v>8</v>
      </c>
      <c r="FT872" s="27" t="s">
        <v>7</v>
      </c>
      <c r="FU872" s="27" t="s">
        <v>8</v>
      </c>
      <c r="FX872" s="27" t="s">
        <v>7</v>
      </c>
      <c r="FZ872" s="27" t="s">
        <v>7</v>
      </c>
      <c r="GA872" s="27" t="s">
        <v>8</v>
      </c>
      <c r="GF872" s="27" t="s">
        <v>7</v>
      </c>
    </row>
    <row r="873" spans="1:292" x14ac:dyDescent="0.25">
      <c r="A873" s="7">
        <v>3.4701709999696872E-3</v>
      </c>
      <c r="B873"/>
      <c r="C873"/>
      <c r="D873"/>
      <c r="E873"/>
      <c r="EL873" s="27" t="s">
        <v>7</v>
      </c>
      <c r="FO873" s="27" t="s">
        <v>8</v>
      </c>
      <c r="FP873" s="27" t="s">
        <v>7</v>
      </c>
      <c r="FQ873" s="27" t="s">
        <v>8</v>
      </c>
      <c r="FR873" s="27" t="s">
        <v>7</v>
      </c>
      <c r="FS873" s="27" t="s">
        <v>8</v>
      </c>
      <c r="FT873" s="27" t="s">
        <v>7</v>
      </c>
      <c r="FU873" s="27" t="s">
        <v>8</v>
      </c>
      <c r="FZ873" s="27" t="s">
        <v>7</v>
      </c>
    </row>
    <row r="874" spans="1:292" x14ac:dyDescent="0.25">
      <c r="A874" s="7">
        <v>3.4021284313428307E-3</v>
      </c>
      <c r="B874"/>
      <c r="C874"/>
      <c r="D874"/>
      <c r="E874"/>
      <c r="EL874" s="27" t="s">
        <v>7</v>
      </c>
      <c r="FO874" s="27" t="s">
        <v>8</v>
      </c>
      <c r="FP874" s="27" t="s">
        <v>7</v>
      </c>
      <c r="FQ874" s="27" t="s">
        <v>8</v>
      </c>
      <c r="FR874" s="27" t="s">
        <v>7</v>
      </c>
      <c r="FS874" s="27" t="s">
        <v>8</v>
      </c>
      <c r="FT874" s="27" t="s">
        <v>7</v>
      </c>
    </row>
    <row r="875" spans="1:292" x14ac:dyDescent="0.25">
      <c r="A875" s="7">
        <v>3.3354200307282654E-3</v>
      </c>
      <c r="B875"/>
      <c r="C875"/>
      <c r="D875"/>
      <c r="E875"/>
      <c r="EL875" s="27" t="s">
        <v>7</v>
      </c>
      <c r="FO875" s="27" t="s">
        <v>8</v>
      </c>
      <c r="FP875" s="27" t="s">
        <v>7</v>
      </c>
      <c r="FQ875" s="27" t="s">
        <v>8</v>
      </c>
      <c r="FR875" s="27" t="s">
        <v>7</v>
      </c>
      <c r="FS875" s="27" t="s">
        <v>8</v>
      </c>
    </row>
    <row r="876" spans="1:292" x14ac:dyDescent="0.25">
      <c r="A876" s="7">
        <v>3.2700196379688881E-3</v>
      </c>
      <c r="B876"/>
      <c r="C876"/>
      <c r="D876"/>
      <c r="E876"/>
      <c r="EL876" s="27" t="s">
        <v>7</v>
      </c>
      <c r="FO876" s="27" t="s">
        <v>8</v>
      </c>
      <c r="FP876" s="27" t="s">
        <v>7</v>
      </c>
      <c r="FQ876" s="27" t="s">
        <v>8</v>
      </c>
      <c r="FR876" s="27" t="s">
        <v>7</v>
      </c>
      <c r="FS876" s="27" t="s">
        <v>8</v>
      </c>
    </row>
    <row r="877" spans="1:292" x14ac:dyDescent="0.25">
      <c r="A877" s="7">
        <v>3.205901605851851E-3</v>
      </c>
      <c r="B877"/>
      <c r="C877"/>
      <c r="D877"/>
      <c r="E877"/>
      <c r="EL877" s="27" t="s">
        <v>7</v>
      </c>
      <c r="FO877" s="27" t="s">
        <v>8</v>
      </c>
      <c r="FP877" s="27" t="s">
        <v>7</v>
      </c>
      <c r="FQ877" s="27" t="s">
        <v>8</v>
      </c>
      <c r="FR877" s="27" t="s">
        <v>7</v>
      </c>
      <c r="FS877" s="27" t="s">
        <v>8</v>
      </c>
    </row>
    <row r="878" spans="1:292" x14ac:dyDescent="0.25">
      <c r="A878" s="7">
        <v>3.1430407900508344E-3</v>
      </c>
      <c r="B878"/>
      <c r="C878"/>
      <c r="D878"/>
      <c r="E878"/>
      <c r="EL878" s="27" t="s">
        <v>7</v>
      </c>
      <c r="FO878" s="27" t="s">
        <v>8</v>
      </c>
      <c r="FP878" s="27" t="s">
        <v>7</v>
      </c>
      <c r="FQ878" s="27" t="s">
        <v>8</v>
      </c>
      <c r="FR878" s="27" t="s">
        <v>7</v>
      </c>
      <c r="FS878" s="27" t="s">
        <v>8</v>
      </c>
    </row>
    <row r="879" spans="1:292" x14ac:dyDescent="0.25">
      <c r="A879" s="7">
        <v>3.0814125392655241E-3</v>
      </c>
      <c r="B879"/>
      <c r="C879"/>
      <c r="D879"/>
      <c r="E879"/>
      <c r="EL879" s="27" t="s">
        <v>7</v>
      </c>
      <c r="FO879" s="27" t="s">
        <v>8</v>
      </c>
      <c r="FP879" s="27" t="s">
        <v>7</v>
      </c>
      <c r="FR879" s="27" t="s">
        <v>7</v>
      </c>
    </row>
    <row r="880" spans="1:292" x14ac:dyDescent="0.25">
      <c r="A880" s="7">
        <v>3.0209926855544354E-3</v>
      </c>
      <c r="B880"/>
      <c r="C880"/>
      <c r="D880"/>
      <c r="E880"/>
      <c r="EL880" s="27" t="s">
        <v>7</v>
      </c>
      <c r="FO880" s="27" t="s">
        <v>8</v>
      </c>
    </row>
    <row r="881" spans="1:171" x14ac:dyDescent="0.25">
      <c r="A881" s="7">
        <v>2.9617575348572897E-3</v>
      </c>
      <c r="B881"/>
      <c r="C881"/>
      <c r="D881"/>
      <c r="E881"/>
      <c r="EL881" s="27" t="s">
        <v>7</v>
      </c>
      <c r="FO881" s="27" t="s">
        <v>8</v>
      </c>
    </row>
    <row r="882" spans="1:171" x14ac:dyDescent="0.25">
      <c r="A882" s="7">
        <v>2.9036838577032251E-3</v>
      </c>
      <c r="B882"/>
      <c r="C882"/>
      <c r="D882"/>
      <c r="E882"/>
      <c r="EL882" s="27" t="s">
        <v>7</v>
      </c>
      <c r="FK882" s="27" t="s">
        <v>8</v>
      </c>
      <c r="FO882" s="27" t="s">
        <v>8</v>
      </c>
    </row>
    <row r="883" spans="1:171" x14ac:dyDescent="0.25">
      <c r="A883" s="7">
        <v>2.8467488801012012E-3</v>
      </c>
      <c r="B883"/>
      <c r="C883"/>
      <c r="D883"/>
      <c r="E883"/>
      <c r="EL883" s="27" t="s">
        <v>7</v>
      </c>
      <c r="FK883" s="27" t="s">
        <v>8</v>
      </c>
      <c r="FL883" s="27" t="s">
        <v>7</v>
      </c>
      <c r="FM883" s="27" t="s">
        <v>8</v>
      </c>
      <c r="FO883" s="27" t="s">
        <v>8</v>
      </c>
    </row>
    <row r="884" spans="1:171" x14ac:dyDescent="0.25">
      <c r="A884" s="7">
        <v>2.7909302746090209E-3</v>
      </c>
      <c r="B884"/>
      <c r="C884"/>
      <c r="D884"/>
      <c r="E884"/>
      <c r="EL884" s="27" t="s">
        <v>7</v>
      </c>
      <c r="FK884" s="27" t="s">
        <v>8</v>
      </c>
      <c r="FL884" s="27" t="s">
        <v>7</v>
      </c>
      <c r="FM884" s="27" t="s">
        <v>8</v>
      </c>
      <c r="FN884" s="27" t="s">
        <v>7</v>
      </c>
      <c r="FO884" s="27" t="s">
        <v>8</v>
      </c>
    </row>
    <row r="885" spans="1:171" x14ac:dyDescent="0.25">
      <c r="A885" s="7">
        <v>2.7362061515774716E-3</v>
      </c>
      <c r="B885"/>
      <c r="C885"/>
      <c r="D885"/>
      <c r="E885"/>
      <c r="EL885" s="27" t="s">
        <v>7</v>
      </c>
      <c r="FE885" s="27" t="s">
        <v>8</v>
      </c>
      <c r="FG885" s="27" t="s">
        <v>8</v>
      </c>
      <c r="FK885" s="27" t="s">
        <v>8</v>
      </c>
      <c r="FL885" s="27" t="s">
        <v>7</v>
      </c>
      <c r="FM885" s="27" t="s">
        <v>8</v>
      </c>
      <c r="FN885" s="27" t="s">
        <v>7</v>
      </c>
      <c r="FO885" s="27" t="s">
        <v>8</v>
      </c>
    </row>
    <row r="886" spans="1:171" x14ac:dyDescent="0.25">
      <c r="A886" s="7">
        <v>2.6825550505661486E-3</v>
      </c>
      <c r="B886"/>
      <c r="C886"/>
      <c r="D886"/>
      <c r="E886"/>
      <c r="EL886" s="27" t="s">
        <v>7</v>
      </c>
      <c r="FE886" s="27" t="s">
        <v>8</v>
      </c>
      <c r="FF886" s="27" t="s">
        <v>7</v>
      </c>
      <c r="FG886" s="27" t="s">
        <v>8</v>
      </c>
      <c r="FH886" s="27" t="s">
        <v>7</v>
      </c>
      <c r="FI886" s="27" t="s">
        <v>8</v>
      </c>
      <c r="FK886" s="27" t="s">
        <v>8</v>
      </c>
      <c r="FL886" s="27" t="s">
        <v>7</v>
      </c>
      <c r="FM886" s="27" t="s">
        <v>8</v>
      </c>
      <c r="FN886" s="27" t="s">
        <v>7</v>
      </c>
      <c r="FO886" s="27" t="s">
        <v>8</v>
      </c>
    </row>
    <row r="887" spans="1:171" x14ac:dyDescent="0.25">
      <c r="A887" s="7">
        <v>2.6299559319275965E-3</v>
      </c>
      <c r="B887"/>
      <c r="C887"/>
      <c r="D887"/>
      <c r="E887"/>
      <c r="EL887" s="27" t="s">
        <v>7</v>
      </c>
      <c r="EO887" s="27" t="s">
        <v>8</v>
      </c>
      <c r="FE887" s="27" t="s">
        <v>8</v>
      </c>
      <c r="FF887" s="27" t="s">
        <v>7</v>
      </c>
      <c r="FG887" s="27" t="s">
        <v>8</v>
      </c>
      <c r="FH887" s="27" t="s">
        <v>7</v>
      </c>
      <c r="FI887" s="27" t="s">
        <v>8</v>
      </c>
      <c r="FJ887" s="27" t="s">
        <v>7</v>
      </c>
      <c r="FK887" s="27" t="s">
        <v>8</v>
      </c>
      <c r="FL887" s="27" t="s">
        <v>7</v>
      </c>
      <c r="FM887" s="27" t="s">
        <v>8</v>
      </c>
      <c r="FN887" s="27" t="s">
        <v>7</v>
      </c>
      <c r="FO887" s="27" t="s">
        <v>8</v>
      </c>
    </row>
    <row r="888" spans="1:171" x14ac:dyDescent="0.25">
      <c r="A888" s="7">
        <v>2.578388168556467E-3</v>
      </c>
      <c r="B888"/>
      <c r="C888"/>
      <c r="D888"/>
      <c r="E888"/>
      <c r="EL888" s="27" t="s">
        <v>7</v>
      </c>
      <c r="EO888" s="27" t="s">
        <v>8</v>
      </c>
      <c r="EP888" s="27" t="s">
        <v>7</v>
      </c>
      <c r="EY888" s="27" t="s">
        <v>8</v>
      </c>
      <c r="FE888" s="27" t="s">
        <v>8</v>
      </c>
      <c r="FF888" s="27" t="s">
        <v>7</v>
      </c>
      <c r="FG888" s="27" t="s">
        <v>8</v>
      </c>
      <c r="FH888" s="27" t="s">
        <v>7</v>
      </c>
      <c r="FI888" s="27" t="s">
        <v>8</v>
      </c>
      <c r="FJ888" s="27" t="s">
        <v>7</v>
      </c>
      <c r="FK888" s="27" t="s">
        <v>8</v>
      </c>
      <c r="FL888" s="27" t="s">
        <v>7</v>
      </c>
      <c r="FM888" s="27" t="s">
        <v>8</v>
      </c>
      <c r="FN888" s="27" t="s">
        <v>7</v>
      </c>
    </row>
    <row r="889" spans="1:171" x14ac:dyDescent="0.25">
      <c r="A889" s="7">
        <v>2.5278315378004577E-3</v>
      </c>
      <c r="B889"/>
      <c r="C889"/>
      <c r="D889"/>
      <c r="E889"/>
      <c r="EL889" s="27" t="s">
        <v>7</v>
      </c>
      <c r="EO889" s="27" t="s">
        <v>8</v>
      </c>
      <c r="EP889" s="27" t="s">
        <v>7</v>
      </c>
      <c r="EW889" s="27" t="s">
        <v>8</v>
      </c>
      <c r="EY889" s="27" t="s">
        <v>8</v>
      </c>
      <c r="EZ889" s="27" t="s">
        <v>7</v>
      </c>
      <c r="FE889" s="27" t="s">
        <v>8</v>
      </c>
      <c r="FF889" s="27" t="s">
        <v>7</v>
      </c>
      <c r="FG889" s="27" t="s">
        <v>8</v>
      </c>
      <c r="FH889" s="27" t="s">
        <v>7</v>
      </c>
      <c r="FI889" s="27" t="s">
        <v>8</v>
      </c>
      <c r="FJ889" s="27" t="s">
        <v>7</v>
      </c>
      <c r="FL889" s="27" t="s">
        <v>7</v>
      </c>
      <c r="FM889" s="27" t="s">
        <v>8</v>
      </c>
    </row>
    <row r="890" spans="1:171" x14ac:dyDescent="0.25">
      <c r="A890" s="7">
        <v>2.4782662135298603E-3</v>
      </c>
      <c r="B890"/>
      <c r="C890"/>
      <c r="D890"/>
      <c r="E890"/>
      <c r="EL890" s="27" t="s">
        <v>7</v>
      </c>
      <c r="EO890" s="27" t="s">
        <v>8</v>
      </c>
      <c r="EP890" s="27" t="s">
        <v>7</v>
      </c>
      <c r="EW890" s="27" t="s">
        <v>8</v>
      </c>
      <c r="EX890" s="27" t="s">
        <v>7</v>
      </c>
      <c r="EY890" s="27" t="s">
        <v>8</v>
      </c>
      <c r="EZ890" s="27" t="s">
        <v>7</v>
      </c>
      <c r="FE890" s="27" t="s">
        <v>8</v>
      </c>
      <c r="FF890" s="27" t="s">
        <v>7</v>
      </c>
      <c r="FG890" s="27" t="s">
        <v>8</v>
      </c>
      <c r="FH890" s="27" t="s">
        <v>7</v>
      </c>
      <c r="FI890" s="27" t="s">
        <v>8</v>
      </c>
      <c r="FL890" s="27" t="s">
        <v>7</v>
      </c>
      <c r="FM890" s="27" t="s">
        <v>8</v>
      </c>
    </row>
    <row r="891" spans="1:171" x14ac:dyDescent="0.25">
      <c r="A891" s="7">
        <v>2.4296727583626083E-3</v>
      </c>
      <c r="B891"/>
      <c r="C891"/>
      <c r="D891"/>
      <c r="E891"/>
      <c r="EL891" s="27" t="s">
        <v>7</v>
      </c>
      <c r="EO891" s="27" t="s">
        <v>8</v>
      </c>
      <c r="EP891" s="27" t="s">
        <v>7</v>
      </c>
      <c r="EW891" s="27" t="s">
        <v>8</v>
      </c>
      <c r="EX891" s="27" t="s">
        <v>7</v>
      </c>
      <c r="EY891" s="27" t="s">
        <v>8</v>
      </c>
      <c r="EZ891" s="27" t="s">
        <v>7</v>
      </c>
      <c r="FE891" s="27" t="s">
        <v>8</v>
      </c>
      <c r="FF891" s="27" t="s">
        <v>7</v>
      </c>
      <c r="FG891" s="27" t="s">
        <v>8</v>
      </c>
      <c r="FH891" s="27" t="s">
        <v>7</v>
      </c>
      <c r="FI891" s="27" t="s">
        <v>8</v>
      </c>
      <c r="FL891" s="27" t="s">
        <v>7</v>
      </c>
      <c r="FM891" s="27" t="s">
        <v>8</v>
      </c>
    </row>
    <row r="892" spans="1:171" x14ac:dyDescent="0.25">
      <c r="A892" s="7">
        <v>2.3820321160417726E-3</v>
      </c>
      <c r="B892"/>
      <c r="C892"/>
      <c r="D892"/>
      <c r="E892"/>
      <c r="EL892" s="27" t="s">
        <v>7</v>
      </c>
      <c r="EO892" s="27" t="s">
        <v>8</v>
      </c>
      <c r="EP892" s="27" t="s">
        <v>7</v>
      </c>
      <c r="EW892" s="27" t="s">
        <v>8</v>
      </c>
      <c r="EX892" s="27" t="s">
        <v>7</v>
      </c>
      <c r="EY892" s="27" t="s">
        <v>8</v>
      </c>
      <c r="EZ892" s="27" t="s">
        <v>7</v>
      </c>
      <c r="FC892" s="27" t="s">
        <v>8</v>
      </c>
      <c r="FE892" s="27" t="s">
        <v>8</v>
      </c>
      <c r="FF892" s="27" t="s">
        <v>7</v>
      </c>
      <c r="FG892" s="27" t="s">
        <v>8</v>
      </c>
      <c r="FH892" s="27" t="s">
        <v>7</v>
      </c>
      <c r="FI892" s="27" t="s">
        <v>8</v>
      </c>
      <c r="FL892" s="27" t="s">
        <v>7</v>
      </c>
      <c r="FM892" s="27" t="s">
        <v>8</v>
      </c>
    </row>
    <row r="893" spans="1:171" x14ac:dyDescent="0.25">
      <c r="A893" s="7">
        <v>2.3353256039625224E-3</v>
      </c>
      <c r="B893"/>
      <c r="C893"/>
      <c r="D893"/>
      <c r="E893"/>
      <c r="EL893" s="27" t="s">
        <v>7</v>
      </c>
      <c r="EO893" s="27" t="s">
        <v>8</v>
      </c>
      <c r="EP893" s="27" t="s">
        <v>7</v>
      </c>
      <c r="ES893" s="27" t="s">
        <v>8</v>
      </c>
      <c r="EW893" s="27" t="s">
        <v>8</v>
      </c>
      <c r="EX893" s="27" t="s">
        <v>7</v>
      </c>
      <c r="EY893" s="27" t="s">
        <v>8</v>
      </c>
      <c r="EZ893" s="27" t="s">
        <v>7</v>
      </c>
      <c r="FA893" s="27" t="s">
        <v>8</v>
      </c>
      <c r="FC893" s="27" t="s">
        <v>8</v>
      </c>
      <c r="FD893" s="27" t="s">
        <v>7</v>
      </c>
      <c r="FE893" s="27" t="s">
        <v>8</v>
      </c>
      <c r="FF893" s="27" t="s">
        <v>7</v>
      </c>
      <c r="FH893" s="27" t="s">
        <v>7</v>
      </c>
      <c r="FL893" s="27" t="s">
        <v>7</v>
      </c>
      <c r="FM893" s="27" t="s">
        <v>8</v>
      </c>
    </row>
    <row r="894" spans="1:171" x14ac:dyDescent="0.25">
      <c r="A894" s="7">
        <v>2.2895349058456101E-3</v>
      </c>
      <c r="B894"/>
      <c r="C894"/>
      <c r="D894"/>
      <c r="E894"/>
      <c r="EL894" s="27" t="s">
        <v>7</v>
      </c>
      <c r="EO894" s="27" t="s">
        <v>8</v>
      </c>
      <c r="EP894" s="27" t="s">
        <v>7</v>
      </c>
      <c r="ES894" s="27" t="s">
        <v>8</v>
      </c>
      <c r="ET894" s="27" t="s">
        <v>7</v>
      </c>
      <c r="EW894" s="27" t="s">
        <v>8</v>
      </c>
      <c r="EX894" s="27" t="s">
        <v>7</v>
      </c>
      <c r="EZ894" s="27" t="s">
        <v>7</v>
      </c>
      <c r="FA894" s="27" t="s">
        <v>8</v>
      </c>
      <c r="FB894" s="27" t="s">
        <v>7</v>
      </c>
      <c r="FC894" s="27" t="s">
        <v>8</v>
      </c>
      <c r="FD894" s="27" t="s">
        <v>7</v>
      </c>
      <c r="FE894" s="27" t="s">
        <v>8</v>
      </c>
      <c r="FL894" s="27" t="s">
        <v>7</v>
      </c>
      <c r="FM894" s="27" t="s">
        <v>8</v>
      </c>
    </row>
    <row r="895" spans="1:171" x14ac:dyDescent="0.25">
      <c r="A895" s="7">
        <v>2.24464206455452E-3</v>
      </c>
      <c r="B895"/>
      <c r="C895"/>
      <c r="D895"/>
      <c r="E895"/>
      <c r="EL895" s="27" t="s">
        <v>7</v>
      </c>
      <c r="EO895" s="27" t="s">
        <v>8</v>
      </c>
      <c r="EP895" s="27" t="s">
        <v>7</v>
      </c>
      <c r="EQ895" s="27" t="s">
        <v>8</v>
      </c>
      <c r="ES895" s="27" t="s">
        <v>8</v>
      </c>
      <c r="ET895" s="27" t="s">
        <v>7</v>
      </c>
      <c r="EW895" s="27" t="s">
        <v>8</v>
      </c>
      <c r="EZ895" s="27" t="s">
        <v>7</v>
      </c>
      <c r="FA895" s="27" t="s">
        <v>8</v>
      </c>
      <c r="FB895" s="27" t="s">
        <v>7</v>
      </c>
      <c r="FC895" s="27" t="s">
        <v>8</v>
      </c>
      <c r="FD895" s="27" t="s">
        <v>7</v>
      </c>
      <c r="FE895" s="27" t="s">
        <v>8</v>
      </c>
      <c r="FL895" s="27" t="s">
        <v>7</v>
      </c>
    </row>
    <row r="896" spans="1:171" x14ac:dyDescent="0.25">
      <c r="A896" s="7">
        <v>2.200629475053451E-3</v>
      </c>
      <c r="B896"/>
      <c r="C896"/>
      <c r="D896"/>
      <c r="E896"/>
      <c r="EL896" s="27" t="s">
        <v>7</v>
      </c>
      <c r="EO896" s="27" t="s">
        <v>8</v>
      </c>
      <c r="EP896" s="27" t="s">
        <v>7</v>
      </c>
      <c r="EQ896" s="27" t="s">
        <v>8</v>
      </c>
      <c r="ER896" s="27" t="s">
        <v>7</v>
      </c>
      <c r="ES896" s="27" t="s">
        <v>8</v>
      </c>
      <c r="ET896" s="27" t="s">
        <v>7</v>
      </c>
      <c r="EU896" s="27" t="s">
        <v>8</v>
      </c>
      <c r="EW896" s="27" t="s">
        <v>8</v>
      </c>
      <c r="EZ896" s="27" t="s">
        <v>7</v>
      </c>
      <c r="FA896" s="27" t="s">
        <v>8</v>
      </c>
      <c r="FB896" s="27" t="s">
        <v>7</v>
      </c>
      <c r="FC896" s="27" t="s">
        <v>8</v>
      </c>
      <c r="FD896" s="27" t="s">
        <v>7</v>
      </c>
      <c r="FE896" s="27" t="s">
        <v>8</v>
      </c>
    </row>
    <row r="897" spans="1:161" x14ac:dyDescent="0.25">
      <c r="A897" s="7">
        <v>2.1574798775033832E-3</v>
      </c>
      <c r="B897"/>
      <c r="C897"/>
      <c r="D897"/>
      <c r="E897"/>
      <c r="EL897" s="27" t="s">
        <v>7</v>
      </c>
      <c r="EO897" s="27" t="s">
        <v>8</v>
      </c>
      <c r="EP897" s="27" t="s">
        <v>7</v>
      </c>
      <c r="EQ897" s="27" t="s">
        <v>8</v>
      </c>
      <c r="ER897" s="27" t="s">
        <v>7</v>
      </c>
      <c r="ES897" s="27" t="s">
        <v>8</v>
      </c>
      <c r="ET897" s="27" t="s">
        <v>7</v>
      </c>
      <c r="EU897" s="27" t="s">
        <v>8</v>
      </c>
      <c r="EV897" s="27" t="s">
        <v>7</v>
      </c>
      <c r="EW897" s="27" t="s">
        <v>8</v>
      </c>
      <c r="EZ897" s="27" t="s">
        <v>7</v>
      </c>
      <c r="FB897" s="27" t="s">
        <v>7</v>
      </c>
      <c r="FC897" s="27" t="s">
        <v>8</v>
      </c>
      <c r="FD897" s="27" t="s">
        <v>7</v>
      </c>
      <c r="FE897" s="27" t="s">
        <v>8</v>
      </c>
    </row>
    <row r="898" spans="1:161" x14ac:dyDescent="0.25">
      <c r="A898" s="7">
        <v>2.115176350493513E-3</v>
      </c>
      <c r="B898"/>
      <c r="C898"/>
      <c r="D898"/>
      <c r="E898"/>
      <c r="EL898" s="27" t="s">
        <v>7</v>
      </c>
      <c r="EM898" s="27" t="s">
        <v>8</v>
      </c>
      <c r="EO898" s="27" t="s">
        <v>8</v>
      </c>
      <c r="EP898" s="27" t="s">
        <v>7</v>
      </c>
      <c r="EQ898" s="27" t="s">
        <v>8</v>
      </c>
      <c r="ER898" s="27" t="s">
        <v>7</v>
      </c>
      <c r="ES898" s="27" t="s">
        <v>8</v>
      </c>
      <c r="ET898" s="27" t="s">
        <v>7</v>
      </c>
      <c r="EU898" s="27" t="s">
        <v>8</v>
      </c>
      <c r="EV898" s="27" t="s">
        <v>7</v>
      </c>
      <c r="EW898" s="27" t="s">
        <v>8</v>
      </c>
      <c r="FB898" s="27" t="s">
        <v>7</v>
      </c>
      <c r="FC898" s="27" t="s">
        <v>8</v>
      </c>
      <c r="FD898" s="27" t="s">
        <v>7</v>
      </c>
    </row>
    <row r="899" spans="1:161" x14ac:dyDescent="0.25">
      <c r="A899" s="7">
        <v>2.0737023044054047E-3</v>
      </c>
      <c r="B899"/>
      <c r="C899"/>
      <c r="D899"/>
      <c r="E899"/>
      <c r="EL899" s="27" t="s">
        <v>7</v>
      </c>
      <c r="EM899" s="27" t="s">
        <v>8</v>
      </c>
      <c r="EN899" s="27" t="s">
        <v>7</v>
      </c>
      <c r="EO899" s="27" t="s">
        <v>8</v>
      </c>
      <c r="EP899" s="27" t="s">
        <v>7</v>
      </c>
      <c r="EQ899" s="27" t="s">
        <v>8</v>
      </c>
      <c r="ER899" s="27" t="s">
        <v>7</v>
      </c>
      <c r="ET899" s="27" t="s">
        <v>7</v>
      </c>
      <c r="EU899" s="27" t="s">
        <v>8</v>
      </c>
      <c r="EV899" s="27" t="s">
        <v>7</v>
      </c>
      <c r="FB899" s="27" t="s">
        <v>7</v>
      </c>
      <c r="FC899" s="27" t="s">
        <v>8</v>
      </c>
    </row>
    <row r="900" spans="1:161" x14ac:dyDescent="0.25">
      <c r="A900" s="7">
        <v>2.0330414749072595E-3</v>
      </c>
      <c r="B900"/>
      <c r="C900"/>
      <c r="D900"/>
      <c r="E900"/>
      <c r="EL900" s="27" t="s">
        <v>7</v>
      </c>
      <c r="EM900" s="27" t="s">
        <v>8</v>
      </c>
      <c r="EN900" s="27" t="s">
        <v>7</v>
      </c>
      <c r="EO900" s="27" t="s">
        <v>8</v>
      </c>
      <c r="EP900" s="27" t="s">
        <v>7</v>
      </c>
      <c r="EQ900" s="27" t="s">
        <v>8</v>
      </c>
      <c r="ET900" s="27" t="s">
        <v>7</v>
      </c>
      <c r="EU900" s="27" t="s">
        <v>8</v>
      </c>
      <c r="FB900" s="27" t="s">
        <v>7</v>
      </c>
    </row>
    <row r="901" spans="1:161" x14ac:dyDescent="0.25">
      <c r="A901" s="7">
        <v>1.9931779165757446E-3</v>
      </c>
      <c r="B901"/>
      <c r="C901"/>
      <c r="D901"/>
      <c r="E901"/>
      <c r="EL901" s="27" t="s">
        <v>7</v>
      </c>
      <c r="EM901" s="27" t="s">
        <v>8</v>
      </c>
      <c r="EN901" s="27" t="s">
        <v>7</v>
      </c>
      <c r="EO901" s="27" t="s">
        <v>8</v>
      </c>
      <c r="EP901" s="27" t="s">
        <v>7</v>
      </c>
      <c r="EQ901" s="27" t="s">
        <v>8</v>
      </c>
      <c r="ET901" s="27" t="s">
        <v>7</v>
      </c>
      <c r="EU901" s="27" t="s">
        <v>8</v>
      </c>
    </row>
    <row r="902" spans="1:161" x14ac:dyDescent="0.25">
      <c r="A902" s="7">
        <v>1.954095996642887E-3</v>
      </c>
      <c r="B902"/>
      <c r="C902"/>
      <c r="D902"/>
      <c r="E902"/>
      <c r="EL902" s="27" t="s">
        <v>7</v>
      </c>
      <c r="EM902" s="27" t="s">
        <v>8</v>
      </c>
      <c r="EN902" s="27" t="s">
        <v>7</v>
      </c>
      <c r="EO902" s="27" t="s">
        <v>8</v>
      </c>
      <c r="EP902" s="27" t="s">
        <v>7</v>
      </c>
      <c r="EQ902" s="27" t="s">
        <v>8</v>
      </c>
      <c r="ET902" s="27" t="s">
        <v>7</v>
      </c>
    </row>
    <row r="903" spans="1:161" x14ac:dyDescent="0.25">
      <c r="A903" s="7">
        <v>1.9157803888655755E-3</v>
      </c>
      <c r="B903"/>
      <c r="C903"/>
      <c r="D903"/>
      <c r="E903"/>
      <c r="EL903" s="27" t="s">
        <v>7</v>
      </c>
      <c r="EM903" s="27" t="s">
        <v>8</v>
      </c>
      <c r="EN903" s="27" t="s">
        <v>7</v>
      </c>
      <c r="EO903" s="27" t="s">
        <v>8</v>
      </c>
      <c r="EP903" s="27" t="s">
        <v>7</v>
      </c>
      <c r="EQ903" s="27" t="s">
        <v>8</v>
      </c>
    </row>
    <row r="904" spans="1:161" x14ac:dyDescent="0.25">
      <c r="A904" s="7">
        <v>1.8782160675152703E-3</v>
      </c>
      <c r="B904"/>
      <c r="C904"/>
      <c r="D904"/>
      <c r="E904"/>
      <c r="EL904" s="27" t="s">
        <v>7</v>
      </c>
      <c r="EM904" s="27" t="s">
        <v>8</v>
      </c>
      <c r="EN904" s="27" t="s">
        <v>7</v>
      </c>
      <c r="EO904" s="27" t="s">
        <v>8</v>
      </c>
      <c r="EP904" s="27" t="s">
        <v>7</v>
      </c>
      <c r="EQ904" s="27" t="s">
        <v>8</v>
      </c>
    </row>
    <row r="905" spans="1:161" x14ac:dyDescent="0.25">
      <c r="A905" s="7">
        <v>1.8413883014855592E-3</v>
      </c>
      <c r="B905"/>
      <c r="C905"/>
      <c r="D905"/>
      <c r="E905"/>
      <c r="EL905" s="27" t="s">
        <v>7</v>
      </c>
      <c r="EM905" s="27" t="s">
        <v>8</v>
      </c>
      <c r="EN905" s="27" t="s">
        <v>7</v>
      </c>
      <c r="EO905" s="27" t="s">
        <v>8</v>
      </c>
      <c r="EP905" s="27" t="s">
        <v>7</v>
      </c>
    </row>
    <row r="906" spans="1:161" x14ac:dyDescent="0.25">
      <c r="A906" s="7">
        <v>1.8052826485152542E-3</v>
      </c>
      <c r="B906"/>
      <c r="C906"/>
      <c r="D906"/>
      <c r="E906"/>
      <c r="EL906" s="27" t="s">
        <v>7</v>
      </c>
      <c r="EM906" s="27" t="s">
        <v>8</v>
      </c>
      <c r="EN906" s="27" t="s">
        <v>7</v>
      </c>
      <c r="EO906" s="27" t="s">
        <v>8</v>
      </c>
    </row>
    <row r="907" spans="1:161" x14ac:dyDescent="0.25">
      <c r="A907" s="7">
        <v>1.7698849495247592E-3</v>
      </c>
      <c r="B907"/>
      <c r="C907"/>
      <c r="D907"/>
      <c r="E907"/>
      <c r="EL907" s="27" t="s">
        <v>7</v>
      </c>
      <c r="EM907" s="27" t="s">
        <v>8</v>
      </c>
      <c r="EN907" s="27" t="s">
        <v>7</v>
      </c>
      <c r="EO907" s="27" t="s">
        <v>8</v>
      </c>
    </row>
    <row r="908" spans="1:161" x14ac:dyDescent="0.25">
      <c r="A908" s="7">
        <v>1.7351813230634893E-3</v>
      </c>
      <c r="B908"/>
      <c r="C908"/>
      <c r="D908"/>
      <c r="E908"/>
      <c r="EL908" s="27" t="s">
        <v>7</v>
      </c>
      <c r="EM908" s="27" t="s">
        <v>8</v>
      </c>
      <c r="EN908" s="27" t="s">
        <v>7</v>
      </c>
      <c r="EO908" s="27" t="s">
        <v>8</v>
      </c>
    </row>
    <row r="909" spans="1:161" x14ac:dyDescent="0.25">
      <c r="A909" s="7">
        <v>1.701158159866166E-3</v>
      </c>
      <c r="B909"/>
      <c r="C909"/>
      <c r="D909"/>
      <c r="E909"/>
      <c r="EL909" s="27" t="s">
        <v>7</v>
      </c>
      <c r="EM909" s="27" t="s">
        <v>8</v>
      </c>
      <c r="EN909" s="27" t="s">
        <v>7</v>
      </c>
      <c r="EO909" s="27" t="s">
        <v>8</v>
      </c>
    </row>
    <row r="910" spans="1:161" x14ac:dyDescent="0.25">
      <c r="A910" s="7">
        <v>1.6678021175158492E-3</v>
      </c>
      <c r="B910"/>
      <c r="C910"/>
      <c r="D910"/>
      <c r="E910"/>
      <c r="EL910" s="27" t="s">
        <v>7</v>
      </c>
      <c r="EM910" s="27" t="s">
        <v>8</v>
      </c>
      <c r="EN910" s="27" t="s">
        <v>7</v>
      </c>
      <c r="EO910" s="27" t="s">
        <v>8</v>
      </c>
    </row>
    <row r="911" spans="1:161" x14ac:dyDescent="0.25">
      <c r="A911" s="7">
        <v>1.6351001152116167E-3</v>
      </c>
      <c r="B911"/>
      <c r="C911"/>
      <c r="D911"/>
      <c r="E911"/>
      <c r="EL911" s="27" t="s">
        <v>7</v>
      </c>
      <c r="EM911" s="27" t="s">
        <v>8</v>
      </c>
      <c r="EN911" s="27" t="s">
        <v>7</v>
      </c>
      <c r="EO911" s="27" t="s">
        <v>8</v>
      </c>
    </row>
    <row r="912" spans="1:161" x14ac:dyDescent="0.25">
      <c r="A912" s="7">
        <v>1.60303932863884E-3</v>
      </c>
      <c r="B912"/>
      <c r="C912"/>
      <c r="D912"/>
      <c r="E912"/>
      <c r="EL912" s="27" t="s">
        <v>7</v>
      </c>
      <c r="EM912" s="27" t="s">
        <v>8</v>
      </c>
      <c r="EN912" s="27" t="s">
        <v>7</v>
      </c>
      <c r="EO912" s="27" t="s">
        <v>8</v>
      </c>
    </row>
    <row r="913" spans="1:145" x14ac:dyDescent="0.25">
      <c r="A913" s="7">
        <v>1.5716071849400392E-3</v>
      </c>
      <c r="B913"/>
      <c r="C913"/>
      <c r="D913"/>
      <c r="E913"/>
      <c r="EL913" s="27" t="s">
        <v>7</v>
      </c>
      <c r="EM913" s="27" t="s">
        <v>8</v>
      </c>
      <c r="EN913" s="27" t="s">
        <v>7</v>
      </c>
      <c r="EO913" s="27" t="s">
        <v>8</v>
      </c>
    </row>
    <row r="914" spans="1:145" x14ac:dyDescent="0.25">
      <c r="A914" s="7">
        <v>1.5407913577843522E-3</v>
      </c>
      <c r="B914"/>
      <c r="C914"/>
      <c r="D914"/>
      <c r="E914"/>
      <c r="EL914" s="27" t="s">
        <v>7</v>
      </c>
      <c r="EM914" s="27" t="s">
        <v>8</v>
      </c>
      <c r="EN914" s="27" t="s">
        <v>7</v>
      </c>
      <c r="EO914" s="27" t="s">
        <v>8</v>
      </c>
    </row>
    <row r="915" spans="1:145" x14ac:dyDescent="0.25">
      <c r="A915" s="7">
        <v>1.5105797625336785E-3</v>
      </c>
      <c r="B915"/>
      <c r="C915"/>
      <c r="D915"/>
      <c r="E915"/>
      <c r="EL915" s="27" t="s">
        <v>7</v>
      </c>
      <c r="EM915" s="27" t="s">
        <v>8</v>
      </c>
      <c r="EN915" s="27" t="s">
        <v>7</v>
      </c>
      <c r="EO915" s="27" t="s">
        <v>8</v>
      </c>
    </row>
    <row r="916" spans="1:145" x14ac:dyDescent="0.25">
      <c r="A916" s="7">
        <v>1.4809605515036064E-3</v>
      </c>
      <c r="B916"/>
      <c r="C916"/>
      <c r="D916"/>
      <c r="E916"/>
      <c r="EL916" s="27" t="s">
        <v>7</v>
      </c>
      <c r="EM916" s="27" t="s">
        <v>8</v>
      </c>
      <c r="EN916" s="27" t="s">
        <v>7</v>
      </c>
      <c r="EO916" s="27" t="s">
        <v>8</v>
      </c>
    </row>
    <row r="917" spans="1:145" x14ac:dyDescent="0.25">
      <c r="A917" s="7">
        <v>1.4519221093172612E-3</v>
      </c>
      <c r="B917"/>
      <c r="C917"/>
      <c r="D917"/>
      <c r="E917"/>
      <c r="EL917" s="27" t="s">
        <v>7</v>
      </c>
      <c r="EM917" s="27" t="s">
        <v>8</v>
      </c>
      <c r="EN917" s="27" t="s">
        <v>7</v>
      </c>
      <c r="EO917" s="27" t="s">
        <v>8</v>
      </c>
    </row>
    <row r="918" spans="1:145" x14ac:dyDescent="0.25">
      <c r="A918" s="7">
        <v>1.423453048350256E-3</v>
      </c>
      <c r="B918"/>
      <c r="C918"/>
      <c r="D918"/>
      <c r="E918"/>
      <c r="EL918" s="27" t="s">
        <v>7</v>
      </c>
      <c r="EM918" s="27" t="s">
        <v>8</v>
      </c>
      <c r="EN918" s="27" t="s">
        <v>7</v>
      </c>
      <c r="EO918" s="27" t="s">
        <v>8</v>
      </c>
    </row>
    <row r="919" spans="1:145" x14ac:dyDescent="0.25">
      <c r="A919" s="7">
        <v>1.3955422042649568E-3</v>
      </c>
      <c r="B919"/>
      <c r="C919"/>
      <c r="D919"/>
      <c r="E919"/>
      <c r="EL919" s="27" t="s">
        <v>7</v>
      </c>
      <c r="EM919" s="27" t="s">
        <v>8</v>
      </c>
      <c r="EN919" s="27" t="s">
        <v>7</v>
      </c>
      <c r="EO919" s="27" t="s">
        <v>8</v>
      </c>
    </row>
    <row r="920" spans="1:145" x14ac:dyDescent="0.25">
      <c r="A920" s="7">
        <v>1.3681786316323105E-3</v>
      </c>
      <c r="B920"/>
      <c r="C920"/>
      <c r="D920"/>
      <c r="E920"/>
      <c r="EL920" s="27" t="s">
        <v>7</v>
      </c>
      <c r="EM920" s="27" t="s">
        <v>8</v>
      </c>
      <c r="EN920" s="27" t="s">
        <v>7</v>
      </c>
      <c r="EO920" s="27" t="s">
        <v>8</v>
      </c>
    </row>
    <row r="921" spans="1:145" x14ac:dyDescent="0.25">
      <c r="A921" s="7">
        <v>1.3413515996395203E-3</v>
      </c>
      <c r="B921"/>
      <c r="C921"/>
      <c r="D921"/>
      <c r="E921"/>
      <c r="EL921" s="27" t="s">
        <v>7</v>
      </c>
      <c r="EM921" s="27" t="s">
        <v>8</v>
      </c>
      <c r="EN921" s="27" t="s">
        <v>7</v>
      </c>
    </row>
    <row r="922" spans="1:145" x14ac:dyDescent="0.25">
      <c r="A922" s="7">
        <v>1.3150505878818826E-3</v>
      </c>
      <c r="B922"/>
      <c r="C922"/>
      <c r="D922"/>
      <c r="E922"/>
      <c r="EL922" s="27" t="s">
        <v>7</v>
      </c>
      <c r="EM922" s="27" t="s">
        <v>8</v>
      </c>
    </row>
    <row r="923" spans="1:145" x14ac:dyDescent="0.25">
      <c r="A923" s="7">
        <v>1.2892652822371396E-3</v>
      </c>
      <c r="B923"/>
      <c r="C923"/>
      <c r="D923"/>
      <c r="E923"/>
      <c r="EL923" s="27" t="s">
        <v>7</v>
      </c>
      <c r="EM923" s="27" t="s">
        <v>8</v>
      </c>
    </row>
    <row r="924" spans="1:145" x14ac:dyDescent="0.25">
      <c r="A924" s="7">
        <v>1.2639855708207251E-3</v>
      </c>
      <c r="B924"/>
      <c r="C924"/>
      <c r="D924"/>
      <c r="E924"/>
      <c r="EL924" s="27" t="s">
        <v>7</v>
      </c>
      <c r="EM924" s="27" t="s">
        <v>8</v>
      </c>
    </row>
    <row r="925" spans="1:145" x14ac:dyDescent="0.25">
      <c r="A925" s="7">
        <v>1.2392015400203187E-3</v>
      </c>
      <c r="B925"/>
      <c r="C925"/>
      <c r="D925"/>
      <c r="E925"/>
      <c r="EL925" s="27" t="s">
        <v>7</v>
      </c>
      <c r="EM925" s="27" t="s">
        <v>8</v>
      </c>
    </row>
    <row r="926" spans="1:145" x14ac:dyDescent="0.25">
      <c r="A926" s="7">
        <v>1.2149034706081556E-3</v>
      </c>
      <c r="B926"/>
      <c r="C926"/>
      <c r="D926"/>
      <c r="E926"/>
      <c r="EL926" s="27" t="s">
        <v>7</v>
      </c>
      <c r="EM926" s="27" t="s">
        <v>8</v>
      </c>
    </row>
    <row r="927" spans="1:145" x14ac:dyDescent="0.25">
      <c r="A927" s="7">
        <v>1.1910818339295644E-3</v>
      </c>
      <c r="B927"/>
      <c r="C927"/>
      <c r="D927"/>
      <c r="E927"/>
      <c r="EL927" s="27" t="s">
        <v>7</v>
      </c>
    </row>
    <row r="928" spans="1:14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377" operator="equal">
      <formula>$U$1</formula>
    </cfRule>
    <cfRule type="cellIs" dxfId="89" priority="1378" operator="equal">
      <formula>$S$1</formula>
    </cfRule>
  </conditionalFormatting>
  <conditionalFormatting sqref="D27">
    <cfRule type="cellIs" dxfId="88" priority="1375" operator="equal">
      <formula>$S$1</formula>
    </cfRule>
    <cfRule type="cellIs" dxfId="87" priority="1376" operator="equal">
      <formula>$U$1</formula>
    </cfRule>
  </conditionalFormatting>
  <conditionalFormatting sqref="C164">
    <cfRule type="cellIs" dxfId="86" priority="1373" operator="equal">
      <formula>$U$1</formula>
    </cfRule>
    <cfRule type="cellIs" dxfId="85" priority="1374" operator="equal">
      <formula>$S$1</formula>
    </cfRule>
  </conditionalFormatting>
  <conditionalFormatting sqref="D164">
    <cfRule type="cellIs" dxfId="84" priority="1371" operator="equal">
      <formula>$S$1</formula>
    </cfRule>
    <cfRule type="cellIs" dxfId="83" priority="1372" operator="equal">
      <formula>$U$1</formula>
    </cfRule>
  </conditionalFormatting>
  <conditionalFormatting sqref="C55">
    <cfRule type="cellIs" dxfId="82" priority="1369" operator="equal">
      <formula>$U$1</formula>
    </cfRule>
    <cfRule type="cellIs" dxfId="81" priority="1370" operator="equal">
      <formula>$S$1</formula>
    </cfRule>
  </conditionalFormatting>
  <conditionalFormatting sqref="D55">
    <cfRule type="cellIs" dxfId="80" priority="1367" operator="equal">
      <formula>$S$1</formula>
    </cfRule>
    <cfRule type="cellIs" dxfId="79" priority="1368" operator="equal">
      <formula>$U$1</formula>
    </cfRule>
  </conditionalFormatting>
  <conditionalFormatting sqref="C89">
    <cfRule type="cellIs" dxfId="78" priority="1365" operator="equal">
      <formula>$U$1</formula>
    </cfRule>
    <cfRule type="cellIs" dxfId="77" priority="1366" operator="equal">
      <formula>$S$1</formula>
    </cfRule>
  </conditionalFormatting>
  <conditionalFormatting sqref="D89">
    <cfRule type="cellIs" dxfId="76" priority="1363" operator="equal">
      <formula>$S$1</formula>
    </cfRule>
    <cfRule type="cellIs" dxfId="75" priority="1364" operator="equal">
      <formula>$U$1</formula>
    </cfRule>
  </conditionalFormatting>
  <conditionalFormatting sqref="C136">
    <cfRule type="cellIs" dxfId="74" priority="1361" operator="equal">
      <formula>$U$1</formula>
    </cfRule>
    <cfRule type="cellIs" dxfId="73" priority="1362" operator="equal">
      <formula>$S$1</formula>
    </cfRule>
  </conditionalFormatting>
  <conditionalFormatting sqref="D136">
    <cfRule type="cellIs" dxfId="72" priority="1359" operator="equal">
      <formula>$S$1</formula>
    </cfRule>
    <cfRule type="cellIs" dxfId="71" priority="1360" operator="equal">
      <formula>$U$1</formula>
    </cfRule>
  </conditionalFormatting>
  <conditionalFormatting sqref="C1">
    <cfRule type="cellIs" dxfId="70" priority="1358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48" zoomScale="90" zoomScaleNormal="90" workbookViewId="0">
      <pane xSplit="4" topLeftCell="EN1" activePane="topRight" state="frozen"/>
      <selection activeCell="A109" sqref="A109"/>
      <selection pane="topRight" activeCell="HN275" sqref="HN275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$A$274</v>
      </c>
      <c r="D111" s="1" t="str">
        <f>ADDRESS(C121-1,D121,1,1)</f>
        <v>$HN$274</v>
      </c>
      <c r="E111"/>
    </row>
    <row r="112" spans="1:5" x14ac:dyDescent="0.25">
      <c r="A112" s="30">
        <v>515.50191262726139</v>
      </c>
      <c r="C112" s="1" t="str">
        <f>ADDRESS(C121,1,1,1)</f>
        <v>$A$275</v>
      </c>
      <c r="D112" s="1" t="str">
        <f>ADDRESS(C121,D121-1,1,1)</f>
        <v>$HM$275</v>
      </c>
      <c r="E112"/>
    </row>
    <row r="113" spans="1:5" x14ac:dyDescent="0.25">
      <c r="A113" s="30">
        <v>490.95420250215363</v>
      </c>
      <c r="C113" s="1" t="str">
        <f>ADDRESS(C121+1,1,1,1)</f>
        <v>$A$276</v>
      </c>
      <c r="D113" s="1" t="str">
        <f>ADDRESS(C121-1,D121+1,1,1)</f>
        <v>$HO$274</v>
      </c>
    </row>
    <row r="114" spans="1:5" x14ac:dyDescent="0.25">
      <c r="A114" s="30">
        <v>467.57543095443202</v>
      </c>
      <c r="C114" s="1" t="str">
        <f>ADDRESS(C121,D121,1,1)</f>
        <v>$HN$275</v>
      </c>
      <c r="D114" s="1" t="str">
        <f>ADDRESS(C121+1,D121+1,1,1)</f>
        <v>$HO$276</v>
      </c>
    </row>
    <row r="115" spans="1:5" x14ac:dyDescent="0.25">
      <c r="A115" s="30">
        <v>445.30993424231622</v>
      </c>
      <c r="C115" s="1" t="str">
        <f>ADDRESS(C121+1,D121,1,1)</f>
        <v>$HN$276</v>
      </c>
    </row>
    <row r="116" spans="1:5" x14ac:dyDescent="0.25">
      <c r="A116" s="30">
        <v>424.10469927839637</v>
      </c>
      <c r="C116" s="1">
        <f>C117-1</f>
        <v>274</v>
      </c>
    </row>
    <row r="117" spans="1:5" x14ac:dyDescent="0.25">
      <c r="A117" s="30">
        <v>403.9092374079965</v>
      </c>
      <c r="C117" s="1">
        <f>C121</f>
        <v>275</v>
      </c>
      <c r="D117" s="1">
        <f>D121</f>
        <v>222</v>
      </c>
    </row>
    <row r="118" spans="1:5" x14ac:dyDescent="0.25">
      <c r="A118" s="30">
        <v>384.6754641980919</v>
      </c>
      <c r="C118" s="1">
        <f>C117+1</f>
        <v>276</v>
      </c>
      <c r="D118" s="1">
        <f>D117+1</f>
        <v>223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275</v>
      </c>
      <c r="D121" s="19">
        <v>222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R275</v>
      </c>
      <c r="D123" s="1" t="str">
        <f>"C"&amp;D121</f>
        <v>C222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0.18129028535257471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221" x14ac:dyDescent="0.25">
      <c r="A257" s="30">
        <v>0.43629668761085438</v>
      </c>
      <c r="B257"/>
      <c r="C257"/>
      <c r="D257"/>
      <c r="E257"/>
      <c r="F257" s="27" t="s">
        <v>7</v>
      </c>
    </row>
    <row r="258" spans="1:221" x14ac:dyDescent="0.25">
      <c r="A258" s="30">
        <v>0.41552065486748019</v>
      </c>
      <c r="B258"/>
      <c r="C258"/>
      <c r="D258"/>
      <c r="E258"/>
      <c r="F258" s="27" t="s">
        <v>7</v>
      </c>
    </row>
    <row r="259" spans="1:221" x14ac:dyDescent="0.25">
      <c r="A259" s="30">
        <v>0.39573395701664765</v>
      </c>
      <c r="B259"/>
      <c r="C259"/>
      <c r="D259"/>
      <c r="E259"/>
      <c r="F259" s="27" t="s">
        <v>7</v>
      </c>
    </row>
    <row r="260" spans="1:221" x14ac:dyDescent="0.25">
      <c r="A260" s="30">
        <v>0.37688948287299762</v>
      </c>
      <c r="B260"/>
      <c r="C260"/>
      <c r="D260"/>
      <c r="E260"/>
      <c r="F260" s="27" t="s">
        <v>7</v>
      </c>
      <c r="GK260" s="27" t="s">
        <v>8</v>
      </c>
      <c r="HI260" s="27" t="s">
        <v>8</v>
      </c>
    </row>
    <row r="261" spans="1:221" x14ac:dyDescent="0.25">
      <c r="A261" s="30">
        <v>0.35894236464094997</v>
      </c>
      <c r="B261"/>
      <c r="C261"/>
      <c r="D261"/>
      <c r="E261"/>
      <c r="F261" s="27" t="s">
        <v>7</v>
      </c>
      <c r="GK261" s="27" t="s">
        <v>8</v>
      </c>
      <c r="GL261" s="27" t="s">
        <v>7</v>
      </c>
      <c r="GM261" s="27" t="s">
        <v>8</v>
      </c>
      <c r="HI261" s="27" t="s">
        <v>8</v>
      </c>
      <c r="HJ261" s="27" t="s">
        <v>7</v>
      </c>
    </row>
    <row r="262" spans="1:221" x14ac:dyDescent="0.25">
      <c r="A262" s="30">
        <v>0.34184987108661891</v>
      </c>
      <c r="B262"/>
      <c r="C262"/>
      <c r="D262"/>
      <c r="E262"/>
      <c r="F262" s="27" t="s">
        <v>7</v>
      </c>
      <c r="GK262" s="27" t="s">
        <v>8</v>
      </c>
      <c r="GL262" s="27" t="s">
        <v>7</v>
      </c>
      <c r="GM262" s="27" t="s">
        <v>8</v>
      </c>
      <c r="GN262" s="27" t="s">
        <v>7</v>
      </c>
      <c r="HI262" s="27" t="s">
        <v>8</v>
      </c>
      <c r="HJ262" s="27" t="s">
        <v>7</v>
      </c>
    </row>
    <row r="263" spans="1:221" x14ac:dyDescent="0.25">
      <c r="A263" s="30">
        <v>0.32557130579677979</v>
      </c>
      <c r="B263"/>
      <c r="C263"/>
      <c r="D263"/>
      <c r="E263"/>
      <c r="F263" s="27" t="s">
        <v>7</v>
      </c>
      <c r="GK263" s="27" t="s">
        <v>8</v>
      </c>
      <c r="GL263" s="27" t="s">
        <v>7</v>
      </c>
      <c r="GM263" s="27" t="s">
        <v>8</v>
      </c>
      <c r="GN263" s="27" t="s">
        <v>7</v>
      </c>
      <c r="GO263" s="27" t="s">
        <v>8</v>
      </c>
      <c r="GS263" s="31" t="s">
        <v>8</v>
      </c>
      <c r="HE263" s="27" t="s">
        <v>8</v>
      </c>
      <c r="HG263" s="27" t="s">
        <v>8</v>
      </c>
      <c r="HI263" s="27" t="s">
        <v>8</v>
      </c>
      <c r="HJ263" s="27" t="s">
        <v>7</v>
      </c>
    </row>
    <row r="264" spans="1:221" x14ac:dyDescent="0.25">
      <c r="A264" s="30">
        <v>0.3100679102826473</v>
      </c>
      <c r="B264"/>
      <c r="C264"/>
      <c r="D264"/>
      <c r="E264"/>
      <c r="F264" s="27" t="s">
        <v>7</v>
      </c>
      <c r="GK264" s="27" t="s">
        <v>8</v>
      </c>
      <c r="GL264" s="27" t="s">
        <v>7</v>
      </c>
      <c r="GM264" s="27" t="s">
        <v>8</v>
      </c>
      <c r="GN264" s="27" t="s">
        <v>7</v>
      </c>
      <c r="GO264" s="27" t="s">
        <v>8</v>
      </c>
      <c r="GP264" s="27" t="s">
        <v>7</v>
      </c>
      <c r="GS264" s="27" t="s">
        <v>8</v>
      </c>
      <c r="GT264" s="31" t="s">
        <v>7</v>
      </c>
      <c r="HE264" s="27" t="s">
        <v>8</v>
      </c>
      <c r="HF264" s="27" t="s">
        <v>7</v>
      </c>
      <c r="HG264" s="27" t="s">
        <v>8</v>
      </c>
      <c r="HH264" s="27" t="s">
        <v>7</v>
      </c>
      <c r="HI264" s="27" t="s">
        <v>8</v>
      </c>
      <c r="HJ264" s="27" t="s">
        <v>7</v>
      </c>
    </row>
    <row r="265" spans="1:221" x14ac:dyDescent="0.25">
      <c r="A265" s="30">
        <v>0.2953027716977592</v>
      </c>
      <c r="B265"/>
      <c r="C265"/>
      <c r="D265"/>
      <c r="E265"/>
      <c r="F265" s="27" t="s">
        <v>7</v>
      </c>
      <c r="GK265" s="27" t="s">
        <v>8</v>
      </c>
      <c r="GL265" s="27" t="s">
        <v>7</v>
      </c>
      <c r="GN265" s="27" t="s">
        <v>7</v>
      </c>
      <c r="GO265" s="27" t="s">
        <v>8</v>
      </c>
      <c r="GP265" s="27" t="s">
        <v>7</v>
      </c>
      <c r="GQ265" s="27" t="s">
        <v>8</v>
      </c>
      <c r="GS265" s="27" t="s">
        <v>8</v>
      </c>
      <c r="GT265" s="27" t="s">
        <v>7</v>
      </c>
      <c r="GU265" s="31"/>
      <c r="HE265" s="27" t="s">
        <v>8</v>
      </c>
      <c r="HF265" s="27" t="s">
        <v>7</v>
      </c>
      <c r="HG265" s="27" t="s">
        <v>8</v>
      </c>
      <c r="HH265" s="27" t="s">
        <v>7</v>
      </c>
      <c r="HI265" s="27" t="s">
        <v>8</v>
      </c>
      <c r="HJ265" s="27" t="s">
        <v>7</v>
      </c>
    </row>
    <row r="266" spans="1:221" x14ac:dyDescent="0.25">
      <c r="A266" s="30">
        <v>0.28124073495024676</v>
      </c>
      <c r="B266"/>
      <c r="C266"/>
      <c r="D266"/>
      <c r="E266"/>
      <c r="F266" s="27" t="s">
        <v>7</v>
      </c>
      <c r="GK266" s="27" t="s">
        <v>8</v>
      </c>
      <c r="GN266" s="27" t="s">
        <v>7</v>
      </c>
      <c r="GO266" s="27" t="s">
        <v>8</v>
      </c>
      <c r="GP266" s="27" t="s">
        <v>7</v>
      </c>
      <c r="GQ266" s="27" t="s">
        <v>8</v>
      </c>
      <c r="GR266" s="27" t="s">
        <v>7</v>
      </c>
      <c r="GS266" s="27" t="s">
        <v>8</v>
      </c>
      <c r="GT266" s="27" t="s">
        <v>7</v>
      </c>
      <c r="GV266" s="31"/>
      <c r="HC266" s="27" t="s">
        <v>8</v>
      </c>
      <c r="HE266" s="27" t="s">
        <v>8</v>
      </c>
      <c r="HF266" s="27" t="s">
        <v>7</v>
      </c>
      <c r="HG266" s="27" t="s">
        <v>8</v>
      </c>
      <c r="HH266" s="27" t="s">
        <v>7</v>
      </c>
      <c r="HI266" s="27" t="s">
        <v>8</v>
      </c>
      <c r="HJ266" s="27" t="s">
        <v>7</v>
      </c>
    </row>
    <row r="267" spans="1:221" x14ac:dyDescent="0.25">
      <c r="A267" s="30">
        <v>0.26784831900023492</v>
      </c>
      <c r="B267"/>
      <c r="C267"/>
      <c r="D267"/>
      <c r="E267"/>
      <c r="F267" s="27" t="s">
        <v>7</v>
      </c>
      <c r="GK267" s="27" t="s">
        <v>8</v>
      </c>
      <c r="GN267" s="27" t="s">
        <v>7</v>
      </c>
      <c r="GP267" s="27" t="s">
        <v>7</v>
      </c>
      <c r="GQ267" s="27" t="s">
        <v>8</v>
      </c>
      <c r="GR267" s="27" t="s">
        <v>7</v>
      </c>
      <c r="GS267" s="27" t="s">
        <v>8</v>
      </c>
      <c r="GT267" s="27" t="s">
        <v>7</v>
      </c>
      <c r="GW267" s="31"/>
      <c r="HC267" s="27" t="s">
        <v>8</v>
      </c>
      <c r="HD267" s="27" t="s">
        <v>7</v>
      </c>
      <c r="HE267" s="27" t="s">
        <v>8</v>
      </c>
      <c r="HF267" s="27" t="s">
        <v>7</v>
      </c>
      <c r="HH267" s="27" t="s">
        <v>7</v>
      </c>
      <c r="HI267" s="27" t="s">
        <v>8</v>
      </c>
      <c r="HJ267" s="31" t="s">
        <v>7</v>
      </c>
    </row>
    <row r="268" spans="1:221" x14ac:dyDescent="0.25">
      <c r="A268" s="30">
        <v>0.25509363714308075</v>
      </c>
      <c r="B268"/>
      <c r="C268"/>
      <c r="D268"/>
      <c r="E268"/>
      <c r="F268" s="27" t="s">
        <v>7</v>
      </c>
      <c r="GG268" s="27" t="s">
        <v>8</v>
      </c>
      <c r="GI268" s="27" t="s">
        <v>8</v>
      </c>
      <c r="GK268" s="27" t="s">
        <v>8</v>
      </c>
      <c r="GP268" s="27" t="s">
        <v>7</v>
      </c>
      <c r="GR268" s="27" t="s">
        <v>7</v>
      </c>
      <c r="GS268" s="27" t="s">
        <v>8</v>
      </c>
      <c r="GT268" s="27" t="s">
        <v>7</v>
      </c>
      <c r="GX268" s="31"/>
      <c r="HC268" s="27" t="s">
        <v>8</v>
      </c>
      <c r="HD268" s="27" t="s">
        <v>7</v>
      </c>
      <c r="HE268" s="27" t="s">
        <v>8</v>
      </c>
      <c r="HH268" s="27" t="s">
        <v>7</v>
      </c>
      <c r="HI268" s="31"/>
      <c r="HJ268" s="27" t="s">
        <v>7</v>
      </c>
    </row>
    <row r="269" spans="1:221" x14ac:dyDescent="0.25">
      <c r="A269" s="30">
        <v>0.24294632108864825</v>
      </c>
      <c r="B269"/>
      <c r="C269"/>
      <c r="D269"/>
      <c r="E269"/>
      <c r="F269" s="27" t="s">
        <v>7</v>
      </c>
      <c r="GE269" s="27" t="s">
        <v>8</v>
      </c>
      <c r="GG269" s="27" t="s">
        <v>8</v>
      </c>
      <c r="GH269" s="27" t="s">
        <v>7</v>
      </c>
      <c r="GI269" s="27" t="s">
        <v>8</v>
      </c>
      <c r="GJ269" s="27" t="s">
        <v>7</v>
      </c>
      <c r="GK269" s="27" t="s">
        <v>8</v>
      </c>
      <c r="GR269" s="31" t="s">
        <v>7</v>
      </c>
      <c r="GS269" s="27" t="s">
        <v>8</v>
      </c>
      <c r="GT269" s="27" t="s">
        <v>7</v>
      </c>
      <c r="GY269" s="31"/>
      <c r="HA269" s="27" t="s">
        <v>8</v>
      </c>
      <c r="HC269" s="27" t="s">
        <v>8</v>
      </c>
      <c r="HD269" s="27" t="s">
        <v>7</v>
      </c>
      <c r="HE269" s="27" t="s">
        <v>8</v>
      </c>
      <c r="HH269" s="31"/>
      <c r="HJ269" s="27" t="s">
        <v>7</v>
      </c>
    </row>
    <row r="270" spans="1:221" x14ac:dyDescent="0.25">
      <c r="A270" s="30">
        <v>0.23137744865585538</v>
      </c>
      <c r="B270"/>
      <c r="C270"/>
      <c r="D270"/>
      <c r="E270"/>
      <c r="F270" s="27" t="s">
        <v>7</v>
      </c>
      <c r="GE270" s="27" t="s">
        <v>8</v>
      </c>
      <c r="GF270" s="27" t="s">
        <v>7</v>
      </c>
      <c r="GG270" s="27" t="s">
        <v>8</v>
      </c>
      <c r="GH270" s="27" t="s">
        <v>7</v>
      </c>
      <c r="GI270" s="27" t="s">
        <v>8</v>
      </c>
      <c r="GJ270" s="27" t="s">
        <v>7</v>
      </c>
      <c r="GK270" s="27" t="s">
        <v>8</v>
      </c>
      <c r="GQ270" s="31"/>
      <c r="GR270" s="27" t="s">
        <v>7</v>
      </c>
      <c r="GT270" s="27" t="s">
        <v>7</v>
      </c>
      <c r="GZ270" s="31"/>
      <c r="HA270" s="27" t="s">
        <v>8</v>
      </c>
      <c r="HB270" s="27" t="s">
        <v>7</v>
      </c>
      <c r="HC270" s="27" t="s">
        <v>8</v>
      </c>
      <c r="HD270" s="27" t="s">
        <v>7</v>
      </c>
      <c r="HE270" s="27" t="s">
        <v>8</v>
      </c>
      <c r="HG270" s="31"/>
      <c r="HJ270" s="27" t="s">
        <v>7</v>
      </c>
    </row>
    <row r="271" spans="1:221" x14ac:dyDescent="0.25">
      <c r="A271" s="30">
        <v>0.22035947491033836</v>
      </c>
      <c r="B271"/>
      <c r="C271"/>
      <c r="D271"/>
      <c r="E271"/>
      <c r="F271" s="27" t="s">
        <v>7</v>
      </c>
      <c r="EE271" s="27" t="s">
        <v>8</v>
      </c>
      <c r="FW271" s="27" t="s">
        <v>8</v>
      </c>
      <c r="GE271" s="27" t="s">
        <v>8</v>
      </c>
      <c r="GF271" s="27" t="s">
        <v>7</v>
      </c>
      <c r="GG271" s="27" t="s">
        <v>8</v>
      </c>
      <c r="GH271" s="27" t="s">
        <v>7</v>
      </c>
      <c r="GI271" s="27" t="s">
        <v>8</v>
      </c>
      <c r="GJ271" s="27" t="s">
        <v>7</v>
      </c>
      <c r="GK271" s="27" t="s">
        <v>8</v>
      </c>
      <c r="GP271" s="31"/>
      <c r="GT271" s="27" t="s">
        <v>7</v>
      </c>
      <c r="HA271" s="31" t="s">
        <v>8</v>
      </c>
      <c r="HB271" s="27" t="s">
        <v>7</v>
      </c>
      <c r="HC271" s="27" t="s">
        <v>8</v>
      </c>
      <c r="HD271" s="27" t="s">
        <v>7</v>
      </c>
      <c r="HF271" s="31"/>
      <c r="HJ271" s="27" t="s">
        <v>7</v>
      </c>
      <c r="HK271" s="27" t="s">
        <v>8</v>
      </c>
    </row>
    <row r="272" spans="1:221" x14ac:dyDescent="0.25">
      <c r="A272" s="30">
        <v>0.20986616658127455</v>
      </c>
      <c r="B272"/>
      <c r="C272"/>
      <c r="D272"/>
      <c r="E272"/>
      <c r="F272" s="27" t="s">
        <v>7</v>
      </c>
      <c r="EC272" s="27" t="s">
        <v>8</v>
      </c>
      <c r="EE272" s="27" t="s">
        <v>8</v>
      </c>
      <c r="EF272" s="27" t="s">
        <v>7</v>
      </c>
      <c r="FU272" s="27" t="s">
        <v>8</v>
      </c>
      <c r="FW272" s="27" t="s">
        <v>8</v>
      </c>
      <c r="FX272" s="27" t="s">
        <v>7</v>
      </c>
      <c r="GE272" s="27" t="s">
        <v>8</v>
      </c>
      <c r="GF272" s="27" t="s">
        <v>7</v>
      </c>
      <c r="GH272" s="27" t="s">
        <v>7</v>
      </c>
      <c r="GJ272" s="27" t="s">
        <v>7</v>
      </c>
      <c r="GO272" s="31"/>
      <c r="GT272" s="27" t="s">
        <v>7</v>
      </c>
      <c r="HA272" s="27" t="s">
        <v>8</v>
      </c>
      <c r="HB272" s="27" t="s">
        <v>7</v>
      </c>
      <c r="HE272" s="31"/>
      <c r="HJ272" s="27" t="s">
        <v>7</v>
      </c>
      <c r="HK272" s="27" t="s">
        <v>8</v>
      </c>
      <c r="HL272" s="27" t="s">
        <v>7</v>
      </c>
      <c r="HM272" s="27" t="s">
        <v>8</v>
      </c>
    </row>
    <row r="273" spans="1:222" x14ac:dyDescent="0.25">
      <c r="A273" s="30">
        <v>0.19987253960121379</v>
      </c>
      <c r="B273"/>
      <c r="C273"/>
      <c r="D273"/>
      <c r="E273"/>
      <c r="F273" s="27" t="s">
        <v>7</v>
      </c>
      <c r="EC273" s="27" t="s">
        <v>8</v>
      </c>
      <c r="ED273" s="27" t="s">
        <v>7</v>
      </c>
      <c r="EE273" s="27" t="s">
        <v>8</v>
      </c>
      <c r="EF273" s="27" t="s">
        <v>7</v>
      </c>
      <c r="FU273" s="27" t="s">
        <v>8</v>
      </c>
      <c r="FV273" s="27" t="s">
        <v>7</v>
      </c>
      <c r="FW273" s="27" t="s">
        <v>8</v>
      </c>
      <c r="FX273" s="27" t="s">
        <v>7</v>
      </c>
      <c r="GE273" s="27" t="s">
        <v>8</v>
      </c>
      <c r="GN273" s="31"/>
      <c r="GT273" s="27" t="s">
        <v>7</v>
      </c>
      <c r="GU273" s="27" t="s">
        <v>8</v>
      </c>
      <c r="GW273" s="27" t="s">
        <v>8</v>
      </c>
      <c r="HA273" s="27" t="s">
        <v>8</v>
      </c>
      <c r="HD273" s="31"/>
      <c r="HJ273" s="27" t="s">
        <v>7</v>
      </c>
      <c r="HK273" s="27" t="s">
        <v>8</v>
      </c>
      <c r="HL273" s="27" t="s">
        <v>7</v>
      </c>
      <c r="HM273" s="27" t="s">
        <v>8</v>
      </c>
      <c r="HN273" s="27" t="s">
        <v>7</v>
      </c>
    </row>
    <row r="274" spans="1:222" x14ac:dyDescent="0.25">
      <c r="A274" s="30">
        <v>0.19035479962020352</v>
      </c>
      <c r="B274"/>
      <c r="C274"/>
      <c r="D274"/>
      <c r="E274"/>
      <c r="F274" s="27" t="s">
        <v>7</v>
      </c>
      <c r="EA274" s="27" t="s">
        <v>8</v>
      </c>
      <c r="EC274" s="27" t="s">
        <v>8</v>
      </c>
      <c r="ED274" s="27" t="s">
        <v>7</v>
      </c>
      <c r="EE274" s="27" t="s">
        <v>8</v>
      </c>
      <c r="EF274" s="27" t="s">
        <v>7</v>
      </c>
      <c r="FU274" s="27" t="s">
        <v>8</v>
      </c>
      <c r="FV274" s="27" t="s">
        <v>7</v>
      </c>
      <c r="FW274" s="27" t="s">
        <v>8</v>
      </c>
      <c r="FX274" s="27" t="s">
        <v>7</v>
      </c>
      <c r="GE274" s="27" t="s">
        <v>8</v>
      </c>
      <c r="GM274" s="31"/>
      <c r="GT274" s="27" t="s">
        <v>7</v>
      </c>
      <c r="GU274" s="27" t="s">
        <v>8</v>
      </c>
      <c r="GV274" s="27" t="s">
        <v>7</v>
      </c>
      <c r="GW274" s="27" t="s">
        <v>8</v>
      </c>
      <c r="GX274" s="27" t="s">
        <v>7</v>
      </c>
      <c r="GY274" s="27" t="s">
        <v>8</v>
      </c>
      <c r="HA274" s="27" t="s">
        <v>8</v>
      </c>
      <c r="HC274" s="31"/>
      <c r="HJ274" s="27" t="s">
        <v>7</v>
      </c>
      <c r="HK274" s="27" t="s">
        <v>8</v>
      </c>
      <c r="HL274" s="27" t="s">
        <v>7</v>
      </c>
      <c r="HM274" s="27" t="s">
        <v>8</v>
      </c>
      <c r="HN274" s="27" t="s">
        <v>7</v>
      </c>
    </row>
    <row r="275" spans="1:222" x14ac:dyDescent="0.25">
      <c r="A275" s="30">
        <v>0.18129028535257471</v>
      </c>
      <c r="B275"/>
      <c r="C275"/>
      <c r="D275"/>
      <c r="E275"/>
      <c r="F275" s="27" t="s">
        <v>7</v>
      </c>
      <c r="EA275" s="27" t="s">
        <v>8</v>
      </c>
      <c r="EB275" s="27" t="s">
        <v>7</v>
      </c>
      <c r="EC275" s="27" t="s">
        <v>8</v>
      </c>
      <c r="ED275" s="27" t="s">
        <v>7</v>
      </c>
      <c r="EE275" s="27" t="s">
        <v>8</v>
      </c>
      <c r="EF275" s="27" t="s">
        <v>7</v>
      </c>
      <c r="EW275" s="34" t="s">
        <v>8</v>
      </c>
      <c r="EY275" s="34" t="s">
        <v>8</v>
      </c>
      <c r="FU275" s="27" t="s">
        <v>8</v>
      </c>
      <c r="FV275" s="27" t="s">
        <v>7</v>
      </c>
      <c r="FW275" s="27" t="s">
        <v>8</v>
      </c>
      <c r="FX275" s="27" t="s">
        <v>7</v>
      </c>
      <c r="GC275" s="27" t="s">
        <v>8</v>
      </c>
      <c r="GE275" s="27" t="s">
        <v>8</v>
      </c>
      <c r="GL275" s="31"/>
      <c r="GT275" s="27" t="s">
        <v>7</v>
      </c>
      <c r="GU275" s="27" t="s">
        <v>8</v>
      </c>
      <c r="GV275" s="27" t="s">
        <v>7</v>
      </c>
      <c r="GW275" s="27" t="s">
        <v>8</v>
      </c>
      <c r="GX275" s="27" t="s">
        <v>7</v>
      </c>
      <c r="GY275" s="27" t="s">
        <v>8</v>
      </c>
      <c r="GZ275" s="27" t="s">
        <v>7</v>
      </c>
      <c r="HA275" s="27" t="s">
        <v>8</v>
      </c>
      <c r="HB275" s="31"/>
      <c r="HJ275" s="27" t="s">
        <v>7</v>
      </c>
      <c r="HK275" s="27" t="s">
        <v>8</v>
      </c>
      <c r="HL275" s="27" t="s">
        <v>7</v>
      </c>
      <c r="HM275" s="27" t="s">
        <v>8</v>
      </c>
      <c r="HN275" s="27" t="s">
        <v>7</v>
      </c>
    </row>
    <row r="276" spans="1:222" x14ac:dyDescent="0.25">
      <c r="A276" s="30">
        <v>0.17265741462149967</v>
      </c>
      <c r="B276"/>
      <c r="C276"/>
      <c r="D276"/>
      <c r="E276"/>
      <c r="F276" s="27" t="s">
        <v>7</v>
      </c>
      <c r="EA276" s="27" t="s">
        <v>8</v>
      </c>
      <c r="EB276" s="27" t="s">
        <v>7</v>
      </c>
      <c r="EC276" s="27" t="s">
        <v>8</v>
      </c>
      <c r="ED276" s="27" t="s">
        <v>7</v>
      </c>
      <c r="EE276" s="27" t="s">
        <v>8</v>
      </c>
      <c r="EF276" s="27" t="s">
        <v>7</v>
      </c>
      <c r="EG276" s="27" t="s">
        <v>8</v>
      </c>
      <c r="EW276" s="27" t="s">
        <v>8</v>
      </c>
      <c r="EX276" s="27" t="s">
        <v>7</v>
      </c>
      <c r="EY276" s="27" t="s">
        <v>8</v>
      </c>
      <c r="EZ276" s="31" t="s">
        <v>7</v>
      </c>
      <c r="FU276" s="27" t="s">
        <v>8</v>
      </c>
      <c r="FV276" s="27" t="s">
        <v>7</v>
      </c>
      <c r="FW276" s="27" t="s">
        <v>8</v>
      </c>
      <c r="FX276" s="27" t="s">
        <v>7</v>
      </c>
      <c r="FY276" s="27" t="s">
        <v>8</v>
      </c>
      <c r="GC276" s="27" t="s">
        <v>8</v>
      </c>
      <c r="GD276" s="27" t="s">
        <v>7</v>
      </c>
      <c r="GE276" s="27" t="s">
        <v>8</v>
      </c>
      <c r="GK276" s="31"/>
      <c r="GT276" s="27" t="s">
        <v>7</v>
      </c>
      <c r="GU276" s="27" t="s">
        <v>8</v>
      </c>
      <c r="GV276" s="27" t="s">
        <v>7</v>
      </c>
      <c r="GW276" s="27" t="s">
        <v>8</v>
      </c>
      <c r="GX276" s="27" t="s">
        <v>7</v>
      </c>
      <c r="GY276" s="27" t="s">
        <v>8</v>
      </c>
      <c r="GZ276" s="27" t="s">
        <v>7</v>
      </c>
      <c r="HA276" s="31" t="s">
        <v>8</v>
      </c>
      <c r="HJ276" s="27" t="s">
        <v>7</v>
      </c>
      <c r="HL276" s="27" t="s">
        <v>7</v>
      </c>
    </row>
    <row r="277" spans="1:222" x14ac:dyDescent="0.25">
      <c r="A277" s="30">
        <v>0.16443563297285677</v>
      </c>
      <c r="B277"/>
      <c r="C277"/>
      <c r="D277"/>
      <c r="E277"/>
      <c r="F277" s="27" t="s">
        <v>7</v>
      </c>
      <c r="EA277" s="27" t="s">
        <v>8</v>
      </c>
      <c r="EB277" s="27" t="s">
        <v>7</v>
      </c>
      <c r="EC277" s="27" t="s">
        <v>8</v>
      </c>
      <c r="ED277" s="27" t="s">
        <v>7</v>
      </c>
      <c r="EF277" s="27" t="s">
        <v>7</v>
      </c>
      <c r="EG277" s="27" t="s">
        <v>8</v>
      </c>
      <c r="EH277" s="27" t="s">
        <v>7</v>
      </c>
      <c r="EI277" s="27" t="s">
        <v>8</v>
      </c>
      <c r="EW277" s="27" t="s">
        <v>8</v>
      </c>
      <c r="EX277" s="27" t="s">
        <v>7</v>
      </c>
      <c r="EY277" s="27" t="s">
        <v>8</v>
      </c>
      <c r="EZ277" s="27" t="s">
        <v>7</v>
      </c>
      <c r="FA277" s="31"/>
      <c r="FU277" s="27" t="s">
        <v>8</v>
      </c>
      <c r="FV277" s="27" t="s">
        <v>7</v>
      </c>
      <c r="FX277" s="27" t="s">
        <v>7</v>
      </c>
      <c r="FY277" s="27" t="s">
        <v>8</v>
      </c>
      <c r="FZ277" s="27" t="s">
        <v>7</v>
      </c>
      <c r="GC277" s="27" t="s">
        <v>8</v>
      </c>
      <c r="GD277" s="27" t="s">
        <v>7</v>
      </c>
      <c r="GE277" s="27" t="s">
        <v>8</v>
      </c>
      <c r="GJ277" s="31"/>
      <c r="GT277" s="27" t="s">
        <v>7</v>
      </c>
      <c r="GU277" s="27" t="s">
        <v>8</v>
      </c>
      <c r="GV277" s="34" t="s">
        <v>7</v>
      </c>
      <c r="GX277" s="34" t="s">
        <v>7</v>
      </c>
      <c r="GZ277" s="34" t="s">
        <v>7</v>
      </c>
    </row>
    <row r="278" spans="1:222" x14ac:dyDescent="0.25">
      <c r="A278" s="30">
        <v>0.15660536473605399</v>
      </c>
      <c r="B278"/>
      <c r="C278"/>
      <c r="D278"/>
      <c r="E278"/>
      <c r="F278" s="27" t="s">
        <v>7</v>
      </c>
      <c r="EA278" s="27" t="s">
        <v>8</v>
      </c>
      <c r="EB278" s="27" t="s">
        <v>7</v>
      </c>
      <c r="EC278" s="27" t="s">
        <v>8</v>
      </c>
      <c r="EF278" s="33" t="s">
        <v>7</v>
      </c>
      <c r="EG278" s="27" t="s">
        <v>8</v>
      </c>
      <c r="EH278" s="27" t="s">
        <v>7</v>
      </c>
      <c r="EI278" s="27" t="s">
        <v>8</v>
      </c>
      <c r="EJ278" s="27" t="s">
        <v>7</v>
      </c>
      <c r="ES278" s="27" t="s">
        <v>8</v>
      </c>
      <c r="EW278" s="27" t="s">
        <v>8</v>
      </c>
      <c r="EX278" s="27" t="s">
        <v>7</v>
      </c>
      <c r="EY278" s="27" t="s">
        <v>8</v>
      </c>
      <c r="EZ278" s="27" t="s">
        <v>7</v>
      </c>
      <c r="FB278" s="31"/>
      <c r="FU278" s="27" t="s">
        <v>8</v>
      </c>
      <c r="FX278" s="27" t="s">
        <v>7</v>
      </c>
      <c r="FY278" s="27" t="s">
        <v>8</v>
      </c>
      <c r="FZ278" s="27" t="s">
        <v>7</v>
      </c>
      <c r="GA278" s="27" t="s">
        <v>8</v>
      </c>
      <c r="GC278" s="27" t="s">
        <v>8</v>
      </c>
      <c r="GD278" s="27" t="s">
        <v>7</v>
      </c>
      <c r="GE278" s="27" t="s">
        <v>8</v>
      </c>
      <c r="GI278" s="31"/>
      <c r="GT278" s="27" t="s">
        <v>7</v>
      </c>
      <c r="GU278" s="27" t="s">
        <v>8</v>
      </c>
    </row>
    <row r="279" spans="1:222" x14ac:dyDescent="0.25">
      <c r="A279" s="30">
        <v>0.14914796641528946</v>
      </c>
      <c r="B279"/>
      <c r="C279"/>
      <c r="D279"/>
      <c r="E279"/>
      <c r="F279" s="27" t="s">
        <v>7</v>
      </c>
      <c r="EA279" s="27" t="s">
        <v>8</v>
      </c>
      <c r="EB279" s="27" t="s">
        <v>7</v>
      </c>
      <c r="EC279" s="27" t="s">
        <v>8</v>
      </c>
      <c r="EF279" s="27" t="s">
        <v>7</v>
      </c>
      <c r="EG279" s="27" t="s">
        <v>8</v>
      </c>
      <c r="EH279" s="27" t="s">
        <v>7</v>
      </c>
      <c r="EI279" s="27" t="s">
        <v>8</v>
      </c>
      <c r="EJ279" s="27" t="s">
        <v>7</v>
      </c>
      <c r="EQ279" s="27" t="s">
        <v>8</v>
      </c>
      <c r="ES279" s="27" t="s">
        <v>8</v>
      </c>
      <c r="ET279" s="27" t="s">
        <v>7</v>
      </c>
      <c r="EW279" s="27" t="s">
        <v>8</v>
      </c>
      <c r="EX279" s="27" t="s">
        <v>7</v>
      </c>
      <c r="EY279" s="27" t="s">
        <v>8</v>
      </c>
      <c r="EZ279" s="27" t="s">
        <v>7</v>
      </c>
      <c r="FC279" s="31"/>
      <c r="FU279" s="27" t="s">
        <v>8</v>
      </c>
      <c r="FX279" s="27" t="s">
        <v>7</v>
      </c>
      <c r="FZ279" s="27" t="s">
        <v>7</v>
      </c>
      <c r="GA279" s="27" t="s">
        <v>8</v>
      </c>
      <c r="GB279" s="27" t="s">
        <v>7</v>
      </c>
      <c r="GC279" s="27" t="s">
        <v>8</v>
      </c>
      <c r="GD279" s="27" t="s">
        <v>7</v>
      </c>
      <c r="GE279" s="27" t="s">
        <v>8</v>
      </c>
      <c r="GH279" s="31"/>
      <c r="GT279" s="27" t="s">
        <v>7</v>
      </c>
      <c r="GU279" s="27" t="s">
        <v>8</v>
      </c>
    </row>
    <row r="280" spans="1:222" x14ac:dyDescent="0.25">
      <c r="A280" s="30">
        <v>0.14204568230027562</v>
      </c>
      <c r="B280"/>
      <c r="C280"/>
      <c r="D280"/>
      <c r="E280"/>
      <c r="F280" s="27" t="s">
        <v>7</v>
      </c>
      <c r="EA280" s="27" t="s">
        <v>8</v>
      </c>
      <c r="EB280" s="27" t="s">
        <v>7</v>
      </c>
      <c r="EF280" s="27" t="s">
        <v>7</v>
      </c>
      <c r="EG280" s="27" t="s">
        <v>8</v>
      </c>
      <c r="EH280" s="27" t="s">
        <v>7</v>
      </c>
      <c r="EJ280" s="27" t="s">
        <v>7</v>
      </c>
      <c r="EQ280" s="27" t="s">
        <v>8</v>
      </c>
      <c r="ER280" s="27" t="s">
        <v>7</v>
      </c>
      <c r="ES280" s="27" t="s">
        <v>8</v>
      </c>
      <c r="ET280" s="27" t="s">
        <v>7</v>
      </c>
      <c r="EW280" s="27" t="s">
        <v>8</v>
      </c>
      <c r="EX280" s="27" t="s">
        <v>7</v>
      </c>
      <c r="EY280" s="27" t="s">
        <v>8</v>
      </c>
      <c r="EZ280" s="27" t="s">
        <v>7</v>
      </c>
      <c r="FD280" s="31"/>
      <c r="FU280" s="27" t="s">
        <v>8</v>
      </c>
      <c r="FZ280" s="27" t="s">
        <v>7</v>
      </c>
      <c r="GA280" s="27" t="s">
        <v>8</v>
      </c>
      <c r="GB280" s="27" t="s">
        <v>7</v>
      </c>
      <c r="GC280" s="27" t="s">
        <v>8</v>
      </c>
      <c r="GD280" s="27" t="s">
        <v>7</v>
      </c>
      <c r="GG280" s="31"/>
      <c r="GT280" s="27" t="s">
        <v>7</v>
      </c>
      <c r="GU280" s="27" t="s">
        <v>8</v>
      </c>
    </row>
    <row r="281" spans="1:222" x14ac:dyDescent="0.25">
      <c r="A281" s="30">
        <v>0.13528160219073862</v>
      </c>
      <c r="B281"/>
      <c r="C281"/>
      <c r="D281"/>
      <c r="E281"/>
      <c r="F281" s="27" t="s">
        <v>7</v>
      </c>
      <c r="EA281" s="27" t="s">
        <v>8</v>
      </c>
      <c r="EF281" s="27" t="s">
        <v>7</v>
      </c>
      <c r="EG281" s="27" t="s">
        <v>8</v>
      </c>
      <c r="EJ281" s="27" t="s">
        <v>7</v>
      </c>
      <c r="EK281" s="27" t="s">
        <v>8</v>
      </c>
      <c r="EQ281" s="27" t="s">
        <v>8</v>
      </c>
      <c r="ER281" s="27" t="s">
        <v>7</v>
      </c>
      <c r="ES281" s="27" t="s">
        <v>8</v>
      </c>
      <c r="ET281" s="27" t="s">
        <v>7</v>
      </c>
      <c r="EW281" s="32" t="s">
        <v>8</v>
      </c>
      <c r="EX281" s="27" t="s">
        <v>7</v>
      </c>
      <c r="EZ281" s="27" t="s">
        <v>7</v>
      </c>
      <c r="FA281" s="27" t="s">
        <v>8</v>
      </c>
      <c r="FE281" s="31"/>
      <c r="FS281" s="27" t="s">
        <v>8</v>
      </c>
      <c r="FU281" s="27" t="s">
        <v>8</v>
      </c>
      <c r="FZ281" s="27" t="s">
        <v>7</v>
      </c>
      <c r="GA281" s="27" t="s">
        <v>8</v>
      </c>
      <c r="GB281" s="27" t="s">
        <v>7</v>
      </c>
      <c r="GC281" s="27" t="s">
        <v>8</v>
      </c>
      <c r="GF281" s="31"/>
      <c r="GT281" s="27" t="s">
        <v>7</v>
      </c>
    </row>
    <row r="282" spans="1:222" x14ac:dyDescent="0.25">
      <c r="A282" s="30">
        <v>0.12883962113403674</v>
      </c>
      <c r="B282"/>
      <c r="C282"/>
      <c r="D282"/>
      <c r="E282"/>
      <c r="F282" s="27" t="s">
        <v>7</v>
      </c>
      <c r="EA282" s="27" t="s">
        <v>8</v>
      </c>
      <c r="EF282" s="27" t="s">
        <v>7</v>
      </c>
      <c r="EG282" s="27" t="s">
        <v>8</v>
      </c>
      <c r="EJ282" s="27" t="s">
        <v>7</v>
      </c>
      <c r="EK282" s="27" t="s">
        <v>8</v>
      </c>
      <c r="EL282" s="27" t="s">
        <v>7</v>
      </c>
      <c r="EQ282" s="27" t="s">
        <v>8</v>
      </c>
      <c r="ER282" s="27" t="s">
        <v>7</v>
      </c>
      <c r="ET282" s="27" t="s">
        <v>7</v>
      </c>
      <c r="EU282" s="27" t="s">
        <v>8</v>
      </c>
      <c r="EW282" s="27" t="s">
        <v>8</v>
      </c>
      <c r="EZ282" s="33" t="s">
        <v>7</v>
      </c>
      <c r="FA282" s="27" t="s">
        <v>8</v>
      </c>
      <c r="FB282" s="27" t="s">
        <v>7</v>
      </c>
      <c r="FF282" s="31"/>
      <c r="FS282" s="27" t="s">
        <v>8</v>
      </c>
      <c r="FT282" s="27" t="s">
        <v>7</v>
      </c>
      <c r="FU282" s="27" t="s">
        <v>8</v>
      </c>
      <c r="FZ282" s="27" t="s">
        <v>7</v>
      </c>
      <c r="GA282" s="27" t="s">
        <v>8</v>
      </c>
      <c r="GB282" s="27" t="s">
        <v>7</v>
      </c>
      <c r="GE282" s="31"/>
    </row>
    <row r="283" spans="1:222" x14ac:dyDescent="0.25">
      <c r="A283" s="30">
        <v>0.12270440108003494</v>
      </c>
      <c r="B283"/>
      <c r="C283"/>
      <c r="D283"/>
      <c r="E283"/>
      <c r="F283" s="27" t="s">
        <v>7</v>
      </c>
      <c r="EA283" s="27" t="s">
        <v>8</v>
      </c>
      <c r="EF283" s="27" t="s">
        <v>7</v>
      </c>
      <c r="EJ283" s="27" t="s">
        <v>7</v>
      </c>
      <c r="EK283" s="27" t="s">
        <v>8</v>
      </c>
      <c r="EL283" s="27" t="s">
        <v>7</v>
      </c>
      <c r="EM283" s="27" t="s">
        <v>8</v>
      </c>
      <c r="EQ283" s="27" t="s">
        <v>8</v>
      </c>
      <c r="ET283" s="33" t="s">
        <v>7</v>
      </c>
      <c r="EU283" s="27" t="s">
        <v>8</v>
      </c>
      <c r="EV283" s="27" t="s">
        <v>7</v>
      </c>
      <c r="EW283" s="27" t="s">
        <v>8</v>
      </c>
      <c r="EZ283" s="27" t="s">
        <v>7</v>
      </c>
      <c r="FA283" s="27" t="s">
        <v>8</v>
      </c>
      <c r="FB283" s="27" t="s">
        <v>7</v>
      </c>
      <c r="FG283" s="31"/>
      <c r="FQ283" s="27" t="s">
        <v>8</v>
      </c>
      <c r="FS283" s="27" t="s">
        <v>8</v>
      </c>
      <c r="FT283" s="27" t="s">
        <v>7</v>
      </c>
      <c r="FU283" s="27" t="s">
        <v>8</v>
      </c>
      <c r="FZ283" s="27" t="s">
        <v>7</v>
      </c>
      <c r="GD283" s="31"/>
    </row>
    <row r="284" spans="1:222" x14ac:dyDescent="0.25">
      <c r="A284" s="30">
        <v>0.11686133436193799</v>
      </c>
      <c r="B284"/>
      <c r="C284"/>
      <c r="D284"/>
      <c r="E284"/>
      <c r="F284" s="27" t="s">
        <v>7</v>
      </c>
      <c r="EA284" s="27" t="s">
        <v>8</v>
      </c>
      <c r="EJ284" s="27" t="s">
        <v>7</v>
      </c>
      <c r="EK284" s="27" t="s">
        <v>8</v>
      </c>
      <c r="EL284" s="27" t="s">
        <v>7</v>
      </c>
      <c r="EM284" s="27" t="s">
        <v>8</v>
      </c>
      <c r="EN284" s="27" t="s">
        <v>7</v>
      </c>
      <c r="EQ284" s="27" t="s">
        <v>8</v>
      </c>
      <c r="ET284" s="27" t="s">
        <v>7</v>
      </c>
      <c r="EU284" s="27" t="s">
        <v>8</v>
      </c>
      <c r="EV284" s="27" t="s">
        <v>7</v>
      </c>
      <c r="EW284" s="27" t="s">
        <v>8</v>
      </c>
      <c r="EZ284" s="27" t="s">
        <v>7</v>
      </c>
      <c r="FA284" s="27" t="s">
        <v>8</v>
      </c>
      <c r="FB284" s="27" t="s">
        <v>7</v>
      </c>
      <c r="FE284" s="34" t="s">
        <v>8</v>
      </c>
      <c r="FG284" s="34" t="s">
        <v>8</v>
      </c>
      <c r="FH284" s="31"/>
      <c r="FO284" s="27" t="s">
        <v>8</v>
      </c>
      <c r="FQ284" s="27" t="s">
        <v>8</v>
      </c>
      <c r="FR284" s="27" t="s">
        <v>7</v>
      </c>
      <c r="FS284" s="27" t="s">
        <v>8</v>
      </c>
      <c r="FT284" s="27" t="s">
        <v>7</v>
      </c>
      <c r="FU284" s="27" t="s">
        <v>8</v>
      </c>
      <c r="GC284" s="31"/>
    </row>
    <row r="285" spans="1:222" x14ac:dyDescent="0.25">
      <c r="A285" s="30">
        <v>0.11129650891613138</v>
      </c>
      <c r="B285"/>
      <c r="C285"/>
      <c r="D285"/>
      <c r="E285"/>
      <c r="F285" s="27" t="s">
        <v>7</v>
      </c>
      <c r="EA285" s="27" t="s">
        <v>8</v>
      </c>
      <c r="EJ285" s="27" t="s">
        <v>7</v>
      </c>
      <c r="EK285" s="27" t="s">
        <v>8</v>
      </c>
      <c r="EL285" s="27" t="s">
        <v>7</v>
      </c>
      <c r="EM285" s="27" t="s">
        <v>8</v>
      </c>
      <c r="EN285" s="27" t="s">
        <v>7</v>
      </c>
      <c r="EQ285" s="34" t="s">
        <v>8</v>
      </c>
      <c r="ET285" s="27" t="s">
        <v>7</v>
      </c>
      <c r="EV285" s="27" t="s">
        <v>7</v>
      </c>
      <c r="EW285" s="27" t="s">
        <v>8</v>
      </c>
      <c r="EZ285" s="27" t="s">
        <v>7</v>
      </c>
      <c r="FA285" s="27" t="s">
        <v>8</v>
      </c>
      <c r="FB285" s="27" t="s">
        <v>7</v>
      </c>
      <c r="FE285" s="32" t="s">
        <v>8</v>
      </c>
      <c r="FF285" s="27" t="s">
        <v>7</v>
      </c>
      <c r="FG285" s="27" t="s">
        <v>8</v>
      </c>
      <c r="FH285" s="27" t="s">
        <v>7</v>
      </c>
      <c r="FI285" s="31" t="s">
        <v>8</v>
      </c>
      <c r="FO285" s="27" t="s">
        <v>8</v>
      </c>
      <c r="FP285" s="27" t="s">
        <v>7</v>
      </c>
      <c r="FQ285" s="27" t="s">
        <v>8</v>
      </c>
      <c r="FR285" s="27" t="s">
        <v>7</v>
      </c>
      <c r="FS285" s="27" t="s">
        <v>8</v>
      </c>
      <c r="FT285" s="27" t="s">
        <v>7</v>
      </c>
      <c r="FU285" s="27" t="s">
        <v>8</v>
      </c>
      <c r="GB285" s="31"/>
    </row>
    <row r="286" spans="1:222" x14ac:dyDescent="0.25">
      <c r="A286" s="30">
        <v>0.10599667515822032</v>
      </c>
      <c r="B286"/>
      <c r="C286"/>
      <c r="D286"/>
      <c r="E286"/>
      <c r="F286" s="27" t="s">
        <v>7</v>
      </c>
      <c r="DY286" s="27" t="s">
        <v>8</v>
      </c>
      <c r="EA286" s="27" t="s">
        <v>8</v>
      </c>
      <c r="EJ286" s="34" t="s">
        <v>7</v>
      </c>
      <c r="EL286" s="34" t="s">
        <v>7</v>
      </c>
      <c r="EN286" s="27" t="s">
        <v>7</v>
      </c>
      <c r="EO286" s="27" t="s">
        <v>8</v>
      </c>
      <c r="EQ286" s="27" t="s">
        <v>8</v>
      </c>
      <c r="EV286" s="27" t="s">
        <v>7</v>
      </c>
      <c r="EW286" s="27" t="s">
        <v>8</v>
      </c>
      <c r="EZ286" s="27" t="s">
        <v>7</v>
      </c>
      <c r="FA286" s="27" t="s">
        <v>8</v>
      </c>
      <c r="FB286" s="27" t="s">
        <v>7</v>
      </c>
      <c r="FC286" s="27" t="s">
        <v>8</v>
      </c>
      <c r="FE286" s="27" t="s">
        <v>8</v>
      </c>
      <c r="FF286" s="27" t="s">
        <v>7</v>
      </c>
      <c r="FG286" s="27" t="s">
        <v>8</v>
      </c>
      <c r="FH286" s="27" t="s">
        <v>7</v>
      </c>
      <c r="FI286" s="27" t="s">
        <v>8</v>
      </c>
      <c r="FJ286" s="31" t="s">
        <v>7</v>
      </c>
      <c r="FO286" s="27" t="s">
        <v>8</v>
      </c>
      <c r="FP286" s="27" t="s">
        <v>7</v>
      </c>
      <c r="FQ286" s="27" t="s">
        <v>8</v>
      </c>
      <c r="FR286" s="27" t="s">
        <v>7</v>
      </c>
      <c r="FS286" s="27" t="s">
        <v>8</v>
      </c>
      <c r="FT286" s="27" t="s">
        <v>7</v>
      </c>
      <c r="FU286" s="27" t="s">
        <v>8</v>
      </c>
      <c r="GA286" s="31"/>
    </row>
    <row r="287" spans="1:222" x14ac:dyDescent="0.25">
      <c r="A287" s="30">
        <v>0.10094921443640027</v>
      </c>
      <c r="B287"/>
      <c r="C287"/>
      <c r="D287"/>
      <c r="E287"/>
      <c r="F287" s="27" t="s">
        <v>7</v>
      </c>
      <c r="DY287" s="27" t="s">
        <v>8</v>
      </c>
      <c r="DZ287" s="27" t="s">
        <v>7</v>
      </c>
      <c r="EA287" s="27" t="s">
        <v>8</v>
      </c>
      <c r="EN287" s="27" t="s">
        <v>7</v>
      </c>
      <c r="EO287" s="27" t="s">
        <v>8</v>
      </c>
      <c r="EP287" s="27" t="s">
        <v>7</v>
      </c>
      <c r="EQ287" s="27" t="s">
        <v>8</v>
      </c>
      <c r="EV287" s="27" t="s">
        <v>7</v>
      </c>
      <c r="EZ287" s="27" t="s">
        <v>7</v>
      </c>
      <c r="FA287" s="27" t="s">
        <v>8</v>
      </c>
      <c r="FB287" s="27" t="s">
        <v>7</v>
      </c>
      <c r="FC287" s="27" t="s">
        <v>8</v>
      </c>
      <c r="FD287" s="27" t="s">
        <v>7</v>
      </c>
      <c r="FE287" s="27" t="s">
        <v>8</v>
      </c>
      <c r="FF287" s="27" t="s">
        <v>7</v>
      </c>
      <c r="FG287" s="27" t="s">
        <v>8</v>
      </c>
      <c r="FH287" s="27" t="s">
        <v>7</v>
      </c>
      <c r="FI287" s="27" t="s">
        <v>8</v>
      </c>
      <c r="FJ287" s="27" t="s">
        <v>7</v>
      </c>
      <c r="FK287" s="31"/>
      <c r="FO287" s="27" t="s">
        <v>8</v>
      </c>
      <c r="FP287" s="27" t="s">
        <v>7</v>
      </c>
      <c r="FQ287" s="27" t="s">
        <v>8</v>
      </c>
      <c r="FR287" s="27" t="s">
        <v>7</v>
      </c>
      <c r="FS287" s="27" t="s">
        <v>8</v>
      </c>
      <c r="FT287" s="27" t="s">
        <v>7</v>
      </c>
      <c r="FZ287" s="31"/>
    </row>
    <row r="288" spans="1:222" x14ac:dyDescent="0.25">
      <c r="A288" s="30">
        <v>9.6142108987047836E-2</v>
      </c>
      <c r="B288"/>
      <c r="C288"/>
      <c r="D288"/>
      <c r="E288"/>
      <c r="F288" s="27" t="s">
        <v>7</v>
      </c>
      <c r="DY288" s="27" t="s">
        <v>8</v>
      </c>
      <c r="DZ288" s="27" t="s">
        <v>7</v>
      </c>
      <c r="EA288" s="27" t="s">
        <v>8</v>
      </c>
      <c r="EN288" s="27" t="s">
        <v>7</v>
      </c>
      <c r="EO288" s="27" t="s">
        <v>8</v>
      </c>
      <c r="EP288" s="27" t="s">
        <v>7</v>
      </c>
      <c r="EQ288" s="27" t="s">
        <v>8</v>
      </c>
      <c r="EZ288" s="27" t="s">
        <v>7</v>
      </c>
      <c r="FA288" s="27" t="s">
        <v>8</v>
      </c>
      <c r="FB288" s="27" t="s">
        <v>7</v>
      </c>
      <c r="FC288" s="27" t="s">
        <v>8</v>
      </c>
      <c r="FD288" s="27" t="s">
        <v>7</v>
      </c>
      <c r="FE288" s="27" t="s">
        <v>8</v>
      </c>
      <c r="FF288" s="27" t="s">
        <v>7</v>
      </c>
      <c r="FH288" s="27" t="s">
        <v>7</v>
      </c>
      <c r="FI288" s="27" t="s">
        <v>8</v>
      </c>
      <c r="FJ288" s="27" t="s">
        <v>7</v>
      </c>
      <c r="FL288" s="31"/>
      <c r="FO288" s="27" t="s">
        <v>8</v>
      </c>
      <c r="FP288" s="27" t="s">
        <v>7</v>
      </c>
      <c r="FQ288" s="27" t="s">
        <v>8</v>
      </c>
      <c r="FR288" s="27" t="s">
        <v>7</v>
      </c>
      <c r="FY288" s="31"/>
    </row>
    <row r="289" spans="1:180" x14ac:dyDescent="0.25">
      <c r="A289" s="30">
        <v>9.1563913320997906E-2</v>
      </c>
      <c r="B289"/>
      <c r="C289"/>
      <c r="D289"/>
      <c r="E289"/>
      <c r="F289" s="27" t="s">
        <v>7</v>
      </c>
      <c r="DY289" s="27" t="s">
        <v>8</v>
      </c>
      <c r="DZ289" s="27" t="s">
        <v>7</v>
      </c>
      <c r="EA289" s="27" t="s">
        <v>8</v>
      </c>
      <c r="EN289" s="27" t="s">
        <v>7</v>
      </c>
      <c r="EO289" s="27" t="s">
        <v>8</v>
      </c>
      <c r="EP289" s="27" t="s">
        <v>7</v>
      </c>
      <c r="EZ289" s="27" t="s">
        <v>7</v>
      </c>
      <c r="FA289" s="27" t="s">
        <v>8</v>
      </c>
      <c r="FB289" s="27" t="s">
        <v>7</v>
      </c>
      <c r="FC289" s="27" t="s">
        <v>8</v>
      </c>
      <c r="FD289" s="27" t="s">
        <v>7</v>
      </c>
      <c r="FE289" s="27" t="s">
        <v>8</v>
      </c>
      <c r="FH289" s="33" t="s">
        <v>7</v>
      </c>
      <c r="FI289" s="27" t="s">
        <v>8</v>
      </c>
      <c r="FJ289" s="27" t="s">
        <v>7</v>
      </c>
      <c r="FM289" s="31" t="s">
        <v>8</v>
      </c>
      <c r="FO289" s="27" t="s">
        <v>8</v>
      </c>
      <c r="FP289" s="27" t="s">
        <v>7</v>
      </c>
      <c r="FX289" s="31"/>
    </row>
    <row r="290" spans="1:180" x14ac:dyDescent="0.25">
      <c r="A290" s="30">
        <v>8.7203726972378923E-2</v>
      </c>
      <c r="B290"/>
      <c r="C290"/>
      <c r="D290"/>
      <c r="E290"/>
      <c r="F290" s="27" t="s">
        <v>7</v>
      </c>
      <c r="DY290" s="27" t="s">
        <v>8</v>
      </c>
      <c r="DZ290" s="27" t="s">
        <v>7</v>
      </c>
      <c r="EA290" s="27" t="s">
        <v>8</v>
      </c>
      <c r="EN290" s="27" t="s">
        <v>7</v>
      </c>
      <c r="EO290" s="27" t="s">
        <v>8</v>
      </c>
      <c r="EZ290" s="27" t="s">
        <v>7</v>
      </c>
      <c r="FA290" s="27" t="s">
        <v>8</v>
      </c>
      <c r="FB290" s="27" t="s">
        <v>7</v>
      </c>
      <c r="FD290" s="27" t="s">
        <v>7</v>
      </c>
      <c r="FE290" s="27" t="s">
        <v>8</v>
      </c>
      <c r="FH290" s="27" t="s">
        <v>7</v>
      </c>
      <c r="FI290" s="27" t="s">
        <v>8</v>
      </c>
      <c r="FJ290" s="27" t="s">
        <v>7</v>
      </c>
      <c r="FM290" s="27" t="s">
        <v>8</v>
      </c>
      <c r="FN290" s="31" t="s">
        <v>7</v>
      </c>
      <c r="FO290" s="27" t="s">
        <v>8</v>
      </c>
      <c r="FW290" s="31"/>
    </row>
    <row r="291" spans="1:180" x14ac:dyDescent="0.25">
      <c r="A291" s="30">
        <v>8.3051168545122747E-2</v>
      </c>
      <c r="B291"/>
      <c r="C291"/>
      <c r="D291"/>
      <c r="E291"/>
      <c r="F291" s="27" t="s">
        <v>7</v>
      </c>
      <c r="DY291" s="27" t="s">
        <v>8</v>
      </c>
      <c r="DZ291" s="27" t="s">
        <v>7</v>
      </c>
      <c r="EA291" s="27" t="s">
        <v>8</v>
      </c>
      <c r="EN291" s="27" t="s">
        <v>7</v>
      </c>
      <c r="EO291" s="27" t="s">
        <v>8</v>
      </c>
      <c r="EZ291" s="27" t="s">
        <v>7</v>
      </c>
      <c r="FA291" s="27" t="s">
        <v>8</v>
      </c>
      <c r="FD291" s="27" t="s">
        <v>7</v>
      </c>
      <c r="FE291" s="27" t="s">
        <v>8</v>
      </c>
      <c r="FH291" s="27" t="s">
        <v>7</v>
      </c>
      <c r="FI291" s="27" t="s">
        <v>8</v>
      </c>
      <c r="FJ291" s="27" t="s">
        <v>7</v>
      </c>
      <c r="FM291" s="27" t="s">
        <v>8</v>
      </c>
      <c r="FN291" s="27" t="s">
        <v>7</v>
      </c>
      <c r="FO291" s="31" t="s">
        <v>8</v>
      </c>
      <c r="FV291" s="31"/>
    </row>
    <row r="292" spans="1:180" x14ac:dyDescent="0.25">
      <c r="A292" s="30">
        <v>7.9096350995354961E-2</v>
      </c>
      <c r="B292"/>
      <c r="C292"/>
      <c r="D292"/>
      <c r="E292"/>
      <c r="F292" s="27" t="s">
        <v>7</v>
      </c>
      <c r="DY292" s="27" t="s">
        <v>8</v>
      </c>
      <c r="DZ292" s="27" t="s">
        <v>7</v>
      </c>
      <c r="EA292" s="27" t="s">
        <v>8</v>
      </c>
      <c r="EN292" s="27" t="s">
        <v>7</v>
      </c>
      <c r="EO292" s="27" t="s">
        <v>8</v>
      </c>
      <c r="EZ292" s="27" t="s">
        <v>7</v>
      </c>
      <c r="FA292" s="27" t="s">
        <v>8</v>
      </c>
      <c r="FD292" s="27" t="s">
        <v>7</v>
      </c>
      <c r="FE292" s="27" t="s">
        <v>8</v>
      </c>
      <c r="FH292" s="27" t="s">
        <v>7</v>
      </c>
      <c r="FJ292" s="27" t="s">
        <v>7</v>
      </c>
      <c r="FM292" s="27" t="s">
        <v>8</v>
      </c>
      <c r="FN292" s="27" t="s">
        <v>7</v>
      </c>
      <c r="FO292" s="27" t="s">
        <v>8</v>
      </c>
      <c r="FP292" s="31"/>
      <c r="FU292" s="31"/>
    </row>
    <row r="293" spans="1:180" x14ac:dyDescent="0.25">
      <c r="A293" s="30">
        <v>7.5329858090814217E-2</v>
      </c>
      <c r="B293"/>
      <c r="C293"/>
      <c r="D293"/>
      <c r="E293"/>
      <c r="F293" s="27" t="s">
        <v>7</v>
      </c>
      <c r="DY293" s="27" t="s">
        <v>8</v>
      </c>
      <c r="DZ293" s="27" t="s">
        <v>7</v>
      </c>
      <c r="EN293" s="27" t="s">
        <v>7</v>
      </c>
      <c r="EO293" s="27" t="s">
        <v>8</v>
      </c>
      <c r="EZ293" s="27" t="s">
        <v>7</v>
      </c>
      <c r="FA293" s="27" t="s">
        <v>8</v>
      </c>
      <c r="FD293" s="27" t="s">
        <v>7</v>
      </c>
      <c r="FE293" s="27" t="s">
        <v>8</v>
      </c>
      <c r="FJ293" s="27" t="s">
        <v>7</v>
      </c>
      <c r="FM293" s="27" t="s">
        <v>8</v>
      </c>
      <c r="FN293" s="27" t="s">
        <v>7</v>
      </c>
      <c r="FO293" s="27" t="s">
        <v>8</v>
      </c>
      <c r="FT293" s="31"/>
    </row>
    <row r="294" spans="1:180" x14ac:dyDescent="0.25">
      <c r="A294" s="30">
        <v>7.1742721991251604E-2</v>
      </c>
      <c r="B294"/>
      <c r="C294"/>
      <c r="D294"/>
      <c r="E294"/>
      <c r="F294" s="27" t="s">
        <v>7</v>
      </c>
      <c r="DY294" s="27" t="s">
        <v>8</v>
      </c>
      <c r="EN294" s="27" t="s">
        <v>7</v>
      </c>
      <c r="EZ294" s="27" t="s">
        <v>7</v>
      </c>
      <c r="FD294" s="27" t="s">
        <v>7</v>
      </c>
      <c r="FE294" s="27" t="s">
        <v>8</v>
      </c>
      <c r="FJ294" s="27" t="s">
        <v>7</v>
      </c>
      <c r="FM294" s="27" t="s">
        <v>8</v>
      </c>
      <c r="FN294" s="27" t="s">
        <v>7</v>
      </c>
      <c r="FO294" s="27" t="s">
        <v>8</v>
      </c>
      <c r="FS294" s="31"/>
    </row>
    <row r="295" spans="1:180" x14ac:dyDescent="0.25">
      <c r="A295" s="30">
        <v>6.8326401896430078E-2</v>
      </c>
      <c r="B295"/>
      <c r="C295"/>
      <c r="D295"/>
      <c r="E295"/>
      <c r="F295" s="27" t="s">
        <v>7</v>
      </c>
      <c r="DY295" s="27" t="s">
        <v>8</v>
      </c>
      <c r="FD295" s="31" t="s">
        <v>7</v>
      </c>
      <c r="FE295" s="27" t="s">
        <v>8</v>
      </c>
      <c r="FJ295" s="27" t="s">
        <v>7</v>
      </c>
      <c r="FM295" s="27" t="s">
        <v>8</v>
      </c>
      <c r="FN295" s="27" t="s">
        <v>7</v>
      </c>
      <c r="FO295" s="27" t="s">
        <v>8</v>
      </c>
      <c r="FR295" s="31"/>
    </row>
    <row r="296" spans="1:180" x14ac:dyDescent="0.25">
      <c r="A296" s="30">
        <v>6.5072763710885759E-2</v>
      </c>
      <c r="B296"/>
      <c r="C296"/>
      <c r="D296"/>
      <c r="E296"/>
      <c r="F296" s="27" t="s">
        <v>7</v>
      </c>
      <c r="DY296" s="27" t="s">
        <v>8</v>
      </c>
      <c r="FC296" s="31"/>
      <c r="FD296" s="27" t="s">
        <v>7</v>
      </c>
      <c r="FE296" s="27" t="s">
        <v>8</v>
      </c>
      <c r="FJ296" s="27" t="s">
        <v>7</v>
      </c>
      <c r="FM296" s="32" t="s">
        <v>8</v>
      </c>
      <c r="FN296" s="27" t="s">
        <v>7</v>
      </c>
      <c r="FO296" s="27" t="s">
        <v>8</v>
      </c>
      <c r="FQ296" s="31"/>
    </row>
    <row r="297" spans="1:180" x14ac:dyDescent="0.25">
      <c r="A297" s="30">
        <v>6.197406067703403E-2</v>
      </c>
      <c r="B297"/>
      <c r="C297"/>
      <c r="D297"/>
      <c r="E297"/>
      <c r="F297" s="27" t="s">
        <v>7</v>
      </c>
      <c r="DY297" s="27" t="s">
        <v>8</v>
      </c>
      <c r="FB297" s="31"/>
      <c r="FD297" s="27" t="s">
        <v>7</v>
      </c>
      <c r="FE297" s="27" t="s">
        <v>8</v>
      </c>
      <c r="FJ297" s="27" t="s">
        <v>7</v>
      </c>
      <c r="FK297" s="27" t="s">
        <v>8</v>
      </c>
      <c r="FM297" s="27" t="s">
        <v>8</v>
      </c>
      <c r="FN297" s="27" t="s">
        <v>7</v>
      </c>
      <c r="FO297" s="27" t="s">
        <v>8</v>
      </c>
      <c r="FP297" s="31"/>
    </row>
    <row r="298" spans="1:180" x14ac:dyDescent="0.25">
      <c r="A298" s="30">
        <v>5.9022914930508576E-2</v>
      </c>
      <c r="B298"/>
      <c r="C298"/>
      <c r="D298"/>
      <c r="E298"/>
      <c r="F298" s="27" t="s">
        <v>7</v>
      </c>
      <c r="DY298" s="27" t="s">
        <v>8</v>
      </c>
      <c r="FA298" s="31"/>
      <c r="FD298" s="27" t="s">
        <v>7</v>
      </c>
      <c r="FJ298" s="27" t="s">
        <v>7</v>
      </c>
      <c r="FK298" s="27" t="s">
        <v>8</v>
      </c>
      <c r="FL298" s="27" t="s">
        <v>7</v>
      </c>
      <c r="FM298" s="27" t="s">
        <v>8</v>
      </c>
      <c r="FN298" s="18" t="s">
        <v>7</v>
      </c>
      <c r="FO298" s="31" t="s">
        <v>8</v>
      </c>
    </row>
    <row r="299" spans="1:180" x14ac:dyDescent="0.25">
      <c r="A299" s="30">
        <v>5.6212299933817669E-2</v>
      </c>
      <c r="B299"/>
      <c r="C299"/>
      <c r="D299"/>
      <c r="E299"/>
      <c r="F299" s="27" t="s">
        <v>7</v>
      </c>
      <c r="DY299" s="27" t="s">
        <v>8</v>
      </c>
      <c r="EZ299" s="31"/>
      <c r="FJ299" s="27" t="s">
        <v>7</v>
      </c>
      <c r="FK299" s="27" t="s">
        <v>8</v>
      </c>
      <c r="FL299" s="27" t="s">
        <v>7</v>
      </c>
      <c r="FM299" s="27" t="s">
        <v>8</v>
      </c>
      <c r="FN299" s="31" t="s">
        <v>7</v>
      </c>
    </row>
    <row r="300" spans="1:180" x14ac:dyDescent="0.25">
      <c r="A300" s="30">
        <v>5.3535523746492994E-2</v>
      </c>
      <c r="B300"/>
      <c r="C300"/>
      <c r="D300"/>
      <c r="E300"/>
      <c r="F300" s="27" t="s">
        <v>7</v>
      </c>
      <c r="DY300" s="27" t="s">
        <v>8</v>
      </c>
      <c r="EY300" s="31"/>
      <c r="FJ300" s="27" t="s">
        <v>7</v>
      </c>
      <c r="FK300" s="27" t="s">
        <v>8</v>
      </c>
      <c r="FL300" s="27" t="s">
        <v>7</v>
      </c>
    </row>
    <row r="301" spans="1:180" x14ac:dyDescent="0.25">
      <c r="A301" s="30">
        <v>5.0986213091898068E-2</v>
      </c>
      <c r="B301"/>
      <c r="C301"/>
      <c r="D301"/>
      <c r="E301"/>
      <c r="F301" s="27" t="s">
        <v>7</v>
      </c>
      <c r="DY301" s="27" t="s">
        <v>8</v>
      </c>
      <c r="EX301" s="31"/>
      <c r="FJ301" s="27" t="s">
        <v>7</v>
      </c>
      <c r="FK301" s="27" t="s">
        <v>8</v>
      </c>
    </row>
    <row r="302" spans="1:180" x14ac:dyDescent="0.25">
      <c r="A302" s="30">
        <v>4.8558298182760043E-2</v>
      </c>
      <c r="B302"/>
      <c r="C302"/>
      <c r="D302"/>
      <c r="E302"/>
      <c r="F302" s="27" t="s">
        <v>7</v>
      </c>
      <c r="DY302" s="27" t="s">
        <v>8</v>
      </c>
      <c r="EW302" s="31"/>
      <c r="FJ302" s="27" t="s">
        <v>7</v>
      </c>
    </row>
    <row r="303" spans="1:180" x14ac:dyDescent="0.25">
      <c r="A303" s="30">
        <v>4.6245998269295263E-2</v>
      </c>
      <c r="B303"/>
      <c r="C303"/>
      <c r="D303"/>
      <c r="E303"/>
      <c r="F303" s="27" t="s">
        <v>7</v>
      </c>
      <c r="DW303" s="27" t="s">
        <v>8</v>
      </c>
      <c r="DY303" s="27" t="s">
        <v>8</v>
      </c>
      <c r="EV303" s="31"/>
    </row>
    <row r="304" spans="1:180" x14ac:dyDescent="0.25">
      <c r="A304" s="30">
        <v>4.4043807875519279E-2</v>
      </c>
      <c r="B304"/>
      <c r="C304"/>
      <c r="D304"/>
      <c r="E304"/>
      <c r="F304" s="27" t="s">
        <v>7</v>
      </c>
      <c r="DW304" s="27" t="s">
        <v>8</v>
      </c>
      <c r="DX304" s="27" t="s">
        <v>7</v>
      </c>
      <c r="DY304" s="27" t="s">
        <v>8</v>
      </c>
      <c r="EU304" s="31"/>
    </row>
    <row r="305" spans="1:150" x14ac:dyDescent="0.25">
      <c r="A305" s="30">
        <v>4.1946483690970725E-2</v>
      </c>
      <c r="B305"/>
      <c r="C305"/>
      <c r="D305"/>
      <c r="E305"/>
      <c r="F305" s="27" t="s">
        <v>7</v>
      </c>
      <c r="DU305" s="27" t="s">
        <v>8</v>
      </c>
      <c r="DW305" s="27" t="s">
        <v>8</v>
      </c>
      <c r="DX305" s="27" t="s">
        <v>7</v>
      </c>
      <c r="DY305" s="27" t="s">
        <v>8</v>
      </c>
      <c r="ET305" s="31"/>
    </row>
    <row r="306" spans="1:150" x14ac:dyDescent="0.25">
      <c r="A306" s="30">
        <v>3.9949032086638768E-2</v>
      </c>
      <c r="B306"/>
      <c r="C306"/>
      <c r="D306"/>
      <c r="E306"/>
      <c r="F306" s="27" t="s">
        <v>7</v>
      </c>
      <c r="DU306" s="27" t="s">
        <v>8</v>
      </c>
      <c r="DV306" s="27" t="s">
        <v>7</v>
      </c>
      <c r="DW306" s="27" t="s">
        <v>8</v>
      </c>
      <c r="DX306" s="27" t="s">
        <v>7</v>
      </c>
      <c r="ES306" s="31"/>
    </row>
    <row r="307" spans="1:150" x14ac:dyDescent="0.25">
      <c r="A307" s="30">
        <v>3.8046697225370241E-2</v>
      </c>
      <c r="B307"/>
      <c r="C307"/>
      <c r="D307"/>
      <c r="E307"/>
      <c r="F307" s="27" t="s">
        <v>7</v>
      </c>
      <c r="DM307" s="27" t="s">
        <v>8</v>
      </c>
      <c r="DU307" s="27" t="s">
        <v>8</v>
      </c>
      <c r="DV307" s="27" t="s">
        <v>7</v>
      </c>
      <c r="DW307" s="27" t="s">
        <v>8</v>
      </c>
      <c r="ER307" s="31"/>
    </row>
    <row r="308" spans="1:150" x14ac:dyDescent="0.25">
      <c r="A308" s="30">
        <v>3.6234949738447833E-2</v>
      </c>
      <c r="B308"/>
      <c r="C308"/>
      <c r="D308"/>
      <c r="E308"/>
      <c r="F308" s="27" t="s">
        <v>7</v>
      </c>
      <c r="DM308" s="27" t="s">
        <v>8</v>
      </c>
      <c r="DN308" s="27" t="s">
        <v>7</v>
      </c>
      <c r="DU308" s="27" t="s">
        <v>8</v>
      </c>
      <c r="DV308" s="27" t="s">
        <v>7</v>
      </c>
      <c r="DW308" s="27" t="s">
        <v>8</v>
      </c>
      <c r="EQ308" s="31"/>
    </row>
    <row r="309" spans="1:150" x14ac:dyDescent="0.25">
      <c r="A309" s="30">
        <v>3.4509475941378875E-2</v>
      </c>
      <c r="B309"/>
      <c r="C309"/>
      <c r="D309"/>
      <c r="E309"/>
      <c r="F309" s="27" t="s">
        <v>7</v>
      </c>
      <c r="DM309" s="27" t="s">
        <v>8</v>
      </c>
      <c r="DN309" s="27" t="s">
        <v>7</v>
      </c>
      <c r="DQ309" s="27" t="s">
        <v>8</v>
      </c>
      <c r="DU309" s="27" t="s">
        <v>8</v>
      </c>
      <c r="DV309" s="27" t="s">
        <v>7</v>
      </c>
      <c r="EP309" s="31"/>
    </row>
    <row r="310" spans="1:150" x14ac:dyDescent="0.25">
      <c r="A310" s="30">
        <v>3.286616756321796E-2</v>
      </c>
      <c r="B310"/>
      <c r="C310"/>
      <c r="D310"/>
      <c r="E310"/>
      <c r="F310" s="27" t="s">
        <v>7</v>
      </c>
      <c r="DM310" s="27" t="s">
        <v>8</v>
      </c>
      <c r="DN310" s="27" t="s">
        <v>7</v>
      </c>
      <c r="DO310" s="27" t="s">
        <v>8</v>
      </c>
      <c r="DQ310" s="27" t="s">
        <v>8</v>
      </c>
      <c r="DR310" s="27" t="s">
        <v>7</v>
      </c>
      <c r="DU310" s="27" t="s">
        <v>8</v>
      </c>
      <c r="EO310" s="31"/>
    </row>
    <row r="311" spans="1:150" x14ac:dyDescent="0.25">
      <c r="A311" s="30">
        <v>3.1301111964969472E-2</v>
      </c>
      <c r="B311"/>
      <c r="C311"/>
      <c r="D311"/>
      <c r="E311"/>
      <c r="F311" s="27" t="s">
        <v>7</v>
      </c>
      <c r="DM311" s="27" t="s">
        <v>8</v>
      </c>
      <c r="DN311" s="27" t="s">
        <v>7</v>
      </c>
      <c r="DO311" s="27" t="s">
        <v>8</v>
      </c>
      <c r="DP311" s="27" t="s">
        <v>7</v>
      </c>
      <c r="DQ311" s="27" t="s">
        <v>8</v>
      </c>
      <c r="DR311" s="27" t="s">
        <v>7</v>
      </c>
      <c r="DU311" s="27" t="s">
        <v>8</v>
      </c>
      <c r="EN311" s="31"/>
    </row>
    <row r="312" spans="1:150" x14ac:dyDescent="0.25">
      <c r="A312" s="30">
        <v>2.9810582823780438E-2</v>
      </c>
      <c r="B312"/>
      <c r="C312"/>
      <c r="D312"/>
      <c r="E312"/>
      <c r="F312" s="27" t="s">
        <v>7</v>
      </c>
      <c r="G312" s="27" t="s">
        <v>8</v>
      </c>
      <c r="DM312" s="27" t="s">
        <v>8</v>
      </c>
      <c r="DN312" s="27" t="s">
        <v>7</v>
      </c>
      <c r="DO312" s="27" t="s">
        <v>8</v>
      </c>
      <c r="DP312" s="27" t="s">
        <v>7</v>
      </c>
      <c r="DQ312" s="27" t="s">
        <v>8</v>
      </c>
      <c r="DR312" s="27" t="s">
        <v>7</v>
      </c>
      <c r="DS312" s="27" t="s">
        <v>8</v>
      </c>
      <c r="DU312" s="27" t="s">
        <v>8</v>
      </c>
      <c r="EM312" s="31"/>
    </row>
    <row r="313" spans="1:150" x14ac:dyDescent="0.25">
      <c r="A313" s="30">
        <v>2.8391031260743264E-2</v>
      </c>
      <c r="B313"/>
      <c r="C313"/>
      <c r="D313"/>
      <c r="E313"/>
      <c r="F313" s="27" t="s">
        <v>7</v>
      </c>
      <c r="G313" s="27" t="s">
        <v>8</v>
      </c>
      <c r="H313" s="27" t="s">
        <v>7</v>
      </c>
      <c r="DM313" s="27" t="s">
        <v>8</v>
      </c>
      <c r="DN313" s="27" t="s">
        <v>7</v>
      </c>
      <c r="DO313" s="27" t="s">
        <v>8</v>
      </c>
      <c r="DP313" s="27" t="s">
        <v>7</v>
      </c>
      <c r="DQ313" s="27" t="s">
        <v>8</v>
      </c>
      <c r="DR313" s="27" t="s">
        <v>7</v>
      </c>
      <c r="DS313" s="27" t="s">
        <v>8</v>
      </c>
      <c r="DT313" s="27" t="s">
        <v>7</v>
      </c>
      <c r="DU313" s="27" t="s">
        <v>8</v>
      </c>
      <c r="EL313" s="31"/>
    </row>
    <row r="314" spans="1:150" x14ac:dyDescent="0.25">
      <c r="A314" s="30">
        <v>2.7039077391184052E-2</v>
      </c>
      <c r="B314"/>
      <c r="C314"/>
      <c r="D314"/>
      <c r="E314"/>
      <c r="F314" s="27" t="s">
        <v>7</v>
      </c>
      <c r="G314" s="27" t="s">
        <v>8</v>
      </c>
      <c r="H314" s="27" t="s">
        <v>7</v>
      </c>
      <c r="DM314" s="27" t="s">
        <v>8</v>
      </c>
      <c r="DN314" s="27" t="s">
        <v>7</v>
      </c>
      <c r="DP314" s="27" t="s">
        <v>7</v>
      </c>
      <c r="DQ314" s="27" t="s">
        <v>8</v>
      </c>
      <c r="DR314" s="27" t="s">
        <v>7</v>
      </c>
      <c r="DS314" s="27" t="s">
        <v>8</v>
      </c>
      <c r="DT314" s="27" t="s">
        <v>7</v>
      </c>
      <c r="DU314" s="27" t="s">
        <v>8</v>
      </c>
      <c r="EK314" s="31"/>
    </row>
    <row r="315" spans="1:150" x14ac:dyDescent="0.25">
      <c r="A315" s="30">
        <v>2.5751502277318133E-2</v>
      </c>
      <c r="B315"/>
      <c r="C315"/>
      <c r="D315"/>
      <c r="E315"/>
      <c r="F315" s="27" t="s">
        <v>7</v>
      </c>
      <c r="G315" s="27" t="s">
        <v>8</v>
      </c>
      <c r="H315" s="27" t="s">
        <v>7</v>
      </c>
      <c r="DM315" s="27" t="s">
        <v>8</v>
      </c>
      <c r="DP315" s="27" t="s">
        <v>7</v>
      </c>
      <c r="DR315" s="27" t="s">
        <v>7</v>
      </c>
      <c r="DS315" s="27" t="s">
        <v>8</v>
      </c>
      <c r="DT315" s="27" t="s">
        <v>7</v>
      </c>
      <c r="DU315" s="27" t="s">
        <v>8</v>
      </c>
      <c r="EJ315" s="31"/>
    </row>
    <row r="316" spans="1:150" x14ac:dyDescent="0.25">
      <c r="A316" s="30">
        <v>2.4525240264112496E-2</v>
      </c>
      <c r="B316"/>
      <c r="C316"/>
      <c r="D316"/>
      <c r="E316"/>
      <c r="F316" s="27" t="s">
        <v>7</v>
      </c>
      <c r="G316" s="27" t="s">
        <v>8</v>
      </c>
      <c r="H316" s="27" t="s">
        <v>7</v>
      </c>
      <c r="I316" s="27" t="s">
        <v>8</v>
      </c>
      <c r="DM316" s="27" t="s">
        <v>8</v>
      </c>
      <c r="DR316" s="27" t="s">
        <v>7</v>
      </c>
      <c r="DS316" s="27" t="s">
        <v>8</v>
      </c>
      <c r="DT316" s="27" t="s">
        <v>7</v>
      </c>
      <c r="DU316" s="27" t="s">
        <v>8</v>
      </c>
      <c r="EI316" s="31"/>
    </row>
    <row r="317" spans="1:150" x14ac:dyDescent="0.25">
      <c r="A317" s="30">
        <v>2.3357371680107129E-2</v>
      </c>
      <c r="B317"/>
      <c r="C317"/>
      <c r="D317"/>
      <c r="E317"/>
      <c r="F317" s="27" t="s">
        <v>7</v>
      </c>
      <c r="G317" s="27" t="s">
        <v>8</v>
      </c>
      <c r="H317" s="27" t="s">
        <v>7</v>
      </c>
      <c r="I317" s="27" t="s">
        <v>8</v>
      </c>
      <c r="J317" s="27" t="s">
        <v>7</v>
      </c>
      <c r="DM317" s="27" t="s">
        <v>8</v>
      </c>
      <c r="DR317" s="27" t="s">
        <v>7</v>
      </c>
      <c r="DS317" s="27" t="s">
        <v>8</v>
      </c>
      <c r="DT317" s="27" t="s">
        <v>7</v>
      </c>
      <c r="DU317" s="27" t="s">
        <v>8</v>
      </c>
      <c r="EH317" s="31"/>
    </row>
    <row r="318" spans="1:150" x14ac:dyDescent="0.25">
      <c r="A318" s="30">
        <v>2.2245115885816305E-2</v>
      </c>
      <c r="B318"/>
      <c r="C318"/>
      <c r="D318"/>
      <c r="E318"/>
      <c r="F318" s="27" t="s">
        <v>7</v>
      </c>
      <c r="G318" s="27" t="s">
        <v>8</v>
      </c>
      <c r="H318" s="27" t="s">
        <v>7</v>
      </c>
      <c r="I318" s="27" t="s">
        <v>8</v>
      </c>
      <c r="J318" s="27" t="s">
        <v>7</v>
      </c>
      <c r="M318" s="27" t="s">
        <v>8</v>
      </c>
      <c r="DK318" s="27" t="s">
        <v>8</v>
      </c>
      <c r="DM318" s="27" t="s">
        <v>8</v>
      </c>
      <c r="DR318" s="27" t="s">
        <v>7</v>
      </c>
      <c r="DS318" s="27" t="s">
        <v>8</v>
      </c>
      <c r="DT318" s="27" t="s">
        <v>7</v>
      </c>
      <c r="EG318" s="31"/>
    </row>
    <row r="319" spans="1:150" x14ac:dyDescent="0.25">
      <c r="A319" s="30">
        <v>2.1185824653158377E-2</v>
      </c>
      <c r="B319"/>
      <c r="C319"/>
      <c r="D319"/>
      <c r="E319"/>
      <c r="F319" s="27" t="s">
        <v>7</v>
      </c>
      <c r="G319" s="27" t="s">
        <v>8</v>
      </c>
      <c r="H319" s="27" t="s">
        <v>7</v>
      </c>
      <c r="I319" s="27" t="s">
        <v>8</v>
      </c>
      <c r="J319" s="27" t="s">
        <v>7</v>
      </c>
      <c r="K319" s="27" t="s">
        <v>8</v>
      </c>
      <c r="M319" s="27" t="s">
        <v>8</v>
      </c>
      <c r="N319" s="27" t="s">
        <v>7</v>
      </c>
      <c r="DK319" s="27" t="s">
        <v>8</v>
      </c>
      <c r="DL319" s="27" t="s">
        <v>7</v>
      </c>
      <c r="DM319" s="27" t="s">
        <v>8</v>
      </c>
      <c r="DR319" s="27" t="s">
        <v>7</v>
      </c>
      <c r="DS319" s="27" t="s">
        <v>8</v>
      </c>
      <c r="EF319" s="31"/>
    </row>
    <row r="320" spans="1:150" x14ac:dyDescent="0.25">
      <c r="A320" s="30">
        <v>2.0176975860150829E-2</v>
      </c>
      <c r="B320"/>
      <c r="C320"/>
      <c r="D320"/>
      <c r="E320"/>
      <c r="F320" s="27" t="s">
        <v>7</v>
      </c>
      <c r="H320" s="27" t="s">
        <v>7</v>
      </c>
      <c r="J320" s="27" t="s">
        <v>7</v>
      </c>
      <c r="K320" s="27" t="s">
        <v>8</v>
      </c>
      <c r="L320" s="27" t="s">
        <v>7</v>
      </c>
      <c r="M320" s="27" t="s">
        <v>8</v>
      </c>
      <c r="N320" s="27" t="s">
        <v>7</v>
      </c>
      <c r="DK320" s="27" t="s">
        <v>8</v>
      </c>
      <c r="DL320" s="27" t="s">
        <v>7</v>
      </c>
      <c r="DM320" s="27" t="s">
        <v>8</v>
      </c>
      <c r="DR320" s="27" t="s">
        <v>7</v>
      </c>
      <c r="DS320" s="27" t="s">
        <v>8</v>
      </c>
      <c r="EE320" s="31"/>
    </row>
    <row r="321" spans="1:134" x14ac:dyDescent="0.25">
      <c r="A321" s="30">
        <v>1.9216167485857926E-2</v>
      </c>
      <c r="B321"/>
      <c r="C321"/>
      <c r="D321"/>
      <c r="E321"/>
      <c r="J321" s="27" t="s">
        <v>7</v>
      </c>
      <c r="K321" s="27" t="s">
        <v>8</v>
      </c>
      <c r="L321" s="27" t="s">
        <v>7</v>
      </c>
      <c r="M321" s="27" t="s">
        <v>8</v>
      </c>
      <c r="N321" s="27" t="s">
        <v>7</v>
      </c>
      <c r="DK321" s="27" t="s">
        <v>8</v>
      </c>
      <c r="DL321" s="27" t="s">
        <v>7</v>
      </c>
      <c r="DM321" s="27" t="s">
        <v>8</v>
      </c>
      <c r="DR321" s="27" t="s">
        <v>7</v>
      </c>
      <c r="DS321" s="27" t="s">
        <v>8</v>
      </c>
      <c r="ED321" s="31"/>
    </row>
    <row r="322" spans="1:134" x14ac:dyDescent="0.25">
      <c r="A322" s="30">
        <v>1.8301111891293256E-2</v>
      </c>
      <c r="B322"/>
      <c r="C322"/>
      <c r="D322"/>
      <c r="E322"/>
      <c r="J322" s="27" t="s">
        <v>7</v>
      </c>
      <c r="K322" s="27" t="s">
        <v>8</v>
      </c>
      <c r="L322" s="27" t="s">
        <v>7</v>
      </c>
      <c r="N322" s="27" t="s">
        <v>7</v>
      </c>
      <c r="DK322" s="27" t="s">
        <v>8</v>
      </c>
      <c r="DL322" s="27" t="s">
        <v>7</v>
      </c>
      <c r="DM322" s="27" t="s">
        <v>8</v>
      </c>
      <c r="DR322" s="27" t="s">
        <v>7</v>
      </c>
      <c r="DS322" s="27" t="s">
        <v>8</v>
      </c>
      <c r="EC322" s="31"/>
    </row>
    <row r="323" spans="1:134" x14ac:dyDescent="0.25">
      <c r="A323" s="30">
        <v>1.7429630372660238E-2</v>
      </c>
      <c r="B323"/>
      <c r="C323"/>
      <c r="D323"/>
      <c r="E323"/>
      <c r="J323" s="27" t="s">
        <v>7</v>
      </c>
      <c r="N323" s="27" t="s">
        <v>7</v>
      </c>
      <c r="DK323" s="27" t="s">
        <v>8</v>
      </c>
      <c r="DL323" s="27" t="s">
        <v>7</v>
      </c>
      <c r="DM323" s="27" t="s">
        <v>8</v>
      </c>
      <c r="DR323" s="27" t="s">
        <v>7</v>
      </c>
      <c r="EB323" s="31"/>
    </row>
    <row r="324" spans="1:134" x14ac:dyDescent="0.25">
      <c r="A324" s="30">
        <v>1.6599647973962125E-2</v>
      </c>
      <c r="B324"/>
      <c r="C324"/>
      <c r="D324"/>
      <c r="E324"/>
      <c r="N324" s="27" t="s">
        <v>7</v>
      </c>
      <c r="O324" s="27" t="s">
        <v>8</v>
      </c>
      <c r="DK324" s="27" t="s">
        <v>8</v>
      </c>
      <c r="DL324" s="27" t="s">
        <v>7</v>
      </c>
      <c r="EA324" s="31"/>
    </row>
    <row r="325" spans="1:134" x14ac:dyDescent="0.25">
      <c r="A325" s="30">
        <v>1.580918854663059E-2</v>
      </c>
      <c r="B325"/>
      <c r="C325"/>
      <c r="D325"/>
      <c r="E325"/>
      <c r="N325" s="27" t="s">
        <v>7</v>
      </c>
      <c r="O325" s="27" t="s">
        <v>8</v>
      </c>
      <c r="P325" s="27" t="s">
        <v>7</v>
      </c>
      <c r="DK325" s="27" t="s">
        <v>8</v>
      </c>
      <c r="DZ325" s="31"/>
    </row>
    <row r="326" spans="1:134" x14ac:dyDescent="0.25">
      <c r="A326" s="30">
        <v>1.5056370044410079E-2</v>
      </c>
      <c r="B326"/>
      <c r="C326"/>
      <c r="D326"/>
      <c r="E326"/>
      <c r="N326" s="27" t="s">
        <v>7</v>
      </c>
      <c r="O326" s="27" t="s">
        <v>8</v>
      </c>
      <c r="P326" s="27" t="s">
        <v>7</v>
      </c>
      <c r="DK326" s="27" t="s">
        <v>8</v>
      </c>
      <c r="DY326" s="31"/>
    </row>
    <row r="327" spans="1:134" x14ac:dyDescent="0.25">
      <c r="A327" s="30">
        <v>1.4339400042295308E-2</v>
      </c>
      <c r="B327"/>
      <c r="C327"/>
      <c r="D327"/>
      <c r="E327"/>
      <c r="N327" s="27" t="s">
        <v>7</v>
      </c>
      <c r="O327" s="27" t="s">
        <v>8</v>
      </c>
      <c r="P327" s="27" t="s">
        <v>7</v>
      </c>
      <c r="Q327" s="27" t="s">
        <v>8</v>
      </c>
      <c r="U327" s="27" t="s">
        <v>8</v>
      </c>
      <c r="BW327" s="31" t="s">
        <v>8</v>
      </c>
      <c r="DK327" s="27" t="s">
        <v>8</v>
      </c>
      <c r="DX327" s="31"/>
    </row>
    <row r="328" spans="1:134" x14ac:dyDescent="0.25">
      <c r="A328" s="30">
        <v>1.365657146885267E-2</v>
      </c>
      <c r="B328"/>
      <c r="C328"/>
      <c r="D328"/>
      <c r="E328"/>
      <c r="N328" s="27" t="s">
        <v>7</v>
      </c>
      <c r="O328" s="27" t="s">
        <v>8</v>
      </c>
      <c r="P328" s="27" t="s">
        <v>7</v>
      </c>
      <c r="Q328" s="27" t="s">
        <v>8</v>
      </c>
      <c r="R328" s="27" t="s">
        <v>7</v>
      </c>
      <c r="S328" s="27" t="s">
        <v>8</v>
      </c>
      <c r="U328" s="27" t="s">
        <v>8</v>
      </c>
      <c r="V328" s="27" t="s">
        <v>7</v>
      </c>
      <c r="BW328" s="27" t="s">
        <v>8</v>
      </c>
      <c r="BX328" s="31" t="s">
        <v>7</v>
      </c>
      <c r="DK328" s="27" t="s">
        <v>8</v>
      </c>
      <c r="DW328" s="31"/>
    </row>
    <row r="329" spans="1:134" x14ac:dyDescent="0.25">
      <c r="A329" s="30">
        <v>1.3006258541764442E-2</v>
      </c>
      <c r="B329"/>
      <c r="C329"/>
      <c r="D329"/>
      <c r="E329"/>
      <c r="N329" s="27" t="s">
        <v>7</v>
      </c>
      <c r="O329" s="27" t="s">
        <v>8</v>
      </c>
      <c r="P329" s="27" t="s">
        <v>7</v>
      </c>
      <c r="Q329" s="27" t="s">
        <v>8</v>
      </c>
      <c r="R329" s="27" t="s">
        <v>7</v>
      </c>
      <c r="S329" s="27" t="s">
        <v>8</v>
      </c>
      <c r="T329" s="27" t="s">
        <v>7</v>
      </c>
      <c r="U329" s="27" t="s">
        <v>8</v>
      </c>
      <c r="V329" s="27" t="s">
        <v>7</v>
      </c>
      <c r="BW329" s="27" t="s">
        <v>8</v>
      </c>
      <c r="BX329" s="27" t="s">
        <v>7</v>
      </c>
      <c r="BY329" s="31"/>
      <c r="DK329" s="27" t="s">
        <v>8</v>
      </c>
      <c r="DV329" s="31"/>
    </row>
    <row r="330" spans="1:134" x14ac:dyDescent="0.25">
      <c r="A330" s="30">
        <v>1.2386912896918512E-2</v>
      </c>
      <c r="B330"/>
      <c r="C330"/>
      <c r="D330"/>
      <c r="E330"/>
      <c r="N330" s="27" t="s">
        <v>7</v>
      </c>
      <c r="O330" s="27" t="s">
        <v>8</v>
      </c>
      <c r="P330" s="27" t="s">
        <v>7</v>
      </c>
      <c r="Q330" s="27" t="s">
        <v>8</v>
      </c>
      <c r="R330" s="27" t="s">
        <v>7</v>
      </c>
      <c r="S330" s="27" t="s">
        <v>8</v>
      </c>
      <c r="T330" s="27" t="s">
        <v>7</v>
      </c>
      <c r="U330" s="27" t="s">
        <v>8</v>
      </c>
      <c r="V330" s="27" t="s">
        <v>7</v>
      </c>
      <c r="W330" s="27" t="s">
        <v>8</v>
      </c>
      <c r="Y330" s="27" t="s">
        <v>8</v>
      </c>
      <c r="BU330" s="27" t="s">
        <v>8</v>
      </c>
      <c r="BW330" s="27" t="s">
        <v>8</v>
      </c>
      <c r="BX330" s="27" t="s">
        <v>7</v>
      </c>
      <c r="BZ330" s="31"/>
      <c r="DK330" s="27" t="s">
        <v>8</v>
      </c>
      <c r="DU330" s="31"/>
    </row>
    <row r="331" spans="1:134" x14ac:dyDescent="0.25">
      <c r="A331" s="30">
        <v>1.179705990182715E-2</v>
      </c>
      <c r="B331"/>
      <c r="C331"/>
      <c r="D331"/>
      <c r="E331"/>
      <c r="N331" s="27" t="s">
        <v>7</v>
      </c>
      <c r="P331" s="27" t="s">
        <v>7</v>
      </c>
      <c r="R331" s="27" t="s">
        <v>7</v>
      </c>
      <c r="S331" s="27" t="s">
        <v>8</v>
      </c>
      <c r="T331" s="27" t="s">
        <v>7</v>
      </c>
      <c r="U331" s="27" t="s">
        <v>8</v>
      </c>
      <c r="V331" s="27" t="s">
        <v>7</v>
      </c>
      <c r="W331" s="27" t="s">
        <v>8</v>
      </c>
      <c r="X331" s="27" t="s">
        <v>7</v>
      </c>
      <c r="Y331" s="27" t="s">
        <v>8</v>
      </c>
      <c r="Z331" s="27" t="s">
        <v>7</v>
      </c>
      <c r="BU331" s="27" t="s">
        <v>8</v>
      </c>
      <c r="BV331" s="27" t="s">
        <v>7</v>
      </c>
      <c r="BW331" s="27" t="s">
        <v>8</v>
      </c>
      <c r="BX331" s="27" t="s">
        <v>7</v>
      </c>
      <c r="BY331" s="27" t="s">
        <v>8</v>
      </c>
      <c r="CA331" s="31" t="s">
        <v>8</v>
      </c>
      <c r="DI331" s="27" t="s">
        <v>8</v>
      </c>
      <c r="DK331" s="27" t="s">
        <v>8</v>
      </c>
      <c r="DT331" s="31"/>
    </row>
    <row r="332" spans="1:134" x14ac:dyDescent="0.25">
      <c r="A332" s="30">
        <v>1.1235295144597281E-2</v>
      </c>
      <c r="B332"/>
      <c r="C332"/>
      <c r="D332"/>
      <c r="E332"/>
      <c r="R332" s="27" t="s">
        <v>7</v>
      </c>
      <c r="T332" s="27" t="s">
        <v>7</v>
      </c>
      <c r="U332" s="27" t="s">
        <v>8</v>
      </c>
      <c r="V332" s="27" t="s">
        <v>7</v>
      </c>
      <c r="W332" s="27" t="s">
        <v>8</v>
      </c>
      <c r="X332" s="27" t="s">
        <v>7</v>
      </c>
      <c r="Y332" s="27" t="s">
        <v>8</v>
      </c>
      <c r="Z332" s="27" t="s">
        <v>7</v>
      </c>
      <c r="BQ332" s="27" t="s">
        <v>8</v>
      </c>
      <c r="BU332" s="27" t="s">
        <v>8</v>
      </c>
      <c r="BV332" s="27" t="s">
        <v>7</v>
      </c>
      <c r="BW332" s="27" t="s">
        <v>8</v>
      </c>
      <c r="BX332" s="27" t="s">
        <v>7</v>
      </c>
      <c r="BY332" s="27" t="s">
        <v>8</v>
      </c>
      <c r="BZ332" s="27" t="s">
        <v>7</v>
      </c>
      <c r="CA332" s="27" t="s">
        <v>8</v>
      </c>
      <c r="CB332" s="31" t="s">
        <v>7</v>
      </c>
      <c r="DI332" s="27" t="s">
        <v>8</v>
      </c>
      <c r="DJ332" s="27" t="s">
        <v>7</v>
      </c>
      <c r="DK332" s="27" t="s">
        <v>8</v>
      </c>
      <c r="DS332" s="31"/>
    </row>
    <row r="333" spans="1:134" x14ac:dyDescent="0.25">
      <c r="A333" s="30">
        <v>1.0700281090092644E-2</v>
      </c>
      <c r="B333"/>
      <c r="C333"/>
      <c r="D333"/>
      <c r="E333"/>
      <c r="T333" s="27" t="s">
        <v>7</v>
      </c>
      <c r="U333" s="27" t="s">
        <v>8</v>
      </c>
      <c r="V333" s="27" t="s">
        <v>7</v>
      </c>
      <c r="W333" s="27" t="s">
        <v>8</v>
      </c>
      <c r="X333" s="27" t="s">
        <v>7</v>
      </c>
      <c r="Y333" s="27" t="s">
        <v>8</v>
      </c>
      <c r="Z333" s="27" t="s">
        <v>7</v>
      </c>
      <c r="BQ333" s="27" t="s">
        <v>8</v>
      </c>
      <c r="BR333" s="27" t="s">
        <v>7</v>
      </c>
      <c r="BU333" s="27" t="s">
        <v>8</v>
      </c>
      <c r="BV333" s="27" t="s">
        <v>7</v>
      </c>
      <c r="BX333" s="27" t="s">
        <v>7</v>
      </c>
      <c r="BY333" s="27" t="s">
        <v>8</v>
      </c>
      <c r="BZ333" s="27" t="s">
        <v>7</v>
      </c>
      <c r="CA333" s="27" t="s">
        <v>8</v>
      </c>
      <c r="CB333" s="27" t="s">
        <v>7</v>
      </c>
      <c r="CC333" s="31"/>
      <c r="DI333" s="27" t="s">
        <v>8</v>
      </c>
      <c r="DJ333" s="27" t="s">
        <v>7</v>
      </c>
      <c r="DK333" s="27" t="s">
        <v>8</v>
      </c>
      <c r="DR333" s="31"/>
    </row>
    <row r="334" spans="1:134" x14ac:dyDescent="0.25">
      <c r="A334" s="30">
        <v>1.0190743895326324E-2</v>
      </c>
      <c r="B334"/>
      <c r="C334"/>
      <c r="D334"/>
      <c r="E334"/>
      <c r="T334" s="27" t="s">
        <v>7</v>
      </c>
      <c r="U334" s="27" t="s">
        <v>8</v>
      </c>
      <c r="V334" s="27" t="s">
        <v>7</v>
      </c>
      <c r="X334" s="27" t="s">
        <v>7</v>
      </c>
      <c r="Y334" s="27" t="s">
        <v>8</v>
      </c>
      <c r="Z334" s="27" t="s">
        <v>7</v>
      </c>
      <c r="BQ334" s="27" t="s">
        <v>8</v>
      </c>
      <c r="BR334" s="27" t="s">
        <v>7</v>
      </c>
      <c r="BU334" s="27" t="s">
        <v>8</v>
      </c>
      <c r="BX334" s="27" t="s">
        <v>7</v>
      </c>
      <c r="BZ334" s="27" t="s">
        <v>7</v>
      </c>
      <c r="CA334" s="27" t="s">
        <v>8</v>
      </c>
      <c r="CB334" s="27" t="s">
        <v>7</v>
      </c>
      <c r="CD334" s="31"/>
      <c r="DI334" s="27" t="s">
        <v>8</v>
      </c>
      <c r="DJ334" s="27" t="s">
        <v>7</v>
      </c>
      <c r="DQ334" s="31"/>
    </row>
    <row r="335" spans="1:134" x14ac:dyDescent="0.25">
      <c r="A335" s="30">
        <v>9.7054703765012563E-3</v>
      </c>
      <c r="B335"/>
      <c r="C335"/>
      <c r="D335"/>
      <c r="E335"/>
      <c r="T335" s="27" t="s">
        <v>7</v>
      </c>
      <c r="X335" s="27" t="s">
        <v>7</v>
      </c>
      <c r="Z335" s="27" t="s">
        <v>7</v>
      </c>
      <c r="BQ335" s="27" t="s">
        <v>8</v>
      </c>
      <c r="BR335" s="27" t="s">
        <v>7</v>
      </c>
      <c r="BU335" s="27" t="s">
        <v>8</v>
      </c>
      <c r="BZ335" s="27" t="s">
        <v>7</v>
      </c>
      <c r="CB335" s="27" t="s">
        <v>7</v>
      </c>
      <c r="CE335" s="31"/>
      <c r="DG335" s="27" t="s">
        <v>8</v>
      </c>
      <c r="DI335" s="27" t="s">
        <v>8</v>
      </c>
      <c r="DP335" s="31"/>
    </row>
    <row r="336" spans="1:134" x14ac:dyDescent="0.25">
      <c r="A336" s="30">
        <v>9.2433051204773835E-3</v>
      </c>
      <c r="B336"/>
      <c r="C336"/>
      <c r="D336"/>
      <c r="E336"/>
      <c r="Z336" s="27" t="s">
        <v>7</v>
      </c>
      <c r="BQ336" s="27" t="s">
        <v>8</v>
      </c>
      <c r="BR336" s="27" t="s">
        <v>7</v>
      </c>
      <c r="BS336" s="27" t="s">
        <v>8</v>
      </c>
      <c r="BU336" s="27" t="s">
        <v>8</v>
      </c>
      <c r="CB336" s="27" t="s">
        <v>7</v>
      </c>
      <c r="CF336" s="31"/>
      <c r="DG336" s="27" t="s">
        <v>8</v>
      </c>
      <c r="DH336" s="27" t="s">
        <v>7</v>
      </c>
      <c r="DI336" s="27" t="s">
        <v>8</v>
      </c>
      <c r="DO336" s="31"/>
    </row>
    <row r="337" spans="1:118" x14ac:dyDescent="0.25">
      <c r="A337" s="30">
        <v>8.8031477337879808E-3</v>
      </c>
      <c r="B337"/>
      <c r="C337"/>
      <c r="D337"/>
      <c r="E337"/>
      <c r="Z337" s="27" t="s">
        <v>7</v>
      </c>
      <c r="BQ337" s="27" t="s">
        <v>8</v>
      </c>
      <c r="BR337" s="27" t="s">
        <v>7</v>
      </c>
      <c r="BS337" s="27" t="s">
        <v>8</v>
      </c>
      <c r="BT337" s="27" t="s">
        <v>7</v>
      </c>
      <c r="BU337" s="27" t="s">
        <v>8</v>
      </c>
      <c r="CB337" s="27" t="s">
        <v>7</v>
      </c>
      <c r="CG337" s="31"/>
      <c r="DG337" s="27" t="s">
        <v>8</v>
      </c>
      <c r="DH337" s="27" t="s">
        <v>7</v>
      </c>
      <c r="DI337" s="27" t="s">
        <v>8</v>
      </c>
      <c r="DN337" s="31"/>
    </row>
    <row r="338" spans="1:118" x14ac:dyDescent="0.25">
      <c r="A338" s="30">
        <v>8.3839502226552166E-3</v>
      </c>
      <c r="B338"/>
      <c r="C338"/>
      <c r="D338"/>
      <c r="E338"/>
      <c r="Z338" s="27" t="s">
        <v>7</v>
      </c>
      <c r="AI338" s="27" t="s">
        <v>8</v>
      </c>
      <c r="BO338" s="27" t="s">
        <v>8</v>
      </c>
      <c r="BQ338" s="27" t="s">
        <v>8</v>
      </c>
      <c r="BR338" s="27" t="s">
        <v>7</v>
      </c>
      <c r="BS338" s="27" t="s">
        <v>8</v>
      </c>
      <c r="BT338" s="27" t="s">
        <v>7</v>
      </c>
      <c r="BU338" s="27" t="s">
        <v>8</v>
      </c>
      <c r="CB338" s="27" t="s">
        <v>7</v>
      </c>
      <c r="CE338" s="27" t="s">
        <v>8</v>
      </c>
      <c r="CH338" s="31"/>
      <c r="DA338" s="27" t="s">
        <v>8</v>
      </c>
      <c r="DG338" s="27" t="s">
        <v>8</v>
      </c>
      <c r="DH338" s="27" t="s">
        <v>7</v>
      </c>
      <c r="DM338" s="31"/>
    </row>
    <row r="339" spans="1:118" x14ac:dyDescent="0.25">
      <c r="A339" s="30">
        <v>7.9847144977668698E-3</v>
      </c>
      <c r="B339"/>
      <c r="C339"/>
      <c r="D339"/>
      <c r="E339"/>
      <c r="Z339" s="27" t="s">
        <v>7</v>
      </c>
      <c r="AI339" s="27" t="s">
        <v>8</v>
      </c>
      <c r="AJ339" s="27" t="s">
        <v>7</v>
      </c>
      <c r="BO339" s="27" t="s">
        <v>8</v>
      </c>
      <c r="BP339" s="27" t="s">
        <v>7</v>
      </c>
      <c r="BQ339" s="27" t="s">
        <v>8</v>
      </c>
      <c r="BR339" s="27" t="s">
        <v>7</v>
      </c>
      <c r="BT339" s="27" t="s">
        <v>7</v>
      </c>
      <c r="CB339" s="27" t="s">
        <v>7</v>
      </c>
      <c r="CE339" s="27" t="s">
        <v>8</v>
      </c>
      <c r="CF339" s="27" t="s">
        <v>7</v>
      </c>
      <c r="CI339" s="31"/>
      <c r="DA339" s="27" t="s">
        <v>8</v>
      </c>
      <c r="DB339" s="27" t="s">
        <v>7</v>
      </c>
      <c r="DC339" s="27" t="s">
        <v>8</v>
      </c>
      <c r="DG339" s="27" t="s">
        <v>8</v>
      </c>
      <c r="DL339" s="31"/>
    </row>
    <row r="340" spans="1:118" x14ac:dyDescent="0.25">
      <c r="A340" s="30">
        <v>7.6044899978732058E-3</v>
      </c>
      <c r="B340"/>
      <c r="C340"/>
      <c r="D340"/>
      <c r="E340"/>
      <c r="Z340" s="27" t="s">
        <v>7</v>
      </c>
      <c r="AI340" s="27" t="s">
        <v>8</v>
      </c>
      <c r="AJ340" s="27" t="s">
        <v>7</v>
      </c>
      <c r="BO340" s="27" t="s">
        <v>8</v>
      </c>
      <c r="BP340" s="27" t="s">
        <v>7</v>
      </c>
      <c r="BQ340" s="27" t="s">
        <v>8</v>
      </c>
      <c r="CB340" s="27" t="s">
        <v>7</v>
      </c>
      <c r="CE340" s="27" t="s">
        <v>8</v>
      </c>
      <c r="CF340" s="27" t="s">
        <v>7</v>
      </c>
      <c r="CJ340" s="31"/>
      <c r="DA340" s="27" t="s">
        <v>8</v>
      </c>
      <c r="DB340" s="27" t="s">
        <v>7</v>
      </c>
      <c r="DC340" s="27" t="s">
        <v>8</v>
      </c>
      <c r="DD340" s="27" t="s">
        <v>7</v>
      </c>
      <c r="DE340" s="27" t="s">
        <v>8</v>
      </c>
      <c r="DG340" s="27" t="s">
        <v>8</v>
      </c>
      <c r="DK340" s="31"/>
    </row>
    <row r="341" spans="1:118" x14ac:dyDescent="0.25">
      <c r="A341" s="30">
        <v>7.2423714265459072E-3</v>
      </c>
      <c r="B341"/>
      <c r="C341"/>
      <c r="D341"/>
      <c r="E341"/>
      <c r="Z341" s="27" t="s">
        <v>7</v>
      </c>
      <c r="AI341" s="27" t="s">
        <v>8</v>
      </c>
      <c r="AJ341" s="27" t="s">
        <v>7</v>
      </c>
      <c r="AO341" s="27" t="s">
        <v>8</v>
      </c>
      <c r="BO341" s="27" t="s">
        <v>8</v>
      </c>
      <c r="BP341" s="27" t="s">
        <v>7</v>
      </c>
      <c r="CB341" s="27" t="s">
        <v>7</v>
      </c>
      <c r="CC341" s="27" t="s">
        <v>8</v>
      </c>
      <c r="CE341" s="27" t="s">
        <v>8</v>
      </c>
      <c r="CF341" s="27" t="s">
        <v>7</v>
      </c>
      <c r="CK341" s="31"/>
      <c r="DA341" s="27" t="s">
        <v>8</v>
      </c>
      <c r="DB341" s="27" t="s">
        <v>7</v>
      </c>
      <c r="DC341" s="27" t="s">
        <v>8</v>
      </c>
      <c r="DD341" s="27" t="s">
        <v>7</v>
      </c>
      <c r="DE341" s="27" t="s">
        <v>8</v>
      </c>
      <c r="DF341" s="27" t="s">
        <v>7</v>
      </c>
      <c r="DG341" s="27" t="s">
        <v>8</v>
      </c>
      <c r="DJ341" s="31"/>
    </row>
    <row r="342" spans="1:118" x14ac:dyDescent="0.25">
      <c r="A342" s="30">
        <v>6.8974965967103846E-3</v>
      </c>
      <c r="B342"/>
      <c r="C342"/>
      <c r="D342"/>
      <c r="E342"/>
      <c r="Z342" s="27" t="s">
        <v>7</v>
      </c>
      <c r="AA342" s="27" t="s">
        <v>8</v>
      </c>
      <c r="AI342" s="27" t="s">
        <v>8</v>
      </c>
      <c r="AJ342" s="27" t="s">
        <v>7</v>
      </c>
      <c r="AO342" s="27" t="s">
        <v>8</v>
      </c>
      <c r="AP342" s="27" t="s">
        <v>7</v>
      </c>
      <c r="BO342" s="27" t="s">
        <v>8</v>
      </c>
      <c r="CB342" s="27" t="s">
        <v>7</v>
      </c>
      <c r="CC342" s="27" t="s">
        <v>8</v>
      </c>
      <c r="CD342" s="27" t="s">
        <v>7</v>
      </c>
      <c r="CE342" s="27" t="s">
        <v>8</v>
      </c>
      <c r="CF342" s="27" t="s">
        <v>7</v>
      </c>
      <c r="CL342" s="31"/>
      <c r="DA342" s="27" t="s">
        <v>8</v>
      </c>
      <c r="DB342" s="27" t="s">
        <v>7</v>
      </c>
      <c r="DC342" s="27" t="s">
        <v>8</v>
      </c>
      <c r="DD342" s="27" t="s">
        <v>7</v>
      </c>
      <c r="DE342" s="27" t="s">
        <v>8</v>
      </c>
      <c r="DF342" s="27" t="s">
        <v>7</v>
      </c>
      <c r="DG342" s="27" t="s">
        <v>8</v>
      </c>
      <c r="DI342" s="31"/>
    </row>
    <row r="343" spans="1:118" x14ac:dyDescent="0.25">
      <c r="A343" s="30">
        <v>6.5690443778194116E-3</v>
      </c>
      <c r="B343"/>
      <c r="C343"/>
      <c r="D343"/>
      <c r="E343"/>
      <c r="Z343" s="27" t="s">
        <v>7</v>
      </c>
      <c r="AA343" s="27" t="s">
        <v>8</v>
      </c>
      <c r="AB343" s="27" t="s">
        <v>7</v>
      </c>
      <c r="AG343" s="27" t="s">
        <v>8</v>
      </c>
      <c r="AI343" s="27" t="s">
        <v>8</v>
      </c>
      <c r="AJ343" s="27" t="s">
        <v>7</v>
      </c>
      <c r="AO343" s="27" t="s">
        <v>8</v>
      </c>
      <c r="AP343" s="27" t="s">
        <v>7</v>
      </c>
      <c r="BO343" s="27" t="s">
        <v>8</v>
      </c>
      <c r="CB343" s="31" t="s">
        <v>7</v>
      </c>
      <c r="CC343" s="27" t="s">
        <v>8</v>
      </c>
      <c r="CD343" s="27" t="s">
        <v>7</v>
      </c>
      <c r="CE343" s="27" t="s">
        <v>8</v>
      </c>
      <c r="CF343" s="27" t="s">
        <v>7</v>
      </c>
      <c r="CM343" s="31"/>
      <c r="CQ343" s="27" t="s">
        <v>8</v>
      </c>
      <c r="DA343" s="27" t="s">
        <v>8</v>
      </c>
      <c r="DB343" s="27" t="s">
        <v>7</v>
      </c>
      <c r="DC343" s="27" t="s">
        <v>8</v>
      </c>
      <c r="DD343" s="27" t="s">
        <v>7</v>
      </c>
      <c r="DE343" s="27" t="s">
        <v>8</v>
      </c>
      <c r="DF343" s="27" t="s">
        <v>7</v>
      </c>
      <c r="DH343" s="31"/>
    </row>
    <row r="344" spans="1:118" x14ac:dyDescent="0.25">
      <c r="A344" s="30">
        <v>6.2562327407803897E-3</v>
      </c>
      <c r="B344"/>
      <c r="C344"/>
      <c r="D344"/>
      <c r="E344"/>
      <c r="Z344" s="27" t="s">
        <v>7</v>
      </c>
      <c r="AA344" s="27" t="s">
        <v>8</v>
      </c>
      <c r="AB344" s="27" t="s">
        <v>7</v>
      </c>
      <c r="AC344" s="27" t="s">
        <v>8</v>
      </c>
      <c r="AE344" s="27" t="s">
        <v>8</v>
      </c>
      <c r="AG344" s="27" t="s">
        <v>8</v>
      </c>
      <c r="AH344" s="27" t="s">
        <v>7</v>
      </c>
      <c r="AI344" s="27" t="s">
        <v>8</v>
      </c>
      <c r="AJ344" s="27" t="s">
        <v>7</v>
      </c>
      <c r="AO344" s="27" t="s">
        <v>8</v>
      </c>
      <c r="AP344" s="27" t="s">
        <v>7</v>
      </c>
      <c r="BO344" s="27" t="s">
        <v>8</v>
      </c>
      <c r="CA344" s="31"/>
      <c r="CB344" s="27" t="s">
        <v>7</v>
      </c>
      <c r="CD344" s="27" t="s">
        <v>7</v>
      </c>
      <c r="CF344" s="27" t="s">
        <v>7</v>
      </c>
      <c r="CN344" s="31"/>
      <c r="CQ344" s="27" t="s">
        <v>8</v>
      </c>
      <c r="CR344" s="27" t="s">
        <v>7</v>
      </c>
      <c r="DA344" s="27" t="s">
        <v>8</v>
      </c>
      <c r="DB344" s="27" t="s">
        <v>7</v>
      </c>
      <c r="DC344" s="27" t="s">
        <v>8</v>
      </c>
      <c r="DD344" s="27" t="s">
        <v>7</v>
      </c>
      <c r="DG344" s="31"/>
    </row>
    <row r="345" spans="1:118" x14ac:dyDescent="0.25">
      <c r="A345" s="30">
        <v>5.9583168959813212E-3</v>
      </c>
      <c r="B345"/>
      <c r="C345"/>
      <c r="D345"/>
      <c r="E345"/>
      <c r="Z345" s="27" t="s">
        <v>7</v>
      </c>
      <c r="AA345" s="27" t="s">
        <v>8</v>
      </c>
      <c r="AB345" s="27" t="s">
        <v>7</v>
      </c>
      <c r="AC345" s="27" t="s">
        <v>8</v>
      </c>
      <c r="AD345" s="27" t="s">
        <v>7</v>
      </c>
      <c r="AE345" s="27" t="s">
        <v>8</v>
      </c>
      <c r="AF345" s="27" t="s">
        <v>7</v>
      </c>
      <c r="AG345" s="27" t="s">
        <v>8</v>
      </c>
      <c r="AH345" s="27" t="s">
        <v>7</v>
      </c>
      <c r="AI345" s="27" t="s">
        <v>8</v>
      </c>
      <c r="AJ345" s="27" t="s">
        <v>7</v>
      </c>
      <c r="AK345" s="27" t="s">
        <v>8</v>
      </c>
      <c r="AO345" s="27" t="s">
        <v>8</v>
      </c>
      <c r="AP345" s="27" t="s">
        <v>7</v>
      </c>
      <c r="BO345" s="27" t="s">
        <v>8</v>
      </c>
      <c r="BZ345" s="31"/>
      <c r="CF345" s="27" t="s">
        <v>7</v>
      </c>
      <c r="CI345" s="27" t="s">
        <v>8</v>
      </c>
      <c r="CO345" s="31"/>
      <c r="CQ345" s="27" t="s">
        <v>8</v>
      </c>
      <c r="CR345" s="27" t="s">
        <v>7</v>
      </c>
      <c r="DA345" s="27" t="s">
        <v>8</v>
      </c>
      <c r="DB345" s="27" t="s">
        <v>7</v>
      </c>
      <c r="DC345" s="27" t="s">
        <v>8</v>
      </c>
      <c r="DF345" s="31"/>
    </row>
    <row r="346" spans="1:118" x14ac:dyDescent="0.25">
      <c r="A346" s="30">
        <v>5.6745875199822084E-3</v>
      </c>
      <c r="B346"/>
      <c r="C346"/>
      <c r="D346"/>
      <c r="E346"/>
      <c r="Z346" s="27" t="s">
        <v>7</v>
      </c>
      <c r="AA346" s="27" t="s">
        <v>8</v>
      </c>
      <c r="AB346" s="27" t="s">
        <v>7</v>
      </c>
      <c r="AC346" s="27" t="s">
        <v>8</v>
      </c>
      <c r="AD346" s="27" t="s">
        <v>7</v>
      </c>
      <c r="AE346" s="27" t="s">
        <v>8</v>
      </c>
      <c r="AF346" s="27" t="s">
        <v>7</v>
      </c>
      <c r="AG346" s="27" t="s">
        <v>8</v>
      </c>
      <c r="AH346" s="27" t="s">
        <v>7</v>
      </c>
      <c r="AI346" s="27" t="s">
        <v>8</v>
      </c>
      <c r="AJ346" s="27" t="s">
        <v>7</v>
      </c>
      <c r="AK346" s="27" t="s">
        <v>8</v>
      </c>
      <c r="AL346" s="27" t="s">
        <v>7</v>
      </c>
      <c r="AO346" s="27" t="s">
        <v>8</v>
      </c>
      <c r="AP346" s="27" t="s">
        <v>7</v>
      </c>
      <c r="BO346" s="27" t="s">
        <v>8</v>
      </c>
      <c r="BY346" s="31"/>
      <c r="CF346" s="27" t="s">
        <v>7</v>
      </c>
      <c r="CG346" s="27" t="s">
        <v>8</v>
      </c>
      <c r="CI346" s="27" t="s">
        <v>8</v>
      </c>
      <c r="CJ346" s="27" t="s">
        <v>7</v>
      </c>
      <c r="CP346" s="31"/>
      <c r="CQ346" s="27" t="s">
        <v>8</v>
      </c>
      <c r="CR346" s="27" t="s">
        <v>7</v>
      </c>
      <c r="CS346" s="27" t="s">
        <v>8</v>
      </c>
      <c r="CU346" s="27" t="s">
        <v>8</v>
      </c>
      <c r="CY346" s="27" t="s">
        <v>8</v>
      </c>
      <c r="DA346" s="27" t="s">
        <v>8</v>
      </c>
      <c r="DB346" s="27" t="s">
        <v>7</v>
      </c>
      <c r="DC346" s="27" t="s">
        <v>8</v>
      </c>
      <c r="DE346" s="31"/>
    </row>
    <row r="347" spans="1:118" x14ac:dyDescent="0.25">
      <c r="A347" s="30">
        <v>5.4043690666497205E-3</v>
      </c>
      <c r="B347"/>
      <c r="C347"/>
      <c r="D347"/>
      <c r="E347"/>
      <c r="Z347" s="27" t="s">
        <v>7</v>
      </c>
      <c r="AA347" s="27" t="s">
        <v>8</v>
      </c>
      <c r="AB347" s="27" t="s">
        <v>7</v>
      </c>
      <c r="AC347" s="27" t="s">
        <v>8</v>
      </c>
      <c r="AD347" s="27" t="s">
        <v>7</v>
      </c>
      <c r="AF347" s="27" t="s">
        <v>7</v>
      </c>
      <c r="AG347" s="27" t="s">
        <v>8</v>
      </c>
      <c r="AH347" s="27" t="s">
        <v>7</v>
      </c>
      <c r="AJ347" s="27" t="s">
        <v>7</v>
      </c>
      <c r="AK347" s="27" t="s">
        <v>8</v>
      </c>
      <c r="AL347" s="27" t="s">
        <v>7</v>
      </c>
      <c r="AO347" s="27" t="s">
        <v>8</v>
      </c>
      <c r="AP347" s="27" t="s">
        <v>7</v>
      </c>
      <c r="BO347" s="27" t="s">
        <v>8</v>
      </c>
      <c r="BX347" s="31"/>
      <c r="CF347" s="27" t="s">
        <v>7</v>
      </c>
      <c r="CG347" s="27" t="s">
        <v>8</v>
      </c>
      <c r="CH347" s="27" t="s">
        <v>7</v>
      </c>
      <c r="CI347" s="27" t="s">
        <v>8</v>
      </c>
      <c r="CJ347" s="27" t="s">
        <v>7</v>
      </c>
      <c r="CK347" s="27" t="s">
        <v>8</v>
      </c>
      <c r="CM347" s="27" t="s">
        <v>8</v>
      </c>
      <c r="CO347" s="27" t="s">
        <v>8</v>
      </c>
      <c r="CQ347" s="31" t="s">
        <v>8</v>
      </c>
      <c r="CR347" s="27" t="s">
        <v>7</v>
      </c>
      <c r="CS347" s="27" t="s">
        <v>8</v>
      </c>
      <c r="CT347" s="27" t="s">
        <v>7</v>
      </c>
      <c r="CU347" s="27" t="s">
        <v>8</v>
      </c>
      <c r="CV347" s="27" t="s">
        <v>7</v>
      </c>
      <c r="CY347" s="27" t="s">
        <v>8</v>
      </c>
      <c r="CZ347" s="27" t="s">
        <v>7</v>
      </c>
      <c r="DA347" s="27" t="s">
        <v>8</v>
      </c>
      <c r="DB347" s="27" t="s">
        <v>7</v>
      </c>
      <c r="DD347" s="31"/>
    </row>
    <row r="348" spans="1:118" x14ac:dyDescent="0.25">
      <c r="A348" s="30">
        <v>5.1470181587140174E-3</v>
      </c>
      <c r="B348"/>
      <c r="C348"/>
      <c r="D348"/>
      <c r="E348"/>
      <c r="Z348" s="27" t="s">
        <v>7</v>
      </c>
      <c r="AA348" s="27" t="s">
        <v>8</v>
      </c>
      <c r="AB348" s="27" t="s">
        <v>7</v>
      </c>
      <c r="AC348" s="27" t="s">
        <v>8</v>
      </c>
      <c r="AF348" s="27" t="s">
        <v>7</v>
      </c>
      <c r="AG348" s="27" t="s">
        <v>8</v>
      </c>
      <c r="AJ348" s="27" t="s">
        <v>7</v>
      </c>
      <c r="AK348" s="27" t="s">
        <v>8</v>
      </c>
      <c r="AL348" s="27" t="s">
        <v>7</v>
      </c>
      <c r="AM348" s="27" t="s">
        <v>8</v>
      </c>
      <c r="AO348" s="27" t="s">
        <v>8</v>
      </c>
      <c r="AP348" s="27" t="s">
        <v>7</v>
      </c>
      <c r="AQ348" s="27" t="s">
        <v>8</v>
      </c>
      <c r="BM348" s="27" t="s">
        <v>8</v>
      </c>
      <c r="BO348" s="27" t="s">
        <v>8</v>
      </c>
      <c r="BW348" s="31"/>
      <c r="CF348" s="27" t="s">
        <v>7</v>
      </c>
      <c r="CG348" s="27" t="s">
        <v>8</v>
      </c>
      <c r="CH348" s="27" t="s">
        <v>7</v>
      </c>
      <c r="CI348" s="27" t="s">
        <v>8</v>
      </c>
      <c r="CJ348" s="27" t="s">
        <v>7</v>
      </c>
      <c r="CK348" s="27" t="s">
        <v>8</v>
      </c>
      <c r="CL348" s="27" t="s">
        <v>7</v>
      </c>
      <c r="CM348" s="27" t="s">
        <v>8</v>
      </c>
      <c r="CN348" s="27" t="s">
        <v>7</v>
      </c>
      <c r="CO348" s="27" t="s">
        <v>8</v>
      </c>
      <c r="CP348" s="27" t="s">
        <v>7</v>
      </c>
      <c r="CQ348" s="27" t="s">
        <v>8</v>
      </c>
      <c r="CR348" s="27" t="s">
        <v>7</v>
      </c>
      <c r="CS348" s="27" t="s">
        <v>8</v>
      </c>
      <c r="CT348" s="27" t="s">
        <v>7</v>
      </c>
      <c r="CU348" s="27" t="s">
        <v>8</v>
      </c>
      <c r="CV348" s="27" t="s">
        <v>7</v>
      </c>
      <c r="CY348" s="27" t="s">
        <v>8</v>
      </c>
      <c r="CZ348" s="27" t="s">
        <v>7</v>
      </c>
      <c r="DA348" s="27" t="s">
        <v>8</v>
      </c>
      <c r="DC348" s="31"/>
    </row>
    <row r="349" spans="1:118" x14ac:dyDescent="0.25">
      <c r="A349" s="30">
        <v>4.9019220559181099E-3</v>
      </c>
      <c r="B349"/>
      <c r="C349"/>
      <c r="D349"/>
      <c r="E349"/>
      <c r="Z349" s="27" t="s">
        <v>7</v>
      </c>
      <c r="AA349" s="27" t="s">
        <v>8</v>
      </c>
      <c r="AB349" s="27" t="s">
        <v>7</v>
      </c>
      <c r="AF349" s="27" t="s">
        <v>7</v>
      </c>
      <c r="AG349" s="27" t="s">
        <v>8</v>
      </c>
      <c r="AJ349" s="27" t="s">
        <v>7</v>
      </c>
      <c r="AK349" s="27" t="s">
        <v>8</v>
      </c>
      <c r="AL349" s="27" t="s">
        <v>7</v>
      </c>
      <c r="AM349" s="27" t="s">
        <v>8</v>
      </c>
      <c r="AN349" s="27" t="s">
        <v>7</v>
      </c>
      <c r="AO349" s="27" t="s">
        <v>8</v>
      </c>
      <c r="AP349" s="27" t="s">
        <v>7</v>
      </c>
      <c r="AQ349" s="27" t="s">
        <v>8</v>
      </c>
      <c r="AR349" s="27" t="s">
        <v>7</v>
      </c>
      <c r="BM349" s="27" t="s">
        <v>8</v>
      </c>
      <c r="BN349" s="27" t="s">
        <v>7</v>
      </c>
      <c r="BO349" s="27" t="s">
        <v>8</v>
      </c>
      <c r="BV349" s="31"/>
      <c r="CF349" s="27" t="s">
        <v>7</v>
      </c>
      <c r="CG349" s="27" t="s">
        <v>8</v>
      </c>
      <c r="CH349" s="27" t="s">
        <v>7</v>
      </c>
      <c r="CI349" s="27" t="s">
        <v>8</v>
      </c>
      <c r="CJ349" s="27" t="s">
        <v>7</v>
      </c>
      <c r="CK349" s="27" t="s">
        <v>8</v>
      </c>
      <c r="CL349" s="27" t="s">
        <v>7</v>
      </c>
      <c r="CM349" s="27" t="s">
        <v>8</v>
      </c>
      <c r="CN349" s="27" t="s">
        <v>7</v>
      </c>
      <c r="CO349" s="27" t="s">
        <v>8</v>
      </c>
      <c r="CP349" s="27" t="s">
        <v>7</v>
      </c>
      <c r="CQ349" s="27" t="s">
        <v>8</v>
      </c>
      <c r="CR349" s="27" t="s">
        <v>7</v>
      </c>
      <c r="CT349" s="27" t="s">
        <v>7</v>
      </c>
      <c r="CU349" s="27" t="s">
        <v>8</v>
      </c>
      <c r="CV349" s="27" t="s">
        <v>7</v>
      </c>
      <c r="CW349" s="27" t="s">
        <v>8</v>
      </c>
      <c r="CY349" s="27" t="s">
        <v>8</v>
      </c>
      <c r="CZ349" s="27" t="s">
        <v>7</v>
      </c>
      <c r="DB349" s="31"/>
    </row>
    <row r="350" spans="1:118" x14ac:dyDescent="0.25">
      <c r="A350" s="30">
        <v>4.6684971961124836E-3</v>
      </c>
      <c r="B350"/>
      <c r="C350"/>
      <c r="D350"/>
      <c r="E350"/>
      <c r="Z350" s="27" t="s">
        <v>7</v>
      </c>
      <c r="AF350" s="27" t="s">
        <v>7</v>
      </c>
      <c r="AJ350" s="27" t="s">
        <v>7</v>
      </c>
      <c r="AL350" s="27" t="s">
        <v>7</v>
      </c>
      <c r="AM350" s="27" t="s">
        <v>8</v>
      </c>
      <c r="AN350" s="27" t="s">
        <v>7</v>
      </c>
      <c r="AO350" s="27" t="s">
        <v>8</v>
      </c>
      <c r="AP350" s="27" t="s">
        <v>7</v>
      </c>
      <c r="AQ350" s="27" t="s">
        <v>8</v>
      </c>
      <c r="AR350" s="27" t="s">
        <v>7</v>
      </c>
      <c r="BK350" s="27" t="s">
        <v>8</v>
      </c>
      <c r="BM350" s="27" t="s">
        <v>8</v>
      </c>
      <c r="BN350" s="27" t="s">
        <v>7</v>
      </c>
      <c r="BO350" s="27" t="s">
        <v>8</v>
      </c>
      <c r="BU350" s="31"/>
      <c r="CF350" s="27" t="s">
        <v>7</v>
      </c>
      <c r="CH350" s="27" t="s">
        <v>7</v>
      </c>
      <c r="CJ350" s="27" t="s">
        <v>7</v>
      </c>
      <c r="CK350" s="27" t="s">
        <v>8</v>
      </c>
      <c r="CL350" s="27" t="s">
        <v>7</v>
      </c>
      <c r="CM350" s="27" t="s">
        <v>8</v>
      </c>
      <c r="CN350" s="27" t="s">
        <v>7</v>
      </c>
      <c r="CO350" s="27" t="s">
        <v>8</v>
      </c>
      <c r="CP350" s="27" t="s">
        <v>7</v>
      </c>
      <c r="CQ350" s="27" t="s">
        <v>8</v>
      </c>
      <c r="CT350" s="27" t="s">
        <v>7</v>
      </c>
      <c r="CV350" s="27" t="s">
        <v>7</v>
      </c>
      <c r="CW350" s="27" t="s">
        <v>8</v>
      </c>
      <c r="CX350" s="27" t="s">
        <v>7</v>
      </c>
      <c r="CY350" s="27" t="s">
        <v>8</v>
      </c>
      <c r="DA350" s="31"/>
    </row>
    <row r="351" spans="1:118" x14ac:dyDescent="0.25">
      <c r="A351" s="30">
        <v>4.4461878058214112E-3</v>
      </c>
      <c r="B351"/>
      <c r="C351"/>
      <c r="D351"/>
      <c r="E351"/>
      <c r="AL351" s="27" t="s">
        <v>7</v>
      </c>
      <c r="AM351" s="27" t="s">
        <v>8</v>
      </c>
      <c r="AN351" s="27" t="s">
        <v>7</v>
      </c>
      <c r="AP351" s="27" t="s">
        <v>7</v>
      </c>
      <c r="AQ351" s="27" t="s">
        <v>8</v>
      </c>
      <c r="AR351" s="27" t="s">
        <v>7</v>
      </c>
      <c r="BK351" s="27" t="s">
        <v>8</v>
      </c>
      <c r="BL351" s="27" t="s">
        <v>7</v>
      </c>
      <c r="BM351" s="27" t="s">
        <v>8</v>
      </c>
      <c r="BN351" s="27" t="s">
        <v>7</v>
      </c>
      <c r="BO351" s="27" t="s">
        <v>8</v>
      </c>
      <c r="BT351" s="31"/>
      <c r="CJ351" s="27" t="s">
        <v>7</v>
      </c>
      <c r="CL351" s="27" t="s">
        <v>7</v>
      </c>
      <c r="CM351" s="27" t="s">
        <v>8</v>
      </c>
      <c r="CN351" s="27" t="s">
        <v>7</v>
      </c>
      <c r="CO351" s="27" t="s">
        <v>8</v>
      </c>
      <c r="CP351" s="27" t="s">
        <v>7</v>
      </c>
      <c r="CV351" s="27" t="s">
        <v>7</v>
      </c>
      <c r="CW351" s="27" t="s">
        <v>8</v>
      </c>
      <c r="CX351" s="27" t="s">
        <v>7</v>
      </c>
      <c r="CY351" s="27" t="s">
        <v>8</v>
      </c>
      <c r="CZ351" s="31"/>
    </row>
    <row r="352" spans="1:118" x14ac:dyDescent="0.25">
      <c r="A352" s="30">
        <v>4.2344645769727711E-3</v>
      </c>
      <c r="B352"/>
      <c r="C352"/>
      <c r="D352"/>
      <c r="E352"/>
      <c r="AL352" s="27" t="s">
        <v>7</v>
      </c>
      <c r="AM352" s="27" t="s">
        <v>8</v>
      </c>
      <c r="AP352" s="27" t="s">
        <v>7</v>
      </c>
      <c r="AQ352" s="27" t="s">
        <v>8</v>
      </c>
      <c r="AR352" s="27" t="s">
        <v>7</v>
      </c>
      <c r="BG352" s="27" t="s">
        <v>8</v>
      </c>
      <c r="BI352" s="27" t="s">
        <v>8</v>
      </c>
      <c r="BK352" s="27" t="s">
        <v>8</v>
      </c>
      <c r="BL352" s="27" t="s">
        <v>7</v>
      </c>
      <c r="BM352" s="27" t="s">
        <v>8</v>
      </c>
      <c r="BN352" s="27" t="s">
        <v>7</v>
      </c>
      <c r="BO352" s="27" t="s">
        <v>8</v>
      </c>
      <c r="BS352" s="31"/>
      <c r="CL352" s="27" t="s">
        <v>7</v>
      </c>
      <c r="CM352" s="27" t="s">
        <v>8</v>
      </c>
      <c r="CN352" s="27" t="s">
        <v>7</v>
      </c>
      <c r="CO352" s="27" t="s">
        <v>8</v>
      </c>
      <c r="CV352" s="27" t="s">
        <v>7</v>
      </c>
      <c r="CX352" s="27" t="s">
        <v>7</v>
      </c>
      <c r="CY352" s="31" t="s">
        <v>8</v>
      </c>
    </row>
    <row r="353" spans="1:102" x14ac:dyDescent="0.25">
      <c r="A353" s="30">
        <v>4.0328234066407329E-3</v>
      </c>
      <c r="B353"/>
      <c r="C353"/>
      <c r="D353"/>
      <c r="E353"/>
      <c r="AL353" s="27" t="s">
        <v>7</v>
      </c>
      <c r="AP353" s="27" t="s">
        <v>7</v>
      </c>
      <c r="AR353" s="27" t="s">
        <v>7</v>
      </c>
      <c r="BG353" s="27" t="s">
        <v>8</v>
      </c>
      <c r="BH353" s="27" t="s">
        <v>7</v>
      </c>
      <c r="BI353" s="27" t="s">
        <v>8</v>
      </c>
      <c r="BJ353" s="27" t="s">
        <v>7</v>
      </c>
      <c r="BK353" s="27" t="s">
        <v>8</v>
      </c>
      <c r="BL353" s="27" t="s">
        <v>7</v>
      </c>
      <c r="BM353" s="27" t="s">
        <v>8</v>
      </c>
      <c r="BN353" s="27" t="s">
        <v>7</v>
      </c>
      <c r="BO353" s="27" t="s">
        <v>8</v>
      </c>
      <c r="BR353" s="31"/>
      <c r="CL353" s="27" t="s">
        <v>7</v>
      </c>
      <c r="CN353" s="27" t="s">
        <v>7</v>
      </c>
      <c r="CX353" s="31" t="s">
        <v>7</v>
      </c>
    </row>
    <row r="354" spans="1:102" x14ac:dyDescent="0.25">
      <c r="A354" s="30">
        <v>3.8407841968006963E-3</v>
      </c>
      <c r="B354"/>
      <c r="C354"/>
      <c r="D354"/>
      <c r="E354"/>
      <c r="AR354" s="27" t="s">
        <v>7</v>
      </c>
      <c r="BG354" s="27" t="s">
        <v>8</v>
      </c>
      <c r="BH354" s="27" t="s">
        <v>7</v>
      </c>
      <c r="BI354" s="27" t="s">
        <v>8</v>
      </c>
      <c r="BJ354" s="27" t="s">
        <v>7</v>
      </c>
      <c r="BK354" s="27" t="s">
        <v>8</v>
      </c>
      <c r="BL354" s="27" t="s">
        <v>7</v>
      </c>
      <c r="BN354" s="27" t="s">
        <v>7</v>
      </c>
      <c r="BO354" s="27" t="s">
        <v>8</v>
      </c>
      <c r="BQ354" s="31"/>
    </row>
    <row r="355" spans="1:102" x14ac:dyDescent="0.25">
      <c r="A355" s="30">
        <v>3.6578897112387568E-3</v>
      </c>
      <c r="B355"/>
      <c r="C355"/>
      <c r="D355"/>
      <c r="E355"/>
      <c r="AR355" s="27" t="s">
        <v>7</v>
      </c>
      <c r="BG355" s="27" t="s">
        <v>8</v>
      </c>
      <c r="BH355" s="27" t="s">
        <v>7</v>
      </c>
      <c r="BJ355" s="27" t="s">
        <v>7</v>
      </c>
      <c r="BK355" s="27" t="s">
        <v>8</v>
      </c>
      <c r="BN355" s="27" t="s">
        <v>7</v>
      </c>
      <c r="BP355" s="31"/>
    </row>
    <row r="356" spans="1:102" x14ac:dyDescent="0.25">
      <c r="A356" s="30">
        <v>3.4837044868940526E-3</v>
      </c>
      <c r="B356"/>
      <c r="C356"/>
      <c r="D356"/>
      <c r="E356"/>
      <c r="AR356" s="27" t="s">
        <v>7</v>
      </c>
      <c r="BG356" s="27" t="s">
        <v>8</v>
      </c>
      <c r="BJ356" s="27" t="s">
        <v>7</v>
      </c>
      <c r="BO356" s="31"/>
    </row>
    <row r="357" spans="1:102" x14ac:dyDescent="0.25">
      <c r="A357" s="30">
        <v>3.3178137970419535E-3</v>
      </c>
      <c r="B357"/>
      <c r="C357"/>
      <c r="D357"/>
      <c r="E357"/>
      <c r="AR357" s="27" t="s">
        <v>7</v>
      </c>
      <c r="BG357" s="27" t="s">
        <v>8</v>
      </c>
      <c r="BN357" s="31"/>
    </row>
    <row r="358" spans="1:102" x14ac:dyDescent="0.25">
      <c r="A358" s="30">
        <v>3.1598226638494781E-3</v>
      </c>
      <c r="B358"/>
      <c r="C358"/>
      <c r="D358"/>
      <c r="E358"/>
      <c r="AR358" s="27" t="s">
        <v>7</v>
      </c>
      <c r="BG358" s="27" t="s">
        <v>8</v>
      </c>
      <c r="BM358" s="31"/>
    </row>
    <row r="359" spans="1:102" x14ac:dyDescent="0.25">
      <c r="A359" s="30">
        <v>3.0093549179518826E-3</v>
      </c>
      <c r="B359"/>
      <c r="C359"/>
      <c r="D359"/>
      <c r="E359"/>
      <c r="AR359" s="27" t="s">
        <v>7</v>
      </c>
      <c r="BG359" s="27" t="s">
        <v>8</v>
      </c>
      <c r="BL359" s="31"/>
    </row>
    <row r="360" spans="1:102" x14ac:dyDescent="0.25">
      <c r="A360" s="30">
        <v>2.8660523028113155E-3</v>
      </c>
      <c r="B360"/>
      <c r="C360"/>
      <c r="D360"/>
      <c r="E360"/>
      <c r="AR360" s="27" t="s">
        <v>7</v>
      </c>
      <c r="BE360" s="27" t="s">
        <v>8</v>
      </c>
      <c r="BG360" s="27" t="s">
        <v>8</v>
      </c>
      <c r="BK360" s="31"/>
    </row>
    <row r="361" spans="1:102" x14ac:dyDescent="0.25">
      <c r="A361" s="30">
        <v>2.7295736217250611E-3</v>
      </c>
      <c r="B361"/>
      <c r="C361"/>
      <c r="D361"/>
      <c r="E361"/>
      <c r="AR361" s="27" t="s">
        <v>7</v>
      </c>
      <c r="BA361" s="27" t="s">
        <v>8</v>
      </c>
      <c r="BC361" s="27" t="s">
        <v>8</v>
      </c>
      <c r="BE361" s="27" t="s">
        <v>8</v>
      </c>
      <c r="BF361" s="27" t="s">
        <v>7</v>
      </c>
      <c r="BG361" s="27" t="s">
        <v>8</v>
      </c>
      <c r="BJ361" s="31"/>
    </row>
    <row r="362" spans="1:102" x14ac:dyDescent="0.25">
      <c r="A362" s="30">
        <v>2.5995939254524381E-3</v>
      </c>
      <c r="B362"/>
      <c r="C362"/>
      <c r="D362"/>
      <c r="E362"/>
      <c r="AR362" s="27" t="s">
        <v>7</v>
      </c>
      <c r="AU362" s="27" t="s">
        <v>8</v>
      </c>
      <c r="BA362" s="27" t="s">
        <v>8</v>
      </c>
      <c r="BB362" s="27" t="s">
        <v>7</v>
      </c>
      <c r="BC362" s="27" t="s">
        <v>8</v>
      </c>
      <c r="BD362" s="27" t="s">
        <v>7</v>
      </c>
      <c r="BE362" s="27" t="s">
        <v>8</v>
      </c>
      <c r="BF362" s="27" t="s">
        <v>7</v>
      </c>
      <c r="BG362" s="27" t="s">
        <v>8</v>
      </c>
      <c r="BI362" s="31"/>
    </row>
    <row r="363" spans="1:102" x14ac:dyDescent="0.25">
      <c r="A363" s="30">
        <v>2.4758037385261304E-3</v>
      </c>
      <c r="B363"/>
      <c r="C363"/>
      <c r="D363"/>
      <c r="E363"/>
      <c r="AR363" s="27" t="s">
        <v>7</v>
      </c>
      <c r="AU363" s="27" t="s">
        <v>8</v>
      </c>
      <c r="AV363" s="27" t="s">
        <v>7</v>
      </c>
      <c r="AY363" s="27" t="s">
        <v>8</v>
      </c>
      <c r="BA363" s="27" t="s">
        <v>8</v>
      </c>
      <c r="BB363" s="27" t="s">
        <v>7</v>
      </c>
      <c r="BC363" s="27" t="s">
        <v>8</v>
      </c>
      <c r="BD363" s="27" t="s">
        <v>7</v>
      </c>
      <c r="BE363" s="27" t="s">
        <v>8</v>
      </c>
      <c r="BF363" s="27" t="s">
        <v>7</v>
      </c>
      <c r="BG363" s="27" t="s">
        <v>8</v>
      </c>
      <c r="BH363" s="31"/>
    </row>
    <row r="364" spans="1:102" x14ac:dyDescent="0.25">
      <c r="A364" s="30">
        <v>2.3579083224058374E-3</v>
      </c>
      <c r="B364"/>
      <c r="C364"/>
      <c r="D364"/>
      <c r="E364"/>
      <c r="AR364" s="27" t="s">
        <v>7</v>
      </c>
      <c r="AU364" s="27" t="s">
        <v>8</v>
      </c>
      <c r="AV364" s="27" t="s">
        <v>7</v>
      </c>
      <c r="AW364" s="27" t="s">
        <v>8</v>
      </c>
      <c r="AY364" s="27" t="s">
        <v>8</v>
      </c>
      <c r="AZ364" s="27" t="s">
        <v>7</v>
      </c>
      <c r="BA364" s="27" t="s">
        <v>8</v>
      </c>
      <c r="BB364" s="27" t="s">
        <v>7</v>
      </c>
      <c r="BD364" s="27" t="s">
        <v>7</v>
      </c>
      <c r="BF364" s="31" t="s">
        <v>7</v>
      </c>
      <c r="BG364" s="31" t="s">
        <v>8</v>
      </c>
    </row>
    <row r="365" spans="1:102" x14ac:dyDescent="0.25">
      <c r="A365" s="30">
        <v>2.245626973719844E-3</v>
      </c>
      <c r="B365"/>
      <c r="C365"/>
      <c r="D365"/>
      <c r="E365"/>
      <c r="AR365" s="27" t="s">
        <v>7</v>
      </c>
      <c r="AU365" s="27" t="s">
        <v>8</v>
      </c>
      <c r="AV365" s="27" t="s">
        <v>7</v>
      </c>
      <c r="AW365" s="27" t="s">
        <v>8</v>
      </c>
      <c r="AX365" s="27" t="s">
        <v>7</v>
      </c>
      <c r="AY365" s="27" t="s">
        <v>8</v>
      </c>
      <c r="AZ365" s="27" t="s">
        <v>7</v>
      </c>
      <c r="BA365" s="27" t="s">
        <v>8</v>
      </c>
      <c r="BE365" s="31"/>
      <c r="BF365" s="27" t="s">
        <v>7</v>
      </c>
    </row>
    <row r="366" spans="1:102" x14ac:dyDescent="0.25">
      <c r="A366" s="30">
        <v>2.1386923559236601E-3</v>
      </c>
      <c r="B366"/>
      <c r="C366"/>
      <c r="D366"/>
      <c r="E366"/>
      <c r="AR366" s="27" t="s">
        <v>7</v>
      </c>
      <c r="AU366" s="27" t="s">
        <v>8</v>
      </c>
      <c r="AV366" s="27" t="s">
        <v>7</v>
      </c>
      <c r="AW366" s="27" t="s">
        <v>8</v>
      </c>
      <c r="AX366" s="27" t="s">
        <v>7</v>
      </c>
      <c r="AY366" s="27" t="s">
        <v>8</v>
      </c>
      <c r="AZ366" s="27" t="s">
        <v>7</v>
      </c>
      <c r="BA366" s="27" t="s">
        <v>8</v>
      </c>
      <c r="BD366" s="31"/>
    </row>
    <row r="367" spans="1:102" x14ac:dyDescent="0.25">
      <c r="A367" s="30">
        <v>2.0368498627844375E-3</v>
      </c>
      <c r="B367"/>
      <c r="C367"/>
      <c r="D367"/>
      <c r="E367"/>
      <c r="AR367" s="27" t="s">
        <v>7</v>
      </c>
      <c r="AS367" s="27" t="s">
        <v>8</v>
      </c>
      <c r="AU367" s="27" t="s">
        <v>8</v>
      </c>
      <c r="AV367" s="27" t="s">
        <v>7</v>
      </c>
      <c r="AW367" s="27" t="s">
        <v>8</v>
      </c>
      <c r="AX367" s="27" t="s">
        <v>7</v>
      </c>
      <c r="AZ367" s="27" t="s">
        <v>7</v>
      </c>
      <c r="BC367" s="31"/>
    </row>
    <row r="368" spans="1:102" x14ac:dyDescent="0.25">
      <c r="A368" s="30">
        <v>1.9398570121756541E-3</v>
      </c>
      <c r="B368"/>
      <c r="C368"/>
      <c r="D368"/>
      <c r="E368"/>
      <c r="AR368" s="27" t="s">
        <v>7</v>
      </c>
      <c r="AS368" s="27" t="s">
        <v>8</v>
      </c>
      <c r="AT368" s="27" t="s">
        <v>7</v>
      </c>
      <c r="AU368" s="27" t="s">
        <v>8</v>
      </c>
      <c r="AV368" s="27" t="s">
        <v>7</v>
      </c>
      <c r="AW368" s="27" t="s">
        <v>8</v>
      </c>
      <c r="BB368" s="31"/>
    </row>
    <row r="369" spans="1:53" x14ac:dyDescent="0.25">
      <c r="A369" s="30">
        <v>1.8474828687387174E-3</v>
      </c>
      <c r="B369"/>
      <c r="C369"/>
      <c r="D369"/>
      <c r="E369"/>
      <c r="AR369" s="27" t="s">
        <v>7</v>
      </c>
      <c r="AS369" s="27" t="s">
        <v>8</v>
      </c>
      <c r="AT369" s="27" t="s">
        <v>7</v>
      </c>
      <c r="AU369" s="27" t="s">
        <v>8</v>
      </c>
      <c r="AV369" s="27" t="s">
        <v>7</v>
      </c>
      <c r="BA369" s="31"/>
    </row>
    <row r="370" spans="1:53" x14ac:dyDescent="0.25">
      <c r="A370" s="30">
        <v>1.759507494036873E-3</v>
      </c>
      <c r="B370"/>
      <c r="C370"/>
      <c r="D370"/>
      <c r="E370"/>
      <c r="AR370" s="27" t="s">
        <v>7</v>
      </c>
      <c r="AS370" s="27" t="s">
        <v>8</v>
      </c>
      <c r="AT370" s="27" t="s">
        <v>7</v>
      </c>
      <c r="AU370" s="27" t="s">
        <v>8</v>
      </c>
      <c r="AZ370" s="31"/>
    </row>
    <row r="371" spans="1:53" x14ac:dyDescent="0.25">
      <c r="A371" s="30">
        <v>1.6757214228922594E-3</v>
      </c>
      <c r="B371"/>
      <c r="C371"/>
      <c r="D371"/>
      <c r="E371"/>
      <c r="AR371" s="27" t="s">
        <v>7</v>
      </c>
      <c r="AS371" s="27" t="s">
        <v>8</v>
      </c>
      <c r="AT371" s="27" t="s">
        <v>7</v>
      </c>
      <c r="AU371" s="27" t="s">
        <v>8</v>
      </c>
      <c r="AY371" s="31"/>
    </row>
    <row r="372" spans="1:53" x14ac:dyDescent="0.25">
      <c r="A372" s="30">
        <v>1.595925164659294E-3</v>
      </c>
      <c r="B372"/>
      <c r="C372"/>
      <c r="D372"/>
      <c r="E372"/>
      <c r="AR372" s="27" t="s">
        <v>7</v>
      </c>
      <c r="AS372" s="27" t="s">
        <v>8</v>
      </c>
      <c r="AT372" s="27" t="s">
        <v>7</v>
      </c>
      <c r="AU372" s="27" t="s">
        <v>8</v>
      </c>
      <c r="AX372" s="31"/>
    </row>
    <row r="373" spans="1:53" x14ac:dyDescent="0.25">
      <c r="A373" s="30">
        <v>1.5199287282469461E-3</v>
      </c>
      <c r="B373"/>
      <c r="C373"/>
      <c r="D373"/>
      <c r="E373"/>
      <c r="AR373" s="27" t="s">
        <v>7</v>
      </c>
      <c r="AS373" s="27" t="s">
        <v>8</v>
      </c>
      <c r="AT373" s="27" t="s">
        <v>7</v>
      </c>
      <c r="AU373" s="27" t="s">
        <v>8</v>
      </c>
      <c r="AW373" s="31"/>
    </row>
    <row r="374" spans="1:53" x14ac:dyDescent="0.25">
      <c r="A374" s="30">
        <v>1.4475511697589958E-3</v>
      </c>
      <c r="B374"/>
      <c r="C374"/>
      <c r="D374"/>
      <c r="E374"/>
      <c r="AR374" s="27" t="s">
        <v>7</v>
      </c>
      <c r="AS374" s="27" t="s">
        <v>8</v>
      </c>
      <c r="AT374" s="27" t="s">
        <v>7</v>
      </c>
      <c r="AU374" s="27" t="s">
        <v>8</v>
      </c>
      <c r="AV374" s="31"/>
    </row>
    <row r="375" spans="1:53" x14ac:dyDescent="0.25">
      <c r="A375" s="30">
        <v>1.3786201616752334E-3</v>
      </c>
      <c r="B375"/>
      <c r="C375"/>
      <c r="D375"/>
      <c r="E375"/>
      <c r="AR375" s="27" t="s">
        <v>7</v>
      </c>
      <c r="AS375" s="27" t="s">
        <v>8</v>
      </c>
      <c r="AT375" s="27" t="s">
        <v>7</v>
      </c>
      <c r="AU375" s="31"/>
    </row>
    <row r="376" spans="1:53" x14ac:dyDescent="0.25">
      <c r="A376" s="30">
        <v>1.3129715825478407E-3</v>
      </c>
      <c r="B376"/>
      <c r="C376"/>
      <c r="D376"/>
      <c r="E376"/>
      <c r="AR376" s="27" t="s">
        <v>7</v>
      </c>
      <c r="AS376" s="27" t="s">
        <v>8</v>
      </c>
      <c r="AT376" s="31"/>
    </row>
    <row r="377" spans="1:53" x14ac:dyDescent="0.25">
      <c r="A377" s="30">
        <v>1.2504491262360382E-3</v>
      </c>
      <c r="B377"/>
      <c r="C377"/>
      <c r="D377"/>
      <c r="E377"/>
      <c r="AR377" s="27" t="s">
        <v>7</v>
      </c>
      <c r="AS377" s="31" t="s">
        <v>8</v>
      </c>
    </row>
    <row r="378" spans="1:53" x14ac:dyDescent="0.25">
      <c r="A378" s="30">
        <v>1.1909039297486072E-3</v>
      </c>
      <c r="B378"/>
      <c r="C378"/>
      <c r="D378"/>
      <c r="E378"/>
      <c r="AR378" s="31" t="s">
        <v>7</v>
      </c>
    </row>
    <row r="379" spans="1:53" x14ac:dyDescent="0.25">
      <c r="A379" s="30">
        <v>1.1341942188081969E-3</v>
      </c>
      <c r="B379"/>
      <c r="C379"/>
      <c r="D379"/>
      <c r="E379"/>
    </row>
    <row r="380" spans="1:53" x14ac:dyDescent="0.25">
      <c r="A380" s="30">
        <v>1.0801849702935203E-3</v>
      </c>
      <c r="B380"/>
      <c r="C380"/>
      <c r="D380"/>
      <c r="E380"/>
    </row>
    <row r="381" spans="1:53" x14ac:dyDescent="0.25">
      <c r="A381" s="30">
        <v>1.0287475907557332E-3</v>
      </c>
      <c r="B381"/>
      <c r="C381"/>
      <c r="D381"/>
      <c r="E381"/>
    </row>
    <row r="382" spans="1:53" x14ac:dyDescent="0.25">
      <c r="A382" s="30">
        <v>9.7731021121794646E-4</v>
      </c>
    </row>
    <row r="383" spans="1:53" x14ac:dyDescent="0.25">
      <c r="A383" s="30">
        <v>9.2844470065704904E-4</v>
      </c>
    </row>
    <row r="384" spans="1:53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392" operator="equal">
      <formula>$U$1</formula>
    </cfRule>
    <cfRule type="cellIs" dxfId="67" priority="1393" operator="equal">
      <formula>$S$1</formula>
    </cfRule>
  </conditionalFormatting>
  <conditionalFormatting sqref="D136">
    <cfRule type="cellIs" dxfId="66" priority="1390" operator="equal">
      <formula>$S$1</formula>
    </cfRule>
    <cfRule type="cellIs" dxfId="65" priority="1391" operator="equal">
      <formula>$U$1</formula>
    </cfRule>
  </conditionalFormatting>
  <conditionalFormatting sqref="C162">
    <cfRule type="cellIs" dxfId="64" priority="1388" operator="equal">
      <formula>$U$1</formula>
    </cfRule>
    <cfRule type="cellIs" dxfId="63" priority="1389" operator="equal">
      <formula>$S$1</formula>
    </cfRule>
  </conditionalFormatting>
  <conditionalFormatting sqref="D162">
    <cfRule type="cellIs" dxfId="62" priority="1386" operator="equal">
      <formula>$S$1</formula>
    </cfRule>
    <cfRule type="cellIs" dxfId="61" priority="1387" operator="equal">
      <formula>$U$1</formula>
    </cfRule>
  </conditionalFormatting>
  <conditionalFormatting sqref="C187">
    <cfRule type="cellIs" dxfId="60" priority="1384" operator="equal">
      <formula>$U$1</formula>
    </cfRule>
    <cfRule type="cellIs" dxfId="59" priority="1385" operator="equal">
      <formula>$S$1</formula>
    </cfRule>
  </conditionalFormatting>
  <conditionalFormatting sqref="D187">
    <cfRule type="cellIs" dxfId="58" priority="1382" operator="equal">
      <formula>$S$1</formula>
    </cfRule>
    <cfRule type="cellIs" dxfId="57" priority="1383" operator="equal">
      <formula>$U$1</formula>
    </cfRule>
  </conditionalFormatting>
  <conditionalFormatting sqref="C212">
    <cfRule type="cellIs" dxfId="56" priority="1380" operator="equal">
      <formula>$U$1</formula>
    </cfRule>
    <cfRule type="cellIs" dxfId="55" priority="1381" operator="equal">
      <formula>$S$1</formula>
    </cfRule>
  </conditionalFormatting>
  <conditionalFormatting sqref="D212">
    <cfRule type="cellIs" dxfId="54" priority="1378" operator="equal">
      <formula>$S$1</formula>
    </cfRule>
    <cfRule type="cellIs" dxfId="53" priority="1379" operator="equal">
      <formula>$U$1</formula>
    </cfRule>
  </conditionalFormatting>
  <conditionalFormatting sqref="C237">
    <cfRule type="cellIs" dxfId="52" priority="1376" operator="equal">
      <formula>$U$1</formula>
    </cfRule>
    <cfRule type="cellIs" dxfId="51" priority="1377" operator="equal">
      <formula>$S$1</formula>
    </cfRule>
  </conditionalFormatting>
  <conditionalFormatting sqref="D237">
    <cfRule type="cellIs" dxfId="50" priority="1374" operator="equal">
      <formula>$S$1</formula>
    </cfRule>
    <cfRule type="cellIs" dxfId="49" priority="1375" operator="equal">
      <formula>$U$1</formula>
    </cfRule>
  </conditionalFormatting>
  <conditionalFormatting sqref="C106">
    <cfRule type="cellIs" dxfId="48" priority="1372" operator="equal">
      <formula>$U$1</formula>
    </cfRule>
    <cfRule type="cellIs" dxfId="47" priority="1373" operator="equal">
      <formula>$S$1</formula>
    </cfRule>
  </conditionalFormatting>
  <conditionalFormatting sqref="D106">
    <cfRule type="cellIs" dxfId="46" priority="1370" operator="equal">
      <formula>$S$1</formula>
    </cfRule>
    <cfRule type="cellIs" dxfId="45" priority="1371" operator="equal">
      <formula>$U$1</formula>
    </cfRule>
  </conditionalFormatting>
  <conditionalFormatting sqref="C81">
    <cfRule type="cellIs" dxfId="44" priority="1368" operator="equal">
      <formula>$U$1</formula>
    </cfRule>
    <cfRule type="cellIs" dxfId="43" priority="1369" operator="equal">
      <formula>$S$1</formula>
    </cfRule>
  </conditionalFormatting>
  <conditionalFormatting sqref="D81">
    <cfRule type="cellIs" dxfId="42" priority="1366" operator="equal">
      <formula>$S$1</formula>
    </cfRule>
    <cfRule type="cellIs" dxfId="41" priority="1367" operator="equal">
      <formula>$U$1</formula>
    </cfRule>
  </conditionalFormatting>
  <conditionalFormatting sqref="C56">
    <cfRule type="cellIs" dxfId="40" priority="1364" operator="equal">
      <formula>$U$1</formula>
    </cfRule>
    <cfRule type="cellIs" dxfId="39" priority="1365" operator="equal">
      <formula>$S$1</formula>
    </cfRule>
  </conditionalFormatting>
  <conditionalFormatting sqref="D56">
    <cfRule type="cellIs" dxfId="38" priority="1362" operator="equal">
      <formula>$S$1</formula>
    </cfRule>
    <cfRule type="cellIs" dxfId="37" priority="1363" operator="equal">
      <formula>$U$1</formula>
    </cfRule>
  </conditionalFormatting>
  <conditionalFormatting sqref="C31">
    <cfRule type="cellIs" dxfId="36" priority="1360" operator="equal">
      <formula>$U$1</formula>
    </cfRule>
    <cfRule type="cellIs" dxfId="35" priority="1361" operator="equal">
      <formula>$S$1</formula>
    </cfRule>
  </conditionalFormatting>
  <conditionalFormatting sqref="D31">
    <cfRule type="cellIs" dxfId="34" priority="1358" operator="equal">
      <formula>$S$1</formula>
    </cfRule>
    <cfRule type="cellIs" dxfId="33" priority="1359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18" zoomScale="90" zoomScaleNormal="90" workbookViewId="0">
      <pane xSplit="4" topLeftCell="P1" activePane="topRight" state="frozen"/>
      <selection activeCell="A109" sqref="A109"/>
      <selection pane="topRight" activeCell="BT139" sqref="BT13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$A$138</v>
      </c>
      <c r="D111" s="1" t="str">
        <f>ADDRESS(C121-1,D121,1,1)</f>
        <v>$BT$138</v>
      </c>
      <c r="E111"/>
    </row>
    <row r="112" spans="1:5" x14ac:dyDescent="0.25">
      <c r="A112" s="30">
        <v>2.3579476910000019</v>
      </c>
      <c r="C112" s="1" t="str">
        <f>ADDRESS(C121,1,1,1)</f>
        <v>$A$139</v>
      </c>
      <c r="D112" s="1" t="str">
        <f>ADDRESS(C121,D121-1,1,1)</f>
        <v>$BS$139</v>
      </c>
      <c r="E112"/>
    </row>
    <row r="113" spans="1:6" x14ac:dyDescent="0.25">
      <c r="A113" s="30">
        <v>2.1435888100000016</v>
      </c>
      <c r="C113" s="1" t="str">
        <f>ADDRESS(C121+1,1,1,1)</f>
        <v>$A$140</v>
      </c>
      <c r="D113" s="1" t="str">
        <f>ADDRESS(C121-1,D121+1,1,1)</f>
        <v>$BU$138</v>
      </c>
    </row>
    <row r="114" spans="1:6" x14ac:dyDescent="0.25">
      <c r="A114" s="30">
        <v>1.9487171000000014</v>
      </c>
      <c r="C114" s="1" t="str">
        <f>ADDRESS(C121,D121,1,1)</f>
        <v>$BT$139</v>
      </c>
      <c r="D114" s="1" t="str">
        <f>ADDRESS(C121+1,D121+1,1,1)</f>
        <v>$BU$140</v>
      </c>
    </row>
    <row r="115" spans="1:6" x14ac:dyDescent="0.25">
      <c r="A115" s="30">
        <v>1.7715610000000011</v>
      </c>
      <c r="C115" s="1" t="str">
        <f>ADDRESS(C121+1,D121,1,1)</f>
        <v>$BT$140</v>
      </c>
    </row>
    <row r="116" spans="1:6" x14ac:dyDescent="0.25">
      <c r="A116" s="30">
        <v>1.6105100000000008</v>
      </c>
      <c r="C116" s="1">
        <f>C117-1</f>
        <v>138</v>
      </c>
    </row>
    <row r="117" spans="1:6" x14ac:dyDescent="0.25">
      <c r="A117" s="30">
        <v>1.4641000000000006</v>
      </c>
      <c r="C117" s="1">
        <f>C121</f>
        <v>139</v>
      </c>
      <c r="D117" s="1">
        <f>D121</f>
        <v>72</v>
      </c>
    </row>
    <row r="118" spans="1:6" x14ac:dyDescent="0.25">
      <c r="A118" s="30">
        <v>1.3310000000000004</v>
      </c>
      <c r="C118" s="1">
        <f>C117+1</f>
        <v>140</v>
      </c>
      <c r="D118" s="1">
        <f>D117+1</f>
        <v>73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139</v>
      </c>
      <c r="D121" s="19">
        <v>72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R139</v>
      </c>
      <c r="D123" s="1" t="str">
        <f>"C"&amp;D121</f>
        <v>C72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0.17985878990921333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73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73" x14ac:dyDescent="0.25">
      <c r="A130" s="30">
        <v>0.42409761837248428</v>
      </c>
      <c r="C130" s="6"/>
      <c r="D130" s="6"/>
      <c r="E130"/>
      <c r="F130" s="27" t="s">
        <v>7</v>
      </c>
    </row>
    <row r="131" spans="1:73" x14ac:dyDescent="0.25">
      <c r="A131" s="30">
        <v>0.38554328942953109</v>
      </c>
      <c r="E131"/>
      <c r="F131" s="27" t="s">
        <v>7</v>
      </c>
    </row>
    <row r="132" spans="1:73" x14ac:dyDescent="0.25">
      <c r="A132" s="30">
        <v>0.35049389948139187</v>
      </c>
      <c r="C132" s="1" t="s">
        <v>13</v>
      </c>
      <c r="E132"/>
      <c r="F132" s="27" t="s">
        <v>7</v>
      </c>
      <c r="BO132" s="27" t="s">
        <v>8</v>
      </c>
      <c r="BS132" s="27" t="s">
        <v>8</v>
      </c>
    </row>
    <row r="133" spans="1:73" x14ac:dyDescent="0.25">
      <c r="A133" s="30">
        <v>0.31863081771035617</v>
      </c>
      <c r="C133" s="1" t="str">
        <f>C122</f>
        <v>O</v>
      </c>
      <c r="E133"/>
      <c r="F133" s="27" t="s">
        <v>7</v>
      </c>
      <c r="BO133" s="27" t="s">
        <v>8</v>
      </c>
      <c r="BP133" s="27" t="s">
        <v>7</v>
      </c>
      <c r="BQ133" s="27" t="s">
        <v>8</v>
      </c>
      <c r="BS133" s="27" t="s">
        <v>8</v>
      </c>
      <c r="BT133" s="27" t="s">
        <v>7</v>
      </c>
    </row>
    <row r="134" spans="1:73" x14ac:dyDescent="0.25">
      <c r="A134" s="30">
        <v>0.28966437973668741</v>
      </c>
      <c r="C134"/>
      <c r="D134"/>
      <c r="E134"/>
      <c r="F134" s="27" t="s">
        <v>7</v>
      </c>
      <c r="BO134" s="27" t="s">
        <v>8</v>
      </c>
      <c r="BP134" s="27" t="s">
        <v>7</v>
      </c>
      <c r="BQ134" s="27" t="s">
        <v>8</v>
      </c>
      <c r="BR134" s="27" t="s">
        <v>7</v>
      </c>
      <c r="BS134" s="27" t="s">
        <v>8</v>
      </c>
      <c r="BT134" s="27" t="s">
        <v>7</v>
      </c>
    </row>
    <row r="135" spans="1:73" x14ac:dyDescent="0.25">
      <c r="A135" s="30">
        <v>0.2633312543060794</v>
      </c>
      <c r="C135" s="1" t="s">
        <v>14</v>
      </c>
      <c r="E135"/>
      <c r="F135" s="27" t="s">
        <v>7</v>
      </c>
      <c r="BO135" s="27" t="s">
        <v>8</v>
      </c>
      <c r="BP135" s="27" t="s">
        <v>7</v>
      </c>
      <c r="BQ135" s="27" t="s">
        <v>8</v>
      </c>
      <c r="BR135" s="27" t="s">
        <v>7</v>
      </c>
      <c r="BS135" s="27" t="s">
        <v>8</v>
      </c>
      <c r="BT135" s="27" t="s">
        <v>7</v>
      </c>
    </row>
    <row r="136" spans="1:73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BO136" s="27" t="s">
        <v>8</v>
      </c>
      <c r="BP136" s="27" t="s">
        <v>7</v>
      </c>
      <c r="BR136" s="27" t="s">
        <v>7</v>
      </c>
      <c r="BS136" s="27" t="s">
        <v>8</v>
      </c>
      <c r="BT136" s="27" t="s">
        <v>7</v>
      </c>
    </row>
    <row r="137" spans="1:73" x14ac:dyDescent="0.25">
      <c r="A137" s="30">
        <v>0.2176291357901482</v>
      </c>
      <c r="E137"/>
      <c r="F137" s="27" t="s">
        <v>7</v>
      </c>
      <c r="AQ137" s="34" t="s">
        <v>8</v>
      </c>
      <c r="AS137" s="34" t="s">
        <v>8</v>
      </c>
      <c r="BM137" s="27" t="s">
        <v>8</v>
      </c>
      <c r="BO137" s="27" t="s">
        <v>8</v>
      </c>
      <c r="BR137" s="27" t="s">
        <v>7</v>
      </c>
      <c r="BS137" s="27" t="s">
        <v>8</v>
      </c>
      <c r="BT137" s="27" t="s">
        <v>7</v>
      </c>
    </row>
    <row r="138" spans="1:73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AQ138" s="27" t="s">
        <v>8</v>
      </c>
      <c r="AR138" s="27" t="s">
        <v>7</v>
      </c>
      <c r="AS138" s="27" t="s">
        <v>8</v>
      </c>
      <c r="AT138" s="27" t="s">
        <v>7</v>
      </c>
      <c r="BM138" s="27" t="s">
        <v>8</v>
      </c>
      <c r="BN138" s="27" t="s">
        <v>7</v>
      </c>
      <c r="BO138" s="27" t="s">
        <v>8</v>
      </c>
      <c r="BR138" s="27" t="s">
        <v>7</v>
      </c>
      <c r="BS138" s="27" t="s">
        <v>8</v>
      </c>
      <c r="BT138" s="27" t="s">
        <v>7</v>
      </c>
    </row>
    <row r="139" spans="1:73" x14ac:dyDescent="0.25">
      <c r="A139" s="30">
        <v>0.17985878990921333</v>
      </c>
      <c r="E139"/>
      <c r="F139" s="27" t="s">
        <v>7</v>
      </c>
      <c r="AQ139" s="27" t="s">
        <v>8</v>
      </c>
      <c r="AR139" s="27" t="s">
        <v>7</v>
      </c>
      <c r="AS139" s="27" t="s">
        <v>8</v>
      </c>
      <c r="AT139" s="27" t="s">
        <v>7</v>
      </c>
      <c r="BA139" s="34" t="s">
        <v>8</v>
      </c>
      <c r="BC139" s="34" t="s">
        <v>8</v>
      </c>
      <c r="BM139" s="27" t="s">
        <v>8</v>
      </c>
      <c r="BN139" s="27" t="s">
        <v>7</v>
      </c>
      <c r="BO139" s="27" t="s">
        <v>8</v>
      </c>
      <c r="BR139" s="27" t="s">
        <v>7</v>
      </c>
      <c r="BS139" s="27" t="s">
        <v>8</v>
      </c>
      <c r="BT139" s="27" t="s">
        <v>7</v>
      </c>
    </row>
    <row r="140" spans="1:73" x14ac:dyDescent="0.25">
      <c r="A140" s="30">
        <v>0.16350799082655756</v>
      </c>
      <c r="C140" s="1">
        <v>0</v>
      </c>
      <c r="E140"/>
      <c r="F140" s="27" t="s">
        <v>7</v>
      </c>
      <c r="AQ140" s="27" t="s">
        <v>8</v>
      </c>
      <c r="AR140" s="27" t="s">
        <v>7</v>
      </c>
      <c r="AT140" s="27" t="s">
        <v>7</v>
      </c>
      <c r="AU140" s="27" t="s">
        <v>8</v>
      </c>
      <c r="BA140" s="27" t="s">
        <v>8</v>
      </c>
      <c r="BB140" s="27" t="s">
        <v>7</v>
      </c>
      <c r="BC140" s="27" t="s">
        <v>8</v>
      </c>
      <c r="BD140" s="31" t="s">
        <v>7</v>
      </c>
      <c r="BM140" s="27" t="s">
        <v>8</v>
      </c>
      <c r="BN140" s="27" t="s">
        <v>7</v>
      </c>
      <c r="BO140" s="27" t="s">
        <v>8</v>
      </c>
      <c r="BR140" s="27" t="s">
        <v>7</v>
      </c>
      <c r="BS140" s="27" t="s">
        <v>8</v>
      </c>
    </row>
    <row r="141" spans="1:73" x14ac:dyDescent="0.25">
      <c r="A141" s="30">
        <v>0.14864362802414322</v>
      </c>
      <c r="C141" s="1">
        <v>1</v>
      </c>
      <c r="E141"/>
      <c r="F141" s="27" t="s">
        <v>7</v>
      </c>
      <c r="AQ141" s="27" t="s">
        <v>8</v>
      </c>
      <c r="AT141" s="33" t="s">
        <v>7</v>
      </c>
      <c r="AU141" s="27" t="s">
        <v>8</v>
      </c>
      <c r="AV141" s="27" t="s">
        <v>7</v>
      </c>
      <c r="AY141" s="32" t="s">
        <v>8</v>
      </c>
      <c r="BA141" s="27" t="s">
        <v>8</v>
      </c>
      <c r="BB141" s="27" t="s">
        <v>7</v>
      </c>
      <c r="BC141" s="27" t="s">
        <v>8</v>
      </c>
      <c r="BD141" s="27" t="s">
        <v>7</v>
      </c>
      <c r="BE141" s="31"/>
      <c r="BM141" s="27" t="s">
        <v>8</v>
      </c>
      <c r="BN141" s="27" t="s">
        <v>7</v>
      </c>
      <c r="BO141" s="27" t="s">
        <v>8</v>
      </c>
      <c r="BR141" s="27" t="s">
        <v>7</v>
      </c>
      <c r="BS141" s="27" t="s">
        <v>8</v>
      </c>
    </row>
    <row r="142" spans="1:73" x14ac:dyDescent="0.25">
      <c r="A142" s="30">
        <v>0.13513057093103928</v>
      </c>
      <c r="C142" s="1">
        <v>2</v>
      </c>
      <c r="E142"/>
      <c r="F142" s="27" t="s">
        <v>7</v>
      </c>
      <c r="AQ142" s="27" t="s">
        <v>8</v>
      </c>
      <c r="AT142" s="27" t="s">
        <v>7</v>
      </c>
      <c r="AU142" s="27" t="s">
        <v>8</v>
      </c>
      <c r="AV142" s="27" t="s">
        <v>7</v>
      </c>
      <c r="AW142" s="27" t="s">
        <v>8</v>
      </c>
      <c r="AY142" s="27" t="s">
        <v>8</v>
      </c>
      <c r="AZ142" s="27" t="s">
        <v>7</v>
      </c>
      <c r="BA142" s="27" t="s">
        <v>8</v>
      </c>
      <c r="BB142" s="27" t="s">
        <v>7</v>
      </c>
      <c r="BD142" s="27" t="s">
        <v>7</v>
      </c>
      <c r="BE142" s="27" t="s">
        <v>8</v>
      </c>
      <c r="BF142" s="31"/>
      <c r="BM142" s="27" t="s">
        <v>8</v>
      </c>
      <c r="BN142" s="27" t="s">
        <v>7</v>
      </c>
      <c r="BO142" s="27" t="s">
        <v>8</v>
      </c>
      <c r="BR142" s="27" t="s">
        <v>7</v>
      </c>
      <c r="BU142" s="31"/>
    </row>
    <row r="143" spans="1:73" x14ac:dyDescent="0.25">
      <c r="A143" s="30">
        <v>0.12284597357367205</v>
      </c>
      <c r="C143" s="1">
        <v>3</v>
      </c>
      <c r="E143"/>
      <c r="F143" s="27" t="s">
        <v>7</v>
      </c>
      <c r="AQ143" s="27" t="s">
        <v>8</v>
      </c>
      <c r="AT143" s="27" t="s">
        <v>7</v>
      </c>
      <c r="AV143" s="27" t="s">
        <v>7</v>
      </c>
      <c r="AW143" s="27" t="s">
        <v>8</v>
      </c>
      <c r="AX143" s="27" t="s">
        <v>7</v>
      </c>
      <c r="AY143" s="27" t="s">
        <v>8</v>
      </c>
      <c r="AZ143" s="27" t="s">
        <v>7</v>
      </c>
      <c r="BA143" s="27" t="s">
        <v>8</v>
      </c>
      <c r="BD143" s="33" t="s">
        <v>7</v>
      </c>
      <c r="BE143" s="27" t="s">
        <v>8</v>
      </c>
      <c r="BF143" s="27" t="s">
        <v>7</v>
      </c>
      <c r="BG143" s="31"/>
      <c r="BM143" s="27" t="s">
        <v>8</v>
      </c>
      <c r="BN143" s="27" t="s">
        <v>7</v>
      </c>
      <c r="BT143" s="31"/>
    </row>
    <row r="144" spans="1:73" x14ac:dyDescent="0.25">
      <c r="A144" s="30">
        <v>0.11167815779424731</v>
      </c>
      <c r="C144" s="1">
        <v>4</v>
      </c>
      <c r="E144"/>
      <c r="F144" s="27" t="s">
        <v>7</v>
      </c>
      <c r="AQ144" s="27" t="s">
        <v>8</v>
      </c>
      <c r="AV144" s="27" t="s">
        <v>7</v>
      </c>
      <c r="AW144" s="27" t="s">
        <v>8</v>
      </c>
      <c r="AX144" s="27" t="s">
        <v>7</v>
      </c>
      <c r="AY144" s="27" t="s">
        <v>8</v>
      </c>
      <c r="AZ144" s="27" t="s">
        <v>7</v>
      </c>
      <c r="BA144" s="27" t="s">
        <v>8</v>
      </c>
      <c r="BD144" s="27" t="s">
        <v>7</v>
      </c>
      <c r="BE144" s="27" t="s">
        <v>8</v>
      </c>
      <c r="BF144" s="27" t="s">
        <v>7</v>
      </c>
      <c r="BG144" s="34" t="s">
        <v>8</v>
      </c>
      <c r="BH144" s="31"/>
      <c r="BI144" s="34" t="s">
        <v>8</v>
      </c>
      <c r="BM144" s="27" t="s">
        <v>8</v>
      </c>
      <c r="BS144" s="31"/>
    </row>
    <row r="145" spans="1:70" x14ac:dyDescent="0.25">
      <c r="A145" s="30">
        <v>0.10152559799477026</v>
      </c>
      <c r="B145"/>
      <c r="C145"/>
      <c r="D145"/>
      <c r="E145"/>
      <c r="F145" s="27" t="s">
        <v>7</v>
      </c>
      <c r="AO145" s="27" t="s">
        <v>8</v>
      </c>
      <c r="AQ145" s="27" t="s">
        <v>8</v>
      </c>
      <c r="AV145" s="27" t="s">
        <v>7</v>
      </c>
      <c r="AX145" s="27" t="s">
        <v>7</v>
      </c>
      <c r="AY145" s="27" t="s">
        <v>8</v>
      </c>
      <c r="AZ145" s="27" t="s">
        <v>7</v>
      </c>
      <c r="BD145" s="27" t="s">
        <v>7</v>
      </c>
      <c r="BE145" s="27" t="s">
        <v>8</v>
      </c>
      <c r="BF145" s="27" t="s">
        <v>7</v>
      </c>
      <c r="BG145" s="27" t="s">
        <v>8</v>
      </c>
      <c r="BH145" s="27" t="s">
        <v>7</v>
      </c>
      <c r="BI145" s="31" t="s">
        <v>8</v>
      </c>
      <c r="BJ145" s="31" t="s">
        <v>7</v>
      </c>
      <c r="BM145" s="27" t="s">
        <v>8</v>
      </c>
      <c r="BR145" s="31"/>
    </row>
    <row r="146" spans="1:70" x14ac:dyDescent="0.25">
      <c r="A146" s="30">
        <v>9.2295998177063854E-2</v>
      </c>
      <c r="B146"/>
      <c r="C146"/>
      <c r="D146"/>
      <c r="E146"/>
      <c r="F146" s="27" t="s">
        <v>7</v>
      </c>
      <c r="AO146" s="27" t="s">
        <v>8</v>
      </c>
      <c r="AP146" s="27" t="s">
        <v>7</v>
      </c>
      <c r="AQ146" s="27" t="s">
        <v>8</v>
      </c>
      <c r="AX146" s="27" t="s">
        <v>7</v>
      </c>
      <c r="AY146" s="27" t="s">
        <v>8</v>
      </c>
      <c r="BD146" s="27" t="s">
        <v>7</v>
      </c>
      <c r="BE146" s="27" t="s">
        <v>8</v>
      </c>
      <c r="BF146" s="27" t="s">
        <v>7</v>
      </c>
      <c r="BG146" s="27" t="s">
        <v>8</v>
      </c>
      <c r="BH146" s="27" t="s">
        <v>7</v>
      </c>
      <c r="BI146" s="27" t="s">
        <v>8</v>
      </c>
      <c r="BJ146" s="27" t="s">
        <v>7</v>
      </c>
      <c r="BK146" s="31" t="s">
        <v>8</v>
      </c>
      <c r="BM146" s="27" t="s">
        <v>8</v>
      </c>
      <c r="BQ146" s="31"/>
    </row>
    <row r="147" spans="1:70" x14ac:dyDescent="0.25">
      <c r="A147" s="30">
        <v>8.3905452888239848E-2</v>
      </c>
      <c r="B147"/>
      <c r="C147"/>
      <c r="D147"/>
      <c r="E147"/>
      <c r="F147" s="27" t="s">
        <v>7</v>
      </c>
      <c r="AO147" s="27" t="s">
        <v>8</v>
      </c>
      <c r="AP147" s="27" t="s">
        <v>7</v>
      </c>
      <c r="AQ147" s="27" t="s">
        <v>8</v>
      </c>
      <c r="AX147" s="27" t="s">
        <v>7</v>
      </c>
      <c r="AY147" s="27" t="s">
        <v>8</v>
      </c>
      <c r="BD147" s="27" t="s">
        <v>7</v>
      </c>
      <c r="BE147" s="27" t="s">
        <v>8</v>
      </c>
      <c r="BF147" s="27" t="s">
        <v>7</v>
      </c>
      <c r="BG147" s="27" t="s">
        <v>8</v>
      </c>
      <c r="BH147" s="27" t="s">
        <v>7</v>
      </c>
      <c r="BJ147" s="27" t="s">
        <v>7</v>
      </c>
      <c r="BK147" s="27" t="s">
        <v>8</v>
      </c>
      <c r="BL147" s="31" t="s">
        <v>7</v>
      </c>
      <c r="BM147" s="27" t="s">
        <v>8</v>
      </c>
      <c r="BP147" s="31"/>
    </row>
    <row r="148" spans="1:70" x14ac:dyDescent="0.25">
      <c r="A148" s="30">
        <v>7.6277684443854396E-2</v>
      </c>
      <c r="B148"/>
      <c r="C148"/>
      <c r="D148"/>
      <c r="E148"/>
      <c r="F148" s="27" t="s">
        <v>7</v>
      </c>
      <c r="AO148" s="27" t="s">
        <v>8</v>
      </c>
      <c r="AP148" s="27" t="s">
        <v>7</v>
      </c>
      <c r="AX148" s="27" t="s">
        <v>7</v>
      </c>
      <c r="BD148" s="27" t="s">
        <v>7</v>
      </c>
      <c r="BF148" s="27" t="s">
        <v>7</v>
      </c>
      <c r="BG148" s="27" t="s">
        <v>8</v>
      </c>
      <c r="BJ148" s="27" t="s">
        <v>7</v>
      </c>
      <c r="BK148" s="27" t="s">
        <v>8</v>
      </c>
      <c r="BL148" s="27" t="s">
        <v>7</v>
      </c>
      <c r="BM148" s="31" t="s">
        <v>8</v>
      </c>
      <c r="BO148" s="31"/>
    </row>
    <row r="149" spans="1:70" x14ac:dyDescent="0.25">
      <c r="A149" s="30">
        <v>6.9343349494413078E-2</v>
      </c>
      <c r="B149"/>
      <c r="C149"/>
      <c r="D149"/>
      <c r="E149"/>
      <c r="F149" s="27" t="s">
        <v>7</v>
      </c>
      <c r="AO149" s="27" t="s">
        <v>8</v>
      </c>
      <c r="BF149" s="27" t="s">
        <v>7</v>
      </c>
      <c r="BG149" s="27" t="s">
        <v>8</v>
      </c>
      <c r="BJ149" s="27" t="s">
        <v>7</v>
      </c>
      <c r="BK149" s="27" t="s">
        <v>8</v>
      </c>
      <c r="BL149" s="27" t="s">
        <v>7</v>
      </c>
      <c r="BM149" s="27" t="s">
        <v>8</v>
      </c>
      <c r="BN149" s="31"/>
    </row>
    <row r="150" spans="1:70" x14ac:dyDescent="0.25">
      <c r="A150" s="30">
        <v>6.3039408631284613E-2</v>
      </c>
      <c r="B150"/>
      <c r="C150"/>
      <c r="D150"/>
      <c r="E150"/>
      <c r="F150" s="27" t="s">
        <v>7</v>
      </c>
      <c r="AO150" s="27" t="s">
        <v>8</v>
      </c>
      <c r="BF150" s="27" t="s">
        <v>7</v>
      </c>
      <c r="BJ150" s="31" t="s">
        <v>7</v>
      </c>
      <c r="BK150" s="27" t="s">
        <v>8</v>
      </c>
      <c r="BL150" s="18" t="s">
        <v>7</v>
      </c>
      <c r="BM150" s="31" t="s">
        <v>8</v>
      </c>
      <c r="BO150" s="31"/>
    </row>
    <row r="151" spans="1:70" x14ac:dyDescent="0.25">
      <c r="A151" s="30">
        <v>5.7308553301167818E-2</v>
      </c>
      <c r="B151"/>
      <c r="C151"/>
      <c r="D151"/>
      <c r="E151"/>
      <c r="F151" s="27" t="s">
        <v>7</v>
      </c>
      <c r="AO151" s="27" t="s">
        <v>8</v>
      </c>
      <c r="BI151" s="31"/>
      <c r="BJ151" s="27" t="s">
        <v>7</v>
      </c>
      <c r="BK151" s="27" t="s">
        <v>8</v>
      </c>
      <c r="BL151" s="31" t="s">
        <v>7</v>
      </c>
    </row>
    <row r="152" spans="1:70" x14ac:dyDescent="0.25">
      <c r="A152" s="30">
        <v>5.2098684819243464E-2</v>
      </c>
      <c r="B152"/>
      <c r="C152"/>
      <c r="D152"/>
      <c r="E152"/>
      <c r="F152" s="27" t="s">
        <v>7</v>
      </c>
      <c r="AO152" s="27" t="s">
        <v>8</v>
      </c>
      <c r="BH152" s="31"/>
      <c r="BJ152" s="27" t="s">
        <v>7</v>
      </c>
      <c r="BK152" s="31" t="s">
        <v>8</v>
      </c>
    </row>
    <row r="153" spans="1:70" x14ac:dyDescent="0.25">
      <c r="A153" s="30">
        <v>4.7362440744766775E-2</v>
      </c>
      <c r="B153"/>
      <c r="C153"/>
      <c r="D153"/>
      <c r="E153"/>
      <c r="F153" s="27" t="s">
        <v>7</v>
      </c>
      <c r="AO153" s="27" t="s">
        <v>8</v>
      </c>
      <c r="BG153" s="31"/>
      <c r="BJ153" s="31" t="s">
        <v>7</v>
      </c>
    </row>
    <row r="154" spans="1:70" x14ac:dyDescent="0.25">
      <c r="A154" s="30">
        <v>4.3056764313424332E-2</v>
      </c>
      <c r="B154"/>
      <c r="C154"/>
      <c r="D154"/>
      <c r="E154"/>
      <c r="F154" s="27" t="s">
        <v>7</v>
      </c>
      <c r="AO154" s="27" t="s">
        <v>8</v>
      </c>
      <c r="BF154" s="31"/>
    </row>
    <row r="155" spans="1:70" x14ac:dyDescent="0.25">
      <c r="A155" s="30">
        <v>3.9142513012203929E-2</v>
      </c>
      <c r="B155"/>
      <c r="C155"/>
      <c r="D155"/>
      <c r="E155"/>
      <c r="F155" s="27" t="s">
        <v>7</v>
      </c>
      <c r="AO155" s="27" t="s">
        <v>8</v>
      </c>
      <c r="BE155" s="31"/>
    </row>
    <row r="156" spans="1:70" x14ac:dyDescent="0.25">
      <c r="A156" s="30">
        <v>3.55841027383672E-2</v>
      </c>
      <c r="B156"/>
      <c r="C156"/>
      <c r="D156"/>
      <c r="E156"/>
      <c r="F156" s="27" t="s">
        <v>7</v>
      </c>
      <c r="AK156" s="27" t="s">
        <v>8</v>
      </c>
      <c r="AO156" s="27" t="s">
        <v>8</v>
      </c>
      <c r="BD156" s="31"/>
    </row>
    <row r="157" spans="1:70" x14ac:dyDescent="0.25">
      <c r="A157" s="30">
        <v>3.2349184307606541E-2</v>
      </c>
      <c r="B157"/>
      <c r="C157"/>
      <c r="D157"/>
      <c r="E157"/>
      <c r="F157" s="27" t="s">
        <v>7</v>
      </c>
      <c r="AK157" s="27" t="s">
        <v>8</v>
      </c>
      <c r="AL157" s="27" t="s">
        <v>7</v>
      </c>
      <c r="AO157" s="27" t="s">
        <v>8</v>
      </c>
      <c r="BC157" s="31"/>
    </row>
    <row r="158" spans="1:70" x14ac:dyDescent="0.25">
      <c r="A158" s="30">
        <v>2.9408349370551395E-2</v>
      </c>
      <c r="B158"/>
      <c r="C158"/>
      <c r="D158"/>
      <c r="E158"/>
      <c r="F158" s="27" t="s">
        <v>7</v>
      </c>
      <c r="G158" s="27" t="s">
        <v>8</v>
      </c>
      <c r="AK158" s="27" t="s">
        <v>8</v>
      </c>
      <c r="AL158" s="27" t="s">
        <v>7</v>
      </c>
      <c r="AM158" s="27" t="s">
        <v>8</v>
      </c>
      <c r="AO158" s="27" t="s">
        <v>8</v>
      </c>
      <c r="BB158" s="31"/>
    </row>
    <row r="159" spans="1:70" x14ac:dyDescent="0.25">
      <c r="A159" s="30">
        <v>2.6734863064137627E-2</v>
      </c>
      <c r="B159"/>
      <c r="C159"/>
      <c r="D159"/>
      <c r="E159"/>
      <c r="F159" s="27" t="s">
        <v>7</v>
      </c>
      <c r="G159" s="27" t="s">
        <v>8</v>
      </c>
      <c r="H159" s="27" t="s">
        <v>7</v>
      </c>
      <c r="AK159" s="27" t="s">
        <v>8</v>
      </c>
      <c r="AL159" s="27" t="s">
        <v>7</v>
      </c>
      <c r="AM159" s="27" t="s">
        <v>8</v>
      </c>
      <c r="AN159" s="27" t="s">
        <v>7</v>
      </c>
      <c r="AO159" s="27" t="s">
        <v>8</v>
      </c>
      <c r="BA159" s="31"/>
    </row>
    <row r="160" spans="1:70" x14ac:dyDescent="0.25">
      <c r="A160" s="30">
        <v>2.4304420967397839E-2</v>
      </c>
      <c r="B160"/>
      <c r="C160"/>
      <c r="D160"/>
      <c r="E160"/>
      <c r="F160" s="27" t="s">
        <v>7</v>
      </c>
      <c r="G160" s="27" t="s">
        <v>8</v>
      </c>
      <c r="H160" s="27" t="s">
        <v>7</v>
      </c>
      <c r="AK160" s="27" t="s">
        <v>8</v>
      </c>
      <c r="AL160" s="27" t="s">
        <v>7</v>
      </c>
      <c r="AM160" s="27" t="s">
        <v>8</v>
      </c>
      <c r="AN160" s="27" t="s">
        <v>7</v>
      </c>
      <c r="AO160" s="27" t="s">
        <v>8</v>
      </c>
      <c r="AZ160" s="31"/>
    </row>
    <row r="161" spans="1:51" x14ac:dyDescent="0.25">
      <c r="A161" s="30">
        <v>2.2094928152179852E-2</v>
      </c>
      <c r="B161"/>
      <c r="C161"/>
      <c r="D161"/>
      <c r="E161"/>
      <c r="F161" s="27" t="s">
        <v>7</v>
      </c>
      <c r="G161" s="27" t="s">
        <v>8</v>
      </c>
      <c r="H161" s="27" t="s">
        <v>7</v>
      </c>
      <c r="AI161" s="27" t="s">
        <v>8</v>
      </c>
      <c r="AK161" s="27" t="s">
        <v>8</v>
      </c>
      <c r="AL161" s="27" t="s">
        <v>7</v>
      </c>
      <c r="AM161" s="27" t="s">
        <v>8</v>
      </c>
      <c r="AN161" s="27" t="s">
        <v>7</v>
      </c>
      <c r="AY161" s="31"/>
    </row>
    <row r="162" spans="1:51" x14ac:dyDescent="0.25">
      <c r="A162" s="30">
        <v>2.0086298320163499E-2</v>
      </c>
      <c r="B162"/>
      <c r="C162"/>
      <c r="D162"/>
      <c r="E162"/>
      <c r="F162" s="27" t="s">
        <v>7</v>
      </c>
      <c r="H162" s="27" t="s">
        <v>7</v>
      </c>
      <c r="AI162" s="27" t="s">
        <v>8</v>
      </c>
      <c r="AJ162" s="27" t="s">
        <v>7</v>
      </c>
      <c r="AK162" s="27" t="s">
        <v>8</v>
      </c>
      <c r="AL162" s="27" t="s">
        <v>7</v>
      </c>
      <c r="AM162" s="27" t="s">
        <v>8</v>
      </c>
      <c r="AX162" s="31"/>
    </row>
    <row r="163" spans="1:51" x14ac:dyDescent="0.25">
      <c r="A163" s="30">
        <v>1.8260271200148632E-2</v>
      </c>
      <c r="B163"/>
      <c r="C163"/>
      <c r="D163"/>
      <c r="E163"/>
      <c r="H163" s="27" t="s">
        <v>7</v>
      </c>
      <c r="AI163" s="27" t="s">
        <v>8</v>
      </c>
      <c r="AJ163" s="27" t="s">
        <v>7</v>
      </c>
      <c r="AK163" s="27" t="s">
        <v>8</v>
      </c>
      <c r="AL163" s="27" t="s">
        <v>7</v>
      </c>
      <c r="AW163" s="31"/>
    </row>
    <row r="164" spans="1:51" x14ac:dyDescent="0.25">
      <c r="A164" s="30">
        <v>1.6600246545589663E-2</v>
      </c>
      <c r="B164"/>
      <c r="C164"/>
      <c r="D164"/>
      <c r="E164"/>
      <c r="H164" s="27" t="s">
        <v>7</v>
      </c>
      <c r="I164" s="27" t="s">
        <v>8</v>
      </c>
      <c r="AI164" s="27" t="s">
        <v>8</v>
      </c>
      <c r="AJ164" s="27" t="s">
        <v>7</v>
      </c>
      <c r="AV164" s="31"/>
    </row>
    <row r="165" spans="1:51" x14ac:dyDescent="0.25">
      <c r="A165" s="30">
        <v>1.5091133223263328E-2</v>
      </c>
      <c r="B165"/>
      <c r="C165"/>
      <c r="D165"/>
      <c r="E165"/>
      <c r="H165" s="27" t="s">
        <v>7</v>
      </c>
      <c r="I165" s="27" t="s">
        <v>8</v>
      </c>
      <c r="J165" s="27" t="s">
        <v>7</v>
      </c>
      <c r="AI165" s="27" t="s">
        <v>8</v>
      </c>
      <c r="AU165" s="31"/>
    </row>
    <row r="166" spans="1:51" x14ac:dyDescent="0.25">
      <c r="A166" s="30">
        <v>1.3719212021148477E-2</v>
      </c>
      <c r="B166"/>
      <c r="C166"/>
      <c r="D166"/>
      <c r="E166"/>
      <c r="H166" s="27" t="s">
        <v>7</v>
      </c>
      <c r="I166" s="27" t="s">
        <v>8</v>
      </c>
      <c r="J166" s="27" t="s">
        <v>7</v>
      </c>
      <c r="K166" s="27" t="s">
        <v>8</v>
      </c>
      <c r="AC166" s="27" t="s">
        <v>8</v>
      </c>
      <c r="AI166" s="27" t="s">
        <v>8</v>
      </c>
      <c r="AT166" s="31"/>
    </row>
    <row r="167" spans="1:51" x14ac:dyDescent="0.25">
      <c r="A167" s="30">
        <v>1.2472010928316795E-2</v>
      </c>
      <c r="B167"/>
      <c r="C167"/>
      <c r="D167"/>
      <c r="E167"/>
      <c r="H167" s="27" t="s">
        <v>7</v>
      </c>
      <c r="J167" s="27" t="s">
        <v>7</v>
      </c>
      <c r="K167" s="27" t="s">
        <v>8</v>
      </c>
      <c r="L167" s="27" t="s">
        <v>7</v>
      </c>
      <c r="AC167" s="27" t="s">
        <v>8</v>
      </c>
      <c r="AD167" s="27" t="s">
        <v>7</v>
      </c>
      <c r="AI167" s="27" t="s">
        <v>8</v>
      </c>
      <c r="AS167" s="31"/>
    </row>
    <row r="168" spans="1:51" x14ac:dyDescent="0.25">
      <c r="A168" s="30">
        <v>1.1338191753015267E-2</v>
      </c>
      <c r="B168"/>
      <c r="C168"/>
      <c r="D168"/>
      <c r="E168"/>
      <c r="J168" s="27" t="s">
        <v>7</v>
      </c>
      <c r="K168" s="27" t="s">
        <v>8</v>
      </c>
      <c r="L168" s="27" t="s">
        <v>7</v>
      </c>
      <c r="AA168" s="27" t="s">
        <v>8</v>
      </c>
      <c r="AC168" s="27" t="s">
        <v>8</v>
      </c>
      <c r="AD168" s="27" t="s">
        <v>7</v>
      </c>
      <c r="AI168" s="27" t="s">
        <v>8</v>
      </c>
      <c r="AR168" s="31"/>
    </row>
    <row r="169" spans="1:51" x14ac:dyDescent="0.25">
      <c r="A169" s="30">
        <v>1.0307447048195697E-2</v>
      </c>
      <c r="B169"/>
      <c r="C169"/>
      <c r="D169"/>
      <c r="E169"/>
      <c r="J169" s="27" t="s">
        <v>7</v>
      </c>
      <c r="K169" s="27" t="s">
        <v>8</v>
      </c>
      <c r="L169" s="27" t="s">
        <v>7</v>
      </c>
      <c r="AA169" s="27" t="s">
        <v>8</v>
      </c>
      <c r="AB169" s="27" t="s">
        <v>7</v>
      </c>
      <c r="AC169" s="27" t="s">
        <v>8</v>
      </c>
      <c r="AD169" s="27" t="s">
        <v>7</v>
      </c>
      <c r="AI169" s="27" t="s">
        <v>8</v>
      </c>
      <c r="AQ169" s="31"/>
    </row>
    <row r="170" spans="1:51" x14ac:dyDescent="0.25">
      <c r="A170" s="30">
        <v>9.3704064074506318E-3</v>
      </c>
      <c r="B170"/>
      <c r="C170"/>
      <c r="D170"/>
      <c r="E170"/>
      <c r="J170" s="27" t="s">
        <v>7</v>
      </c>
      <c r="L170" s="27" t="s">
        <v>7</v>
      </c>
      <c r="AA170" s="27" t="s">
        <v>8</v>
      </c>
      <c r="AB170" s="27" t="s">
        <v>7</v>
      </c>
      <c r="AC170" s="27" t="s">
        <v>8</v>
      </c>
      <c r="AD170" s="27" t="s">
        <v>7</v>
      </c>
      <c r="AI170" s="32" t="s">
        <v>8</v>
      </c>
      <c r="AP170" s="31"/>
    </row>
    <row r="171" spans="1:51" x14ac:dyDescent="0.25">
      <c r="A171" s="30">
        <v>8.5185512795005747E-3</v>
      </c>
      <c r="L171" s="27" t="s">
        <v>7</v>
      </c>
      <c r="Q171" s="27" t="s">
        <v>8</v>
      </c>
      <c r="AA171" s="27" t="s">
        <v>8</v>
      </c>
      <c r="AB171" s="27" t="s">
        <v>7</v>
      </c>
      <c r="AC171" s="27" t="s">
        <v>8</v>
      </c>
      <c r="AD171" s="27" t="s">
        <v>7</v>
      </c>
      <c r="AG171" s="27" t="s">
        <v>8</v>
      </c>
      <c r="AI171" s="27" t="s">
        <v>8</v>
      </c>
      <c r="AO171" s="31"/>
    </row>
    <row r="172" spans="1:51" x14ac:dyDescent="0.25">
      <c r="A172" s="30">
        <v>7.744137526818704E-3</v>
      </c>
      <c r="L172" s="27" t="s">
        <v>7</v>
      </c>
      <c r="Q172" s="27" t="s">
        <v>8</v>
      </c>
      <c r="R172" s="27" t="s">
        <v>7</v>
      </c>
      <c r="AA172" s="27" t="s">
        <v>8</v>
      </c>
      <c r="AB172" s="27" t="s">
        <v>7</v>
      </c>
      <c r="AD172" s="27" t="s">
        <v>7</v>
      </c>
      <c r="AG172" s="27" t="s">
        <v>8</v>
      </c>
      <c r="AH172" s="27" t="s">
        <v>7</v>
      </c>
      <c r="AI172" s="27" t="s">
        <v>8</v>
      </c>
      <c r="AN172" s="31"/>
    </row>
    <row r="173" spans="1:51" x14ac:dyDescent="0.25">
      <c r="A173" s="30">
        <v>7.0401250243806394E-3</v>
      </c>
      <c r="L173" s="27" t="s">
        <v>7</v>
      </c>
      <c r="M173" s="27" t="s">
        <v>8</v>
      </c>
      <c r="Q173" s="27" t="s">
        <v>8</v>
      </c>
      <c r="R173" s="27" t="s">
        <v>7</v>
      </c>
      <c r="S173" s="27" t="s">
        <v>8</v>
      </c>
      <c r="AA173" s="27" t="s">
        <v>8</v>
      </c>
      <c r="AD173" s="27" t="s">
        <v>7</v>
      </c>
      <c r="AG173" s="27" t="s">
        <v>8</v>
      </c>
      <c r="AH173" s="27" t="s">
        <v>7</v>
      </c>
      <c r="AI173" s="27" t="s">
        <v>8</v>
      </c>
      <c r="AM173" s="31"/>
    </row>
    <row r="174" spans="1:51" x14ac:dyDescent="0.25">
      <c r="A174" s="30">
        <v>6.4001136585278536E-3</v>
      </c>
      <c r="L174" s="27" t="s">
        <v>7</v>
      </c>
      <c r="M174" s="27" t="s">
        <v>8</v>
      </c>
      <c r="N174" s="27" t="s">
        <v>7</v>
      </c>
      <c r="O174" s="27" t="s">
        <v>8</v>
      </c>
      <c r="Q174" s="27" t="s">
        <v>8</v>
      </c>
      <c r="R174" s="27" t="s">
        <v>7</v>
      </c>
      <c r="S174" s="27" t="s">
        <v>8</v>
      </c>
      <c r="T174" s="27" t="s">
        <v>7</v>
      </c>
      <c r="AA174" s="27" t="s">
        <v>8</v>
      </c>
      <c r="AD174" s="27" t="s">
        <v>7</v>
      </c>
      <c r="AE174" s="27" t="s">
        <v>8</v>
      </c>
      <c r="AG174" s="27" t="s">
        <v>8</v>
      </c>
      <c r="AH174" s="27" t="s">
        <v>7</v>
      </c>
      <c r="AI174" s="27" t="s">
        <v>8</v>
      </c>
      <c r="AL174" s="31"/>
    </row>
    <row r="175" spans="1:51" x14ac:dyDescent="0.25">
      <c r="A175" s="30">
        <v>5.8182851441162305E-3</v>
      </c>
      <c r="L175" s="27" t="s">
        <v>7</v>
      </c>
      <c r="M175" s="27" t="s">
        <v>8</v>
      </c>
      <c r="N175" s="27" t="s">
        <v>7</v>
      </c>
      <c r="O175" s="27" t="s">
        <v>8</v>
      </c>
      <c r="P175" s="27" t="s">
        <v>7</v>
      </c>
      <c r="Q175" s="27" t="s">
        <v>8</v>
      </c>
      <c r="R175" s="27" t="s">
        <v>7</v>
      </c>
      <c r="S175" s="27" t="s">
        <v>8</v>
      </c>
      <c r="T175" s="27" t="s">
        <v>7</v>
      </c>
      <c r="AA175" s="27" t="s">
        <v>8</v>
      </c>
      <c r="AD175" s="27" t="s">
        <v>7</v>
      </c>
      <c r="AE175" s="27" t="s">
        <v>8</v>
      </c>
      <c r="AF175" s="27" t="s">
        <v>7</v>
      </c>
      <c r="AG175" s="27" t="s">
        <v>8</v>
      </c>
      <c r="AH175" s="27" t="s">
        <v>7</v>
      </c>
      <c r="AI175" s="27" t="s">
        <v>8</v>
      </c>
      <c r="AK175" s="31"/>
    </row>
    <row r="176" spans="1:51" x14ac:dyDescent="0.25">
      <c r="A176" s="30">
        <v>5.2893501310147546E-3</v>
      </c>
      <c r="L176" s="27" t="s">
        <v>7</v>
      </c>
      <c r="M176" s="27" t="s">
        <v>8</v>
      </c>
      <c r="N176" s="27" t="s">
        <v>7</v>
      </c>
      <c r="O176" s="27" t="s">
        <v>8</v>
      </c>
      <c r="P176" s="27" t="s">
        <v>7</v>
      </c>
      <c r="Q176" s="27" t="s">
        <v>8</v>
      </c>
      <c r="R176" s="27" t="s">
        <v>7</v>
      </c>
      <c r="S176" s="27" t="s">
        <v>8</v>
      </c>
      <c r="T176" s="27" t="s">
        <v>7</v>
      </c>
      <c r="AA176" s="27" t="s">
        <v>8</v>
      </c>
      <c r="AD176" s="27" t="s">
        <v>7</v>
      </c>
      <c r="AE176" s="27" t="s">
        <v>8</v>
      </c>
      <c r="AF176" s="27" t="s">
        <v>7</v>
      </c>
      <c r="AG176" s="27" t="s">
        <v>8</v>
      </c>
      <c r="AH176" s="27" t="s">
        <v>7</v>
      </c>
      <c r="AJ176" s="31"/>
    </row>
    <row r="177" spans="1:35" x14ac:dyDescent="0.25">
      <c r="A177" s="30">
        <v>4.8085001191043222E-3</v>
      </c>
      <c r="L177" s="27" t="s">
        <v>7</v>
      </c>
      <c r="N177" s="27" t="s">
        <v>7</v>
      </c>
      <c r="P177" s="27" t="s">
        <v>7</v>
      </c>
      <c r="R177" s="27" t="s">
        <v>7</v>
      </c>
      <c r="S177" s="27" t="s">
        <v>8</v>
      </c>
      <c r="T177" s="27" t="s">
        <v>7</v>
      </c>
      <c r="Y177" s="27" t="s">
        <v>8</v>
      </c>
      <c r="AA177" s="27" t="s">
        <v>8</v>
      </c>
      <c r="AD177" s="27" t="s">
        <v>7</v>
      </c>
      <c r="AE177" s="27" t="s">
        <v>8</v>
      </c>
      <c r="AF177" s="27" t="s">
        <v>7</v>
      </c>
      <c r="AG177" s="27" t="s">
        <v>8</v>
      </c>
      <c r="AI177" s="31"/>
    </row>
    <row r="178" spans="1:35" x14ac:dyDescent="0.25">
      <c r="A178" s="30">
        <v>4.3713637446402926E-3</v>
      </c>
      <c r="R178" s="27" t="s">
        <v>7</v>
      </c>
      <c r="S178" s="27" t="s">
        <v>8</v>
      </c>
      <c r="T178" s="27" t="s">
        <v>7</v>
      </c>
      <c r="Y178" s="27" t="s">
        <v>8</v>
      </c>
      <c r="Z178" s="27" t="s">
        <v>7</v>
      </c>
      <c r="AA178" s="27" t="s">
        <v>8</v>
      </c>
      <c r="AD178" s="27" t="s">
        <v>7</v>
      </c>
      <c r="AE178" s="27" t="s">
        <v>8</v>
      </c>
      <c r="AF178" s="27" t="s">
        <v>7</v>
      </c>
      <c r="AH178" s="31"/>
    </row>
    <row r="179" spans="1:35" x14ac:dyDescent="0.25">
      <c r="A179" s="30">
        <v>3.9739670405820838E-3</v>
      </c>
      <c r="R179" s="27" t="s">
        <v>7</v>
      </c>
      <c r="T179" s="27" t="s">
        <v>7</v>
      </c>
      <c r="Y179" s="27" t="s">
        <v>8</v>
      </c>
      <c r="Z179" s="27" t="s">
        <v>7</v>
      </c>
      <c r="AA179" s="27" t="s">
        <v>8</v>
      </c>
      <c r="AD179" s="27" t="s">
        <v>7</v>
      </c>
      <c r="AG179" s="31"/>
    </row>
    <row r="180" spans="1:35" x14ac:dyDescent="0.25">
      <c r="A180" s="30">
        <v>3.6126973096200759E-3</v>
      </c>
      <c r="T180" s="27" t="s">
        <v>7</v>
      </c>
      <c r="Y180" s="27" t="s">
        <v>8</v>
      </c>
      <c r="Z180" s="27" t="s">
        <v>7</v>
      </c>
      <c r="AF180" s="31"/>
    </row>
    <row r="181" spans="1:35" x14ac:dyDescent="0.25">
      <c r="A181" s="30">
        <v>3.2842702814727962E-3</v>
      </c>
      <c r="T181" s="27" t="s">
        <v>7</v>
      </c>
      <c r="Y181" s="27" t="s">
        <v>8</v>
      </c>
      <c r="AE181" s="31"/>
    </row>
    <row r="182" spans="1:35" x14ac:dyDescent="0.25">
      <c r="A182" s="30">
        <v>2.9857002558843601E-3</v>
      </c>
      <c r="T182" s="27" t="s">
        <v>7</v>
      </c>
      <c r="Y182" s="27" t="s">
        <v>8</v>
      </c>
      <c r="AD182" s="31"/>
    </row>
    <row r="183" spans="1:35" x14ac:dyDescent="0.25">
      <c r="A183" s="30">
        <v>2.7142729598948726E-3</v>
      </c>
      <c r="T183" s="27" t="s">
        <v>7</v>
      </c>
      <c r="Y183" s="27" t="s">
        <v>8</v>
      </c>
      <c r="AC183" s="31"/>
    </row>
    <row r="184" spans="1:35" x14ac:dyDescent="0.25">
      <c r="A184" s="30">
        <v>2.4675208726317021E-3</v>
      </c>
      <c r="T184" s="27" t="s">
        <v>7</v>
      </c>
      <c r="W184" s="27" t="s">
        <v>8</v>
      </c>
      <c r="Y184" s="27" t="s">
        <v>8</v>
      </c>
      <c r="AB184" s="31"/>
    </row>
    <row r="185" spans="1:35" x14ac:dyDescent="0.25">
      <c r="A185" s="30">
        <v>2.2432007933015472E-3</v>
      </c>
      <c r="T185" s="27" t="s">
        <v>7</v>
      </c>
      <c r="W185" s="27" t="s">
        <v>8</v>
      </c>
      <c r="X185" s="27" t="s">
        <v>7</v>
      </c>
      <c r="Y185" s="27" t="s">
        <v>8</v>
      </c>
      <c r="AA185" s="31"/>
    </row>
    <row r="186" spans="1:35" x14ac:dyDescent="0.25">
      <c r="A186" s="30">
        <v>2.0392734484559519E-3</v>
      </c>
      <c r="T186" s="27" t="s">
        <v>7</v>
      </c>
      <c r="U186" s="27" t="s">
        <v>8</v>
      </c>
      <c r="W186" s="27" t="s">
        <v>8</v>
      </c>
      <c r="X186" s="27" t="s">
        <v>7</v>
      </c>
      <c r="Y186" s="27" t="s">
        <v>8</v>
      </c>
      <c r="Z186" s="31"/>
    </row>
    <row r="187" spans="1:35" x14ac:dyDescent="0.25">
      <c r="A187" s="30">
        <v>1.8538849531417744E-3</v>
      </c>
      <c r="T187" s="27" t="s">
        <v>7</v>
      </c>
      <c r="U187" s="27" t="s">
        <v>8</v>
      </c>
      <c r="V187" s="27" t="s">
        <v>7</v>
      </c>
      <c r="W187" s="27" t="s">
        <v>8</v>
      </c>
      <c r="X187" s="27" t="s">
        <v>7</v>
      </c>
      <c r="Y187" s="31"/>
    </row>
    <row r="188" spans="1:35" x14ac:dyDescent="0.25">
      <c r="A188" s="30">
        <v>1.6853499574016129E-3</v>
      </c>
      <c r="T188" s="27" t="s">
        <v>7</v>
      </c>
      <c r="U188" s="27" t="s">
        <v>8</v>
      </c>
      <c r="V188" s="27" t="s">
        <v>7</v>
      </c>
      <c r="W188" s="27" t="s">
        <v>8</v>
      </c>
      <c r="X188" s="31"/>
    </row>
    <row r="189" spans="1:35" x14ac:dyDescent="0.25">
      <c r="A189" s="30">
        <v>1.5321363249105571E-3</v>
      </c>
      <c r="T189" s="27" t="s">
        <v>7</v>
      </c>
      <c r="U189" s="27" t="s">
        <v>8</v>
      </c>
      <c r="V189" s="27" t="s">
        <v>7</v>
      </c>
      <c r="W189" s="31" t="s">
        <v>8</v>
      </c>
    </row>
    <row r="190" spans="1:35" x14ac:dyDescent="0.25">
      <c r="A190" s="30">
        <v>1.3928512044641427E-3</v>
      </c>
      <c r="T190" s="27" t="s">
        <v>7</v>
      </c>
      <c r="U190" s="27" t="s">
        <v>8</v>
      </c>
      <c r="V190" s="31" t="s">
        <v>7</v>
      </c>
    </row>
    <row r="191" spans="1:35" x14ac:dyDescent="0.25">
      <c r="A191" s="30">
        <v>1.2662283676946752E-3</v>
      </c>
      <c r="T191" s="27" t="s">
        <v>7</v>
      </c>
    </row>
    <row r="192" spans="1:35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376" operator="equal">
      <formula>$U$1</formula>
    </cfRule>
    <cfRule type="cellIs" dxfId="30" priority="1377" operator="equal">
      <formula>$S$1</formula>
    </cfRule>
  </conditionalFormatting>
  <conditionalFormatting sqref="D136">
    <cfRule type="cellIs" dxfId="29" priority="1374" operator="equal">
      <formula>$S$1</formula>
    </cfRule>
    <cfRule type="cellIs" dxfId="28" priority="1375" operator="equal">
      <formula>$U$1</formula>
    </cfRule>
  </conditionalFormatting>
  <conditionalFormatting sqref="C102">
    <cfRule type="cellIs" dxfId="27" priority="1372" operator="equal">
      <formula>$U$1</formula>
    </cfRule>
    <cfRule type="cellIs" dxfId="26" priority="1373" operator="equal">
      <formula>$S$1</formula>
    </cfRule>
  </conditionalFormatting>
  <conditionalFormatting sqref="D102">
    <cfRule type="cellIs" dxfId="25" priority="1370" operator="equal">
      <formula>$S$1</formula>
    </cfRule>
    <cfRule type="cellIs" dxfId="24" priority="1371" operator="equal">
      <formula>$U$1</formula>
    </cfRule>
  </conditionalFormatting>
  <conditionalFormatting sqref="C77">
    <cfRule type="cellIs" dxfId="23" priority="1368" operator="equal">
      <formula>$U$1</formula>
    </cfRule>
    <cfRule type="cellIs" dxfId="22" priority="1369" operator="equal">
      <formula>$S$1</formula>
    </cfRule>
  </conditionalFormatting>
  <conditionalFormatting sqref="D77">
    <cfRule type="cellIs" dxfId="21" priority="1366" operator="equal">
      <formula>$S$1</formula>
    </cfRule>
    <cfRule type="cellIs" dxfId="20" priority="1367" operator="equal">
      <formula>$U$1</formula>
    </cfRule>
  </conditionalFormatting>
  <conditionalFormatting sqref="C52">
    <cfRule type="cellIs" dxfId="19" priority="1364" operator="equal">
      <formula>$U$1</formula>
    </cfRule>
    <cfRule type="cellIs" dxfId="18" priority="1365" operator="equal">
      <formula>$S$1</formula>
    </cfRule>
  </conditionalFormatting>
  <conditionalFormatting sqref="D52">
    <cfRule type="cellIs" dxfId="17" priority="1362" operator="equal">
      <formula>$S$1</formula>
    </cfRule>
    <cfRule type="cellIs" dxfId="16" priority="1363" operator="equal">
      <formula>$U$1</formula>
    </cfRule>
  </conditionalFormatting>
  <conditionalFormatting sqref="C26">
    <cfRule type="cellIs" dxfId="15" priority="1360" operator="equal">
      <formula>$U$1</formula>
    </cfRule>
    <cfRule type="cellIs" dxfId="14" priority="1361" operator="equal">
      <formula>$S$1</formula>
    </cfRule>
  </conditionalFormatting>
  <conditionalFormatting sqref="D26">
    <cfRule type="cellIs" dxfId="13" priority="1358" operator="equal">
      <formula>$S$1</formula>
    </cfRule>
    <cfRule type="cellIs" dxfId="12" priority="1359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4.8558298182760043E-2</v>
      </c>
      <c r="F3" s="30">
        <v>5.6212299933817669E-2</v>
      </c>
      <c r="G3" s="30">
        <v>9.1563913320997906E-2</v>
      </c>
      <c r="H3" s="25">
        <f>IF(G3="","",(3*(G3-F3))+E3)</f>
        <v>0.15461313834430074</v>
      </c>
      <c r="I3" s="7"/>
      <c r="J3" s="7">
        <f>(E3+G3)/2</f>
        <v>7.0061105751878974E-2</v>
      </c>
      <c r="K3" s="7">
        <f>H3/2</f>
        <v>7.7306569172150369E-2</v>
      </c>
      <c r="M3" s="26">
        <f>IF(OR(J3="",H3=""),"",H3/J3)</f>
        <v>2.2068326881945359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2022-01-28T01:19:47Z</dcterms:modified>
</cp:coreProperties>
</file>