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BCHARTS\"/>
    </mc:Choice>
  </mc:AlternateContent>
  <xr:revisionPtr revIDLastSave="0" documentId="13_ncr:1_{A7E3B8CA-E992-482A-BF17-F16F95ECDA8A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Sheet1" sheetId="8" r:id="rId6"/>
    <sheet name="INVEST" sheetId="6" r:id="rId7"/>
    <sheet name="TEMP" sheetId="7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6" i="1" l="1"/>
  <c r="Q6" i="1" s="1"/>
  <c r="P7" i="1"/>
  <c r="Q7" i="1" s="1"/>
  <c r="P8" i="1"/>
  <c r="Q8" i="1" s="1"/>
  <c r="P9" i="1"/>
  <c r="Q9" i="1" s="1"/>
  <c r="P10" i="1"/>
  <c r="Q10" i="1"/>
  <c r="P11" i="1"/>
  <c r="Q11" i="1"/>
  <c r="P12" i="1"/>
  <c r="Q12" i="1"/>
  <c r="P13" i="1"/>
  <c r="Q13" i="1" s="1"/>
  <c r="P14" i="1"/>
  <c r="Q14" i="1"/>
  <c r="P15" i="1"/>
  <c r="Q15" i="1"/>
  <c r="P16" i="1"/>
  <c r="Q16" i="1" s="1"/>
  <c r="P17" i="1"/>
  <c r="Q17" i="1"/>
  <c r="P18" i="1"/>
  <c r="Q18" i="1"/>
  <c r="P19" i="1"/>
  <c r="Q19" i="1"/>
  <c r="P20" i="1"/>
  <c r="Q20" i="1"/>
  <c r="P21" i="1"/>
  <c r="Q21" i="1" s="1"/>
  <c r="P22" i="1"/>
  <c r="Q22" i="1" s="1"/>
  <c r="P23" i="1"/>
  <c r="Q23" i="1"/>
  <c r="P24" i="1"/>
  <c r="Q24" i="1" s="1"/>
  <c r="P25" i="1"/>
  <c r="Q25" i="1" s="1"/>
  <c r="P26" i="1"/>
  <c r="Q26" i="1"/>
  <c r="P27" i="1"/>
  <c r="Q27" i="1"/>
  <c r="P28" i="1"/>
  <c r="Q28" i="1"/>
  <c r="P29" i="1"/>
  <c r="Q29" i="1"/>
  <c r="P30" i="1"/>
  <c r="Q30" i="1" s="1"/>
  <c r="P31" i="1"/>
  <c r="Q31" i="1" s="1"/>
  <c r="P32" i="1"/>
  <c r="Q32" i="1" s="1"/>
  <c r="P33" i="1"/>
  <c r="Q33" i="1" s="1"/>
  <c r="P34" i="1"/>
  <c r="Q34" i="1"/>
  <c r="P35" i="1"/>
  <c r="Q35" i="1"/>
  <c r="P36" i="1"/>
  <c r="Q36" i="1"/>
  <c r="P37" i="1"/>
  <c r="Q37" i="1" s="1"/>
  <c r="P38" i="1"/>
  <c r="Q38" i="1"/>
  <c r="P39" i="1"/>
  <c r="Q39" i="1"/>
  <c r="P40" i="1"/>
  <c r="Q40" i="1" s="1"/>
  <c r="P41" i="1"/>
  <c r="Q41" i="1"/>
  <c r="P42" i="1"/>
  <c r="Q42" i="1"/>
  <c r="P43" i="1"/>
  <c r="Q43" i="1"/>
  <c r="P44" i="1"/>
  <c r="Q44" i="1"/>
  <c r="P45" i="1"/>
  <c r="Q45" i="1" s="1"/>
  <c r="P46" i="1"/>
  <c r="Q46" i="1" s="1"/>
  <c r="P47" i="1"/>
  <c r="Q47" i="1"/>
  <c r="P48" i="1"/>
  <c r="Q48" i="1" s="1"/>
  <c r="P49" i="1"/>
  <c r="Q49" i="1" s="1"/>
  <c r="P50" i="1"/>
  <c r="Q50" i="1"/>
  <c r="P51" i="1"/>
  <c r="Q51" i="1"/>
  <c r="P52" i="1"/>
  <c r="Q52" i="1"/>
  <c r="P53" i="1"/>
  <c r="Q53" i="1"/>
  <c r="P54" i="1"/>
  <c r="Q54" i="1"/>
  <c r="P55" i="1"/>
  <c r="Q55" i="1" s="1"/>
  <c r="P56" i="1"/>
  <c r="Q56" i="1" s="1"/>
  <c r="P57" i="1"/>
  <c r="Q57" i="1" s="1"/>
  <c r="P58" i="1"/>
  <c r="Q58" i="1"/>
  <c r="P59" i="1"/>
  <c r="Q59" i="1"/>
  <c r="P60" i="1"/>
  <c r="Q60" i="1"/>
  <c r="P61" i="1"/>
  <c r="Q61" i="1" s="1"/>
  <c r="P62" i="1"/>
  <c r="Q62" i="1"/>
  <c r="P63" i="1"/>
  <c r="Q63" i="1"/>
  <c r="P64" i="1"/>
  <c r="Q64" i="1" s="1"/>
  <c r="P65" i="1"/>
  <c r="Q65" i="1"/>
  <c r="P66" i="1"/>
  <c r="Q66" i="1"/>
  <c r="P67" i="1"/>
  <c r="Q67" i="1"/>
  <c r="P68" i="1"/>
  <c r="Q68" i="1"/>
  <c r="P69" i="1"/>
  <c r="Q69" i="1" s="1"/>
  <c r="P70" i="1"/>
  <c r="Q70" i="1" s="1"/>
  <c r="P71" i="1"/>
  <c r="Q71" i="1"/>
  <c r="P72" i="1"/>
  <c r="Q72" i="1" s="1"/>
  <c r="P73" i="1"/>
  <c r="Q73" i="1" s="1"/>
  <c r="P74" i="1"/>
  <c r="Q74" i="1"/>
  <c r="P75" i="1"/>
  <c r="Q75" i="1"/>
  <c r="P76" i="1"/>
  <c r="Q76" i="1"/>
  <c r="P77" i="1"/>
  <c r="Q77" i="1"/>
  <c r="P78" i="1"/>
  <c r="Q78" i="1"/>
  <c r="P79" i="1"/>
  <c r="Q79" i="1" s="1"/>
  <c r="P80" i="1"/>
  <c r="Q80" i="1" s="1"/>
  <c r="P81" i="1"/>
  <c r="Q81" i="1" s="1"/>
  <c r="P82" i="1"/>
  <c r="Q82" i="1"/>
  <c r="P83" i="1"/>
  <c r="Q83" i="1"/>
  <c r="P84" i="1"/>
  <c r="Q84" i="1"/>
  <c r="P85" i="1"/>
  <c r="Q85" i="1" s="1"/>
  <c r="P86" i="1"/>
  <c r="Q86" i="1"/>
  <c r="P87" i="1"/>
  <c r="Q87" i="1"/>
  <c r="P88" i="1"/>
  <c r="Q88" i="1" s="1"/>
  <c r="P89" i="1"/>
  <c r="Q89" i="1"/>
  <c r="P90" i="1"/>
  <c r="Q90" i="1"/>
  <c r="P91" i="1"/>
  <c r="Q91" i="1"/>
  <c r="P92" i="1"/>
  <c r="Q92" i="1"/>
  <c r="P93" i="1"/>
  <c r="Q93" i="1" s="1"/>
  <c r="P94" i="1"/>
  <c r="Q94" i="1" s="1"/>
  <c r="P95" i="1"/>
  <c r="Q95" i="1"/>
  <c r="P96" i="1"/>
  <c r="Q96" i="1" s="1"/>
  <c r="P97" i="1"/>
  <c r="Q97" i="1" s="1"/>
  <c r="P98" i="1"/>
  <c r="Q98" i="1"/>
  <c r="P99" i="1"/>
  <c r="Q99" i="1"/>
  <c r="P100" i="1"/>
  <c r="Q100" i="1"/>
  <c r="P101" i="1"/>
  <c r="Q101" i="1"/>
  <c r="P102" i="1"/>
  <c r="Q102" i="1"/>
  <c r="P103" i="1"/>
  <c r="Q103" i="1" s="1"/>
  <c r="P104" i="1"/>
  <c r="Q104" i="1" s="1"/>
  <c r="P105" i="1"/>
  <c r="Q105" i="1" s="1"/>
  <c r="P106" i="1"/>
  <c r="Q106" i="1"/>
  <c r="P107" i="1"/>
  <c r="Q107" i="1"/>
  <c r="P108" i="1"/>
  <c r="Q108" i="1"/>
  <c r="P109" i="1"/>
  <c r="Q109" i="1" s="1"/>
  <c r="P110" i="1"/>
  <c r="Q110" i="1"/>
  <c r="P111" i="1"/>
  <c r="Q111" i="1"/>
  <c r="P112" i="1"/>
  <c r="Q112" i="1" s="1"/>
  <c r="P113" i="1"/>
  <c r="Q113" i="1"/>
  <c r="P114" i="1"/>
  <c r="Q114" i="1"/>
  <c r="P115" i="1"/>
  <c r="Q115" i="1"/>
  <c r="P116" i="1"/>
  <c r="Q116" i="1"/>
  <c r="P117" i="1"/>
  <c r="Q117" i="1" s="1"/>
  <c r="P118" i="1"/>
  <c r="Q118" i="1" s="1"/>
  <c r="P119" i="1"/>
  <c r="Q119" i="1"/>
  <c r="P120" i="1"/>
  <c r="Q120" i="1" s="1"/>
  <c r="P121" i="1"/>
  <c r="Q121" i="1" s="1"/>
  <c r="P122" i="1"/>
  <c r="Q122" i="1"/>
  <c r="P123" i="1"/>
  <c r="Q123" i="1"/>
  <c r="P124" i="1"/>
  <c r="Q124" i="1"/>
  <c r="P125" i="1"/>
  <c r="Q125" i="1"/>
  <c r="P126" i="1"/>
  <c r="Q126" i="1"/>
  <c r="P127" i="1"/>
  <c r="Q127" i="1"/>
  <c r="P128" i="1"/>
  <c r="Q128" i="1" s="1"/>
  <c r="P129" i="1"/>
  <c r="Q129" i="1" s="1"/>
  <c r="P130" i="1"/>
  <c r="Q130" i="1"/>
  <c r="P131" i="1"/>
  <c r="Q131" i="1"/>
  <c r="P132" i="1"/>
  <c r="Q132" i="1" s="1"/>
  <c r="P133" i="1"/>
  <c r="Q133" i="1" s="1"/>
  <c r="P134" i="1"/>
  <c r="Q134" i="1"/>
  <c r="P135" i="1"/>
  <c r="Q135" i="1"/>
  <c r="P136" i="1"/>
  <c r="Q136" i="1" s="1"/>
  <c r="P137" i="1"/>
  <c r="Q137" i="1"/>
  <c r="P138" i="1"/>
  <c r="Q138" i="1"/>
  <c r="P139" i="1"/>
  <c r="Q139" i="1"/>
  <c r="P140" i="1"/>
  <c r="Q140" i="1"/>
  <c r="P141" i="1"/>
  <c r="Q141" i="1" s="1"/>
  <c r="P142" i="1"/>
  <c r="Q142" i="1" s="1"/>
  <c r="P143" i="1"/>
  <c r="Q143" i="1"/>
  <c r="P144" i="1"/>
  <c r="Q144" i="1" s="1"/>
  <c r="P145" i="1"/>
  <c r="Q145" i="1" s="1"/>
  <c r="P146" i="1"/>
  <c r="Q146" i="1"/>
  <c r="P147" i="1"/>
  <c r="Q147" i="1"/>
  <c r="P148" i="1"/>
  <c r="Q148" i="1"/>
  <c r="P149" i="1"/>
  <c r="Q149" i="1"/>
  <c r="P150" i="1"/>
  <c r="Q150" i="1"/>
  <c r="P151" i="1"/>
  <c r="Q151" i="1"/>
  <c r="P152" i="1"/>
  <c r="Q152" i="1" s="1"/>
  <c r="P153" i="1"/>
  <c r="Q153" i="1" s="1"/>
  <c r="P154" i="1"/>
  <c r="Q154" i="1"/>
  <c r="P155" i="1"/>
  <c r="Q155" i="1"/>
  <c r="P156" i="1"/>
  <c r="Q156" i="1" s="1"/>
  <c r="P157" i="1"/>
  <c r="Q157" i="1" s="1"/>
  <c r="P158" i="1"/>
  <c r="Q158" i="1"/>
  <c r="P159" i="1"/>
  <c r="Q159" i="1"/>
  <c r="P160" i="1"/>
  <c r="Q160" i="1" s="1"/>
  <c r="P161" i="1"/>
  <c r="Q161" i="1"/>
  <c r="P162" i="1"/>
  <c r="Q162" i="1"/>
  <c r="P163" i="1"/>
  <c r="Q163" i="1"/>
  <c r="P164" i="1"/>
  <c r="Q164" i="1"/>
  <c r="P165" i="1"/>
  <c r="Q165" i="1" s="1"/>
  <c r="P166" i="1"/>
  <c r="Q166" i="1" s="1"/>
  <c r="P167" i="1"/>
  <c r="Q167" i="1"/>
  <c r="P168" i="1"/>
  <c r="Q168" i="1" s="1"/>
  <c r="P169" i="1"/>
  <c r="Q169" i="1" s="1"/>
  <c r="P170" i="1"/>
  <c r="Q170" i="1"/>
  <c r="P171" i="1"/>
  <c r="Q171" i="1"/>
  <c r="P172" i="1"/>
  <c r="Q172" i="1"/>
  <c r="P173" i="1"/>
  <c r="Q173" i="1"/>
  <c r="P174" i="1"/>
  <c r="Q174" i="1"/>
  <c r="P175" i="1"/>
  <c r="Q175" i="1" s="1"/>
  <c r="P176" i="1"/>
  <c r="Q176" i="1" s="1"/>
  <c r="P177" i="1"/>
  <c r="Q177" i="1" s="1"/>
  <c r="P178" i="1"/>
  <c r="Q178" i="1"/>
  <c r="P179" i="1"/>
  <c r="Q179" i="1"/>
  <c r="P180" i="1"/>
  <c r="Q180" i="1" s="1"/>
  <c r="P181" i="1"/>
  <c r="Q181" i="1" s="1"/>
  <c r="P182" i="1"/>
  <c r="Q182" i="1"/>
  <c r="P183" i="1"/>
  <c r="Q183" i="1"/>
  <c r="P184" i="1"/>
  <c r="Q184" i="1" s="1"/>
  <c r="P185" i="1"/>
  <c r="Q185" i="1"/>
  <c r="P186" i="1"/>
  <c r="Q186" i="1"/>
  <c r="P187" i="1"/>
  <c r="Q187" i="1"/>
  <c r="P188" i="1"/>
  <c r="Q188" i="1"/>
  <c r="P189" i="1"/>
  <c r="Q189" i="1" s="1"/>
  <c r="P190" i="1"/>
  <c r="Q190" i="1" s="1"/>
  <c r="P191" i="1"/>
  <c r="Q191" i="1"/>
  <c r="P192" i="1"/>
  <c r="Q192" i="1" s="1"/>
  <c r="P193" i="1"/>
  <c r="Q193" i="1" s="1"/>
  <c r="P194" i="1"/>
  <c r="Q194" i="1"/>
  <c r="P195" i="1"/>
  <c r="Q195" i="1"/>
  <c r="P196" i="1"/>
  <c r="Q196" i="1"/>
  <c r="P197" i="1"/>
  <c r="Q197" i="1"/>
  <c r="P198" i="1"/>
  <c r="Q198" i="1"/>
  <c r="P199" i="1"/>
  <c r="Q199" i="1" s="1"/>
  <c r="P200" i="1"/>
  <c r="Q200" i="1" s="1"/>
  <c r="P201" i="1"/>
  <c r="Q201" i="1" s="1"/>
  <c r="P202" i="1"/>
  <c r="Q202" i="1"/>
  <c r="P203" i="1"/>
  <c r="Q203" i="1"/>
  <c r="P204" i="1"/>
  <c r="Q204" i="1" s="1"/>
  <c r="P205" i="1"/>
  <c r="Q205" i="1" s="1"/>
  <c r="P206" i="1"/>
  <c r="Q206" i="1"/>
  <c r="P207" i="1"/>
  <c r="Q207" i="1"/>
  <c r="P208" i="1"/>
  <c r="Q208" i="1" s="1"/>
  <c r="P209" i="1"/>
  <c r="Q209" i="1"/>
  <c r="P210" i="1"/>
  <c r="Q210" i="1"/>
  <c r="P211" i="1"/>
  <c r="Q211" i="1"/>
  <c r="P212" i="1"/>
  <c r="Q212" i="1"/>
  <c r="P213" i="1"/>
  <c r="Q213" i="1" s="1"/>
  <c r="P214" i="1"/>
  <c r="Q214" i="1" s="1"/>
  <c r="P215" i="1"/>
  <c r="Q215" i="1" s="1"/>
  <c r="P216" i="1"/>
  <c r="Q216" i="1" s="1"/>
  <c r="P217" i="1"/>
  <c r="Q217" i="1" s="1"/>
  <c r="P218" i="1"/>
  <c r="Q218" i="1"/>
  <c r="P219" i="1"/>
  <c r="Q219" i="1"/>
  <c r="P220" i="1"/>
  <c r="Q220" i="1"/>
  <c r="P221" i="1"/>
  <c r="Q221" i="1"/>
  <c r="P222" i="1"/>
  <c r="Q222" i="1"/>
  <c r="P223" i="1"/>
  <c r="Q223" i="1" s="1"/>
  <c r="P224" i="1"/>
  <c r="Q224" i="1" s="1"/>
  <c r="P225" i="1"/>
  <c r="Q225" i="1" s="1"/>
  <c r="P226" i="1"/>
  <c r="Q226" i="1"/>
  <c r="P227" i="1"/>
  <c r="Q227" i="1"/>
  <c r="P228" i="1"/>
  <c r="Q228" i="1" s="1"/>
  <c r="P229" i="1"/>
  <c r="Q229" i="1" s="1"/>
  <c r="P230" i="1"/>
  <c r="Q230" i="1"/>
  <c r="P231" i="1"/>
  <c r="Q231" i="1"/>
  <c r="P232" i="1"/>
  <c r="Q232" i="1" s="1"/>
  <c r="P233" i="1"/>
  <c r="Q233" i="1"/>
  <c r="P234" i="1"/>
  <c r="Q234" i="1"/>
  <c r="P235" i="1"/>
  <c r="Q235" i="1"/>
  <c r="P236" i="1"/>
  <c r="Q236" i="1"/>
  <c r="P237" i="1"/>
  <c r="Q237" i="1" s="1"/>
  <c r="P238" i="1"/>
  <c r="Q238" i="1" s="1"/>
  <c r="P239" i="1"/>
  <c r="Q239" i="1" s="1"/>
  <c r="P240" i="1"/>
  <c r="Q240" i="1" s="1"/>
  <c r="P241" i="1"/>
  <c r="Q241" i="1" s="1"/>
  <c r="P242" i="1"/>
  <c r="Q242" i="1"/>
  <c r="P243" i="1"/>
  <c r="Q243" i="1"/>
  <c r="P244" i="1"/>
  <c r="Q244" i="1"/>
  <c r="P245" i="1"/>
  <c r="Q245" i="1"/>
  <c r="P246" i="1"/>
  <c r="Q246" i="1"/>
  <c r="P247" i="1"/>
  <c r="Q247" i="1" s="1"/>
  <c r="P248" i="1"/>
  <c r="Q248" i="1" s="1"/>
  <c r="P249" i="1"/>
  <c r="Q249" i="1" s="1"/>
  <c r="P250" i="1"/>
  <c r="Q250" i="1" s="1"/>
  <c r="P251" i="1"/>
  <c r="Q251" i="1"/>
  <c r="P252" i="1"/>
  <c r="Q252" i="1" s="1"/>
  <c r="P253" i="1"/>
  <c r="Q253" i="1" s="1"/>
  <c r="P254" i="1"/>
  <c r="Q254" i="1"/>
  <c r="P255" i="1"/>
  <c r="Q255" i="1"/>
  <c r="P256" i="1"/>
  <c r="Q256" i="1" s="1"/>
  <c r="P257" i="1"/>
  <c r="Q257" i="1"/>
  <c r="P258" i="1"/>
  <c r="Q258" i="1"/>
  <c r="P259" i="1"/>
  <c r="Q259" i="1"/>
  <c r="P260" i="1"/>
  <c r="Q260" i="1"/>
  <c r="P261" i="1"/>
  <c r="Q261" i="1" s="1"/>
  <c r="P262" i="1"/>
  <c r="Q262" i="1" s="1"/>
  <c r="P263" i="1"/>
  <c r="Q263" i="1" s="1"/>
  <c r="P264" i="1"/>
  <c r="Q264" i="1"/>
  <c r="P265" i="1"/>
  <c r="Q265" i="1" s="1"/>
  <c r="P266" i="1"/>
  <c r="Q266" i="1"/>
  <c r="P267" i="1"/>
  <c r="Q267" i="1"/>
  <c r="P268" i="1"/>
  <c r="Q268" i="1"/>
  <c r="P269" i="1"/>
  <c r="Q269" i="1" s="1"/>
  <c r="P270" i="1"/>
  <c r="Q270" i="1"/>
  <c r="P271" i="1"/>
  <c r="Q271" i="1" s="1"/>
  <c r="P272" i="1"/>
  <c r="Q272" i="1" s="1"/>
  <c r="P273" i="1"/>
  <c r="Q273" i="1" s="1"/>
  <c r="P274" i="1"/>
  <c r="Q274" i="1" s="1"/>
  <c r="P275" i="1"/>
  <c r="Q275" i="1"/>
  <c r="P276" i="1"/>
  <c r="Q276" i="1" s="1"/>
  <c r="P277" i="1"/>
  <c r="Q277" i="1" s="1"/>
  <c r="P278" i="1"/>
  <c r="Q278" i="1"/>
  <c r="P279" i="1"/>
  <c r="Q279" i="1"/>
  <c r="P280" i="1"/>
  <c r="Q280" i="1" s="1"/>
  <c r="P281" i="1"/>
  <c r="Q281" i="1"/>
  <c r="P282" i="1"/>
  <c r="Q282" i="1"/>
  <c r="P283" i="1"/>
  <c r="Q283" i="1"/>
  <c r="P284" i="1"/>
  <c r="Q284" i="1" s="1"/>
  <c r="P285" i="1"/>
  <c r="Q285" i="1" s="1"/>
  <c r="P286" i="1"/>
  <c r="Q286" i="1" s="1"/>
  <c r="P287" i="1"/>
  <c r="Q287" i="1" s="1"/>
  <c r="P288" i="1"/>
  <c r="Q288" i="1" s="1"/>
  <c r="P289" i="1"/>
  <c r="Q289" i="1" s="1"/>
  <c r="P290" i="1"/>
  <c r="Q290" i="1"/>
  <c r="P291" i="1"/>
  <c r="Q291" i="1"/>
  <c r="P292" i="1"/>
  <c r="Q292" i="1"/>
  <c r="P293" i="1"/>
  <c r="Q293" i="1"/>
  <c r="P294" i="1"/>
  <c r="Q294" i="1"/>
  <c r="P295" i="1"/>
  <c r="Q295" i="1" s="1"/>
  <c r="P296" i="1"/>
  <c r="Q296" i="1" s="1"/>
  <c r="P297" i="1"/>
  <c r="Q297" i="1" s="1"/>
  <c r="P298" i="1"/>
  <c r="Q298" i="1" s="1"/>
  <c r="P299" i="1"/>
  <c r="Q299" i="1"/>
  <c r="P300" i="1"/>
  <c r="Q300" i="1" s="1"/>
  <c r="P301" i="1"/>
  <c r="Q301" i="1" s="1"/>
  <c r="P302" i="1"/>
  <c r="Q302" i="1"/>
  <c r="P303" i="1"/>
  <c r="Q303" i="1"/>
  <c r="P304" i="1"/>
  <c r="Q304" i="1" s="1"/>
  <c r="P305" i="1"/>
  <c r="Q305" i="1"/>
  <c r="P306" i="1"/>
  <c r="Q306" i="1"/>
  <c r="P307" i="1"/>
  <c r="Q307" i="1"/>
  <c r="P308" i="1"/>
  <c r="Q308" i="1" s="1"/>
  <c r="P309" i="1"/>
  <c r="Q309" i="1" s="1"/>
  <c r="P310" i="1"/>
  <c r="Q310" i="1" s="1"/>
  <c r="P311" i="1"/>
  <c r="Q311" i="1" s="1"/>
  <c r="P312" i="1"/>
  <c r="Q312" i="1" s="1"/>
  <c r="P313" i="1"/>
  <c r="Q313" i="1" s="1"/>
  <c r="P314" i="1"/>
  <c r="Q314" i="1"/>
  <c r="P315" i="1"/>
  <c r="Q315" i="1"/>
  <c r="P316" i="1"/>
  <c r="Q316" i="1"/>
  <c r="P317" i="1"/>
  <c r="Q317" i="1" s="1"/>
  <c r="P318" i="1"/>
  <c r="Q318" i="1"/>
  <c r="P319" i="1"/>
  <c r="Q319" i="1" s="1"/>
  <c r="P320" i="1"/>
  <c r="Q320" i="1" s="1"/>
  <c r="P321" i="1"/>
  <c r="Q321" i="1" s="1"/>
  <c r="P322" i="1"/>
  <c r="Q322" i="1" s="1"/>
  <c r="P323" i="1"/>
  <c r="Q323" i="1"/>
  <c r="P324" i="1"/>
  <c r="Q324" i="1" s="1"/>
  <c r="P325" i="1"/>
  <c r="Q325" i="1" s="1"/>
  <c r="P326" i="1"/>
  <c r="Q326" i="1"/>
  <c r="P327" i="1"/>
  <c r="Q327" i="1"/>
  <c r="P328" i="1"/>
  <c r="Q328" i="1" s="1"/>
  <c r="P329" i="1"/>
  <c r="Q329" i="1"/>
  <c r="P330" i="1"/>
  <c r="Q330" i="1"/>
  <c r="P331" i="1"/>
  <c r="Q331" i="1"/>
  <c r="P332" i="1"/>
  <c r="Q332" i="1"/>
  <c r="P333" i="1"/>
  <c r="Q333" i="1" s="1"/>
  <c r="P334" i="1"/>
  <c r="Q334" i="1" s="1"/>
  <c r="P335" i="1"/>
  <c r="Q335" i="1"/>
  <c r="P336" i="1"/>
  <c r="Q336" i="1"/>
  <c r="P337" i="1"/>
  <c r="Q337" i="1" s="1"/>
  <c r="P338" i="1"/>
  <c r="Q338" i="1"/>
  <c r="P339" i="1"/>
  <c r="Q339" i="1"/>
  <c r="P340" i="1"/>
  <c r="Q340" i="1" s="1"/>
  <c r="P341" i="1"/>
  <c r="Q341" i="1" s="1"/>
  <c r="P342" i="1"/>
  <c r="Q342" i="1"/>
  <c r="P343" i="1"/>
  <c r="Q343" i="1" s="1"/>
  <c r="P344" i="1"/>
  <c r="Q344" i="1" s="1"/>
  <c r="P345" i="1"/>
  <c r="Q345" i="1"/>
  <c r="P346" i="1"/>
  <c r="Q346" i="1" s="1"/>
  <c r="P347" i="1"/>
  <c r="Q347" i="1"/>
  <c r="P348" i="1"/>
  <c r="Q348" i="1"/>
  <c r="P349" i="1"/>
  <c r="Q349" i="1"/>
  <c r="P350" i="1"/>
  <c r="Q350" i="1"/>
  <c r="P351" i="1"/>
  <c r="Q351" i="1" s="1"/>
  <c r="P352" i="1"/>
  <c r="Q352" i="1" s="1"/>
  <c r="P353" i="1"/>
  <c r="Q353" i="1"/>
  <c r="P354" i="1"/>
  <c r="Q354" i="1"/>
  <c r="P355" i="1"/>
  <c r="Q355" i="1"/>
  <c r="P356" i="1"/>
  <c r="Q356" i="1"/>
  <c r="P357" i="1"/>
  <c r="Q357" i="1" s="1"/>
  <c r="P358" i="1"/>
  <c r="Q358" i="1" s="1"/>
  <c r="P359" i="1"/>
  <c r="Q359" i="1" s="1"/>
  <c r="P360" i="1"/>
  <c r="Q360" i="1" s="1"/>
  <c r="P361" i="1"/>
  <c r="Q361" i="1" s="1"/>
  <c r="P362" i="1"/>
  <c r="Q362" i="1"/>
  <c r="P363" i="1"/>
  <c r="Q363" i="1"/>
  <c r="P364" i="1"/>
  <c r="Q364" i="1"/>
  <c r="P365" i="1"/>
  <c r="Q365" i="1" s="1"/>
  <c r="P366" i="1"/>
  <c r="Q366" i="1"/>
  <c r="P367" i="1"/>
  <c r="Q367" i="1" s="1"/>
  <c r="P368" i="1"/>
  <c r="Q368" i="1"/>
  <c r="P369" i="1"/>
  <c r="Q369" i="1"/>
  <c r="P370" i="1"/>
  <c r="Q370" i="1"/>
  <c r="P371" i="1"/>
  <c r="Q371" i="1"/>
  <c r="P372" i="1"/>
  <c r="Q372" i="1"/>
  <c r="P373" i="1"/>
  <c r="Q373" i="1" s="1"/>
  <c r="P374" i="1"/>
  <c r="Q374" i="1" s="1"/>
  <c r="P375" i="1"/>
  <c r="Q375" i="1" s="1"/>
  <c r="P376" i="1"/>
  <c r="Q376" i="1" s="1"/>
  <c r="P377" i="1"/>
  <c r="Q377" i="1"/>
  <c r="P378" i="1"/>
  <c r="Q378" i="1" s="1"/>
  <c r="P379" i="1"/>
  <c r="Q379" i="1"/>
  <c r="P380" i="1"/>
  <c r="Q380" i="1"/>
  <c r="P381" i="1"/>
  <c r="Q381" i="1" s="1"/>
  <c r="P382" i="1"/>
  <c r="Q382" i="1" s="1"/>
  <c r="P383" i="1"/>
  <c r="Q383" i="1"/>
  <c r="P384" i="1"/>
  <c r="Q384" i="1"/>
  <c r="P385" i="1"/>
  <c r="Q385" i="1" s="1"/>
  <c r="P386" i="1"/>
  <c r="Q386" i="1"/>
  <c r="P387" i="1"/>
  <c r="Q387" i="1"/>
  <c r="P388" i="1"/>
  <c r="Q388" i="1"/>
  <c r="P389" i="1"/>
  <c r="Q389" i="1" s="1"/>
  <c r="P390" i="1"/>
  <c r="Q390" i="1"/>
  <c r="P391" i="1"/>
  <c r="Q391" i="1" s="1"/>
  <c r="P392" i="1"/>
  <c r="Q392" i="1"/>
  <c r="P393" i="1"/>
  <c r="Q393" i="1"/>
  <c r="P394" i="1"/>
  <c r="Q394" i="1"/>
  <c r="P395" i="1"/>
  <c r="Q395" i="1"/>
  <c r="P396" i="1"/>
  <c r="Q396" i="1"/>
  <c r="P397" i="1"/>
  <c r="Q397" i="1" s="1"/>
  <c r="P398" i="1"/>
  <c r="Q398" i="1" s="1"/>
  <c r="P399" i="1"/>
  <c r="Q399" i="1" s="1"/>
  <c r="P400" i="1"/>
  <c r="Q400" i="1" s="1"/>
  <c r="P401" i="1"/>
  <c r="Q401" i="1"/>
  <c r="P402" i="1"/>
  <c r="Q402" i="1"/>
  <c r="P403" i="1"/>
  <c r="Q403" i="1" s="1"/>
  <c r="P404" i="1"/>
  <c r="Q404" i="1"/>
  <c r="P405" i="1"/>
  <c r="Q405" i="1" s="1"/>
  <c r="P406" i="1"/>
  <c r="Q406" i="1" s="1"/>
  <c r="P407" i="1"/>
  <c r="Q407" i="1"/>
  <c r="P408" i="1"/>
  <c r="Q408" i="1"/>
  <c r="P409" i="1"/>
  <c r="Q409" i="1" s="1"/>
  <c r="P410" i="1"/>
  <c r="Q410" i="1"/>
  <c r="P411" i="1"/>
  <c r="Q411" i="1"/>
  <c r="P412" i="1"/>
  <c r="Q412" i="1"/>
  <c r="P413" i="1"/>
  <c r="Q413" i="1"/>
  <c r="P414" i="1"/>
  <c r="Q414" i="1"/>
  <c r="P415" i="1"/>
  <c r="Q415" i="1" s="1"/>
  <c r="P416" i="1"/>
  <c r="Q416" i="1" s="1"/>
  <c r="P417" i="1"/>
  <c r="Q417" i="1"/>
  <c r="P418" i="1"/>
  <c r="Q418" i="1"/>
  <c r="P419" i="1"/>
  <c r="Q419" i="1"/>
  <c r="P420" i="1"/>
  <c r="Q420" i="1"/>
  <c r="P421" i="1"/>
  <c r="Q421" i="1"/>
  <c r="P422" i="1"/>
  <c r="Q422" i="1" s="1"/>
  <c r="P423" i="1"/>
  <c r="Q423" i="1" s="1"/>
  <c r="P424" i="1"/>
  <c r="Q424" i="1" s="1"/>
  <c r="P425" i="1"/>
  <c r="Q425" i="1"/>
  <c r="P426" i="1"/>
  <c r="Q426" i="1"/>
  <c r="P427" i="1"/>
  <c r="Q427" i="1"/>
  <c r="P428" i="1"/>
  <c r="Q428" i="1" s="1"/>
  <c r="P429" i="1"/>
  <c r="Q429" i="1" s="1"/>
  <c r="P430" i="1"/>
  <c r="Q430" i="1" s="1"/>
  <c r="P431" i="1"/>
  <c r="Q431" i="1" s="1"/>
  <c r="P432" i="1"/>
  <c r="Q432" i="1" s="1"/>
  <c r="P433" i="1"/>
  <c r="Q433" i="1" s="1"/>
  <c r="P434" i="1"/>
  <c r="Q434" i="1"/>
  <c r="P435" i="1"/>
  <c r="Q435" i="1"/>
  <c r="P436" i="1"/>
  <c r="Q436" i="1"/>
  <c r="P437" i="1"/>
  <c r="Q437" i="1"/>
  <c r="P438" i="1"/>
  <c r="Q438" i="1"/>
  <c r="P439" i="1"/>
  <c r="Q439" i="1" s="1"/>
  <c r="P440" i="1"/>
  <c r="Q440" i="1"/>
  <c r="P441" i="1"/>
  <c r="Q441" i="1"/>
  <c r="P442" i="1"/>
  <c r="Q442" i="1" s="1"/>
  <c r="P443" i="1"/>
  <c r="Q443" i="1"/>
  <c r="P444" i="1"/>
  <c r="Q444" i="1"/>
  <c r="P445" i="1"/>
  <c r="Q445" i="1" s="1"/>
  <c r="P446" i="1"/>
  <c r="Q446" i="1"/>
  <c r="P447" i="1"/>
  <c r="Q447" i="1"/>
  <c r="P448" i="1"/>
  <c r="Q448" i="1" s="1"/>
  <c r="P449" i="1"/>
  <c r="Q449" i="1" s="1"/>
  <c r="P450" i="1"/>
  <c r="Q450" i="1" s="1"/>
  <c r="P451" i="1"/>
  <c r="Q451" i="1"/>
  <c r="P452" i="1"/>
  <c r="Q452" i="1"/>
  <c r="P453" i="1"/>
  <c r="Q453" i="1" s="1"/>
  <c r="P454" i="1"/>
  <c r="Q454" i="1"/>
  <c r="P455" i="1"/>
  <c r="Q455" i="1"/>
  <c r="P456" i="1"/>
  <c r="Q456" i="1" s="1"/>
  <c r="P457" i="1"/>
  <c r="Q457" i="1" s="1"/>
  <c r="P458" i="1"/>
  <c r="Q458" i="1"/>
  <c r="P459" i="1"/>
  <c r="Q459" i="1" s="1"/>
  <c r="P460" i="1"/>
  <c r="Q460" i="1"/>
  <c r="P461" i="1"/>
  <c r="Q461" i="1" s="1"/>
  <c r="P462" i="1"/>
  <c r="Q462" i="1"/>
  <c r="P463" i="1"/>
  <c r="Q463" i="1" s="1"/>
  <c r="P464" i="1"/>
  <c r="Q464" i="1" s="1"/>
  <c r="P465" i="1"/>
  <c r="Q465" i="1" s="1"/>
  <c r="P466" i="1"/>
  <c r="Q466" i="1" s="1"/>
  <c r="P467" i="1"/>
  <c r="Q467" i="1"/>
  <c r="P468" i="1"/>
  <c r="Q468" i="1"/>
  <c r="P469" i="1"/>
  <c r="Q469" i="1"/>
  <c r="P470" i="1"/>
  <c r="Q470" i="1"/>
  <c r="P471" i="1"/>
  <c r="Q471" i="1"/>
  <c r="P472" i="1"/>
  <c r="Q472" i="1" s="1"/>
  <c r="P473" i="1"/>
  <c r="Q473" i="1" s="1"/>
  <c r="P474" i="1"/>
  <c r="Q474" i="1" s="1"/>
  <c r="P475" i="1"/>
  <c r="Q475" i="1" s="1"/>
  <c r="P476" i="1"/>
  <c r="Q476" i="1" s="1"/>
  <c r="P477" i="1"/>
  <c r="Q477" i="1" s="1"/>
  <c r="P478" i="1"/>
  <c r="Q478" i="1"/>
  <c r="P479" i="1"/>
  <c r="Q479" i="1"/>
  <c r="P480" i="1"/>
  <c r="Q480" i="1"/>
  <c r="P481" i="1"/>
  <c r="Q481" i="1" s="1"/>
  <c r="P482" i="1"/>
  <c r="Q482" i="1"/>
  <c r="P483" i="1"/>
  <c r="Q483" i="1" s="1"/>
  <c r="P484" i="1"/>
  <c r="Q484" i="1"/>
  <c r="P485" i="1"/>
  <c r="Q485" i="1"/>
  <c r="P486" i="1"/>
  <c r="Q486" i="1"/>
  <c r="P487" i="1"/>
  <c r="Q487" i="1"/>
  <c r="P488" i="1"/>
  <c r="Q488" i="1"/>
  <c r="P489" i="1"/>
  <c r="Q489" i="1" s="1"/>
  <c r="P490" i="1"/>
  <c r="Q490" i="1" s="1"/>
  <c r="P491" i="1"/>
  <c r="Q491" i="1"/>
  <c r="P492" i="1"/>
  <c r="Q492" i="1"/>
  <c r="P493" i="1"/>
  <c r="Q493" i="1"/>
  <c r="P494" i="1"/>
  <c r="Q494" i="1"/>
  <c r="P495" i="1"/>
  <c r="Q495" i="1"/>
  <c r="P496" i="1"/>
  <c r="Q496" i="1" s="1"/>
  <c r="P497" i="1"/>
  <c r="Q497" i="1"/>
  <c r="P498" i="1"/>
  <c r="Q498" i="1"/>
  <c r="P499" i="1"/>
  <c r="Q499" i="1"/>
  <c r="P500" i="1"/>
  <c r="Q500" i="1" s="1"/>
  <c r="P501" i="1"/>
  <c r="Q501" i="1"/>
  <c r="P502" i="1"/>
  <c r="Q502" i="1"/>
  <c r="P503" i="1"/>
  <c r="Q503" i="1"/>
  <c r="P504" i="1"/>
  <c r="Q504" i="1"/>
  <c r="P505" i="1"/>
  <c r="Q505" i="1" s="1"/>
  <c r="P506" i="1"/>
  <c r="Q506" i="1"/>
  <c r="P507" i="1"/>
  <c r="Q507" i="1"/>
  <c r="P508" i="1"/>
  <c r="Q508" i="1" s="1"/>
  <c r="P509" i="1"/>
  <c r="Q509" i="1"/>
  <c r="P510" i="1"/>
  <c r="Q510" i="1"/>
  <c r="P511" i="1"/>
  <c r="Q511" i="1" s="1"/>
  <c r="P512" i="1"/>
  <c r="Q512" i="1" s="1"/>
  <c r="P513" i="1"/>
  <c r="Q513" i="1" s="1"/>
  <c r="P514" i="1"/>
  <c r="Q514" i="1" s="1"/>
  <c r="P515" i="1"/>
  <c r="Q515" i="1"/>
  <c r="P516" i="1"/>
  <c r="Q516" i="1" s="1"/>
  <c r="P517" i="1"/>
  <c r="Q517" i="1" s="1"/>
  <c r="P518" i="1"/>
  <c r="Q518" i="1" s="1"/>
  <c r="P519" i="1"/>
  <c r="Q519" i="1" s="1"/>
  <c r="P520" i="1"/>
  <c r="Q520" i="1" s="1"/>
  <c r="P521" i="1"/>
  <c r="Q521" i="1"/>
  <c r="P522" i="1"/>
  <c r="Q522" i="1"/>
  <c r="P523" i="1"/>
  <c r="Q523" i="1" s="1"/>
  <c r="P524" i="1"/>
  <c r="Q524" i="1"/>
  <c r="P525" i="1"/>
  <c r="Q525" i="1" s="1"/>
  <c r="P526" i="1"/>
  <c r="Q526" i="1"/>
  <c r="P527" i="1"/>
  <c r="Q527" i="1"/>
  <c r="P528" i="1"/>
  <c r="Q528" i="1"/>
  <c r="P529" i="1"/>
  <c r="Q529" i="1"/>
  <c r="P530" i="1"/>
  <c r="Q530" i="1"/>
  <c r="P531" i="1"/>
  <c r="Q531" i="1"/>
  <c r="P532" i="1"/>
  <c r="Q532" i="1" s="1"/>
  <c r="P533" i="1"/>
  <c r="Q533" i="1"/>
  <c r="P534" i="1"/>
  <c r="Q534" i="1"/>
  <c r="P535" i="1"/>
  <c r="Q535" i="1" s="1"/>
  <c r="P536" i="1"/>
  <c r="Q536" i="1"/>
  <c r="P537" i="1"/>
  <c r="Q537" i="1"/>
  <c r="P538" i="1"/>
  <c r="Q538" i="1"/>
  <c r="P539" i="1"/>
  <c r="Q539" i="1"/>
  <c r="P540" i="1"/>
  <c r="Q540" i="1" s="1"/>
  <c r="P541" i="1"/>
  <c r="Q541" i="1" s="1"/>
  <c r="P542" i="1"/>
  <c r="Q542" i="1" s="1"/>
  <c r="P543" i="1"/>
  <c r="Q543" i="1" s="1"/>
  <c r="P544" i="1"/>
  <c r="Q544" i="1" s="1"/>
  <c r="P545" i="1"/>
  <c r="Q545" i="1"/>
  <c r="P546" i="1"/>
  <c r="Q546" i="1"/>
  <c r="P547" i="1"/>
  <c r="Q547" i="1" s="1"/>
  <c r="P548" i="1"/>
  <c r="Q548" i="1"/>
  <c r="P549" i="1"/>
  <c r="Q549" i="1" s="1"/>
  <c r="P550" i="1"/>
  <c r="Q550" i="1"/>
  <c r="P551" i="1"/>
  <c r="Q551" i="1"/>
  <c r="P552" i="1"/>
  <c r="Q552" i="1"/>
  <c r="P553" i="1"/>
  <c r="Q553" i="1"/>
  <c r="P554" i="1"/>
  <c r="Q554" i="1"/>
  <c r="P555" i="1"/>
  <c r="Q555" i="1"/>
  <c r="P556" i="1"/>
  <c r="Q556" i="1" s="1"/>
  <c r="P557" i="1"/>
  <c r="Q557" i="1"/>
  <c r="P558" i="1"/>
  <c r="Q558" i="1"/>
  <c r="P559" i="1"/>
  <c r="Q559" i="1" s="1"/>
  <c r="P560" i="1"/>
  <c r="Q560" i="1"/>
  <c r="P561" i="1"/>
  <c r="Q561" i="1"/>
  <c r="P562" i="1"/>
  <c r="Q562" i="1"/>
  <c r="P563" i="1"/>
  <c r="Q563" i="1"/>
  <c r="P564" i="1"/>
  <c r="Q564" i="1" s="1"/>
  <c r="P565" i="1"/>
  <c r="Q565" i="1" s="1"/>
  <c r="P566" i="1"/>
  <c r="Q566" i="1" s="1"/>
  <c r="P567" i="1"/>
  <c r="Q567" i="1" s="1"/>
  <c r="P568" i="1"/>
  <c r="Q568" i="1" s="1"/>
  <c r="P569" i="1"/>
  <c r="Q569" i="1"/>
  <c r="P570" i="1"/>
  <c r="Q570" i="1"/>
  <c r="P571" i="1"/>
  <c r="Q571" i="1" s="1"/>
  <c r="P572" i="1"/>
  <c r="Q572" i="1"/>
  <c r="P573" i="1"/>
  <c r="Q573" i="1" s="1"/>
  <c r="R573" i="1" s="1"/>
  <c r="P574" i="1"/>
  <c r="Q574" i="1"/>
  <c r="R574" i="1"/>
  <c r="S574" i="1"/>
  <c r="T574" i="1" s="1"/>
  <c r="D69" i="8"/>
  <c r="D70" i="8" s="1"/>
  <c r="D71" i="8" s="1"/>
  <c r="D72" i="8" s="1"/>
  <c r="D73" i="8" s="1"/>
  <c r="D74" i="8" s="1"/>
  <c r="D75" i="8" s="1"/>
  <c r="D76" i="8" s="1"/>
  <c r="D77" i="8" s="1"/>
  <c r="D78" i="8" s="1"/>
  <c r="D79" i="8" s="1"/>
  <c r="D80" i="8" s="1"/>
  <c r="D81" i="8" s="1"/>
  <c r="D82" i="8" s="1"/>
  <c r="D83" i="8" s="1"/>
  <c r="D84" i="8" s="1"/>
  <c r="D85" i="8" s="1"/>
  <c r="D86" i="8" s="1"/>
  <c r="D87" i="8" s="1"/>
  <c r="D88" i="8" s="1"/>
  <c r="D89" i="8" s="1"/>
  <c r="D90" i="8" s="1"/>
  <c r="D91" i="8" s="1"/>
  <c r="D92" i="8" s="1"/>
  <c r="D93" i="8" s="1"/>
  <c r="D94" i="8" s="1"/>
  <c r="D95" i="8" s="1"/>
  <c r="D96" i="8" s="1"/>
  <c r="D97" i="8" s="1"/>
  <c r="D98" i="8" s="1"/>
  <c r="D99" i="8" s="1"/>
  <c r="D100" i="8" s="1"/>
  <c r="D101" i="8" s="1"/>
  <c r="D102" i="8" s="1"/>
  <c r="D103" i="8" s="1"/>
  <c r="D104" i="8" s="1"/>
  <c r="D105" i="8" s="1"/>
  <c r="D106" i="8" s="1"/>
  <c r="D107" i="8" s="1"/>
  <c r="D108" i="8" s="1"/>
  <c r="D109" i="8" s="1"/>
  <c r="D110" i="8" s="1"/>
  <c r="D111" i="8" s="1"/>
  <c r="D112" i="8" s="1"/>
  <c r="D113" i="8" s="1"/>
  <c r="D114" i="8" s="1"/>
  <c r="D115" i="8" s="1"/>
  <c r="D116" i="8" s="1"/>
  <c r="D117" i="8" s="1"/>
  <c r="D118" i="8" s="1"/>
  <c r="D119" i="8" s="1"/>
  <c r="D120" i="8" s="1"/>
  <c r="D121" i="8" s="1"/>
  <c r="D122" i="8" s="1"/>
  <c r="D123" i="8" s="1"/>
  <c r="D124" i="8" s="1"/>
  <c r="D125" i="8" s="1"/>
  <c r="D126" i="8" s="1"/>
  <c r="D127" i="8" s="1"/>
  <c r="D128" i="8" s="1"/>
  <c r="D129" i="8" s="1"/>
  <c r="D130" i="8" s="1"/>
  <c r="D131" i="8" s="1"/>
  <c r="D132" i="8" s="1"/>
  <c r="D133" i="8" s="1"/>
  <c r="D134" i="8" s="1"/>
  <c r="D135" i="8" s="1"/>
  <c r="D136" i="8" s="1"/>
  <c r="D137" i="8" s="1"/>
  <c r="D138" i="8" s="1"/>
  <c r="D139" i="8" s="1"/>
  <c r="D140" i="8" s="1"/>
  <c r="D141" i="8" s="1"/>
  <c r="D142" i="8" s="1"/>
  <c r="D143" i="8" s="1"/>
  <c r="D144" i="8" s="1"/>
  <c r="D145" i="8" s="1"/>
  <c r="D146" i="8" s="1"/>
  <c r="D147" i="8" s="1"/>
  <c r="D148" i="8" s="1"/>
  <c r="D149" i="8" s="1"/>
  <c r="D150" i="8" s="1"/>
  <c r="D151" i="8" s="1"/>
  <c r="D152" i="8" s="1"/>
  <c r="D153" i="8" s="1"/>
  <c r="D154" i="8" s="1"/>
  <c r="D155" i="8" s="1"/>
  <c r="S573" i="1" l="1"/>
  <c r="T573" i="1" s="1"/>
  <c r="R572" i="1"/>
  <c r="P5" i="1"/>
  <c r="Q5" i="1" s="1"/>
  <c r="R571" i="1" l="1"/>
  <c r="S572" i="1"/>
  <c r="T572" i="1" s="1"/>
  <c r="D2" i="7"/>
  <c r="C2" i="7"/>
  <c r="R570" i="1" l="1"/>
  <c r="S571" i="1"/>
  <c r="T571" i="1" s="1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C118" i="5"/>
  <c r="D117" i="5"/>
  <c r="D118" i="5" s="1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 s="1"/>
  <c r="C74" i="5"/>
  <c r="C77" i="5" s="1"/>
  <c r="C49" i="5"/>
  <c r="D52" i="5" s="1"/>
  <c r="C23" i="5"/>
  <c r="C26" i="5" s="1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C103" i="4"/>
  <c r="D106" i="4" s="1"/>
  <c r="C78" i="4"/>
  <c r="D81" i="4" s="1"/>
  <c r="C53" i="4"/>
  <c r="D56" i="4" s="1"/>
  <c r="C28" i="4"/>
  <c r="C31" i="4" s="1"/>
  <c r="D164" i="3"/>
  <c r="C164" i="3"/>
  <c r="C124" i="3"/>
  <c r="D124" i="3" s="1"/>
  <c r="D123" i="3"/>
  <c r="C123" i="3"/>
  <c r="D118" i="3"/>
  <c r="D117" i="3"/>
  <c r="C117" i="3"/>
  <c r="C122" i="3" s="1"/>
  <c r="C133" i="3" s="1"/>
  <c r="C116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 s="1"/>
  <c r="D123" i="2"/>
  <c r="C123" i="2"/>
  <c r="D117" i="2"/>
  <c r="D118" i="2" s="1"/>
  <c r="C117" i="2"/>
  <c r="C122" i="2" s="1"/>
  <c r="C133" i="2" s="1"/>
  <c r="C115" i="2"/>
  <c r="D114" i="2"/>
  <c r="C114" i="2"/>
  <c r="D113" i="2"/>
  <c r="C113" i="2"/>
  <c r="D112" i="2"/>
  <c r="C112" i="2"/>
  <c r="D111" i="2"/>
  <c r="C111" i="2"/>
  <c r="D2" i="1"/>
  <c r="C2" i="1"/>
  <c r="S570" i="1" l="1"/>
  <c r="T570" i="1" s="1"/>
  <c r="R569" i="1"/>
  <c r="C106" i="4"/>
  <c r="D77" i="5"/>
  <c r="C102" i="5"/>
  <c r="C118" i="3"/>
  <c r="D31" i="4"/>
  <c r="C122" i="4"/>
  <c r="C133" i="4" s="1"/>
  <c r="D136" i="4" s="1"/>
  <c r="M3" i="6"/>
  <c r="C81" i="4"/>
  <c r="C52" i="5"/>
  <c r="C118" i="2"/>
  <c r="C116" i="2"/>
  <c r="K3" i="6"/>
  <c r="D26" i="5"/>
  <c r="C122" i="5"/>
  <c r="C133" i="5" s="1"/>
  <c r="C56" i="4"/>
  <c r="C118" i="4"/>
  <c r="C116" i="4"/>
  <c r="C136" i="3"/>
  <c r="D136" i="3"/>
  <c r="D136" i="2"/>
  <c r="C136" i="2"/>
  <c r="R568" i="1" l="1"/>
  <c r="S569" i="1"/>
  <c r="T569" i="1" s="1"/>
  <c r="C136" i="4"/>
  <c r="C138" i="4" s="1"/>
  <c r="C138" i="3"/>
  <c r="D136" i="5"/>
  <c r="C136" i="5"/>
  <c r="C138" i="2"/>
  <c r="S568" i="1" l="1"/>
  <c r="T568" i="1" s="1"/>
  <c r="R567" i="1"/>
  <c r="C138" i="5"/>
  <c r="S567" i="1" l="1"/>
  <c r="T567" i="1" s="1"/>
  <c r="R566" i="1"/>
  <c r="S566" i="1" l="1"/>
  <c r="T566" i="1" s="1"/>
  <c r="R565" i="1"/>
  <c r="S565" i="1" l="1"/>
  <c r="T565" i="1" s="1"/>
  <c r="R564" i="1"/>
  <c r="R563" i="1" l="1"/>
  <c r="S564" i="1"/>
  <c r="T564" i="1" s="1"/>
  <c r="S563" i="1" l="1"/>
  <c r="T563" i="1" s="1"/>
  <c r="R562" i="1"/>
  <c r="R561" i="1" l="1"/>
  <c r="S562" i="1"/>
  <c r="T562" i="1" s="1"/>
  <c r="R560" i="1" l="1"/>
  <c r="S561" i="1"/>
  <c r="T561" i="1" s="1"/>
  <c r="R559" i="1" l="1"/>
  <c r="S560" i="1"/>
  <c r="T560" i="1" s="1"/>
  <c r="S559" i="1" l="1"/>
  <c r="T559" i="1" s="1"/>
  <c r="R558" i="1"/>
  <c r="S558" i="1" l="1"/>
  <c r="T558" i="1" s="1"/>
  <c r="R557" i="1"/>
  <c r="R556" i="1" l="1"/>
  <c r="S557" i="1"/>
  <c r="T557" i="1" s="1"/>
  <c r="R555" i="1" l="1"/>
  <c r="S556" i="1"/>
  <c r="T556" i="1" s="1"/>
  <c r="R554" i="1" l="1"/>
  <c r="S555" i="1"/>
  <c r="T555" i="1" s="1"/>
  <c r="S554" i="1" l="1"/>
  <c r="T554" i="1" s="1"/>
  <c r="R553" i="1"/>
  <c r="R552" i="1" l="1"/>
  <c r="S553" i="1"/>
  <c r="T553" i="1" s="1"/>
  <c r="S552" i="1" l="1"/>
  <c r="T552" i="1" s="1"/>
  <c r="R551" i="1"/>
  <c r="S551" i="1" l="1"/>
  <c r="T551" i="1" s="1"/>
  <c r="R550" i="1"/>
  <c r="R549" i="1" l="1"/>
  <c r="S550" i="1"/>
  <c r="T550" i="1" s="1"/>
  <c r="S549" i="1" l="1"/>
  <c r="T549" i="1" s="1"/>
  <c r="R548" i="1"/>
  <c r="S548" i="1" l="1"/>
  <c r="T548" i="1" s="1"/>
  <c r="R547" i="1"/>
  <c r="S547" i="1" l="1"/>
  <c r="T547" i="1" s="1"/>
  <c r="R546" i="1"/>
  <c r="R545" i="1" l="1"/>
  <c r="S546" i="1"/>
  <c r="T546" i="1" s="1"/>
  <c r="R544" i="1" l="1"/>
  <c r="S545" i="1"/>
  <c r="T545" i="1" s="1"/>
  <c r="S544" i="1" l="1"/>
  <c r="T544" i="1" s="1"/>
  <c r="R543" i="1"/>
  <c r="S543" i="1" l="1"/>
  <c r="T543" i="1" s="1"/>
  <c r="R542" i="1"/>
  <c r="R541" i="1" l="1"/>
  <c r="S542" i="1"/>
  <c r="T542" i="1" s="1"/>
  <c r="R540" i="1" l="1"/>
  <c r="S541" i="1"/>
  <c r="T541" i="1" s="1"/>
  <c r="R539" i="1" l="1"/>
  <c r="S540" i="1"/>
  <c r="T540" i="1" s="1"/>
  <c r="S539" i="1" l="1"/>
  <c r="T539" i="1" s="1"/>
  <c r="R538" i="1"/>
  <c r="S538" i="1" l="1"/>
  <c r="T538" i="1" s="1"/>
  <c r="R537" i="1"/>
  <c r="R536" i="1" l="1"/>
  <c r="S537" i="1"/>
  <c r="T537" i="1" s="1"/>
  <c r="R535" i="1" l="1"/>
  <c r="S536" i="1"/>
  <c r="T536" i="1" s="1"/>
  <c r="S535" i="1" l="1"/>
  <c r="T535" i="1" s="1"/>
  <c r="R534" i="1"/>
  <c r="S534" i="1" l="1"/>
  <c r="T534" i="1" s="1"/>
  <c r="R533" i="1"/>
  <c r="R532" i="1" l="1"/>
  <c r="S533" i="1"/>
  <c r="T533" i="1" s="1"/>
  <c r="R531" i="1" l="1"/>
  <c r="S532" i="1"/>
  <c r="T532" i="1" s="1"/>
  <c r="R530" i="1" l="1"/>
  <c r="S531" i="1"/>
  <c r="T531" i="1" s="1"/>
  <c r="S530" i="1" l="1"/>
  <c r="T530" i="1" s="1"/>
  <c r="R529" i="1"/>
  <c r="S529" i="1" l="1"/>
  <c r="T529" i="1" s="1"/>
  <c r="R528" i="1"/>
  <c r="S528" i="1" l="1"/>
  <c r="T528" i="1" s="1"/>
  <c r="R527" i="1"/>
  <c r="R526" i="1" l="1"/>
  <c r="S527" i="1"/>
  <c r="T527" i="1" s="1"/>
  <c r="R525" i="1" l="1"/>
  <c r="S526" i="1"/>
  <c r="T526" i="1" s="1"/>
  <c r="S525" i="1" l="1"/>
  <c r="T525" i="1" s="1"/>
  <c r="R524" i="1"/>
  <c r="S524" i="1" l="1"/>
  <c r="T524" i="1" s="1"/>
  <c r="R523" i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S519" i="1" l="1"/>
  <c r="T519" i="1" s="1"/>
  <c r="R518" i="1"/>
  <c r="R517" i="1" l="1"/>
  <c r="S518" i="1"/>
  <c r="T518" i="1" s="1"/>
  <c r="R516" i="1" l="1"/>
  <c r="S517" i="1"/>
  <c r="T517" i="1" s="1"/>
  <c r="R515" i="1" l="1"/>
  <c r="S516" i="1"/>
  <c r="T516" i="1" s="1"/>
  <c r="S515" i="1" l="1"/>
  <c r="T515" i="1" s="1"/>
  <c r="R514" i="1"/>
  <c r="S514" i="1" l="1"/>
  <c r="T514" i="1" s="1"/>
  <c r="R513" i="1"/>
  <c r="R512" i="1" l="1"/>
  <c r="S513" i="1"/>
  <c r="T513" i="1" s="1"/>
  <c r="R511" i="1" l="1"/>
  <c r="S512" i="1"/>
  <c r="T512" i="1" s="1"/>
  <c r="R510" i="1" l="1"/>
  <c r="S511" i="1"/>
  <c r="T511" i="1" s="1"/>
  <c r="S510" i="1" l="1"/>
  <c r="T510" i="1" s="1"/>
  <c r="R509" i="1"/>
  <c r="S509" i="1" l="1"/>
  <c r="T509" i="1" s="1"/>
  <c r="R508" i="1"/>
  <c r="R507" i="1" l="1"/>
  <c r="S508" i="1"/>
  <c r="T508" i="1" s="1"/>
  <c r="R506" i="1" l="1"/>
  <c r="S507" i="1"/>
  <c r="T507" i="1" s="1"/>
  <c r="R505" i="1" l="1"/>
  <c r="S506" i="1"/>
  <c r="T506" i="1" s="1"/>
  <c r="S505" i="1" l="1"/>
  <c r="T505" i="1" s="1"/>
  <c r="R504" i="1"/>
  <c r="S504" i="1" l="1"/>
  <c r="T504" i="1" s="1"/>
  <c r="R503" i="1"/>
  <c r="R502" i="1" l="1"/>
  <c r="S503" i="1"/>
  <c r="T503" i="1" s="1"/>
  <c r="R501" i="1" l="1"/>
  <c r="S502" i="1"/>
  <c r="T502" i="1" s="1"/>
  <c r="R500" i="1" l="1"/>
  <c r="S501" i="1"/>
  <c r="T501" i="1" s="1"/>
  <c r="S500" i="1" l="1"/>
  <c r="T500" i="1" s="1"/>
  <c r="R499" i="1"/>
  <c r="S499" i="1" l="1"/>
  <c r="T499" i="1" s="1"/>
  <c r="R498" i="1"/>
  <c r="R497" i="1" l="1"/>
  <c r="S498" i="1"/>
  <c r="T498" i="1" s="1"/>
  <c r="R496" i="1" l="1"/>
  <c r="S497" i="1"/>
  <c r="T497" i="1" s="1"/>
  <c r="R495" i="1" l="1"/>
  <c r="S496" i="1"/>
  <c r="T496" i="1" s="1"/>
  <c r="S495" i="1" l="1"/>
  <c r="T495" i="1" s="1"/>
  <c r="R494" i="1"/>
  <c r="S494" i="1" l="1"/>
  <c r="T494" i="1" s="1"/>
  <c r="R493" i="1"/>
  <c r="S493" i="1" l="1"/>
  <c r="T493" i="1" s="1"/>
  <c r="R492" i="1"/>
  <c r="R491" i="1" l="1"/>
  <c r="S492" i="1"/>
  <c r="T492" i="1" s="1"/>
  <c r="S491" i="1" l="1"/>
  <c r="T491" i="1" s="1"/>
  <c r="R490" i="1"/>
  <c r="R489" i="1" l="1"/>
  <c r="S490" i="1"/>
  <c r="T490" i="1" s="1"/>
  <c r="R488" i="1" l="1"/>
  <c r="S489" i="1"/>
  <c r="T489" i="1" s="1"/>
  <c r="S488" i="1" l="1"/>
  <c r="T488" i="1" s="1"/>
  <c r="R487" i="1"/>
  <c r="S487" i="1" l="1"/>
  <c r="T487" i="1" s="1"/>
  <c r="R486" i="1"/>
  <c r="S486" i="1" l="1"/>
  <c r="T486" i="1" s="1"/>
  <c r="R485" i="1"/>
  <c r="R484" i="1" l="1"/>
  <c r="S485" i="1"/>
  <c r="T485" i="1" s="1"/>
  <c r="R483" i="1" l="1"/>
  <c r="S484" i="1"/>
  <c r="T484" i="1" s="1"/>
  <c r="S483" i="1" l="1"/>
  <c r="T483" i="1" s="1"/>
  <c r="R482" i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S476" i="1" l="1"/>
  <c r="T476" i="1" s="1"/>
  <c r="R475" i="1"/>
  <c r="R474" i="1" l="1"/>
  <c r="S475" i="1"/>
  <c r="T475" i="1" s="1"/>
  <c r="R473" i="1" l="1"/>
  <c r="S474" i="1"/>
  <c r="T474" i="1" s="1"/>
  <c r="R472" i="1" l="1"/>
  <c r="S473" i="1"/>
  <c r="T473" i="1" s="1"/>
  <c r="S472" i="1" l="1"/>
  <c r="T472" i="1" s="1"/>
  <c r="R471" i="1"/>
  <c r="S471" i="1" l="1"/>
  <c r="T471" i="1" s="1"/>
  <c r="R470" i="1"/>
  <c r="R469" i="1" l="1"/>
  <c r="S470" i="1"/>
  <c r="T470" i="1" s="1"/>
  <c r="R468" i="1" l="1"/>
  <c r="S469" i="1"/>
  <c r="T469" i="1" s="1"/>
  <c r="R467" i="1" l="1"/>
  <c r="S468" i="1"/>
  <c r="T468" i="1" s="1"/>
  <c r="S467" i="1" l="1"/>
  <c r="T467" i="1" s="1"/>
  <c r="R466" i="1"/>
  <c r="S466" i="1" l="1"/>
  <c r="T466" i="1" s="1"/>
  <c r="R465" i="1"/>
  <c r="S465" i="1" l="1"/>
  <c r="T465" i="1" s="1"/>
  <c r="R464" i="1"/>
  <c r="R463" i="1" l="1"/>
  <c r="S464" i="1"/>
  <c r="T464" i="1" s="1"/>
  <c r="R462" i="1" l="1"/>
  <c r="S463" i="1"/>
  <c r="T463" i="1" s="1"/>
  <c r="S462" i="1" l="1"/>
  <c r="T462" i="1" s="1"/>
  <c r="R461" i="1"/>
  <c r="S461" i="1" l="1"/>
  <c r="T461" i="1" s="1"/>
  <c r="R460" i="1"/>
  <c r="S460" i="1" l="1"/>
  <c r="T460" i="1" s="1"/>
  <c r="R459" i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S455" i="1" l="1"/>
  <c r="T455" i="1" s="1"/>
  <c r="R454" i="1"/>
  <c r="R453" i="1" l="1"/>
  <c r="S454" i="1"/>
  <c r="T454" i="1" s="1"/>
  <c r="R452" i="1" l="1"/>
  <c r="S453" i="1"/>
  <c r="T453" i="1" s="1"/>
  <c r="S452" i="1" l="1"/>
  <c r="T452" i="1" s="1"/>
  <c r="R451" i="1"/>
  <c r="R450" i="1" l="1"/>
  <c r="S451" i="1"/>
  <c r="T451" i="1" s="1"/>
  <c r="S450" i="1" l="1"/>
  <c r="T450" i="1" s="1"/>
  <c r="R449" i="1"/>
  <c r="R448" i="1" l="1"/>
  <c r="S449" i="1"/>
  <c r="T449" i="1" s="1"/>
  <c r="R447" i="1" l="1"/>
  <c r="S448" i="1"/>
  <c r="T448" i="1" s="1"/>
  <c r="S447" i="1" l="1"/>
  <c r="T447" i="1" s="1"/>
  <c r="R446" i="1"/>
  <c r="R445" i="1" l="1"/>
  <c r="S446" i="1"/>
  <c r="T446" i="1" s="1"/>
  <c r="S445" i="1" l="1"/>
  <c r="T445" i="1" s="1"/>
  <c r="R444" i="1"/>
  <c r="R443" i="1" l="1"/>
  <c r="S444" i="1"/>
  <c r="T444" i="1" s="1"/>
  <c r="S443" i="1" l="1"/>
  <c r="T443" i="1" s="1"/>
  <c r="R442" i="1"/>
  <c r="R441" i="1" l="1"/>
  <c r="S442" i="1"/>
  <c r="T442" i="1" s="1"/>
  <c r="R440" i="1" l="1"/>
  <c r="S441" i="1"/>
  <c r="T441" i="1" s="1"/>
  <c r="R439" i="1" l="1"/>
  <c r="S440" i="1"/>
  <c r="T440" i="1" s="1"/>
  <c r="S439" i="1" l="1"/>
  <c r="T439" i="1" s="1"/>
  <c r="R438" i="1"/>
  <c r="S438" i="1" l="1"/>
  <c r="T438" i="1" s="1"/>
  <c r="R437" i="1"/>
  <c r="S437" i="1" l="1"/>
  <c r="T437" i="1" s="1"/>
  <c r="R436" i="1"/>
  <c r="R435" i="1" l="1"/>
  <c r="S436" i="1"/>
  <c r="T436" i="1" s="1"/>
  <c r="R434" i="1" l="1"/>
  <c r="S435" i="1"/>
  <c r="T435" i="1" s="1"/>
  <c r="R433" i="1" l="1"/>
  <c r="S434" i="1"/>
  <c r="T434" i="1" s="1"/>
  <c r="S433" i="1" l="1"/>
  <c r="T433" i="1" s="1"/>
  <c r="R432" i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S428" i="1" l="1"/>
  <c r="T428" i="1" s="1"/>
  <c r="R427" i="1"/>
  <c r="S427" i="1" l="1"/>
  <c r="T427" i="1" s="1"/>
  <c r="R426" i="1"/>
  <c r="R425" i="1" l="1"/>
  <c r="S426" i="1"/>
  <c r="T426" i="1" s="1"/>
  <c r="R424" i="1" l="1"/>
  <c r="S425" i="1"/>
  <c r="T425" i="1" s="1"/>
  <c r="S424" i="1" l="1"/>
  <c r="T424" i="1" s="1"/>
  <c r="R423" i="1"/>
  <c r="S423" i="1" l="1"/>
  <c r="T423" i="1" s="1"/>
  <c r="R422" i="1"/>
  <c r="R421" i="1" l="1"/>
  <c r="S422" i="1"/>
  <c r="T422" i="1" s="1"/>
  <c r="S421" i="1" l="1"/>
  <c r="T421" i="1" s="1"/>
  <c r="R420" i="1"/>
  <c r="R419" i="1" l="1"/>
  <c r="S420" i="1"/>
  <c r="T420" i="1" s="1"/>
  <c r="S419" i="1" l="1"/>
  <c r="T419" i="1" s="1"/>
  <c r="R418" i="1"/>
  <c r="R417" i="1" l="1"/>
  <c r="S418" i="1"/>
  <c r="T418" i="1" s="1"/>
  <c r="R416" i="1" l="1"/>
  <c r="S417" i="1"/>
  <c r="T417" i="1" s="1"/>
  <c r="R415" i="1" l="1"/>
  <c r="S416" i="1"/>
  <c r="T416" i="1" s="1"/>
  <c r="S415" i="1" l="1"/>
  <c r="T415" i="1" s="1"/>
  <c r="R414" i="1"/>
  <c r="S414" i="1" l="1"/>
  <c r="T414" i="1" s="1"/>
  <c r="R413" i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S409" i="1" l="1"/>
  <c r="T409" i="1" s="1"/>
  <c r="R408" i="1"/>
  <c r="S408" i="1" l="1"/>
  <c r="T408" i="1" s="1"/>
  <c r="R407" i="1"/>
  <c r="R406" i="1" l="1"/>
  <c r="S407" i="1"/>
  <c r="T407" i="1" s="1"/>
  <c r="R405" i="1" l="1"/>
  <c r="S406" i="1"/>
  <c r="T406" i="1" s="1"/>
  <c r="R404" i="1" l="1"/>
  <c r="S405" i="1"/>
  <c r="T405" i="1" s="1"/>
  <c r="S404" i="1" l="1"/>
  <c r="T404" i="1" s="1"/>
  <c r="R403" i="1"/>
  <c r="S403" i="1" l="1"/>
  <c r="T403" i="1" s="1"/>
  <c r="R402" i="1"/>
  <c r="R401" i="1" l="1"/>
  <c r="S402" i="1"/>
  <c r="T402" i="1" s="1"/>
  <c r="R400" i="1" l="1"/>
  <c r="S401" i="1"/>
  <c r="T401" i="1" s="1"/>
  <c r="S400" i="1" l="1"/>
  <c r="T400" i="1" s="1"/>
  <c r="R399" i="1"/>
  <c r="S399" i="1" l="1"/>
  <c r="T399" i="1" s="1"/>
  <c r="R398" i="1"/>
  <c r="R397" i="1" l="1"/>
  <c r="S398" i="1"/>
  <c r="T398" i="1" s="1"/>
  <c r="R396" i="1" l="1"/>
  <c r="S397" i="1"/>
  <c r="T397" i="1" s="1"/>
  <c r="R395" i="1" l="1"/>
  <c r="S396" i="1"/>
  <c r="T396" i="1" s="1"/>
  <c r="S395" i="1" l="1"/>
  <c r="T395" i="1" s="1"/>
  <c r="R394" i="1"/>
  <c r="S394" i="1" l="1"/>
  <c r="T394" i="1" s="1"/>
  <c r="R393" i="1"/>
  <c r="R392" i="1" l="1"/>
  <c r="S393" i="1"/>
  <c r="T393" i="1" s="1"/>
  <c r="R391" i="1" l="1"/>
  <c r="S392" i="1"/>
  <c r="T392" i="1" s="1"/>
  <c r="R390" i="1" l="1"/>
  <c r="S391" i="1"/>
  <c r="T391" i="1" s="1"/>
  <c r="S390" i="1" l="1"/>
  <c r="T390" i="1" s="1"/>
  <c r="R389" i="1"/>
  <c r="S389" i="1" l="1"/>
  <c r="T389" i="1" s="1"/>
  <c r="R388" i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S383" i="1" l="1"/>
  <c r="T383" i="1" s="1"/>
  <c r="R382" i="1"/>
  <c r="R381" i="1" l="1"/>
  <c r="S382" i="1"/>
  <c r="T382" i="1" s="1"/>
  <c r="R380" i="1" l="1"/>
  <c r="S381" i="1"/>
  <c r="T381" i="1" s="1"/>
  <c r="S380" i="1" l="1"/>
  <c r="T380" i="1" s="1"/>
  <c r="R379" i="1"/>
  <c r="R378" i="1" l="1"/>
  <c r="S379" i="1"/>
  <c r="T379" i="1" s="1"/>
  <c r="R377" i="1" l="1"/>
  <c r="S378" i="1"/>
  <c r="T378" i="1" s="1"/>
  <c r="R376" i="1" l="1"/>
  <c r="S377" i="1"/>
  <c r="T377" i="1" s="1"/>
  <c r="S376" i="1" l="1"/>
  <c r="T376" i="1" s="1"/>
  <c r="R375" i="1"/>
  <c r="S375" i="1" l="1"/>
  <c r="T375" i="1" s="1"/>
  <c r="R374" i="1"/>
  <c r="R373" i="1" l="1"/>
  <c r="S374" i="1"/>
  <c r="T374" i="1" s="1"/>
  <c r="R372" i="1" l="1"/>
  <c r="S373" i="1"/>
  <c r="T373" i="1" s="1"/>
  <c r="R371" i="1" l="1"/>
  <c r="S372" i="1"/>
  <c r="T372" i="1" s="1"/>
  <c r="S371" i="1" l="1"/>
  <c r="T371" i="1" s="1"/>
  <c r="R370" i="1"/>
  <c r="S370" i="1" l="1"/>
  <c r="T370" i="1" s="1"/>
  <c r="R369" i="1"/>
  <c r="S369" i="1" l="1"/>
  <c r="T369" i="1" s="1"/>
  <c r="R368" i="1"/>
  <c r="R367" i="1" l="1"/>
  <c r="S368" i="1"/>
  <c r="T368" i="1" s="1"/>
  <c r="R366" i="1" l="1"/>
  <c r="S367" i="1"/>
  <c r="T367" i="1" s="1"/>
  <c r="S366" i="1" l="1"/>
  <c r="T366" i="1" s="1"/>
  <c r="R365" i="1"/>
  <c r="R364" i="1" l="1"/>
  <c r="S365" i="1"/>
  <c r="T365" i="1" s="1"/>
  <c r="S364" i="1" l="1"/>
  <c r="T364" i="1" s="1"/>
  <c r="R363" i="1"/>
  <c r="R362" i="1" l="1"/>
  <c r="S363" i="1"/>
  <c r="T363" i="1" s="1"/>
  <c r="R361" i="1" l="1"/>
  <c r="S362" i="1"/>
  <c r="T362" i="1" s="1"/>
  <c r="S361" i="1" l="1"/>
  <c r="T361" i="1" s="1"/>
  <c r="R360" i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S356" i="1" l="1"/>
  <c r="T356" i="1" s="1"/>
  <c r="R355" i="1"/>
  <c r="S355" i="1" l="1"/>
  <c r="T355" i="1" s="1"/>
  <c r="R354" i="1"/>
  <c r="R353" i="1" l="1"/>
  <c r="S354" i="1"/>
  <c r="T354" i="1" s="1"/>
  <c r="R352" i="1" l="1"/>
  <c r="S353" i="1"/>
  <c r="T353" i="1" s="1"/>
  <c r="S352" i="1" l="1"/>
  <c r="T352" i="1" s="1"/>
  <c r="R351" i="1"/>
  <c r="S351" i="1" l="1"/>
  <c r="T351" i="1" s="1"/>
  <c r="R350" i="1"/>
  <c r="S350" i="1" l="1"/>
  <c r="T350" i="1" s="1"/>
  <c r="R349" i="1"/>
  <c r="R348" i="1" l="1"/>
  <c r="S349" i="1"/>
  <c r="T349" i="1" s="1"/>
  <c r="R347" i="1" l="1"/>
  <c r="S348" i="1"/>
  <c r="T348" i="1" s="1"/>
  <c r="S347" i="1" l="1"/>
  <c r="T347" i="1" s="1"/>
  <c r="R346" i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S342" i="1" l="1"/>
  <c r="T342" i="1" s="1"/>
  <c r="R341" i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S337" i="1" l="1"/>
  <c r="T337" i="1" s="1"/>
  <c r="R336" i="1"/>
  <c r="S336" i="1" l="1"/>
  <c r="T336" i="1" s="1"/>
  <c r="R335" i="1"/>
  <c r="S335" i="1" l="1"/>
  <c r="T335" i="1" s="1"/>
  <c r="R334" i="1"/>
  <c r="R333" i="1" l="1"/>
  <c r="S334" i="1"/>
  <c r="T334" i="1" s="1"/>
  <c r="R332" i="1" l="1"/>
  <c r="S333" i="1"/>
  <c r="T333" i="1" s="1"/>
  <c r="S332" i="1" l="1"/>
  <c r="T332" i="1" s="1"/>
  <c r="R331" i="1"/>
  <c r="R330" i="1" l="1"/>
  <c r="S331" i="1"/>
  <c r="T331" i="1" s="1"/>
  <c r="R329" i="1" l="1"/>
  <c r="S330" i="1"/>
  <c r="T330" i="1" s="1"/>
  <c r="R328" i="1" l="1"/>
  <c r="S329" i="1"/>
  <c r="T329" i="1" s="1"/>
  <c r="S328" i="1" l="1"/>
  <c r="T328" i="1" s="1"/>
  <c r="R327" i="1"/>
  <c r="S327" i="1" l="1"/>
  <c r="T327" i="1" s="1"/>
  <c r="R326" i="1"/>
  <c r="R325" i="1" l="1"/>
  <c r="S326" i="1"/>
  <c r="T326" i="1" s="1"/>
  <c r="R324" i="1" l="1"/>
  <c r="S325" i="1"/>
  <c r="T325" i="1" s="1"/>
  <c r="R323" i="1" l="1"/>
  <c r="S324" i="1"/>
  <c r="T324" i="1" s="1"/>
  <c r="S323" i="1" l="1"/>
  <c r="T323" i="1" s="1"/>
  <c r="R322" i="1"/>
  <c r="S322" i="1" l="1"/>
  <c r="T322" i="1" s="1"/>
  <c r="R321" i="1"/>
  <c r="R320" i="1" l="1"/>
  <c r="S321" i="1"/>
  <c r="T321" i="1" s="1"/>
  <c r="R319" i="1" l="1"/>
  <c r="S320" i="1"/>
  <c r="T320" i="1" s="1"/>
  <c r="R318" i="1" l="1"/>
  <c r="S319" i="1"/>
  <c r="T319" i="1" s="1"/>
  <c r="S318" i="1" l="1"/>
  <c r="T318" i="1" s="1"/>
  <c r="R317" i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S313" i="1" l="1"/>
  <c r="T313" i="1" s="1"/>
  <c r="R312" i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S308" i="1" l="1"/>
  <c r="T308" i="1" s="1"/>
  <c r="R307" i="1"/>
  <c r="S307" i="1" l="1"/>
  <c r="T307" i="1" s="1"/>
  <c r="R306" i="1"/>
  <c r="R305" i="1" l="1"/>
  <c r="S306" i="1"/>
  <c r="T306" i="1" s="1"/>
  <c r="R304" i="1" l="1"/>
  <c r="S305" i="1"/>
  <c r="T305" i="1" s="1"/>
  <c r="S304" i="1" l="1"/>
  <c r="T304" i="1" s="1"/>
  <c r="R303" i="1"/>
  <c r="S303" i="1" l="1"/>
  <c r="T303" i="1" s="1"/>
  <c r="R302" i="1"/>
  <c r="R301" i="1" l="1"/>
  <c r="S302" i="1"/>
  <c r="T302" i="1" s="1"/>
  <c r="S301" i="1" l="1"/>
  <c r="T301" i="1" s="1"/>
  <c r="R300" i="1"/>
  <c r="R299" i="1" l="1"/>
  <c r="S300" i="1"/>
  <c r="T300" i="1" s="1"/>
  <c r="S299" i="1" l="1"/>
  <c r="T299" i="1" s="1"/>
  <c r="R298" i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S294" i="1" l="1"/>
  <c r="T294" i="1" s="1"/>
  <c r="R293" i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S289" i="1" l="1"/>
  <c r="T289" i="1" s="1"/>
  <c r="R288" i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S284" i="1" l="1"/>
  <c r="T284" i="1" s="1"/>
  <c r="R283" i="1"/>
  <c r="R282" i="1" l="1"/>
  <c r="S283" i="1"/>
  <c r="T283" i="1" s="1"/>
  <c r="R281" i="1" l="1"/>
  <c r="S282" i="1"/>
  <c r="T282" i="1" s="1"/>
  <c r="R280" i="1" l="1"/>
  <c r="S281" i="1"/>
  <c r="T281" i="1" s="1"/>
  <c r="S280" i="1" l="1"/>
  <c r="T280" i="1" s="1"/>
  <c r="R279" i="1"/>
  <c r="S279" i="1" l="1"/>
  <c r="T279" i="1" s="1"/>
  <c r="R278" i="1"/>
  <c r="R277" i="1" l="1"/>
  <c r="S278" i="1"/>
  <c r="T278" i="1" s="1"/>
  <c r="R276" i="1" l="1"/>
  <c r="S277" i="1"/>
  <c r="T277" i="1" s="1"/>
  <c r="R275" i="1" l="1"/>
  <c r="S276" i="1"/>
  <c r="T276" i="1" s="1"/>
  <c r="S275" i="1" l="1"/>
  <c r="T275" i="1" s="1"/>
  <c r="R274" i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S270" i="1" l="1"/>
  <c r="T270" i="1" s="1"/>
  <c r="R269" i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S265" i="1" l="1"/>
  <c r="T265" i="1" s="1"/>
  <c r="R264" i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S260" i="1" l="1"/>
  <c r="T260" i="1" s="1"/>
  <c r="R259" i="1"/>
  <c r="R258" i="1" l="1"/>
  <c r="S259" i="1"/>
  <c r="T259" i="1" s="1"/>
  <c r="R257" i="1" l="1"/>
  <c r="S258" i="1"/>
  <c r="T258" i="1" s="1"/>
  <c r="R256" i="1" l="1"/>
  <c r="S257" i="1"/>
  <c r="T257" i="1" s="1"/>
  <c r="S256" i="1" l="1"/>
  <c r="T256" i="1" s="1"/>
  <c r="R255" i="1"/>
  <c r="S255" i="1" l="1"/>
  <c r="T255" i="1" s="1"/>
  <c r="R254" i="1"/>
  <c r="R253" i="1" l="1"/>
  <c r="S254" i="1"/>
  <c r="T254" i="1" s="1"/>
  <c r="R252" i="1" l="1"/>
  <c r="S253" i="1"/>
  <c r="T253" i="1" s="1"/>
  <c r="R251" i="1" l="1"/>
  <c r="S252" i="1"/>
  <c r="T252" i="1" s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S246" i="1" l="1"/>
  <c r="T246" i="1" s="1"/>
  <c r="R245" i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S241" i="1" l="1"/>
  <c r="T241" i="1" s="1"/>
  <c r="R240" i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S236" i="1" l="1"/>
  <c r="T236" i="1" s="1"/>
  <c r="R235" i="1"/>
  <c r="R234" i="1" l="1"/>
  <c r="S235" i="1"/>
  <c r="T235" i="1" s="1"/>
  <c r="R233" i="1" l="1"/>
  <c r="S234" i="1"/>
  <c r="T234" i="1" s="1"/>
  <c r="R232" i="1" l="1"/>
  <c r="S233" i="1"/>
  <c r="T233" i="1" s="1"/>
  <c r="S232" i="1" l="1"/>
  <c r="T232" i="1" s="1"/>
  <c r="R231" i="1"/>
  <c r="S231" i="1" l="1"/>
  <c r="T231" i="1" s="1"/>
  <c r="R230" i="1"/>
  <c r="R229" i="1" l="1"/>
  <c r="S230" i="1"/>
  <c r="T230" i="1" s="1"/>
  <c r="R228" i="1" l="1"/>
  <c r="S229" i="1"/>
  <c r="T229" i="1" s="1"/>
  <c r="R227" i="1" l="1"/>
  <c r="S228" i="1"/>
  <c r="T228" i="1" s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S222" i="1" l="1"/>
  <c r="T222" i="1" s="1"/>
  <c r="R221" i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S217" i="1" l="1"/>
  <c r="T217" i="1" s="1"/>
  <c r="R216" i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S212" i="1" l="1"/>
  <c r="T212" i="1" s="1"/>
  <c r="R211" i="1"/>
  <c r="R210" i="1" l="1"/>
  <c r="S211" i="1"/>
  <c r="T211" i="1" s="1"/>
  <c r="R209" i="1" l="1"/>
  <c r="S210" i="1"/>
  <c r="T210" i="1" s="1"/>
  <c r="R208" i="1" l="1"/>
  <c r="S209" i="1"/>
  <c r="T209" i="1" s="1"/>
  <c r="S208" i="1" l="1"/>
  <c r="T208" i="1" s="1"/>
  <c r="R207" i="1"/>
  <c r="S207" i="1" l="1"/>
  <c r="T207" i="1" s="1"/>
  <c r="R206" i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S198" i="1" l="1"/>
  <c r="T198" i="1" s="1"/>
  <c r="R197" i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S193" i="1" l="1"/>
  <c r="T193" i="1" s="1"/>
  <c r="R192" i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S188" i="1" l="1"/>
  <c r="T188" i="1" s="1"/>
  <c r="R187" i="1"/>
  <c r="R186" i="1" l="1"/>
  <c r="S187" i="1"/>
  <c r="T187" i="1" s="1"/>
  <c r="R185" i="1" l="1"/>
  <c r="S186" i="1"/>
  <c r="T186" i="1" s="1"/>
  <c r="R184" i="1" l="1"/>
  <c r="S185" i="1"/>
  <c r="T185" i="1" s="1"/>
  <c r="S184" i="1" l="1"/>
  <c r="T184" i="1" s="1"/>
  <c r="R183" i="1"/>
  <c r="S183" i="1" l="1"/>
  <c r="T183" i="1" s="1"/>
  <c r="R182" i="1"/>
  <c r="R181" i="1" l="1"/>
  <c r="S182" i="1"/>
  <c r="T182" i="1" s="1"/>
  <c r="R180" i="1" l="1"/>
  <c r="S181" i="1"/>
  <c r="T181" i="1" s="1"/>
  <c r="R179" i="1" l="1"/>
  <c r="S180" i="1"/>
  <c r="T180" i="1" s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S174" i="1" l="1"/>
  <c r="T174" i="1" s="1"/>
  <c r="R173" i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S169" i="1" l="1"/>
  <c r="T169" i="1" s="1"/>
  <c r="R168" i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S164" i="1" l="1"/>
  <c r="T164" i="1" s="1"/>
  <c r="R163" i="1"/>
  <c r="R162" i="1" l="1"/>
  <c r="S163" i="1"/>
  <c r="T163" i="1" s="1"/>
  <c r="R161" i="1" l="1"/>
  <c r="S162" i="1"/>
  <c r="T162" i="1" s="1"/>
  <c r="R160" i="1" l="1"/>
  <c r="S161" i="1"/>
  <c r="T161" i="1" s="1"/>
  <c r="S160" i="1" l="1"/>
  <c r="T160" i="1" s="1"/>
  <c r="R159" i="1"/>
  <c r="S159" i="1" l="1"/>
  <c r="T159" i="1" s="1"/>
  <c r="R158" i="1"/>
  <c r="R157" i="1" l="1"/>
  <c r="S158" i="1"/>
  <c r="T158" i="1" s="1"/>
  <c r="R156" i="1" l="1"/>
  <c r="S157" i="1"/>
  <c r="T157" i="1" s="1"/>
  <c r="R155" i="1" l="1"/>
  <c r="S156" i="1"/>
  <c r="T156" i="1" s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S150" i="1" l="1"/>
  <c r="T150" i="1" s="1"/>
  <c r="R149" i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S145" i="1" l="1"/>
  <c r="T145" i="1" s="1"/>
  <c r="R144" i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R136" i="1" l="1"/>
  <c r="S137" i="1"/>
  <c r="T137" i="1" s="1"/>
  <c r="S136" i="1" l="1"/>
  <c r="T136" i="1" s="1"/>
  <c r="R135" i="1"/>
  <c r="S135" i="1" l="1"/>
  <c r="T135" i="1" s="1"/>
  <c r="R134" i="1"/>
  <c r="R133" i="1" l="1"/>
  <c r="S134" i="1"/>
  <c r="T134" i="1" s="1"/>
  <c r="R132" i="1" l="1"/>
  <c r="S133" i="1"/>
  <c r="T133" i="1" s="1"/>
  <c r="R131" i="1" l="1"/>
  <c r="S132" i="1"/>
  <c r="T132" i="1" s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S121" i="1" l="1"/>
  <c r="T121" i="1" s="1"/>
  <c r="R120" i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S116" i="1" l="1"/>
  <c r="T116" i="1" s="1"/>
  <c r="R115" i="1"/>
  <c r="R114" i="1" l="1"/>
  <c r="S115" i="1"/>
  <c r="T115" i="1" s="1"/>
  <c r="R113" i="1" l="1"/>
  <c r="S114" i="1"/>
  <c r="T114" i="1" s="1"/>
  <c r="R112" i="1" l="1"/>
  <c r="S113" i="1"/>
  <c r="T113" i="1" s="1"/>
  <c r="S112" i="1" l="1"/>
  <c r="T112" i="1" s="1"/>
  <c r="R111" i="1"/>
  <c r="S111" i="1" l="1"/>
  <c r="T111" i="1" s="1"/>
  <c r="R110" i="1"/>
  <c r="R109" i="1" l="1"/>
  <c r="S110" i="1"/>
  <c r="T110" i="1" s="1"/>
  <c r="R108" i="1" l="1"/>
  <c r="S109" i="1"/>
  <c r="T109" i="1" s="1"/>
  <c r="R107" i="1" l="1"/>
  <c r="S108" i="1"/>
  <c r="T108" i="1" s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S102" i="1" l="1"/>
  <c r="T102" i="1" s="1"/>
  <c r="R101" i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S97" i="1" l="1"/>
  <c r="T97" i="1" s="1"/>
  <c r="R96" i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S88" i="1" l="1"/>
  <c r="T88" i="1" s="1"/>
  <c r="R87" i="1"/>
  <c r="S87" i="1" l="1"/>
  <c r="T87" i="1" s="1"/>
  <c r="R86" i="1"/>
  <c r="R85" i="1" l="1"/>
  <c r="S86" i="1"/>
  <c r="T86" i="1" s="1"/>
  <c r="R84" i="1" l="1"/>
  <c r="S85" i="1"/>
  <c r="T85" i="1" s="1"/>
  <c r="R83" i="1" l="1"/>
  <c r="S84" i="1"/>
  <c r="T84" i="1" s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S73" i="1" l="1"/>
  <c r="T73" i="1" s="1"/>
  <c r="R72" i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S68" i="1" l="1"/>
  <c r="T68" i="1" s="1"/>
  <c r="R67" i="1"/>
  <c r="R66" i="1" l="1"/>
  <c r="S67" i="1"/>
  <c r="T67" i="1" s="1"/>
  <c r="R65" i="1" l="1"/>
  <c r="S66" i="1"/>
  <c r="T66" i="1" s="1"/>
  <c r="R64" i="1" l="1"/>
  <c r="S65" i="1"/>
  <c r="T65" i="1" s="1"/>
  <c r="S64" i="1" l="1"/>
  <c r="T64" i="1" s="1"/>
  <c r="R63" i="1"/>
  <c r="S63" i="1" l="1"/>
  <c r="T63" i="1" s="1"/>
  <c r="R62" i="1"/>
  <c r="R61" i="1" l="1"/>
  <c r="S62" i="1"/>
  <c r="T62" i="1" s="1"/>
  <c r="R60" i="1" l="1"/>
  <c r="S61" i="1"/>
  <c r="T61" i="1" s="1"/>
  <c r="R59" i="1" l="1"/>
  <c r="S60" i="1"/>
  <c r="T60" i="1" s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S54" i="1" l="1"/>
  <c r="T54" i="1" s="1"/>
  <c r="R53" i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S49" i="1" l="1"/>
  <c r="T49" i="1" s="1"/>
  <c r="R48" i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S40" i="1" l="1"/>
  <c r="T40" i="1" s="1"/>
  <c r="R39" i="1"/>
  <c r="S39" i="1" l="1"/>
  <c r="T39" i="1" s="1"/>
  <c r="R38" i="1"/>
  <c r="R37" i="1" l="1"/>
  <c r="S38" i="1"/>
  <c r="T38" i="1" s="1"/>
  <c r="R36" i="1" l="1"/>
  <c r="S37" i="1"/>
  <c r="T37" i="1" s="1"/>
  <c r="R35" i="1" l="1"/>
  <c r="S36" i="1"/>
  <c r="T36" i="1" s="1"/>
  <c r="S35" i="1" l="1"/>
  <c r="T35" i="1" s="1"/>
  <c r="R34" i="1"/>
  <c r="R33" i="1" l="1"/>
  <c r="S34" i="1"/>
  <c r="T34" i="1" s="1"/>
  <c r="R32" i="1" l="1"/>
  <c r="S33" i="1"/>
  <c r="T33" i="1" s="1"/>
  <c r="R31" i="1" l="1"/>
  <c r="S32" i="1"/>
  <c r="T32" i="1" s="1"/>
  <c r="R30" i="1" l="1"/>
  <c r="S31" i="1"/>
  <c r="T31" i="1" s="1"/>
  <c r="S30" i="1" l="1"/>
  <c r="T30" i="1" s="1"/>
  <c r="R29" i="1"/>
  <c r="R28" i="1" l="1"/>
  <c r="S29" i="1"/>
  <c r="T29" i="1" s="1"/>
  <c r="R27" i="1" l="1"/>
  <c r="S28" i="1"/>
  <c r="T28" i="1" s="1"/>
  <c r="R26" i="1" l="1"/>
  <c r="S27" i="1"/>
  <c r="T27" i="1" s="1"/>
  <c r="R25" i="1" l="1"/>
  <c r="S26" i="1"/>
  <c r="T26" i="1" s="1"/>
  <c r="S25" i="1" l="1"/>
  <c r="T25" i="1" s="1"/>
  <c r="R24" i="1"/>
  <c r="R23" i="1" l="1"/>
  <c r="S24" i="1"/>
  <c r="T24" i="1" s="1"/>
  <c r="R22" i="1" l="1"/>
  <c r="S23" i="1"/>
  <c r="T23" i="1" s="1"/>
  <c r="R21" i="1" l="1"/>
  <c r="S22" i="1"/>
  <c r="T22" i="1" s="1"/>
  <c r="R20" i="1" l="1"/>
  <c r="S21" i="1"/>
  <c r="T21" i="1" s="1"/>
  <c r="S20" i="1" l="1"/>
  <c r="T20" i="1" s="1"/>
  <c r="R19" i="1"/>
  <c r="R18" i="1" l="1"/>
  <c r="S19" i="1"/>
  <c r="T19" i="1" s="1"/>
  <c r="R17" i="1" l="1"/>
  <c r="S18" i="1"/>
  <c r="T18" i="1" s="1"/>
  <c r="R16" i="1" l="1"/>
  <c r="S17" i="1"/>
  <c r="T17" i="1" s="1"/>
  <c r="S16" i="1" l="1"/>
  <c r="T16" i="1" s="1"/>
  <c r="R15" i="1"/>
  <c r="S15" i="1" l="1"/>
  <c r="T15" i="1" s="1"/>
  <c r="R14" i="1"/>
  <c r="R13" i="1" l="1"/>
  <c r="S14" i="1"/>
  <c r="T14" i="1" s="1"/>
  <c r="R12" i="1" l="1"/>
  <c r="S13" i="1"/>
  <c r="T13" i="1" s="1"/>
  <c r="R11" i="1" l="1"/>
  <c r="S12" i="1"/>
  <c r="T12" i="1" s="1"/>
  <c r="S11" i="1" l="1"/>
  <c r="T11" i="1" s="1"/>
  <c r="R10" i="1"/>
  <c r="R9" i="1" l="1"/>
  <c r="S10" i="1"/>
  <c r="T10" i="1" s="1"/>
  <c r="R8" i="1" l="1"/>
  <c r="S9" i="1"/>
  <c r="T9" i="1" s="1"/>
  <c r="R7" i="1" l="1"/>
  <c r="S8" i="1"/>
  <c r="T8" i="1" s="1"/>
  <c r="R6" i="1" l="1"/>
  <c r="S7" i="1"/>
  <c r="T7" i="1" s="1"/>
  <c r="S6" i="1" l="1"/>
  <c r="T6" i="1" s="1"/>
  <c r="R5" i="1"/>
  <c r="S5" i="1" s="1"/>
  <c r="T5" i="1" s="1"/>
</calcChain>
</file>

<file path=xl/sharedStrings.xml><?xml version="1.0" encoding="utf-8"?>
<sst xmlns="http://schemas.openxmlformats.org/spreadsheetml/2006/main" count="143" uniqueCount="34">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</sst>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8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696"/>
  <sheetViews>
    <sheetView tabSelected="1" zoomScale="90" zoomScaleNormal="90" workbookViewId="0">
      <selection activeCell="A5" sqref="A5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MAX(C3:C1720)</f>
        <v>0</v>
      </c>
      <c r="D2" s="4">
        <f>MIN(D3:D1720)</f>
        <v>0</v>
      </c>
      <c r="E2" s="1"/>
      <c r="F2" s="1"/>
      <c r="G2" s="1"/>
    </row>
    <row r="3" spans="1:20" x14ac:dyDescent="0.25">
      <c r="A3" s="5"/>
    </row>
    <row r="4" spans="1:20" x14ac:dyDescent="0.25">
      <c r="A4" s="5"/>
    </row>
    <row r="5" spans="1:20" x14ac:dyDescent="0.25">
      <c r="A5" s="5"/>
      <c r="P5">
        <f t="shared" ref="P5" si="0">IF(C5=D5,0,((E5-D5)-(C5-E5))/(C5-D5))</f>
        <v>0</v>
      </c>
      <c r="Q5">
        <f t="shared" ref="Q5" si="1">F5*P5</f>
        <v>0</v>
      </c>
      <c r="R5">
        <f t="shared" ref="R5" si="2">R6+Q5</f>
        <v>0</v>
      </c>
      <c r="S5">
        <f t="shared" ref="S5" si="3">R5/100000</f>
        <v>0</v>
      </c>
      <c r="T5">
        <f>S5/1000</f>
        <v>0</v>
      </c>
    </row>
    <row r="6" spans="1:20" x14ac:dyDescent="0.25">
      <c r="A6" s="5"/>
      <c r="P6">
        <f t="shared" ref="P6:P69" si="4">IF(C6=D6,0,((E6-D6)-(C6-E6))/(C6-D6))</f>
        <v>0</v>
      </c>
      <c r="Q6">
        <f t="shared" ref="Q6:Q69" si="5">F6*P6</f>
        <v>0</v>
      </c>
      <c r="R6">
        <f t="shared" ref="R6:R69" si="6">R7+Q6</f>
        <v>0</v>
      </c>
      <c r="S6">
        <f t="shared" ref="S6:S69" si="7">R6/100000</f>
        <v>0</v>
      </c>
      <c r="T6">
        <f t="shared" ref="T6:T69" si="8">S6/1000</f>
        <v>0</v>
      </c>
    </row>
    <row r="7" spans="1:20" x14ac:dyDescent="0.25">
      <c r="A7" s="5"/>
      <c r="P7">
        <f t="shared" si="4"/>
        <v>0</v>
      </c>
      <c r="Q7">
        <f t="shared" si="5"/>
        <v>0</v>
      </c>
      <c r="R7">
        <f t="shared" si="6"/>
        <v>0</v>
      </c>
      <c r="S7">
        <f t="shared" si="7"/>
        <v>0</v>
      </c>
      <c r="T7">
        <f t="shared" si="8"/>
        <v>0</v>
      </c>
    </row>
    <row r="8" spans="1:20" x14ac:dyDescent="0.25">
      <c r="A8" s="5"/>
      <c r="P8">
        <f t="shared" si="4"/>
        <v>0</v>
      </c>
      <c r="Q8">
        <f t="shared" si="5"/>
        <v>0</v>
      </c>
      <c r="R8">
        <f t="shared" si="6"/>
        <v>0</v>
      </c>
      <c r="S8">
        <f t="shared" si="7"/>
        <v>0</v>
      </c>
      <c r="T8">
        <f t="shared" si="8"/>
        <v>0</v>
      </c>
    </row>
    <row r="9" spans="1:20" x14ac:dyDescent="0.25">
      <c r="A9" s="5"/>
      <c r="P9">
        <f t="shared" si="4"/>
        <v>0</v>
      </c>
      <c r="Q9">
        <f t="shared" si="5"/>
        <v>0</v>
      </c>
      <c r="R9">
        <f t="shared" si="6"/>
        <v>0</v>
      </c>
      <c r="S9">
        <f t="shared" si="7"/>
        <v>0</v>
      </c>
      <c r="T9">
        <f t="shared" si="8"/>
        <v>0</v>
      </c>
    </row>
    <row r="10" spans="1:20" x14ac:dyDescent="0.25">
      <c r="A10" s="5"/>
      <c r="P10">
        <f t="shared" si="4"/>
        <v>0</v>
      </c>
      <c r="Q10">
        <f t="shared" si="5"/>
        <v>0</v>
      </c>
      <c r="R10">
        <f t="shared" si="6"/>
        <v>0</v>
      </c>
      <c r="S10">
        <f t="shared" si="7"/>
        <v>0</v>
      </c>
      <c r="T10">
        <f t="shared" si="8"/>
        <v>0</v>
      </c>
    </row>
    <row r="11" spans="1:20" x14ac:dyDescent="0.25">
      <c r="A11" s="5"/>
      <c r="P11">
        <f t="shared" si="4"/>
        <v>0</v>
      </c>
      <c r="Q11">
        <f t="shared" si="5"/>
        <v>0</v>
      </c>
      <c r="R11">
        <f t="shared" si="6"/>
        <v>0</v>
      </c>
      <c r="S11">
        <f t="shared" si="7"/>
        <v>0</v>
      </c>
      <c r="T11">
        <f t="shared" si="8"/>
        <v>0</v>
      </c>
    </row>
    <row r="12" spans="1:20" x14ac:dyDescent="0.25">
      <c r="A12" s="5"/>
      <c r="P12">
        <f t="shared" si="4"/>
        <v>0</v>
      </c>
      <c r="Q12">
        <f t="shared" si="5"/>
        <v>0</v>
      </c>
      <c r="R12">
        <f t="shared" si="6"/>
        <v>0</v>
      </c>
      <c r="S12">
        <f t="shared" si="7"/>
        <v>0</v>
      </c>
      <c r="T12">
        <f t="shared" si="8"/>
        <v>0</v>
      </c>
    </row>
    <row r="13" spans="1:20" x14ac:dyDescent="0.25">
      <c r="A13" s="5"/>
      <c r="P13">
        <f t="shared" si="4"/>
        <v>0</v>
      </c>
      <c r="Q13">
        <f t="shared" si="5"/>
        <v>0</v>
      </c>
      <c r="R13">
        <f t="shared" si="6"/>
        <v>0</v>
      </c>
      <c r="S13">
        <f t="shared" si="7"/>
        <v>0</v>
      </c>
      <c r="T13">
        <f t="shared" si="8"/>
        <v>0</v>
      </c>
    </row>
    <row r="14" spans="1:20" x14ac:dyDescent="0.25">
      <c r="A14" s="5"/>
      <c r="P14">
        <f t="shared" si="4"/>
        <v>0</v>
      </c>
      <c r="Q14">
        <f t="shared" si="5"/>
        <v>0</v>
      </c>
      <c r="R14">
        <f t="shared" si="6"/>
        <v>0</v>
      </c>
      <c r="S14">
        <f t="shared" si="7"/>
        <v>0</v>
      </c>
      <c r="T14">
        <f t="shared" si="8"/>
        <v>0</v>
      </c>
    </row>
    <row r="15" spans="1:20" x14ac:dyDescent="0.25">
      <c r="A15" s="5"/>
      <c r="P15">
        <f t="shared" si="4"/>
        <v>0</v>
      </c>
      <c r="Q15">
        <f t="shared" si="5"/>
        <v>0</v>
      </c>
      <c r="R15">
        <f t="shared" si="6"/>
        <v>0</v>
      </c>
      <c r="S15">
        <f t="shared" si="7"/>
        <v>0</v>
      </c>
      <c r="T15">
        <f t="shared" si="8"/>
        <v>0</v>
      </c>
    </row>
    <row r="16" spans="1:20" x14ac:dyDescent="0.25">
      <c r="A16" s="5"/>
      <c r="P16">
        <f t="shared" si="4"/>
        <v>0</v>
      </c>
      <c r="Q16">
        <f t="shared" si="5"/>
        <v>0</v>
      </c>
      <c r="R16">
        <f t="shared" si="6"/>
        <v>0</v>
      </c>
      <c r="S16">
        <f t="shared" si="7"/>
        <v>0</v>
      </c>
      <c r="T16">
        <f t="shared" si="8"/>
        <v>0</v>
      </c>
    </row>
    <row r="17" spans="1:20" x14ac:dyDescent="0.25">
      <c r="A17" s="5"/>
      <c r="P17">
        <f t="shared" si="4"/>
        <v>0</v>
      </c>
      <c r="Q17">
        <f t="shared" si="5"/>
        <v>0</v>
      </c>
      <c r="R17">
        <f t="shared" si="6"/>
        <v>0</v>
      </c>
      <c r="S17">
        <f t="shared" si="7"/>
        <v>0</v>
      </c>
      <c r="T17">
        <f t="shared" si="8"/>
        <v>0</v>
      </c>
    </row>
    <row r="18" spans="1:20" x14ac:dyDescent="0.25">
      <c r="A18" s="5"/>
      <c r="P18">
        <f t="shared" si="4"/>
        <v>0</v>
      </c>
      <c r="Q18">
        <f t="shared" si="5"/>
        <v>0</v>
      </c>
      <c r="R18">
        <f t="shared" si="6"/>
        <v>0</v>
      </c>
      <c r="S18">
        <f t="shared" si="7"/>
        <v>0</v>
      </c>
      <c r="T18">
        <f t="shared" si="8"/>
        <v>0</v>
      </c>
    </row>
    <row r="19" spans="1:20" x14ac:dyDescent="0.25">
      <c r="A19" s="5"/>
      <c r="P19">
        <f t="shared" si="4"/>
        <v>0</v>
      </c>
      <c r="Q19">
        <f t="shared" si="5"/>
        <v>0</v>
      </c>
      <c r="R19">
        <f t="shared" si="6"/>
        <v>0</v>
      </c>
      <c r="S19">
        <f t="shared" si="7"/>
        <v>0</v>
      </c>
      <c r="T19">
        <f t="shared" si="8"/>
        <v>0</v>
      </c>
    </row>
    <row r="20" spans="1:20" x14ac:dyDescent="0.25">
      <c r="A20" s="5"/>
      <c r="P20">
        <f t="shared" si="4"/>
        <v>0</v>
      </c>
      <c r="Q20">
        <f t="shared" si="5"/>
        <v>0</v>
      </c>
      <c r="R20">
        <f t="shared" si="6"/>
        <v>0</v>
      </c>
      <c r="S20">
        <f t="shared" si="7"/>
        <v>0</v>
      </c>
      <c r="T20">
        <f t="shared" si="8"/>
        <v>0</v>
      </c>
    </row>
    <row r="21" spans="1:20" x14ac:dyDescent="0.25">
      <c r="A21" s="5"/>
      <c r="P21">
        <f t="shared" si="4"/>
        <v>0</v>
      </c>
      <c r="Q21">
        <f t="shared" si="5"/>
        <v>0</v>
      </c>
      <c r="R21">
        <f t="shared" si="6"/>
        <v>0</v>
      </c>
      <c r="S21">
        <f t="shared" si="7"/>
        <v>0</v>
      </c>
      <c r="T21">
        <f t="shared" si="8"/>
        <v>0</v>
      </c>
    </row>
    <row r="22" spans="1:20" x14ac:dyDescent="0.25">
      <c r="A22" s="5"/>
      <c r="P22">
        <f t="shared" si="4"/>
        <v>0</v>
      </c>
      <c r="Q22">
        <f t="shared" si="5"/>
        <v>0</v>
      </c>
      <c r="R22">
        <f t="shared" si="6"/>
        <v>0</v>
      </c>
      <c r="S22">
        <f t="shared" si="7"/>
        <v>0</v>
      </c>
      <c r="T22">
        <f t="shared" si="8"/>
        <v>0</v>
      </c>
    </row>
    <row r="23" spans="1:20" x14ac:dyDescent="0.25">
      <c r="A23" s="5"/>
      <c r="P23">
        <f t="shared" si="4"/>
        <v>0</v>
      </c>
      <c r="Q23">
        <f t="shared" si="5"/>
        <v>0</v>
      </c>
      <c r="R23">
        <f t="shared" si="6"/>
        <v>0</v>
      </c>
      <c r="S23">
        <f t="shared" si="7"/>
        <v>0</v>
      </c>
      <c r="T23">
        <f t="shared" si="8"/>
        <v>0</v>
      </c>
    </row>
    <row r="24" spans="1:20" x14ac:dyDescent="0.25">
      <c r="A24" s="5"/>
      <c r="P24">
        <f t="shared" si="4"/>
        <v>0</v>
      </c>
      <c r="Q24">
        <f t="shared" si="5"/>
        <v>0</v>
      </c>
      <c r="R24">
        <f t="shared" si="6"/>
        <v>0</v>
      </c>
      <c r="S24">
        <f t="shared" si="7"/>
        <v>0</v>
      </c>
      <c r="T24">
        <f t="shared" si="8"/>
        <v>0</v>
      </c>
    </row>
    <row r="25" spans="1:20" x14ac:dyDescent="0.25">
      <c r="A25" s="5"/>
      <c r="P25">
        <f t="shared" si="4"/>
        <v>0</v>
      </c>
      <c r="Q25">
        <f t="shared" si="5"/>
        <v>0</v>
      </c>
      <c r="R25">
        <f t="shared" si="6"/>
        <v>0</v>
      </c>
      <c r="S25">
        <f t="shared" si="7"/>
        <v>0</v>
      </c>
      <c r="T25">
        <f t="shared" si="8"/>
        <v>0</v>
      </c>
    </row>
    <row r="26" spans="1:20" x14ac:dyDescent="0.25">
      <c r="A26" s="5"/>
      <c r="P26">
        <f t="shared" si="4"/>
        <v>0</v>
      </c>
      <c r="Q26">
        <f t="shared" si="5"/>
        <v>0</v>
      </c>
      <c r="R26">
        <f t="shared" si="6"/>
        <v>0</v>
      </c>
      <c r="S26">
        <f t="shared" si="7"/>
        <v>0</v>
      </c>
      <c r="T26">
        <f t="shared" si="8"/>
        <v>0</v>
      </c>
    </row>
    <row r="27" spans="1:20" x14ac:dyDescent="0.25">
      <c r="A27" s="5"/>
      <c r="P27">
        <f t="shared" si="4"/>
        <v>0</v>
      </c>
      <c r="Q27">
        <f t="shared" si="5"/>
        <v>0</v>
      </c>
      <c r="R27">
        <f t="shared" si="6"/>
        <v>0</v>
      </c>
      <c r="S27">
        <f t="shared" si="7"/>
        <v>0</v>
      </c>
      <c r="T27">
        <f t="shared" si="8"/>
        <v>0</v>
      </c>
    </row>
    <row r="28" spans="1:20" x14ac:dyDescent="0.25">
      <c r="A28" s="5"/>
      <c r="P28">
        <f t="shared" si="4"/>
        <v>0</v>
      </c>
      <c r="Q28">
        <f t="shared" si="5"/>
        <v>0</v>
      </c>
      <c r="R28">
        <f t="shared" si="6"/>
        <v>0</v>
      </c>
      <c r="S28">
        <f t="shared" si="7"/>
        <v>0</v>
      </c>
      <c r="T28">
        <f t="shared" si="8"/>
        <v>0</v>
      </c>
    </row>
    <row r="29" spans="1:20" x14ac:dyDescent="0.25">
      <c r="A29" s="5"/>
      <c r="P29">
        <f t="shared" si="4"/>
        <v>0</v>
      </c>
      <c r="Q29">
        <f t="shared" si="5"/>
        <v>0</v>
      </c>
      <c r="R29">
        <f t="shared" si="6"/>
        <v>0</v>
      </c>
      <c r="S29">
        <f t="shared" si="7"/>
        <v>0</v>
      </c>
      <c r="T29">
        <f t="shared" si="8"/>
        <v>0</v>
      </c>
    </row>
    <row r="30" spans="1:20" x14ac:dyDescent="0.25">
      <c r="A30" s="5"/>
      <c r="P30">
        <f t="shared" si="4"/>
        <v>0</v>
      </c>
      <c r="Q30">
        <f t="shared" si="5"/>
        <v>0</v>
      </c>
      <c r="R30">
        <f t="shared" si="6"/>
        <v>0</v>
      </c>
      <c r="S30">
        <f t="shared" si="7"/>
        <v>0</v>
      </c>
      <c r="T30">
        <f t="shared" si="8"/>
        <v>0</v>
      </c>
    </row>
    <row r="31" spans="1:20" x14ac:dyDescent="0.25">
      <c r="A31" s="5"/>
      <c r="P31">
        <f t="shared" si="4"/>
        <v>0</v>
      </c>
      <c r="Q31">
        <f t="shared" si="5"/>
        <v>0</v>
      </c>
      <c r="R31">
        <f t="shared" si="6"/>
        <v>0</v>
      </c>
      <c r="S31">
        <f t="shared" si="7"/>
        <v>0</v>
      </c>
      <c r="T31">
        <f t="shared" si="8"/>
        <v>0</v>
      </c>
    </row>
    <row r="32" spans="1:20" x14ac:dyDescent="0.25">
      <c r="A32" s="5"/>
      <c r="P32">
        <f t="shared" si="4"/>
        <v>0</v>
      </c>
      <c r="Q32">
        <f t="shared" si="5"/>
        <v>0</v>
      </c>
      <c r="R32">
        <f t="shared" si="6"/>
        <v>0</v>
      </c>
      <c r="S32">
        <f t="shared" si="7"/>
        <v>0</v>
      </c>
      <c r="T32">
        <f t="shared" si="8"/>
        <v>0</v>
      </c>
    </row>
    <row r="33" spans="1:20" x14ac:dyDescent="0.25">
      <c r="A33" s="5"/>
      <c r="P33">
        <f t="shared" si="4"/>
        <v>0</v>
      </c>
      <c r="Q33">
        <f t="shared" si="5"/>
        <v>0</v>
      </c>
      <c r="R33">
        <f t="shared" si="6"/>
        <v>0</v>
      </c>
      <c r="S33">
        <f t="shared" si="7"/>
        <v>0</v>
      </c>
      <c r="T33">
        <f t="shared" si="8"/>
        <v>0</v>
      </c>
    </row>
    <row r="34" spans="1:20" x14ac:dyDescent="0.25">
      <c r="A34" s="5"/>
      <c r="P34">
        <f t="shared" si="4"/>
        <v>0</v>
      </c>
      <c r="Q34">
        <f t="shared" si="5"/>
        <v>0</v>
      </c>
      <c r="R34">
        <f t="shared" si="6"/>
        <v>0</v>
      </c>
      <c r="S34">
        <f t="shared" si="7"/>
        <v>0</v>
      </c>
      <c r="T34">
        <f t="shared" si="8"/>
        <v>0</v>
      </c>
    </row>
    <row r="35" spans="1:20" x14ac:dyDescent="0.25">
      <c r="A35" s="5"/>
      <c r="B35" s="1"/>
      <c r="C35" s="2"/>
      <c r="D35" s="2"/>
      <c r="E35" s="1"/>
      <c r="F35" s="1"/>
      <c r="P35">
        <f t="shared" si="4"/>
        <v>0</v>
      </c>
      <c r="Q35">
        <f t="shared" si="5"/>
        <v>0</v>
      </c>
      <c r="R35">
        <f t="shared" si="6"/>
        <v>0</v>
      </c>
      <c r="S35">
        <f t="shared" si="7"/>
        <v>0</v>
      </c>
      <c r="T35">
        <f t="shared" si="8"/>
        <v>0</v>
      </c>
    </row>
    <row r="36" spans="1:20" x14ac:dyDescent="0.25">
      <c r="A36" s="5"/>
      <c r="B36" s="1"/>
      <c r="C36" s="2"/>
      <c r="D36" s="2"/>
      <c r="E36" s="1"/>
      <c r="F36" s="1"/>
      <c r="P36">
        <f t="shared" si="4"/>
        <v>0</v>
      </c>
      <c r="Q36">
        <f t="shared" si="5"/>
        <v>0</v>
      </c>
      <c r="R36">
        <f t="shared" si="6"/>
        <v>0</v>
      </c>
      <c r="S36">
        <f t="shared" si="7"/>
        <v>0</v>
      </c>
      <c r="T36">
        <f t="shared" si="8"/>
        <v>0</v>
      </c>
    </row>
    <row r="37" spans="1:20" x14ac:dyDescent="0.25">
      <c r="A37" s="5"/>
      <c r="B37" s="1"/>
      <c r="C37" s="2"/>
      <c r="D37" s="2"/>
      <c r="E37" s="1"/>
      <c r="F37" s="1"/>
      <c r="P37">
        <f t="shared" si="4"/>
        <v>0</v>
      </c>
      <c r="Q37">
        <f t="shared" si="5"/>
        <v>0</v>
      </c>
      <c r="R37">
        <f t="shared" si="6"/>
        <v>0</v>
      </c>
      <c r="S37">
        <f t="shared" si="7"/>
        <v>0</v>
      </c>
      <c r="T37">
        <f t="shared" si="8"/>
        <v>0</v>
      </c>
    </row>
    <row r="38" spans="1:20" x14ac:dyDescent="0.25">
      <c r="A38" s="5"/>
      <c r="B38" s="1"/>
      <c r="C38" s="2"/>
      <c r="D38" s="2"/>
      <c r="E38" s="1"/>
      <c r="F38" s="1"/>
      <c r="P38">
        <f t="shared" si="4"/>
        <v>0</v>
      </c>
      <c r="Q38">
        <f t="shared" si="5"/>
        <v>0</v>
      </c>
      <c r="R38">
        <f t="shared" si="6"/>
        <v>0</v>
      </c>
      <c r="S38">
        <f t="shared" si="7"/>
        <v>0</v>
      </c>
      <c r="T38">
        <f t="shared" si="8"/>
        <v>0</v>
      </c>
    </row>
    <row r="39" spans="1:20" x14ac:dyDescent="0.25">
      <c r="A39" s="5"/>
      <c r="B39" s="1"/>
      <c r="C39" s="2"/>
      <c r="D39" s="2"/>
      <c r="E39" s="1"/>
      <c r="F39" s="1"/>
      <c r="P39">
        <f t="shared" si="4"/>
        <v>0</v>
      </c>
      <c r="Q39">
        <f t="shared" si="5"/>
        <v>0</v>
      </c>
      <c r="R39">
        <f t="shared" si="6"/>
        <v>0</v>
      </c>
      <c r="S39">
        <f t="shared" si="7"/>
        <v>0</v>
      </c>
      <c r="T39">
        <f t="shared" si="8"/>
        <v>0</v>
      </c>
    </row>
    <row r="40" spans="1:20" x14ac:dyDescent="0.25">
      <c r="A40" s="5"/>
      <c r="B40" s="1"/>
      <c r="C40" s="2"/>
      <c r="D40" s="2"/>
      <c r="E40" s="1"/>
      <c r="F40" s="1"/>
      <c r="P40">
        <f t="shared" si="4"/>
        <v>0</v>
      </c>
      <c r="Q40">
        <f t="shared" si="5"/>
        <v>0</v>
      </c>
      <c r="R40">
        <f t="shared" si="6"/>
        <v>0</v>
      </c>
      <c r="S40">
        <f t="shared" si="7"/>
        <v>0</v>
      </c>
      <c r="T40">
        <f t="shared" si="8"/>
        <v>0</v>
      </c>
    </row>
    <row r="41" spans="1:20" x14ac:dyDescent="0.25">
      <c r="A41" s="5"/>
      <c r="B41" s="1"/>
      <c r="C41" s="2"/>
      <c r="D41" s="2"/>
      <c r="E41" s="1"/>
      <c r="F41" s="1"/>
      <c r="P41">
        <f t="shared" si="4"/>
        <v>0</v>
      </c>
      <c r="Q41">
        <f t="shared" si="5"/>
        <v>0</v>
      </c>
      <c r="R41">
        <f t="shared" si="6"/>
        <v>0</v>
      </c>
      <c r="S41">
        <f t="shared" si="7"/>
        <v>0</v>
      </c>
      <c r="T41">
        <f t="shared" si="8"/>
        <v>0</v>
      </c>
    </row>
    <row r="42" spans="1:20" x14ac:dyDescent="0.25">
      <c r="A42" s="5"/>
      <c r="B42" s="1"/>
      <c r="C42" s="2"/>
      <c r="D42" s="2"/>
      <c r="E42" s="1"/>
      <c r="F42" s="1"/>
      <c r="P42">
        <f t="shared" si="4"/>
        <v>0</v>
      </c>
      <c r="Q42">
        <f t="shared" si="5"/>
        <v>0</v>
      </c>
      <c r="R42">
        <f t="shared" si="6"/>
        <v>0</v>
      </c>
      <c r="S42">
        <f t="shared" si="7"/>
        <v>0</v>
      </c>
      <c r="T42">
        <f t="shared" si="8"/>
        <v>0</v>
      </c>
    </row>
    <row r="43" spans="1:20" x14ac:dyDescent="0.25">
      <c r="A43" s="5"/>
      <c r="B43" s="1"/>
      <c r="C43" s="2"/>
      <c r="D43" s="2"/>
      <c r="E43" s="1"/>
      <c r="F43" s="1"/>
      <c r="P43">
        <f t="shared" si="4"/>
        <v>0</v>
      </c>
      <c r="Q43">
        <f t="shared" si="5"/>
        <v>0</v>
      </c>
      <c r="R43">
        <f t="shared" si="6"/>
        <v>0</v>
      </c>
      <c r="S43">
        <f t="shared" si="7"/>
        <v>0</v>
      </c>
      <c r="T43">
        <f t="shared" si="8"/>
        <v>0</v>
      </c>
    </row>
    <row r="44" spans="1:20" x14ac:dyDescent="0.25">
      <c r="A44" s="5"/>
      <c r="B44" s="1"/>
      <c r="C44" s="2"/>
      <c r="D44" s="2"/>
      <c r="E44" s="1"/>
      <c r="F44" s="1"/>
      <c r="P44">
        <f t="shared" si="4"/>
        <v>0</v>
      </c>
      <c r="Q44">
        <f t="shared" si="5"/>
        <v>0</v>
      </c>
      <c r="R44">
        <f t="shared" si="6"/>
        <v>0</v>
      </c>
      <c r="S44">
        <f t="shared" si="7"/>
        <v>0</v>
      </c>
      <c r="T44">
        <f t="shared" si="8"/>
        <v>0</v>
      </c>
    </row>
    <row r="45" spans="1:20" x14ac:dyDescent="0.25">
      <c r="A45" s="5"/>
      <c r="B45" s="1"/>
      <c r="C45" s="2"/>
      <c r="D45" s="2"/>
      <c r="E45" s="1"/>
      <c r="F45" s="1"/>
      <c r="P45">
        <f t="shared" si="4"/>
        <v>0</v>
      </c>
      <c r="Q45">
        <f t="shared" si="5"/>
        <v>0</v>
      </c>
      <c r="R45">
        <f t="shared" si="6"/>
        <v>0</v>
      </c>
      <c r="S45">
        <f t="shared" si="7"/>
        <v>0</v>
      </c>
      <c r="T45">
        <f t="shared" si="8"/>
        <v>0</v>
      </c>
    </row>
    <row r="46" spans="1:20" x14ac:dyDescent="0.25">
      <c r="A46" s="5"/>
      <c r="B46" s="1"/>
      <c r="C46" s="2"/>
      <c r="D46" s="2"/>
      <c r="E46" s="1"/>
      <c r="F46" s="1"/>
      <c r="P46">
        <f t="shared" si="4"/>
        <v>0</v>
      </c>
      <c r="Q46">
        <f t="shared" si="5"/>
        <v>0</v>
      </c>
      <c r="R46">
        <f t="shared" si="6"/>
        <v>0</v>
      </c>
      <c r="S46">
        <f t="shared" si="7"/>
        <v>0</v>
      </c>
      <c r="T46">
        <f t="shared" si="8"/>
        <v>0</v>
      </c>
    </row>
    <row r="47" spans="1:20" x14ac:dyDescent="0.25">
      <c r="A47" s="5"/>
      <c r="B47" s="1"/>
      <c r="C47" s="2"/>
      <c r="D47" s="2"/>
      <c r="E47" s="1"/>
      <c r="F47" s="1"/>
      <c r="P47">
        <f t="shared" si="4"/>
        <v>0</v>
      </c>
      <c r="Q47">
        <f t="shared" si="5"/>
        <v>0</v>
      </c>
      <c r="R47">
        <f t="shared" si="6"/>
        <v>0</v>
      </c>
      <c r="S47">
        <f t="shared" si="7"/>
        <v>0</v>
      </c>
      <c r="T47">
        <f t="shared" si="8"/>
        <v>0</v>
      </c>
    </row>
    <row r="48" spans="1:20" x14ac:dyDescent="0.25">
      <c r="A48" s="5"/>
      <c r="B48" s="1"/>
      <c r="C48" s="2"/>
      <c r="D48" s="2"/>
      <c r="E48" s="1"/>
      <c r="F48" s="1"/>
      <c r="P48">
        <f t="shared" si="4"/>
        <v>0</v>
      </c>
      <c r="Q48">
        <f t="shared" si="5"/>
        <v>0</v>
      </c>
      <c r="R48">
        <f t="shared" si="6"/>
        <v>0</v>
      </c>
      <c r="S48">
        <f t="shared" si="7"/>
        <v>0</v>
      </c>
      <c r="T48">
        <f t="shared" si="8"/>
        <v>0</v>
      </c>
    </row>
    <row r="49" spans="1:20" x14ac:dyDescent="0.25">
      <c r="A49" s="5"/>
      <c r="B49" s="1"/>
      <c r="C49" s="2"/>
      <c r="D49" s="2"/>
      <c r="E49" s="1"/>
      <c r="F49" s="1"/>
      <c r="P49">
        <f t="shared" si="4"/>
        <v>0</v>
      </c>
      <c r="Q49">
        <f t="shared" si="5"/>
        <v>0</v>
      </c>
      <c r="R49">
        <f t="shared" si="6"/>
        <v>0</v>
      </c>
      <c r="S49">
        <f t="shared" si="7"/>
        <v>0</v>
      </c>
      <c r="T49">
        <f t="shared" si="8"/>
        <v>0</v>
      </c>
    </row>
    <row r="50" spans="1:20" x14ac:dyDescent="0.25">
      <c r="A50" s="5"/>
      <c r="B50" s="1"/>
      <c r="C50" s="2"/>
      <c r="D50" s="2"/>
      <c r="E50" s="1"/>
      <c r="F50" s="1"/>
      <c r="P50">
        <f t="shared" si="4"/>
        <v>0</v>
      </c>
      <c r="Q50">
        <f t="shared" si="5"/>
        <v>0</v>
      </c>
      <c r="R50">
        <f t="shared" si="6"/>
        <v>0</v>
      </c>
      <c r="S50">
        <f t="shared" si="7"/>
        <v>0</v>
      </c>
      <c r="T50">
        <f t="shared" si="8"/>
        <v>0</v>
      </c>
    </row>
    <row r="51" spans="1:20" x14ac:dyDescent="0.25">
      <c r="A51" s="5"/>
      <c r="B51" s="1"/>
      <c r="C51" s="2"/>
      <c r="D51" s="2"/>
      <c r="E51" s="1"/>
      <c r="F51" s="1"/>
      <c r="P51">
        <f t="shared" si="4"/>
        <v>0</v>
      </c>
      <c r="Q51">
        <f t="shared" si="5"/>
        <v>0</v>
      </c>
      <c r="R51">
        <f t="shared" si="6"/>
        <v>0</v>
      </c>
      <c r="S51">
        <f t="shared" si="7"/>
        <v>0</v>
      </c>
      <c r="T51">
        <f t="shared" si="8"/>
        <v>0</v>
      </c>
    </row>
    <row r="52" spans="1:20" x14ac:dyDescent="0.25">
      <c r="A52" s="5"/>
      <c r="B52" s="1"/>
      <c r="C52" s="2"/>
      <c r="D52" s="2"/>
      <c r="E52" s="1"/>
      <c r="F52" s="1"/>
      <c r="P52">
        <f t="shared" si="4"/>
        <v>0</v>
      </c>
      <c r="Q52">
        <f t="shared" si="5"/>
        <v>0</v>
      </c>
      <c r="R52">
        <f t="shared" si="6"/>
        <v>0</v>
      </c>
      <c r="S52">
        <f t="shared" si="7"/>
        <v>0</v>
      </c>
      <c r="T52">
        <f t="shared" si="8"/>
        <v>0</v>
      </c>
    </row>
    <row r="53" spans="1:20" x14ac:dyDescent="0.25">
      <c r="A53" s="5"/>
      <c r="B53" s="1"/>
      <c r="C53" s="2"/>
      <c r="D53" s="2"/>
      <c r="E53" s="1"/>
      <c r="F53" s="1"/>
      <c r="P53">
        <f t="shared" si="4"/>
        <v>0</v>
      </c>
      <c r="Q53">
        <f t="shared" si="5"/>
        <v>0</v>
      </c>
      <c r="R53">
        <f t="shared" si="6"/>
        <v>0</v>
      </c>
      <c r="S53">
        <f t="shared" si="7"/>
        <v>0</v>
      </c>
      <c r="T53">
        <f t="shared" si="8"/>
        <v>0</v>
      </c>
    </row>
    <row r="54" spans="1:20" x14ac:dyDescent="0.25">
      <c r="A54" s="5"/>
      <c r="B54" s="1"/>
      <c r="C54" s="2"/>
      <c r="D54" s="2"/>
      <c r="E54" s="1"/>
      <c r="F54" s="1"/>
      <c r="P54">
        <f t="shared" si="4"/>
        <v>0</v>
      </c>
      <c r="Q54">
        <f t="shared" si="5"/>
        <v>0</v>
      </c>
      <c r="R54">
        <f t="shared" si="6"/>
        <v>0</v>
      </c>
      <c r="S54">
        <f t="shared" si="7"/>
        <v>0</v>
      </c>
      <c r="T54">
        <f t="shared" si="8"/>
        <v>0</v>
      </c>
    </row>
    <row r="55" spans="1:20" x14ac:dyDescent="0.25">
      <c r="A55" s="5"/>
      <c r="B55" s="1"/>
      <c r="C55" s="2"/>
      <c r="D55" s="2"/>
      <c r="E55" s="1"/>
      <c r="F55" s="1"/>
      <c r="P55">
        <f t="shared" si="4"/>
        <v>0</v>
      </c>
      <c r="Q55">
        <f t="shared" si="5"/>
        <v>0</v>
      </c>
      <c r="R55">
        <f t="shared" si="6"/>
        <v>0</v>
      </c>
      <c r="S55">
        <f t="shared" si="7"/>
        <v>0</v>
      </c>
      <c r="T55">
        <f t="shared" si="8"/>
        <v>0</v>
      </c>
    </row>
    <row r="56" spans="1:20" x14ac:dyDescent="0.25">
      <c r="A56" s="5"/>
      <c r="B56" s="1"/>
      <c r="C56" s="2"/>
      <c r="D56" s="2"/>
      <c r="E56" s="1"/>
      <c r="F56" s="1"/>
      <c r="P56">
        <f t="shared" si="4"/>
        <v>0</v>
      </c>
      <c r="Q56">
        <f t="shared" si="5"/>
        <v>0</v>
      </c>
      <c r="R56">
        <f t="shared" si="6"/>
        <v>0</v>
      </c>
      <c r="S56">
        <f t="shared" si="7"/>
        <v>0</v>
      </c>
      <c r="T56">
        <f t="shared" si="8"/>
        <v>0</v>
      </c>
    </row>
    <row r="57" spans="1:20" x14ac:dyDescent="0.25">
      <c r="A57" s="5"/>
      <c r="B57" s="1"/>
      <c r="C57" s="2"/>
      <c r="D57" s="2"/>
      <c r="E57" s="1"/>
      <c r="F57" s="1"/>
      <c r="P57">
        <f t="shared" si="4"/>
        <v>0</v>
      </c>
      <c r="Q57">
        <f t="shared" si="5"/>
        <v>0</v>
      </c>
      <c r="R57">
        <f t="shared" si="6"/>
        <v>0</v>
      </c>
      <c r="S57">
        <f t="shared" si="7"/>
        <v>0</v>
      </c>
      <c r="T57">
        <f t="shared" si="8"/>
        <v>0</v>
      </c>
    </row>
    <row r="58" spans="1:20" x14ac:dyDescent="0.25">
      <c r="A58" s="5"/>
      <c r="B58" s="1"/>
      <c r="C58" s="2"/>
      <c r="D58" s="2"/>
      <c r="E58" s="1"/>
      <c r="F58" s="1"/>
      <c r="P58">
        <f t="shared" si="4"/>
        <v>0</v>
      </c>
      <c r="Q58">
        <f t="shared" si="5"/>
        <v>0</v>
      </c>
      <c r="R58">
        <f t="shared" si="6"/>
        <v>0</v>
      </c>
      <c r="S58">
        <f t="shared" si="7"/>
        <v>0</v>
      </c>
      <c r="T58">
        <f t="shared" si="8"/>
        <v>0</v>
      </c>
    </row>
    <row r="59" spans="1:20" x14ac:dyDescent="0.25">
      <c r="A59" s="5"/>
      <c r="B59" s="1"/>
      <c r="C59" s="2"/>
      <c r="D59" s="2"/>
      <c r="E59" s="1"/>
      <c r="F59" s="1"/>
      <c r="P59">
        <f t="shared" si="4"/>
        <v>0</v>
      </c>
      <c r="Q59">
        <f t="shared" si="5"/>
        <v>0</v>
      </c>
      <c r="R59">
        <f t="shared" si="6"/>
        <v>0</v>
      </c>
      <c r="S59">
        <f t="shared" si="7"/>
        <v>0</v>
      </c>
      <c r="T59">
        <f t="shared" si="8"/>
        <v>0</v>
      </c>
    </row>
    <row r="60" spans="1:20" x14ac:dyDescent="0.25">
      <c r="A60" s="5"/>
      <c r="B60" s="1"/>
      <c r="C60" s="2"/>
      <c r="D60" s="2"/>
      <c r="E60" s="1"/>
      <c r="F60" s="1"/>
      <c r="P60">
        <f t="shared" si="4"/>
        <v>0</v>
      </c>
      <c r="Q60">
        <f t="shared" si="5"/>
        <v>0</v>
      </c>
      <c r="R60">
        <f t="shared" si="6"/>
        <v>0</v>
      </c>
      <c r="S60">
        <f t="shared" si="7"/>
        <v>0</v>
      </c>
      <c r="T60">
        <f t="shared" si="8"/>
        <v>0</v>
      </c>
    </row>
    <row r="61" spans="1:20" x14ac:dyDescent="0.25">
      <c r="A61" s="5"/>
      <c r="B61" s="1"/>
      <c r="C61" s="2"/>
      <c r="D61" s="2"/>
      <c r="E61" s="1"/>
      <c r="F61" s="1"/>
      <c r="P61">
        <f t="shared" si="4"/>
        <v>0</v>
      </c>
      <c r="Q61">
        <f t="shared" si="5"/>
        <v>0</v>
      </c>
      <c r="R61">
        <f t="shared" si="6"/>
        <v>0</v>
      </c>
      <c r="S61">
        <f t="shared" si="7"/>
        <v>0</v>
      </c>
      <c r="T61">
        <f t="shared" si="8"/>
        <v>0</v>
      </c>
    </row>
    <row r="62" spans="1:20" x14ac:dyDescent="0.25">
      <c r="A62" s="5"/>
      <c r="B62" s="1"/>
      <c r="C62" s="2"/>
      <c r="D62" s="2"/>
      <c r="E62" s="1"/>
      <c r="F62" s="1"/>
      <c r="P62">
        <f t="shared" si="4"/>
        <v>0</v>
      </c>
      <c r="Q62">
        <f t="shared" si="5"/>
        <v>0</v>
      </c>
      <c r="R62">
        <f t="shared" si="6"/>
        <v>0</v>
      </c>
      <c r="S62">
        <f t="shared" si="7"/>
        <v>0</v>
      </c>
      <c r="T62">
        <f t="shared" si="8"/>
        <v>0</v>
      </c>
    </row>
    <row r="63" spans="1:20" x14ac:dyDescent="0.25">
      <c r="A63" s="5"/>
      <c r="B63" s="1"/>
      <c r="C63" s="2"/>
      <c r="D63" s="2"/>
      <c r="E63" s="1"/>
      <c r="F63" s="1"/>
      <c r="P63">
        <f t="shared" si="4"/>
        <v>0</v>
      </c>
      <c r="Q63">
        <f t="shared" si="5"/>
        <v>0</v>
      </c>
      <c r="R63">
        <f t="shared" si="6"/>
        <v>0</v>
      </c>
      <c r="S63">
        <f t="shared" si="7"/>
        <v>0</v>
      </c>
      <c r="T63">
        <f t="shared" si="8"/>
        <v>0</v>
      </c>
    </row>
    <row r="64" spans="1:20" x14ac:dyDescent="0.25">
      <c r="A64" s="5"/>
      <c r="B64" s="1"/>
      <c r="C64" s="2"/>
      <c r="D64" s="2"/>
      <c r="E64" s="1"/>
      <c r="F64" s="1"/>
      <c r="P64">
        <f t="shared" si="4"/>
        <v>0</v>
      </c>
      <c r="Q64">
        <f t="shared" si="5"/>
        <v>0</v>
      </c>
      <c r="R64">
        <f t="shared" si="6"/>
        <v>0</v>
      </c>
      <c r="S64">
        <f t="shared" si="7"/>
        <v>0</v>
      </c>
      <c r="T64">
        <f t="shared" si="8"/>
        <v>0</v>
      </c>
    </row>
    <row r="65" spans="1:20" x14ac:dyDescent="0.25">
      <c r="A65" s="5"/>
      <c r="B65" s="1"/>
      <c r="C65" s="2"/>
      <c r="D65" s="2"/>
      <c r="E65" s="1"/>
      <c r="F65" s="1"/>
      <c r="P65">
        <f t="shared" si="4"/>
        <v>0</v>
      </c>
      <c r="Q65">
        <f t="shared" si="5"/>
        <v>0</v>
      </c>
      <c r="R65">
        <f t="shared" si="6"/>
        <v>0</v>
      </c>
      <c r="S65">
        <f t="shared" si="7"/>
        <v>0</v>
      </c>
      <c r="T65">
        <f t="shared" si="8"/>
        <v>0</v>
      </c>
    </row>
    <row r="66" spans="1:20" x14ac:dyDescent="0.25">
      <c r="A66" s="5"/>
      <c r="B66" s="1"/>
      <c r="C66" s="2"/>
      <c r="D66" s="2"/>
      <c r="E66" s="1"/>
      <c r="F66" s="1"/>
      <c r="P66">
        <f t="shared" si="4"/>
        <v>0</v>
      </c>
      <c r="Q66">
        <f t="shared" si="5"/>
        <v>0</v>
      </c>
      <c r="R66">
        <f t="shared" si="6"/>
        <v>0</v>
      </c>
      <c r="S66">
        <f t="shared" si="7"/>
        <v>0</v>
      </c>
      <c r="T66">
        <f t="shared" si="8"/>
        <v>0</v>
      </c>
    </row>
    <row r="67" spans="1:20" x14ac:dyDescent="0.25">
      <c r="A67" s="5"/>
      <c r="B67" s="1"/>
      <c r="C67" s="2"/>
      <c r="D67" s="2"/>
      <c r="E67" s="1"/>
      <c r="F67" s="1"/>
      <c r="P67">
        <f t="shared" si="4"/>
        <v>0</v>
      </c>
      <c r="Q67">
        <f t="shared" si="5"/>
        <v>0</v>
      </c>
      <c r="R67">
        <f t="shared" si="6"/>
        <v>0</v>
      </c>
      <c r="S67">
        <f t="shared" si="7"/>
        <v>0</v>
      </c>
      <c r="T67">
        <f t="shared" si="8"/>
        <v>0</v>
      </c>
    </row>
    <row r="68" spans="1:20" x14ac:dyDescent="0.25">
      <c r="A68" s="5"/>
      <c r="B68" s="1"/>
      <c r="C68" s="2"/>
      <c r="D68" s="2"/>
      <c r="E68" s="1"/>
      <c r="F68" s="1"/>
      <c r="P68">
        <f t="shared" si="4"/>
        <v>0</v>
      </c>
      <c r="Q68">
        <f t="shared" si="5"/>
        <v>0</v>
      </c>
      <c r="R68">
        <f t="shared" si="6"/>
        <v>0</v>
      </c>
      <c r="S68">
        <f t="shared" si="7"/>
        <v>0</v>
      </c>
      <c r="T68">
        <f t="shared" si="8"/>
        <v>0</v>
      </c>
    </row>
    <row r="69" spans="1:20" x14ac:dyDescent="0.25">
      <c r="A69" s="5"/>
      <c r="B69" s="1"/>
      <c r="C69" s="2"/>
      <c r="D69" s="2"/>
      <c r="E69" s="1"/>
      <c r="F69" s="1"/>
      <c r="P69">
        <f t="shared" si="4"/>
        <v>0</v>
      </c>
      <c r="Q69">
        <f t="shared" si="5"/>
        <v>0</v>
      </c>
      <c r="R69">
        <f t="shared" si="6"/>
        <v>0</v>
      </c>
      <c r="S69">
        <f t="shared" si="7"/>
        <v>0</v>
      </c>
      <c r="T69">
        <f t="shared" si="8"/>
        <v>0</v>
      </c>
    </row>
    <row r="70" spans="1:20" x14ac:dyDescent="0.25">
      <c r="A70" s="5"/>
      <c r="B70" s="1"/>
      <c r="C70" s="2"/>
      <c r="D70" s="2"/>
      <c r="E70" s="1"/>
      <c r="F70" s="1"/>
      <c r="P70">
        <f t="shared" ref="P70:P133" si="9">IF(C70=D70,0,((E70-D70)-(C70-E70))/(C70-D70))</f>
        <v>0</v>
      </c>
      <c r="Q70">
        <f t="shared" ref="Q70:Q133" si="10">F70*P70</f>
        <v>0</v>
      </c>
      <c r="R70">
        <f t="shared" ref="R70:R133" si="11">R71+Q70</f>
        <v>0</v>
      </c>
      <c r="S70">
        <f t="shared" ref="S70:S133" si="12">R70/100000</f>
        <v>0</v>
      </c>
      <c r="T70">
        <f t="shared" ref="T70:T133" si="13">S70/1000</f>
        <v>0</v>
      </c>
    </row>
    <row r="71" spans="1:20" x14ac:dyDescent="0.25">
      <c r="A71" s="5"/>
      <c r="B71" s="1"/>
      <c r="C71" s="2"/>
      <c r="D71" s="2"/>
      <c r="E71" s="1"/>
      <c r="F71" s="1"/>
      <c r="P71">
        <f t="shared" si="9"/>
        <v>0</v>
      </c>
      <c r="Q71">
        <f t="shared" si="10"/>
        <v>0</v>
      </c>
      <c r="R71">
        <f t="shared" si="11"/>
        <v>0</v>
      </c>
      <c r="S71">
        <f t="shared" si="12"/>
        <v>0</v>
      </c>
      <c r="T71">
        <f t="shared" si="13"/>
        <v>0</v>
      </c>
    </row>
    <row r="72" spans="1:20" x14ac:dyDescent="0.25">
      <c r="A72" s="5"/>
      <c r="B72" s="1"/>
      <c r="C72" s="2"/>
      <c r="D72" s="2"/>
      <c r="E72" s="1"/>
      <c r="F72" s="1"/>
      <c r="P72">
        <f t="shared" si="9"/>
        <v>0</v>
      </c>
      <c r="Q72">
        <f t="shared" si="10"/>
        <v>0</v>
      </c>
      <c r="R72">
        <f t="shared" si="11"/>
        <v>0</v>
      </c>
      <c r="S72">
        <f t="shared" si="12"/>
        <v>0</v>
      </c>
      <c r="T72">
        <f t="shared" si="13"/>
        <v>0</v>
      </c>
    </row>
    <row r="73" spans="1:20" x14ac:dyDescent="0.25">
      <c r="A73" s="5"/>
      <c r="B73" s="1"/>
      <c r="C73" s="2"/>
      <c r="D73" s="2"/>
      <c r="E73" s="1"/>
      <c r="F73" s="1"/>
      <c r="P73">
        <f t="shared" si="9"/>
        <v>0</v>
      </c>
      <c r="Q73">
        <f t="shared" si="10"/>
        <v>0</v>
      </c>
      <c r="R73">
        <f t="shared" si="11"/>
        <v>0</v>
      </c>
      <c r="S73">
        <f t="shared" si="12"/>
        <v>0</v>
      </c>
      <c r="T73">
        <f t="shared" si="13"/>
        <v>0</v>
      </c>
    </row>
    <row r="74" spans="1:20" x14ac:dyDescent="0.25">
      <c r="A74" s="5"/>
      <c r="B74" s="1"/>
      <c r="C74" s="2"/>
      <c r="D74" s="2"/>
      <c r="E74" s="1"/>
      <c r="F74" s="1"/>
      <c r="P74">
        <f t="shared" si="9"/>
        <v>0</v>
      </c>
      <c r="Q74">
        <f t="shared" si="10"/>
        <v>0</v>
      </c>
      <c r="R74">
        <f t="shared" si="11"/>
        <v>0</v>
      </c>
      <c r="S74">
        <f t="shared" si="12"/>
        <v>0</v>
      </c>
      <c r="T74">
        <f t="shared" si="13"/>
        <v>0</v>
      </c>
    </row>
    <row r="75" spans="1:20" x14ac:dyDescent="0.25">
      <c r="A75" s="5"/>
      <c r="B75" s="1"/>
      <c r="C75" s="2"/>
      <c r="D75" s="2"/>
      <c r="E75" s="1"/>
      <c r="F75" s="1"/>
      <c r="P75">
        <f t="shared" si="9"/>
        <v>0</v>
      </c>
      <c r="Q75">
        <f t="shared" si="10"/>
        <v>0</v>
      </c>
      <c r="R75">
        <f t="shared" si="11"/>
        <v>0</v>
      </c>
      <c r="S75">
        <f t="shared" si="12"/>
        <v>0</v>
      </c>
      <c r="T75">
        <f t="shared" si="13"/>
        <v>0</v>
      </c>
    </row>
    <row r="76" spans="1:20" x14ac:dyDescent="0.25">
      <c r="A76" s="5"/>
      <c r="B76" s="1"/>
      <c r="C76" s="2"/>
      <c r="D76" s="2"/>
      <c r="E76" s="1"/>
      <c r="F76" s="1"/>
      <c r="P76">
        <f t="shared" si="9"/>
        <v>0</v>
      </c>
      <c r="Q76">
        <f t="shared" si="10"/>
        <v>0</v>
      </c>
      <c r="R76">
        <f t="shared" si="11"/>
        <v>0</v>
      </c>
      <c r="S76">
        <f t="shared" si="12"/>
        <v>0</v>
      </c>
      <c r="T76">
        <f t="shared" si="13"/>
        <v>0</v>
      </c>
    </row>
    <row r="77" spans="1:20" x14ac:dyDescent="0.25">
      <c r="A77" s="5"/>
      <c r="B77" s="1"/>
      <c r="C77" s="2"/>
      <c r="D77" s="2"/>
      <c r="E77" s="1"/>
      <c r="F77" s="1"/>
      <c r="P77">
        <f t="shared" si="9"/>
        <v>0</v>
      </c>
      <c r="Q77">
        <f t="shared" si="10"/>
        <v>0</v>
      </c>
      <c r="R77">
        <f t="shared" si="11"/>
        <v>0</v>
      </c>
      <c r="S77">
        <f t="shared" si="12"/>
        <v>0</v>
      </c>
      <c r="T77">
        <f t="shared" si="13"/>
        <v>0</v>
      </c>
    </row>
    <row r="78" spans="1:20" x14ac:dyDescent="0.25">
      <c r="A78" s="5"/>
      <c r="B78" s="1"/>
      <c r="C78" s="2"/>
      <c r="D78" s="2"/>
      <c r="E78" s="1"/>
      <c r="F78" s="1"/>
      <c r="P78">
        <f t="shared" si="9"/>
        <v>0</v>
      </c>
      <c r="Q78">
        <f t="shared" si="10"/>
        <v>0</v>
      </c>
      <c r="R78">
        <f t="shared" si="11"/>
        <v>0</v>
      </c>
      <c r="S78">
        <f t="shared" si="12"/>
        <v>0</v>
      </c>
      <c r="T78">
        <f t="shared" si="13"/>
        <v>0</v>
      </c>
    </row>
    <row r="79" spans="1:20" x14ac:dyDescent="0.25">
      <c r="A79" s="5"/>
      <c r="B79" s="1"/>
      <c r="C79" s="2"/>
      <c r="D79" s="2"/>
      <c r="E79" s="1"/>
      <c r="F79" s="1"/>
      <c r="P79">
        <f t="shared" si="9"/>
        <v>0</v>
      </c>
      <c r="Q79">
        <f t="shared" si="10"/>
        <v>0</v>
      </c>
      <c r="R79">
        <f t="shared" si="11"/>
        <v>0</v>
      </c>
      <c r="S79">
        <f t="shared" si="12"/>
        <v>0</v>
      </c>
      <c r="T79">
        <f t="shared" si="13"/>
        <v>0</v>
      </c>
    </row>
    <row r="80" spans="1:20" x14ac:dyDescent="0.25">
      <c r="A80" s="5"/>
      <c r="B80" s="1"/>
      <c r="C80" s="2"/>
      <c r="D80" s="2"/>
      <c r="E80" s="1"/>
      <c r="F80" s="1"/>
      <c r="P80">
        <f t="shared" si="9"/>
        <v>0</v>
      </c>
      <c r="Q80">
        <f t="shared" si="10"/>
        <v>0</v>
      </c>
      <c r="R80">
        <f t="shared" si="11"/>
        <v>0</v>
      </c>
      <c r="S80">
        <f t="shared" si="12"/>
        <v>0</v>
      </c>
      <c r="T80">
        <f t="shared" si="13"/>
        <v>0</v>
      </c>
    </row>
    <row r="81" spans="1:20" x14ac:dyDescent="0.25">
      <c r="A81" s="5"/>
      <c r="B81" s="1"/>
      <c r="C81" s="2"/>
      <c r="D81" s="2"/>
      <c r="E81" s="1"/>
      <c r="F81" s="1"/>
      <c r="P81">
        <f t="shared" si="9"/>
        <v>0</v>
      </c>
      <c r="Q81">
        <f t="shared" si="10"/>
        <v>0</v>
      </c>
      <c r="R81">
        <f t="shared" si="11"/>
        <v>0</v>
      </c>
      <c r="S81">
        <f t="shared" si="12"/>
        <v>0</v>
      </c>
      <c r="T81">
        <f t="shared" si="13"/>
        <v>0</v>
      </c>
    </row>
    <row r="82" spans="1:20" x14ac:dyDescent="0.25">
      <c r="A82" s="5"/>
      <c r="B82" s="1"/>
      <c r="C82" s="2"/>
      <c r="D82" s="2"/>
      <c r="E82" s="1"/>
      <c r="F82" s="1"/>
      <c r="P82">
        <f t="shared" si="9"/>
        <v>0</v>
      </c>
      <c r="Q82">
        <f t="shared" si="10"/>
        <v>0</v>
      </c>
      <c r="R82">
        <f t="shared" si="11"/>
        <v>0</v>
      </c>
      <c r="S82">
        <f t="shared" si="12"/>
        <v>0</v>
      </c>
      <c r="T82">
        <f t="shared" si="13"/>
        <v>0</v>
      </c>
    </row>
    <row r="83" spans="1:20" x14ac:dyDescent="0.25">
      <c r="A83" s="5"/>
      <c r="B83" s="1"/>
      <c r="C83" s="2"/>
      <c r="D83" s="2"/>
      <c r="E83" s="1"/>
      <c r="F83" s="1"/>
      <c r="P83">
        <f t="shared" si="9"/>
        <v>0</v>
      </c>
      <c r="Q83">
        <f t="shared" si="10"/>
        <v>0</v>
      </c>
      <c r="R83">
        <f t="shared" si="11"/>
        <v>0</v>
      </c>
      <c r="S83">
        <f t="shared" si="12"/>
        <v>0</v>
      </c>
      <c r="T83">
        <f t="shared" si="13"/>
        <v>0</v>
      </c>
    </row>
    <row r="84" spans="1:20" x14ac:dyDescent="0.25">
      <c r="A84" s="5"/>
      <c r="B84" s="1"/>
      <c r="C84" s="2"/>
      <c r="D84" s="2"/>
      <c r="E84" s="1"/>
      <c r="F84" s="1"/>
      <c r="P84">
        <f t="shared" si="9"/>
        <v>0</v>
      </c>
      <c r="Q84">
        <f t="shared" si="10"/>
        <v>0</v>
      </c>
      <c r="R84">
        <f t="shared" si="11"/>
        <v>0</v>
      </c>
      <c r="S84">
        <f t="shared" si="12"/>
        <v>0</v>
      </c>
      <c r="T84">
        <f t="shared" si="13"/>
        <v>0</v>
      </c>
    </row>
    <row r="85" spans="1:20" x14ac:dyDescent="0.25">
      <c r="A85" s="5"/>
      <c r="B85" s="1"/>
      <c r="C85" s="2"/>
      <c r="D85" s="2"/>
      <c r="E85" s="1"/>
      <c r="F85" s="1"/>
      <c r="P85">
        <f t="shared" si="9"/>
        <v>0</v>
      </c>
      <c r="Q85">
        <f t="shared" si="10"/>
        <v>0</v>
      </c>
      <c r="R85">
        <f t="shared" si="11"/>
        <v>0</v>
      </c>
      <c r="S85">
        <f t="shared" si="12"/>
        <v>0</v>
      </c>
      <c r="T85">
        <f t="shared" si="13"/>
        <v>0</v>
      </c>
    </row>
    <row r="86" spans="1:20" x14ac:dyDescent="0.25">
      <c r="A86" s="5"/>
      <c r="B86" s="1"/>
      <c r="C86" s="2"/>
      <c r="D86" s="2"/>
      <c r="E86" s="1"/>
      <c r="F86" s="1"/>
      <c r="P86">
        <f t="shared" si="9"/>
        <v>0</v>
      </c>
      <c r="Q86">
        <f t="shared" si="10"/>
        <v>0</v>
      </c>
      <c r="R86">
        <f t="shared" si="11"/>
        <v>0</v>
      </c>
      <c r="S86">
        <f t="shared" si="12"/>
        <v>0</v>
      </c>
      <c r="T86">
        <f t="shared" si="13"/>
        <v>0</v>
      </c>
    </row>
    <row r="87" spans="1:20" x14ac:dyDescent="0.25">
      <c r="A87" s="5"/>
      <c r="B87" s="1"/>
      <c r="C87" s="2"/>
      <c r="D87" s="2"/>
      <c r="E87" s="1"/>
      <c r="F87" s="1"/>
      <c r="P87">
        <f t="shared" si="9"/>
        <v>0</v>
      </c>
      <c r="Q87">
        <f t="shared" si="10"/>
        <v>0</v>
      </c>
      <c r="R87">
        <f t="shared" si="11"/>
        <v>0</v>
      </c>
      <c r="S87">
        <f t="shared" si="12"/>
        <v>0</v>
      </c>
      <c r="T87">
        <f t="shared" si="13"/>
        <v>0</v>
      </c>
    </row>
    <row r="88" spans="1:20" x14ac:dyDescent="0.25">
      <c r="A88" s="5"/>
      <c r="B88" s="1"/>
      <c r="C88" s="2"/>
      <c r="D88" s="2"/>
      <c r="E88" s="1"/>
      <c r="F88" s="1"/>
      <c r="P88">
        <f t="shared" si="9"/>
        <v>0</v>
      </c>
      <c r="Q88">
        <f t="shared" si="10"/>
        <v>0</v>
      </c>
      <c r="R88">
        <f t="shared" si="11"/>
        <v>0</v>
      </c>
      <c r="S88">
        <f t="shared" si="12"/>
        <v>0</v>
      </c>
      <c r="T88">
        <f t="shared" si="13"/>
        <v>0</v>
      </c>
    </row>
    <row r="89" spans="1:20" x14ac:dyDescent="0.25">
      <c r="A89" s="5"/>
      <c r="B89" s="1"/>
      <c r="C89" s="2"/>
      <c r="D89" s="2"/>
      <c r="E89" s="1"/>
      <c r="F89" s="1"/>
      <c r="P89">
        <f t="shared" si="9"/>
        <v>0</v>
      </c>
      <c r="Q89">
        <f t="shared" si="10"/>
        <v>0</v>
      </c>
      <c r="R89">
        <f t="shared" si="11"/>
        <v>0</v>
      </c>
      <c r="S89">
        <f t="shared" si="12"/>
        <v>0</v>
      </c>
      <c r="T89">
        <f t="shared" si="13"/>
        <v>0</v>
      </c>
    </row>
    <row r="90" spans="1:20" x14ac:dyDescent="0.25">
      <c r="A90" s="5"/>
      <c r="B90" s="1"/>
      <c r="C90" s="2"/>
      <c r="D90" s="2"/>
      <c r="E90" s="1"/>
      <c r="F90" s="1"/>
      <c r="P90">
        <f t="shared" si="9"/>
        <v>0</v>
      </c>
      <c r="Q90">
        <f t="shared" si="10"/>
        <v>0</v>
      </c>
      <c r="R90">
        <f t="shared" si="11"/>
        <v>0</v>
      </c>
      <c r="S90">
        <f t="shared" si="12"/>
        <v>0</v>
      </c>
      <c r="T90">
        <f t="shared" si="13"/>
        <v>0</v>
      </c>
    </row>
    <row r="91" spans="1:20" x14ac:dyDescent="0.25">
      <c r="A91" s="5"/>
      <c r="B91" s="1"/>
      <c r="C91" s="2"/>
      <c r="D91" s="2"/>
      <c r="E91" s="1"/>
      <c r="F91" s="1"/>
      <c r="P91">
        <f t="shared" si="9"/>
        <v>0</v>
      </c>
      <c r="Q91">
        <f t="shared" si="10"/>
        <v>0</v>
      </c>
      <c r="R91">
        <f t="shared" si="11"/>
        <v>0</v>
      </c>
      <c r="S91">
        <f t="shared" si="12"/>
        <v>0</v>
      </c>
      <c r="T91">
        <f t="shared" si="13"/>
        <v>0</v>
      </c>
    </row>
    <row r="92" spans="1:20" x14ac:dyDescent="0.25">
      <c r="A92" s="5"/>
      <c r="B92" s="1"/>
      <c r="C92" s="2"/>
      <c r="D92" s="2"/>
      <c r="E92" s="1"/>
      <c r="F92" s="1"/>
      <c r="P92">
        <f t="shared" si="9"/>
        <v>0</v>
      </c>
      <c r="Q92">
        <f t="shared" si="10"/>
        <v>0</v>
      </c>
      <c r="R92">
        <f t="shared" si="11"/>
        <v>0</v>
      </c>
      <c r="S92">
        <f t="shared" si="12"/>
        <v>0</v>
      </c>
      <c r="T92">
        <f t="shared" si="13"/>
        <v>0</v>
      </c>
    </row>
    <row r="93" spans="1:20" x14ac:dyDescent="0.25">
      <c r="A93" s="5"/>
      <c r="B93" s="1"/>
      <c r="C93" s="2"/>
      <c r="D93" s="2"/>
      <c r="E93" s="1"/>
      <c r="F93" s="1"/>
      <c r="P93">
        <f t="shared" si="9"/>
        <v>0</v>
      </c>
      <c r="Q93">
        <f t="shared" si="10"/>
        <v>0</v>
      </c>
      <c r="R93">
        <f t="shared" si="11"/>
        <v>0</v>
      </c>
      <c r="S93">
        <f t="shared" si="12"/>
        <v>0</v>
      </c>
      <c r="T93">
        <f t="shared" si="13"/>
        <v>0</v>
      </c>
    </row>
    <row r="94" spans="1:20" x14ac:dyDescent="0.25">
      <c r="A94" s="5"/>
      <c r="B94" s="1"/>
      <c r="C94" s="2"/>
      <c r="D94" s="2"/>
      <c r="E94" s="1"/>
      <c r="F94" s="1"/>
      <c r="P94">
        <f t="shared" si="9"/>
        <v>0</v>
      </c>
      <c r="Q94">
        <f t="shared" si="10"/>
        <v>0</v>
      </c>
      <c r="R94">
        <f t="shared" si="11"/>
        <v>0</v>
      </c>
      <c r="S94">
        <f t="shared" si="12"/>
        <v>0</v>
      </c>
      <c r="T94">
        <f t="shared" si="13"/>
        <v>0</v>
      </c>
    </row>
    <row r="95" spans="1:20" x14ac:dyDescent="0.25">
      <c r="A95" s="5"/>
      <c r="B95" s="1"/>
      <c r="C95" s="2"/>
      <c r="D95" s="2"/>
      <c r="E95" s="1"/>
      <c r="F95" s="1"/>
      <c r="P95">
        <f t="shared" si="9"/>
        <v>0</v>
      </c>
      <c r="Q95">
        <f t="shared" si="10"/>
        <v>0</v>
      </c>
      <c r="R95">
        <f t="shared" si="11"/>
        <v>0</v>
      </c>
      <c r="S95">
        <f t="shared" si="12"/>
        <v>0</v>
      </c>
      <c r="T95">
        <f t="shared" si="13"/>
        <v>0</v>
      </c>
    </row>
    <row r="96" spans="1:20" x14ac:dyDescent="0.25">
      <c r="A96" s="5"/>
      <c r="B96" s="1"/>
      <c r="C96" s="2"/>
      <c r="D96" s="2"/>
      <c r="E96" s="1"/>
      <c r="F96" s="1"/>
      <c r="P96">
        <f t="shared" si="9"/>
        <v>0</v>
      </c>
      <c r="Q96">
        <f t="shared" si="10"/>
        <v>0</v>
      </c>
      <c r="R96">
        <f t="shared" si="11"/>
        <v>0</v>
      </c>
      <c r="S96">
        <f t="shared" si="12"/>
        <v>0</v>
      </c>
      <c r="T96">
        <f t="shared" si="13"/>
        <v>0</v>
      </c>
    </row>
    <row r="97" spans="1:20" x14ac:dyDescent="0.25">
      <c r="A97" s="5"/>
      <c r="B97" s="1"/>
      <c r="C97" s="2"/>
      <c r="D97" s="2"/>
      <c r="E97" s="1"/>
      <c r="F97" s="1"/>
      <c r="P97">
        <f t="shared" si="9"/>
        <v>0</v>
      </c>
      <c r="Q97">
        <f t="shared" si="10"/>
        <v>0</v>
      </c>
      <c r="R97">
        <f t="shared" si="11"/>
        <v>0</v>
      </c>
      <c r="S97">
        <f t="shared" si="12"/>
        <v>0</v>
      </c>
      <c r="T97">
        <f t="shared" si="13"/>
        <v>0</v>
      </c>
    </row>
    <row r="98" spans="1:20" x14ac:dyDescent="0.25">
      <c r="A98" s="5"/>
      <c r="B98" s="1"/>
      <c r="C98" s="2"/>
      <c r="D98" s="2"/>
      <c r="E98" s="1"/>
      <c r="F98" s="1"/>
      <c r="P98">
        <f t="shared" si="9"/>
        <v>0</v>
      </c>
      <c r="Q98">
        <f t="shared" si="10"/>
        <v>0</v>
      </c>
      <c r="R98">
        <f t="shared" si="11"/>
        <v>0</v>
      </c>
      <c r="S98">
        <f t="shared" si="12"/>
        <v>0</v>
      </c>
      <c r="T98">
        <f t="shared" si="13"/>
        <v>0</v>
      </c>
    </row>
    <row r="99" spans="1:20" x14ac:dyDescent="0.25">
      <c r="A99" s="5"/>
      <c r="B99" s="1"/>
      <c r="C99" s="2"/>
      <c r="D99" s="2"/>
      <c r="E99" s="1"/>
      <c r="F99" s="1"/>
      <c r="P99">
        <f t="shared" si="9"/>
        <v>0</v>
      </c>
      <c r="Q99">
        <f t="shared" si="10"/>
        <v>0</v>
      </c>
      <c r="R99">
        <f t="shared" si="11"/>
        <v>0</v>
      </c>
      <c r="S99">
        <f t="shared" si="12"/>
        <v>0</v>
      </c>
      <c r="T99">
        <f t="shared" si="13"/>
        <v>0</v>
      </c>
    </row>
    <row r="100" spans="1:20" x14ac:dyDescent="0.25">
      <c r="A100" s="5"/>
      <c r="B100" s="1"/>
      <c r="C100" s="2"/>
      <c r="D100" s="2"/>
      <c r="E100" s="1"/>
      <c r="F100" s="1"/>
      <c r="P100">
        <f t="shared" si="9"/>
        <v>0</v>
      </c>
      <c r="Q100">
        <f t="shared" si="10"/>
        <v>0</v>
      </c>
      <c r="R100">
        <f t="shared" si="11"/>
        <v>0</v>
      </c>
      <c r="S100">
        <f t="shared" si="12"/>
        <v>0</v>
      </c>
      <c r="T100">
        <f t="shared" si="13"/>
        <v>0</v>
      </c>
    </row>
    <row r="101" spans="1:20" x14ac:dyDescent="0.25">
      <c r="A101" s="5"/>
      <c r="B101" s="1"/>
      <c r="C101" s="2"/>
      <c r="D101" s="2"/>
      <c r="E101" s="1"/>
      <c r="F101" s="1"/>
      <c r="P101">
        <f t="shared" si="9"/>
        <v>0</v>
      </c>
      <c r="Q101">
        <f t="shared" si="10"/>
        <v>0</v>
      </c>
      <c r="R101">
        <f t="shared" si="11"/>
        <v>0</v>
      </c>
      <c r="S101">
        <f t="shared" si="12"/>
        <v>0</v>
      </c>
      <c r="T101">
        <f t="shared" si="13"/>
        <v>0</v>
      </c>
    </row>
    <row r="102" spans="1:20" x14ac:dyDescent="0.25">
      <c r="A102" s="5"/>
      <c r="B102" s="1"/>
      <c r="C102" s="2"/>
      <c r="D102" s="2"/>
      <c r="E102" s="1"/>
      <c r="F102" s="1"/>
      <c r="P102">
        <f t="shared" si="9"/>
        <v>0</v>
      </c>
      <c r="Q102">
        <f t="shared" si="10"/>
        <v>0</v>
      </c>
      <c r="R102">
        <f t="shared" si="11"/>
        <v>0</v>
      </c>
      <c r="S102">
        <f t="shared" si="12"/>
        <v>0</v>
      </c>
      <c r="T102">
        <f t="shared" si="13"/>
        <v>0</v>
      </c>
    </row>
    <row r="103" spans="1:20" x14ac:dyDescent="0.25">
      <c r="A103" s="5"/>
      <c r="B103" s="1"/>
      <c r="C103" s="2"/>
      <c r="D103" s="2"/>
      <c r="E103" s="1"/>
      <c r="F103" s="1"/>
      <c r="P103">
        <f t="shared" si="9"/>
        <v>0</v>
      </c>
      <c r="Q103">
        <f t="shared" si="10"/>
        <v>0</v>
      </c>
      <c r="R103">
        <f t="shared" si="11"/>
        <v>0</v>
      </c>
      <c r="S103">
        <f t="shared" si="12"/>
        <v>0</v>
      </c>
      <c r="T103">
        <f t="shared" si="13"/>
        <v>0</v>
      </c>
    </row>
    <row r="104" spans="1:20" x14ac:dyDescent="0.25">
      <c r="A104" s="5"/>
      <c r="B104" s="1"/>
      <c r="C104" s="2"/>
      <c r="D104" s="2"/>
      <c r="E104" s="1"/>
      <c r="F104" s="1"/>
      <c r="P104">
        <f t="shared" si="9"/>
        <v>0</v>
      </c>
      <c r="Q104">
        <f t="shared" si="10"/>
        <v>0</v>
      </c>
      <c r="R104">
        <f t="shared" si="11"/>
        <v>0</v>
      </c>
      <c r="S104">
        <f t="shared" si="12"/>
        <v>0</v>
      </c>
      <c r="T104">
        <f t="shared" si="13"/>
        <v>0</v>
      </c>
    </row>
    <row r="105" spans="1:20" x14ac:dyDescent="0.25">
      <c r="A105" s="5"/>
      <c r="B105" s="1"/>
      <c r="C105" s="2"/>
      <c r="D105" s="2"/>
      <c r="E105" s="1"/>
      <c r="F105" s="1"/>
      <c r="P105">
        <f t="shared" si="9"/>
        <v>0</v>
      </c>
      <c r="Q105">
        <f t="shared" si="10"/>
        <v>0</v>
      </c>
      <c r="R105">
        <f t="shared" si="11"/>
        <v>0</v>
      </c>
      <c r="S105">
        <f t="shared" si="12"/>
        <v>0</v>
      </c>
      <c r="T105">
        <f t="shared" si="13"/>
        <v>0</v>
      </c>
    </row>
    <row r="106" spans="1:20" x14ac:dyDescent="0.25">
      <c r="A106" s="5"/>
      <c r="B106" s="1"/>
      <c r="C106" s="2"/>
      <c r="D106" s="2"/>
      <c r="E106" s="1"/>
      <c r="F106" s="1"/>
      <c r="P106">
        <f t="shared" si="9"/>
        <v>0</v>
      </c>
      <c r="Q106">
        <f t="shared" si="10"/>
        <v>0</v>
      </c>
      <c r="R106">
        <f t="shared" si="11"/>
        <v>0</v>
      </c>
      <c r="S106">
        <f t="shared" si="12"/>
        <v>0</v>
      </c>
      <c r="T106">
        <f t="shared" si="13"/>
        <v>0</v>
      </c>
    </row>
    <row r="107" spans="1:20" x14ac:dyDescent="0.25">
      <c r="A107" s="5"/>
      <c r="B107" s="1"/>
      <c r="C107" s="2"/>
      <c r="D107" s="2"/>
      <c r="E107" s="1"/>
      <c r="F107" s="1"/>
      <c r="P107">
        <f t="shared" si="9"/>
        <v>0</v>
      </c>
      <c r="Q107">
        <f t="shared" si="10"/>
        <v>0</v>
      </c>
      <c r="R107">
        <f t="shared" si="11"/>
        <v>0</v>
      </c>
      <c r="S107">
        <f t="shared" si="12"/>
        <v>0</v>
      </c>
      <c r="T107">
        <f t="shared" si="13"/>
        <v>0</v>
      </c>
    </row>
    <row r="108" spans="1:20" x14ac:dyDescent="0.25">
      <c r="A108" s="5"/>
      <c r="B108" s="1"/>
      <c r="C108" s="2"/>
      <c r="D108" s="2"/>
      <c r="E108" s="1"/>
      <c r="F108" s="1"/>
      <c r="P108">
        <f t="shared" si="9"/>
        <v>0</v>
      </c>
      <c r="Q108">
        <f t="shared" si="10"/>
        <v>0</v>
      </c>
      <c r="R108">
        <f t="shared" si="11"/>
        <v>0</v>
      </c>
      <c r="S108">
        <f t="shared" si="12"/>
        <v>0</v>
      </c>
      <c r="T108">
        <f t="shared" si="13"/>
        <v>0</v>
      </c>
    </row>
    <row r="109" spans="1:20" x14ac:dyDescent="0.25">
      <c r="A109" s="5"/>
      <c r="B109" s="1"/>
      <c r="C109" s="2"/>
      <c r="D109" s="2"/>
      <c r="E109" s="1"/>
      <c r="F109" s="1"/>
      <c r="P109">
        <f t="shared" si="9"/>
        <v>0</v>
      </c>
      <c r="Q109">
        <f t="shared" si="10"/>
        <v>0</v>
      </c>
      <c r="R109">
        <f t="shared" si="11"/>
        <v>0</v>
      </c>
      <c r="S109">
        <f t="shared" si="12"/>
        <v>0</v>
      </c>
      <c r="T109">
        <f t="shared" si="13"/>
        <v>0</v>
      </c>
    </row>
    <row r="110" spans="1:20" x14ac:dyDescent="0.25">
      <c r="A110" s="5"/>
      <c r="B110" s="1"/>
      <c r="C110" s="2"/>
      <c r="D110" s="2"/>
      <c r="E110" s="1"/>
      <c r="F110" s="1"/>
      <c r="P110">
        <f t="shared" si="9"/>
        <v>0</v>
      </c>
      <c r="Q110">
        <f t="shared" si="10"/>
        <v>0</v>
      </c>
      <c r="R110">
        <f t="shared" si="11"/>
        <v>0</v>
      </c>
      <c r="S110">
        <f t="shared" si="12"/>
        <v>0</v>
      </c>
      <c r="T110">
        <f t="shared" si="13"/>
        <v>0</v>
      </c>
    </row>
    <row r="111" spans="1:20" x14ac:dyDescent="0.25">
      <c r="A111" s="5"/>
      <c r="B111" s="1"/>
      <c r="C111" s="2"/>
      <c r="D111" s="2"/>
      <c r="E111" s="1"/>
      <c r="F111" s="1"/>
      <c r="P111">
        <f t="shared" si="9"/>
        <v>0</v>
      </c>
      <c r="Q111">
        <f t="shared" si="10"/>
        <v>0</v>
      </c>
      <c r="R111">
        <f t="shared" si="11"/>
        <v>0</v>
      </c>
      <c r="S111">
        <f t="shared" si="12"/>
        <v>0</v>
      </c>
      <c r="T111">
        <f t="shared" si="13"/>
        <v>0</v>
      </c>
    </row>
    <row r="112" spans="1:20" x14ac:dyDescent="0.25">
      <c r="A112" s="5"/>
      <c r="B112" s="1"/>
      <c r="C112" s="2"/>
      <c r="D112" s="2"/>
      <c r="E112" s="1"/>
      <c r="F112" s="1"/>
      <c r="P112">
        <f t="shared" si="9"/>
        <v>0</v>
      </c>
      <c r="Q112">
        <f t="shared" si="10"/>
        <v>0</v>
      </c>
      <c r="R112">
        <f t="shared" si="11"/>
        <v>0</v>
      </c>
      <c r="S112">
        <f t="shared" si="12"/>
        <v>0</v>
      </c>
      <c r="T112">
        <f t="shared" si="13"/>
        <v>0</v>
      </c>
    </row>
    <row r="113" spans="1:20" x14ac:dyDescent="0.25">
      <c r="A113" s="5"/>
      <c r="B113" s="1"/>
      <c r="C113" s="2"/>
      <c r="D113" s="2"/>
      <c r="E113" s="1"/>
      <c r="F113" s="1"/>
      <c r="P113">
        <f t="shared" si="9"/>
        <v>0</v>
      </c>
      <c r="Q113">
        <f t="shared" si="10"/>
        <v>0</v>
      </c>
      <c r="R113">
        <f t="shared" si="11"/>
        <v>0</v>
      </c>
      <c r="S113">
        <f t="shared" si="12"/>
        <v>0</v>
      </c>
      <c r="T113">
        <f t="shared" si="13"/>
        <v>0</v>
      </c>
    </row>
    <row r="114" spans="1:20" x14ac:dyDescent="0.25">
      <c r="A114" s="5"/>
      <c r="B114" s="1"/>
      <c r="C114" s="2"/>
      <c r="D114" s="2"/>
      <c r="E114" s="1"/>
      <c r="F114" s="1"/>
      <c r="P114">
        <f t="shared" si="9"/>
        <v>0</v>
      </c>
      <c r="Q114">
        <f t="shared" si="10"/>
        <v>0</v>
      </c>
      <c r="R114">
        <f t="shared" si="11"/>
        <v>0</v>
      </c>
      <c r="S114">
        <f t="shared" si="12"/>
        <v>0</v>
      </c>
      <c r="T114">
        <f t="shared" si="13"/>
        <v>0</v>
      </c>
    </row>
    <row r="115" spans="1:20" x14ac:dyDescent="0.25">
      <c r="A115" s="5"/>
      <c r="B115" s="1"/>
      <c r="C115" s="2"/>
      <c r="D115" s="2"/>
      <c r="E115" s="1"/>
      <c r="F115" s="1"/>
      <c r="P115">
        <f t="shared" si="9"/>
        <v>0</v>
      </c>
      <c r="Q115">
        <f t="shared" si="10"/>
        <v>0</v>
      </c>
      <c r="R115">
        <f t="shared" si="11"/>
        <v>0</v>
      </c>
      <c r="S115">
        <f t="shared" si="12"/>
        <v>0</v>
      </c>
      <c r="T115">
        <f t="shared" si="13"/>
        <v>0</v>
      </c>
    </row>
    <row r="116" spans="1:20" x14ac:dyDescent="0.25">
      <c r="A116" s="5"/>
      <c r="B116" s="1"/>
      <c r="C116" s="2"/>
      <c r="D116" s="2"/>
      <c r="E116" s="1"/>
      <c r="F116" s="1"/>
      <c r="P116">
        <f t="shared" si="9"/>
        <v>0</v>
      </c>
      <c r="Q116">
        <f t="shared" si="10"/>
        <v>0</v>
      </c>
      <c r="R116">
        <f t="shared" si="11"/>
        <v>0</v>
      </c>
      <c r="S116">
        <f t="shared" si="12"/>
        <v>0</v>
      </c>
      <c r="T116">
        <f t="shared" si="13"/>
        <v>0</v>
      </c>
    </row>
    <row r="117" spans="1:20" x14ac:dyDescent="0.25">
      <c r="A117" s="5"/>
      <c r="B117" s="1"/>
      <c r="C117" s="2"/>
      <c r="D117" s="2"/>
      <c r="E117" s="1"/>
      <c r="F117" s="1"/>
      <c r="P117">
        <f t="shared" si="9"/>
        <v>0</v>
      </c>
      <c r="Q117">
        <f t="shared" si="10"/>
        <v>0</v>
      </c>
      <c r="R117">
        <f t="shared" si="11"/>
        <v>0</v>
      </c>
      <c r="S117">
        <f t="shared" si="12"/>
        <v>0</v>
      </c>
      <c r="T117">
        <f t="shared" si="13"/>
        <v>0</v>
      </c>
    </row>
    <row r="118" spans="1:20" x14ac:dyDescent="0.25">
      <c r="A118" s="5"/>
      <c r="B118" s="1"/>
      <c r="C118" s="2"/>
      <c r="D118" s="2"/>
      <c r="E118" s="1"/>
      <c r="F118" s="1"/>
      <c r="P118">
        <f t="shared" si="9"/>
        <v>0</v>
      </c>
      <c r="Q118">
        <f t="shared" si="10"/>
        <v>0</v>
      </c>
      <c r="R118">
        <f t="shared" si="11"/>
        <v>0</v>
      </c>
      <c r="S118">
        <f t="shared" si="12"/>
        <v>0</v>
      </c>
      <c r="T118">
        <f t="shared" si="13"/>
        <v>0</v>
      </c>
    </row>
    <row r="119" spans="1:20" x14ac:dyDescent="0.25">
      <c r="A119" s="5"/>
      <c r="B119" s="1"/>
      <c r="C119" s="2"/>
      <c r="D119" s="2"/>
      <c r="E119" s="1"/>
      <c r="F119" s="1"/>
      <c r="P119">
        <f t="shared" si="9"/>
        <v>0</v>
      </c>
      <c r="Q119">
        <f t="shared" si="10"/>
        <v>0</v>
      </c>
      <c r="R119">
        <f t="shared" si="11"/>
        <v>0</v>
      </c>
      <c r="S119">
        <f t="shared" si="12"/>
        <v>0</v>
      </c>
      <c r="T119">
        <f t="shared" si="13"/>
        <v>0</v>
      </c>
    </row>
    <row r="120" spans="1:20" x14ac:dyDescent="0.25">
      <c r="A120" s="5"/>
      <c r="B120" s="1"/>
      <c r="C120" s="2"/>
      <c r="D120" s="2"/>
      <c r="E120" s="1"/>
      <c r="F120" s="1"/>
      <c r="P120">
        <f t="shared" si="9"/>
        <v>0</v>
      </c>
      <c r="Q120">
        <f t="shared" si="10"/>
        <v>0</v>
      </c>
      <c r="R120">
        <f t="shared" si="11"/>
        <v>0</v>
      </c>
      <c r="S120">
        <f t="shared" si="12"/>
        <v>0</v>
      </c>
      <c r="T120">
        <f t="shared" si="13"/>
        <v>0</v>
      </c>
    </row>
    <row r="121" spans="1:20" x14ac:dyDescent="0.25">
      <c r="A121" s="5"/>
      <c r="B121" s="1"/>
      <c r="C121" s="2"/>
      <c r="D121" s="2"/>
      <c r="E121" s="1"/>
      <c r="F121" s="1"/>
      <c r="P121">
        <f t="shared" si="9"/>
        <v>0</v>
      </c>
      <c r="Q121">
        <f t="shared" si="10"/>
        <v>0</v>
      </c>
      <c r="R121">
        <f t="shared" si="11"/>
        <v>0</v>
      </c>
      <c r="S121">
        <f t="shared" si="12"/>
        <v>0</v>
      </c>
      <c r="T121">
        <f t="shared" si="13"/>
        <v>0</v>
      </c>
    </row>
    <row r="122" spans="1:20" x14ac:dyDescent="0.25">
      <c r="A122" s="5"/>
      <c r="P122">
        <f t="shared" si="9"/>
        <v>0</v>
      </c>
      <c r="Q122">
        <f t="shared" si="10"/>
        <v>0</v>
      </c>
      <c r="R122">
        <f t="shared" si="11"/>
        <v>0</v>
      </c>
      <c r="S122">
        <f t="shared" si="12"/>
        <v>0</v>
      </c>
      <c r="T122">
        <f t="shared" si="13"/>
        <v>0</v>
      </c>
    </row>
    <row r="123" spans="1:20" x14ac:dyDescent="0.25">
      <c r="A123" s="5"/>
      <c r="P123">
        <f t="shared" si="9"/>
        <v>0</v>
      </c>
      <c r="Q123">
        <f t="shared" si="10"/>
        <v>0</v>
      </c>
      <c r="R123">
        <f t="shared" si="11"/>
        <v>0</v>
      </c>
      <c r="S123">
        <f t="shared" si="12"/>
        <v>0</v>
      </c>
      <c r="T123">
        <f t="shared" si="13"/>
        <v>0</v>
      </c>
    </row>
    <row r="124" spans="1:20" x14ac:dyDescent="0.25">
      <c r="A124" s="5"/>
      <c r="P124">
        <f t="shared" si="9"/>
        <v>0</v>
      </c>
      <c r="Q124">
        <f t="shared" si="10"/>
        <v>0</v>
      </c>
      <c r="R124">
        <f t="shared" si="11"/>
        <v>0</v>
      </c>
      <c r="S124">
        <f t="shared" si="12"/>
        <v>0</v>
      </c>
      <c r="T124">
        <f t="shared" si="13"/>
        <v>0</v>
      </c>
    </row>
    <row r="125" spans="1:20" x14ac:dyDescent="0.25">
      <c r="A125" s="5"/>
      <c r="P125">
        <f t="shared" si="9"/>
        <v>0</v>
      </c>
      <c r="Q125">
        <f t="shared" si="10"/>
        <v>0</v>
      </c>
      <c r="R125">
        <f t="shared" si="11"/>
        <v>0</v>
      </c>
      <c r="S125">
        <f t="shared" si="12"/>
        <v>0</v>
      </c>
      <c r="T125">
        <f t="shared" si="13"/>
        <v>0</v>
      </c>
    </row>
    <row r="126" spans="1:20" x14ac:dyDescent="0.25">
      <c r="A126" s="5"/>
      <c r="P126">
        <f t="shared" si="9"/>
        <v>0</v>
      </c>
      <c r="Q126">
        <f t="shared" si="10"/>
        <v>0</v>
      </c>
      <c r="R126">
        <f t="shared" si="11"/>
        <v>0</v>
      </c>
      <c r="S126">
        <f t="shared" si="12"/>
        <v>0</v>
      </c>
      <c r="T126">
        <f t="shared" si="13"/>
        <v>0</v>
      </c>
    </row>
    <row r="127" spans="1:20" x14ac:dyDescent="0.25">
      <c r="A127" s="5"/>
      <c r="P127">
        <f t="shared" si="9"/>
        <v>0</v>
      </c>
      <c r="Q127">
        <f t="shared" si="10"/>
        <v>0</v>
      </c>
      <c r="R127">
        <f t="shared" si="11"/>
        <v>0</v>
      </c>
      <c r="S127">
        <f t="shared" si="12"/>
        <v>0</v>
      </c>
      <c r="T127">
        <f t="shared" si="13"/>
        <v>0</v>
      </c>
    </row>
    <row r="128" spans="1:20" x14ac:dyDescent="0.25">
      <c r="A128" s="5"/>
      <c r="P128">
        <f t="shared" si="9"/>
        <v>0</v>
      </c>
      <c r="Q128">
        <f t="shared" si="10"/>
        <v>0</v>
      </c>
      <c r="R128">
        <f t="shared" si="11"/>
        <v>0</v>
      </c>
      <c r="S128">
        <f t="shared" si="12"/>
        <v>0</v>
      </c>
      <c r="T128">
        <f t="shared" si="13"/>
        <v>0</v>
      </c>
    </row>
    <row r="129" spans="1:20" x14ac:dyDescent="0.25">
      <c r="A129" s="5"/>
      <c r="P129">
        <f t="shared" si="9"/>
        <v>0</v>
      </c>
      <c r="Q129">
        <f t="shared" si="10"/>
        <v>0</v>
      </c>
      <c r="R129">
        <f t="shared" si="11"/>
        <v>0</v>
      </c>
      <c r="S129">
        <f t="shared" si="12"/>
        <v>0</v>
      </c>
      <c r="T129">
        <f t="shared" si="13"/>
        <v>0</v>
      </c>
    </row>
    <row r="130" spans="1:20" x14ac:dyDescent="0.25">
      <c r="A130" s="5"/>
      <c r="P130">
        <f t="shared" si="9"/>
        <v>0</v>
      </c>
      <c r="Q130">
        <f t="shared" si="10"/>
        <v>0</v>
      </c>
      <c r="R130">
        <f t="shared" si="11"/>
        <v>0</v>
      </c>
      <c r="S130">
        <f t="shared" si="12"/>
        <v>0</v>
      </c>
      <c r="T130">
        <f t="shared" si="13"/>
        <v>0</v>
      </c>
    </row>
    <row r="131" spans="1:20" x14ac:dyDescent="0.25">
      <c r="A131" s="5"/>
      <c r="P131">
        <f t="shared" si="9"/>
        <v>0</v>
      </c>
      <c r="Q131">
        <f t="shared" si="10"/>
        <v>0</v>
      </c>
      <c r="R131">
        <f t="shared" si="11"/>
        <v>0</v>
      </c>
      <c r="S131">
        <f t="shared" si="12"/>
        <v>0</v>
      </c>
      <c r="T131">
        <f t="shared" si="13"/>
        <v>0</v>
      </c>
    </row>
    <row r="132" spans="1:20" x14ac:dyDescent="0.25">
      <c r="A132" s="5"/>
      <c r="P132">
        <f t="shared" si="9"/>
        <v>0</v>
      </c>
      <c r="Q132">
        <f t="shared" si="10"/>
        <v>0</v>
      </c>
      <c r="R132">
        <f t="shared" si="11"/>
        <v>0</v>
      </c>
      <c r="S132">
        <f t="shared" si="12"/>
        <v>0</v>
      </c>
      <c r="T132">
        <f t="shared" si="13"/>
        <v>0</v>
      </c>
    </row>
    <row r="133" spans="1:20" x14ac:dyDescent="0.25">
      <c r="A133" s="5"/>
      <c r="C133"/>
      <c r="D133"/>
      <c r="P133">
        <f t="shared" si="9"/>
        <v>0</v>
      </c>
      <c r="Q133">
        <f t="shared" si="10"/>
        <v>0</v>
      </c>
      <c r="R133">
        <f t="shared" si="11"/>
        <v>0</v>
      </c>
      <c r="S133">
        <f t="shared" si="12"/>
        <v>0</v>
      </c>
      <c r="T133">
        <f t="shared" si="13"/>
        <v>0</v>
      </c>
    </row>
    <row r="134" spans="1:20" x14ac:dyDescent="0.25">
      <c r="A134" s="5"/>
      <c r="C134"/>
      <c r="D134"/>
      <c r="P134">
        <f t="shared" ref="P134:P197" si="14">IF(C134=D134,0,((E134-D134)-(C134-E134))/(C134-D134))</f>
        <v>0</v>
      </c>
      <c r="Q134">
        <f t="shared" ref="Q134:Q197" si="15">F134*P134</f>
        <v>0</v>
      </c>
      <c r="R134">
        <f t="shared" ref="R134:R197" si="16">R135+Q134</f>
        <v>0</v>
      </c>
      <c r="S134">
        <f t="shared" ref="S134:S197" si="17">R134/100000</f>
        <v>0</v>
      </c>
      <c r="T134">
        <f t="shared" ref="T134:T197" si="18">S134/1000</f>
        <v>0</v>
      </c>
    </row>
    <row r="135" spans="1:20" x14ac:dyDescent="0.25">
      <c r="A135" s="5"/>
      <c r="C135"/>
      <c r="D135"/>
      <c r="P135">
        <f t="shared" si="14"/>
        <v>0</v>
      </c>
      <c r="Q135">
        <f t="shared" si="15"/>
        <v>0</v>
      </c>
      <c r="R135">
        <f t="shared" si="16"/>
        <v>0</v>
      </c>
      <c r="S135">
        <f t="shared" si="17"/>
        <v>0</v>
      </c>
      <c r="T135">
        <f t="shared" si="18"/>
        <v>0</v>
      </c>
    </row>
    <row r="136" spans="1:20" x14ac:dyDescent="0.25">
      <c r="A136" s="5"/>
      <c r="C136"/>
      <c r="D136"/>
      <c r="P136">
        <f t="shared" si="14"/>
        <v>0</v>
      </c>
      <c r="Q136">
        <f t="shared" si="15"/>
        <v>0</v>
      </c>
      <c r="R136">
        <f t="shared" si="16"/>
        <v>0</v>
      </c>
      <c r="S136">
        <f t="shared" si="17"/>
        <v>0</v>
      </c>
      <c r="T136">
        <f t="shared" si="18"/>
        <v>0</v>
      </c>
    </row>
    <row r="137" spans="1:20" x14ac:dyDescent="0.25">
      <c r="A137" s="5"/>
      <c r="C137"/>
      <c r="D137"/>
      <c r="P137">
        <f t="shared" si="14"/>
        <v>0</v>
      </c>
      <c r="Q137">
        <f t="shared" si="15"/>
        <v>0</v>
      </c>
      <c r="R137">
        <f t="shared" si="16"/>
        <v>0</v>
      </c>
      <c r="S137">
        <f t="shared" si="17"/>
        <v>0</v>
      </c>
      <c r="T137">
        <f t="shared" si="18"/>
        <v>0</v>
      </c>
    </row>
    <row r="138" spans="1:20" x14ac:dyDescent="0.25">
      <c r="A138" s="5"/>
      <c r="C138"/>
      <c r="D138"/>
      <c r="P138">
        <f t="shared" si="14"/>
        <v>0</v>
      </c>
      <c r="Q138">
        <f t="shared" si="15"/>
        <v>0</v>
      </c>
      <c r="R138">
        <f t="shared" si="16"/>
        <v>0</v>
      </c>
      <c r="S138">
        <f t="shared" si="17"/>
        <v>0</v>
      </c>
      <c r="T138">
        <f t="shared" si="18"/>
        <v>0</v>
      </c>
    </row>
    <row r="139" spans="1:20" x14ac:dyDescent="0.25">
      <c r="A139" s="5"/>
      <c r="C139"/>
      <c r="D139"/>
      <c r="P139">
        <f t="shared" si="14"/>
        <v>0</v>
      </c>
      <c r="Q139">
        <f t="shared" si="15"/>
        <v>0</v>
      </c>
      <c r="R139">
        <f t="shared" si="16"/>
        <v>0</v>
      </c>
      <c r="S139">
        <f t="shared" si="17"/>
        <v>0</v>
      </c>
      <c r="T139">
        <f t="shared" si="18"/>
        <v>0</v>
      </c>
    </row>
    <row r="140" spans="1:20" x14ac:dyDescent="0.25">
      <c r="A140" s="5"/>
      <c r="C140"/>
      <c r="D140"/>
      <c r="P140">
        <f t="shared" si="14"/>
        <v>0</v>
      </c>
      <c r="Q140">
        <f t="shared" si="15"/>
        <v>0</v>
      </c>
      <c r="R140">
        <f t="shared" si="16"/>
        <v>0</v>
      </c>
      <c r="S140">
        <f t="shared" si="17"/>
        <v>0</v>
      </c>
      <c r="T140">
        <f t="shared" si="18"/>
        <v>0</v>
      </c>
    </row>
    <row r="141" spans="1:20" x14ac:dyDescent="0.25">
      <c r="A141" s="5"/>
      <c r="C141"/>
      <c r="D141"/>
      <c r="P141">
        <f t="shared" si="14"/>
        <v>0</v>
      </c>
      <c r="Q141">
        <f t="shared" si="15"/>
        <v>0</v>
      </c>
      <c r="R141">
        <f t="shared" si="16"/>
        <v>0</v>
      </c>
      <c r="S141">
        <f t="shared" si="17"/>
        <v>0</v>
      </c>
      <c r="T141">
        <f t="shared" si="18"/>
        <v>0</v>
      </c>
    </row>
    <row r="142" spans="1:20" x14ac:dyDescent="0.25">
      <c r="A142" s="5"/>
      <c r="C142"/>
      <c r="D142"/>
      <c r="P142">
        <f t="shared" si="14"/>
        <v>0</v>
      </c>
      <c r="Q142">
        <f t="shared" si="15"/>
        <v>0</v>
      </c>
      <c r="R142">
        <f t="shared" si="16"/>
        <v>0</v>
      </c>
      <c r="S142">
        <f t="shared" si="17"/>
        <v>0</v>
      </c>
      <c r="T142">
        <f t="shared" si="18"/>
        <v>0</v>
      </c>
    </row>
    <row r="143" spans="1:20" x14ac:dyDescent="0.25">
      <c r="A143" s="5"/>
      <c r="C143"/>
      <c r="D143"/>
      <c r="P143">
        <f t="shared" si="14"/>
        <v>0</v>
      </c>
      <c r="Q143">
        <f t="shared" si="15"/>
        <v>0</v>
      </c>
      <c r="R143">
        <f t="shared" si="16"/>
        <v>0</v>
      </c>
      <c r="S143">
        <f t="shared" si="17"/>
        <v>0</v>
      </c>
      <c r="T143">
        <f t="shared" si="18"/>
        <v>0</v>
      </c>
    </row>
    <row r="144" spans="1:20" x14ac:dyDescent="0.25">
      <c r="A144" s="5"/>
      <c r="C144"/>
      <c r="D144"/>
      <c r="P144">
        <f t="shared" si="14"/>
        <v>0</v>
      </c>
      <c r="Q144">
        <f t="shared" si="15"/>
        <v>0</v>
      </c>
      <c r="R144">
        <f t="shared" si="16"/>
        <v>0</v>
      </c>
      <c r="S144">
        <f t="shared" si="17"/>
        <v>0</v>
      </c>
      <c r="T144">
        <f t="shared" si="18"/>
        <v>0</v>
      </c>
    </row>
    <row r="145" spans="1:20" x14ac:dyDescent="0.25">
      <c r="A145" s="5"/>
      <c r="C145"/>
      <c r="D145"/>
      <c r="P145">
        <f t="shared" si="14"/>
        <v>0</v>
      </c>
      <c r="Q145">
        <f t="shared" si="15"/>
        <v>0</v>
      </c>
      <c r="R145">
        <f t="shared" si="16"/>
        <v>0</v>
      </c>
      <c r="S145">
        <f t="shared" si="17"/>
        <v>0</v>
      </c>
      <c r="T145">
        <f t="shared" si="18"/>
        <v>0</v>
      </c>
    </row>
    <row r="146" spans="1:20" x14ac:dyDescent="0.25">
      <c r="A146" s="5"/>
      <c r="C146"/>
      <c r="D146"/>
      <c r="P146">
        <f t="shared" si="14"/>
        <v>0</v>
      </c>
      <c r="Q146">
        <f t="shared" si="15"/>
        <v>0</v>
      </c>
      <c r="R146">
        <f t="shared" si="16"/>
        <v>0</v>
      </c>
      <c r="S146">
        <f t="shared" si="17"/>
        <v>0</v>
      </c>
      <c r="T146">
        <f t="shared" si="18"/>
        <v>0</v>
      </c>
    </row>
    <row r="147" spans="1:20" x14ac:dyDescent="0.25">
      <c r="A147" s="5"/>
      <c r="C147"/>
      <c r="D147"/>
      <c r="P147">
        <f t="shared" si="14"/>
        <v>0</v>
      </c>
      <c r="Q147">
        <f t="shared" si="15"/>
        <v>0</v>
      </c>
      <c r="R147">
        <f t="shared" si="16"/>
        <v>0</v>
      </c>
      <c r="S147">
        <f t="shared" si="17"/>
        <v>0</v>
      </c>
      <c r="T147">
        <f t="shared" si="18"/>
        <v>0</v>
      </c>
    </row>
    <row r="148" spans="1:20" x14ac:dyDescent="0.25">
      <c r="A148" s="5"/>
      <c r="C148"/>
      <c r="D148"/>
      <c r="P148">
        <f t="shared" si="14"/>
        <v>0</v>
      </c>
      <c r="Q148">
        <f t="shared" si="15"/>
        <v>0</v>
      </c>
      <c r="R148">
        <f t="shared" si="16"/>
        <v>0</v>
      </c>
      <c r="S148">
        <f t="shared" si="17"/>
        <v>0</v>
      </c>
      <c r="T148">
        <f t="shared" si="18"/>
        <v>0</v>
      </c>
    </row>
    <row r="149" spans="1:20" x14ac:dyDescent="0.25">
      <c r="A149" s="5"/>
      <c r="C149"/>
      <c r="D149"/>
      <c r="P149">
        <f t="shared" si="14"/>
        <v>0</v>
      </c>
      <c r="Q149">
        <f t="shared" si="15"/>
        <v>0</v>
      </c>
      <c r="R149">
        <f t="shared" si="16"/>
        <v>0</v>
      </c>
      <c r="S149">
        <f t="shared" si="17"/>
        <v>0</v>
      </c>
      <c r="T149">
        <f t="shared" si="18"/>
        <v>0</v>
      </c>
    </row>
    <row r="150" spans="1:20" x14ac:dyDescent="0.25">
      <c r="A150" s="5"/>
      <c r="C150"/>
      <c r="D150"/>
      <c r="P150">
        <f t="shared" si="14"/>
        <v>0</v>
      </c>
      <c r="Q150">
        <f t="shared" si="15"/>
        <v>0</v>
      </c>
      <c r="R150">
        <f t="shared" si="16"/>
        <v>0</v>
      </c>
      <c r="S150">
        <f t="shared" si="17"/>
        <v>0</v>
      </c>
      <c r="T150">
        <f t="shared" si="18"/>
        <v>0</v>
      </c>
    </row>
    <row r="151" spans="1:20" x14ac:dyDescent="0.25">
      <c r="A151" s="5"/>
      <c r="C151"/>
      <c r="D151"/>
      <c r="P151">
        <f t="shared" si="14"/>
        <v>0</v>
      </c>
      <c r="Q151">
        <f t="shared" si="15"/>
        <v>0</v>
      </c>
      <c r="R151">
        <f t="shared" si="16"/>
        <v>0</v>
      </c>
      <c r="S151">
        <f t="shared" si="17"/>
        <v>0</v>
      </c>
      <c r="T151">
        <f t="shared" si="18"/>
        <v>0</v>
      </c>
    </row>
    <row r="152" spans="1:20" x14ac:dyDescent="0.25">
      <c r="A152" s="5"/>
      <c r="C152"/>
      <c r="D152"/>
      <c r="P152">
        <f t="shared" si="14"/>
        <v>0</v>
      </c>
      <c r="Q152">
        <f t="shared" si="15"/>
        <v>0</v>
      </c>
      <c r="R152">
        <f t="shared" si="16"/>
        <v>0</v>
      </c>
      <c r="S152">
        <f t="shared" si="17"/>
        <v>0</v>
      </c>
      <c r="T152">
        <f t="shared" si="18"/>
        <v>0</v>
      </c>
    </row>
    <row r="153" spans="1:20" x14ac:dyDescent="0.25">
      <c r="A153" s="5"/>
      <c r="C153"/>
      <c r="D153"/>
      <c r="P153">
        <f t="shared" si="14"/>
        <v>0</v>
      </c>
      <c r="Q153">
        <f t="shared" si="15"/>
        <v>0</v>
      </c>
      <c r="R153">
        <f t="shared" si="16"/>
        <v>0</v>
      </c>
      <c r="S153">
        <f t="shared" si="17"/>
        <v>0</v>
      </c>
      <c r="T153">
        <f t="shared" si="18"/>
        <v>0</v>
      </c>
    </row>
    <row r="154" spans="1:20" x14ac:dyDescent="0.25">
      <c r="A154" s="5"/>
      <c r="C154"/>
      <c r="D154"/>
      <c r="P154">
        <f t="shared" si="14"/>
        <v>0</v>
      </c>
      <c r="Q154">
        <f t="shared" si="15"/>
        <v>0</v>
      </c>
      <c r="R154">
        <f t="shared" si="16"/>
        <v>0</v>
      </c>
      <c r="S154">
        <f t="shared" si="17"/>
        <v>0</v>
      </c>
      <c r="T154">
        <f t="shared" si="18"/>
        <v>0</v>
      </c>
    </row>
    <row r="155" spans="1:20" x14ac:dyDescent="0.25">
      <c r="A155" s="5"/>
      <c r="C155"/>
      <c r="D155"/>
      <c r="P155">
        <f t="shared" si="14"/>
        <v>0</v>
      </c>
      <c r="Q155">
        <f t="shared" si="15"/>
        <v>0</v>
      </c>
      <c r="R155">
        <f t="shared" si="16"/>
        <v>0</v>
      </c>
      <c r="S155">
        <f t="shared" si="17"/>
        <v>0</v>
      </c>
      <c r="T155">
        <f t="shared" si="18"/>
        <v>0</v>
      </c>
    </row>
    <row r="156" spans="1:20" x14ac:dyDescent="0.25">
      <c r="A156" s="5"/>
      <c r="C156"/>
      <c r="D156"/>
      <c r="P156">
        <f t="shared" si="14"/>
        <v>0</v>
      </c>
      <c r="Q156">
        <f t="shared" si="15"/>
        <v>0</v>
      </c>
      <c r="R156">
        <f t="shared" si="16"/>
        <v>0</v>
      </c>
      <c r="S156">
        <f t="shared" si="17"/>
        <v>0</v>
      </c>
      <c r="T156">
        <f t="shared" si="18"/>
        <v>0</v>
      </c>
    </row>
    <row r="157" spans="1:20" x14ac:dyDescent="0.25">
      <c r="A157" s="5"/>
      <c r="C157"/>
      <c r="D157"/>
      <c r="P157">
        <f t="shared" si="14"/>
        <v>0</v>
      </c>
      <c r="Q157">
        <f t="shared" si="15"/>
        <v>0</v>
      </c>
      <c r="R157">
        <f t="shared" si="16"/>
        <v>0</v>
      </c>
      <c r="S157">
        <f t="shared" si="17"/>
        <v>0</v>
      </c>
      <c r="T157">
        <f t="shared" si="18"/>
        <v>0</v>
      </c>
    </row>
    <row r="158" spans="1:20" x14ac:dyDescent="0.25">
      <c r="A158" s="5"/>
      <c r="C158"/>
      <c r="D158"/>
      <c r="P158">
        <f t="shared" si="14"/>
        <v>0</v>
      </c>
      <c r="Q158">
        <f t="shared" si="15"/>
        <v>0</v>
      </c>
      <c r="R158">
        <f t="shared" si="16"/>
        <v>0</v>
      </c>
      <c r="S158">
        <f t="shared" si="17"/>
        <v>0</v>
      </c>
      <c r="T158">
        <f t="shared" si="18"/>
        <v>0</v>
      </c>
    </row>
    <row r="159" spans="1:20" x14ac:dyDescent="0.25">
      <c r="A159" s="5"/>
      <c r="C159"/>
      <c r="D159"/>
      <c r="P159">
        <f t="shared" si="14"/>
        <v>0</v>
      </c>
      <c r="Q159">
        <f t="shared" si="15"/>
        <v>0</v>
      </c>
      <c r="R159">
        <f t="shared" si="16"/>
        <v>0</v>
      </c>
      <c r="S159">
        <f t="shared" si="17"/>
        <v>0</v>
      </c>
      <c r="T159">
        <f t="shared" si="18"/>
        <v>0</v>
      </c>
    </row>
    <row r="160" spans="1:20" x14ac:dyDescent="0.25">
      <c r="A160" s="5"/>
      <c r="C160"/>
      <c r="D160"/>
      <c r="P160">
        <f t="shared" si="14"/>
        <v>0</v>
      </c>
      <c r="Q160">
        <f t="shared" si="15"/>
        <v>0</v>
      </c>
      <c r="R160">
        <f t="shared" si="16"/>
        <v>0</v>
      </c>
      <c r="S160">
        <f t="shared" si="17"/>
        <v>0</v>
      </c>
      <c r="T160">
        <f t="shared" si="18"/>
        <v>0</v>
      </c>
    </row>
    <row r="161" spans="1:20" x14ac:dyDescent="0.25">
      <c r="A161" s="5"/>
      <c r="C161"/>
      <c r="D161"/>
      <c r="P161">
        <f t="shared" si="14"/>
        <v>0</v>
      </c>
      <c r="Q161">
        <f t="shared" si="15"/>
        <v>0</v>
      </c>
      <c r="R161">
        <f t="shared" si="16"/>
        <v>0</v>
      </c>
      <c r="S161">
        <f t="shared" si="17"/>
        <v>0</v>
      </c>
      <c r="T161">
        <f t="shared" si="18"/>
        <v>0</v>
      </c>
    </row>
    <row r="162" spans="1:20" x14ac:dyDescent="0.25">
      <c r="A162" s="5"/>
      <c r="C162"/>
      <c r="D162"/>
      <c r="P162">
        <f t="shared" si="14"/>
        <v>0</v>
      </c>
      <c r="Q162">
        <f t="shared" si="15"/>
        <v>0</v>
      </c>
      <c r="R162">
        <f t="shared" si="16"/>
        <v>0</v>
      </c>
      <c r="S162">
        <f t="shared" si="17"/>
        <v>0</v>
      </c>
      <c r="T162">
        <f t="shared" si="18"/>
        <v>0</v>
      </c>
    </row>
    <row r="163" spans="1:20" x14ac:dyDescent="0.25">
      <c r="A163" s="5"/>
      <c r="C163"/>
      <c r="D163"/>
      <c r="P163">
        <f t="shared" si="14"/>
        <v>0</v>
      </c>
      <c r="Q163">
        <f t="shared" si="15"/>
        <v>0</v>
      </c>
      <c r="R163">
        <f t="shared" si="16"/>
        <v>0</v>
      </c>
      <c r="S163">
        <f t="shared" si="17"/>
        <v>0</v>
      </c>
      <c r="T163">
        <f t="shared" si="18"/>
        <v>0</v>
      </c>
    </row>
    <row r="164" spans="1:20" x14ac:dyDescent="0.25">
      <c r="A164" s="5"/>
      <c r="C164"/>
      <c r="D164"/>
      <c r="P164">
        <f t="shared" si="14"/>
        <v>0</v>
      </c>
      <c r="Q164">
        <f t="shared" si="15"/>
        <v>0</v>
      </c>
      <c r="R164">
        <f t="shared" si="16"/>
        <v>0</v>
      </c>
      <c r="S164">
        <f t="shared" si="17"/>
        <v>0</v>
      </c>
      <c r="T164">
        <f t="shared" si="18"/>
        <v>0</v>
      </c>
    </row>
    <row r="165" spans="1:20" x14ac:dyDescent="0.25">
      <c r="A165" s="5"/>
      <c r="C165"/>
      <c r="D165"/>
      <c r="P165">
        <f t="shared" si="14"/>
        <v>0</v>
      </c>
      <c r="Q165">
        <f t="shared" si="15"/>
        <v>0</v>
      </c>
      <c r="R165">
        <f t="shared" si="16"/>
        <v>0</v>
      </c>
      <c r="S165">
        <f t="shared" si="17"/>
        <v>0</v>
      </c>
      <c r="T165">
        <f t="shared" si="18"/>
        <v>0</v>
      </c>
    </row>
    <row r="166" spans="1:20" x14ac:dyDescent="0.25">
      <c r="A166" s="5"/>
      <c r="C166"/>
      <c r="D166"/>
      <c r="P166">
        <f t="shared" si="14"/>
        <v>0</v>
      </c>
      <c r="Q166">
        <f t="shared" si="15"/>
        <v>0</v>
      </c>
      <c r="R166">
        <f t="shared" si="16"/>
        <v>0</v>
      </c>
      <c r="S166">
        <f t="shared" si="17"/>
        <v>0</v>
      </c>
      <c r="T166">
        <f t="shared" si="18"/>
        <v>0</v>
      </c>
    </row>
    <row r="167" spans="1:20" x14ac:dyDescent="0.25">
      <c r="A167" s="5"/>
      <c r="C167"/>
      <c r="D167"/>
      <c r="P167">
        <f t="shared" si="14"/>
        <v>0</v>
      </c>
      <c r="Q167">
        <f t="shared" si="15"/>
        <v>0</v>
      </c>
      <c r="R167">
        <f t="shared" si="16"/>
        <v>0</v>
      </c>
      <c r="S167">
        <f t="shared" si="17"/>
        <v>0</v>
      </c>
      <c r="T167">
        <f t="shared" si="18"/>
        <v>0</v>
      </c>
    </row>
    <row r="168" spans="1:20" x14ac:dyDescent="0.25">
      <c r="A168" s="5"/>
      <c r="C168"/>
      <c r="D168"/>
      <c r="P168">
        <f t="shared" si="14"/>
        <v>0</v>
      </c>
      <c r="Q168">
        <f t="shared" si="15"/>
        <v>0</v>
      </c>
      <c r="R168">
        <f t="shared" si="16"/>
        <v>0</v>
      </c>
      <c r="S168">
        <f t="shared" si="17"/>
        <v>0</v>
      </c>
      <c r="T168">
        <f t="shared" si="18"/>
        <v>0</v>
      </c>
    </row>
    <row r="169" spans="1:20" x14ac:dyDescent="0.25">
      <c r="A169" s="5"/>
      <c r="C169"/>
      <c r="D169"/>
      <c r="P169">
        <f t="shared" si="14"/>
        <v>0</v>
      </c>
      <c r="Q169">
        <f t="shared" si="15"/>
        <v>0</v>
      </c>
      <c r="R169">
        <f t="shared" si="16"/>
        <v>0</v>
      </c>
      <c r="S169">
        <f t="shared" si="17"/>
        <v>0</v>
      </c>
      <c r="T169">
        <f t="shared" si="18"/>
        <v>0</v>
      </c>
    </row>
    <row r="170" spans="1:20" x14ac:dyDescent="0.25">
      <c r="A170" s="5"/>
      <c r="C170"/>
      <c r="D170"/>
      <c r="P170">
        <f t="shared" si="14"/>
        <v>0</v>
      </c>
      <c r="Q170">
        <f t="shared" si="15"/>
        <v>0</v>
      </c>
      <c r="R170">
        <f t="shared" si="16"/>
        <v>0</v>
      </c>
      <c r="S170">
        <f t="shared" si="17"/>
        <v>0</v>
      </c>
      <c r="T170">
        <f t="shared" si="18"/>
        <v>0</v>
      </c>
    </row>
    <row r="171" spans="1:20" x14ac:dyDescent="0.25">
      <c r="A171" s="5"/>
      <c r="C171"/>
      <c r="D171"/>
      <c r="P171">
        <f t="shared" si="14"/>
        <v>0</v>
      </c>
      <c r="Q171">
        <f t="shared" si="15"/>
        <v>0</v>
      </c>
      <c r="R171">
        <f t="shared" si="16"/>
        <v>0</v>
      </c>
      <c r="S171">
        <f t="shared" si="17"/>
        <v>0</v>
      </c>
      <c r="T171">
        <f t="shared" si="18"/>
        <v>0</v>
      </c>
    </row>
    <row r="172" spans="1:20" x14ac:dyDescent="0.25">
      <c r="A172" s="5"/>
      <c r="C172"/>
      <c r="D172"/>
      <c r="P172">
        <f t="shared" si="14"/>
        <v>0</v>
      </c>
      <c r="Q172">
        <f t="shared" si="15"/>
        <v>0</v>
      </c>
      <c r="R172">
        <f t="shared" si="16"/>
        <v>0</v>
      </c>
      <c r="S172">
        <f t="shared" si="17"/>
        <v>0</v>
      </c>
      <c r="T172">
        <f t="shared" si="18"/>
        <v>0</v>
      </c>
    </row>
    <row r="173" spans="1:20" x14ac:dyDescent="0.25">
      <c r="A173" s="5"/>
      <c r="C173"/>
      <c r="D173"/>
      <c r="P173">
        <f t="shared" si="14"/>
        <v>0</v>
      </c>
      <c r="Q173">
        <f t="shared" si="15"/>
        <v>0</v>
      </c>
      <c r="R173">
        <f t="shared" si="16"/>
        <v>0</v>
      </c>
      <c r="S173">
        <f t="shared" si="17"/>
        <v>0</v>
      </c>
      <c r="T173">
        <f t="shared" si="18"/>
        <v>0</v>
      </c>
    </row>
    <row r="174" spans="1:20" x14ac:dyDescent="0.25">
      <c r="A174" s="5"/>
      <c r="C174"/>
      <c r="D174"/>
      <c r="P174">
        <f t="shared" si="14"/>
        <v>0</v>
      </c>
      <c r="Q174">
        <f t="shared" si="15"/>
        <v>0</v>
      </c>
      <c r="R174">
        <f t="shared" si="16"/>
        <v>0</v>
      </c>
      <c r="S174">
        <f t="shared" si="17"/>
        <v>0</v>
      </c>
      <c r="T174">
        <f t="shared" si="18"/>
        <v>0</v>
      </c>
    </row>
    <row r="175" spans="1:20" x14ac:dyDescent="0.25">
      <c r="A175" s="5"/>
      <c r="C175"/>
      <c r="D175"/>
      <c r="P175">
        <f t="shared" si="14"/>
        <v>0</v>
      </c>
      <c r="Q175">
        <f t="shared" si="15"/>
        <v>0</v>
      </c>
      <c r="R175">
        <f t="shared" si="16"/>
        <v>0</v>
      </c>
      <c r="S175">
        <f t="shared" si="17"/>
        <v>0</v>
      </c>
      <c r="T175">
        <f t="shared" si="18"/>
        <v>0</v>
      </c>
    </row>
    <row r="176" spans="1:20" x14ac:dyDescent="0.25">
      <c r="A176" s="5"/>
      <c r="C176"/>
      <c r="D176"/>
      <c r="P176">
        <f t="shared" si="14"/>
        <v>0</v>
      </c>
      <c r="Q176">
        <f t="shared" si="15"/>
        <v>0</v>
      </c>
      <c r="R176">
        <f t="shared" si="16"/>
        <v>0</v>
      </c>
      <c r="S176">
        <f t="shared" si="17"/>
        <v>0</v>
      </c>
      <c r="T176">
        <f t="shared" si="18"/>
        <v>0</v>
      </c>
    </row>
    <row r="177" spans="1:20" x14ac:dyDescent="0.25">
      <c r="A177" s="5"/>
      <c r="C177"/>
      <c r="D177"/>
      <c r="P177">
        <f t="shared" si="14"/>
        <v>0</v>
      </c>
      <c r="Q177">
        <f t="shared" si="15"/>
        <v>0</v>
      </c>
      <c r="R177">
        <f t="shared" si="16"/>
        <v>0</v>
      </c>
      <c r="S177">
        <f t="shared" si="17"/>
        <v>0</v>
      </c>
      <c r="T177">
        <f t="shared" si="18"/>
        <v>0</v>
      </c>
    </row>
    <row r="178" spans="1:20" x14ac:dyDescent="0.25">
      <c r="A178" s="5"/>
      <c r="C178"/>
      <c r="D178"/>
      <c r="P178">
        <f t="shared" si="14"/>
        <v>0</v>
      </c>
      <c r="Q178">
        <f t="shared" si="15"/>
        <v>0</v>
      </c>
      <c r="R178">
        <f t="shared" si="16"/>
        <v>0</v>
      </c>
      <c r="S178">
        <f t="shared" si="17"/>
        <v>0</v>
      </c>
      <c r="T178">
        <f t="shared" si="18"/>
        <v>0</v>
      </c>
    </row>
    <row r="179" spans="1:20" x14ac:dyDescent="0.25">
      <c r="A179" s="5"/>
      <c r="C179"/>
      <c r="D179"/>
      <c r="P179">
        <f t="shared" si="14"/>
        <v>0</v>
      </c>
      <c r="Q179">
        <f t="shared" si="15"/>
        <v>0</v>
      </c>
      <c r="R179">
        <f t="shared" si="16"/>
        <v>0</v>
      </c>
      <c r="S179">
        <f t="shared" si="17"/>
        <v>0</v>
      </c>
      <c r="T179">
        <f t="shared" si="18"/>
        <v>0</v>
      </c>
    </row>
    <row r="180" spans="1:20" x14ac:dyDescent="0.25">
      <c r="A180" s="5"/>
      <c r="C180"/>
      <c r="D180"/>
      <c r="P180">
        <f t="shared" si="14"/>
        <v>0</v>
      </c>
      <c r="Q180">
        <f t="shared" si="15"/>
        <v>0</v>
      </c>
      <c r="R180">
        <f t="shared" si="16"/>
        <v>0</v>
      </c>
      <c r="S180">
        <f t="shared" si="17"/>
        <v>0</v>
      </c>
      <c r="T180">
        <f t="shared" si="18"/>
        <v>0</v>
      </c>
    </row>
    <row r="181" spans="1:20" x14ac:dyDescent="0.25">
      <c r="A181" s="5"/>
      <c r="C181"/>
      <c r="D181"/>
      <c r="P181">
        <f t="shared" si="14"/>
        <v>0</v>
      </c>
      <c r="Q181">
        <f t="shared" si="15"/>
        <v>0</v>
      </c>
      <c r="R181">
        <f t="shared" si="16"/>
        <v>0</v>
      </c>
      <c r="S181">
        <f t="shared" si="17"/>
        <v>0</v>
      </c>
      <c r="T181">
        <f t="shared" si="18"/>
        <v>0</v>
      </c>
    </row>
    <row r="182" spans="1:20" x14ac:dyDescent="0.25">
      <c r="A182" s="5"/>
      <c r="C182"/>
      <c r="D182"/>
      <c r="P182">
        <f t="shared" si="14"/>
        <v>0</v>
      </c>
      <c r="Q182">
        <f t="shared" si="15"/>
        <v>0</v>
      </c>
      <c r="R182">
        <f t="shared" si="16"/>
        <v>0</v>
      </c>
      <c r="S182">
        <f t="shared" si="17"/>
        <v>0</v>
      </c>
      <c r="T182">
        <f t="shared" si="18"/>
        <v>0</v>
      </c>
    </row>
    <row r="183" spans="1:20" x14ac:dyDescent="0.25">
      <c r="A183" s="5"/>
      <c r="C183"/>
      <c r="D183"/>
      <c r="P183">
        <f t="shared" si="14"/>
        <v>0</v>
      </c>
      <c r="Q183">
        <f t="shared" si="15"/>
        <v>0</v>
      </c>
      <c r="R183">
        <f t="shared" si="16"/>
        <v>0</v>
      </c>
      <c r="S183">
        <f t="shared" si="17"/>
        <v>0</v>
      </c>
      <c r="T183">
        <f t="shared" si="18"/>
        <v>0</v>
      </c>
    </row>
    <row r="184" spans="1:20" x14ac:dyDescent="0.25">
      <c r="A184" s="5"/>
      <c r="C184"/>
      <c r="D184"/>
      <c r="P184">
        <f t="shared" si="14"/>
        <v>0</v>
      </c>
      <c r="Q184">
        <f t="shared" si="15"/>
        <v>0</v>
      </c>
      <c r="R184">
        <f t="shared" si="16"/>
        <v>0</v>
      </c>
      <c r="S184">
        <f t="shared" si="17"/>
        <v>0</v>
      </c>
      <c r="T184">
        <f t="shared" si="18"/>
        <v>0</v>
      </c>
    </row>
    <row r="185" spans="1:20" x14ac:dyDescent="0.25">
      <c r="A185" s="5"/>
      <c r="C185"/>
      <c r="D185"/>
      <c r="P185">
        <f t="shared" si="14"/>
        <v>0</v>
      </c>
      <c r="Q185">
        <f t="shared" si="15"/>
        <v>0</v>
      </c>
      <c r="R185">
        <f t="shared" si="16"/>
        <v>0</v>
      </c>
      <c r="S185">
        <f t="shared" si="17"/>
        <v>0</v>
      </c>
      <c r="T185">
        <f t="shared" si="18"/>
        <v>0</v>
      </c>
    </row>
    <row r="186" spans="1:20" x14ac:dyDescent="0.25">
      <c r="A186" s="5"/>
      <c r="C186"/>
      <c r="D186"/>
      <c r="P186">
        <f t="shared" si="14"/>
        <v>0</v>
      </c>
      <c r="Q186">
        <f t="shared" si="15"/>
        <v>0</v>
      </c>
      <c r="R186">
        <f t="shared" si="16"/>
        <v>0</v>
      </c>
      <c r="S186">
        <f t="shared" si="17"/>
        <v>0</v>
      </c>
      <c r="T186">
        <f t="shared" si="18"/>
        <v>0</v>
      </c>
    </row>
    <row r="187" spans="1:20" x14ac:dyDescent="0.25">
      <c r="A187" s="5"/>
      <c r="C187"/>
      <c r="D187"/>
      <c r="P187">
        <f t="shared" si="14"/>
        <v>0</v>
      </c>
      <c r="Q187">
        <f t="shared" si="15"/>
        <v>0</v>
      </c>
      <c r="R187">
        <f t="shared" si="16"/>
        <v>0</v>
      </c>
      <c r="S187">
        <f t="shared" si="17"/>
        <v>0</v>
      </c>
      <c r="T187">
        <f t="shared" si="18"/>
        <v>0</v>
      </c>
    </row>
    <row r="188" spans="1:20" x14ac:dyDescent="0.25">
      <c r="A188" s="5"/>
      <c r="C188"/>
      <c r="D188"/>
      <c r="P188">
        <f t="shared" si="14"/>
        <v>0</v>
      </c>
      <c r="Q188">
        <f t="shared" si="15"/>
        <v>0</v>
      </c>
      <c r="R188">
        <f t="shared" si="16"/>
        <v>0</v>
      </c>
      <c r="S188">
        <f t="shared" si="17"/>
        <v>0</v>
      </c>
      <c r="T188">
        <f t="shared" si="18"/>
        <v>0</v>
      </c>
    </row>
    <row r="189" spans="1:20" x14ac:dyDescent="0.25">
      <c r="A189" s="5"/>
      <c r="C189"/>
      <c r="D189"/>
      <c r="P189">
        <f t="shared" si="14"/>
        <v>0</v>
      </c>
      <c r="Q189">
        <f t="shared" si="15"/>
        <v>0</v>
      </c>
      <c r="R189">
        <f t="shared" si="16"/>
        <v>0</v>
      </c>
      <c r="S189">
        <f t="shared" si="17"/>
        <v>0</v>
      </c>
      <c r="T189">
        <f t="shared" si="18"/>
        <v>0</v>
      </c>
    </row>
    <row r="190" spans="1:20" x14ac:dyDescent="0.25">
      <c r="A190" s="5"/>
      <c r="C190"/>
      <c r="D190"/>
      <c r="P190">
        <f t="shared" si="14"/>
        <v>0</v>
      </c>
      <c r="Q190">
        <f t="shared" si="15"/>
        <v>0</v>
      </c>
      <c r="R190">
        <f t="shared" si="16"/>
        <v>0</v>
      </c>
      <c r="S190">
        <f t="shared" si="17"/>
        <v>0</v>
      </c>
      <c r="T190">
        <f t="shared" si="18"/>
        <v>0</v>
      </c>
    </row>
    <row r="191" spans="1:20" x14ac:dyDescent="0.25">
      <c r="A191" s="5"/>
      <c r="C191"/>
      <c r="D191"/>
      <c r="P191">
        <f t="shared" si="14"/>
        <v>0</v>
      </c>
      <c r="Q191">
        <f t="shared" si="15"/>
        <v>0</v>
      </c>
      <c r="R191">
        <f t="shared" si="16"/>
        <v>0</v>
      </c>
      <c r="S191">
        <f t="shared" si="17"/>
        <v>0</v>
      </c>
      <c r="T191">
        <f t="shared" si="18"/>
        <v>0</v>
      </c>
    </row>
    <row r="192" spans="1:20" x14ac:dyDescent="0.25">
      <c r="A192" s="5"/>
      <c r="C192"/>
      <c r="D192"/>
      <c r="P192">
        <f t="shared" si="14"/>
        <v>0</v>
      </c>
      <c r="Q192">
        <f t="shared" si="15"/>
        <v>0</v>
      </c>
      <c r="R192">
        <f t="shared" si="16"/>
        <v>0</v>
      </c>
      <c r="S192">
        <f t="shared" si="17"/>
        <v>0</v>
      </c>
      <c r="T192">
        <f t="shared" si="18"/>
        <v>0</v>
      </c>
    </row>
    <row r="193" spans="1:20" x14ac:dyDescent="0.25">
      <c r="A193" s="5"/>
      <c r="C193"/>
      <c r="D193"/>
      <c r="P193">
        <f t="shared" si="14"/>
        <v>0</v>
      </c>
      <c r="Q193">
        <f t="shared" si="15"/>
        <v>0</v>
      </c>
      <c r="R193">
        <f t="shared" si="16"/>
        <v>0</v>
      </c>
      <c r="S193">
        <f t="shared" si="17"/>
        <v>0</v>
      </c>
      <c r="T193">
        <f t="shared" si="18"/>
        <v>0</v>
      </c>
    </row>
    <row r="194" spans="1:20" x14ac:dyDescent="0.25">
      <c r="A194" s="5"/>
      <c r="C194"/>
      <c r="D194"/>
      <c r="P194">
        <f t="shared" si="14"/>
        <v>0</v>
      </c>
      <c r="Q194">
        <f t="shared" si="15"/>
        <v>0</v>
      </c>
      <c r="R194">
        <f t="shared" si="16"/>
        <v>0</v>
      </c>
      <c r="S194">
        <f t="shared" si="17"/>
        <v>0</v>
      </c>
      <c r="T194">
        <f t="shared" si="18"/>
        <v>0</v>
      </c>
    </row>
    <row r="195" spans="1:20" x14ac:dyDescent="0.25">
      <c r="A195" s="5"/>
      <c r="C195"/>
      <c r="D195"/>
      <c r="P195">
        <f t="shared" si="14"/>
        <v>0</v>
      </c>
      <c r="Q195">
        <f t="shared" si="15"/>
        <v>0</v>
      </c>
      <c r="R195">
        <f t="shared" si="16"/>
        <v>0</v>
      </c>
      <c r="S195">
        <f t="shared" si="17"/>
        <v>0</v>
      </c>
      <c r="T195">
        <f t="shared" si="18"/>
        <v>0</v>
      </c>
    </row>
    <row r="196" spans="1:20" x14ac:dyDescent="0.25">
      <c r="A196" s="5"/>
      <c r="C196"/>
      <c r="D196"/>
      <c r="P196">
        <f t="shared" si="14"/>
        <v>0</v>
      </c>
      <c r="Q196">
        <f t="shared" si="15"/>
        <v>0</v>
      </c>
      <c r="R196">
        <f t="shared" si="16"/>
        <v>0</v>
      </c>
      <c r="S196">
        <f t="shared" si="17"/>
        <v>0</v>
      </c>
      <c r="T196">
        <f t="shared" si="18"/>
        <v>0</v>
      </c>
    </row>
    <row r="197" spans="1:20" x14ac:dyDescent="0.25">
      <c r="A197" s="5"/>
      <c r="C197"/>
      <c r="D197"/>
      <c r="P197">
        <f t="shared" si="14"/>
        <v>0</v>
      </c>
      <c r="Q197">
        <f t="shared" si="15"/>
        <v>0</v>
      </c>
      <c r="R197">
        <f t="shared" si="16"/>
        <v>0</v>
      </c>
      <c r="S197">
        <f t="shared" si="17"/>
        <v>0</v>
      </c>
      <c r="T197">
        <f t="shared" si="18"/>
        <v>0</v>
      </c>
    </row>
    <row r="198" spans="1:20" x14ac:dyDescent="0.25">
      <c r="A198" s="5"/>
      <c r="C198"/>
      <c r="D198"/>
      <c r="P198">
        <f t="shared" ref="P198:P261" si="19">IF(C198=D198,0,((E198-D198)-(C198-E198))/(C198-D198))</f>
        <v>0</v>
      </c>
      <c r="Q198">
        <f t="shared" ref="Q198:Q261" si="20">F198*P198</f>
        <v>0</v>
      </c>
      <c r="R198">
        <f t="shared" ref="R198:R261" si="21">R199+Q198</f>
        <v>0</v>
      </c>
      <c r="S198">
        <f t="shared" ref="S198:S261" si="22">R198/100000</f>
        <v>0</v>
      </c>
      <c r="T198">
        <f t="shared" ref="T198:T261" si="23">S198/1000</f>
        <v>0</v>
      </c>
    </row>
    <row r="199" spans="1:20" x14ac:dyDescent="0.25">
      <c r="A199" s="5"/>
      <c r="C199"/>
      <c r="D199"/>
      <c r="P199">
        <f t="shared" si="19"/>
        <v>0</v>
      </c>
      <c r="Q199">
        <f t="shared" si="20"/>
        <v>0</v>
      </c>
      <c r="R199">
        <f t="shared" si="21"/>
        <v>0</v>
      </c>
      <c r="S199">
        <f t="shared" si="22"/>
        <v>0</v>
      </c>
      <c r="T199">
        <f t="shared" si="23"/>
        <v>0</v>
      </c>
    </row>
    <row r="200" spans="1:20" x14ac:dyDescent="0.25">
      <c r="A200" s="5"/>
      <c r="C200"/>
      <c r="D200"/>
      <c r="P200">
        <f t="shared" si="19"/>
        <v>0</v>
      </c>
      <c r="Q200">
        <f t="shared" si="20"/>
        <v>0</v>
      </c>
      <c r="R200">
        <f t="shared" si="21"/>
        <v>0</v>
      </c>
      <c r="S200">
        <f t="shared" si="22"/>
        <v>0</v>
      </c>
      <c r="T200">
        <f t="shared" si="23"/>
        <v>0</v>
      </c>
    </row>
    <row r="201" spans="1:20" x14ac:dyDescent="0.25">
      <c r="A201" s="5"/>
      <c r="C201"/>
      <c r="D201"/>
      <c r="P201">
        <f t="shared" si="19"/>
        <v>0</v>
      </c>
      <c r="Q201">
        <f t="shared" si="20"/>
        <v>0</v>
      </c>
      <c r="R201">
        <f t="shared" si="21"/>
        <v>0</v>
      </c>
      <c r="S201">
        <f t="shared" si="22"/>
        <v>0</v>
      </c>
      <c r="T201">
        <f t="shared" si="23"/>
        <v>0</v>
      </c>
    </row>
    <row r="202" spans="1:20" x14ac:dyDescent="0.25">
      <c r="A202" s="5"/>
      <c r="C202"/>
      <c r="D202"/>
      <c r="P202">
        <f t="shared" si="19"/>
        <v>0</v>
      </c>
      <c r="Q202">
        <f t="shared" si="20"/>
        <v>0</v>
      </c>
      <c r="R202">
        <f t="shared" si="21"/>
        <v>0</v>
      </c>
      <c r="S202">
        <f t="shared" si="22"/>
        <v>0</v>
      </c>
      <c r="T202">
        <f t="shared" si="23"/>
        <v>0</v>
      </c>
    </row>
    <row r="203" spans="1:20" x14ac:dyDescent="0.25">
      <c r="A203" s="5"/>
      <c r="C203"/>
      <c r="D203"/>
      <c r="P203">
        <f t="shared" si="19"/>
        <v>0</v>
      </c>
      <c r="Q203">
        <f t="shared" si="20"/>
        <v>0</v>
      </c>
      <c r="R203">
        <f t="shared" si="21"/>
        <v>0</v>
      </c>
      <c r="S203">
        <f t="shared" si="22"/>
        <v>0</v>
      </c>
      <c r="T203">
        <f t="shared" si="23"/>
        <v>0</v>
      </c>
    </row>
    <row r="204" spans="1:20" x14ac:dyDescent="0.25">
      <c r="A204" s="5"/>
      <c r="C204"/>
      <c r="D204"/>
      <c r="P204">
        <f t="shared" si="19"/>
        <v>0</v>
      </c>
      <c r="Q204">
        <f t="shared" si="20"/>
        <v>0</v>
      </c>
      <c r="R204">
        <f t="shared" si="21"/>
        <v>0</v>
      </c>
      <c r="S204">
        <f t="shared" si="22"/>
        <v>0</v>
      </c>
      <c r="T204">
        <f t="shared" si="23"/>
        <v>0</v>
      </c>
    </row>
    <row r="205" spans="1:20" x14ac:dyDescent="0.25">
      <c r="A205" s="5"/>
      <c r="C205"/>
      <c r="D205"/>
      <c r="P205">
        <f t="shared" si="19"/>
        <v>0</v>
      </c>
      <c r="Q205">
        <f t="shared" si="20"/>
        <v>0</v>
      </c>
      <c r="R205">
        <f t="shared" si="21"/>
        <v>0</v>
      </c>
      <c r="S205">
        <f t="shared" si="22"/>
        <v>0</v>
      </c>
      <c r="T205">
        <f t="shared" si="23"/>
        <v>0</v>
      </c>
    </row>
    <row r="206" spans="1:20" x14ac:dyDescent="0.25">
      <c r="A206" s="5"/>
      <c r="C206"/>
      <c r="D206"/>
      <c r="P206">
        <f t="shared" si="19"/>
        <v>0</v>
      </c>
      <c r="Q206">
        <f t="shared" si="20"/>
        <v>0</v>
      </c>
      <c r="R206">
        <f t="shared" si="21"/>
        <v>0</v>
      </c>
      <c r="S206">
        <f t="shared" si="22"/>
        <v>0</v>
      </c>
      <c r="T206">
        <f t="shared" si="23"/>
        <v>0</v>
      </c>
    </row>
    <row r="207" spans="1:20" x14ac:dyDescent="0.25">
      <c r="A207" s="5"/>
      <c r="C207"/>
      <c r="D207"/>
      <c r="P207">
        <f t="shared" si="19"/>
        <v>0</v>
      </c>
      <c r="Q207">
        <f t="shared" si="20"/>
        <v>0</v>
      </c>
      <c r="R207">
        <f t="shared" si="21"/>
        <v>0</v>
      </c>
      <c r="S207">
        <f t="shared" si="22"/>
        <v>0</v>
      </c>
      <c r="T207">
        <f t="shared" si="23"/>
        <v>0</v>
      </c>
    </row>
    <row r="208" spans="1:20" x14ac:dyDescent="0.25">
      <c r="A208" s="5"/>
      <c r="C208"/>
      <c r="D208"/>
      <c r="P208">
        <f t="shared" si="19"/>
        <v>0</v>
      </c>
      <c r="Q208">
        <f t="shared" si="20"/>
        <v>0</v>
      </c>
      <c r="R208">
        <f t="shared" si="21"/>
        <v>0</v>
      </c>
      <c r="S208">
        <f t="shared" si="22"/>
        <v>0</v>
      </c>
      <c r="T208">
        <f t="shared" si="23"/>
        <v>0</v>
      </c>
    </row>
    <row r="209" spans="1:20" x14ac:dyDescent="0.25">
      <c r="A209" s="5"/>
      <c r="C209"/>
      <c r="D209"/>
      <c r="P209">
        <f t="shared" si="19"/>
        <v>0</v>
      </c>
      <c r="Q209">
        <f t="shared" si="20"/>
        <v>0</v>
      </c>
      <c r="R209">
        <f t="shared" si="21"/>
        <v>0</v>
      </c>
      <c r="S209">
        <f t="shared" si="22"/>
        <v>0</v>
      </c>
      <c r="T209">
        <f t="shared" si="23"/>
        <v>0</v>
      </c>
    </row>
    <row r="210" spans="1:20" x14ac:dyDescent="0.25">
      <c r="A210" s="5"/>
      <c r="C210"/>
      <c r="D210"/>
      <c r="P210">
        <f t="shared" si="19"/>
        <v>0</v>
      </c>
      <c r="Q210">
        <f t="shared" si="20"/>
        <v>0</v>
      </c>
      <c r="R210">
        <f t="shared" si="21"/>
        <v>0</v>
      </c>
      <c r="S210">
        <f t="shared" si="22"/>
        <v>0</v>
      </c>
      <c r="T210">
        <f t="shared" si="23"/>
        <v>0</v>
      </c>
    </row>
    <row r="211" spans="1:20" x14ac:dyDescent="0.25">
      <c r="A211" s="5"/>
      <c r="C211"/>
      <c r="D211"/>
      <c r="P211">
        <f t="shared" si="19"/>
        <v>0</v>
      </c>
      <c r="Q211">
        <f t="shared" si="20"/>
        <v>0</v>
      </c>
      <c r="R211">
        <f t="shared" si="21"/>
        <v>0</v>
      </c>
      <c r="S211">
        <f t="shared" si="22"/>
        <v>0</v>
      </c>
      <c r="T211">
        <f t="shared" si="23"/>
        <v>0</v>
      </c>
    </row>
    <row r="212" spans="1:20" x14ac:dyDescent="0.25">
      <c r="A212" s="5"/>
      <c r="C212"/>
      <c r="D212"/>
      <c r="P212">
        <f t="shared" si="19"/>
        <v>0</v>
      </c>
      <c r="Q212">
        <f t="shared" si="20"/>
        <v>0</v>
      </c>
      <c r="R212">
        <f t="shared" si="21"/>
        <v>0</v>
      </c>
      <c r="S212">
        <f t="shared" si="22"/>
        <v>0</v>
      </c>
      <c r="T212">
        <f t="shared" si="23"/>
        <v>0</v>
      </c>
    </row>
    <row r="213" spans="1:20" x14ac:dyDescent="0.25">
      <c r="A213" s="5"/>
      <c r="C213"/>
      <c r="D213"/>
      <c r="P213">
        <f t="shared" si="19"/>
        <v>0</v>
      </c>
      <c r="Q213">
        <f t="shared" si="20"/>
        <v>0</v>
      </c>
      <c r="R213">
        <f t="shared" si="21"/>
        <v>0</v>
      </c>
      <c r="S213">
        <f t="shared" si="22"/>
        <v>0</v>
      </c>
      <c r="T213">
        <f t="shared" si="23"/>
        <v>0</v>
      </c>
    </row>
    <row r="214" spans="1:20" x14ac:dyDescent="0.25">
      <c r="A214" s="5"/>
      <c r="C214"/>
      <c r="D214"/>
      <c r="P214">
        <f t="shared" si="19"/>
        <v>0</v>
      </c>
      <c r="Q214">
        <f t="shared" si="20"/>
        <v>0</v>
      </c>
      <c r="R214">
        <f t="shared" si="21"/>
        <v>0</v>
      </c>
      <c r="S214">
        <f t="shared" si="22"/>
        <v>0</v>
      </c>
      <c r="T214">
        <f t="shared" si="23"/>
        <v>0</v>
      </c>
    </row>
    <row r="215" spans="1:20" x14ac:dyDescent="0.25">
      <c r="A215" s="5"/>
      <c r="C215"/>
      <c r="D215"/>
      <c r="P215">
        <f t="shared" si="19"/>
        <v>0</v>
      </c>
      <c r="Q215">
        <f t="shared" si="20"/>
        <v>0</v>
      </c>
      <c r="R215">
        <f t="shared" si="21"/>
        <v>0</v>
      </c>
      <c r="S215">
        <f t="shared" si="22"/>
        <v>0</v>
      </c>
      <c r="T215">
        <f t="shared" si="23"/>
        <v>0</v>
      </c>
    </row>
    <row r="216" spans="1:20" x14ac:dyDescent="0.25">
      <c r="A216" s="5"/>
      <c r="C216"/>
      <c r="D216"/>
      <c r="P216">
        <f t="shared" si="19"/>
        <v>0</v>
      </c>
      <c r="Q216">
        <f t="shared" si="20"/>
        <v>0</v>
      </c>
      <c r="R216">
        <f t="shared" si="21"/>
        <v>0</v>
      </c>
      <c r="S216">
        <f t="shared" si="22"/>
        <v>0</v>
      </c>
      <c r="T216">
        <f t="shared" si="23"/>
        <v>0</v>
      </c>
    </row>
    <row r="217" spans="1:20" x14ac:dyDescent="0.25">
      <c r="A217" s="5"/>
      <c r="C217"/>
      <c r="D217"/>
      <c r="P217">
        <f t="shared" si="19"/>
        <v>0</v>
      </c>
      <c r="Q217">
        <f t="shared" si="20"/>
        <v>0</v>
      </c>
      <c r="R217">
        <f t="shared" si="21"/>
        <v>0</v>
      </c>
      <c r="S217">
        <f t="shared" si="22"/>
        <v>0</v>
      </c>
      <c r="T217">
        <f t="shared" si="23"/>
        <v>0</v>
      </c>
    </row>
    <row r="218" spans="1:20" x14ac:dyDescent="0.25">
      <c r="A218" s="5"/>
      <c r="C218"/>
      <c r="D218"/>
      <c r="P218">
        <f t="shared" si="19"/>
        <v>0</v>
      </c>
      <c r="Q218">
        <f t="shared" si="20"/>
        <v>0</v>
      </c>
      <c r="R218">
        <f t="shared" si="21"/>
        <v>0</v>
      </c>
      <c r="S218">
        <f t="shared" si="22"/>
        <v>0</v>
      </c>
      <c r="T218">
        <f t="shared" si="23"/>
        <v>0</v>
      </c>
    </row>
    <row r="219" spans="1:20" x14ac:dyDescent="0.25">
      <c r="A219" s="5"/>
      <c r="C219"/>
      <c r="D219"/>
      <c r="P219">
        <f t="shared" si="19"/>
        <v>0</v>
      </c>
      <c r="Q219">
        <f t="shared" si="20"/>
        <v>0</v>
      </c>
      <c r="R219">
        <f t="shared" si="21"/>
        <v>0</v>
      </c>
      <c r="S219">
        <f t="shared" si="22"/>
        <v>0</v>
      </c>
      <c r="T219">
        <f t="shared" si="23"/>
        <v>0</v>
      </c>
    </row>
    <row r="220" spans="1:20" x14ac:dyDescent="0.25">
      <c r="A220" s="5"/>
      <c r="C220"/>
      <c r="D220"/>
      <c r="P220">
        <f t="shared" si="19"/>
        <v>0</v>
      </c>
      <c r="Q220">
        <f t="shared" si="20"/>
        <v>0</v>
      </c>
      <c r="R220">
        <f t="shared" si="21"/>
        <v>0</v>
      </c>
      <c r="S220">
        <f t="shared" si="22"/>
        <v>0</v>
      </c>
      <c r="T220">
        <f t="shared" si="23"/>
        <v>0</v>
      </c>
    </row>
    <row r="221" spans="1:20" x14ac:dyDescent="0.25">
      <c r="A221" s="5"/>
      <c r="C221"/>
      <c r="D221"/>
      <c r="P221">
        <f t="shared" si="19"/>
        <v>0</v>
      </c>
      <c r="Q221">
        <f t="shared" si="20"/>
        <v>0</v>
      </c>
      <c r="R221">
        <f t="shared" si="21"/>
        <v>0</v>
      </c>
      <c r="S221">
        <f t="shared" si="22"/>
        <v>0</v>
      </c>
      <c r="T221">
        <f t="shared" si="23"/>
        <v>0</v>
      </c>
    </row>
    <row r="222" spans="1:20" x14ac:dyDescent="0.25">
      <c r="A222" s="5"/>
      <c r="C222"/>
      <c r="D222"/>
      <c r="P222">
        <f t="shared" si="19"/>
        <v>0</v>
      </c>
      <c r="Q222">
        <f t="shared" si="20"/>
        <v>0</v>
      </c>
      <c r="R222">
        <f t="shared" si="21"/>
        <v>0</v>
      </c>
      <c r="S222">
        <f t="shared" si="22"/>
        <v>0</v>
      </c>
      <c r="T222">
        <f t="shared" si="23"/>
        <v>0</v>
      </c>
    </row>
    <row r="223" spans="1:20" x14ac:dyDescent="0.25">
      <c r="A223" s="5"/>
      <c r="C223"/>
      <c r="D223"/>
      <c r="P223">
        <f t="shared" si="19"/>
        <v>0</v>
      </c>
      <c r="Q223">
        <f t="shared" si="20"/>
        <v>0</v>
      </c>
      <c r="R223">
        <f t="shared" si="21"/>
        <v>0</v>
      </c>
      <c r="S223">
        <f t="shared" si="22"/>
        <v>0</v>
      </c>
      <c r="T223">
        <f t="shared" si="23"/>
        <v>0</v>
      </c>
    </row>
    <row r="224" spans="1:20" x14ac:dyDescent="0.25">
      <c r="A224" s="5"/>
      <c r="C224"/>
      <c r="D224"/>
      <c r="P224">
        <f t="shared" si="19"/>
        <v>0</v>
      </c>
      <c r="Q224">
        <f t="shared" si="20"/>
        <v>0</v>
      </c>
      <c r="R224">
        <f t="shared" si="21"/>
        <v>0</v>
      </c>
      <c r="S224">
        <f t="shared" si="22"/>
        <v>0</v>
      </c>
      <c r="T224">
        <f t="shared" si="23"/>
        <v>0</v>
      </c>
    </row>
    <row r="225" spans="1:20" x14ac:dyDescent="0.25">
      <c r="A225" s="5"/>
      <c r="C225"/>
      <c r="D225"/>
      <c r="P225">
        <f t="shared" si="19"/>
        <v>0</v>
      </c>
      <c r="Q225">
        <f t="shared" si="20"/>
        <v>0</v>
      </c>
      <c r="R225">
        <f t="shared" si="21"/>
        <v>0</v>
      </c>
      <c r="S225">
        <f t="shared" si="22"/>
        <v>0</v>
      </c>
      <c r="T225">
        <f t="shared" si="23"/>
        <v>0</v>
      </c>
    </row>
    <row r="226" spans="1:20" x14ac:dyDescent="0.25">
      <c r="A226" s="5"/>
      <c r="C226"/>
      <c r="D226"/>
      <c r="P226">
        <f t="shared" si="19"/>
        <v>0</v>
      </c>
      <c r="Q226">
        <f t="shared" si="20"/>
        <v>0</v>
      </c>
      <c r="R226">
        <f t="shared" si="21"/>
        <v>0</v>
      </c>
      <c r="S226">
        <f t="shared" si="22"/>
        <v>0</v>
      </c>
      <c r="T226">
        <f t="shared" si="23"/>
        <v>0</v>
      </c>
    </row>
    <row r="227" spans="1:20" x14ac:dyDescent="0.25">
      <c r="A227" s="5"/>
      <c r="C227"/>
      <c r="D227"/>
      <c r="P227">
        <f t="shared" si="19"/>
        <v>0</v>
      </c>
      <c r="Q227">
        <f t="shared" si="20"/>
        <v>0</v>
      </c>
      <c r="R227">
        <f t="shared" si="21"/>
        <v>0</v>
      </c>
      <c r="S227">
        <f t="shared" si="22"/>
        <v>0</v>
      </c>
      <c r="T227">
        <f t="shared" si="23"/>
        <v>0</v>
      </c>
    </row>
    <row r="228" spans="1:20" x14ac:dyDescent="0.25">
      <c r="A228" s="5"/>
      <c r="C228"/>
      <c r="D228"/>
      <c r="P228">
        <f t="shared" si="19"/>
        <v>0</v>
      </c>
      <c r="Q228">
        <f t="shared" si="20"/>
        <v>0</v>
      </c>
      <c r="R228">
        <f t="shared" si="21"/>
        <v>0</v>
      </c>
      <c r="S228">
        <f t="shared" si="22"/>
        <v>0</v>
      </c>
      <c r="T228">
        <f t="shared" si="23"/>
        <v>0</v>
      </c>
    </row>
    <row r="229" spans="1:20" x14ac:dyDescent="0.25">
      <c r="A229" s="5"/>
      <c r="C229"/>
      <c r="D229"/>
      <c r="P229">
        <f t="shared" si="19"/>
        <v>0</v>
      </c>
      <c r="Q229">
        <f t="shared" si="20"/>
        <v>0</v>
      </c>
      <c r="R229">
        <f t="shared" si="21"/>
        <v>0</v>
      </c>
      <c r="S229">
        <f t="shared" si="22"/>
        <v>0</v>
      </c>
      <c r="T229">
        <f t="shared" si="23"/>
        <v>0</v>
      </c>
    </row>
    <row r="230" spans="1:20" x14ac:dyDescent="0.25">
      <c r="A230" s="5"/>
      <c r="C230"/>
      <c r="D230"/>
      <c r="P230">
        <f t="shared" si="19"/>
        <v>0</v>
      </c>
      <c r="Q230">
        <f t="shared" si="20"/>
        <v>0</v>
      </c>
      <c r="R230">
        <f t="shared" si="21"/>
        <v>0</v>
      </c>
      <c r="S230">
        <f t="shared" si="22"/>
        <v>0</v>
      </c>
      <c r="T230">
        <f t="shared" si="23"/>
        <v>0</v>
      </c>
    </row>
    <row r="231" spans="1:20" x14ac:dyDescent="0.25">
      <c r="A231" s="5"/>
      <c r="C231"/>
      <c r="D231"/>
      <c r="P231">
        <f t="shared" si="19"/>
        <v>0</v>
      </c>
      <c r="Q231">
        <f t="shared" si="20"/>
        <v>0</v>
      </c>
      <c r="R231">
        <f t="shared" si="21"/>
        <v>0</v>
      </c>
      <c r="S231">
        <f t="shared" si="22"/>
        <v>0</v>
      </c>
      <c r="T231">
        <f t="shared" si="23"/>
        <v>0</v>
      </c>
    </row>
    <row r="232" spans="1:20" x14ac:dyDescent="0.25">
      <c r="A232" s="5"/>
      <c r="C232"/>
      <c r="D232"/>
      <c r="P232">
        <f t="shared" si="19"/>
        <v>0</v>
      </c>
      <c r="Q232">
        <f t="shared" si="20"/>
        <v>0</v>
      </c>
      <c r="R232">
        <f t="shared" si="21"/>
        <v>0</v>
      </c>
      <c r="S232">
        <f t="shared" si="22"/>
        <v>0</v>
      </c>
      <c r="T232">
        <f t="shared" si="23"/>
        <v>0</v>
      </c>
    </row>
    <row r="233" spans="1:20" x14ac:dyDescent="0.25">
      <c r="A233" s="5"/>
      <c r="C233"/>
      <c r="D233"/>
      <c r="P233">
        <f t="shared" si="19"/>
        <v>0</v>
      </c>
      <c r="Q233">
        <f t="shared" si="20"/>
        <v>0</v>
      </c>
      <c r="R233">
        <f t="shared" si="21"/>
        <v>0</v>
      </c>
      <c r="S233">
        <f t="shared" si="22"/>
        <v>0</v>
      </c>
      <c r="T233">
        <f t="shared" si="23"/>
        <v>0</v>
      </c>
    </row>
    <row r="234" spans="1:20" x14ac:dyDescent="0.25">
      <c r="A234" s="5"/>
      <c r="C234"/>
      <c r="D234"/>
      <c r="P234">
        <f t="shared" si="19"/>
        <v>0</v>
      </c>
      <c r="Q234">
        <f t="shared" si="20"/>
        <v>0</v>
      </c>
      <c r="R234">
        <f t="shared" si="21"/>
        <v>0</v>
      </c>
      <c r="S234">
        <f t="shared" si="22"/>
        <v>0</v>
      </c>
      <c r="T234">
        <f t="shared" si="23"/>
        <v>0</v>
      </c>
    </row>
    <row r="235" spans="1:20" x14ac:dyDescent="0.25">
      <c r="A235" s="5"/>
      <c r="C235"/>
      <c r="D235"/>
      <c r="P235">
        <f t="shared" si="19"/>
        <v>0</v>
      </c>
      <c r="Q235">
        <f t="shared" si="20"/>
        <v>0</v>
      </c>
      <c r="R235">
        <f t="shared" si="21"/>
        <v>0</v>
      </c>
      <c r="S235">
        <f t="shared" si="22"/>
        <v>0</v>
      </c>
      <c r="T235">
        <f t="shared" si="23"/>
        <v>0</v>
      </c>
    </row>
    <row r="236" spans="1:20" x14ac:dyDescent="0.25">
      <c r="A236" s="5"/>
      <c r="C236"/>
      <c r="D236"/>
      <c r="P236">
        <f t="shared" si="19"/>
        <v>0</v>
      </c>
      <c r="Q236">
        <f t="shared" si="20"/>
        <v>0</v>
      </c>
      <c r="R236">
        <f t="shared" si="21"/>
        <v>0</v>
      </c>
      <c r="S236">
        <f t="shared" si="22"/>
        <v>0</v>
      </c>
      <c r="T236">
        <f t="shared" si="23"/>
        <v>0</v>
      </c>
    </row>
    <row r="237" spans="1:20" x14ac:dyDescent="0.25">
      <c r="A237" s="5"/>
      <c r="C237"/>
      <c r="D237"/>
      <c r="P237">
        <f t="shared" si="19"/>
        <v>0</v>
      </c>
      <c r="Q237">
        <f t="shared" si="20"/>
        <v>0</v>
      </c>
      <c r="R237">
        <f t="shared" si="21"/>
        <v>0</v>
      </c>
      <c r="S237">
        <f t="shared" si="22"/>
        <v>0</v>
      </c>
      <c r="T237">
        <f t="shared" si="23"/>
        <v>0</v>
      </c>
    </row>
    <row r="238" spans="1:20" x14ac:dyDescent="0.25">
      <c r="A238" s="5"/>
      <c r="C238"/>
      <c r="D238"/>
      <c r="P238">
        <f t="shared" si="19"/>
        <v>0</v>
      </c>
      <c r="Q238">
        <f t="shared" si="20"/>
        <v>0</v>
      </c>
      <c r="R238">
        <f t="shared" si="21"/>
        <v>0</v>
      </c>
      <c r="S238">
        <f t="shared" si="22"/>
        <v>0</v>
      </c>
      <c r="T238">
        <f t="shared" si="23"/>
        <v>0</v>
      </c>
    </row>
    <row r="239" spans="1:20" x14ac:dyDescent="0.25">
      <c r="A239" s="5"/>
      <c r="C239"/>
      <c r="D239"/>
      <c r="P239">
        <f t="shared" si="19"/>
        <v>0</v>
      </c>
      <c r="Q239">
        <f t="shared" si="20"/>
        <v>0</v>
      </c>
      <c r="R239">
        <f t="shared" si="21"/>
        <v>0</v>
      </c>
      <c r="S239">
        <f t="shared" si="22"/>
        <v>0</v>
      </c>
      <c r="T239">
        <f t="shared" si="23"/>
        <v>0</v>
      </c>
    </row>
    <row r="240" spans="1:20" x14ac:dyDescent="0.25">
      <c r="A240" s="5"/>
      <c r="C240"/>
      <c r="D240"/>
      <c r="P240">
        <f t="shared" si="19"/>
        <v>0</v>
      </c>
      <c r="Q240">
        <f t="shared" si="20"/>
        <v>0</v>
      </c>
      <c r="R240">
        <f t="shared" si="21"/>
        <v>0</v>
      </c>
      <c r="S240">
        <f t="shared" si="22"/>
        <v>0</v>
      </c>
      <c r="T240">
        <f t="shared" si="23"/>
        <v>0</v>
      </c>
    </row>
    <row r="241" spans="1:20" x14ac:dyDescent="0.25">
      <c r="A241" s="5"/>
      <c r="C241"/>
      <c r="D241"/>
      <c r="P241">
        <f t="shared" si="19"/>
        <v>0</v>
      </c>
      <c r="Q241">
        <f t="shared" si="20"/>
        <v>0</v>
      </c>
      <c r="R241">
        <f t="shared" si="21"/>
        <v>0</v>
      </c>
      <c r="S241">
        <f t="shared" si="22"/>
        <v>0</v>
      </c>
      <c r="T241">
        <f t="shared" si="23"/>
        <v>0</v>
      </c>
    </row>
    <row r="242" spans="1:20" x14ac:dyDescent="0.25">
      <c r="A242" s="5"/>
      <c r="C242"/>
      <c r="D242"/>
      <c r="P242">
        <f t="shared" si="19"/>
        <v>0</v>
      </c>
      <c r="Q242">
        <f t="shared" si="20"/>
        <v>0</v>
      </c>
      <c r="R242">
        <f t="shared" si="21"/>
        <v>0</v>
      </c>
      <c r="S242">
        <f t="shared" si="22"/>
        <v>0</v>
      </c>
      <c r="T242">
        <f t="shared" si="23"/>
        <v>0</v>
      </c>
    </row>
    <row r="243" spans="1:20" x14ac:dyDescent="0.25">
      <c r="A243" s="5"/>
      <c r="C243"/>
      <c r="D243"/>
      <c r="P243">
        <f t="shared" si="19"/>
        <v>0</v>
      </c>
      <c r="Q243">
        <f t="shared" si="20"/>
        <v>0</v>
      </c>
      <c r="R243">
        <f t="shared" si="21"/>
        <v>0</v>
      </c>
      <c r="S243">
        <f t="shared" si="22"/>
        <v>0</v>
      </c>
      <c r="T243">
        <f t="shared" si="23"/>
        <v>0</v>
      </c>
    </row>
    <row r="244" spans="1:20" x14ac:dyDescent="0.25">
      <c r="A244" s="5"/>
      <c r="C244"/>
      <c r="D244"/>
      <c r="P244">
        <f t="shared" si="19"/>
        <v>0</v>
      </c>
      <c r="Q244">
        <f t="shared" si="20"/>
        <v>0</v>
      </c>
      <c r="R244">
        <f t="shared" si="21"/>
        <v>0</v>
      </c>
      <c r="S244">
        <f t="shared" si="22"/>
        <v>0</v>
      </c>
      <c r="T244">
        <f t="shared" si="23"/>
        <v>0</v>
      </c>
    </row>
    <row r="245" spans="1:20" x14ac:dyDescent="0.25">
      <c r="A245" s="5"/>
      <c r="C245"/>
      <c r="D245"/>
      <c r="P245">
        <f t="shared" si="19"/>
        <v>0</v>
      </c>
      <c r="Q245">
        <f t="shared" si="20"/>
        <v>0</v>
      </c>
      <c r="R245">
        <f t="shared" si="21"/>
        <v>0</v>
      </c>
      <c r="S245">
        <f t="shared" si="22"/>
        <v>0</v>
      </c>
      <c r="T245">
        <f t="shared" si="23"/>
        <v>0</v>
      </c>
    </row>
    <row r="246" spans="1:20" x14ac:dyDescent="0.25">
      <c r="A246" s="5"/>
      <c r="C246"/>
      <c r="D246"/>
      <c r="P246">
        <f t="shared" si="19"/>
        <v>0</v>
      </c>
      <c r="Q246">
        <f t="shared" si="20"/>
        <v>0</v>
      </c>
      <c r="R246">
        <f t="shared" si="21"/>
        <v>0</v>
      </c>
      <c r="S246">
        <f t="shared" si="22"/>
        <v>0</v>
      </c>
      <c r="T246">
        <f t="shared" si="23"/>
        <v>0</v>
      </c>
    </row>
    <row r="247" spans="1:20" x14ac:dyDescent="0.25">
      <c r="A247" s="5"/>
      <c r="C247"/>
      <c r="D247"/>
      <c r="P247">
        <f t="shared" si="19"/>
        <v>0</v>
      </c>
      <c r="Q247">
        <f t="shared" si="20"/>
        <v>0</v>
      </c>
      <c r="R247">
        <f t="shared" si="21"/>
        <v>0</v>
      </c>
      <c r="S247">
        <f t="shared" si="22"/>
        <v>0</v>
      </c>
      <c r="T247">
        <f t="shared" si="23"/>
        <v>0</v>
      </c>
    </row>
    <row r="248" spans="1:20" x14ac:dyDescent="0.25">
      <c r="A248" s="5"/>
      <c r="C248"/>
      <c r="D248"/>
      <c r="P248">
        <f t="shared" si="19"/>
        <v>0</v>
      </c>
      <c r="Q248">
        <f t="shared" si="20"/>
        <v>0</v>
      </c>
      <c r="R248">
        <f t="shared" si="21"/>
        <v>0</v>
      </c>
      <c r="S248">
        <f t="shared" si="22"/>
        <v>0</v>
      </c>
      <c r="T248">
        <f t="shared" si="23"/>
        <v>0</v>
      </c>
    </row>
    <row r="249" spans="1:20" x14ac:dyDescent="0.25">
      <c r="A249" s="5"/>
      <c r="C249"/>
      <c r="D249"/>
      <c r="P249">
        <f t="shared" si="19"/>
        <v>0</v>
      </c>
      <c r="Q249">
        <f t="shared" si="20"/>
        <v>0</v>
      </c>
      <c r="R249">
        <f t="shared" si="21"/>
        <v>0</v>
      </c>
      <c r="S249">
        <f t="shared" si="22"/>
        <v>0</v>
      </c>
      <c r="T249">
        <f t="shared" si="23"/>
        <v>0</v>
      </c>
    </row>
    <row r="250" spans="1:20" x14ac:dyDescent="0.25">
      <c r="A250" s="5"/>
      <c r="C250"/>
      <c r="D250"/>
      <c r="P250">
        <f t="shared" si="19"/>
        <v>0</v>
      </c>
      <c r="Q250">
        <f t="shared" si="20"/>
        <v>0</v>
      </c>
      <c r="R250">
        <f t="shared" si="21"/>
        <v>0</v>
      </c>
      <c r="S250">
        <f t="shared" si="22"/>
        <v>0</v>
      </c>
      <c r="T250">
        <f t="shared" si="23"/>
        <v>0</v>
      </c>
    </row>
    <row r="251" spans="1:20" x14ac:dyDescent="0.25">
      <c r="A251" s="5"/>
      <c r="C251"/>
      <c r="D251"/>
      <c r="P251">
        <f t="shared" si="19"/>
        <v>0</v>
      </c>
      <c r="Q251">
        <f t="shared" si="20"/>
        <v>0</v>
      </c>
      <c r="R251">
        <f t="shared" si="21"/>
        <v>0</v>
      </c>
      <c r="S251">
        <f t="shared" si="22"/>
        <v>0</v>
      </c>
      <c r="T251">
        <f t="shared" si="23"/>
        <v>0</v>
      </c>
    </row>
    <row r="252" spans="1:20" x14ac:dyDescent="0.25">
      <c r="A252" s="5"/>
      <c r="C252"/>
      <c r="D252"/>
      <c r="P252">
        <f t="shared" si="19"/>
        <v>0</v>
      </c>
      <c r="Q252">
        <f t="shared" si="20"/>
        <v>0</v>
      </c>
      <c r="R252">
        <f t="shared" si="21"/>
        <v>0</v>
      </c>
      <c r="S252">
        <f t="shared" si="22"/>
        <v>0</v>
      </c>
      <c r="T252">
        <f t="shared" si="23"/>
        <v>0</v>
      </c>
    </row>
    <row r="253" spans="1:20" x14ac:dyDescent="0.25">
      <c r="A253" s="5"/>
      <c r="C253"/>
      <c r="D253"/>
      <c r="P253">
        <f t="shared" si="19"/>
        <v>0</v>
      </c>
      <c r="Q253">
        <f t="shared" si="20"/>
        <v>0</v>
      </c>
      <c r="R253">
        <f t="shared" si="21"/>
        <v>0</v>
      </c>
      <c r="S253">
        <f t="shared" si="22"/>
        <v>0</v>
      </c>
      <c r="T253">
        <f t="shared" si="23"/>
        <v>0</v>
      </c>
    </row>
    <row r="254" spans="1:20" x14ac:dyDescent="0.25">
      <c r="A254" s="5"/>
      <c r="C254"/>
      <c r="D254"/>
      <c r="P254">
        <f t="shared" si="19"/>
        <v>0</v>
      </c>
      <c r="Q254">
        <f t="shared" si="20"/>
        <v>0</v>
      </c>
      <c r="R254">
        <f t="shared" si="21"/>
        <v>0</v>
      </c>
      <c r="S254">
        <f t="shared" si="22"/>
        <v>0</v>
      </c>
      <c r="T254">
        <f t="shared" si="23"/>
        <v>0</v>
      </c>
    </row>
    <row r="255" spans="1:20" x14ac:dyDescent="0.25">
      <c r="A255" s="5"/>
      <c r="C255"/>
      <c r="D255"/>
      <c r="P255">
        <f t="shared" si="19"/>
        <v>0</v>
      </c>
      <c r="Q255">
        <f t="shared" si="20"/>
        <v>0</v>
      </c>
      <c r="R255">
        <f t="shared" si="21"/>
        <v>0</v>
      </c>
      <c r="S255">
        <f t="shared" si="22"/>
        <v>0</v>
      </c>
      <c r="T255">
        <f t="shared" si="23"/>
        <v>0</v>
      </c>
    </row>
    <row r="256" spans="1:20" x14ac:dyDescent="0.25">
      <c r="A256" s="5"/>
      <c r="C256"/>
      <c r="D256"/>
      <c r="P256">
        <f t="shared" si="19"/>
        <v>0</v>
      </c>
      <c r="Q256">
        <f t="shared" si="20"/>
        <v>0</v>
      </c>
      <c r="R256">
        <f t="shared" si="21"/>
        <v>0</v>
      </c>
      <c r="S256">
        <f t="shared" si="22"/>
        <v>0</v>
      </c>
      <c r="T256">
        <f t="shared" si="23"/>
        <v>0</v>
      </c>
    </row>
    <row r="257" spans="1:20" x14ac:dyDescent="0.25">
      <c r="A257" s="5"/>
      <c r="C257"/>
      <c r="D257"/>
      <c r="P257">
        <f t="shared" si="19"/>
        <v>0</v>
      </c>
      <c r="Q257">
        <f t="shared" si="20"/>
        <v>0</v>
      </c>
      <c r="R257">
        <f t="shared" si="21"/>
        <v>0</v>
      </c>
      <c r="S257">
        <f t="shared" si="22"/>
        <v>0</v>
      </c>
      <c r="T257">
        <f t="shared" si="23"/>
        <v>0</v>
      </c>
    </row>
    <row r="258" spans="1:20" x14ac:dyDescent="0.25">
      <c r="A258" s="5"/>
      <c r="C258"/>
      <c r="D258"/>
      <c r="P258">
        <f t="shared" si="19"/>
        <v>0</v>
      </c>
      <c r="Q258">
        <f t="shared" si="20"/>
        <v>0</v>
      </c>
      <c r="R258">
        <f t="shared" si="21"/>
        <v>0</v>
      </c>
      <c r="S258">
        <f t="shared" si="22"/>
        <v>0</v>
      </c>
      <c r="T258">
        <f t="shared" si="23"/>
        <v>0</v>
      </c>
    </row>
    <row r="259" spans="1:20" x14ac:dyDescent="0.25">
      <c r="A259" s="5"/>
      <c r="C259"/>
      <c r="D259"/>
      <c r="P259">
        <f t="shared" si="19"/>
        <v>0</v>
      </c>
      <c r="Q259">
        <f t="shared" si="20"/>
        <v>0</v>
      </c>
      <c r="R259">
        <f t="shared" si="21"/>
        <v>0</v>
      </c>
      <c r="S259">
        <f t="shared" si="22"/>
        <v>0</v>
      </c>
      <c r="T259">
        <f t="shared" si="23"/>
        <v>0</v>
      </c>
    </row>
    <row r="260" spans="1:20" x14ac:dyDescent="0.25">
      <c r="A260" s="5"/>
      <c r="C260"/>
      <c r="D260"/>
      <c r="P260">
        <f t="shared" si="19"/>
        <v>0</v>
      </c>
      <c r="Q260">
        <f t="shared" si="20"/>
        <v>0</v>
      </c>
      <c r="R260">
        <f t="shared" si="21"/>
        <v>0</v>
      </c>
      <c r="S260">
        <f t="shared" si="22"/>
        <v>0</v>
      </c>
      <c r="T260">
        <f t="shared" si="23"/>
        <v>0</v>
      </c>
    </row>
    <row r="261" spans="1:20" x14ac:dyDescent="0.25">
      <c r="A261" s="5"/>
      <c r="C261"/>
      <c r="D261"/>
      <c r="P261">
        <f t="shared" si="19"/>
        <v>0</v>
      </c>
      <c r="Q261">
        <f t="shared" si="20"/>
        <v>0</v>
      </c>
      <c r="R261">
        <f t="shared" si="21"/>
        <v>0</v>
      </c>
      <c r="S261">
        <f t="shared" si="22"/>
        <v>0</v>
      </c>
      <c r="T261">
        <f t="shared" si="23"/>
        <v>0</v>
      </c>
    </row>
    <row r="262" spans="1:20" x14ac:dyDescent="0.25">
      <c r="A262" s="5"/>
      <c r="C262"/>
      <c r="D262"/>
      <c r="P262">
        <f t="shared" ref="P262:P325" si="24">IF(C262=D262,0,((E262-D262)-(C262-E262))/(C262-D262))</f>
        <v>0</v>
      </c>
      <c r="Q262">
        <f t="shared" ref="Q262:Q325" si="25">F262*P262</f>
        <v>0</v>
      </c>
      <c r="R262">
        <f t="shared" ref="R262:R325" si="26">R263+Q262</f>
        <v>0</v>
      </c>
      <c r="S262">
        <f t="shared" ref="S262:S325" si="27">R262/100000</f>
        <v>0</v>
      </c>
      <c r="T262">
        <f t="shared" ref="T262:T325" si="28">S262/1000</f>
        <v>0</v>
      </c>
    </row>
    <row r="263" spans="1:20" x14ac:dyDescent="0.25">
      <c r="A263" s="5"/>
      <c r="C263"/>
      <c r="D263"/>
      <c r="P263">
        <f t="shared" si="24"/>
        <v>0</v>
      </c>
      <c r="Q263">
        <f t="shared" si="25"/>
        <v>0</v>
      </c>
      <c r="R263">
        <f t="shared" si="26"/>
        <v>0</v>
      </c>
      <c r="S263">
        <f t="shared" si="27"/>
        <v>0</v>
      </c>
      <c r="T263">
        <f t="shared" si="28"/>
        <v>0</v>
      </c>
    </row>
    <row r="264" spans="1:20" x14ac:dyDescent="0.25">
      <c r="A264" s="5"/>
      <c r="C264"/>
      <c r="D264"/>
      <c r="P264">
        <f t="shared" si="24"/>
        <v>0</v>
      </c>
      <c r="Q264">
        <f t="shared" si="25"/>
        <v>0</v>
      </c>
      <c r="R264">
        <f t="shared" si="26"/>
        <v>0</v>
      </c>
      <c r="S264">
        <f t="shared" si="27"/>
        <v>0</v>
      </c>
      <c r="T264">
        <f t="shared" si="28"/>
        <v>0</v>
      </c>
    </row>
    <row r="265" spans="1:20" x14ac:dyDescent="0.25">
      <c r="A265" s="5"/>
      <c r="C265"/>
      <c r="D265"/>
      <c r="P265">
        <f t="shared" si="24"/>
        <v>0</v>
      </c>
      <c r="Q265">
        <f t="shared" si="25"/>
        <v>0</v>
      </c>
      <c r="R265">
        <f t="shared" si="26"/>
        <v>0</v>
      </c>
      <c r="S265">
        <f t="shared" si="27"/>
        <v>0</v>
      </c>
      <c r="T265">
        <f t="shared" si="28"/>
        <v>0</v>
      </c>
    </row>
    <row r="266" spans="1:20" x14ac:dyDescent="0.25">
      <c r="A266" s="5"/>
      <c r="C266"/>
      <c r="D266"/>
      <c r="P266">
        <f t="shared" si="24"/>
        <v>0</v>
      </c>
      <c r="Q266">
        <f t="shared" si="25"/>
        <v>0</v>
      </c>
      <c r="R266">
        <f t="shared" si="26"/>
        <v>0</v>
      </c>
      <c r="S266">
        <f t="shared" si="27"/>
        <v>0</v>
      </c>
      <c r="T266">
        <f t="shared" si="28"/>
        <v>0</v>
      </c>
    </row>
    <row r="267" spans="1:20" x14ac:dyDescent="0.25">
      <c r="A267" s="5"/>
      <c r="C267"/>
      <c r="D267"/>
      <c r="P267">
        <f t="shared" si="24"/>
        <v>0</v>
      </c>
      <c r="Q267">
        <f t="shared" si="25"/>
        <v>0</v>
      </c>
      <c r="R267">
        <f t="shared" si="26"/>
        <v>0</v>
      </c>
      <c r="S267">
        <f t="shared" si="27"/>
        <v>0</v>
      </c>
      <c r="T267">
        <f t="shared" si="28"/>
        <v>0</v>
      </c>
    </row>
    <row r="268" spans="1:20" x14ac:dyDescent="0.25">
      <c r="A268" s="5"/>
      <c r="C268"/>
      <c r="D268"/>
      <c r="P268">
        <f t="shared" si="24"/>
        <v>0</v>
      </c>
      <c r="Q268">
        <f t="shared" si="25"/>
        <v>0</v>
      </c>
      <c r="R268">
        <f t="shared" si="26"/>
        <v>0</v>
      </c>
      <c r="S268">
        <f t="shared" si="27"/>
        <v>0</v>
      </c>
      <c r="T268">
        <f t="shared" si="28"/>
        <v>0</v>
      </c>
    </row>
    <row r="269" spans="1:20" x14ac:dyDescent="0.25">
      <c r="A269" s="5"/>
      <c r="C269"/>
      <c r="D269"/>
      <c r="P269">
        <f t="shared" si="24"/>
        <v>0</v>
      </c>
      <c r="Q269">
        <f t="shared" si="25"/>
        <v>0</v>
      </c>
      <c r="R269">
        <f t="shared" si="26"/>
        <v>0</v>
      </c>
      <c r="S269">
        <f t="shared" si="27"/>
        <v>0</v>
      </c>
      <c r="T269">
        <f t="shared" si="28"/>
        <v>0</v>
      </c>
    </row>
    <row r="270" spans="1:20" x14ac:dyDescent="0.25">
      <c r="A270" s="5"/>
      <c r="C270"/>
      <c r="D270"/>
      <c r="P270">
        <f t="shared" si="24"/>
        <v>0</v>
      </c>
      <c r="Q270">
        <f t="shared" si="25"/>
        <v>0</v>
      </c>
      <c r="R270">
        <f t="shared" si="26"/>
        <v>0</v>
      </c>
      <c r="S270">
        <f t="shared" si="27"/>
        <v>0</v>
      </c>
      <c r="T270">
        <f t="shared" si="28"/>
        <v>0</v>
      </c>
    </row>
    <row r="271" spans="1:20" x14ac:dyDescent="0.25">
      <c r="A271" s="5"/>
      <c r="C271"/>
      <c r="D271"/>
      <c r="P271">
        <f t="shared" si="24"/>
        <v>0</v>
      </c>
      <c r="Q271">
        <f t="shared" si="25"/>
        <v>0</v>
      </c>
      <c r="R271">
        <f t="shared" si="26"/>
        <v>0</v>
      </c>
      <c r="S271">
        <f t="shared" si="27"/>
        <v>0</v>
      </c>
      <c r="T271">
        <f t="shared" si="28"/>
        <v>0</v>
      </c>
    </row>
    <row r="272" spans="1:20" x14ac:dyDescent="0.25">
      <c r="A272" s="5"/>
      <c r="C272"/>
      <c r="D272"/>
      <c r="P272">
        <f t="shared" si="24"/>
        <v>0</v>
      </c>
      <c r="Q272">
        <f t="shared" si="25"/>
        <v>0</v>
      </c>
      <c r="R272">
        <f t="shared" si="26"/>
        <v>0</v>
      </c>
      <c r="S272">
        <f t="shared" si="27"/>
        <v>0</v>
      </c>
      <c r="T272">
        <f t="shared" si="28"/>
        <v>0</v>
      </c>
    </row>
    <row r="273" spans="1:20" x14ac:dyDescent="0.25">
      <c r="A273" s="5"/>
      <c r="C273"/>
      <c r="D273"/>
      <c r="P273">
        <f t="shared" si="24"/>
        <v>0</v>
      </c>
      <c r="Q273">
        <f t="shared" si="25"/>
        <v>0</v>
      </c>
      <c r="R273">
        <f t="shared" si="26"/>
        <v>0</v>
      </c>
      <c r="S273">
        <f t="shared" si="27"/>
        <v>0</v>
      </c>
      <c r="T273">
        <f t="shared" si="28"/>
        <v>0</v>
      </c>
    </row>
    <row r="274" spans="1:20" x14ac:dyDescent="0.25">
      <c r="A274" s="5"/>
      <c r="C274"/>
      <c r="D274"/>
      <c r="P274">
        <f t="shared" si="24"/>
        <v>0</v>
      </c>
      <c r="Q274">
        <f t="shared" si="25"/>
        <v>0</v>
      </c>
      <c r="R274">
        <f t="shared" si="26"/>
        <v>0</v>
      </c>
      <c r="S274">
        <f t="shared" si="27"/>
        <v>0</v>
      </c>
      <c r="T274">
        <f t="shared" si="28"/>
        <v>0</v>
      </c>
    </row>
    <row r="275" spans="1:20" x14ac:dyDescent="0.25">
      <c r="A275" s="5"/>
      <c r="C275"/>
      <c r="D275"/>
      <c r="P275">
        <f t="shared" si="24"/>
        <v>0</v>
      </c>
      <c r="Q275">
        <f t="shared" si="25"/>
        <v>0</v>
      </c>
      <c r="R275">
        <f t="shared" si="26"/>
        <v>0</v>
      </c>
      <c r="S275">
        <f t="shared" si="27"/>
        <v>0</v>
      </c>
      <c r="T275">
        <f t="shared" si="28"/>
        <v>0</v>
      </c>
    </row>
    <row r="276" spans="1:20" x14ac:dyDescent="0.25">
      <c r="A276" s="5"/>
      <c r="C276"/>
      <c r="D276"/>
      <c r="P276">
        <f t="shared" si="24"/>
        <v>0</v>
      </c>
      <c r="Q276">
        <f t="shared" si="25"/>
        <v>0</v>
      </c>
      <c r="R276">
        <f t="shared" si="26"/>
        <v>0</v>
      </c>
      <c r="S276">
        <f t="shared" si="27"/>
        <v>0</v>
      </c>
      <c r="T276">
        <f t="shared" si="28"/>
        <v>0</v>
      </c>
    </row>
    <row r="277" spans="1:20" x14ac:dyDescent="0.25">
      <c r="A277" s="5"/>
      <c r="C277"/>
      <c r="D277"/>
      <c r="P277">
        <f t="shared" si="24"/>
        <v>0</v>
      </c>
      <c r="Q277">
        <f t="shared" si="25"/>
        <v>0</v>
      </c>
      <c r="R277">
        <f t="shared" si="26"/>
        <v>0</v>
      </c>
      <c r="S277">
        <f t="shared" si="27"/>
        <v>0</v>
      </c>
      <c r="T277">
        <f t="shared" si="28"/>
        <v>0</v>
      </c>
    </row>
    <row r="278" spans="1:20" x14ac:dyDescent="0.25">
      <c r="A278" s="5"/>
      <c r="C278"/>
      <c r="D278"/>
      <c r="P278">
        <f t="shared" si="24"/>
        <v>0</v>
      </c>
      <c r="Q278">
        <f t="shared" si="25"/>
        <v>0</v>
      </c>
      <c r="R278">
        <f t="shared" si="26"/>
        <v>0</v>
      </c>
      <c r="S278">
        <f t="shared" si="27"/>
        <v>0</v>
      </c>
      <c r="T278">
        <f t="shared" si="28"/>
        <v>0</v>
      </c>
    </row>
    <row r="279" spans="1:20" x14ac:dyDescent="0.25">
      <c r="A279" s="5"/>
      <c r="C279"/>
      <c r="D279"/>
      <c r="P279">
        <f t="shared" si="24"/>
        <v>0</v>
      </c>
      <c r="Q279">
        <f t="shared" si="25"/>
        <v>0</v>
      </c>
      <c r="R279">
        <f t="shared" si="26"/>
        <v>0</v>
      </c>
      <c r="S279">
        <f t="shared" si="27"/>
        <v>0</v>
      </c>
      <c r="T279">
        <f t="shared" si="28"/>
        <v>0</v>
      </c>
    </row>
    <row r="280" spans="1:20" x14ac:dyDescent="0.25">
      <c r="A280" s="5"/>
      <c r="C280"/>
      <c r="D280"/>
      <c r="P280">
        <f t="shared" si="24"/>
        <v>0</v>
      </c>
      <c r="Q280">
        <f t="shared" si="25"/>
        <v>0</v>
      </c>
      <c r="R280">
        <f t="shared" si="26"/>
        <v>0</v>
      </c>
      <c r="S280">
        <f t="shared" si="27"/>
        <v>0</v>
      </c>
      <c r="T280">
        <f t="shared" si="28"/>
        <v>0</v>
      </c>
    </row>
    <row r="281" spans="1:20" x14ac:dyDescent="0.25">
      <c r="A281" s="5"/>
      <c r="C281"/>
      <c r="D281"/>
      <c r="P281">
        <f t="shared" si="24"/>
        <v>0</v>
      </c>
      <c r="Q281">
        <f t="shared" si="25"/>
        <v>0</v>
      </c>
      <c r="R281">
        <f t="shared" si="26"/>
        <v>0</v>
      </c>
      <c r="S281">
        <f t="shared" si="27"/>
        <v>0</v>
      </c>
      <c r="T281">
        <f t="shared" si="28"/>
        <v>0</v>
      </c>
    </row>
    <row r="282" spans="1:20" x14ac:dyDescent="0.25">
      <c r="A282" s="5"/>
      <c r="C282"/>
      <c r="D282"/>
      <c r="P282">
        <f t="shared" si="24"/>
        <v>0</v>
      </c>
      <c r="Q282">
        <f t="shared" si="25"/>
        <v>0</v>
      </c>
      <c r="R282">
        <f t="shared" si="26"/>
        <v>0</v>
      </c>
      <c r="S282">
        <f t="shared" si="27"/>
        <v>0</v>
      </c>
      <c r="T282">
        <f t="shared" si="28"/>
        <v>0</v>
      </c>
    </row>
    <row r="283" spans="1:20" x14ac:dyDescent="0.25">
      <c r="A283" s="5"/>
      <c r="C283"/>
      <c r="D283"/>
      <c r="P283">
        <f t="shared" si="24"/>
        <v>0</v>
      </c>
      <c r="Q283">
        <f t="shared" si="25"/>
        <v>0</v>
      </c>
      <c r="R283">
        <f t="shared" si="26"/>
        <v>0</v>
      </c>
      <c r="S283">
        <f t="shared" si="27"/>
        <v>0</v>
      </c>
      <c r="T283">
        <f t="shared" si="28"/>
        <v>0</v>
      </c>
    </row>
    <row r="284" spans="1:20" x14ac:dyDescent="0.25">
      <c r="A284" s="5"/>
      <c r="C284"/>
      <c r="D284"/>
      <c r="P284">
        <f t="shared" si="24"/>
        <v>0</v>
      </c>
      <c r="Q284">
        <f t="shared" si="25"/>
        <v>0</v>
      </c>
      <c r="R284">
        <f t="shared" si="26"/>
        <v>0</v>
      </c>
      <c r="S284">
        <f t="shared" si="27"/>
        <v>0</v>
      </c>
      <c r="T284">
        <f t="shared" si="28"/>
        <v>0</v>
      </c>
    </row>
    <row r="285" spans="1:20" x14ac:dyDescent="0.25">
      <c r="A285" s="5"/>
      <c r="C285"/>
      <c r="D285"/>
      <c r="P285">
        <f t="shared" si="24"/>
        <v>0</v>
      </c>
      <c r="Q285">
        <f t="shared" si="25"/>
        <v>0</v>
      </c>
      <c r="R285">
        <f t="shared" si="26"/>
        <v>0</v>
      </c>
      <c r="S285">
        <f t="shared" si="27"/>
        <v>0</v>
      </c>
      <c r="T285">
        <f t="shared" si="28"/>
        <v>0</v>
      </c>
    </row>
    <row r="286" spans="1:20" x14ac:dyDescent="0.25">
      <c r="A286" s="5"/>
      <c r="C286"/>
      <c r="D286"/>
      <c r="P286">
        <f t="shared" si="24"/>
        <v>0</v>
      </c>
      <c r="Q286">
        <f t="shared" si="25"/>
        <v>0</v>
      </c>
      <c r="R286">
        <f t="shared" si="26"/>
        <v>0</v>
      </c>
      <c r="S286">
        <f t="shared" si="27"/>
        <v>0</v>
      </c>
      <c r="T286">
        <f t="shared" si="28"/>
        <v>0</v>
      </c>
    </row>
    <row r="287" spans="1:20" x14ac:dyDescent="0.25">
      <c r="A287" s="5"/>
      <c r="C287"/>
      <c r="D287"/>
      <c r="P287">
        <f t="shared" si="24"/>
        <v>0</v>
      </c>
      <c r="Q287">
        <f t="shared" si="25"/>
        <v>0</v>
      </c>
      <c r="R287">
        <f t="shared" si="26"/>
        <v>0</v>
      </c>
      <c r="S287">
        <f t="shared" si="27"/>
        <v>0</v>
      </c>
      <c r="T287">
        <f t="shared" si="28"/>
        <v>0</v>
      </c>
    </row>
    <row r="288" spans="1:20" x14ac:dyDescent="0.25">
      <c r="A288" s="5"/>
      <c r="C288"/>
      <c r="D288"/>
      <c r="P288">
        <f t="shared" si="24"/>
        <v>0</v>
      </c>
      <c r="Q288">
        <f t="shared" si="25"/>
        <v>0</v>
      </c>
      <c r="R288">
        <f t="shared" si="26"/>
        <v>0</v>
      </c>
      <c r="S288">
        <f t="shared" si="27"/>
        <v>0</v>
      </c>
      <c r="T288">
        <f t="shared" si="28"/>
        <v>0</v>
      </c>
    </row>
    <row r="289" spans="1:20" x14ac:dyDescent="0.25">
      <c r="A289" s="5"/>
      <c r="C289"/>
      <c r="D289"/>
      <c r="P289">
        <f t="shared" si="24"/>
        <v>0</v>
      </c>
      <c r="Q289">
        <f t="shared" si="25"/>
        <v>0</v>
      </c>
      <c r="R289">
        <f t="shared" si="26"/>
        <v>0</v>
      </c>
      <c r="S289">
        <f t="shared" si="27"/>
        <v>0</v>
      </c>
      <c r="T289">
        <f t="shared" si="28"/>
        <v>0</v>
      </c>
    </row>
    <row r="290" spans="1:20" x14ac:dyDescent="0.25">
      <c r="A290" s="5"/>
      <c r="C290"/>
      <c r="D290"/>
      <c r="P290">
        <f t="shared" si="24"/>
        <v>0</v>
      </c>
      <c r="Q290">
        <f t="shared" si="25"/>
        <v>0</v>
      </c>
      <c r="R290">
        <f t="shared" si="26"/>
        <v>0</v>
      </c>
      <c r="S290">
        <f t="shared" si="27"/>
        <v>0</v>
      </c>
      <c r="T290">
        <f t="shared" si="28"/>
        <v>0</v>
      </c>
    </row>
    <row r="291" spans="1:20" x14ac:dyDescent="0.25">
      <c r="A291" s="5"/>
      <c r="C291"/>
      <c r="D291"/>
      <c r="P291">
        <f t="shared" si="24"/>
        <v>0</v>
      </c>
      <c r="Q291">
        <f t="shared" si="25"/>
        <v>0</v>
      </c>
      <c r="R291">
        <f t="shared" si="26"/>
        <v>0</v>
      </c>
      <c r="S291">
        <f t="shared" si="27"/>
        <v>0</v>
      </c>
      <c r="T291">
        <f t="shared" si="28"/>
        <v>0</v>
      </c>
    </row>
    <row r="292" spans="1:20" x14ac:dyDescent="0.25">
      <c r="A292" s="5"/>
      <c r="C292"/>
      <c r="D292"/>
      <c r="P292">
        <f t="shared" si="24"/>
        <v>0</v>
      </c>
      <c r="Q292">
        <f t="shared" si="25"/>
        <v>0</v>
      </c>
      <c r="R292">
        <f t="shared" si="26"/>
        <v>0</v>
      </c>
      <c r="S292">
        <f t="shared" si="27"/>
        <v>0</v>
      </c>
      <c r="T292">
        <f t="shared" si="28"/>
        <v>0</v>
      </c>
    </row>
    <row r="293" spans="1:20" x14ac:dyDescent="0.25">
      <c r="A293" s="5"/>
      <c r="C293"/>
      <c r="D293"/>
      <c r="P293">
        <f t="shared" si="24"/>
        <v>0</v>
      </c>
      <c r="Q293">
        <f t="shared" si="25"/>
        <v>0</v>
      </c>
      <c r="R293">
        <f t="shared" si="26"/>
        <v>0</v>
      </c>
      <c r="S293">
        <f t="shared" si="27"/>
        <v>0</v>
      </c>
      <c r="T293">
        <f t="shared" si="28"/>
        <v>0</v>
      </c>
    </row>
    <row r="294" spans="1:20" x14ac:dyDescent="0.25">
      <c r="A294" s="5"/>
      <c r="C294"/>
      <c r="D294"/>
      <c r="P294">
        <f t="shared" si="24"/>
        <v>0</v>
      </c>
      <c r="Q294">
        <f t="shared" si="25"/>
        <v>0</v>
      </c>
      <c r="R294">
        <f t="shared" si="26"/>
        <v>0</v>
      </c>
      <c r="S294">
        <f t="shared" si="27"/>
        <v>0</v>
      </c>
      <c r="T294">
        <f t="shared" si="28"/>
        <v>0</v>
      </c>
    </row>
    <row r="295" spans="1:20" x14ac:dyDescent="0.25">
      <c r="A295" s="5"/>
      <c r="C295"/>
      <c r="D295"/>
      <c r="P295">
        <f t="shared" si="24"/>
        <v>0</v>
      </c>
      <c r="Q295">
        <f t="shared" si="25"/>
        <v>0</v>
      </c>
      <c r="R295">
        <f t="shared" si="26"/>
        <v>0</v>
      </c>
      <c r="S295">
        <f t="shared" si="27"/>
        <v>0</v>
      </c>
      <c r="T295">
        <f t="shared" si="28"/>
        <v>0</v>
      </c>
    </row>
    <row r="296" spans="1:20" x14ac:dyDescent="0.25">
      <c r="A296" s="5"/>
      <c r="C296"/>
      <c r="D296"/>
      <c r="P296">
        <f t="shared" si="24"/>
        <v>0</v>
      </c>
      <c r="Q296">
        <f t="shared" si="25"/>
        <v>0</v>
      </c>
      <c r="R296">
        <f t="shared" si="26"/>
        <v>0</v>
      </c>
      <c r="S296">
        <f t="shared" si="27"/>
        <v>0</v>
      </c>
      <c r="T296">
        <f t="shared" si="28"/>
        <v>0</v>
      </c>
    </row>
    <row r="297" spans="1:20" x14ac:dyDescent="0.25">
      <c r="A297" s="5"/>
      <c r="C297"/>
      <c r="D297"/>
      <c r="P297">
        <f t="shared" si="24"/>
        <v>0</v>
      </c>
      <c r="Q297">
        <f t="shared" si="25"/>
        <v>0</v>
      </c>
      <c r="R297">
        <f t="shared" si="26"/>
        <v>0</v>
      </c>
      <c r="S297">
        <f t="shared" si="27"/>
        <v>0</v>
      </c>
      <c r="T297">
        <f t="shared" si="28"/>
        <v>0</v>
      </c>
    </row>
    <row r="298" spans="1:20" x14ac:dyDescent="0.25">
      <c r="A298" s="5"/>
      <c r="C298"/>
      <c r="D298"/>
      <c r="P298">
        <f t="shared" si="24"/>
        <v>0</v>
      </c>
      <c r="Q298">
        <f t="shared" si="25"/>
        <v>0</v>
      </c>
      <c r="R298">
        <f t="shared" si="26"/>
        <v>0</v>
      </c>
      <c r="S298">
        <f t="shared" si="27"/>
        <v>0</v>
      </c>
      <c r="T298">
        <f t="shared" si="28"/>
        <v>0</v>
      </c>
    </row>
    <row r="299" spans="1:20" x14ac:dyDescent="0.25">
      <c r="A299" s="5"/>
      <c r="C299"/>
      <c r="D299"/>
      <c r="P299">
        <f t="shared" si="24"/>
        <v>0</v>
      </c>
      <c r="Q299">
        <f t="shared" si="25"/>
        <v>0</v>
      </c>
      <c r="R299">
        <f t="shared" si="26"/>
        <v>0</v>
      </c>
      <c r="S299">
        <f t="shared" si="27"/>
        <v>0</v>
      </c>
      <c r="T299">
        <f t="shared" si="28"/>
        <v>0</v>
      </c>
    </row>
    <row r="300" spans="1:20" x14ac:dyDescent="0.25">
      <c r="A300" s="5"/>
      <c r="C300"/>
      <c r="D300"/>
      <c r="P300">
        <f t="shared" si="24"/>
        <v>0</v>
      </c>
      <c r="Q300">
        <f t="shared" si="25"/>
        <v>0</v>
      </c>
      <c r="R300">
        <f t="shared" si="26"/>
        <v>0</v>
      </c>
      <c r="S300">
        <f t="shared" si="27"/>
        <v>0</v>
      </c>
      <c r="T300">
        <f t="shared" si="28"/>
        <v>0</v>
      </c>
    </row>
    <row r="301" spans="1:20" x14ac:dyDescent="0.25">
      <c r="A301" s="5"/>
      <c r="C301"/>
      <c r="D301"/>
      <c r="P301">
        <f t="shared" si="24"/>
        <v>0</v>
      </c>
      <c r="Q301">
        <f t="shared" si="25"/>
        <v>0</v>
      </c>
      <c r="R301">
        <f t="shared" si="26"/>
        <v>0</v>
      </c>
      <c r="S301">
        <f t="shared" si="27"/>
        <v>0</v>
      </c>
      <c r="T301">
        <f t="shared" si="28"/>
        <v>0</v>
      </c>
    </row>
    <row r="302" spans="1:20" x14ac:dyDescent="0.25">
      <c r="A302" s="5"/>
      <c r="C302"/>
      <c r="D302"/>
      <c r="P302">
        <f t="shared" si="24"/>
        <v>0</v>
      </c>
      <c r="Q302">
        <f t="shared" si="25"/>
        <v>0</v>
      </c>
      <c r="R302">
        <f t="shared" si="26"/>
        <v>0</v>
      </c>
      <c r="S302">
        <f t="shared" si="27"/>
        <v>0</v>
      </c>
      <c r="T302">
        <f t="shared" si="28"/>
        <v>0</v>
      </c>
    </row>
    <row r="303" spans="1:20" x14ac:dyDescent="0.25">
      <c r="A303" s="5"/>
      <c r="C303"/>
      <c r="D303"/>
      <c r="P303">
        <f t="shared" si="24"/>
        <v>0</v>
      </c>
      <c r="Q303">
        <f t="shared" si="25"/>
        <v>0</v>
      </c>
      <c r="R303">
        <f t="shared" si="26"/>
        <v>0</v>
      </c>
      <c r="S303">
        <f t="shared" si="27"/>
        <v>0</v>
      </c>
      <c r="T303">
        <f t="shared" si="28"/>
        <v>0</v>
      </c>
    </row>
    <row r="304" spans="1:20" x14ac:dyDescent="0.25">
      <c r="A304" s="5"/>
      <c r="C304"/>
      <c r="D304"/>
      <c r="P304">
        <f t="shared" si="24"/>
        <v>0</v>
      </c>
      <c r="Q304">
        <f t="shared" si="25"/>
        <v>0</v>
      </c>
      <c r="R304">
        <f t="shared" si="26"/>
        <v>0</v>
      </c>
      <c r="S304">
        <f t="shared" si="27"/>
        <v>0</v>
      </c>
      <c r="T304">
        <f t="shared" si="28"/>
        <v>0</v>
      </c>
    </row>
    <row r="305" spans="1:20" x14ac:dyDescent="0.25">
      <c r="A305" s="5"/>
      <c r="C305"/>
      <c r="D305"/>
      <c r="P305">
        <f t="shared" si="24"/>
        <v>0</v>
      </c>
      <c r="Q305">
        <f t="shared" si="25"/>
        <v>0</v>
      </c>
      <c r="R305">
        <f t="shared" si="26"/>
        <v>0</v>
      </c>
      <c r="S305">
        <f t="shared" si="27"/>
        <v>0</v>
      </c>
      <c r="T305">
        <f t="shared" si="28"/>
        <v>0</v>
      </c>
    </row>
    <row r="306" spans="1:20" x14ac:dyDescent="0.25">
      <c r="A306" s="5"/>
      <c r="C306"/>
      <c r="D306"/>
      <c r="P306">
        <f t="shared" si="24"/>
        <v>0</v>
      </c>
      <c r="Q306">
        <f t="shared" si="25"/>
        <v>0</v>
      </c>
      <c r="R306">
        <f t="shared" si="26"/>
        <v>0</v>
      </c>
      <c r="S306">
        <f t="shared" si="27"/>
        <v>0</v>
      </c>
      <c r="T306">
        <f t="shared" si="28"/>
        <v>0</v>
      </c>
    </row>
    <row r="307" spans="1:20" x14ac:dyDescent="0.25">
      <c r="A307" s="5"/>
      <c r="C307"/>
      <c r="D307"/>
      <c r="P307">
        <f t="shared" si="24"/>
        <v>0</v>
      </c>
      <c r="Q307">
        <f t="shared" si="25"/>
        <v>0</v>
      </c>
      <c r="R307">
        <f t="shared" si="26"/>
        <v>0</v>
      </c>
      <c r="S307">
        <f t="shared" si="27"/>
        <v>0</v>
      </c>
      <c r="T307">
        <f t="shared" si="28"/>
        <v>0</v>
      </c>
    </row>
    <row r="308" spans="1:20" x14ac:dyDescent="0.25">
      <c r="A308" s="5"/>
      <c r="C308"/>
      <c r="D308"/>
      <c r="P308">
        <f t="shared" si="24"/>
        <v>0</v>
      </c>
      <c r="Q308">
        <f t="shared" si="25"/>
        <v>0</v>
      </c>
      <c r="R308">
        <f t="shared" si="26"/>
        <v>0</v>
      </c>
      <c r="S308">
        <f t="shared" si="27"/>
        <v>0</v>
      </c>
      <c r="T308">
        <f t="shared" si="28"/>
        <v>0</v>
      </c>
    </row>
    <row r="309" spans="1:20" x14ac:dyDescent="0.25">
      <c r="A309" s="5"/>
      <c r="C309"/>
      <c r="D309"/>
      <c r="P309">
        <f t="shared" si="24"/>
        <v>0</v>
      </c>
      <c r="Q309">
        <f t="shared" si="25"/>
        <v>0</v>
      </c>
      <c r="R309">
        <f t="shared" si="26"/>
        <v>0</v>
      </c>
      <c r="S309">
        <f t="shared" si="27"/>
        <v>0</v>
      </c>
      <c r="T309">
        <f t="shared" si="28"/>
        <v>0</v>
      </c>
    </row>
    <row r="310" spans="1:20" x14ac:dyDescent="0.25">
      <c r="A310" s="5"/>
      <c r="C310"/>
      <c r="D310"/>
      <c r="P310">
        <f t="shared" si="24"/>
        <v>0</v>
      </c>
      <c r="Q310">
        <f t="shared" si="25"/>
        <v>0</v>
      </c>
      <c r="R310">
        <f t="shared" si="26"/>
        <v>0</v>
      </c>
      <c r="S310">
        <f t="shared" si="27"/>
        <v>0</v>
      </c>
      <c r="T310">
        <f t="shared" si="28"/>
        <v>0</v>
      </c>
    </row>
    <row r="311" spans="1:20" x14ac:dyDescent="0.25">
      <c r="A311" s="5"/>
      <c r="C311"/>
      <c r="D311"/>
      <c r="P311">
        <f t="shared" si="24"/>
        <v>0</v>
      </c>
      <c r="Q311">
        <f t="shared" si="25"/>
        <v>0</v>
      </c>
      <c r="R311">
        <f t="shared" si="26"/>
        <v>0</v>
      </c>
      <c r="S311">
        <f t="shared" si="27"/>
        <v>0</v>
      </c>
      <c r="T311">
        <f t="shared" si="28"/>
        <v>0</v>
      </c>
    </row>
    <row r="312" spans="1:20" x14ac:dyDescent="0.25">
      <c r="A312" s="5"/>
      <c r="C312"/>
      <c r="D312"/>
      <c r="P312">
        <f t="shared" si="24"/>
        <v>0</v>
      </c>
      <c r="Q312">
        <f t="shared" si="25"/>
        <v>0</v>
      </c>
      <c r="R312">
        <f t="shared" si="26"/>
        <v>0</v>
      </c>
      <c r="S312">
        <f t="shared" si="27"/>
        <v>0</v>
      </c>
      <c r="T312">
        <f t="shared" si="28"/>
        <v>0</v>
      </c>
    </row>
    <row r="313" spans="1:20" x14ac:dyDescent="0.25">
      <c r="A313" s="5"/>
      <c r="C313"/>
      <c r="D313"/>
      <c r="P313">
        <f t="shared" si="24"/>
        <v>0</v>
      </c>
      <c r="Q313">
        <f t="shared" si="25"/>
        <v>0</v>
      </c>
      <c r="R313">
        <f t="shared" si="26"/>
        <v>0</v>
      </c>
      <c r="S313">
        <f t="shared" si="27"/>
        <v>0</v>
      </c>
      <c r="T313">
        <f t="shared" si="28"/>
        <v>0</v>
      </c>
    </row>
    <row r="314" spans="1:20" x14ac:dyDescent="0.25">
      <c r="A314" s="5"/>
      <c r="C314"/>
      <c r="D314"/>
      <c r="P314">
        <f t="shared" si="24"/>
        <v>0</v>
      </c>
      <c r="Q314">
        <f t="shared" si="25"/>
        <v>0</v>
      </c>
      <c r="R314">
        <f t="shared" si="26"/>
        <v>0</v>
      </c>
      <c r="S314">
        <f t="shared" si="27"/>
        <v>0</v>
      </c>
      <c r="T314">
        <f t="shared" si="28"/>
        <v>0</v>
      </c>
    </row>
    <row r="315" spans="1:20" x14ac:dyDescent="0.25">
      <c r="A315" s="5"/>
      <c r="C315"/>
      <c r="D315"/>
      <c r="P315">
        <f t="shared" si="24"/>
        <v>0</v>
      </c>
      <c r="Q315">
        <f t="shared" si="25"/>
        <v>0</v>
      </c>
      <c r="R315">
        <f t="shared" si="26"/>
        <v>0</v>
      </c>
      <c r="S315">
        <f t="shared" si="27"/>
        <v>0</v>
      </c>
      <c r="T315">
        <f t="shared" si="28"/>
        <v>0</v>
      </c>
    </row>
    <row r="316" spans="1:20" x14ac:dyDescent="0.25">
      <c r="A316" s="5"/>
      <c r="C316"/>
      <c r="D316"/>
      <c r="P316">
        <f t="shared" si="24"/>
        <v>0</v>
      </c>
      <c r="Q316">
        <f t="shared" si="25"/>
        <v>0</v>
      </c>
      <c r="R316">
        <f t="shared" si="26"/>
        <v>0</v>
      </c>
      <c r="S316">
        <f t="shared" si="27"/>
        <v>0</v>
      </c>
      <c r="T316">
        <f t="shared" si="28"/>
        <v>0</v>
      </c>
    </row>
    <row r="317" spans="1:20" x14ac:dyDescent="0.25">
      <c r="A317" s="5"/>
      <c r="C317"/>
      <c r="D317"/>
      <c r="P317">
        <f t="shared" si="24"/>
        <v>0</v>
      </c>
      <c r="Q317">
        <f t="shared" si="25"/>
        <v>0</v>
      </c>
      <c r="R317">
        <f t="shared" si="26"/>
        <v>0</v>
      </c>
      <c r="S317">
        <f t="shared" si="27"/>
        <v>0</v>
      </c>
      <c r="T317">
        <f t="shared" si="28"/>
        <v>0</v>
      </c>
    </row>
    <row r="318" spans="1:20" x14ac:dyDescent="0.25">
      <c r="A318" s="5"/>
      <c r="C318"/>
      <c r="D318"/>
      <c r="P318">
        <f t="shared" si="24"/>
        <v>0</v>
      </c>
      <c r="Q318">
        <f t="shared" si="25"/>
        <v>0</v>
      </c>
      <c r="R318">
        <f t="shared" si="26"/>
        <v>0</v>
      </c>
      <c r="S318">
        <f t="shared" si="27"/>
        <v>0</v>
      </c>
      <c r="T318">
        <f t="shared" si="28"/>
        <v>0</v>
      </c>
    </row>
    <row r="319" spans="1:20" x14ac:dyDescent="0.25">
      <c r="A319" s="5"/>
      <c r="C319"/>
      <c r="D319"/>
      <c r="P319">
        <f t="shared" si="24"/>
        <v>0</v>
      </c>
      <c r="Q319">
        <f t="shared" si="25"/>
        <v>0</v>
      </c>
      <c r="R319">
        <f t="shared" si="26"/>
        <v>0</v>
      </c>
      <c r="S319">
        <f t="shared" si="27"/>
        <v>0</v>
      </c>
      <c r="T319">
        <f t="shared" si="28"/>
        <v>0</v>
      </c>
    </row>
    <row r="320" spans="1:20" x14ac:dyDescent="0.25">
      <c r="A320" s="5"/>
      <c r="C320"/>
      <c r="D320"/>
      <c r="P320">
        <f t="shared" si="24"/>
        <v>0</v>
      </c>
      <c r="Q320">
        <f t="shared" si="25"/>
        <v>0</v>
      </c>
      <c r="R320">
        <f t="shared" si="26"/>
        <v>0</v>
      </c>
      <c r="S320">
        <f t="shared" si="27"/>
        <v>0</v>
      </c>
      <c r="T320">
        <f t="shared" si="28"/>
        <v>0</v>
      </c>
    </row>
    <row r="321" spans="1:20" x14ac:dyDescent="0.25">
      <c r="A321" s="5"/>
      <c r="C321"/>
      <c r="D321"/>
      <c r="P321">
        <f t="shared" si="24"/>
        <v>0</v>
      </c>
      <c r="Q321">
        <f t="shared" si="25"/>
        <v>0</v>
      </c>
      <c r="R321">
        <f t="shared" si="26"/>
        <v>0</v>
      </c>
      <c r="S321">
        <f t="shared" si="27"/>
        <v>0</v>
      </c>
      <c r="T321">
        <f t="shared" si="28"/>
        <v>0</v>
      </c>
    </row>
    <row r="322" spans="1:20" x14ac:dyDescent="0.25">
      <c r="A322" s="5"/>
      <c r="C322"/>
      <c r="D322"/>
      <c r="P322">
        <f t="shared" si="24"/>
        <v>0</v>
      </c>
      <c r="Q322">
        <f t="shared" si="25"/>
        <v>0</v>
      </c>
      <c r="R322">
        <f t="shared" si="26"/>
        <v>0</v>
      </c>
      <c r="S322">
        <f t="shared" si="27"/>
        <v>0</v>
      </c>
      <c r="T322">
        <f t="shared" si="28"/>
        <v>0</v>
      </c>
    </row>
    <row r="323" spans="1:20" x14ac:dyDescent="0.25">
      <c r="A323" s="5"/>
      <c r="C323"/>
      <c r="D323"/>
      <c r="P323">
        <f t="shared" si="24"/>
        <v>0</v>
      </c>
      <c r="Q323">
        <f t="shared" si="25"/>
        <v>0</v>
      </c>
      <c r="R323">
        <f t="shared" si="26"/>
        <v>0</v>
      </c>
      <c r="S323">
        <f t="shared" si="27"/>
        <v>0</v>
      </c>
      <c r="T323">
        <f t="shared" si="28"/>
        <v>0</v>
      </c>
    </row>
    <row r="324" spans="1:20" x14ac:dyDescent="0.25">
      <c r="A324" s="5"/>
      <c r="C324"/>
      <c r="D324"/>
      <c r="P324">
        <f t="shared" si="24"/>
        <v>0</v>
      </c>
      <c r="Q324">
        <f t="shared" si="25"/>
        <v>0</v>
      </c>
      <c r="R324">
        <f t="shared" si="26"/>
        <v>0</v>
      </c>
      <c r="S324">
        <f t="shared" si="27"/>
        <v>0</v>
      </c>
      <c r="T324">
        <f t="shared" si="28"/>
        <v>0</v>
      </c>
    </row>
    <row r="325" spans="1:20" x14ac:dyDescent="0.25">
      <c r="A325" s="5"/>
      <c r="C325"/>
      <c r="D325"/>
      <c r="P325">
        <f t="shared" si="24"/>
        <v>0</v>
      </c>
      <c r="Q325">
        <f t="shared" si="25"/>
        <v>0</v>
      </c>
      <c r="R325">
        <f t="shared" si="26"/>
        <v>0</v>
      </c>
      <c r="S325">
        <f t="shared" si="27"/>
        <v>0</v>
      </c>
      <c r="T325">
        <f t="shared" si="28"/>
        <v>0</v>
      </c>
    </row>
    <row r="326" spans="1:20" x14ac:dyDescent="0.25">
      <c r="A326" s="5"/>
      <c r="C326"/>
      <c r="D326"/>
      <c r="P326">
        <f t="shared" ref="P326:P389" si="29">IF(C326=D326,0,((E326-D326)-(C326-E326))/(C326-D326))</f>
        <v>0</v>
      </c>
      <c r="Q326">
        <f t="shared" ref="Q326:Q389" si="30">F326*P326</f>
        <v>0</v>
      </c>
      <c r="R326">
        <f t="shared" ref="R326:R389" si="31">R327+Q326</f>
        <v>0</v>
      </c>
      <c r="S326">
        <f t="shared" ref="S326:S389" si="32">R326/100000</f>
        <v>0</v>
      </c>
      <c r="T326">
        <f t="shared" ref="T326:T389" si="33">S326/1000</f>
        <v>0</v>
      </c>
    </row>
    <row r="327" spans="1:20" x14ac:dyDescent="0.25">
      <c r="A327" s="5"/>
      <c r="C327"/>
      <c r="D327"/>
      <c r="P327">
        <f t="shared" si="29"/>
        <v>0</v>
      </c>
      <c r="Q327">
        <f t="shared" si="30"/>
        <v>0</v>
      </c>
      <c r="R327">
        <f t="shared" si="31"/>
        <v>0</v>
      </c>
      <c r="S327">
        <f t="shared" si="32"/>
        <v>0</v>
      </c>
      <c r="T327">
        <f t="shared" si="33"/>
        <v>0</v>
      </c>
    </row>
    <row r="328" spans="1:20" x14ac:dyDescent="0.25">
      <c r="A328" s="5"/>
      <c r="C328"/>
      <c r="D328"/>
      <c r="P328">
        <f t="shared" si="29"/>
        <v>0</v>
      </c>
      <c r="Q328">
        <f t="shared" si="30"/>
        <v>0</v>
      </c>
      <c r="R328">
        <f t="shared" si="31"/>
        <v>0</v>
      </c>
      <c r="S328">
        <f t="shared" si="32"/>
        <v>0</v>
      </c>
      <c r="T328">
        <f t="shared" si="33"/>
        <v>0</v>
      </c>
    </row>
    <row r="329" spans="1:20" x14ac:dyDescent="0.25">
      <c r="A329" s="5"/>
      <c r="C329"/>
      <c r="D329"/>
      <c r="P329">
        <f t="shared" si="29"/>
        <v>0</v>
      </c>
      <c r="Q329">
        <f t="shared" si="30"/>
        <v>0</v>
      </c>
      <c r="R329">
        <f t="shared" si="31"/>
        <v>0</v>
      </c>
      <c r="S329">
        <f t="shared" si="32"/>
        <v>0</v>
      </c>
      <c r="T329">
        <f t="shared" si="33"/>
        <v>0</v>
      </c>
    </row>
    <row r="330" spans="1:20" x14ac:dyDescent="0.25">
      <c r="A330" s="5"/>
      <c r="C330"/>
      <c r="D330"/>
      <c r="P330">
        <f t="shared" si="29"/>
        <v>0</v>
      </c>
      <c r="Q330">
        <f t="shared" si="30"/>
        <v>0</v>
      </c>
      <c r="R330">
        <f t="shared" si="31"/>
        <v>0</v>
      </c>
      <c r="S330">
        <f t="shared" si="32"/>
        <v>0</v>
      </c>
      <c r="T330">
        <f t="shared" si="33"/>
        <v>0</v>
      </c>
    </row>
    <row r="331" spans="1:20" x14ac:dyDescent="0.25">
      <c r="A331" s="5"/>
      <c r="C331"/>
      <c r="D331"/>
      <c r="P331">
        <f t="shared" si="29"/>
        <v>0</v>
      </c>
      <c r="Q331">
        <f t="shared" si="30"/>
        <v>0</v>
      </c>
      <c r="R331">
        <f t="shared" si="31"/>
        <v>0</v>
      </c>
      <c r="S331">
        <f t="shared" si="32"/>
        <v>0</v>
      </c>
      <c r="T331">
        <f t="shared" si="33"/>
        <v>0</v>
      </c>
    </row>
    <row r="332" spans="1:20" x14ac:dyDescent="0.25">
      <c r="A332" s="5"/>
      <c r="C332"/>
      <c r="D332"/>
      <c r="P332">
        <f t="shared" si="29"/>
        <v>0</v>
      </c>
      <c r="Q332">
        <f t="shared" si="30"/>
        <v>0</v>
      </c>
      <c r="R332">
        <f t="shared" si="31"/>
        <v>0</v>
      </c>
      <c r="S332">
        <f t="shared" si="32"/>
        <v>0</v>
      </c>
      <c r="T332">
        <f t="shared" si="33"/>
        <v>0</v>
      </c>
    </row>
    <row r="333" spans="1:20" x14ac:dyDescent="0.25">
      <c r="A333" s="5"/>
      <c r="C333"/>
      <c r="D333"/>
      <c r="P333">
        <f t="shared" si="29"/>
        <v>0</v>
      </c>
      <c r="Q333">
        <f t="shared" si="30"/>
        <v>0</v>
      </c>
      <c r="R333">
        <f t="shared" si="31"/>
        <v>0</v>
      </c>
      <c r="S333">
        <f t="shared" si="32"/>
        <v>0</v>
      </c>
      <c r="T333">
        <f t="shared" si="33"/>
        <v>0</v>
      </c>
    </row>
    <row r="334" spans="1:20" x14ac:dyDescent="0.25">
      <c r="A334" s="5"/>
      <c r="C334"/>
      <c r="D334"/>
      <c r="P334">
        <f t="shared" si="29"/>
        <v>0</v>
      </c>
      <c r="Q334">
        <f t="shared" si="30"/>
        <v>0</v>
      </c>
      <c r="R334">
        <f t="shared" si="31"/>
        <v>0</v>
      </c>
      <c r="S334">
        <f t="shared" si="32"/>
        <v>0</v>
      </c>
      <c r="T334">
        <f t="shared" si="33"/>
        <v>0</v>
      </c>
    </row>
    <row r="335" spans="1:20" x14ac:dyDescent="0.25">
      <c r="A335" s="5"/>
      <c r="C335"/>
      <c r="D335"/>
      <c r="P335">
        <f t="shared" si="29"/>
        <v>0</v>
      </c>
      <c r="Q335">
        <f t="shared" si="30"/>
        <v>0</v>
      </c>
      <c r="R335">
        <f t="shared" si="31"/>
        <v>0</v>
      </c>
      <c r="S335">
        <f t="shared" si="32"/>
        <v>0</v>
      </c>
      <c r="T335">
        <f t="shared" si="33"/>
        <v>0</v>
      </c>
    </row>
    <row r="336" spans="1:20" x14ac:dyDescent="0.25">
      <c r="A336" s="5"/>
      <c r="C336"/>
      <c r="D336"/>
      <c r="P336">
        <f t="shared" si="29"/>
        <v>0</v>
      </c>
      <c r="Q336">
        <f t="shared" si="30"/>
        <v>0</v>
      </c>
      <c r="R336">
        <f t="shared" si="31"/>
        <v>0</v>
      </c>
      <c r="S336">
        <f t="shared" si="32"/>
        <v>0</v>
      </c>
      <c r="T336">
        <f t="shared" si="33"/>
        <v>0</v>
      </c>
    </row>
    <row r="337" spans="1:20" x14ac:dyDescent="0.25">
      <c r="A337" s="5"/>
      <c r="C337"/>
      <c r="D337"/>
      <c r="P337">
        <f t="shared" si="29"/>
        <v>0</v>
      </c>
      <c r="Q337">
        <f t="shared" si="30"/>
        <v>0</v>
      </c>
      <c r="R337">
        <f t="shared" si="31"/>
        <v>0</v>
      </c>
      <c r="S337">
        <f t="shared" si="32"/>
        <v>0</v>
      </c>
      <c r="T337">
        <f t="shared" si="33"/>
        <v>0</v>
      </c>
    </row>
    <row r="338" spans="1:20" x14ac:dyDescent="0.25">
      <c r="A338" s="5"/>
      <c r="C338"/>
      <c r="D338"/>
      <c r="P338">
        <f t="shared" si="29"/>
        <v>0</v>
      </c>
      <c r="Q338">
        <f t="shared" si="30"/>
        <v>0</v>
      </c>
      <c r="R338">
        <f t="shared" si="31"/>
        <v>0</v>
      </c>
      <c r="S338">
        <f t="shared" si="32"/>
        <v>0</v>
      </c>
      <c r="T338">
        <f t="shared" si="33"/>
        <v>0</v>
      </c>
    </row>
    <row r="339" spans="1:20" x14ac:dyDescent="0.25">
      <c r="A339" s="5"/>
      <c r="C339"/>
      <c r="D339"/>
      <c r="P339">
        <f t="shared" si="29"/>
        <v>0</v>
      </c>
      <c r="Q339">
        <f t="shared" si="30"/>
        <v>0</v>
      </c>
      <c r="R339">
        <f t="shared" si="31"/>
        <v>0</v>
      </c>
      <c r="S339">
        <f t="shared" si="32"/>
        <v>0</v>
      </c>
      <c r="T339">
        <f t="shared" si="33"/>
        <v>0</v>
      </c>
    </row>
    <row r="340" spans="1:20" x14ac:dyDescent="0.25">
      <c r="A340" s="5"/>
      <c r="C340"/>
      <c r="D340"/>
      <c r="P340">
        <f t="shared" si="29"/>
        <v>0</v>
      </c>
      <c r="Q340">
        <f t="shared" si="30"/>
        <v>0</v>
      </c>
      <c r="R340">
        <f t="shared" si="31"/>
        <v>0</v>
      </c>
      <c r="S340">
        <f t="shared" si="32"/>
        <v>0</v>
      </c>
      <c r="T340">
        <f t="shared" si="33"/>
        <v>0</v>
      </c>
    </row>
    <row r="341" spans="1:20" x14ac:dyDescent="0.25">
      <c r="A341" s="5"/>
      <c r="C341"/>
      <c r="D341"/>
      <c r="P341">
        <f t="shared" si="29"/>
        <v>0</v>
      </c>
      <c r="Q341">
        <f t="shared" si="30"/>
        <v>0</v>
      </c>
      <c r="R341">
        <f t="shared" si="31"/>
        <v>0</v>
      </c>
      <c r="S341">
        <f t="shared" si="32"/>
        <v>0</v>
      </c>
      <c r="T341">
        <f t="shared" si="33"/>
        <v>0</v>
      </c>
    </row>
    <row r="342" spans="1:20" x14ac:dyDescent="0.25">
      <c r="A342" s="5"/>
      <c r="C342"/>
      <c r="D342"/>
      <c r="P342">
        <f t="shared" si="29"/>
        <v>0</v>
      </c>
      <c r="Q342">
        <f t="shared" si="30"/>
        <v>0</v>
      </c>
      <c r="R342">
        <f t="shared" si="31"/>
        <v>0</v>
      </c>
      <c r="S342">
        <f t="shared" si="32"/>
        <v>0</v>
      </c>
      <c r="T342">
        <f t="shared" si="33"/>
        <v>0</v>
      </c>
    </row>
    <row r="343" spans="1:20" x14ac:dyDescent="0.25">
      <c r="A343" s="5"/>
      <c r="C343"/>
      <c r="D343"/>
      <c r="P343">
        <f t="shared" si="29"/>
        <v>0</v>
      </c>
      <c r="Q343">
        <f t="shared" si="30"/>
        <v>0</v>
      </c>
      <c r="R343">
        <f t="shared" si="31"/>
        <v>0</v>
      </c>
      <c r="S343">
        <f t="shared" si="32"/>
        <v>0</v>
      </c>
      <c r="T343">
        <f t="shared" si="33"/>
        <v>0</v>
      </c>
    </row>
    <row r="344" spans="1:20" x14ac:dyDescent="0.25">
      <c r="A344" s="5"/>
      <c r="C344"/>
      <c r="D344"/>
      <c r="P344">
        <f t="shared" si="29"/>
        <v>0</v>
      </c>
      <c r="Q344">
        <f t="shared" si="30"/>
        <v>0</v>
      </c>
      <c r="R344">
        <f t="shared" si="31"/>
        <v>0</v>
      </c>
      <c r="S344">
        <f t="shared" si="32"/>
        <v>0</v>
      </c>
      <c r="T344">
        <f t="shared" si="33"/>
        <v>0</v>
      </c>
    </row>
    <row r="345" spans="1:20" x14ac:dyDescent="0.25">
      <c r="A345" s="5"/>
      <c r="C345"/>
      <c r="D345"/>
      <c r="P345">
        <f t="shared" si="29"/>
        <v>0</v>
      </c>
      <c r="Q345">
        <f t="shared" si="30"/>
        <v>0</v>
      </c>
      <c r="R345">
        <f t="shared" si="31"/>
        <v>0</v>
      </c>
      <c r="S345">
        <f t="shared" si="32"/>
        <v>0</v>
      </c>
      <c r="T345">
        <f t="shared" si="33"/>
        <v>0</v>
      </c>
    </row>
    <row r="346" spans="1:20" x14ac:dyDescent="0.25">
      <c r="A346" s="5"/>
      <c r="C346"/>
      <c r="D346"/>
      <c r="P346">
        <f t="shared" si="29"/>
        <v>0</v>
      </c>
      <c r="Q346">
        <f t="shared" si="30"/>
        <v>0</v>
      </c>
      <c r="R346">
        <f t="shared" si="31"/>
        <v>0</v>
      </c>
      <c r="S346">
        <f t="shared" si="32"/>
        <v>0</v>
      </c>
      <c r="T346">
        <f t="shared" si="33"/>
        <v>0</v>
      </c>
    </row>
    <row r="347" spans="1:20" x14ac:dyDescent="0.25">
      <c r="A347" s="5"/>
      <c r="C347"/>
      <c r="D347"/>
      <c r="P347">
        <f t="shared" si="29"/>
        <v>0</v>
      </c>
      <c r="Q347">
        <f t="shared" si="30"/>
        <v>0</v>
      </c>
      <c r="R347">
        <f t="shared" si="31"/>
        <v>0</v>
      </c>
      <c r="S347">
        <f t="shared" si="32"/>
        <v>0</v>
      </c>
      <c r="T347">
        <f t="shared" si="33"/>
        <v>0</v>
      </c>
    </row>
    <row r="348" spans="1:20" x14ac:dyDescent="0.25">
      <c r="A348" s="5"/>
      <c r="C348"/>
      <c r="D348"/>
      <c r="P348">
        <f t="shared" si="29"/>
        <v>0</v>
      </c>
      <c r="Q348">
        <f t="shared" si="30"/>
        <v>0</v>
      </c>
      <c r="R348">
        <f t="shared" si="31"/>
        <v>0</v>
      </c>
      <c r="S348">
        <f t="shared" si="32"/>
        <v>0</v>
      </c>
      <c r="T348">
        <f t="shared" si="33"/>
        <v>0</v>
      </c>
    </row>
    <row r="349" spans="1:20" x14ac:dyDescent="0.25">
      <c r="A349" s="5"/>
      <c r="C349"/>
      <c r="D349"/>
      <c r="P349">
        <f t="shared" si="29"/>
        <v>0</v>
      </c>
      <c r="Q349">
        <f t="shared" si="30"/>
        <v>0</v>
      </c>
      <c r="R349">
        <f t="shared" si="31"/>
        <v>0</v>
      </c>
      <c r="S349">
        <f t="shared" si="32"/>
        <v>0</v>
      </c>
      <c r="T349">
        <f t="shared" si="33"/>
        <v>0</v>
      </c>
    </row>
    <row r="350" spans="1:20" x14ac:dyDescent="0.25">
      <c r="A350" s="5"/>
      <c r="C350"/>
      <c r="D350"/>
      <c r="P350">
        <f t="shared" si="29"/>
        <v>0</v>
      </c>
      <c r="Q350">
        <f t="shared" si="30"/>
        <v>0</v>
      </c>
      <c r="R350">
        <f t="shared" si="31"/>
        <v>0</v>
      </c>
      <c r="S350">
        <f t="shared" si="32"/>
        <v>0</v>
      </c>
      <c r="T350">
        <f t="shared" si="33"/>
        <v>0</v>
      </c>
    </row>
    <row r="351" spans="1:20" x14ac:dyDescent="0.25">
      <c r="A351" s="5"/>
      <c r="C351"/>
      <c r="D351"/>
      <c r="P351">
        <f t="shared" si="29"/>
        <v>0</v>
      </c>
      <c r="Q351">
        <f t="shared" si="30"/>
        <v>0</v>
      </c>
      <c r="R351">
        <f t="shared" si="31"/>
        <v>0</v>
      </c>
      <c r="S351">
        <f t="shared" si="32"/>
        <v>0</v>
      </c>
      <c r="T351">
        <f t="shared" si="33"/>
        <v>0</v>
      </c>
    </row>
    <row r="352" spans="1:20" x14ac:dyDescent="0.25">
      <c r="A352" s="5"/>
      <c r="C352"/>
      <c r="D352"/>
      <c r="P352">
        <f t="shared" si="29"/>
        <v>0</v>
      </c>
      <c r="Q352">
        <f t="shared" si="30"/>
        <v>0</v>
      </c>
      <c r="R352">
        <f t="shared" si="31"/>
        <v>0</v>
      </c>
      <c r="S352">
        <f t="shared" si="32"/>
        <v>0</v>
      </c>
      <c r="T352">
        <f t="shared" si="33"/>
        <v>0</v>
      </c>
    </row>
    <row r="353" spans="1:20" x14ac:dyDescent="0.25">
      <c r="A353" s="5"/>
      <c r="C353"/>
      <c r="D353"/>
      <c r="P353">
        <f t="shared" si="29"/>
        <v>0</v>
      </c>
      <c r="Q353">
        <f t="shared" si="30"/>
        <v>0</v>
      </c>
      <c r="R353">
        <f t="shared" si="31"/>
        <v>0</v>
      </c>
      <c r="S353">
        <f t="shared" si="32"/>
        <v>0</v>
      </c>
      <c r="T353">
        <f t="shared" si="33"/>
        <v>0</v>
      </c>
    </row>
    <row r="354" spans="1:20" x14ac:dyDescent="0.25">
      <c r="A354" s="5"/>
      <c r="C354"/>
      <c r="D354"/>
      <c r="P354">
        <f t="shared" si="29"/>
        <v>0</v>
      </c>
      <c r="Q354">
        <f t="shared" si="30"/>
        <v>0</v>
      </c>
      <c r="R354">
        <f t="shared" si="31"/>
        <v>0</v>
      </c>
      <c r="S354">
        <f t="shared" si="32"/>
        <v>0</v>
      </c>
      <c r="T354">
        <f t="shared" si="33"/>
        <v>0</v>
      </c>
    </row>
    <row r="355" spans="1:20" x14ac:dyDescent="0.25">
      <c r="A355" s="5"/>
      <c r="C355"/>
      <c r="D355"/>
      <c r="P355">
        <f t="shared" si="29"/>
        <v>0</v>
      </c>
      <c r="Q355">
        <f t="shared" si="30"/>
        <v>0</v>
      </c>
      <c r="R355">
        <f t="shared" si="31"/>
        <v>0</v>
      </c>
      <c r="S355">
        <f t="shared" si="32"/>
        <v>0</v>
      </c>
      <c r="T355">
        <f t="shared" si="33"/>
        <v>0</v>
      </c>
    </row>
    <row r="356" spans="1:20" x14ac:dyDescent="0.25">
      <c r="A356" s="5"/>
      <c r="C356"/>
      <c r="D356"/>
      <c r="P356">
        <f t="shared" si="29"/>
        <v>0</v>
      </c>
      <c r="Q356">
        <f t="shared" si="30"/>
        <v>0</v>
      </c>
      <c r="R356">
        <f t="shared" si="31"/>
        <v>0</v>
      </c>
      <c r="S356">
        <f t="shared" si="32"/>
        <v>0</v>
      </c>
      <c r="T356">
        <f t="shared" si="33"/>
        <v>0</v>
      </c>
    </row>
    <row r="357" spans="1:20" x14ac:dyDescent="0.25">
      <c r="A357" s="5"/>
      <c r="P357">
        <f t="shared" si="29"/>
        <v>0</v>
      </c>
      <c r="Q357">
        <f t="shared" si="30"/>
        <v>0</v>
      </c>
      <c r="R357">
        <f t="shared" si="31"/>
        <v>0</v>
      </c>
      <c r="S357">
        <f t="shared" si="32"/>
        <v>0</v>
      </c>
      <c r="T357">
        <f t="shared" si="33"/>
        <v>0</v>
      </c>
    </row>
    <row r="358" spans="1:20" x14ac:dyDescent="0.25">
      <c r="A358" s="5"/>
      <c r="P358">
        <f t="shared" si="29"/>
        <v>0</v>
      </c>
      <c r="Q358">
        <f t="shared" si="30"/>
        <v>0</v>
      </c>
      <c r="R358">
        <f t="shared" si="31"/>
        <v>0</v>
      </c>
      <c r="S358">
        <f t="shared" si="32"/>
        <v>0</v>
      </c>
      <c r="T358">
        <f t="shared" si="33"/>
        <v>0</v>
      </c>
    </row>
    <row r="359" spans="1:20" x14ac:dyDescent="0.25">
      <c r="A359" s="5"/>
      <c r="P359">
        <f t="shared" si="29"/>
        <v>0</v>
      </c>
      <c r="Q359">
        <f t="shared" si="30"/>
        <v>0</v>
      </c>
      <c r="R359">
        <f t="shared" si="31"/>
        <v>0</v>
      </c>
      <c r="S359">
        <f t="shared" si="32"/>
        <v>0</v>
      </c>
      <c r="T359">
        <f t="shared" si="33"/>
        <v>0</v>
      </c>
    </row>
    <row r="360" spans="1:20" x14ac:dyDescent="0.25">
      <c r="A360" s="5"/>
      <c r="P360">
        <f t="shared" si="29"/>
        <v>0</v>
      </c>
      <c r="Q360">
        <f t="shared" si="30"/>
        <v>0</v>
      </c>
      <c r="R360">
        <f t="shared" si="31"/>
        <v>0</v>
      </c>
      <c r="S360">
        <f t="shared" si="32"/>
        <v>0</v>
      </c>
      <c r="T360">
        <f t="shared" si="33"/>
        <v>0</v>
      </c>
    </row>
    <row r="361" spans="1:20" x14ac:dyDescent="0.25">
      <c r="A361" s="5"/>
      <c r="P361">
        <f t="shared" si="29"/>
        <v>0</v>
      </c>
      <c r="Q361">
        <f t="shared" si="30"/>
        <v>0</v>
      </c>
      <c r="R361">
        <f t="shared" si="31"/>
        <v>0</v>
      </c>
      <c r="S361">
        <f t="shared" si="32"/>
        <v>0</v>
      </c>
      <c r="T361">
        <f t="shared" si="33"/>
        <v>0</v>
      </c>
    </row>
    <row r="362" spans="1:20" x14ac:dyDescent="0.25">
      <c r="A362" s="5"/>
      <c r="P362">
        <f t="shared" si="29"/>
        <v>0</v>
      </c>
      <c r="Q362">
        <f t="shared" si="30"/>
        <v>0</v>
      </c>
      <c r="R362">
        <f t="shared" si="31"/>
        <v>0</v>
      </c>
      <c r="S362">
        <f t="shared" si="32"/>
        <v>0</v>
      </c>
      <c r="T362">
        <f t="shared" si="33"/>
        <v>0</v>
      </c>
    </row>
    <row r="363" spans="1:20" x14ac:dyDescent="0.25">
      <c r="A363" s="5"/>
      <c r="P363">
        <f t="shared" si="29"/>
        <v>0</v>
      </c>
      <c r="Q363">
        <f t="shared" si="30"/>
        <v>0</v>
      </c>
      <c r="R363">
        <f t="shared" si="31"/>
        <v>0</v>
      </c>
      <c r="S363">
        <f t="shared" si="32"/>
        <v>0</v>
      </c>
      <c r="T363">
        <f t="shared" si="33"/>
        <v>0</v>
      </c>
    </row>
    <row r="364" spans="1:20" x14ac:dyDescent="0.25">
      <c r="A364" s="5"/>
      <c r="P364">
        <f t="shared" si="29"/>
        <v>0</v>
      </c>
      <c r="Q364">
        <f t="shared" si="30"/>
        <v>0</v>
      </c>
      <c r="R364">
        <f t="shared" si="31"/>
        <v>0</v>
      </c>
      <c r="S364">
        <f t="shared" si="32"/>
        <v>0</v>
      </c>
      <c r="T364">
        <f t="shared" si="33"/>
        <v>0</v>
      </c>
    </row>
    <row r="365" spans="1:20" x14ac:dyDescent="0.25">
      <c r="A365" s="5"/>
      <c r="P365">
        <f t="shared" si="29"/>
        <v>0</v>
      </c>
      <c r="Q365">
        <f t="shared" si="30"/>
        <v>0</v>
      </c>
      <c r="R365">
        <f t="shared" si="31"/>
        <v>0</v>
      </c>
      <c r="S365">
        <f t="shared" si="32"/>
        <v>0</v>
      </c>
      <c r="T365">
        <f t="shared" si="33"/>
        <v>0</v>
      </c>
    </row>
    <row r="366" spans="1:20" x14ac:dyDescent="0.25">
      <c r="A366" s="5"/>
      <c r="P366">
        <f t="shared" si="29"/>
        <v>0</v>
      </c>
      <c r="Q366">
        <f t="shared" si="30"/>
        <v>0</v>
      </c>
      <c r="R366">
        <f t="shared" si="31"/>
        <v>0</v>
      </c>
      <c r="S366">
        <f t="shared" si="32"/>
        <v>0</v>
      </c>
      <c r="T366">
        <f t="shared" si="33"/>
        <v>0</v>
      </c>
    </row>
    <row r="367" spans="1:20" x14ac:dyDescent="0.25">
      <c r="A367" s="5"/>
      <c r="P367">
        <f t="shared" si="29"/>
        <v>0</v>
      </c>
      <c r="Q367">
        <f t="shared" si="30"/>
        <v>0</v>
      </c>
      <c r="R367">
        <f t="shared" si="31"/>
        <v>0</v>
      </c>
      <c r="S367">
        <f t="shared" si="32"/>
        <v>0</v>
      </c>
      <c r="T367">
        <f t="shared" si="33"/>
        <v>0</v>
      </c>
    </row>
    <row r="368" spans="1:20" x14ac:dyDescent="0.25">
      <c r="A368" s="5"/>
      <c r="P368">
        <f t="shared" si="29"/>
        <v>0</v>
      </c>
      <c r="Q368">
        <f t="shared" si="30"/>
        <v>0</v>
      </c>
      <c r="R368">
        <f t="shared" si="31"/>
        <v>0</v>
      </c>
      <c r="S368">
        <f t="shared" si="32"/>
        <v>0</v>
      </c>
      <c r="T368">
        <f t="shared" si="33"/>
        <v>0</v>
      </c>
    </row>
    <row r="369" spans="1:104" x14ac:dyDescent="0.25">
      <c r="A369" s="5"/>
      <c r="P369">
        <f t="shared" si="29"/>
        <v>0</v>
      </c>
      <c r="Q369">
        <f t="shared" si="30"/>
        <v>0</v>
      </c>
      <c r="R369">
        <f t="shared" si="31"/>
        <v>0</v>
      </c>
      <c r="S369">
        <f t="shared" si="32"/>
        <v>0</v>
      </c>
      <c r="T369">
        <f t="shared" si="33"/>
        <v>0</v>
      </c>
      <c r="CZ369" t="s">
        <v>7</v>
      </c>
    </row>
    <row r="370" spans="1:104" x14ac:dyDescent="0.25">
      <c r="A370" s="5"/>
      <c r="P370">
        <f t="shared" si="29"/>
        <v>0</v>
      </c>
      <c r="Q370">
        <f t="shared" si="30"/>
        <v>0</v>
      </c>
      <c r="R370">
        <f t="shared" si="31"/>
        <v>0</v>
      </c>
      <c r="S370">
        <f t="shared" si="32"/>
        <v>0</v>
      </c>
      <c r="T370">
        <f t="shared" si="33"/>
        <v>0</v>
      </c>
      <c r="CZ370" t="s">
        <v>7</v>
      </c>
    </row>
    <row r="371" spans="1:104" x14ac:dyDescent="0.25">
      <c r="A371" s="5"/>
      <c r="P371">
        <f t="shared" si="29"/>
        <v>0</v>
      </c>
      <c r="Q371">
        <f t="shared" si="30"/>
        <v>0</v>
      </c>
      <c r="R371">
        <f t="shared" si="31"/>
        <v>0</v>
      </c>
      <c r="S371">
        <f t="shared" si="32"/>
        <v>0</v>
      </c>
      <c r="T371">
        <f t="shared" si="33"/>
        <v>0</v>
      </c>
      <c r="CZ371" t="s">
        <v>7</v>
      </c>
    </row>
    <row r="372" spans="1:104" x14ac:dyDescent="0.25">
      <c r="A372" s="5"/>
      <c r="P372">
        <f t="shared" si="29"/>
        <v>0</v>
      </c>
      <c r="Q372">
        <f t="shared" si="30"/>
        <v>0</v>
      </c>
      <c r="R372">
        <f t="shared" si="31"/>
        <v>0</v>
      </c>
      <c r="S372">
        <f t="shared" si="32"/>
        <v>0</v>
      </c>
      <c r="T372">
        <f t="shared" si="33"/>
        <v>0</v>
      </c>
    </row>
    <row r="373" spans="1:104" x14ac:dyDescent="0.25">
      <c r="A373" s="5"/>
      <c r="C373"/>
      <c r="D373"/>
      <c r="P373">
        <f t="shared" si="29"/>
        <v>0</v>
      </c>
      <c r="Q373">
        <f t="shared" si="30"/>
        <v>0</v>
      </c>
      <c r="R373">
        <f t="shared" si="31"/>
        <v>0</v>
      </c>
      <c r="S373">
        <f t="shared" si="32"/>
        <v>0</v>
      </c>
      <c r="T373">
        <f t="shared" si="33"/>
        <v>0</v>
      </c>
    </row>
    <row r="374" spans="1:104" x14ac:dyDescent="0.25">
      <c r="A374" s="5"/>
      <c r="C374"/>
      <c r="D374"/>
      <c r="P374">
        <f t="shared" si="29"/>
        <v>0</v>
      </c>
      <c r="Q374">
        <f t="shared" si="30"/>
        <v>0</v>
      </c>
      <c r="R374">
        <f t="shared" si="31"/>
        <v>0</v>
      </c>
      <c r="S374">
        <f t="shared" si="32"/>
        <v>0</v>
      </c>
      <c r="T374">
        <f t="shared" si="33"/>
        <v>0</v>
      </c>
    </row>
    <row r="375" spans="1:104" x14ac:dyDescent="0.25">
      <c r="A375" s="5"/>
      <c r="C375"/>
      <c r="D375"/>
      <c r="P375">
        <f t="shared" si="29"/>
        <v>0</v>
      </c>
      <c r="Q375">
        <f t="shared" si="30"/>
        <v>0</v>
      </c>
      <c r="R375">
        <f t="shared" si="31"/>
        <v>0</v>
      </c>
      <c r="S375">
        <f t="shared" si="32"/>
        <v>0</v>
      </c>
      <c r="T375">
        <f t="shared" si="33"/>
        <v>0</v>
      </c>
    </row>
    <row r="376" spans="1:104" x14ac:dyDescent="0.25">
      <c r="A376" s="5"/>
      <c r="C376"/>
      <c r="D376"/>
      <c r="P376">
        <f t="shared" si="29"/>
        <v>0</v>
      </c>
      <c r="Q376">
        <f t="shared" si="30"/>
        <v>0</v>
      </c>
      <c r="R376">
        <f t="shared" si="31"/>
        <v>0</v>
      </c>
      <c r="S376">
        <f t="shared" si="32"/>
        <v>0</v>
      </c>
      <c r="T376">
        <f t="shared" si="33"/>
        <v>0</v>
      </c>
    </row>
    <row r="377" spans="1:104" x14ac:dyDescent="0.25">
      <c r="A377" s="5"/>
      <c r="C377"/>
      <c r="D377"/>
      <c r="P377">
        <f t="shared" si="29"/>
        <v>0</v>
      </c>
      <c r="Q377">
        <f t="shared" si="30"/>
        <v>0</v>
      </c>
      <c r="R377">
        <f t="shared" si="31"/>
        <v>0</v>
      </c>
      <c r="S377">
        <f t="shared" si="32"/>
        <v>0</v>
      </c>
      <c r="T377">
        <f t="shared" si="33"/>
        <v>0</v>
      </c>
    </row>
    <row r="378" spans="1:104" x14ac:dyDescent="0.25">
      <c r="A378" s="5"/>
      <c r="C378"/>
      <c r="D378"/>
      <c r="P378">
        <f t="shared" si="29"/>
        <v>0</v>
      </c>
      <c r="Q378">
        <f t="shared" si="30"/>
        <v>0</v>
      </c>
      <c r="R378">
        <f t="shared" si="31"/>
        <v>0</v>
      </c>
      <c r="S378">
        <f t="shared" si="32"/>
        <v>0</v>
      </c>
      <c r="T378">
        <f t="shared" si="33"/>
        <v>0</v>
      </c>
    </row>
    <row r="379" spans="1:104" x14ac:dyDescent="0.25">
      <c r="A379" s="5"/>
      <c r="C379"/>
      <c r="D379"/>
      <c r="P379">
        <f t="shared" si="29"/>
        <v>0</v>
      </c>
      <c r="Q379">
        <f t="shared" si="30"/>
        <v>0</v>
      </c>
      <c r="R379">
        <f t="shared" si="31"/>
        <v>0</v>
      </c>
      <c r="S379">
        <f t="shared" si="32"/>
        <v>0</v>
      </c>
      <c r="T379">
        <f t="shared" si="33"/>
        <v>0</v>
      </c>
    </row>
    <row r="380" spans="1:104" x14ac:dyDescent="0.25">
      <c r="A380" s="5"/>
      <c r="C380"/>
      <c r="D380"/>
      <c r="P380">
        <f t="shared" si="29"/>
        <v>0</v>
      </c>
      <c r="Q380">
        <f t="shared" si="30"/>
        <v>0</v>
      </c>
      <c r="R380">
        <f t="shared" si="31"/>
        <v>0</v>
      </c>
      <c r="S380">
        <f t="shared" si="32"/>
        <v>0</v>
      </c>
      <c r="T380">
        <f t="shared" si="33"/>
        <v>0</v>
      </c>
    </row>
    <row r="381" spans="1:104" x14ac:dyDescent="0.25">
      <c r="A381" s="5"/>
      <c r="C381"/>
      <c r="D381"/>
      <c r="P381">
        <f t="shared" si="29"/>
        <v>0</v>
      </c>
      <c r="Q381">
        <f t="shared" si="30"/>
        <v>0</v>
      </c>
      <c r="R381">
        <f t="shared" si="31"/>
        <v>0</v>
      </c>
      <c r="S381">
        <f t="shared" si="32"/>
        <v>0</v>
      </c>
      <c r="T381">
        <f t="shared" si="33"/>
        <v>0</v>
      </c>
    </row>
    <row r="382" spans="1:104" x14ac:dyDescent="0.25">
      <c r="A382" s="5"/>
      <c r="C382"/>
      <c r="D382"/>
      <c r="P382">
        <f t="shared" si="29"/>
        <v>0</v>
      </c>
      <c r="Q382">
        <f t="shared" si="30"/>
        <v>0</v>
      </c>
      <c r="R382">
        <f t="shared" si="31"/>
        <v>0</v>
      </c>
      <c r="S382">
        <f t="shared" si="32"/>
        <v>0</v>
      </c>
      <c r="T382">
        <f t="shared" si="33"/>
        <v>0</v>
      </c>
    </row>
    <row r="383" spans="1:104" x14ac:dyDescent="0.25">
      <c r="A383" s="5"/>
      <c r="C383"/>
      <c r="D383"/>
      <c r="P383">
        <f t="shared" si="29"/>
        <v>0</v>
      </c>
      <c r="Q383">
        <f t="shared" si="30"/>
        <v>0</v>
      </c>
      <c r="R383">
        <f t="shared" si="31"/>
        <v>0</v>
      </c>
      <c r="S383">
        <f t="shared" si="32"/>
        <v>0</v>
      </c>
      <c r="T383">
        <f t="shared" si="33"/>
        <v>0</v>
      </c>
    </row>
    <row r="384" spans="1:104" x14ac:dyDescent="0.25">
      <c r="A384" s="5"/>
      <c r="C384"/>
      <c r="D384"/>
      <c r="P384">
        <f t="shared" si="29"/>
        <v>0</v>
      </c>
      <c r="Q384">
        <f t="shared" si="30"/>
        <v>0</v>
      </c>
      <c r="R384">
        <f t="shared" si="31"/>
        <v>0</v>
      </c>
      <c r="S384">
        <f t="shared" si="32"/>
        <v>0</v>
      </c>
      <c r="T384">
        <f t="shared" si="33"/>
        <v>0</v>
      </c>
    </row>
    <row r="385" spans="1:20" x14ac:dyDescent="0.25">
      <c r="A385" s="5"/>
      <c r="C385"/>
      <c r="D385"/>
      <c r="P385">
        <f t="shared" si="29"/>
        <v>0</v>
      </c>
      <c r="Q385">
        <f t="shared" si="30"/>
        <v>0</v>
      </c>
      <c r="R385">
        <f t="shared" si="31"/>
        <v>0</v>
      </c>
      <c r="S385">
        <f t="shared" si="32"/>
        <v>0</v>
      </c>
      <c r="T385">
        <f t="shared" si="33"/>
        <v>0</v>
      </c>
    </row>
    <row r="386" spans="1:20" x14ac:dyDescent="0.25">
      <c r="A386" s="5"/>
      <c r="C386"/>
      <c r="D386"/>
      <c r="P386">
        <f t="shared" si="29"/>
        <v>0</v>
      </c>
      <c r="Q386">
        <f t="shared" si="30"/>
        <v>0</v>
      </c>
      <c r="R386">
        <f t="shared" si="31"/>
        <v>0</v>
      </c>
      <c r="S386">
        <f t="shared" si="32"/>
        <v>0</v>
      </c>
      <c r="T386">
        <f t="shared" si="33"/>
        <v>0</v>
      </c>
    </row>
    <row r="387" spans="1:20" x14ac:dyDescent="0.25">
      <c r="A387" s="5"/>
      <c r="C387"/>
      <c r="D387"/>
      <c r="P387">
        <f t="shared" si="29"/>
        <v>0</v>
      </c>
      <c r="Q387">
        <f t="shared" si="30"/>
        <v>0</v>
      </c>
      <c r="R387">
        <f t="shared" si="31"/>
        <v>0</v>
      </c>
      <c r="S387">
        <f t="shared" si="32"/>
        <v>0</v>
      </c>
      <c r="T387">
        <f t="shared" si="33"/>
        <v>0</v>
      </c>
    </row>
    <row r="388" spans="1:20" x14ac:dyDescent="0.25">
      <c r="A388" s="5"/>
      <c r="C388"/>
      <c r="D388"/>
      <c r="P388">
        <f t="shared" si="29"/>
        <v>0</v>
      </c>
      <c r="Q388">
        <f t="shared" si="30"/>
        <v>0</v>
      </c>
      <c r="R388">
        <f t="shared" si="31"/>
        <v>0</v>
      </c>
      <c r="S388">
        <f t="shared" si="32"/>
        <v>0</v>
      </c>
      <c r="T388">
        <f t="shared" si="33"/>
        <v>0</v>
      </c>
    </row>
    <row r="389" spans="1:20" x14ac:dyDescent="0.25">
      <c r="A389" s="5"/>
      <c r="C389"/>
      <c r="D389"/>
      <c r="P389">
        <f t="shared" si="29"/>
        <v>0</v>
      </c>
      <c r="Q389">
        <f t="shared" si="30"/>
        <v>0</v>
      </c>
      <c r="R389">
        <f t="shared" si="31"/>
        <v>0</v>
      </c>
      <c r="S389">
        <f t="shared" si="32"/>
        <v>0</v>
      </c>
      <c r="T389">
        <f t="shared" si="33"/>
        <v>0</v>
      </c>
    </row>
    <row r="390" spans="1:20" x14ac:dyDescent="0.25">
      <c r="A390" s="5"/>
      <c r="C390"/>
      <c r="D390"/>
      <c r="P390">
        <f t="shared" ref="P390:P453" si="34">IF(C390=D390,0,((E390-D390)-(C390-E390))/(C390-D390))</f>
        <v>0</v>
      </c>
      <c r="Q390">
        <f t="shared" ref="Q390:Q453" si="35">F390*P390</f>
        <v>0</v>
      </c>
      <c r="R390">
        <f t="shared" ref="R390:R453" si="36">R391+Q390</f>
        <v>0</v>
      </c>
      <c r="S390">
        <f t="shared" ref="S390:S453" si="37">R390/100000</f>
        <v>0</v>
      </c>
      <c r="T390">
        <f t="shared" ref="T390:T453" si="38">S390/1000</f>
        <v>0</v>
      </c>
    </row>
    <row r="391" spans="1:20" x14ac:dyDescent="0.25">
      <c r="A391" s="5"/>
      <c r="C391"/>
      <c r="D391"/>
      <c r="P391">
        <f t="shared" si="34"/>
        <v>0</v>
      </c>
      <c r="Q391">
        <f t="shared" si="35"/>
        <v>0</v>
      </c>
      <c r="R391">
        <f t="shared" si="36"/>
        <v>0</v>
      </c>
      <c r="S391">
        <f t="shared" si="37"/>
        <v>0</v>
      </c>
      <c r="T391">
        <f t="shared" si="38"/>
        <v>0</v>
      </c>
    </row>
    <row r="392" spans="1:20" x14ac:dyDescent="0.25">
      <c r="A392" s="5"/>
      <c r="C392"/>
      <c r="D392"/>
      <c r="P392">
        <f t="shared" si="34"/>
        <v>0</v>
      </c>
      <c r="Q392">
        <f t="shared" si="35"/>
        <v>0</v>
      </c>
      <c r="R392">
        <f t="shared" si="36"/>
        <v>0</v>
      </c>
      <c r="S392">
        <f t="shared" si="37"/>
        <v>0</v>
      </c>
      <c r="T392">
        <f t="shared" si="38"/>
        <v>0</v>
      </c>
    </row>
    <row r="393" spans="1:20" x14ac:dyDescent="0.25">
      <c r="A393" s="5"/>
      <c r="C393"/>
      <c r="D393"/>
      <c r="P393">
        <f t="shared" si="34"/>
        <v>0</v>
      </c>
      <c r="Q393">
        <f t="shared" si="35"/>
        <v>0</v>
      </c>
      <c r="R393">
        <f t="shared" si="36"/>
        <v>0</v>
      </c>
      <c r="S393">
        <f t="shared" si="37"/>
        <v>0</v>
      </c>
      <c r="T393">
        <f t="shared" si="38"/>
        <v>0</v>
      </c>
    </row>
    <row r="394" spans="1:20" x14ac:dyDescent="0.25">
      <c r="A394" s="5"/>
      <c r="C394"/>
      <c r="D394"/>
      <c r="P394">
        <f t="shared" si="34"/>
        <v>0</v>
      </c>
      <c r="Q394">
        <f t="shared" si="35"/>
        <v>0</v>
      </c>
      <c r="R394">
        <f t="shared" si="36"/>
        <v>0</v>
      </c>
      <c r="S394">
        <f t="shared" si="37"/>
        <v>0</v>
      </c>
      <c r="T394">
        <f t="shared" si="38"/>
        <v>0</v>
      </c>
    </row>
    <row r="395" spans="1:20" x14ac:dyDescent="0.25">
      <c r="A395" s="5"/>
      <c r="C395"/>
      <c r="D395"/>
      <c r="P395">
        <f t="shared" si="34"/>
        <v>0</v>
      </c>
      <c r="Q395">
        <f t="shared" si="35"/>
        <v>0</v>
      </c>
      <c r="R395">
        <f t="shared" si="36"/>
        <v>0</v>
      </c>
      <c r="S395">
        <f t="shared" si="37"/>
        <v>0</v>
      </c>
      <c r="T395">
        <f t="shared" si="38"/>
        <v>0</v>
      </c>
    </row>
    <row r="396" spans="1:20" x14ac:dyDescent="0.25">
      <c r="A396" s="5"/>
      <c r="C396"/>
      <c r="D396"/>
      <c r="P396">
        <f t="shared" si="34"/>
        <v>0</v>
      </c>
      <c r="Q396">
        <f t="shared" si="35"/>
        <v>0</v>
      </c>
      <c r="R396">
        <f t="shared" si="36"/>
        <v>0</v>
      </c>
      <c r="S396">
        <f t="shared" si="37"/>
        <v>0</v>
      </c>
      <c r="T396">
        <f t="shared" si="38"/>
        <v>0</v>
      </c>
    </row>
    <row r="397" spans="1:20" x14ac:dyDescent="0.25">
      <c r="A397" s="5"/>
      <c r="C397"/>
      <c r="D397"/>
      <c r="P397">
        <f t="shared" si="34"/>
        <v>0</v>
      </c>
      <c r="Q397">
        <f t="shared" si="35"/>
        <v>0</v>
      </c>
      <c r="R397">
        <f t="shared" si="36"/>
        <v>0</v>
      </c>
      <c r="S397">
        <f t="shared" si="37"/>
        <v>0</v>
      </c>
      <c r="T397">
        <f t="shared" si="38"/>
        <v>0</v>
      </c>
    </row>
    <row r="398" spans="1:20" x14ac:dyDescent="0.25">
      <c r="A398" s="5"/>
      <c r="C398"/>
      <c r="D398"/>
      <c r="P398">
        <f t="shared" si="34"/>
        <v>0</v>
      </c>
      <c r="Q398">
        <f t="shared" si="35"/>
        <v>0</v>
      </c>
      <c r="R398">
        <f t="shared" si="36"/>
        <v>0</v>
      </c>
      <c r="S398">
        <f t="shared" si="37"/>
        <v>0</v>
      </c>
      <c r="T398">
        <f t="shared" si="38"/>
        <v>0</v>
      </c>
    </row>
    <row r="399" spans="1:20" x14ac:dyDescent="0.25">
      <c r="A399" s="5"/>
      <c r="C399"/>
      <c r="D399"/>
      <c r="P399">
        <f t="shared" si="34"/>
        <v>0</v>
      </c>
      <c r="Q399">
        <f t="shared" si="35"/>
        <v>0</v>
      </c>
      <c r="R399">
        <f t="shared" si="36"/>
        <v>0</v>
      </c>
      <c r="S399">
        <f t="shared" si="37"/>
        <v>0</v>
      </c>
      <c r="T399">
        <f t="shared" si="38"/>
        <v>0</v>
      </c>
    </row>
    <row r="400" spans="1:20" x14ac:dyDescent="0.25">
      <c r="A400" s="5"/>
      <c r="C400"/>
      <c r="D400"/>
      <c r="P400">
        <f t="shared" si="34"/>
        <v>0</v>
      </c>
      <c r="Q400">
        <f t="shared" si="35"/>
        <v>0</v>
      </c>
      <c r="R400">
        <f t="shared" si="36"/>
        <v>0</v>
      </c>
      <c r="S400">
        <f t="shared" si="37"/>
        <v>0</v>
      </c>
      <c r="T400">
        <f t="shared" si="38"/>
        <v>0</v>
      </c>
    </row>
    <row r="401" spans="1:20" x14ac:dyDescent="0.25">
      <c r="A401" s="5"/>
      <c r="C401"/>
      <c r="D401"/>
      <c r="P401">
        <f t="shared" si="34"/>
        <v>0</v>
      </c>
      <c r="Q401">
        <f t="shared" si="35"/>
        <v>0</v>
      </c>
      <c r="R401">
        <f t="shared" si="36"/>
        <v>0</v>
      </c>
      <c r="S401">
        <f t="shared" si="37"/>
        <v>0</v>
      </c>
      <c r="T401">
        <f t="shared" si="38"/>
        <v>0</v>
      </c>
    </row>
    <row r="402" spans="1:20" x14ac:dyDescent="0.25">
      <c r="A402" s="5"/>
      <c r="C402"/>
      <c r="D402"/>
      <c r="P402">
        <f t="shared" si="34"/>
        <v>0</v>
      </c>
      <c r="Q402">
        <f t="shared" si="35"/>
        <v>0</v>
      </c>
      <c r="R402">
        <f t="shared" si="36"/>
        <v>0</v>
      </c>
      <c r="S402">
        <f t="shared" si="37"/>
        <v>0</v>
      </c>
      <c r="T402">
        <f t="shared" si="38"/>
        <v>0</v>
      </c>
    </row>
    <row r="403" spans="1:20" x14ac:dyDescent="0.25">
      <c r="A403" s="5"/>
      <c r="C403"/>
      <c r="D403"/>
      <c r="P403">
        <f t="shared" si="34"/>
        <v>0</v>
      </c>
      <c r="Q403">
        <f t="shared" si="35"/>
        <v>0</v>
      </c>
      <c r="R403">
        <f t="shared" si="36"/>
        <v>0</v>
      </c>
      <c r="S403">
        <f t="shared" si="37"/>
        <v>0</v>
      </c>
      <c r="T403">
        <f t="shared" si="38"/>
        <v>0</v>
      </c>
    </row>
    <row r="404" spans="1:20" x14ac:dyDescent="0.25">
      <c r="A404" s="5"/>
      <c r="C404"/>
      <c r="D404"/>
      <c r="P404">
        <f t="shared" si="34"/>
        <v>0</v>
      </c>
      <c r="Q404">
        <f t="shared" si="35"/>
        <v>0</v>
      </c>
      <c r="R404">
        <f t="shared" si="36"/>
        <v>0</v>
      </c>
      <c r="S404">
        <f t="shared" si="37"/>
        <v>0</v>
      </c>
      <c r="T404">
        <f t="shared" si="38"/>
        <v>0</v>
      </c>
    </row>
    <row r="405" spans="1:20" x14ac:dyDescent="0.25">
      <c r="A405" s="5"/>
      <c r="C405"/>
      <c r="D405"/>
      <c r="P405">
        <f t="shared" si="34"/>
        <v>0</v>
      </c>
      <c r="Q405">
        <f t="shared" si="35"/>
        <v>0</v>
      </c>
      <c r="R405">
        <f t="shared" si="36"/>
        <v>0</v>
      </c>
      <c r="S405">
        <f t="shared" si="37"/>
        <v>0</v>
      </c>
      <c r="T405">
        <f t="shared" si="38"/>
        <v>0</v>
      </c>
    </row>
    <row r="406" spans="1:20" x14ac:dyDescent="0.25">
      <c r="A406" s="5"/>
      <c r="C406"/>
      <c r="D406"/>
      <c r="P406">
        <f t="shared" si="34"/>
        <v>0</v>
      </c>
      <c r="Q406">
        <f t="shared" si="35"/>
        <v>0</v>
      </c>
      <c r="R406">
        <f t="shared" si="36"/>
        <v>0</v>
      </c>
      <c r="S406">
        <f t="shared" si="37"/>
        <v>0</v>
      </c>
      <c r="T406">
        <f t="shared" si="38"/>
        <v>0</v>
      </c>
    </row>
    <row r="407" spans="1:20" x14ac:dyDescent="0.25">
      <c r="A407" s="5"/>
      <c r="C407"/>
      <c r="D407"/>
      <c r="P407">
        <f t="shared" si="34"/>
        <v>0</v>
      </c>
      <c r="Q407">
        <f t="shared" si="35"/>
        <v>0</v>
      </c>
      <c r="R407">
        <f t="shared" si="36"/>
        <v>0</v>
      </c>
      <c r="S407">
        <f t="shared" si="37"/>
        <v>0</v>
      </c>
      <c r="T407">
        <f t="shared" si="38"/>
        <v>0</v>
      </c>
    </row>
    <row r="408" spans="1:20" x14ac:dyDescent="0.25">
      <c r="A408" s="5"/>
      <c r="C408"/>
      <c r="D408"/>
      <c r="P408">
        <f t="shared" si="34"/>
        <v>0</v>
      </c>
      <c r="Q408">
        <f t="shared" si="35"/>
        <v>0</v>
      </c>
      <c r="R408">
        <f t="shared" si="36"/>
        <v>0</v>
      </c>
      <c r="S408">
        <f t="shared" si="37"/>
        <v>0</v>
      </c>
      <c r="T408">
        <f t="shared" si="38"/>
        <v>0</v>
      </c>
    </row>
    <row r="409" spans="1:20" x14ac:dyDescent="0.25">
      <c r="A409" s="5"/>
      <c r="C409"/>
      <c r="D409"/>
      <c r="P409">
        <f t="shared" si="34"/>
        <v>0</v>
      </c>
      <c r="Q409">
        <f t="shared" si="35"/>
        <v>0</v>
      </c>
      <c r="R409">
        <f t="shared" si="36"/>
        <v>0</v>
      </c>
      <c r="S409">
        <f t="shared" si="37"/>
        <v>0</v>
      </c>
      <c r="T409">
        <f t="shared" si="38"/>
        <v>0</v>
      </c>
    </row>
    <row r="410" spans="1:20" x14ac:dyDescent="0.25">
      <c r="A410" s="5"/>
      <c r="C410"/>
      <c r="D410"/>
      <c r="P410">
        <f t="shared" si="34"/>
        <v>0</v>
      </c>
      <c r="Q410">
        <f t="shared" si="35"/>
        <v>0</v>
      </c>
      <c r="R410">
        <f t="shared" si="36"/>
        <v>0</v>
      </c>
      <c r="S410">
        <f t="shared" si="37"/>
        <v>0</v>
      </c>
      <c r="T410">
        <f t="shared" si="38"/>
        <v>0</v>
      </c>
    </row>
    <row r="411" spans="1:20" x14ac:dyDescent="0.25">
      <c r="A411" s="5"/>
      <c r="C411"/>
      <c r="D411"/>
      <c r="P411">
        <f t="shared" si="34"/>
        <v>0</v>
      </c>
      <c r="Q411">
        <f t="shared" si="35"/>
        <v>0</v>
      </c>
      <c r="R411">
        <f t="shared" si="36"/>
        <v>0</v>
      </c>
      <c r="S411">
        <f t="shared" si="37"/>
        <v>0</v>
      </c>
      <c r="T411">
        <f t="shared" si="38"/>
        <v>0</v>
      </c>
    </row>
    <row r="412" spans="1:20" x14ac:dyDescent="0.25">
      <c r="A412" s="5"/>
      <c r="C412"/>
      <c r="D412"/>
      <c r="P412">
        <f t="shared" si="34"/>
        <v>0</v>
      </c>
      <c r="Q412">
        <f t="shared" si="35"/>
        <v>0</v>
      </c>
      <c r="R412">
        <f t="shared" si="36"/>
        <v>0</v>
      </c>
      <c r="S412">
        <f t="shared" si="37"/>
        <v>0</v>
      </c>
      <c r="T412">
        <f t="shared" si="38"/>
        <v>0</v>
      </c>
    </row>
    <row r="413" spans="1:20" x14ac:dyDescent="0.25">
      <c r="A413" s="5"/>
      <c r="C413"/>
      <c r="D413"/>
      <c r="P413">
        <f t="shared" si="34"/>
        <v>0</v>
      </c>
      <c r="Q413">
        <f t="shared" si="35"/>
        <v>0</v>
      </c>
      <c r="R413">
        <f t="shared" si="36"/>
        <v>0</v>
      </c>
      <c r="S413">
        <f t="shared" si="37"/>
        <v>0</v>
      </c>
      <c r="T413">
        <f t="shared" si="38"/>
        <v>0</v>
      </c>
    </row>
    <row r="414" spans="1:20" x14ac:dyDescent="0.25">
      <c r="A414" s="5"/>
      <c r="C414"/>
      <c r="D414"/>
      <c r="P414">
        <f t="shared" si="34"/>
        <v>0</v>
      </c>
      <c r="Q414">
        <f t="shared" si="35"/>
        <v>0</v>
      </c>
      <c r="R414">
        <f t="shared" si="36"/>
        <v>0</v>
      </c>
      <c r="S414">
        <f t="shared" si="37"/>
        <v>0</v>
      </c>
      <c r="T414">
        <f t="shared" si="38"/>
        <v>0</v>
      </c>
    </row>
    <row r="415" spans="1:20" x14ac:dyDescent="0.25">
      <c r="A415" s="5"/>
      <c r="C415"/>
      <c r="D415"/>
      <c r="P415">
        <f t="shared" si="34"/>
        <v>0</v>
      </c>
      <c r="Q415">
        <f t="shared" si="35"/>
        <v>0</v>
      </c>
      <c r="R415">
        <f t="shared" si="36"/>
        <v>0</v>
      </c>
      <c r="S415">
        <f t="shared" si="37"/>
        <v>0</v>
      </c>
      <c r="T415">
        <f t="shared" si="38"/>
        <v>0</v>
      </c>
    </row>
    <row r="416" spans="1:20" x14ac:dyDescent="0.25">
      <c r="A416" s="5"/>
      <c r="C416"/>
      <c r="D416"/>
      <c r="P416">
        <f t="shared" si="34"/>
        <v>0</v>
      </c>
      <c r="Q416">
        <f t="shared" si="35"/>
        <v>0</v>
      </c>
      <c r="R416">
        <f t="shared" si="36"/>
        <v>0</v>
      </c>
      <c r="S416">
        <f t="shared" si="37"/>
        <v>0</v>
      </c>
      <c r="T416">
        <f t="shared" si="38"/>
        <v>0</v>
      </c>
    </row>
    <row r="417" spans="1:20" x14ac:dyDescent="0.25">
      <c r="A417" s="5"/>
      <c r="C417"/>
      <c r="D417"/>
      <c r="P417">
        <f t="shared" si="34"/>
        <v>0</v>
      </c>
      <c r="Q417">
        <f t="shared" si="35"/>
        <v>0</v>
      </c>
      <c r="R417">
        <f t="shared" si="36"/>
        <v>0</v>
      </c>
      <c r="S417">
        <f t="shared" si="37"/>
        <v>0</v>
      </c>
      <c r="T417">
        <f t="shared" si="38"/>
        <v>0</v>
      </c>
    </row>
    <row r="418" spans="1:20" x14ac:dyDescent="0.25">
      <c r="A418" s="5"/>
      <c r="C418"/>
      <c r="D418"/>
      <c r="P418">
        <f t="shared" si="34"/>
        <v>0</v>
      </c>
      <c r="Q418">
        <f t="shared" si="35"/>
        <v>0</v>
      </c>
      <c r="R418">
        <f t="shared" si="36"/>
        <v>0</v>
      </c>
      <c r="S418">
        <f t="shared" si="37"/>
        <v>0</v>
      </c>
      <c r="T418">
        <f t="shared" si="38"/>
        <v>0</v>
      </c>
    </row>
    <row r="419" spans="1:20" x14ac:dyDescent="0.25">
      <c r="A419" s="5"/>
      <c r="C419"/>
      <c r="D419"/>
      <c r="P419">
        <f t="shared" si="34"/>
        <v>0</v>
      </c>
      <c r="Q419">
        <f t="shared" si="35"/>
        <v>0</v>
      </c>
      <c r="R419">
        <f t="shared" si="36"/>
        <v>0</v>
      </c>
      <c r="S419">
        <f t="shared" si="37"/>
        <v>0</v>
      </c>
      <c r="T419">
        <f t="shared" si="38"/>
        <v>0</v>
      </c>
    </row>
    <row r="420" spans="1:20" x14ac:dyDescent="0.25">
      <c r="A420" s="5"/>
      <c r="C420"/>
      <c r="D420"/>
      <c r="P420">
        <f t="shared" si="34"/>
        <v>0</v>
      </c>
      <c r="Q420">
        <f t="shared" si="35"/>
        <v>0</v>
      </c>
      <c r="R420">
        <f t="shared" si="36"/>
        <v>0</v>
      </c>
      <c r="S420">
        <f t="shared" si="37"/>
        <v>0</v>
      </c>
      <c r="T420">
        <f t="shared" si="38"/>
        <v>0</v>
      </c>
    </row>
    <row r="421" spans="1:20" x14ac:dyDescent="0.25">
      <c r="A421" s="5"/>
      <c r="C421"/>
      <c r="D421"/>
      <c r="P421">
        <f t="shared" si="34"/>
        <v>0</v>
      </c>
      <c r="Q421">
        <f t="shared" si="35"/>
        <v>0</v>
      </c>
      <c r="R421">
        <f t="shared" si="36"/>
        <v>0</v>
      </c>
      <c r="S421">
        <f t="shared" si="37"/>
        <v>0</v>
      </c>
      <c r="T421">
        <f t="shared" si="38"/>
        <v>0</v>
      </c>
    </row>
    <row r="422" spans="1:20" x14ac:dyDescent="0.25">
      <c r="A422" s="5"/>
      <c r="C422"/>
      <c r="D422"/>
      <c r="P422">
        <f t="shared" si="34"/>
        <v>0</v>
      </c>
      <c r="Q422">
        <f t="shared" si="35"/>
        <v>0</v>
      </c>
      <c r="R422">
        <f t="shared" si="36"/>
        <v>0</v>
      </c>
      <c r="S422">
        <f t="shared" si="37"/>
        <v>0</v>
      </c>
      <c r="T422">
        <f t="shared" si="38"/>
        <v>0</v>
      </c>
    </row>
    <row r="423" spans="1:20" x14ac:dyDescent="0.25">
      <c r="A423" s="5"/>
      <c r="C423"/>
      <c r="D423"/>
      <c r="P423">
        <f t="shared" si="34"/>
        <v>0</v>
      </c>
      <c r="Q423">
        <f t="shared" si="35"/>
        <v>0</v>
      </c>
      <c r="R423">
        <f t="shared" si="36"/>
        <v>0</v>
      </c>
      <c r="S423">
        <f t="shared" si="37"/>
        <v>0</v>
      </c>
      <c r="T423">
        <f t="shared" si="38"/>
        <v>0</v>
      </c>
    </row>
    <row r="424" spans="1:20" x14ac:dyDescent="0.25">
      <c r="A424" s="5"/>
      <c r="C424"/>
      <c r="D424"/>
      <c r="P424">
        <f t="shared" si="34"/>
        <v>0</v>
      </c>
      <c r="Q424">
        <f t="shared" si="35"/>
        <v>0</v>
      </c>
      <c r="R424">
        <f t="shared" si="36"/>
        <v>0</v>
      </c>
      <c r="S424">
        <f t="shared" si="37"/>
        <v>0</v>
      </c>
      <c r="T424">
        <f t="shared" si="38"/>
        <v>0</v>
      </c>
    </row>
    <row r="425" spans="1:20" x14ac:dyDescent="0.25">
      <c r="A425" s="5"/>
      <c r="C425"/>
      <c r="D425"/>
      <c r="P425">
        <f t="shared" si="34"/>
        <v>0</v>
      </c>
      <c r="Q425">
        <f t="shared" si="35"/>
        <v>0</v>
      </c>
      <c r="R425">
        <f t="shared" si="36"/>
        <v>0</v>
      </c>
      <c r="S425">
        <f t="shared" si="37"/>
        <v>0</v>
      </c>
      <c r="T425">
        <f t="shared" si="38"/>
        <v>0</v>
      </c>
    </row>
    <row r="426" spans="1:20" x14ac:dyDescent="0.25">
      <c r="A426" s="5"/>
      <c r="C426"/>
      <c r="D426"/>
      <c r="P426">
        <f t="shared" si="34"/>
        <v>0</v>
      </c>
      <c r="Q426">
        <f t="shared" si="35"/>
        <v>0</v>
      </c>
      <c r="R426">
        <f t="shared" si="36"/>
        <v>0</v>
      </c>
      <c r="S426">
        <f t="shared" si="37"/>
        <v>0</v>
      </c>
      <c r="T426">
        <f t="shared" si="38"/>
        <v>0</v>
      </c>
    </row>
    <row r="427" spans="1:20" x14ac:dyDescent="0.25">
      <c r="A427" s="5"/>
      <c r="C427"/>
      <c r="D427"/>
      <c r="P427">
        <f t="shared" si="34"/>
        <v>0</v>
      </c>
      <c r="Q427">
        <f t="shared" si="35"/>
        <v>0</v>
      </c>
      <c r="R427">
        <f t="shared" si="36"/>
        <v>0</v>
      </c>
      <c r="S427">
        <f t="shared" si="37"/>
        <v>0</v>
      </c>
      <c r="T427">
        <f t="shared" si="38"/>
        <v>0</v>
      </c>
    </row>
    <row r="428" spans="1:20" x14ac:dyDescent="0.25">
      <c r="A428" s="5"/>
      <c r="C428"/>
      <c r="D428"/>
      <c r="P428">
        <f t="shared" si="34"/>
        <v>0</v>
      </c>
      <c r="Q428">
        <f t="shared" si="35"/>
        <v>0</v>
      </c>
      <c r="R428">
        <f t="shared" si="36"/>
        <v>0</v>
      </c>
      <c r="S428">
        <f t="shared" si="37"/>
        <v>0</v>
      </c>
      <c r="T428">
        <f t="shared" si="38"/>
        <v>0</v>
      </c>
    </row>
    <row r="429" spans="1:20" x14ac:dyDescent="0.25">
      <c r="A429" s="5"/>
      <c r="C429"/>
      <c r="D429"/>
      <c r="P429">
        <f t="shared" si="34"/>
        <v>0</v>
      </c>
      <c r="Q429">
        <f t="shared" si="35"/>
        <v>0</v>
      </c>
      <c r="R429">
        <f t="shared" si="36"/>
        <v>0</v>
      </c>
      <c r="S429">
        <f t="shared" si="37"/>
        <v>0</v>
      </c>
      <c r="T429">
        <f t="shared" si="38"/>
        <v>0</v>
      </c>
    </row>
    <row r="430" spans="1:20" x14ac:dyDescent="0.25">
      <c r="A430" s="5"/>
      <c r="C430"/>
      <c r="D430"/>
      <c r="P430">
        <f t="shared" si="34"/>
        <v>0</v>
      </c>
      <c r="Q430">
        <f t="shared" si="35"/>
        <v>0</v>
      </c>
      <c r="R430">
        <f t="shared" si="36"/>
        <v>0</v>
      </c>
      <c r="S430">
        <f t="shared" si="37"/>
        <v>0</v>
      </c>
      <c r="T430">
        <f t="shared" si="38"/>
        <v>0</v>
      </c>
    </row>
    <row r="431" spans="1:20" x14ac:dyDescent="0.25">
      <c r="A431" s="5"/>
      <c r="C431"/>
      <c r="D431"/>
      <c r="P431">
        <f t="shared" si="34"/>
        <v>0</v>
      </c>
      <c r="Q431">
        <f t="shared" si="35"/>
        <v>0</v>
      </c>
      <c r="R431">
        <f t="shared" si="36"/>
        <v>0</v>
      </c>
      <c r="S431">
        <f t="shared" si="37"/>
        <v>0</v>
      </c>
      <c r="T431">
        <f t="shared" si="38"/>
        <v>0</v>
      </c>
    </row>
    <row r="432" spans="1:20" x14ac:dyDescent="0.25">
      <c r="A432" s="5"/>
      <c r="C432"/>
      <c r="D432"/>
      <c r="P432">
        <f t="shared" si="34"/>
        <v>0</v>
      </c>
      <c r="Q432">
        <f t="shared" si="35"/>
        <v>0</v>
      </c>
      <c r="R432">
        <f t="shared" si="36"/>
        <v>0</v>
      </c>
      <c r="S432">
        <f t="shared" si="37"/>
        <v>0</v>
      </c>
      <c r="T432">
        <f t="shared" si="38"/>
        <v>0</v>
      </c>
    </row>
    <row r="433" spans="1:20" x14ac:dyDescent="0.25">
      <c r="A433" s="5"/>
      <c r="C433"/>
      <c r="D433"/>
      <c r="P433">
        <f t="shared" si="34"/>
        <v>0</v>
      </c>
      <c r="Q433">
        <f t="shared" si="35"/>
        <v>0</v>
      </c>
      <c r="R433">
        <f t="shared" si="36"/>
        <v>0</v>
      </c>
      <c r="S433">
        <f t="shared" si="37"/>
        <v>0</v>
      </c>
      <c r="T433">
        <f t="shared" si="38"/>
        <v>0</v>
      </c>
    </row>
    <row r="434" spans="1:20" x14ac:dyDescent="0.25">
      <c r="A434" s="5"/>
      <c r="C434"/>
      <c r="D434"/>
      <c r="P434">
        <f t="shared" si="34"/>
        <v>0</v>
      </c>
      <c r="Q434">
        <f t="shared" si="35"/>
        <v>0</v>
      </c>
      <c r="R434">
        <f t="shared" si="36"/>
        <v>0</v>
      </c>
      <c r="S434">
        <f t="shared" si="37"/>
        <v>0</v>
      </c>
      <c r="T434">
        <f t="shared" si="38"/>
        <v>0</v>
      </c>
    </row>
    <row r="435" spans="1:20" x14ac:dyDescent="0.25">
      <c r="A435" s="5"/>
      <c r="C435"/>
      <c r="D435"/>
      <c r="P435">
        <f t="shared" si="34"/>
        <v>0</v>
      </c>
      <c r="Q435">
        <f t="shared" si="35"/>
        <v>0</v>
      </c>
      <c r="R435">
        <f t="shared" si="36"/>
        <v>0</v>
      </c>
      <c r="S435">
        <f t="shared" si="37"/>
        <v>0</v>
      </c>
      <c r="T435">
        <f t="shared" si="38"/>
        <v>0</v>
      </c>
    </row>
    <row r="436" spans="1:20" x14ac:dyDescent="0.25">
      <c r="A436" s="5"/>
      <c r="C436"/>
      <c r="D436"/>
      <c r="P436">
        <f t="shared" si="34"/>
        <v>0</v>
      </c>
      <c r="Q436">
        <f t="shared" si="35"/>
        <v>0</v>
      </c>
      <c r="R436">
        <f t="shared" si="36"/>
        <v>0</v>
      </c>
      <c r="S436">
        <f t="shared" si="37"/>
        <v>0</v>
      </c>
      <c r="T436">
        <f t="shared" si="38"/>
        <v>0</v>
      </c>
    </row>
    <row r="437" spans="1:20" x14ac:dyDescent="0.25">
      <c r="A437" s="5"/>
      <c r="C437"/>
      <c r="D437"/>
      <c r="P437">
        <f t="shared" si="34"/>
        <v>0</v>
      </c>
      <c r="Q437">
        <f t="shared" si="35"/>
        <v>0</v>
      </c>
      <c r="R437">
        <f t="shared" si="36"/>
        <v>0</v>
      </c>
      <c r="S437">
        <f t="shared" si="37"/>
        <v>0</v>
      </c>
      <c r="T437">
        <f t="shared" si="38"/>
        <v>0</v>
      </c>
    </row>
    <row r="438" spans="1:20" x14ac:dyDescent="0.25">
      <c r="A438" s="5"/>
      <c r="C438"/>
      <c r="D438"/>
      <c r="P438">
        <f t="shared" si="34"/>
        <v>0</v>
      </c>
      <c r="Q438">
        <f t="shared" si="35"/>
        <v>0</v>
      </c>
      <c r="R438">
        <f t="shared" si="36"/>
        <v>0</v>
      </c>
      <c r="S438">
        <f t="shared" si="37"/>
        <v>0</v>
      </c>
      <c r="T438">
        <f t="shared" si="38"/>
        <v>0</v>
      </c>
    </row>
    <row r="439" spans="1:20" x14ac:dyDescent="0.25">
      <c r="A439" s="5"/>
      <c r="C439"/>
      <c r="D439"/>
      <c r="P439">
        <f t="shared" si="34"/>
        <v>0</v>
      </c>
      <c r="Q439">
        <f t="shared" si="35"/>
        <v>0</v>
      </c>
      <c r="R439">
        <f t="shared" si="36"/>
        <v>0</v>
      </c>
      <c r="S439">
        <f t="shared" si="37"/>
        <v>0</v>
      </c>
      <c r="T439">
        <f t="shared" si="38"/>
        <v>0</v>
      </c>
    </row>
    <row r="440" spans="1:20" x14ac:dyDescent="0.25">
      <c r="A440" s="5"/>
      <c r="C440"/>
      <c r="D440"/>
      <c r="P440">
        <f t="shared" si="34"/>
        <v>0</v>
      </c>
      <c r="Q440">
        <f t="shared" si="35"/>
        <v>0</v>
      </c>
      <c r="R440">
        <f t="shared" si="36"/>
        <v>0</v>
      </c>
      <c r="S440">
        <f t="shared" si="37"/>
        <v>0</v>
      </c>
      <c r="T440">
        <f t="shared" si="38"/>
        <v>0</v>
      </c>
    </row>
    <row r="441" spans="1:20" x14ac:dyDescent="0.25">
      <c r="A441" s="5"/>
      <c r="C441"/>
      <c r="D441"/>
      <c r="P441">
        <f t="shared" si="34"/>
        <v>0</v>
      </c>
      <c r="Q441">
        <f t="shared" si="35"/>
        <v>0</v>
      </c>
      <c r="R441">
        <f t="shared" si="36"/>
        <v>0</v>
      </c>
      <c r="S441">
        <f t="shared" si="37"/>
        <v>0</v>
      </c>
      <c r="T441">
        <f t="shared" si="38"/>
        <v>0</v>
      </c>
    </row>
    <row r="442" spans="1:20" x14ac:dyDescent="0.25">
      <c r="A442" s="5"/>
      <c r="C442"/>
      <c r="D442"/>
      <c r="P442">
        <f t="shared" si="34"/>
        <v>0</v>
      </c>
      <c r="Q442">
        <f t="shared" si="35"/>
        <v>0</v>
      </c>
      <c r="R442">
        <f t="shared" si="36"/>
        <v>0</v>
      </c>
      <c r="S442">
        <f t="shared" si="37"/>
        <v>0</v>
      </c>
      <c r="T442">
        <f t="shared" si="38"/>
        <v>0</v>
      </c>
    </row>
    <row r="443" spans="1:20" x14ac:dyDescent="0.25">
      <c r="A443" s="5"/>
      <c r="C443"/>
      <c r="D443"/>
      <c r="P443">
        <f t="shared" si="34"/>
        <v>0</v>
      </c>
      <c r="Q443">
        <f t="shared" si="35"/>
        <v>0</v>
      </c>
      <c r="R443">
        <f t="shared" si="36"/>
        <v>0</v>
      </c>
      <c r="S443">
        <f t="shared" si="37"/>
        <v>0</v>
      </c>
      <c r="T443">
        <f t="shared" si="38"/>
        <v>0</v>
      </c>
    </row>
    <row r="444" spans="1:20" x14ac:dyDescent="0.25">
      <c r="A444" s="5"/>
      <c r="C444"/>
      <c r="D444"/>
      <c r="P444">
        <f t="shared" si="34"/>
        <v>0</v>
      </c>
      <c r="Q444">
        <f t="shared" si="35"/>
        <v>0</v>
      </c>
      <c r="R444">
        <f t="shared" si="36"/>
        <v>0</v>
      </c>
      <c r="S444">
        <f t="shared" si="37"/>
        <v>0</v>
      </c>
      <c r="T444">
        <f t="shared" si="38"/>
        <v>0</v>
      </c>
    </row>
    <row r="445" spans="1:20" x14ac:dyDescent="0.25">
      <c r="A445" s="5"/>
      <c r="C445"/>
      <c r="D445"/>
      <c r="P445">
        <f t="shared" si="34"/>
        <v>0</v>
      </c>
      <c r="Q445">
        <f t="shared" si="35"/>
        <v>0</v>
      </c>
      <c r="R445">
        <f t="shared" si="36"/>
        <v>0</v>
      </c>
      <c r="S445">
        <f t="shared" si="37"/>
        <v>0</v>
      </c>
      <c r="T445">
        <f t="shared" si="38"/>
        <v>0</v>
      </c>
    </row>
    <row r="446" spans="1:20" x14ac:dyDescent="0.25">
      <c r="A446" s="5"/>
      <c r="C446"/>
      <c r="D446"/>
      <c r="P446">
        <f t="shared" si="34"/>
        <v>0</v>
      </c>
      <c r="Q446">
        <f t="shared" si="35"/>
        <v>0</v>
      </c>
      <c r="R446">
        <f t="shared" si="36"/>
        <v>0</v>
      </c>
      <c r="S446">
        <f t="shared" si="37"/>
        <v>0</v>
      </c>
      <c r="T446">
        <f t="shared" si="38"/>
        <v>0</v>
      </c>
    </row>
    <row r="447" spans="1:20" x14ac:dyDescent="0.25">
      <c r="A447" s="5"/>
      <c r="C447"/>
      <c r="D447"/>
      <c r="P447">
        <f t="shared" si="34"/>
        <v>0</v>
      </c>
      <c r="Q447">
        <f t="shared" si="35"/>
        <v>0</v>
      </c>
      <c r="R447">
        <f t="shared" si="36"/>
        <v>0</v>
      </c>
      <c r="S447">
        <f t="shared" si="37"/>
        <v>0</v>
      </c>
      <c r="T447">
        <f t="shared" si="38"/>
        <v>0</v>
      </c>
    </row>
    <row r="448" spans="1:20" x14ac:dyDescent="0.25">
      <c r="A448" s="5"/>
      <c r="C448"/>
      <c r="D448"/>
      <c r="P448">
        <f t="shared" si="34"/>
        <v>0</v>
      </c>
      <c r="Q448">
        <f t="shared" si="35"/>
        <v>0</v>
      </c>
      <c r="R448">
        <f t="shared" si="36"/>
        <v>0</v>
      </c>
      <c r="S448">
        <f t="shared" si="37"/>
        <v>0</v>
      </c>
      <c r="T448">
        <f t="shared" si="38"/>
        <v>0</v>
      </c>
    </row>
    <row r="449" spans="1:20" x14ac:dyDescent="0.25">
      <c r="A449" s="5"/>
      <c r="C449"/>
      <c r="D449"/>
      <c r="P449">
        <f t="shared" si="34"/>
        <v>0</v>
      </c>
      <c r="Q449">
        <f t="shared" si="35"/>
        <v>0</v>
      </c>
      <c r="R449">
        <f t="shared" si="36"/>
        <v>0</v>
      </c>
      <c r="S449">
        <f t="shared" si="37"/>
        <v>0</v>
      </c>
      <c r="T449">
        <f t="shared" si="38"/>
        <v>0</v>
      </c>
    </row>
    <row r="450" spans="1:20" x14ac:dyDescent="0.25">
      <c r="A450" s="5"/>
      <c r="C450"/>
      <c r="D450"/>
      <c r="P450">
        <f t="shared" si="34"/>
        <v>0</v>
      </c>
      <c r="Q450">
        <f t="shared" si="35"/>
        <v>0</v>
      </c>
      <c r="R450">
        <f t="shared" si="36"/>
        <v>0</v>
      </c>
      <c r="S450">
        <f t="shared" si="37"/>
        <v>0</v>
      </c>
      <c r="T450">
        <f t="shared" si="38"/>
        <v>0</v>
      </c>
    </row>
    <row r="451" spans="1:20" x14ac:dyDescent="0.25">
      <c r="A451" s="5"/>
      <c r="C451"/>
      <c r="D451"/>
      <c r="P451">
        <f t="shared" si="34"/>
        <v>0</v>
      </c>
      <c r="Q451">
        <f t="shared" si="35"/>
        <v>0</v>
      </c>
      <c r="R451">
        <f t="shared" si="36"/>
        <v>0</v>
      </c>
      <c r="S451">
        <f t="shared" si="37"/>
        <v>0</v>
      </c>
      <c r="T451">
        <f t="shared" si="38"/>
        <v>0</v>
      </c>
    </row>
    <row r="452" spans="1:20" x14ac:dyDescent="0.25">
      <c r="A452" s="5"/>
      <c r="C452"/>
      <c r="D452"/>
      <c r="P452">
        <f t="shared" si="34"/>
        <v>0</v>
      </c>
      <c r="Q452">
        <f t="shared" si="35"/>
        <v>0</v>
      </c>
      <c r="R452">
        <f t="shared" si="36"/>
        <v>0</v>
      </c>
      <c r="S452">
        <f t="shared" si="37"/>
        <v>0</v>
      </c>
      <c r="T452">
        <f t="shared" si="38"/>
        <v>0</v>
      </c>
    </row>
    <row r="453" spans="1:20" x14ac:dyDescent="0.25">
      <c r="A453" s="5"/>
      <c r="C453"/>
      <c r="D453"/>
      <c r="P453">
        <f t="shared" si="34"/>
        <v>0</v>
      </c>
      <c r="Q453">
        <f t="shared" si="35"/>
        <v>0</v>
      </c>
      <c r="R453">
        <f t="shared" si="36"/>
        <v>0</v>
      </c>
      <c r="S453">
        <f t="shared" si="37"/>
        <v>0</v>
      </c>
      <c r="T453">
        <f t="shared" si="38"/>
        <v>0</v>
      </c>
    </row>
    <row r="454" spans="1:20" x14ac:dyDescent="0.25">
      <c r="A454" s="5"/>
      <c r="C454"/>
      <c r="D454"/>
      <c r="P454">
        <f t="shared" ref="P454:P517" si="39">IF(C454=D454,0,((E454-D454)-(C454-E454))/(C454-D454))</f>
        <v>0</v>
      </c>
      <c r="Q454">
        <f t="shared" ref="Q454:Q517" si="40">F454*P454</f>
        <v>0</v>
      </c>
      <c r="R454">
        <f t="shared" ref="R454:R517" si="41">R455+Q454</f>
        <v>0</v>
      </c>
      <c r="S454">
        <f t="shared" ref="S454:S517" si="42">R454/100000</f>
        <v>0</v>
      </c>
      <c r="T454">
        <f t="shared" ref="T454:T517" si="43">S454/1000</f>
        <v>0</v>
      </c>
    </row>
    <row r="455" spans="1:20" x14ac:dyDescent="0.25">
      <c r="A455" s="5"/>
      <c r="C455"/>
      <c r="D455"/>
      <c r="P455">
        <f t="shared" si="39"/>
        <v>0</v>
      </c>
      <c r="Q455">
        <f t="shared" si="40"/>
        <v>0</v>
      </c>
      <c r="R455">
        <f t="shared" si="41"/>
        <v>0</v>
      </c>
      <c r="S455">
        <f t="shared" si="42"/>
        <v>0</v>
      </c>
      <c r="T455">
        <f t="shared" si="43"/>
        <v>0</v>
      </c>
    </row>
    <row r="456" spans="1:20" x14ac:dyDescent="0.25">
      <c r="A456" s="5"/>
      <c r="C456"/>
      <c r="D456"/>
      <c r="P456">
        <f t="shared" si="39"/>
        <v>0</v>
      </c>
      <c r="Q456">
        <f t="shared" si="40"/>
        <v>0</v>
      </c>
      <c r="R456">
        <f t="shared" si="41"/>
        <v>0</v>
      </c>
      <c r="S456">
        <f t="shared" si="42"/>
        <v>0</v>
      </c>
      <c r="T456">
        <f t="shared" si="43"/>
        <v>0</v>
      </c>
    </row>
    <row r="457" spans="1:20" x14ac:dyDescent="0.25">
      <c r="A457" s="5"/>
      <c r="C457"/>
      <c r="D457"/>
      <c r="P457">
        <f t="shared" si="39"/>
        <v>0</v>
      </c>
      <c r="Q457">
        <f t="shared" si="40"/>
        <v>0</v>
      </c>
      <c r="R457">
        <f t="shared" si="41"/>
        <v>0</v>
      </c>
      <c r="S457">
        <f t="shared" si="42"/>
        <v>0</v>
      </c>
      <c r="T457">
        <f t="shared" si="43"/>
        <v>0</v>
      </c>
    </row>
    <row r="458" spans="1:20" x14ac:dyDescent="0.25">
      <c r="A458" s="5"/>
      <c r="C458"/>
      <c r="D458"/>
      <c r="P458">
        <f t="shared" si="39"/>
        <v>0</v>
      </c>
      <c r="Q458">
        <f t="shared" si="40"/>
        <v>0</v>
      </c>
      <c r="R458">
        <f t="shared" si="41"/>
        <v>0</v>
      </c>
      <c r="S458">
        <f t="shared" si="42"/>
        <v>0</v>
      </c>
      <c r="T458">
        <f t="shared" si="43"/>
        <v>0</v>
      </c>
    </row>
    <row r="459" spans="1:20" x14ac:dyDescent="0.25">
      <c r="A459" s="5"/>
      <c r="C459"/>
      <c r="D459"/>
      <c r="P459">
        <f t="shared" si="39"/>
        <v>0</v>
      </c>
      <c r="Q459">
        <f t="shared" si="40"/>
        <v>0</v>
      </c>
      <c r="R459">
        <f t="shared" si="41"/>
        <v>0</v>
      </c>
      <c r="S459">
        <f t="shared" si="42"/>
        <v>0</v>
      </c>
      <c r="T459">
        <f t="shared" si="43"/>
        <v>0</v>
      </c>
    </row>
    <row r="460" spans="1:20" x14ac:dyDescent="0.25">
      <c r="A460" s="5"/>
      <c r="C460"/>
      <c r="D460"/>
      <c r="P460">
        <f t="shared" si="39"/>
        <v>0</v>
      </c>
      <c r="Q460">
        <f t="shared" si="40"/>
        <v>0</v>
      </c>
      <c r="R460">
        <f t="shared" si="41"/>
        <v>0</v>
      </c>
      <c r="S460">
        <f t="shared" si="42"/>
        <v>0</v>
      </c>
      <c r="T460">
        <f t="shared" si="43"/>
        <v>0</v>
      </c>
    </row>
    <row r="461" spans="1:20" x14ac:dyDescent="0.25">
      <c r="A461" s="5"/>
      <c r="C461"/>
      <c r="D461"/>
      <c r="P461">
        <f t="shared" si="39"/>
        <v>0</v>
      </c>
      <c r="Q461">
        <f t="shared" si="40"/>
        <v>0</v>
      </c>
      <c r="R461">
        <f t="shared" si="41"/>
        <v>0</v>
      </c>
      <c r="S461">
        <f t="shared" si="42"/>
        <v>0</v>
      </c>
      <c r="T461">
        <f t="shared" si="43"/>
        <v>0</v>
      </c>
    </row>
    <row r="462" spans="1:20" x14ac:dyDescent="0.25">
      <c r="A462" s="5"/>
      <c r="C462"/>
      <c r="D462"/>
      <c r="P462">
        <f t="shared" si="39"/>
        <v>0</v>
      </c>
      <c r="Q462">
        <f t="shared" si="40"/>
        <v>0</v>
      </c>
      <c r="R462">
        <f t="shared" si="41"/>
        <v>0</v>
      </c>
      <c r="S462">
        <f t="shared" si="42"/>
        <v>0</v>
      </c>
      <c r="T462">
        <f t="shared" si="43"/>
        <v>0</v>
      </c>
    </row>
    <row r="463" spans="1:20" x14ac:dyDescent="0.25">
      <c r="A463" s="5"/>
      <c r="C463"/>
      <c r="D463"/>
      <c r="P463">
        <f t="shared" si="39"/>
        <v>0</v>
      </c>
      <c r="Q463">
        <f t="shared" si="40"/>
        <v>0</v>
      </c>
      <c r="R463">
        <f t="shared" si="41"/>
        <v>0</v>
      </c>
      <c r="S463">
        <f t="shared" si="42"/>
        <v>0</v>
      </c>
      <c r="T463">
        <f t="shared" si="43"/>
        <v>0</v>
      </c>
    </row>
    <row r="464" spans="1:20" x14ac:dyDescent="0.25">
      <c r="A464" s="5"/>
      <c r="C464"/>
      <c r="D464"/>
      <c r="P464">
        <f t="shared" si="39"/>
        <v>0</v>
      </c>
      <c r="Q464">
        <f t="shared" si="40"/>
        <v>0</v>
      </c>
      <c r="R464">
        <f t="shared" si="41"/>
        <v>0</v>
      </c>
      <c r="S464">
        <f t="shared" si="42"/>
        <v>0</v>
      </c>
      <c r="T464">
        <f t="shared" si="43"/>
        <v>0</v>
      </c>
    </row>
    <row r="465" spans="1:20" x14ac:dyDescent="0.25">
      <c r="A465" s="5"/>
      <c r="C465"/>
      <c r="D465"/>
      <c r="P465">
        <f t="shared" si="39"/>
        <v>0</v>
      </c>
      <c r="Q465">
        <f t="shared" si="40"/>
        <v>0</v>
      </c>
      <c r="R465">
        <f t="shared" si="41"/>
        <v>0</v>
      </c>
      <c r="S465">
        <f t="shared" si="42"/>
        <v>0</v>
      </c>
      <c r="T465">
        <f t="shared" si="43"/>
        <v>0</v>
      </c>
    </row>
    <row r="466" spans="1:20" x14ac:dyDescent="0.25">
      <c r="A466" s="5"/>
      <c r="C466"/>
      <c r="D466"/>
      <c r="P466">
        <f t="shared" si="39"/>
        <v>0</v>
      </c>
      <c r="Q466">
        <f t="shared" si="40"/>
        <v>0</v>
      </c>
      <c r="R466">
        <f t="shared" si="41"/>
        <v>0</v>
      </c>
      <c r="S466">
        <f t="shared" si="42"/>
        <v>0</v>
      </c>
      <c r="T466">
        <f t="shared" si="43"/>
        <v>0</v>
      </c>
    </row>
    <row r="467" spans="1:20" x14ac:dyDescent="0.25">
      <c r="A467" s="5"/>
      <c r="C467"/>
      <c r="D467"/>
      <c r="P467">
        <f t="shared" si="39"/>
        <v>0</v>
      </c>
      <c r="Q467">
        <f t="shared" si="40"/>
        <v>0</v>
      </c>
      <c r="R467">
        <f t="shared" si="41"/>
        <v>0</v>
      </c>
      <c r="S467">
        <f t="shared" si="42"/>
        <v>0</v>
      </c>
      <c r="T467">
        <f t="shared" si="43"/>
        <v>0</v>
      </c>
    </row>
    <row r="468" spans="1:20" x14ac:dyDescent="0.25">
      <c r="A468" s="5"/>
      <c r="C468"/>
      <c r="D468"/>
      <c r="P468">
        <f t="shared" si="39"/>
        <v>0</v>
      </c>
      <c r="Q468">
        <f t="shared" si="40"/>
        <v>0</v>
      </c>
      <c r="R468">
        <f t="shared" si="41"/>
        <v>0</v>
      </c>
      <c r="S468">
        <f t="shared" si="42"/>
        <v>0</v>
      </c>
      <c r="T468">
        <f t="shared" si="43"/>
        <v>0</v>
      </c>
    </row>
    <row r="469" spans="1:20" x14ac:dyDescent="0.25">
      <c r="A469" s="5"/>
      <c r="P469">
        <f t="shared" si="39"/>
        <v>0</v>
      </c>
      <c r="Q469">
        <f t="shared" si="40"/>
        <v>0</v>
      </c>
      <c r="R469">
        <f t="shared" si="41"/>
        <v>0</v>
      </c>
      <c r="S469">
        <f t="shared" si="42"/>
        <v>0</v>
      </c>
      <c r="T469">
        <f t="shared" si="43"/>
        <v>0</v>
      </c>
    </row>
    <row r="470" spans="1:20" x14ac:dyDescent="0.25">
      <c r="A470" s="5"/>
      <c r="P470">
        <f t="shared" si="39"/>
        <v>0</v>
      </c>
      <c r="Q470">
        <f t="shared" si="40"/>
        <v>0</v>
      </c>
      <c r="R470">
        <f t="shared" si="41"/>
        <v>0</v>
      </c>
      <c r="S470">
        <f t="shared" si="42"/>
        <v>0</v>
      </c>
      <c r="T470">
        <f t="shared" si="43"/>
        <v>0</v>
      </c>
    </row>
    <row r="471" spans="1:20" x14ac:dyDescent="0.25">
      <c r="A471" s="5"/>
      <c r="P471">
        <f t="shared" si="39"/>
        <v>0</v>
      </c>
      <c r="Q471">
        <f t="shared" si="40"/>
        <v>0</v>
      </c>
      <c r="R471">
        <f t="shared" si="41"/>
        <v>0</v>
      </c>
      <c r="S471">
        <f t="shared" si="42"/>
        <v>0</v>
      </c>
      <c r="T471">
        <f t="shared" si="43"/>
        <v>0</v>
      </c>
    </row>
    <row r="472" spans="1:20" x14ac:dyDescent="0.25">
      <c r="A472" s="5"/>
      <c r="C472" s="4"/>
      <c r="D472" s="4"/>
      <c r="P472">
        <f t="shared" si="39"/>
        <v>0</v>
      </c>
      <c r="Q472">
        <f t="shared" si="40"/>
        <v>0</v>
      </c>
      <c r="R472">
        <f t="shared" si="41"/>
        <v>0</v>
      </c>
      <c r="S472">
        <f t="shared" si="42"/>
        <v>0</v>
      </c>
      <c r="T472">
        <f t="shared" si="43"/>
        <v>0</v>
      </c>
    </row>
    <row r="473" spans="1:20" x14ac:dyDescent="0.25">
      <c r="A473" s="5"/>
      <c r="C473" s="4"/>
      <c r="D473" s="4"/>
      <c r="P473">
        <f t="shared" si="39"/>
        <v>0</v>
      </c>
      <c r="Q473">
        <f t="shared" si="40"/>
        <v>0</v>
      </c>
      <c r="R473">
        <f t="shared" si="41"/>
        <v>0</v>
      </c>
      <c r="S473">
        <f t="shared" si="42"/>
        <v>0</v>
      </c>
      <c r="T473">
        <f t="shared" si="43"/>
        <v>0</v>
      </c>
    </row>
    <row r="474" spans="1:20" x14ac:dyDescent="0.25">
      <c r="A474" s="5"/>
      <c r="C474" s="4"/>
      <c r="D474" s="4"/>
      <c r="P474">
        <f t="shared" si="39"/>
        <v>0</v>
      </c>
      <c r="Q474">
        <f t="shared" si="40"/>
        <v>0</v>
      </c>
      <c r="R474">
        <f t="shared" si="41"/>
        <v>0</v>
      </c>
      <c r="S474">
        <f t="shared" si="42"/>
        <v>0</v>
      </c>
      <c r="T474">
        <f t="shared" si="43"/>
        <v>0</v>
      </c>
    </row>
    <row r="475" spans="1:20" x14ac:dyDescent="0.25">
      <c r="A475" s="5"/>
      <c r="C475" s="4"/>
      <c r="D475" s="4"/>
      <c r="P475">
        <f t="shared" si="39"/>
        <v>0</v>
      </c>
      <c r="Q475">
        <f t="shared" si="40"/>
        <v>0</v>
      </c>
      <c r="R475">
        <f t="shared" si="41"/>
        <v>0</v>
      </c>
      <c r="S475">
        <f t="shared" si="42"/>
        <v>0</v>
      </c>
      <c r="T475">
        <f t="shared" si="43"/>
        <v>0</v>
      </c>
    </row>
    <row r="476" spans="1:20" x14ac:dyDescent="0.25">
      <c r="A476" s="5"/>
      <c r="C476" s="4"/>
      <c r="D476" s="4"/>
      <c r="P476">
        <f t="shared" si="39"/>
        <v>0</v>
      </c>
      <c r="Q476">
        <f t="shared" si="40"/>
        <v>0</v>
      </c>
      <c r="R476">
        <f t="shared" si="41"/>
        <v>0</v>
      </c>
      <c r="S476">
        <f t="shared" si="42"/>
        <v>0</v>
      </c>
      <c r="T476">
        <f t="shared" si="43"/>
        <v>0</v>
      </c>
    </row>
    <row r="477" spans="1:20" x14ac:dyDescent="0.25">
      <c r="A477" s="5"/>
      <c r="C477" s="4"/>
      <c r="D477" s="4"/>
      <c r="P477">
        <f t="shared" si="39"/>
        <v>0</v>
      </c>
      <c r="Q477">
        <f t="shared" si="40"/>
        <v>0</v>
      </c>
      <c r="R477">
        <f t="shared" si="41"/>
        <v>0</v>
      </c>
      <c r="S477">
        <f t="shared" si="42"/>
        <v>0</v>
      </c>
      <c r="T477">
        <f t="shared" si="43"/>
        <v>0</v>
      </c>
    </row>
    <row r="478" spans="1:20" x14ac:dyDescent="0.25">
      <c r="A478" s="5"/>
      <c r="C478" s="4"/>
      <c r="D478" s="4"/>
      <c r="P478">
        <f t="shared" si="39"/>
        <v>0</v>
      </c>
      <c r="Q478">
        <f t="shared" si="40"/>
        <v>0</v>
      </c>
      <c r="R478">
        <f t="shared" si="41"/>
        <v>0</v>
      </c>
      <c r="S478">
        <f t="shared" si="42"/>
        <v>0</v>
      </c>
      <c r="T478">
        <f t="shared" si="43"/>
        <v>0</v>
      </c>
    </row>
    <row r="479" spans="1:20" x14ac:dyDescent="0.25">
      <c r="A479" s="5"/>
      <c r="C479" s="4"/>
      <c r="D479" s="4"/>
      <c r="P479">
        <f t="shared" si="39"/>
        <v>0</v>
      </c>
      <c r="Q479">
        <f t="shared" si="40"/>
        <v>0</v>
      </c>
      <c r="R479">
        <f t="shared" si="41"/>
        <v>0</v>
      </c>
      <c r="S479">
        <f t="shared" si="42"/>
        <v>0</v>
      </c>
      <c r="T479">
        <f t="shared" si="43"/>
        <v>0</v>
      </c>
    </row>
    <row r="480" spans="1:20" x14ac:dyDescent="0.25">
      <c r="A480" s="5"/>
      <c r="C480" s="4"/>
      <c r="D480" s="4"/>
      <c r="P480">
        <f t="shared" si="39"/>
        <v>0</v>
      </c>
      <c r="Q480">
        <f t="shared" si="40"/>
        <v>0</v>
      </c>
      <c r="R480">
        <f t="shared" si="41"/>
        <v>0</v>
      </c>
      <c r="S480">
        <f t="shared" si="42"/>
        <v>0</v>
      </c>
      <c r="T480">
        <f t="shared" si="43"/>
        <v>0</v>
      </c>
    </row>
    <row r="481" spans="1:20" x14ac:dyDescent="0.25">
      <c r="A481" s="5"/>
      <c r="C481" s="4"/>
      <c r="D481" s="4"/>
      <c r="P481">
        <f t="shared" si="39"/>
        <v>0</v>
      </c>
      <c r="Q481">
        <f t="shared" si="40"/>
        <v>0</v>
      </c>
      <c r="R481">
        <f t="shared" si="41"/>
        <v>0</v>
      </c>
      <c r="S481">
        <f t="shared" si="42"/>
        <v>0</v>
      </c>
      <c r="T481">
        <f t="shared" si="43"/>
        <v>0</v>
      </c>
    </row>
    <row r="482" spans="1:20" x14ac:dyDescent="0.25">
      <c r="A482" s="5"/>
      <c r="C482" s="4"/>
      <c r="D482" s="4"/>
      <c r="P482">
        <f t="shared" si="39"/>
        <v>0</v>
      </c>
      <c r="Q482">
        <f t="shared" si="40"/>
        <v>0</v>
      </c>
      <c r="R482">
        <f t="shared" si="41"/>
        <v>0</v>
      </c>
      <c r="S482">
        <f t="shared" si="42"/>
        <v>0</v>
      </c>
      <c r="T482">
        <f t="shared" si="43"/>
        <v>0</v>
      </c>
    </row>
    <row r="483" spans="1:20" x14ac:dyDescent="0.25">
      <c r="A483" s="5"/>
      <c r="C483" s="4"/>
      <c r="D483" s="4"/>
      <c r="P483">
        <f t="shared" si="39"/>
        <v>0</v>
      </c>
      <c r="Q483">
        <f t="shared" si="40"/>
        <v>0</v>
      </c>
      <c r="R483">
        <f t="shared" si="41"/>
        <v>0</v>
      </c>
      <c r="S483">
        <f t="shared" si="42"/>
        <v>0</v>
      </c>
      <c r="T483">
        <f t="shared" si="43"/>
        <v>0</v>
      </c>
    </row>
    <row r="484" spans="1:20" x14ac:dyDescent="0.25">
      <c r="A484" s="5"/>
      <c r="C484" s="4"/>
      <c r="D484" s="4"/>
      <c r="P484">
        <f t="shared" si="39"/>
        <v>0</v>
      </c>
      <c r="Q484">
        <f t="shared" si="40"/>
        <v>0</v>
      </c>
      <c r="R484">
        <f t="shared" si="41"/>
        <v>0</v>
      </c>
      <c r="S484">
        <f t="shared" si="42"/>
        <v>0</v>
      </c>
      <c r="T484">
        <f t="shared" si="43"/>
        <v>0</v>
      </c>
    </row>
    <row r="485" spans="1:20" x14ac:dyDescent="0.25">
      <c r="A485" s="5"/>
      <c r="C485" s="4"/>
      <c r="D485" s="4"/>
      <c r="P485">
        <f t="shared" si="39"/>
        <v>0</v>
      </c>
      <c r="Q485">
        <f t="shared" si="40"/>
        <v>0</v>
      </c>
      <c r="R485">
        <f t="shared" si="41"/>
        <v>0</v>
      </c>
      <c r="S485">
        <f t="shared" si="42"/>
        <v>0</v>
      </c>
      <c r="T485">
        <f t="shared" si="43"/>
        <v>0</v>
      </c>
    </row>
    <row r="486" spans="1:20" x14ac:dyDescent="0.25">
      <c r="A486" s="5"/>
      <c r="C486" s="4"/>
      <c r="D486" s="4"/>
      <c r="P486">
        <f t="shared" si="39"/>
        <v>0</v>
      </c>
      <c r="Q486">
        <f t="shared" si="40"/>
        <v>0</v>
      </c>
      <c r="R486">
        <f t="shared" si="41"/>
        <v>0</v>
      </c>
      <c r="S486">
        <f t="shared" si="42"/>
        <v>0</v>
      </c>
      <c r="T486">
        <f t="shared" si="43"/>
        <v>0</v>
      </c>
    </row>
    <row r="487" spans="1:20" x14ac:dyDescent="0.25">
      <c r="A487" s="5"/>
      <c r="C487" s="4"/>
      <c r="D487" s="4"/>
      <c r="P487">
        <f t="shared" si="39"/>
        <v>0</v>
      </c>
      <c r="Q487">
        <f t="shared" si="40"/>
        <v>0</v>
      </c>
      <c r="R487">
        <f t="shared" si="41"/>
        <v>0</v>
      </c>
      <c r="S487">
        <f t="shared" si="42"/>
        <v>0</v>
      </c>
      <c r="T487">
        <f t="shared" si="43"/>
        <v>0</v>
      </c>
    </row>
    <row r="488" spans="1:20" x14ac:dyDescent="0.25">
      <c r="A488" s="5"/>
      <c r="C488" s="4"/>
      <c r="D488" s="4"/>
      <c r="P488">
        <f t="shared" si="39"/>
        <v>0</v>
      </c>
      <c r="Q488">
        <f t="shared" si="40"/>
        <v>0</v>
      </c>
      <c r="R488">
        <f t="shared" si="41"/>
        <v>0</v>
      </c>
      <c r="S488">
        <f t="shared" si="42"/>
        <v>0</v>
      </c>
      <c r="T488">
        <f t="shared" si="43"/>
        <v>0</v>
      </c>
    </row>
    <row r="489" spans="1:20" x14ac:dyDescent="0.25">
      <c r="A489" s="5"/>
      <c r="C489" s="4"/>
      <c r="D489" s="4"/>
      <c r="P489">
        <f t="shared" si="39"/>
        <v>0</v>
      </c>
      <c r="Q489">
        <f t="shared" si="40"/>
        <v>0</v>
      </c>
      <c r="R489">
        <f t="shared" si="41"/>
        <v>0</v>
      </c>
      <c r="S489">
        <f t="shared" si="42"/>
        <v>0</v>
      </c>
      <c r="T489">
        <f t="shared" si="43"/>
        <v>0</v>
      </c>
    </row>
    <row r="490" spans="1:20" x14ac:dyDescent="0.25">
      <c r="A490" s="5"/>
      <c r="C490" s="4"/>
      <c r="D490" s="4"/>
      <c r="P490">
        <f t="shared" si="39"/>
        <v>0</v>
      </c>
      <c r="Q490">
        <f t="shared" si="40"/>
        <v>0</v>
      </c>
      <c r="R490">
        <f t="shared" si="41"/>
        <v>0</v>
      </c>
      <c r="S490">
        <f t="shared" si="42"/>
        <v>0</v>
      </c>
      <c r="T490">
        <f t="shared" si="43"/>
        <v>0</v>
      </c>
    </row>
    <row r="491" spans="1:20" x14ac:dyDescent="0.25">
      <c r="A491" s="5"/>
      <c r="C491" s="4"/>
      <c r="D491" s="4"/>
      <c r="P491">
        <f t="shared" si="39"/>
        <v>0</v>
      </c>
      <c r="Q491">
        <f t="shared" si="40"/>
        <v>0</v>
      </c>
      <c r="R491">
        <f t="shared" si="41"/>
        <v>0</v>
      </c>
      <c r="S491">
        <f t="shared" si="42"/>
        <v>0</v>
      </c>
      <c r="T491">
        <f t="shared" si="43"/>
        <v>0</v>
      </c>
    </row>
    <row r="492" spans="1:20" x14ac:dyDescent="0.25">
      <c r="A492" s="5"/>
      <c r="C492" s="4"/>
      <c r="D492" s="4"/>
      <c r="P492">
        <f t="shared" si="39"/>
        <v>0</v>
      </c>
      <c r="Q492">
        <f t="shared" si="40"/>
        <v>0</v>
      </c>
      <c r="R492">
        <f t="shared" si="41"/>
        <v>0</v>
      </c>
      <c r="S492">
        <f t="shared" si="42"/>
        <v>0</v>
      </c>
      <c r="T492">
        <f t="shared" si="43"/>
        <v>0</v>
      </c>
    </row>
    <row r="493" spans="1:20" x14ac:dyDescent="0.25">
      <c r="A493" s="5"/>
      <c r="C493" s="4"/>
      <c r="D493" s="4"/>
      <c r="P493">
        <f t="shared" si="39"/>
        <v>0</v>
      </c>
      <c r="Q493">
        <f t="shared" si="40"/>
        <v>0</v>
      </c>
      <c r="R493">
        <f t="shared" si="41"/>
        <v>0</v>
      </c>
      <c r="S493">
        <f t="shared" si="42"/>
        <v>0</v>
      </c>
      <c r="T493">
        <f t="shared" si="43"/>
        <v>0</v>
      </c>
    </row>
    <row r="494" spans="1:20" x14ac:dyDescent="0.25">
      <c r="A494" s="5"/>
      <c r="C494" s="4"/>
      <c r="D494" s="4"/>
      <c r="P494">
        <f t="shared" si="39"/>
        <v>0</v>
      </c>
      <c r="Q494">
        <f t="shared" si="40"/>
        <v>0</v>
      </c>
      <c r="R494">
        <f t="shared" si="41"/>
        <v>0</v>
      </c>
      <c r="S494">
        <f t="shared" si="42"/>
        <v>0</v>
      </c>
      <c r="T494">
        <f t="shared" si="43"/>
        <v>0</v>
      </c>
    </row>
    <row r="495" spans="1:20" x14ac:dyDescent="0.25">
      <c r="A495" s="5"/>
      <c r="C495" s="4"/>
      <c r="D495" s="4"/>
      <c r="P495">
        <f t="shared" si="39"/>
        <v>0</v>
      </c>
      <c r="Q495">
        <f t="shared" si="40"/>
        <v>0</v>
      </c>
      <c r="R495">
        <f t="shared" si="41"/>
        <v>0</v>
      </c>
      <c r="S495">
        <f t="shared" si="42"/>
        <v>0</v>
      </c>
      <c r="T495">
        <f t="shared" si="43"/>
        <v>0</v>
      </c>
    </row>
    <row r="496" spans="1:20" x14ac:dyDescent="0.25">
      <c r="A496" s="5"/>
      <c r="C496" s="4"/>
      <c r="D496" s="4"/>
      <c r="P496">
        <f t="shared" si="39"/>
        <v>0</v>
      </c>
      <c r="Q496">
        <f t="shared" si="40"/>
        <v>0</v>
      </c>
      <c r="R496">
        <f t="shared" si="41"/>
        <v>0</v>
      </c>
      <c r="S496">
        <f t="shared" si="42"/>
        <v>0</v>
      </c>
      <c r="T496">
        <f t="shared" si="43"/>
        <v>0</v>
      </c>
    </row>
    <row r="497" spans="1:20" x14ac:dyDescent="0.25">
      <c r="A497" s="5"/>
      <c r="C497" s="4"/>
      <c r="D497" s="4"/>
      <c r="P497">
        <f t="shared" si="39"/>
        <v>0</v>
      </c>
      <c r="Q497">
        <f t="shared" si="40"/>
        <v>0</v>
      </c>
      <c r="R497">
        <f t="shared" si="41"/>
        <v>0</v>
      </c>
      <c r="S497">
        <f t="shared" si="42"/>
        <v>0</v>
      </c>
      <c r="T497">
        <f t="shared" si="43"/>
        <v>0</v>
      </c>
    </row>
    <row r="498" spans="1:20" x14ac:dyDescent="0.25">
      <c r="A498" s="5"/>
      <c r="C498" s="4"/>
      <c r="D498" s="4"/>
      <c r="P498">
        <f t="shared" si="39"/>
        <v>0</v>
      </c>
      <c r="Q498">
        <f t="shared" si="40"/>
        <v>0</v>
      </c>
      <c r="R498">
        <f t="shared" si="41"/>
        <v>0</v>
      </c>
      <c r="S498">
        <f t="shared" si="42"/>
        <v>0</v>
      </c>
      <c r="T498">
        <f t="shared" si="43"/>
        <v>0</v>
      </c>
    </row>
    <row r="499" spans="1:20" x14ac:dyDescent="0.25">
      <c r="A499" s="5"/>
      <c r="C499" s="4"/>
      <c r="D499" s="4"/>
      <c r="P499">
        <f t="shared" si="39"/>
        <v>0</v>
      </c>
      <c r="Q499">
        <f t="shared" si="40"/>
        <v>0</v>
      </c>
      <c r="R499">
        <f t="shared" si="41"/>
        <v>0</v>
      </c>
      <c r="S499">
        <f t="shared" si="42"/>
        <v>0</v>
      </c>
      <c r="T499">
        <f t="shared" si="43"/>
        <v>0</v>
      </c>
    </row>
    <row r="500" spans="1:20" x14ac:dyDescent="0.25">
      <c r="A500" s="5"/>
      <c r="C500" s="4"/>
      <c r="D500" s="4"/>
      <c r="P500">
        <f t="shared" si="39"/>
        <v>0</v>
      </c>
      <c r="Q500">
        <f t="shared" si="40"/>
        <v>0</v>
      </c>
      <c r="R500">
        <f t="shared" si="41"/>
        <v>0</v>
      </c>
      <c r="S500">
        <f t="shared" si="42"/>
        <v>0</v>
      </c>
      <c r="T500">
        <f t="shared" si="43"/>
        <v>0</v>
      </c>
    </row>
    <row r="501" spans="1:20" x14ac:dyDescent="0.25">
      <c r="A501" s="5"/>
      <c r="C501" s="4"/>
      <c r="D501" s="4"/>
      <c r="P501">
        <f t="shared" si="39"/>
        <v>0</v>
      </c>
      <c r="Q501">
        <f t="shared" si="40"/>
        <v>0</v>
      </c>
      <c r="R501">
        <f t="shared" si="41"/>
        <v>0</v>
      </c>
      <c r="S501">
        <f t="shared" si="42"/>
        <v>0</v>
      </c>
      <c r="T501">
        <f t="shared" si="43"/>
        <v>0</v>
      </c>
    </row>
    <row r="502" spans="1:20" x14ac:dyDescent="0.25">
      <c r="A502" s="5"/>
      <c r="C502" s="4"/>
      <c r="D502" s="4"/>
      <c r="P502">
        <f t="shared" si="39"/>
        <v>0</v>
      </c>
      <c r="Q502">
        <f t="shared" si="40"/>
        <v>0</v>
      </c>
      <c r="R502">
        <f t="shared" si="41"/>
        <v>0</v>
      </c>
      <c r="S502">
        <f t="shared" si="42"/>
        <v>0</v>
      </c>
      <c r="T502">
        <f t="shared" si="43"/>
        <v>0</v>
      </c>
    </row>
    <row r="503" spans="1:20" x14ac:dyDescent="0.25">
      <c r="A503" s="5"/>
      <c r="C503" s="4"/>
      <c r="D503" s="4"/>
      <c r="P503">
        <f t="shared" si="39"/>
        <v>0</v>
      </c>
      <c r="Q503">
        <f t="shared" si="40"/>
        <v>0</v>
      </c>
      <c r="R503">
        <f t="shared" si="41"/>
        <v>0</v>
      </c>
      <c r="S503">
        <f t="shared" si="42"/>
        <v>0</v>
      </c>
      <c r="T503">
        <f t="shared" si="43"/>
        <v>0</v>
      </c>
    </row>
    <row r="504" spans="1:20" x14ac:dyDescent="0.25">
      <c r="A504" s="5"/>
      <c r="C504" s="4"/>
      <c r="D504" s="4"/>
      <c r="P504">
        <f t="shared" si="39"/>
        <v>0</v>
      </c>
      <c r="Q504">
        <f t="shared" si="40"/>
        <v>0</v>
      </c>
      <c r="R504">
        <f t="shared" si="41"/>
        <v>0</v>
      </c>
      <c r="S504">
        <f t="shared" si="42"/>
        <v>0</v>
      </c>
      <c r="T504">
        <f t="shared" si="43"/>
        <v>0</v>
      </c>
    </row>
    <row r="505" spans="1:20" x14ac:dyDescent="0.25">
      <c r="A505" s="5"/>
      <c r="C505" s="4"/>
      <c r="D505" s="4"/>
      <c r="P505">
        <f t="shared" si="39"/>
        <v>0</v>
      </c>
      <c r="Q505">
        <f t="shared" si="40"/>
        <v>0</v>
      </c>
      <c r="R505">
        <f t="shared" si="41"/>
        <v>0</v>
      </c>
      <c r="S505">
        <f t="shared" si="42"/>
        <v>0</v>
      </c>
      <c r="T505">
        <f t="shared" si="43"/>
        <v>0</v>
      </c>
    </row>
    <row r="506" spans="1:20" x14ac:dyDescent="0.25">
      <c r="A506" s="5"/>
      <c r="C506" s="4"/>
      <c r="D506" s="4"/>
      <c r="P506">
        <f t="shared" si="39"/>
        <v>0</v>
      </c>
      <c r="Q506">
        <f t="shared" si="40"/>
        <v>0</v>
      </c>
      <c r="R506">
        <f t="shared" si="41"/>
        <v>0</v>
      </c>
      <c r="S506">
        <f t="shared" si="42"/>
        <v>0</v>
      </c>
      <c r="T506">
        <f t="shared" si="43"/>
        <v>0</v>
      </c>
    </row>
    <row r="507" spans="1:20" x14ac:dyDescent="0.25">
      <c r="A507" s="5"/>
      <c r="C507" s="4"/>
      <c r="D507" s="4"/>
      <c r="P507">
        <f t="shared" si="39"/>
        <v>0</v>
      </c>
      <c r="Q507">
        <f t="shared" si="40"/>
        <v>0</v>
      </c>
      <c r="R507">
        <f t="shared" si="41"/>
        <v>0</v>
      </c>
      <c r="S507">
        <f t="shared" si="42"/>
        <v>0</v>
      </c>
      <c r="T507">
        <f t="shared" si="43"/>
        <v>0</v>
      </c>
    </row>
    <row r="508" spans="1:20" x14ac:dyDescent="0.25">
      <c r="A508" s="5"/>
      <c r="C508" s="4"/>
      <c r="D508" s="4"/>
      <c r="P508">
        <f t="shared" si="39"/>
        <v>0</v>
      </c>
      <c r="Q508">
        <f t="shared" si="40"/>
        <v>0</v>
      </c>
      <c r="R508">
        <f t="shared" si="41"/>
        <v>0</v>
      </c>
      <c r="S508">
        <f t="shared" si="42"/>
        <v>0</v>
      </c>
      <c r="T508">
        <f t="shared" si="43"/>
        <v>0</v>
      </c>
    </row>
    <row r="509" spans="1:20" x14ac:dyDescent="0.25">
      <c r="A509" s="5"/>
      <c r="C509" s="4"/>
      <c r="D509" s="4"/>
      <c r="P509">
        <f t="shared" si="39"/>
        <v>0</v>
      </c>
      <c r="Q509">
        <f t="shared" si="40"/>
        <v>0</v>
      </c>
      <c r="R509">
        <f t="shared" si="41"/>
        <v>0</v>
      </c>
      <c r="S509">
        <f t="shared" si="42"/>
        <v>0</v>
      </c>
      <c r="T509">
        <f t="shared" si="43"/>
        <v>0</v>
      </c>
    </row>
    <row r="510" spans="1:20" x14ac:dyDescent="0.25">
      <c r="A510" s="5"/>
      <c r="C510" s="4"/>
      <c r="D510" s="4"/>
      <c r="P510">
        <f t="shared" si="39"/>
        <v>0</v>
      </c>
      <c r="Q510">
        <f t="shared" si="40"/>
        <v>0</v>
      </c>
      <c r="R510">
        <f t="shared" si="41"/>
        <v>0</v>
      </c>
      <c r="S510">
        <f t="shared" si="42"/>
        <v>0</v>
      </c>
      <c r="T510">
        <f t="shared" si="43"/>
        <v>0</v>
      </c>
    </row>
    <row r="511" spans="1:20" x14ac:dyDescent="0.25">
      <c r="A511" s="5"/>
      <c r="C511" s="4"/>
      <c r="D511" s="4"/>
      <c r="P511">
        <f t="shared" si="39"/>
        <v>0</v>
      </c>
      <c r="Q511">
        <f t="shared" si="40"/>
        <v>0</v>
      </c>
      <c r="R511">
        <f t="shared" si="41"/>
        <v>0</v>
      </c>
      <c r="S511">
        <f t="shared" si="42"/>
        <v>0</v>
      </c>
      <c r="T511">
        <f t="shared" si="43"/>
        <v>0</v>
      </c>
    </row>
    <row r="512" spans="1:20" x14ac:dyDescent="0.25">
      <c r="A512" s="5"/>
      <c r="C512" s="4"/>
      <c r="D512" s="4"/>
      <c r="P512">
        <f t="shared" si="39"/>
        <v>0</v>
      </c>
      <c r="Q512">
        <f t="shared" si="40"/>
        <v>0</v>
      </c>
      <c r="R512">
        <f t="shared" si="41"/>
        <v>0</v>
      </c>
      <c r="S512">
        <f t="shared" si="42"/>
        <v>0</v>
      </c>
      <c r="T512">
        <f t="shared" si="43"/>
        <v>0</v>
      </c>
    </row>
    <row r="513" spans="1:20" x14ac:dyDescent="0.25">
      <c r="A513" s="5"/>
      <c r="C513" s="4"/>
      <c r="D513" s="4"/>
      <c r="P513">
        <f t="shared" si="39"/>
        <v>0</v>
      </c>
      <c r="Q513">
        <f t="shared" si="40"/>
        <v>0</v>
      </c>
      <c r="R513">
        <f t="shared" si="41"/>
        <v>0</v>
      </c>
      <c r="S513">
        <f t="shared" si="42"/>
        <v>0</v>
      </c>
      <c r="T513">
        <f t="shared" si="43"/>
        <v>0</v>
      </c>
    </row>
    <row r="514" spans="1:20" x14ac:dyDescent="0.25">
      <c r="A514" s="5"/>
      <c r="C514" s="4"/>
      <c r="D514" s="4"/>
      <c r="P514">
        <f t="shared" si="39"/>
        <v>0</v>
      </c>
      <c r="Q514">
        <f t="shared" si="40"/>
        <v>0</v>
      </c>
      <c r="R514">
        <f t="shared" si="41"/>
        <v>0</v>
      </c>
      <c r="S514">
        <f t="shared" si="42"/>
        <v>0</v>
      </c>
      <c r="T514">
        <f t="shared" si="43"/>
        <v>0</v>
      </c>
    </row>
    <row r="515" spans="1:20" x14ac:dyDescent="0.25">
      <c r="A515" s="5"/>
      <c r="C515" s="4"/>
      <c r="D515" s="4"/>
      <c r="P515">
        <f t="shared" si="39"/>
        <v>0</v>
      </c>
      <c r="Q515">
        <f t="shared" si="40"/>
        <v>0</v>
      </c>
      <c r="R515">
        <f t="shared" si="41"/>
        <v>0</v>
      </c>
      <c r="S515">
        <f t="shared" si="42"/>
        <v>0</v>
      </c>
      <c r="T515">
        <f t="shared" si="43"/>
        <v>0</v>
      </c>
    </row>
    <row r="516" spans="1:20" x14ac:dyDescent="0.25">
      <c r="A516" s="5"/>
      <c r="C516" s="4"/>
      <c r="D516" s="4"/>
      <c r="P516">
        <f t="shared" si="39"/>
        <v>0</v>
      </c>
      <c r="Q516">
        <f t="shared" si="40"/>
        <v>0</v>
      </c>
      <c r="R516">
        <f t="shared" si="41"/>
        <v>0</v>
      </c>
      <c r="S516">
        <f t="shared" si="42"/>
        <v>0</v>
      </c>
      <c r="T516">
        <f t="shared" si="43"/>
        <v>0</v>
      </c>
    </row>
    <row r="517" spans="1:20" x14ac:dyDescent="0.25">
      <c r="A517" s="5"/>
      <c r="C517" s="4"/>
      <c r="D517" s="4"/>
      <c r="P517">
        <f t="shared" si="39"/>
        <v>0</v>
      </c>
      <c r="Q517">
        <f t="shared" si="40"/>
        <v>0</v>
      </c>
      <c r="R517">
        <f t="shared" si="41"/>
        <v>0</v>
      </c>
      <c r="S517">
        <f t="shared" si="42"/>
        <v>0</v>
      </c>
      <c r="T517">
        <f t="shared" si="43"/>
        <v>0</v>
      </c>
    </row>
    <row r="518" spans="1:20" x14ac:dyDescent="0.25">
      <c r="A518" s="5"/>
      <c r="C518" s="4"/>
      <c r="D518" s="4"/>
      <c r="P518">
        <f t="shared" ref="P518:P574" si="44">IF(C518=D518,0,((E518-D518)-(C518-E518))/(C518-D518))</f>
        <v>0</v>
      </c>
      <c r="Q518">
        <f t="shared" ref="Q518:Q574" si="45">F518*P518</f>
        <v>0</v>
      </c>
      <c r="R518">
        <f t="shared" ref="R518:R574" si="46">R519+Q518</f>
        <v>0</v>
      </c>
      <c r="S518">
        <f t="shared" ref="S518:S574" si="47">R518/100000</f>
        <v>0</v>
      </c>
      <c r="T518">
        <f t="shared" ref="T518:T574" si="48">S518/1000</f>
        <v>0</v>
      </c>
    </row>
    <row r="519" spans="1:20" x14ac:dyDescent="0.25">
      <c r="A519" s="5"/>
      <c r="C519" s="4"/>
      <c r="D519" s="4"/>
      <c r="P519">
        <f t="shared" si="44"/>
        <v>0</v>
      </c>
      <c r="Q519">
        <f t="shared" si="45"/>
        <v>0</v>
      </c>
      <c r="R519">
        <f t="shared" si="46"/>
        <v>0</v>
      </c>
      <c r="S519">
        <f t="shared" si="47"/>
        <v>0</v>
      </c>
      <c r="T519">
        <f t="shared" si="48"/>
        <v>0</v>
      </c>
    </row>
    <row r="520" spans="1:20" x14ac:dyDescent="0.25">
      <c r="A520" s="5"/>
      <c r="C520" s="4"/>
      <c r="D520" s="4"/>
      <c r="P520">
        <f t="shared" si="44"/>
        <v>0</v>
      </c>
      <c r="Q520">
        <f t="shared" si="45"/>
        <v>0</v>
      </c>
      <c r="R520">
        <f t="shared" si="46"/>
        <v>0</v>
      </c>
      <c r="S520">
        <f t="shared" si="47"/>
        <v>0</v>
      </c>
      <c r="T520">
        <f t="shared" si="48"/>
        <v>0</v>
      </c>
    </row>
    <row r="521" spans="1:20" x14ac:dyDescent="0.25">
      <c r="A521" s="5"/>
      <c r="C521" s="4"/>
      <c r="D521" s="4"/>
      <c r="P521">
        <f t="shared" si="44"/>
        <v>0</v>
      </c>
      <c r="Q521">
        <f t="shared" si="45"/>
        <v>0</v>
      </c>
      <c r="R521">
        <f t="shared" si="46"/>
        <v>0</v>
      </c>
      <c r="S521">
        <f t="shared" si="47"/>
        <v>0</v>
      </c>
      <c r="T521">
        <f t="shared" si="48"/>
        <v>0</v>
      </c>
    </row>
    <row r="522" spans="1:20" x14ac:dyDescent="0.25">
      <c r="A522" s="5"/>
      <c r="C522" s="4"/>
      <c r="D522" s="4"/>
      <c r="P522">
        <f t="shared" si="44"/>
        <v>0</v>
      </c>
      <c r="Q522">
        <f t="shared" si="45"/>
        <v>0</v>
      </c>
      <c r="R522">
        <f t="shared" si="46"/>
        <v>0</v>
      </c>
      <c r="S522">
        <f t="shared" si="47"/>
        <v>0</v>
      </c>
      <c r="T522">
        <f t="shared" si="48"/>
        <v>0</v>
      </c>
    </row>
    <row r="523" spans="1:20" x14ac:dyDescent="0.25">
      <c r="A523" s="5"/>
      <c r="C523" s="4"/>
      <c r="D523" s="4"/>
      <c r="P523">
        <f t="shared" si="44"/>
        <v>0</v>
      </c>
      <c r="Q523">
        <f t="shared" si="45"/>
        <v>0</v>
      </c>
      <c r="R523">
        <f t="shared" si="46"/>
        <v>0</v>
      </c>
      <c r="S523">
        <f t="shared" si="47"/>
        <v>0</v>
      </c>
      <c r="T523">
        <f t="shared" si="48"/>
        <v>0</v>
      </c>
    </row>
    <row r="524" spans="1:20" x14ac:dyDescent="0.25">
      <c r="A524" s="5"/>
      <c r="C524" s="4"/>
      <c r="D524" s="4"/>
      <c r="P524">
        <f t="shared" si="44"/>
        <v>0</v>
      </c>
      <c r="Q524">
        <f t="shared" si="45"/>
        <v>0</v>
      </c>
      <c r="R524">
        <f t="shared" si="46"/>
        <v>0</v>
      </c>
      <c r="S524">
        <f t="shared" si="47"/>
        <v>0</v>
      </c>
      <c r="T524">
        <f t="shared" si="48"/>
        <v>0</v>
      </c>
    </row>
    <row r="525" spans="1:20" x14ac:dyDescent="0.25">
      <c r="A525" s="5"/>
      <c r="C525" s="4"/>
      <c r="D525" s="4"/>
      <c r="P525">
        <f t="shared" si="44"/>
        <v>0</v>
      </c>
      <c r="Q525">
        <f t="shared" si="45"/>
        <v>0</v>
      </c>
      <c r="R525">
        <f t="shared" si="46"/>
        <v>0</v>
      </c>
      <c r="S525">
        <f t="shared" si="47"/>
        <v>0</v>
      </c>
      <c r="T525">
        <f t="shared" si="48"/>
        <v>0</v>
      </c>
    </row>
    <row r="526" spans="1:20" x14ac:dyDescent="0.25">
      <c r="A526" s="5"/>
      <c r="C526" s="4"/>
      <c r="D526" s="4"/>
      <c r="P526">
        <f t="shared" si="44"/>
        <v>0</v>
      </c>
      <c r="Q526">
        <f t="shared" si="45"/>
        <v>0</v>
      </c>
      <c r="R526">
        <f t="shared" si="46"/>
        <v>0</v>
      </c>
      <c r="S526">
        <f t="shared" si="47"/>
        <v>0</v>
      </c>
      <c r="T526">
        <f t="shared" si="48"/>
        <v>0</v>
      </c>
    </row>
    <row r="527" spans="1:20" x14ac:dyDescent="0.25">
      <c r="A527" s="5"/>
      <c r="C527" s="4"/>
      <c r="D527" s="4"/>
      <c r="P527">
        <f t="shared" si="44"/>
        <v>0</v>
      </c>
      <c r="Q527">
        <f t="shared" si="45"/>
        <v>0</v>
      </c>
      <c r="R527">
        <f t="shared" si="46"/>
        <v>0</v>
      </c>
      <c r="S527">
        <f t="shared" si="47"/>
        <v>0</v>
      </c>
      <c r="T527">
        <f t="shared" si="48"/>
        <v>0</v>
      </c>
    </row>
    <row r="528" spans="1:20" x14ac:dyDescent="0.25">
      <c r="A528" s="5"/>
      <c r="C528" s="4"/>
      <c r="D528" s="4"/>
      <c r="P528">
        <f t="shared" si="44"/>
        <v>0</v>
      </c>
      <c r="Q528">
        <f t="shared" si="45"/>
        <v>0</v>
      </c>
      <c r="R528">
        <f t="shared" si="46"/>
        <v>0</v>
      </c>
      <c r="S528">
        <f t="shared" si="47"/>
        <v>0</v>
      </c>
      <c r="T528">
        <f t="shared" si="48"/>
        <v>0</v>
      </c>
    </row>
    <row r="529" spans="1:20" x14ac:dyDescent="0.25">
      <c r="A529" s="5"/>
      <c r="C529" s="4"/>
      <c r="D529" s="4"/>
      <c r="P529">
        <f t="shared" si="44"/>
        <v>0</v>
      </c>
      <c r="Q529">
        <f t="shared" si="45"/>
        <v>0</v>
      </c>
      <c r="R529">
        <f t="shared" si="46"/>
        <v>0</v>
      </c>
      <c r="S529">
        <f t="shared" si="47"/>
        <v>0</v>
      </c>
      <c r="T529">
        <f t="shared" si="48"/>
        <v>0</v>
      </c>
    </row>
    <row r="530" spans="1:20" x14ac:dyDescent="0.25">
      <c r="A530" s="5"/>
      <c r="C530" s="4"/>
      <c r="D530" s="4"/>
      <c r="P530">
        <f t="shared" si="44"/>
        <v>0</v>
      </c>
      <c r="Q530">
        <f t="shared" si="45"/>
        <v>0</v>
      </c>
      <c r="R530">
        <f t="shared" si="46"/>
        <v>0</v>
      </c>
      <c r="S530">
        <f t="shared" si="47"/>
        <v>0</v>
      </c>
      <c r="T530">
        <f t="shared" si="48"/>
        <v>0</v>
      </c>
    </row>
    <row r="531" spans="1:20" x14ac:dyDescent="0.25">
      <c r="A531" s="5"/>
      <c r="C531" s="4"/>
      <c r="D531" s="4"/>
      <c r="P531">
        <f t="shared" si="44"/>
        <v>0</v>
      </c>
      <c r="Q531">
        <f t="shared" si="45"/>
        <v>0</v>
      </c>
      <c r="R531">
        <f t="shared" si="46"/>
        <v>0</v>
      </c>
      <c r="S531">
        <f t="shared" si="47"/>
        <v>0</v>
      </c>
      <c r="T531">
        <f t="shared" si="48"/>
        <v>0</v>
      </c>
    </row>
    <row r="532" spans="1:20" x14ac:dyDescent="0.25">
      <c r="A532" s="5"/>
      <c r="C532" s="4"/>
      <c r="D532" s="4"/>
      <c r="P532">
        <f t="shared" si="44"/>
        <v>0</v>
      </c>
      <c r="Q532">
        <f t="shared" si="45"/>
        <v>0</v>
      </c>
      <c r="R532">
        <f t="shared" si="46"/>
        <v>0</v>
      </c>
      <c r="S532">
        <f t="shared" si="47"/>
        <v>0</v>
      </c>
      <c r="T532">
        <f t="shared" si="48"/>
        <v>0</v>
      </c>
    </row>
    <row r="533" spans="1:20" x14ac:dyDescent="0.25">
      <c r="A533" s="5"/>
      <c r="C533" s="4"/>
      <c r="D533" s="4"/>
      <c r="P533">
        <f t="shared" si="44"/>
        <v>0</v>
      </c>
      <c r="Q533">
        <f t="shared" si="45"/>
        <v>0</v>
      </c>
      <c r="R533">
        <f t="shared" si="46"/>
        <v>0</v>
      </c>
      <c r="S533">
        <f t="shared" si="47"/>
        <v>0</v>
      </c>
      <c r="T533">
        <f t="shared" si="48"/>
        <v>0</v>
      </c>
    </row>
    <row r="534" spans="1:20" x14ac:dyDescent="0.25">
      <c r="A534" s="5"/>
      <c r="C534" s="4"/>
      <c r="D534" s="4"/>
      <c r="P534">
        <f t="shared" si="44"/>
        <v>0</v>
      </c>
      <c r="Q534">
        <f t="shared" si="45"/>
        <v>0</v>
      </c>
      <c r="R534">
        <f t="shared" si="46"/>
        <v>0</v>
      </c>
      <c r="S534">
        <f t="shared" si="47"/>
        <v>0</v>
      </c>
      <c r="T534">
        <f t="shared" si="48"/>
        <v>0</v>
      </c>
    </row>
    <row r="535" spans="1:20" x14ac:dyDescent="0.25">
      <c r="A535" s="5"/>
      <c r="C535" s="4"/>
      <c r="D535" s="4"/>
      <c r="P535">
        <f t="shared" si="44"/>
        <v>0</v>
      </c>
      <c r="Q535">
        <f t="shared" si="45"/>
        <v>0</v>
      </c>
      <c r="R535">
        <f t="shared" si="46"/>
        <v>0</v>
      </c>
      <c r="S535">
        <f t="shared" si="47"/>
        <v>0</v>
      </c>
      <c r="T535">
        <f t="shared" si="48"/>
        <v>0</v>
      </c>
    </row>
    <row r="536" spans="1:20" x14ac:dyDescent="0.25">
      <c r="A536" s="5"/>
      <c r="C536" s="4"/>
      <c r="D536" s="4"/>
      <c r="P536">
        <f t="shared" si="44"/>
        <v>0</v>
      </c>
      <c r="Q536">
        <f t="shared" si="45"/>
        <v>0</v>
      </c>
      <c r="R536">
        <f t="shared" si="46"/>
        <v>0</v>
      </c>
      <c r="S536">
        <f t="shared" si="47"/>
        <v>0</v>
      </c>
      <c r="T536">
        <f t="shared" si="48"/>
        <v>0</v>
      </c>
    </row>
    <row r="537" spans="1:20" x14ac:dyDescent="0.25">
      <c r="A537" s="5"/>
      <c r="C537" s="4"/>
      <c r="D537" s="4"/>
      <c r="P537">
        <f t="shared" si="44"/>
        <v>0</v>
      </c>
      <c r="Q537">
        <f t="shared" si="45"/>
        <v>0</v>
      </c>
      <c r="R537">
        <f t="shared" si="46"/>
        <v>0</v>
      </c>
      <c r="S537">
        <f t="shared" si="47"/>
        <v>0</v>
      </c>
      <c r="T537">
        <f t="shared" si="48"/>
        <v>0</v>
      </c>
    </row>
    <row r="538" spans="1:20" x14ac:dyDescent="0.25">
      <c r="A538" s="5"/>
      <c r="C538" s="4"/>
      <c r="D538" s="4"/>
      <c r="P538">
        <f t="shared" si="44"/>
        <v>0</v>
      </c>
      <c r="Q538">
        <f t="shared" si="45"/>
        <v>0</v>
      </c>
      <c r="R538">
        <f t="shared" si="46"/>
        <v>0</v>
      </c>
      <c r="S538">
        <f t="shared" si="47"/>
        <v>0</v>
      </c>
      <c r="T538">
        <f t="shared" si="48"/>
        <v>0</v>
      </c>
    </row>
    <row r="539" spans="1:20" x14ac:dyDescent="0.25">
      <c r="A539" s="5"/>
      <c r="C539" s="4"/>
      <c r="D539" s="4"/>
      <c r="P539">
        <f t="shared" si="44"/>
        <v>0</v>
      </c>
      <c r="Q539">
        <f t="shared" si="45"/>
        <v>0</v>
      </c>
      <c r="R539">
        <f t="shared" si="46"/>
        <v>0</v>
      </c>
      <c r="S539">
        <f t="shared" si="47"/>
        <v>0</v>
      </c>
      <c r="T539">
        <f t="shared" si="48"/>
        <v>0</v>
      </c>
    </row>
    <row r="540" spans="1:20" x14ac:dyDescent="0.25">
      <c r="A540" s="5"/>
      <c r="C540" s="4"/>
      <c r="D540" s="4"/>
      <c r="P540">
        <f t="shared" si="44"/>
        <v>0</v>
      </c>
      <c r="Q540">
        <f t="shared" si="45"/>
        <v>0</v>
      </c>
      <c r="R540">
        <f t="shared" si="46"/>
        <v>0</v>
      </c>
      <c r="S540">
        <f t="shared" si="47"/>
        <v>0</v>
      </c>
      <c r="T540">
        <f t="shared" si="48"/>
        <v>0</v>
      </c>
    </row>
    <row r="541" spans="1:20" x14ac:dyDescent="0.25">
      <c r="A541" s="5"/>
      <c r="C541" s="4"/>
      <c r="D541" s="4"/>
      <c r="P541">
        <f t="shared" si="44"/>
        <v>0</v>
      </c>
      <c r="Q541">
        <f t="shared" si="45"/>
        <v>0</v>
      </c>
      <c r="R541">
        <f t="shared" si="46"/>
        <v>0</v>
      </c>
      <c r="S541">
        <f t="shared" si="47"/>
        <v>0</v>
      </c>
      <c r="T541">
        <f t="shared" si="48"/>
        <v>0</v>
      </c>
    </row>
    <row r="542" spans="1:20" x14ac:dyDescent="0.25">
      <c r="A542" s="5"/>
      <c r="C542" s="4"/>
      <c r="D542" s="4"/>
      <c r="P542">
        <f t="shared" si="44"/>
        <v>0</v>
      </c>
      <c r="Q542">
        <f t="shared" si="45"/>
        <v>0</v>
      </c>
      <c r="R542">
        <f t="shared" si="46"/>
        <v>0</v>
      </c>
      <c r="S542">
        <f t="shared" si="47"/>
        <v>0</v>
      </c>
      <c r="T542">
        <f t="shared" si="48"/>
        <v>0</v>
      </c>
    </row>
    <row r="543" spans="1:20" x14ac:dyDescent="0.25">
      <c r="A543" s="5"/>
      <c r="C543" s="4"/>
      <c r="D543" s="4"/>
      <c r="P543">
        <f t="shared" si="44"/>
        <v>0</v>
      </c>
      <c r="Q543">
        <f t="shared" si="45"/>
        <v>0</v>
      </c>
      <c r="R543">
        <f t="shared" si="46"/>
        <v>0</v>
      </c>
      <c r="S543">
        <f t="shared" si="47"/>
        <v>0</v>
      </c>
      <c r="T543">
        <f t="shared" si="48"/>
        <v>0</v>
      </c>
    </row>
    <row r="544" spans="1:20" x14ac:dyDescent="0.25">
      <c r="A544" s="5"/>
      <c r="C544" s="4"/>
      <c r="D544" s="4"/>
      <c r="P544">
        <f t="shared" si="44"/>
        <v>0</v>
      </c>
      <c r="Q544">
        <f t="shared" si="45"/>
        <v>0</v>
      </c>
      <c r="R544">
        <f t="shared" si="46"/>
        <v>0</v>
      </c>
      <c r="S544">
        <f t="shared" si="47"/>
        <v>0</v>
      </c>
      <c r="T544">
        <f t="shared" si="48"/>
        <v>0</v>
      </c>
    </row>
    <row r="545" spans="1:20" x14ac:dyDescent="0.25">
      <c r="A545" s="5"/>
      <c r="C545" s="4"/>
      <c r="D545" s="4"/>
      <c r="P545">
        <f t="shared" si="44"/>
        <v>0</v>
      </c>
      <c r="Q545">
        <f t="shared" si="45"/>
        <v>0</v>
      </c>
      <c r="R545">
        <f t="shared" si="46"/>
        <v>0</v>
      </c>
      <c r="S545">
        <f t="shared" si="47"/>
        <v>0</v>
      </c>
      <c r="T545">
        <f t="shared" si="48"/>
        <v>0</v>
      </c>
    </row>
    <row r="546" spans="1:20" x14ac:dyDescent="0.25">
      <c r="A546" s="5"/>
      <c r="C546" s="4"/>
      <c r="D546" s="4"/>
      <c r="P546">
        <f t="shared" si="44"/>
        <v>0</v>
      </c>
      <c r="Q546">
        <f t="shared" si="45"/>
        <v>0</v>
      </c>
      <c r="R546">
        <f t="shared" si="46"/>
        <v>0</v>
      </c>
      <c r="S546">
        <f t="shared" si="47"/>
        <v>0</v>
      </c>
      <c r="T546">
        <f t="shared" si="48"/>
        <v>0</v>
      </c>
    </row>
    <row r="547" spans="1:20" x14ac:dyDescent="0.25">
      <c r="A547" s="5"/>
      <c r="C547" s="4"/>
      <c r="D547" s="4"/>
      <c r="P547">
        <f t="shared" si="44"/>
        <v>0</v>
      </c>
      <c r="Q547">
        <f t="shared" si="45"/>
        <v>0</v>
      </c>
      <c r="R547">
        <f t="shared" si="46"/>
        <v>0</v>
      </c>
      <c r="S547">
        <f t="shared" si="47"/>
        <v>0</v>
      </c>
      <c r="T547">
        <f t="shared" si="48"/>
        <v>0</v>
      </c>
    </row>
    <row r="548" spans="1:20" x14ac:dyDescent="0.25">
      <c r="A548" s="5"/>
      <c r="C548" s="4"/>
      <c r="D548" s="4"/>
      <c r="P548">
        <f t="shared" si="44"/>
        <v>0</v>
      </c>
      <c r="Q548">
        <f t="shared" si="45"/>
        <v>0</v>
      </c>
      <c r="R548">
        <f t="shared" si="46"/>
        <v>0</v>
      </c>
      <c r="S548">
        <f t="shared" si="47"/>
        <v>0</v>
      </c>
      <c r="T548">
        <f t="shared" si="48"/>
        <v>0</v>
      </c>
    </row>
    <row r="549" spans="1:20" x14ac:dyDescent="0.25">
      <c r="A549" s="5"/>
      <c r="C549" s="4"/>
      <c r="D549" s="4"/>
      <c r="P549">
        <f t="shared" si="44"/>
        <v>0</v>
      </c>
      <c r="Q549">
        <f t="shared" si="45"/>
        <v>0</v>
      </c>
      <c r="R549">
        <f t="shared" si="46"/>
        <v>0</v>
      </c>
      <c r="S549">
        <f t="shared" si="47"/>
        <v>0</v>
      </c>
      <c r="T549">
        <f t="shared" si="48"/>
        <v>0</v>
      </c>
    </row>
    <row r="550" spans="1:20" x14ac:dyDescent="0.25">
      <c r="A550" s="5"/>
      <c r="C550" s="4"/>
      <c r="D550" s="4"/>
      <c r="P550">
        <f t="shared" si="44"/>
        <v>0</v>
      </c>
      <c r="Q550">
        <f t="shared" si="45"/>
        <v>0</v>
      </c>
      <c r="R550">
        <f t="shared" si="46"/>
        <v>0</v>
      </c>
      <c r="S550">
        <f t="shared" si="47"/>
        <v>0</v>
      </c>
      <c r="T550">
        <f t="shared" si="48"/>
        <v>0</v>
      </c>
    </row>
    <row r="551" spans="1:20" x14ac:dyDescent="0.25">
      <c r="A551" s="5"/>
      <c r="C551" s="4"/>
      <c r="D551" s="4"/>
      <c r="P551">
        <f t="shared" si="44"/>
        <v>0</v>
      </c>
      <c r="Q551">
        <f t="shared" si="45"/>
        <v>0</v>
      </c>
      <c r="R551">
        <f t="shared" si="46"/>
        <v>0</v>
      </c>
      <c r="S551">
        <f t="shared" si="47"/>
        <v>0</v>
      </c>
      <c r="T551">
        <f t="shared" si="48"/>
        <v>0</v>
      </c>
    </row>
    <row r="552" spans="1:20" x14ac:dyDescent="0.25">
      <c r="A552" s="5"/>
      <c r="C552" s="4"/>
      <c r="D552" s="4"/>
      <c r="P552">
        <f t="shared" si="44"/>
        <v>0</v>
      </c>
      <c r="Q552">
        <f t="shared" si="45"/>
        <v>0</v>
      </c>
      <c r="R552">
        <f t="shared" si="46"/>
        <v>0</v>
      </c>
      <c r="S552">
        <f t="shared" si="47"/>
        <v>0</v>
      </c>
      <c r="T552">
        <f t="shared" si="48"/>
        <v>0</v>
      </c>
    </row>
    <row r="553" spans="1:20" x14ac:dyDescent="0.25">
      <c r="A553" s="5"/>
      <c r="C553" s="4"/>
      <c r="D553" s="4"/>
      <c r="P553">
        <f t="shared" si="44"/>
        <v>0</v>
      </c>
      <c r="Q553">
        <f t="shared" si="45"/>
        <v>0</v>
      </c>
      <c r="R553">
        <f t="shared" si="46"/>
        <v>0</v>
      </c>
      <c r="S553">
        <f t="shared" si="47"/>
        <v>0</v>
      </c>
      <c r="T553">
        <f t="shared" si="48"/>
        <v>0</v>
      </c>
    </row>
    <row r="554" spans="1:20" x14ac:dyDescent="0.25">
      <c r="A554" s="5"/>
      <c r="C554" s="4"/>
      <c r="D554" s="4"/>
      <c r="P554">
        <f t="shared" si="44"/>
        <v>0</v>
      </c>
      <c r="Q554">
        <f t="shared" si="45"/>
        <v>0</v>
      </c>
      <c r="R554">
        <f t="shared" si="46"/>
        <v>0</v>
      </c>
      <c r="S554">
        <f t="shared" si="47"/>
        <v>0</v>
      </c>
      <c r="T554">
        <f t="shared" si="48"/>
        <v>0</v>
      </c>
    </row>
    <row r="555" spans="1:20" x14ac:dyDescent="0.25">
      <c r="A555" s="5"/>
      <c r="C555" s="4"/>
      <c r="D555" s="4"/>
      <c r="P555">
        <f t="shared" si="44"/>
        <v>0</v>
      </c>
      <c r="Q555">
        <f t="shared" si="45"/>
        <v>0</v>
      </c>
      <c r="R555">
        <f t="shared" si="46"/>
        <v>0</v>
      </c>
      <c r="S555">
        <f t="shared" si="47"/>
        <v>0</v>
      </c>
      <c r="T555">
        <f t="shared" si="48"/>
        <v>0</v>
      </c>
    </row>
    <row r="556" spans="1:20" x14ac:dyDescent="0.25">
      <c r="A556" s="5"/>
      <c r="C556" s="4"/>
      <c r="D556" s="4"/>
      <c r="P556">
        <f t="shared" si="44"/>
        <v>0</v>
      </c>
      <c r="Q556">
        <f t="shared" si="45"/>
        <v>0</v>
      </c>
      <c r="R556">
        <f t="shared" si="46"/>
        <v>0</v>
      </c>
      <c r="S556">
        <f t="shared" si="47"/>
        <v>0</v>
      </c>
      <c r="T556">
        <f t="shared" si="48"/>
        <v>0</v>
      </c>
    </row>
    <row r="557" spans="1:20" x14ac:dyDescent="0.25">
      <c r="A557" s="5"/>
      <c r="C557" s="4"/>
      <c r="D557" s="4"/>
      <c r="P557">
        <f t="shared" si="44"/>
        <v>0</v>
      </c>
      <c r="Q557">
        <f t="shared" si="45"/>
        <v>0</v>
      </c>
      <c r="R557">
        <f t="shared" si="46"/>
        <v>0</v>
      </c>
      <c r="S557">
        <f t="shared" si="47"/>
        <v>0</v>
      </c>
      <c r="T557">
        <f t="shared" si="48"/>
        <v>0</v>
      </c>
    </row>
    <row r="558" spans="1:20" x14ac:dyDescent="0.25">
      <c r="A558" s="5"/>
      <c r="C558" s="4"/>
      <c r="D558" s="4"/>
      <c r="P558">
        <f t="shared" si="44"/>
        <v>0</v>
      </c>
      <c r="Q558">
        <f t="shared" si="45"/>
        <v>0</v>
      </c>
      <c r="R558">
        <f t="shared" si="46"/>
        <v>0</v>
      </c>
      <c r="S558">
        <f t="shared" si="47"/>
        <v>0</v>
      </c>
      <c r="T558">
        <f t="shared" si="48"/>
        <v>0</v>
      </c>
    </row>
    <row r="559" spans="1:20" x14ac:dyDescent="0.25">
      <c r="A559" s="5"/>
      <c r="C559" s="4"/>
      <c r="D559" s="4"/>
      <c r="P559">
        <f t="shared" si="44"/>
        <v>0</v>
      </c>
      <c r="Q559">
        <f t="shared" si="45"/>
        <v>0</v>
      </c>
      <c r="R559">
        <f t="shared" si="46"/>
        <v>0</v>
      </c>
      <c r="S559">
        <f t="shared" si="47"/>
        <v>0</v>
      </c>
      <c r="T559">
        <f t="shared" si="48"/>
        <v>0</v>
      </c>
    </row>
    <row r="560" spans="1:20" x14ac:dyDescent="0.25">
      <c r="A560" s="5"/>
      <c r="C560" s="4"/>
      <c r="D560" s="4"/>
      <c r="P560">
        <f t="shared" si="44"/>
        <v>0</v>
      </c>
      <c r="Q560">
        <f t="shared" si="45"/>
        <v>0</v>
      </c>
      <c r="R560">
        <f t="shared" si="46"/>
        <v>0</v>
      </c>
      <c r="S560">
        <f t="shared" si="47"/>
        <v>0</v>
      </c>
      <c r="T560">
        <f t="shared" si="48"/>
        <v>0</v>
      </c>
    </row>
    <row r="561" spans="1:20" x14ac:dyDescent="0.25">
      <c r="A561" s="5"/>
      <c r="C561" s="4"/>
      <c r="D561" s="4"/>
      <c r="P561">
        <f t="shared" si="44"/>
        <v>0</v>
      </c>
      <c r="Q561">
        <f t="shared" si="45"/>
        <v>0</v>
      </c>
      <c r="R561">
        <f t="shared" si="46"/>
        <v>0</v>
      </c>
      <c r="S561">
        <f t="shared" si="47"/>
        <v>0</v>
      </c>
      <c r="T561">
        <f t="shared" si="48"/>
        <v>0</v>
      </c>
    </row>
    <row r="562" spans="1:20" x14ac:dyDescent="0.25">
      <c r="A562" s="5"/>
      <c r="C562" s="4"/>
      <c r="D562" s="4"/>
      <c r="P562">
        <f t="shared" si="44"/>
        <v>0</v>
      </c>
      <c r="Q562">
        <f t="shared" si="45"/>
        <v>0</v>
      </c>
      <c r="R562">
        <f t="shared" si="46"/>
        <v>0</v>
      </c>
      <c r="S562">
        <f t="shared" si="47"/>
        <v>0</v>
      </c>
      <c r="T562">
        <f t="shared" si="48"/>
        <v>0</v>
      </c>
    </row>
    <row r="563" spans="1:20" x14ac:dyDescent="0.25">
      <c r="A563" s="5"/>
      <c r="C563" s="4"/>
      <c r="D563" s="4"/>
      <c r="P563">
        <f t="shared" si="44"/>
        <v>0</v>
      </c>
      <c r="Q563">
        <f t="shared" si="45"/>
        <v>0</v>
      </c>
      <c r="R563">
        <f t="shared" si="46"/>
        <v>0</v>
      </c>
      <c r="S563">
        <f t="shared" si="47"/>
        <v>0</v>
      </c>
      <c r="T563">
        <f t="shared" si="48"/>
        <v>0</v>
      </c>
    </row>
    <row r="564" spans="1:20" x14ac:dyDescent="0.25">
      <c r="A564" s="5"/>
      <c r="C564" s="4"/>
      <c r="D564" s="4"/>
      <c r="P564">
        <f t="shared" si="44"/>
        <v>0</v>
      </c>
      <c r="Q564">
        <f t="shared" si="45"/>
        <v>0</v>
      </c>
      <c r="R564">
        <f t="shared" si="46"/>
        <v>0</v>
      </c>
      <c r="S564">
        <f t="shared" si="47"/>
        <v>0</v>
      </c>
      <c r="T564">
        <f t="shared" si="48"/>
        <v>0</v>
      </c>
    </row>
    <row r="565" spans="1:20" x14ac:dyDescent="0.25">
      <c r="A565" s="5"/>
      <c r="C565" s="4"/>
      <c r="D565" s="4"/>
      <c r="P565">
        <f t="shared" si="44"/>
        <v>0</v>
      </c>
      <c r="Q565">
        <f t="shared" si="45"/>
        <v>0</v>
      </c>
      <c r="R565">
        <f t="shared" si="46"/>
        <v>0</v>
      </c>
      <c r="S565">
        <f t="shared" si="47"/>
        <v>0</v>
      </c>
      <c r="T565">
        <f t="shared" si="48"/>
        <v>0</v>
      </c>
    </row>
    <row r="566" spans="1:20" x14ac:dyDescent="0.25">
      <c r="A566" s="5"/>
      <c r="C566" s="4"/>
      <c r="D566" s="4"/>
      <c r="P566">
        <f t="shared" si="44"/>
        <v>0</v>
      </c>
      <c r="Q566">
        <f t="shared" si="45"/>
        <v>0</v>
      </c>
      <c r="R566">
        <f t="shared" si="46"/>
        <v>0</v>
      </c>
      <c r="S566">
        <f t="shared" si="47"/>
        <v>0</v>
      </c>
      <c r="T566">
        <f t="shared" si="48"/>
        <v>0</v>
      </c>
    </row>
    <row r="567" spans="1:20" x14ac:dyDescent="0.25">
      <c r="A567" s="5"/>
      <c r="C567" s="4"/>
      <c r="D567" s="4"/>
      <c r="P567">
        <f t="shared" si="44"/>
        <v>0</v>
      </c>
      <c r="Q567">
        <f t="shared" si="45"/>
        <v>0</v>
      </c>
      <c r="R567">
        <f t="shared" si="46"/>
        <v>0</v>
      </c>
      <c r="S567">
        <f t="shared" si="47"/>
        <v>0</v>
      </c>
      <c r="T567">
        <f t="shared" si="48"/>
        <v>0</v>
      </c>
    </row>
    <row r="568" spans="1:20" x14ac:dyDescent="0.25">
      <c r="A568" s="5"/>
      <c r="C568" s="4"/>
      <c r="D568" s="4"/>
      <c r="P568">
        <f t="shared" si="44"/>
        <v>0</v>
      </c>
      <c r="Q568">
        <f t="shared" si="45"/>
        <v>0</v>
      </c>
      <c r="R568">
        <f t="shared" si="46"/>
        <v>0</v>
      </c>
      <c r="S568">
        <f t="shared" si="47"/>
        <v>0</v>
      </c>
      <c r="T568">
        <f t="shared" si="48"/>
        <v>0</v>
      </c>
    </row>
    <row r="569" spans="1:20" x14ac:dyDescent="0.25">
      <c r="A569" s="5"/>
      <c r="C569" s="4"/>
      <c r="D569" s="4"/>
      <c r="P569">
        <f t="shared" si="44"/>
        <v>0</v>
      </c>
      <c r="Q569">
        <f t="shared" si="45"/>
        <v>0</v>
      </c>
      <c r="R569">
        <f t="shared" si="46"/>
        <v>0</v>
      </c>
      <c r="S569">
        <f t="shared" si="47"/>
        <v>0</v>
      </c>
      <c r="T569">
        <f t="shared" si="48"/>
        <v>0</v>
      </c>
    </row>
    <row r="570" spans="1:20" x14ac:dyDescent="0.25">
      <c r="A570" s="5"/>
      <c r="C570" s="4"/>
      <c r="D570" s="4"/>
      <c r="P570">
        <f t="shared" si="44"/>
        <v>0</v>
      </c>
      <c r="Q570">
        <f t="shared" si="45"/>
        <v>0</v>
      </c>
      <c r="R570">
        <f t="shared" si="46"/>
        <v>0</v>
      </c>
      <c r="S570">
        <f t="shared" si="47"/>
        <v>0</v>
      </c>
      <c r="T570">
        <f t="shared" si="48"/>
        <v>0</v>
      </c>
    </row>
    <row r="571" spans="1:20" x14ac:dyDescent="0.25">
      <c r="A571" s="5"/>
      <c r="C571" s="4"/>
      <c r="D571" s="4"/>
      <c r="P571">
        <f t="shared" si="44"/>
        <v>0</v>
      </c>
      <c r="Q571">
        <f t="shared" si="45"/>
        <v>0</v>
      </c>
      <c r="R571">
        <f t="shared" si="46"/>
        <v>0</v>
      </c>
      <c r="S571">
        <f t="shared" si="47"/>
        <v>0</v>
      </c>
      <c r="T571">
        <f t="shared" si="48"/>
        <v>0</v>
      </c>
    </row>
    <row r="572" spans="1:20" x14ac:dyDescent="0.25">
      <c r="A572" s="5"/>
      <c r="C572" s="4"/>
      <c r="D572" s="4"/>
      <c r="P572">
        <f t="shared" si="44"/>
        <v>0</v>
      </c>
      <c r="Q572">
        <f t="shared" si="45"/>
        <v>0</v>
      </c>
      <c r="R572">
        <f t="shared" si="46"/>
        <v>0</v>
      </c>
      <c r="S572">
        <f t="shared" si="47"/>
        <v>0</v>
      </c>
      <c r="T572">
        <f t="shared" si="48"/>
        <v>0</v>
      </c>
    </row>
    <row r="573" spans="1:20" x14ac:dyDescent="0.25">
      <c r="A573" s="5"/>
      <c r="C573" s="4"/>
      <c r="D573" s="4"/>
      <c r="P573">
        <f t="shared" si="44"/>
        <v>0</v>
      </c>
      <c r="Q573">
        <f t="shared" si="45"/>
        <v>0</v>
      </c>
      <c r="R573">
        <f t="shared" si="46"/>
        <v>0</v>
      </c>
      <c r="S573">
        <f t="shared" si="47"/>
        <v>0</v>
      </c>
      <c r="T573">
        <f t="shared" si="48"/>
        <v>0</v>
      </c>
    </row>
    <row r="574" spans="1:20" x14ac:dyDescent="0.25">
      <c r="A574" s="5"/>
      <c r="C574" s="4"/>
      <c r="D574" s="4"/>
      <c r="P574">
        <f t="shared" si="44"/>
        <v>0</v>
      </c>
      <c r="Q574">
        <f t="shared" si="45"/>
        <v>0</v>
      </c>
      <c r="R574">
        <f t="shared" si="46"/>
        <v>0</v>
      </c>
      <c r="S574">
        <f t="shared" si="47"/>
        <v>0</v>
      </c>
      <c r="T574">
        <f t="shared" si="48"/>
        <v>0</v>
      </c>
    </row>
    <row r="575" spans="1:20" x14ac:dyDescent="0.25">
      <c r="A575" s="5"/>
      <c r="C575" s="4"/>
      <c r="D575" s="4"/>
    </row>
    <row r="576" spans="1:20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5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5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5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  <c r="C741" s="4"/>
      <c r="D741" s="4"/>
    </row>
    <row r="742" spans="1:4" x14ac:dyDescent="0.25">
      <c r="A742" s="5"/>
      <c r="C742" s="4"/>
      <c r="D742" s="4"/>
    </row>
    <row r="743" spans="1:4" x14ac:dyDescent="0.25">
      <c r="A743" s="5"/>
      <c r="C743" s="4"/>
      <c r="D743" s="4"/>
    </row>
    <row r="744" spans="1:4" x14ac:dyDescent="0.25">
      <c r="A744" s="5"/>
      <c r="C744" s="4"/>
      <c r="D744" s="4"/>
    </row>
    <row r="745" spans="1:4" x14ac:dyDescent="0.25">
      <c r="A745" s="5"/>
      <c r="C745" s="4"/>
      <c r="D745" s="4"/>
    </row>
    <row r="746" spans="1:4" x14ac:dyDescent="0.25">
      <c r="A746" s="5"/>
      <c r="C746" s="4"/>
      <c r="D746" s="4"/>
    </row>
    <row r="747" spans="1:4" x14ac:dyDescent="0.25">
      <c r="A747" s="5"/>
      <c r="C747" s="4"/>
      <c r="D747" s="4"/>
    </row>
    <row r="748" spans="1:4" x14ac:dyDescent="0.25">
      <c r="A748" s="5"/>
      <c r="C748" s="4"/>
      <c r="D748" s="4"/>
    </row>
    <row r="749" spans="1:4" x14ac:dyDescent="0.25">
      <c r="A749" s="5"/>
      <c r="C749" s="4"/>
      <c r="D749" s="4"/>
    </row>
    <row r="750" spans="1:4" x14ac:dyDescent="0.25">
      <c r="A750" s="5"/>
      <c r="C750" s="4"/>
      <c r="D750" s="4"/>
    </row>
    <row r="751" spans="1:4" x14ac:dyDescent="0.25">
      <c r="A751" s="5"/>
      <c r="C751" s="4"/>
      <c r="D751" s="4"/>
    </row>
    <row r="752" spans="1:4" x14ac:dyDescent="0.25">
      <c r="A752" s="5"/>
      <c r="C752" s="4"/>
      <c r="D752" s="4"/>
    </row>
    <row r="753" spans="1:4" x14ac:dyDescent="0.25">
      <c r="A753" s="5"/>
      <c r="C753" s="4"/>
      <c r="D753" s="4"/>
    </row>
    <row r="754" spans="1:4" x14ac:dyDescent="0.25">
      <c r="A754" s="5"/>
      <c r="C754" s="4"/>
      <c r="D754" s="4"/>
    </row>
    <row r="755" spans="1:4" x14ac:dyDescent="0.25">
      <c r="A755" s="5"/>
      <c r="C755" s="4"/>
      <c r="D755" s="4"/>
    </row>
    <row r="756" spans="1:4" x14ac:dyDescent="0.25">
      <c r="A756" s="5"/>
      <c r="C756" s="4"/>
      <c r="D756" s="4"/>
    </row>
    <row r="757" spans="1:4" x14ac:dyDescent="0.25">
      <c r="A757" s="5"/>
      <c r="C757" s="4"/>
      <c r="D757" s="4"/>
    </row>
    <row r="758" spans="1:4" x14ac:dyDescent="0.25">
      <c r="A758" s="5"/>
      <c r="C758" s="4"/>
      <c r="D758" s="4"/>
    </row>
    <row r="759" spans="1:4" x14ac:dyDescent="0.25">
      <c r="A759" s="5"/>
      <c r="C759" s="4"/>
      <c r="D759" s="4"/>
    </row>
    <row r="760" spans="1:4" x14ac:dyDescent="0.25">
      <c r="A760" s="5"/>
      <c r="C760" s="4"/>
      <c r="D760" s="4"/>
    </row>
    <row r="761" spans="1:4" x14ac:dyDescent="0.25">
      <c r="A761" s="5"/>
    </row>
    <row r="762" spans="1:4" x14ac:dyDescent="0.25">
      <c r="A762" s="5"/>
    </row>
    <row r="763" spans="1:4" x14ac:dyDescent="0.25">
      <c r="A763" s="5"/>
    </row>
    <row r="764" spans="1:4" x14ac:dyDescent="0.25">
      <c r="A764" s="5"/>
    </row>
    <row r="765" spans="1:4" x14ac:dyDescent="0.25">
      <c r="A765" s="5"/>
    </row>
    <row r="766" spans="1:4" x14ac:dyDescent="0.25">
      <c r="A766" s="5"/>
    </row>
    <row r="767" spans="1:4" x14ac:dyDescent="0.25">
      <c r="A767" s="5"/>
    </row>
    <row r="768" spans="1:4" x14ac:dyDescent="0.25">
      <c r="A768" s="5"/>
    </row>
    <row r="769" spans="1:4" x14ac:dyDescent="0.25">
      <c r="A769" s="5"/>
    </row>
    <row r="770" spans="1:4" x14ac:dyDescent="0.25">
      <c r="A770" s="5"/>
    </row>
    <row r="771" spans="1:4" x14ac:dyDescent="0.25">
      <c r="A771" s="5"/>
    </row>
    <row r="772" spans="1:4" x14ac:dyDescent="0.25">
      <c r="A772" s="5"/>
    </row>
    <row r="773" spans="1:4" x14ac:dyDescent="0.25">
      <c r="A773" s="5"/>
      <c r="C773"/>
      <c r="D773"/>
    </row>
    <row r="774" spans="1:4" x14ac:dyDescent="0.25">
      <c r="A774" s="5"/>
      <c r="C774"/>
      <c r="D774"/>
    </row>
    <row r="775" spans="1:4" x14ac:dyDescent="0.25">
      <c r="A775" s="5"/>
      <c r="C775"/>
      <c r="D775"/>
    </row>
    <row r="776" spans="1:4" x14ac:dyDescent="0.25">
      <c r="A776" s="5"/>
      <c r="C776"/>
      <c r="D776"/>
    </row>
    <row r="777" spans="1:4" x14ac:dyDescent="0.25">
      <c r="A777" s="5"/>
      <c r="C777"/>
      <c r="D777"/>
    </row>
    <row r="778" spans="1:4" x14ac:dyDescent="0.25">
      <c r="A778" s="5"/>
      <c r="C778"/>
      <c r="D778"/>
    </row>
    <row r="779" spans="1:4" x14ac:dyDescent="0.25">
      <c r="A779" s="5"/>
      <c r="C779"/>
      <c r="D779"/>
    </row>
    <row r="780" spans="1:4" x14ac:dyDescent="0.25">
      <c r="A780" s="5"/>
      <c r="C780"/>
      <c r="D780"/>
    </row>
    <row r="781" spans="1:4" x14ac:dyDescent="0.25">
      <c r="A781" s="5"/>
      <c r="C781"/>
      <c r="D781"/>
    </row>
    <row r="782" spans="1:4" x14ac:dyDescent="0.25">
      <c r="A782" s="5"/>
      <c r="C782"/>
      <c r="D782"/>
    </row>
    <row r="783" spans="1:4" x14ac:dyDescent="0.25">
      <c r="A783" s="5"/>
      <c r="C783"/>
      <c r="D783"/>
    </row>
    <row r="784" spans="1:4" x14ac:dyDescent="0.25">
      <c r="A784" s="5"/>
      <c r="C784"/>
      <c r="D784"/>
    </row>
    <row r="785" spans="1:4" x14ac:dyDescent="0.25">
      <c r="A785" s="5"/>
      <c r="C785"/>
      <c r="D785"/>
    </row>
    <row r="786" spans="1:4" x14ac:dyDescent="0.25">
      <c r="A786" s="5"/>
      <c r="C786"/>
      <c r="D786"/>
    </row>
    <row r="787" spans="1:4" x14ac:dyDescent="0.25">
      <c r="A787" s="5"/>
      <c r="C787"/>
      <c r="D787"/>
    </row>
    <row r="788" spans="1:4" x14ac:dyDescent="0.25">
      <c r="A788" s="5"/>
      <c r="C788"/>
      <c r="D788"/>
    </row>
    <row r="789" spans="1:4" x14ac:dyDescent="0.25">
      <c r="A789" s="5"/>
      <c r="C789"/>
      <c r="D789"/>
    </row>
    <row r="790" spans="1:4" x14ac:dyDescent="0.25">
      <c r="A790" s="5"/>
      <c r="C790"/>
      <c r="D790"/>
    </row>
    <row r="791" spans="1:4" x14ac:dyDescent="0.25">
      <c r="A791" s="5"/>
      <c r="C791"/>
      <c r="D791"/>
    </row>
    <row r="792" spans="1:4" x14ac:dyDescent="0.25">
      <c r="A792" s="5"/>
      <c r="C792"/>
      <c r="D792"/>
    </row>
    <row r="793" spans="1:4" x14ac:dyDescent="0.25">
      <c r="A793" s="5"/>
      <c r="C793"/>
      <c r="D793"/>
    </row>
    <row r="794" spans="1:4" x14ac:dyDescent="0.25">
      <c r="A794" s="5"/>
      <c r="C794"/>
      <c r="D794"/>
    </row>
    <row r="795" spans="1:4" x14ac:dyDescent="0.25">
      <c r="A795" s="5"/>
      <c r="C795"/>
      <c r="D795"/>
    </row>
    <row r="796" spans="1:4" x14ac:dyDescent="0.25">
      <c r="A796" s="5"/>
      <c r="C796"/>
      <c r="D796"/>
    </row>
    <row r="797" spans="1:4" x14ac:dyDescent="0.25">
      <c r="A797" s="5"/>
      <c r="C797"/>
      <c r="D797"/>
    </row>
    <row r="798" spans="1:4" x14ac:dyDescent="0.25">
      <c r="A798" s="5"/>
      <c r="C798"/>
      <c r="D798"/>
    </row>
    <row r="799" spans="1:4" x14ac:dyDescent="0.25">
      <c r="A799" s="5"/>
      <c r="C799"/>
      <c r="D799"/>
    </row>
    <row r="800" spans="1:4" x14ac:dyDescent="0.25">
      <c r="A800" s="5"/>
      <c r="C800"/>
      <c r="D800"/>
    </row>
    <row r="801" spans="1:4" x14ac:dyDescent="0.25">
      <c r="A801" s="5"/>
      <c r="C801"/>
      <c r="D801"/>
    </row>
    <row r="802" spans="1:4" x14ac:dyDescent="0.25">
      <c r="A802" s="5"/>
      <c r="C802"/>
      <c r="D802"/>
    </row>
    <row r="803" spans="1:4" x14ac:dyDescent="0.25">
      <c r="A803" s="5"/>
      <c r="C803"/>
      <c r="D803"/>
    </row>
    <row r="804" spans="1:4" x14ac:dyDescent="0.25">
      <c r="A804" s="5"/>
      <c r="C804"/>
      <c r="D804"/>
    </row>
    <row r="805" spans="1:4" x14ac:dyDescent="0.25">
      <c r="A805" s="5"/>
      <c r="C805"/>
      <c r="D805"/>
    </row>
    <row r="806" spans="1:4" x14ac:dyDescent="0.25">
      <c r="A806" s="5"/>
      <c r="C806"/>
      <c r="D806"/>
    </row>
    <row r="807" spans="1:4" x14ac:dyDescent="0.25">
      <c r="A807" s="5"/>
      <c r="C807"/>
      <c r="D807"/>
    </row>
    <row r="808" spans="1:4" x14ac:dyDescent="0.25">
      <c r="A808" s="5"/>
      <c r="C808"/>
      <c r="D808"/>
    </row>
    <row r="809" spans="1:4" x14ac:dyDescent="0.25">
      <c r="A809" s="5"/>
      <c r="C809"/>
      <c r="D809"/>
    </row>
    <row r="810" spans="1:4" x14ac:dyDescent="0.25">
      <c r="A810" s="5"/>
      <c r="C810"/>
      <c r="D810"/>
    </row>
    <row r="811" spans="1:4" x14ac:dyDescent="0.25">
      <c r="A811" s="5"/>
      <c r="C811"/>
      <c r="D811"/>
    </row>
    <row r="812" spans="1:4" x14ac:dyDescent="0.25">
      <c r="A812" s="5"/>
      <c r="C812"/>
      <c r="D812"/>
    </row>
    <row r="813" spans="1:4" x14ac:dyDescent="0.25">
      <c r="A813" s="5"/>
      <c r="C813"/>
      <c r="D813"/>
    </row>
    <row r="814" spans="1:4" x14ac:dyDescent="0.25">
      <c r="A814" s="5"/>
      <c r="C814"/>
      <c r="D814"/>
    </row>
    <row r="815" spans="1:4" x14ac:dyDescent="0.25">
      <c r="A815" s="5"/>
      <c r="C815"/>
      <c r="D815"/>
    </row>
    <row r="816" spans="1:4" x14ac:dyDescent="0.25">
      <c r="A816" s="5"/>
      <c r="C816"/>
      <c r="D816"/>
    </row>
    <row r="817" spans="1:4" x14ac:dyDescent="0.25">
      <c r="A817" s="5"/>
      <c r="C817"/>
      <c r="D817"/>
    </row>
    <row r="818" spans="1:4" x14ac:dyDescent="0.25">
      <c r="A818" s="5"/>
      <c r="C818"/>
      <c r="D818"/>
    </row>
    <row r="819" spans="1:4" x14ac:dyDescent="0.25">
      <c r="A819" s="5"/>
      <c r="C819"/>
      <c r="D819"/>
    </row>
    <row r="820" spans="1:4" x14ac:dyDescent="0.25">
      <c r="A820" s="5"/>
      <c r="C820"/>
      <c r="D820"/>
    </row>
    <row r="821" spans="1:4" x14ac:dyDescent="0.25">
      <c r="A821" s="5"/>
      <c r="C821"/>
      <c r="D821"/>
    </row>
    <row r="822" spans="1:4" x14ac:dyDescent="0.25">
      <c r="A822" s="5"/>
      <c r="C822"/>
      <c r="D822"/>
    </row>
    <row r="823" spans="1:4" x14ac:dyDescent="0.25">
      <c r="A823" s="5"/>
      <c r="C823"/>
      <c r="D823"/>
    </row>
    <row r="824" spans="1:4" x14ac:dyDescent="0.25">
      <c r="A824" s="5"/>
      <c r="C824"/>
      <c r="D824"/>
    </row>
    <row r="825" spans="1:4" x14ac:dyDescent="0.25">
      <c r="A825" s="5"/>
      <c r="C825"/>
      <c r="D825"/>
    </row>
    <row r="826" spans="1:4" x14ac:dyDescent="0.25">
      <c r="A826" s="5"/>
      <c r="C826"/>
      <c r="D826"/>
    </row>
    <row r="827" spans="1:4" x14ac:dyDescent="0.25">
      <c r="A827" s="5"/>
      <c r="C827"/>
      <c r="D827"/>
    </row>
    <row r="828" spans="1:4" x14ac:dyDescent="0.25">
      <c r="A828" s="5"/>
      <c r="C828"/>
      <c r="D828"/>
    </row>
    <row r="829" spans="1:4" x14ac:dyDescent="0.25">
      <c r="A829" s="5"/>
      <c r="C829"/>
      <c r="D829"/>
    </row>
    <row r="830" spans="1:4" x14ac:dyDescent="0.25">
      <c r="A830" s="5"/>
      <c r="C830"/>
      <c r="D830"/>
    </row>
    <row r="831" spans="1:4" x14ac:dyDescent="0.25">
      <c r="A831" s="5"/>
      <c r="C831"/>
      <c r="D831"/>
    </row>
    <row r="832" spans="1:4" x14ac:dyDescent="0.25">
      <c r="A832" s="5"/>
      <c r="C832"/>
      <c r="D832"/>
    </row>
    <row r="833" spans="1:4" x14ac:dyDescent="0.25">
      <c r="A833" s="5"/>
      <c r="C833"/>
      <c r="D833"/>
    </row>
    <row r="834" spans="1:4" x14ac:dyDescent="0.25">
      <c r="A834" s="5"/>
      <c r="C834"/>
      <c r="D834"/>
    </row>
    <row r="835" spans="1:4" x14ac:dyDescent="0.25">
      <c r="A835" s="5"/>
      <c r="C835"/>
      <c r="D835"/>
    </row>
    <row r="836" spans="1:4" x14ac:dyDescent="0.25">
      <c r="A836" s="5"/>
      <c r="C836"/>
      <c r="D836"/>
    </row>
    <row r="837" spans="1:4" x14ac:dyDescent="0.25">
      <c r="A837" s="5"/>
      <c r="C837"/>
      <c r="D837"/>
    </row>
    <row r="838" spans="1:4" x14ac:dyDescent="0.25">
      <c r="A838" s="5"/>
      <c r="C838"/>
      <c r="D838"/>
    </row>
    <row r="839" spans="1:4" x14ac:dyDescent="0.25">
      <c r="A839" s="5"/>
      <c r="C839"/>
      <c r="D839"/>
    </row>
    <row r="840" spans="1:4" x14ac:dyDescent="0.25">
      <c r="A840" s="5"/>
      <c r="C840"/>
      <c r="D840"/>
    </row>
    <row r="841" spans="1:4" x14ac:dyDescent="0.25">
      <c r="A841" s="5"/>
      <c r="C841"/>
      <c r="D841"/>
    </row>
    <row r="842" spans="1:4" x14ac:dyDescent="0.25">
      <c r="A842" s="5"/>
      <c r="C842"/>
      <c r="D842"/>
    </row>
    <row r="843" spans="1:4" x14ac:dyDescent="0.25">
      <c r="A843" s="5"/>
      <c r="C843"/>
      <c r="D843"/>
    </row>
    <row r="844" spans="1:4" x14ac:dyDescent="0.25">
      <c r="A844" s="5"/>
      <c r="C844"/>
      <c r="D844"/>
    </row>
    <row r="845" spans="1:4" x14ac:dyDescent="0.25">
      <c r="A845" s="5"/>
      <c r="C845"/>
      <c r="D845"/>
    </row>
    <row r="846" spans="1:4" x14ac:dyDescent="0.25">
      <c r="A846" s="5"/>
      <c r="C846"/>
      <c r="D846"/>
    </row>
    <row r="847" spans="1:4" x14ac:dyDescent="0.25">
      <c r="A847" s="5"/>
      <c r="C847"/>
      <c r="D847"/>
    </row>
    <row r="848" spans="1:4" x14ac:dyDescent="0.25">
      <c r="A848" s="5"/>
      <c r="C848"/>
      <c r="D848"/>
    </row>
    <row r="849" spans="1:4" x14ac:dyDescent="0.25">
      <c r="A849" s="5"/>
      <c r="C849"/>
      <c r="D849"/>
    </row>
    <row r="850" spans="1:4" x14ac:dyDescent="0.25">
      <c r="A850" s="5"/>
      <c r="C850"/>
      <c r="D850"/>
    </row>
    <row r="851" spans="1:4" x14ac:dyDescent="0.25">
      <c r="A851" s="5"/>
      <c r="C851"/>
      <c r="D851"/>
    </row>
    <row r="852" spans="1:4" x14ac:dyDescent="0.25">
      <c r="A852" s="5"/>
      <c r="C852"/>
      <c r="D852"/>
    </row>
    <row r="853" spans="1:4" x14ac:dyDescent="0.25">
      <c r="A853" s="5"/>
      <c r="C853"/>
      <c r="D853"/>
    </row>
    <row r="854" spans="1:4" x14ac:dyDescent="0.25">
      <c r="A854" s="5"/>
      <c r="C854"/>
      <c r="D854"/>
    </row>
    <row r="855" spans="1:4" x14ac:dyDescent="0.25">
      <c r="A855" s="5"/>
      <c r="C855"/>
      <c r="D855"/>
    </row>
    <row r="856" spans="1:4" x14ac:dyDescent="0.25">
      <c r="A856" s="5"/>
      <c r="C856"/>
      <c r="D856"/>
    </row>
    <row r="857" spans="1:4" x14ac:dyDescent="0.25">
      <c r="A857" s="5"/>
      <c r="C857"/>
      <c r="D857"/>
    </row>
    <row r="858" spans="1:4" x14ac:dyDescent="0.25">
      <c r="A858" s="5"/>
      <c r="C858"/>
      <c r="D858"/>
    </row>
    <row r="859" spans="1:4" x14ac:dyDescent="0.25">
      <c r="A859" s="5"/>
      <c r="C859"/>
      <c r="D859"/>
    </row>
    <row r="860" spans="1:4" x14ac:dyDescent="0.25">
      <c r="A860" s="5"/>
      <c r="C860"/>
      <c r="D860"/>
    </row>
    <row r="861" spans="1:4" x14ac:dyDescent="0.25">
      <c r="A861" s="5"/>
      <c r="C861"/>
      <c r="D861"/>
    </row>
    <row r="862" spans="1:4" x14ac:dyDescent="0.25">
      <c r="A862" s="5"/>
      <c r="C862"/>
      <c r="D862"/>
    </row>
    <row r="863" spans="1:4" x14ac:dyDescent="0.25">
      <c r="A863" s="5"/>
      <c r="C863"/>
      <c r="D863"/>
    </row>
    <row r="864" spans="1:4" x14ac:dyDescent="0.25">
      <c r="A864" s="5"/>
      <c r="C864"/>
      <c r="D864"/>
    </row>
    <row r="865" spans="1:4" x14ac:dyDescent="0.25">
      <c r="A865" s="5"/>
      <c r="C865"/>
      <c r="D865"/>
    </row>
    <row r="866" spans="1:4" x14ac:dyDescent="0.25">
      <c r="A866" s="5"/>
      <c r="C866"/>
      <c r="D866"/>
    </row>
    <row r="867" spans="1:4" x14ac:dyDescent="0.25">
      <c r="A867" s="5"/>
      <c r="C867"/>
      <c r="D867"/>
    </row>
    <row r="868" spans="1:4" x14ac:dyDescent="0.25">
      <c r="A868" s="5"/>
      <c r="C868"/>
      <c r="D868"/>
    </row>
    <row r="869" spans="1:4" x14ac:dyDescent="0.25">
      <c r="A869" s="5"/>
      <c r="C869"/>
      <c r="D869"/>
    </row>
    <row r="870" spans="1:4" x14ac:dyDescent="0.25">
      <c r="A870" s="5"/>
      <c r="C870"/>
      <c r="D870"/>
    </row>
    <row r="871" spans="1:4" x14ac:dyDescent="0.25">
      <c r="A871" s="5"/>
      <c r="C871"/>
      <c r="D871"/>
    </row>
    <row r="872" spans="1:4" x14ac:dyDescent="0.25">
      <c r="A872" s="5"/>
      <c r="C872"/>
      <c r="D872"/>
    </row>
    <row r="873" spans="1:4" x14ac:dyDescent="0.25">
      <c r="A873" s="5"/>
      <c r="C873"/>
      <c r="D873"/>
    </row>
    <row r="874" spans="1:4" x14ac:dyDescent="0.25">
      <c r="A874" s="5"/>
      <c r="C874"/>
      <c r="D874"/>
    </row>
    <row r="875" spans="1:4" x14ac:dyDescent="0.25">
      <c r="A875" s="5"/>
      <c r="C875"/>
      <c r="D875"/>
    </row>
    <row r="876" spans="1:4" x14ac:dyDescent="0.25">
      <c r="A876" s="5"/>
      <c r="C876"/>
      <c r="D876"/>
    </row>
    <row r="877" spans="1:4" x14ac:dyDescent="0.25">
      <c r="A877" s="5"/>
      <c r="C877"/>
      <c r="D877"/>
    </row>
    <row r="878" spans="1:4" x14ac:dyDescent="0.25">
      <c r="A878" s="5"/>
      <c r="C878"/>
      <c r="D878"/>
    </row>
    <row r="879" spans="1:4" x14ac:dyDescent="0.25">
      <c r="A879" s="5"/>
      <c r="C879"/>
      <c r="D879"/>
    </row>
    <row r="880" spans="1:4" x14ac:dyDescent="0.25">
      <c r="A880" s="5"/>
      <c r="C880"/>
      <c r="D880"/>
    </row>
    <row r="881" spans="1:4" x14ac:dyDescent="0.25">
      <c r="A881" s="5"/>
      <c r="C881"/>
      <c r="D881"/>
    </row>
    <row r="882" spans="1:4" x14ac:dyDescent="0.25">
      <c r="A882" s="5"/>
      <c r="C882"/>
      <c r="D882"/>
    </row>
    <row r="883" spans="1:4" x14ac:dyDescent="0.25">
      <c r="A883" s="5"/>
      <c r="C883"/>
      <c r="D883"/>
    </row>
    <row r="884" spans="1:4" x14ac:dyDescent="0.25">
      <c r="A884" s="5"/>
      <c r="C884"/>
      <c r="D884"/>
    </row>
    <row r="885" spans="1:4" x14ac:dyDescent="0.25">
      <c r="A885" s="5"/>
      <c r="C885"/>
      <c r="D885"/>
    </row>
    <row r="886" spans="1:4" x14ac:dyDescent="0.25">
      <c r="A886" s="5"/>
      <c r="C886"/>
      <c r="D886"/>
    </row>
    <row r="887" spans="1:4" x14ac:dyDescent="0.25">
      <c r="A887" s="5"/>
      <c r="C887"/>
      <c r="D887"/>
    </row>
    <row r="888" spans="1:4" x14ac:dyDescent="0.25">
      <c r="A888" s="5"/>
      <c r="C888"/>
      <c r="D888"/>
    </row>
    <row r="889" spans="1:4" x14ac:dyDescent="0.25">
      <c r="A889" s="5"/>
      <c r="C889"/>
      <c r="D889"/>
    </row>
    <row r="890" spans="1:4" x14ac:dyDescent="0.25">
      <c r="A890" s="5"/>
      <c r="C890"/>
      <c r="D890"/>
    </row>
    <row r="891" spans="1:4" x14ac:dyDescent="0.25">
      <c r="A891" s="5"/>
      <c r="C891"/>
      <c r="D891"/>
    </row>
    <row r="892" spans="1:4" x14ac:dyDescent="0.25">
      <c r="A892" s="5"/>
      <c r="C892"/>
      <c r="D892"/>
    </row>
    <row r="893" spans="1:4" x14ac:dyDescent="0.25">
      <c r="A893" s="5"/>
      <c r="C893"/>
      <c r="D893"/>
    </row>
    <row r="894" spans="1:4" x14ac:dyDescent="0.25">
      <c r="A894" s="5"/>
      <c r="C894"/>
      <c r="D894"/>
    </row>
    <row r="895" spans="1:4" x14ac:dyDescent="0.25">
      <c r="A895" s="5"/>
      <c r="C895"/>
      <c r="D895"/>
    </row>
    <row r="896" spans="1:4" x14ac:dyDescent="0.25">
      <c r="A896" s="5"/>
      <c r="C896"/>
      <c r="D896"/>
    </row>
    <row r="897" spans="1:4" x14ac:dyDescent="0.25">
      <c r="A897" s="5"/>
      <c r="C897"/>
      <c r="D897"/>
    </row>
    <row r="898" spans="1:4" x14ac:dyDescent="0.25">
      <c r="A898" s="5"/>
      <c r="C898"/>
      <c r="D898"/>
    </row>
    <row r="899" spans="1:4" x14ac:dyDescent="0.25">
      <c r="A899" s="5"/>
      <c r="C899"/>
      <c r="D899"/>
    </row>
    <row r="900" spans="1:4" x14ac:dyDescent="0.25">
      <c r="A900" s="5"/>
      <c r="C900"/>
      <c r="D900"/>
    </row>
    <row r="901" spans="1:4" x14ac:dyDescent="0.25">
      <c r="A901" s="5"/>
      <c r="C901"/>
      <c r="D901"/>
    </row>
    <row r="902" spans="1:4" x14ac:dyDescent="0.25">
      <c r="A902" s="5"/>
      <c r="C902"/>
      <c r="D902"/>
    </row>
    <row r="903" spans="1:4" x14ac:dyDescent="0.25">
      <c r="A903" s="5"/>
      <c r="C903"/>
      <c r="D903"/>
    </row>
    <row r="904" spans="1:4" x14ac:dyDescent="0.25">
      <c r="A904" s="5"/>
      <c r="C904"/>
      <c r="D904"/>
    </row>
    <row r="905" spans="1:4" x14ac:dyDescent="0.25">
      <c r="A905" s="5"/>
      <c r="C905"/>
      <c r="D905"/>
    </row>
    <row r="906" spans="1:4" x14ac:dyDescent="0.25">
      <c r="A906" s="5"/>
      <c r="C906"/>
      <c r="D906"/>
    </row>
    <row r="907" spans="1:4" x14ac:dyDescent="0.25">
      <c r="A907" s="5"/>
      <c r="C907"/>
      <c r="D907"/>
    </row>
    <row r="908" spans="1:4" x14ac:dyDescent="0.25">
      <c r="A908" s="5"/>
      <c r="C908"/>
      <c r="D908"/>
    </row>
    <row r="909" spans="1:4" x14ac:dyDescent="0.25">
      <c r="A909" s="5"/>
      <c r="C909"/>
      <c r="D909"/>
    </row>
    <row r="910" spans="1:4" x14ac:dyDescent="0.25">
      <c r="A910" s="5"/>
      <c r="C910"/>
      <c r="D910"/>
    </row>
    <row r="911" spans="1:4" x14ac:dyDescent="0.25">
      <c r="A911" s="5"/>
      <c r="C911"/>
      <c r="D911"/>
    </row>
    <row r="912" spans="1:4" x14ac:dyDescent="0.25">
      <c r="A912" s="5"/>
      <c r="C912"/>
      <c r="D912"/>
    </row>
    <row r="913" spans="1:4" x14ac:dyDescent="0.25">
      <c r="A913" s="5"/>
      <c r="C913"/>
      <c r="D913"/>
    </row>
    <row r="914" spans="1:4" x14ac:dyDescent="0.25">
      <c r="A914" s="5"/>
      <c r="C914"/>
      <c r="D914"/>
    </row>
    <row r="915" spans="1:4" x14ac:dyDescent="0.25">
      <c r="A915" s="5"/>
      <c r="C915"/>
      <c r="D915"/>
    </row>
    <row r="916" spans="1:4" x14ac:dyDescent="0.25">
      <c r="A916" s="5"/>
      <c r="C916"/>
      <c r="D916"/>
    </row>
    <row r="917" spans="1:4" x14ac:dyDescent="0.25">
      <c r="A917" s="5"/>
      <c r="C917"/>
      <c r="D917"/>
    </row>
    <row r="918" spans="1:4" x14ac:dyDescent="0.25">
      <c r="A918" s="5"/>
      <c r="C918"/>
      <c r="D918"/>
    </row>
    <row r="919" spans="1:4" x14ac:dyDescent="0.25">
      <c r="A919" s="5"/>
      <c r="C919"/>
      <c r="D919"/>
    </row>
    <row r="920" spans="1:4" x14ac:dyDescent="0.25">
      <c r="A920" s="5"/>
      <c r="C920"/>
      <c r="D920"/>
    </row>
    <row r="921" spans="1:4" x14ac:dyDescent="0.25">
      <c r="A921" s="5"/>
      <c r="C921"/>
      <c r="D921"/>
    </row>
    <row r="922" spans="1:4" x14ac:dyDescent="0.25">
      <c r="A922" s="5"/>
      <c r="C922"/>
      <c r="D922"/>
    </row>
    <row r="923" spans="1:4" x14ac:dyDescent="0.25">
      <c r="A923" s="5"/>
      <c r="C923"/>
      <c r="D923"/>
    </row>
    <row r="924" spans="1:4" x14ac:dyDescent="0.25">
      <c r="A924" s="5"/>
      <c r="C924"/>
      <c r="D924"/>
    </row>
    <row r="925" spans="1:4" x14ac:dyDescent="0.25">
      <c r="A925" s="5"/>
      <c r="C925"/>
      <c r="D925"/>
    </row>
    <row r="926" spans="1:4" x14ac:dyDescent="0.25">
      <c r="A926" s="5"/>
      <c r="C926"/>
      <c r="D926"/>
    </row>
    <row r="927" spans="1:4" x14ac:dyDescent="0.25">
      <c r="A927" s="5"/>
      <c r="C927"/>
      <c r="D927"/>
    </row>
    <row r="928" spans="1:4" x14ac:dyDescent="0.25">
      <c r="A928" s="5"/>
      <c r="C928"/>
      <c r="D928"/>
    </row>
    <row r="929" spans="1:4" x14ac:dyDescent="0.25">
      <c r="A929" s="5"/>
      <c r="C929"/>
      <c r="D929"/>
    </row>
    <row r="930" spans="1:4" x14ac:dyDescent="0.25">
      <c r="A930" s="5"/>
      <c r="C930"/>
      <c r="D930"/>
    </row>
    <row r="931" spans="1:4" x14ac:dyDescent="0.25">
      <c r="A931" s="5"/>
      <c r="C931"/>
      <c r="D931"/>
    </row>
    <row r="932" spans="1:4" x14ac:dyDescent="0.25">
      <c r="A932" s="5"/>
      <c r="C932"/>
      <c r="D932"/>
    </row>
    <row r="933" spans="1:4" x14ac:dyDescent="0.25">
      <c r="A933" s="5"/>
      <c r="C933"/>
      <c r="D933"/>
    </row>
    <row r="934" spans="1:4" x14ac:dyDescent="0.25">
      <c r="A934" s="5"/>
      <c r="C934"/>
      <c r="D934"/>
    </row>
    <row r="935" spans="1:4" x14ac:dyDescent="0.25">
      <c r="A935" s="5"/>
      <c r="C935"/>
      <c r="D935"/>
    </row>
    <row r="936" spans="1:4" x14ac:dyDescent="0.25">
      <c r="A936" s="5"/>
      <c r="C936"/>
      <c r="D936"/>
    </row>
    <row r="937" spans="1:4" x14ac:dyDescent="0.25">
      <c r="A937" s="5"/>
      <c r="C937"/>
      <c r="D937"/>
    </row>
    <row r="938" spans="1:4" x14ac:dyDescent="0.25">
      <c r="A938" s="5"/>
      <c r="C938"/>
      <c r="D938"/>
    </row>
    <row r="939" spans="1:4" x14ac:dyDescent="0.25">
      <c r="A939" s="5"/>
      <c r="C939"/>
      <c r="D939"/>
    </row>
    <row r="940" spans="1:4" x14ac:dyDescent="0.25">
      <c r="A940" s="5"/>
      <c r="C940"/>
      <c r="D940"/>
    </row>
    <row r="941" spans="1:4" x14ac:dyDescent="0.25">
      <c r="A941" s="5"/>
      <c r="C941"/>
      <c r="D941"/>
    </row>
    <row r="942" spans="1:4" x14ac:dyDescent="0.25">
      <c r="A942" s="5"/>
      <c r="C942"/>
      <c r="D942"/>
    </row>
    <row r="943" spans="1:4" x14ac:dyDescent="0.25">
      <c r="A943" s="5"/>
      <c r="C943"/>
      <c r="D943"/>
    </row>
    <row r="944" spans="1:4" x14ac:dyDescent="0.25">
      <c r="A944" s="5"/>
      <c r="C944"/>
      <c r="D944"/>
    </row>
    <row r="945" spans="1:4" x14ac:dyDescent="0.25">
      <c r="A945" s="5"/>
      <c r="C945"/>
      <c r="D945"/>
    </row>
    <row r="946" spans="1:4" x14ac:dyDescent="0.25">
      <c r="A946" s="5"/>
      <c r="C946"/>
      <c r="D946"/>
    </row>
    <row r="947" spans="1:4" x14ac:dyDescent="0.25">
      <c r="A947" s="5"/>
      <c r="C947"/>
      <c r="D947"/>
    </row>
    <row r="948" spans="1:4" x14ac:dyDescent="0.25">
      <c r="A948" s="5"/>
      <c r="C948"/>
      <c r="D948"/>
    </row>
    <row r="949" spans="1:4" x14ac:dyDescent="0.25">
      <c r="A949" s="5"/>
      <c r="C949"/>
      <c r="D949"/>
    </row>
    <row r="950" spans="1:4" x14ac:dyDescent="0.25">
      <c r="A950" s="5"/>
      <c r="C950"/>
      <c r="D950"/>
    </row>
    <row r="951" spans="1:4" x14ac:dyDescent="0.25">
      <c r="A951" s="5"/>
      <c r="C951"/>
      <c r="D951"/>
    </row>
    <row r="952" spans="1:4" x14ac:dyDescent="0.25">
      <c r="A952" s="5"/>
      <c r="C952"/>
      <c r="D952"/>
    </row>
    <row r="953" spans="1:4" x14ac:dyDescent="0.25">
      <c r="A953" s="5"/>
      <c r="C953"/>
      <c r="D953"/>
    </row>
    <row r="954" spans="1:4" x14ac:dyDescent="0.25">
      <c r="A954" s="5"/>
      <c r="C954"/>
      <c r="D954"/>
    </row>
    <row r="955" spans="1:4" x14ac:dyDescent="0.25">
      <c r="A955" s="5"/>
      <c r="C955"/>
      <c r="D955"/>
    </row>
    <row r="956" spans="1:4" x14ac:dyDescent="0.25">
      <c r="A956" s="5"/>
      <c r="C956"/>
      <c r="D956"/>
    </row>
    <row r="957" spans="1:4" x14ac:dyDescent="0.25">
      <c r="A957" s="5"/>
      <c r="C957"/>
      <c r="D957"/>
    </row>
    <row r="958" spans="1:4" x14ac:dyDescent="0.25">
      <c r="A958" s="5"/>
      <c r="C958"/>
      <c r="D958"/>
    </row>
    <row r="959" spans="1:4" x14ac:dyDescent="0.25">
      <c r="A959" s="5"/>
      <c r="C959"/>
      <c r="D959"/>
    </row>
    <row r="960" spans="1:4" x14ac:dyDescent="0.25">
      <c r="A960" s="5"/>
      <c r="C960"/>
      <c r="D960"/>
    </row>
    <row r="961" spans="1:4" x14ac:dyDescent="0.25">
      <c r="A961" s="5"/>
      <c r="C961"/>
      <c r="D961"/>
    </row>
    <row r="962" spans="1:4" x14ac:dyDescent="0.25">
      <c r="A962" s="5"/>
      <c r="C962"/>
      <c r="D962"/>
    </row>
    <row r="963" spans="1:4" x14ac:dyDescent="0.25">
      <c r="A963" s="5"/>
      <c r="C963"/>
      <c r="D963"/>
    </row>
    <row r="964" spans="1:4" x14ac:dyDescent="0.25">
      <c r="A964" s="5"/>
      <c r="C964"/>
      <c r="D964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</row>
    <row r="1525" spans="1:4" x14ac:dyDescent="0.25">
      <c r="A1525" s="5"/>
    </row>
    <row r="1526" spans="1:4" x14ac:dyDescent="0.25">
      <c r="A1526" s="5"/>
    </row>
    <row r="1527" spans="1:4" x14ac:dyDescent="0.25">
      <c r="A1527" s="5"/>
    </row>
    <row r="1528" spans="1:4" x14ac:dyDescent="0.25">
      <c r="A1528" s="5"/>
    </row>
    <row r="1529" spans="1:4" x14ac:dyDescent="0.25">
      <c r="A1529" s="5"/>
    </row>
    <row r="1530" spans="1:4" x14ac:dyDescent="0.25">
      <c r="A1530" s="5"/>
    </row>
    <row r="1531" spans="1:4" x14ac:dyDescent="0.25">
      <c r="A1531" s="5"/>
    </row>
    <row r="1532" spans="1:4" x14ac:dyDescent="0.25">
      <c r="A1532" s="5"/>
    </row>
    <row r="1533" spans="1:4" x14ac:dyDescent="0.25">
      <c r="A1533" s="5"/>
    </row>
    <row r="1534" spans="1:4" x14ac:dyDescent="0.25">
      <c r="A1534" s="5"/>
    </row>
    <row r="1535" spans="1:4" x14ac:dyDescent="0.25">
      <c r="A1535" s="5"/>
    </row>
    <row r="1536" spans="1:4" x14ac:dyDescent="0.25">
      <c r="A1536" s="5"/>
    </row>
    <row r="1537" spans="1:1" x14ac:dyDescent="0.25">
      <c r="A1537" s="5"/>
    </row>
    <row r="1538" spans="1:1" x14ac:dyDescent="0.25">
      <c r="A1538" s="5"/>
    </row>
    <row r="1539" spans="1:1" x14ac:dyDescent="0.25">
      <c r="A1539" s="5"/>
    </row>
    <row r="1540" spans="1:1" x14ac:dyDescent="0.25">
      <c r="A1540" s="5"/>
    </row>
    <row r="1541" spans="1:1" x14ac:dyDescent="0.25">
      <c r="A1541" s="5"/>
    </row>
    <row r="1542" spans="1:1" x14ac:dyDescent="0.25">
      <c r="A1542" s="5"/>
    </row>
    <row r="1543" spans="1:1" x14ac:dyDescent="0.25">
      <c r="A1543" s="5"/>
    </row>
    <row r="1544" spans="1:1" x14ac:dyDescent="0.25">
      <c r="A1544" s="5"/>
    </row>
    <row r="1545" spans="1:1" x14ac:dyDescent="0.25">
      <c r="A1545" s="5"/>
    </row>
    <row r="1546" spans="1:1" x14ac:dyDescent="0.25">
      <c r="A1546" s="5"/>
    </row>
    <row r="1547" spans="1:1" x14ac:dyDescent="0.25">
      <c r="A1547" s="5"/>
    </row>
    <row r="1548" spans="1:1" x14ac:dyDescent="0.25">
      <c r="A1548" s="5"/>
    </row>
    <row r="1549" spans="1:1" x14ac:dyDescent="0.25">
      <c r="A1549" s="5"/>
    </row>
    <row r="1550" spans="1:1" x14ac:dyDescent="0.25">
      <c r="A1550" s="5"/>
    </row>
    <row r="1551" spans="1:1" x14ac:dyDescent="0.25">
      <c r="A1551" s="5"/>
    </row>
    <row r="1552" spans="1:1" x14ac:dyDescent="0.25">
      <c r="A1552" s="5"/>
    </row>
    <row r="1553" spans="1:1" x14ac:dyDescent="0.25">
      <c r="A1553" s="5"/>
    </row>
    <row r="1554" spans="1:1" x14ac:dyDescent="0.25">
      <c r="A1554" s="5"/>
    </row>
    <row r="1555" spans="1:1" x14ac:dyDescent="0.25">
      <c r="A1555" s="5"/>
    </row>
    <row r="1556" spans="1:1" x14ac:dyDescent="0.25">
      <c r="A1556" s="5"/>
    </row>
    <row r="1557" spans="1:1" x14ac:dyDescent="0.25">
      <c r="A1557" s="5"/>
    </row>
    <row r="1558" spans="1:1" x14ac:dyDescent="0.25">
      <c r="A1558" s="5"/>
    </row>
    <row r="1559" spans="1:1" x14ac:dyDescent="0.25">
      <c r="A1559" s="5"/>
    </row>
    <row r="1560" spans="1:1" x14ac:dyDescent="0.25">
      <c r="A1560" s="5"/>
    </row>
    <row r="1561" spans="1:1" x14ac:dyDescent="0.25">
      <c r="A1561" s="5"/>
    </row>
    <row r="1562" spans="1:1" x14ac:dyDescent="0.25">
      <c r="A1562" s="5"/>
    </row>
    <row r="1563" spans="1:1" x14ac:dyDescent="0.25">
      <c r="A1563" s="5"/>
    </row>
    <row r="1564" spans="1:1" x14ac:dyDescent="0.25">
      <c r="A1564" s="5"/>
    </row>
    <row r="1565" spans="1:1" x14ac:dyDescent="0.25">
      <c r="A1565" s="5"/>
    </row>
    <row r="1566" spans="1:1" x14ac:dyDescent="0.25">
      <c r="A1566" s="5"/>
    </row>
    <row r="1567" spans="1:1" x14ac:dyDescent="0.25">
      <c r="A1567" s="5"/>
    </row>
    <row r="1568" spans="1:1" x14ac:dyDescent="0.25">
      <c r="A1568" s="5"/>
    </row>
    <row r="1569" spans="1:1" x14ac:dyDescent="0.25">
      <c r="A1569" s="5"/>
    </row>
    <row r="1570" spans="1:1" x14ac:dyDescent="0.25">
      <c r="A1570" s="5"/>
    </row>
    <row r="1571" spans="1:1" x14ac:dyDescent="0.25">
      <c r="A1571" s="5"/>
    </row>
    <row r="1572" spans="1:1" x14ac:dyDescent="0.25">
      <c r="A1572" s="5"/>
    </row>
    <row r="1573" spans="1:1" x14ac:dyDescent="0.25">
      <c r="A1573" s="5"/>
    </row>
    <row r="1574" spans="1:1" x14ac:dyDescent="0.25">
      <c r="A1574" s="5"/>
    </row>
    <row r="1575" spans="1:1" x14ac:dyDescent="0.25">
      <c r="A1575" s="5"/>
    </row>
    <row r="1576" spans="1:1" x14ac:dyDescent="0.25">
      <c r="A1576" s="5"/>
    </row>
    <row r="1577" spans="1:1" x14ac:dyDescent="0.25">
      <c r="A1577" s="5"/>
    </row>
    <row r="1578" spans="1:1" x14ac:dyDescent="0.25">
      <c r="A1578" s="5"/>
    </row>
    <row r="1579" spans="1:1" x14ac:dyDescent="0.25">
      <c r="A1579" s="5"/>
    </row>
    <row r="1580" spans="1:1" x14ac:dyDescent="0.25">
      <c r="A1580" s="5"/>
    </row>
    <row r="1581" spans="1:1" x14ac:dyDescent="0.25">
      <c r="A1581" s="5"/>
    </row>
    <row r="1582" spans="1:1" x14ac:dyDescent="0.25">
      <c r="A1582" s="5"/>
    </row>
    <row r="1583" spans="1:1" x14ac:dyDescent="0.25">
      <c r="A1583" s="5"/>
    </row>
    <row r="1584" spans="1:1" x14ac:dyDescent="0.25">
      <c r="A1584" s="5"/>
    </row>
    <row r="1585" spans="1:1" x14ac:dyDescent="0.25">
      <c r="A1585" s="5"/>
    </row>
    <row r="1586" spans="1:1" x14ac:dyDescent="0.25">
      <c r="A1586" s="5"/>
    </row>
    <row r="1587" spans="1:1" x14ac:dyDescent="0.25">
      <c r="A1587" s="5"/>
    </row>
    <row r="1588" spans="1:1" x14ac:dyDescent="0.25">
      <c r="A1588" s="5"/>
    </row>
    <row r="1589" spans="1:1" x14ac:dyDescent="0.25">
      <c r="A1589" s="5"/>
    </row>
    <row r="1590" spans="1:1" x14ac:dyDescent="0.25">
      <c r="A1590" s="5"/>
    </row>
    <row r="1591" spans="1:1" x14ac:dyDescent="0.25">
      <c r="A1591" s="5"/>
    </row>
    <row r="1592" spans="1:1" x14ac:dyDescent="0.25">
      <c r="A1592" s="5"/>
    </row>
    <row r="1593" spans="1:1" x14ac:dyDescent="0.25">
      <c r="A1593" s="5"/>
    </row>
    <row r="1594" spans="1:1" x14ac:dyDescent="0.25">
      <c r="A1594" s="5"/>
    </row>
    <row r="1595" spans="1:1" x14ac:dyDescent="0.25">
      <c r="A1595" s="5"/>
    </row>
    <row r="1596" spans="1:1" x14ac:dyDescent="0.25">
      <c r="A1596" s="5"/>
    </row>
    <row r="1597" spans="1:1" x14ac:dyDescent="0.25">
      <c r="A1597" s="5"/>
    </row>
    <row r="1598" spans="1:1" x14ac:dyDescent="0.25">
      <c r="A1598" s="5"/>
    </row>
    <row r="1599" spans="1:1" x14ac:dyDescent="0.25">
      <c r="A1599" s="5"/>
    </row>
    <row r="1600" spans="1:1" x14ac:dyDescent="0.25">
      <c r="A1600" s="5"/>
    </row>
    <row r="1601" spans="1:1" x14ac:dyDescent="0.25">
      <c r="A1601" s="5"/>
    </row>
    <row r="1602" spans="1:1" x14ac:dyDescent="0.25">
      <c r="A1602" s="5"/>
    </row>
    <row r="1603" spans="1:1" x14ac:dyDescent="0.25">
      <c r="A1603" s="5"/>
    </row>
    <row r="1604" spans="1:1" x14ac:dyDescent="0.25">
      <c r="A1604" s="5"/>
    </row>
    <row r="1605" spans="1:1" x14ac:dyDescent="0.25">
      <c r="A1605" s="5"/>
    </row>
    <row r="1606" spans="1:1" x14ac:dyDescent="0.25">
      <c r="A1606" s="5"/>
    </row>
    <row r="1607" spans="1:1" x14ac:dyDescent="0.25">
      <c r="A1607" s="5"/>
    </row>
    <row r="1608" spans="1:1" x14ac:dyDescent="0.25">
      <c r="A1608" s="5"/>
    </row>
    <row r="1609" spans="1:1" x14ac:dyDescent="0.25">
      <c r="A1609" s="5"/>
    </row>
    <row r="1610" spans="1:1" x14ac:dyDescent="0.25">
      <c r="A1610" s="5"/>
    </row>
    <row r="1611" spans="1:1" x14ac:dyDescent="0.25">
      <c r="A1611" s="5"/>
    </row>
    <row r="1612" spans="1:1" x14ac:dyDescent="0.25">
      <c r="A1612" s="5"/>
    </row>
    <row r="1613" spans="1:1" x14ac:dyDescent="0.25">
      <c r="A1613" s="5"/>
    </row>
    <row r="1614" spans="1:1" x14ac:dyDescent="0.25">
      <c r="A1614" s="5"/>
    </row>
    <row r="1615" spans="1:1" x14ac:dyDescent="0.25">
      <c r="A1615" s="5"/>
    </row>
    <row r="1616" spans="1:1" x14ac:dyDescent="0.25">
      <c r="A1616" s="5"/>
    </row>
    <row r="1617" spans="1:1" x14ac:dyDescent="0.25">
      <c r="A1617" s="5"/>
    </row>
    <row r="1618" spans="1:1" x14ac:dyDescent="0.25">
      <c r="A1618" s="5"/>
    </row>
    <row r="1619" spans="1:1" x14ac:dyDescent="0.25">
      <c r="A1619" s="5"/>
    </row>
    <row r="1620" spans="1:1" x14ac:dyDescent="0.25">
      <c r="A1620" s="5"/>
    </row>
    <row r="1621" spans="1:1" x14ac:dyDescent="0.25">
      <c r="A1621" s="5"/>
    </row>
    <row r="1622" spans="1:1" x14ac:dyDescent="0.25">
      <c r="A1622" s="5"/>
    </row>
    <row r="1623" spans="1:1" x14ac:dyDescent="0.25">
      <c r="A1623" s="5"/>
    </row>
    <row r="1624" spans="1:1" x14ac:dyDescent="0.25">
      <c r="A1624" s="5"/>
    </row>
    <row r="1625" spans="1:1" x14ac:dyDescent="0.25">
      <c r="A1625" s="5"/>
    </row>
    <row r="1626" spans="1:1" x14ac:dyDescent="0.25">
      <c r="A1626" s="5"/>
    </row>
    <row r="1627" spans="1:1" x14ac:dyDescent="0.25">
      <c r="A1627" s="5"/>
    </row>
    <row r="1628" spans="1:1" x14ac:dyDescent="0.25">
      <c r="A1628" s="5"/>
    </row>
    <row r="1629" spans="1:1" x14ac:dyDescent="0.25">
      <c r="A1629" s="5"/>
    </row>
    <row r="1630" spans="1:1" x14ac:dyDescent="0.25">
      <c r="A1630" s="5"/>
    </row>
    <row r="1631" spans="1:1" x14ac:dyDescent="0.25">
      <c r="A1631" s="5"/>
    </row>
    <row r="1632" spans="1:1" x14ac:dyDescent="0.25">
      <c r="A1632" s="5"/>
    </row>
    <row r="1633" spans="1:1" x14ac:dyDescent="0.25">
      <c r="A1633" s="5"/>
    </row>
    <row r="1634" spans="1:1" x14ac:dyDescent="0.25">
      <c r="A1634" s="5"/>
    </row>
    <row r="1635" spans="1:1" x14ac:dyDescent="0.25">
      <c r="A1635" s="5"/>
    </row>
    <row r="1636" spans="1:1" x14ac:dyDescent="0.25">
      <c r="A1636" s="5"/>
    </row>
    <row r="1637" spans="1:1" x14ac:dyDescent="0.25">
      <c r="A1637" s="5"/>
    </row>
    <row r="1638" spans="1:1" x14ac:dyDescent="0.25">
      <c r="A1638" s="5"/>
    </row>
    <row r="1639" spans="1:1" x14ac:dyDescent="0.25">
      <c r="A1639" s="5"/>
    </row>
    <row r="1640" spans="1:1" x14ac:dyDescent="0.25">
      <c r="A1640" s="5"/>
    </row>
    <row r="1641" spans="1:1" x14ac:dyDescent="0.25">
      <c r="A1641" s="5"/>
    </row>
    <row r="1642" spans="1:1" x14ac:dyDescent="0.25">
      <c r="A1642" s="5"/>
    </row>
    <row r="1643" spans="1:1" x14ac:dyDescent="0.25">
      <c r="A1643" s="5"/>
    </row>
    <row r="1644" spans="1:1" x14ac:dyDescent="0.25">
      <c r="A1644" s="5"/>
    </row>
    <row r="1645" spans="1:1" x14ac:dyDescent="0.25">
      <c r="A1645" s="5"/>
    </row>
    <row r="1646" spans="1:1" x14ac:dyDescent="0.25">
      <c r="A1646" s="5"/>
    </row>
    <row r="1647" spans="1:1" x14ac:dyDescent="0.25">
      <c r="A1647" s="5"/>
    </row>
    <row r="1648" spans="1:1" x14ac:dyDescent="0.25">
      <c r="A1648" s="5"/>
    </row>
    <row r="1649" spans="1:1" x14ac:dyDescent="0.25">
      <c r="A1649" s="5"/>
    </row>
    <row r="1650" spans="1:1" x14ac:dyDescent="0.25">
      <c r="A1650" s="5"/>
    </row>
    <row r="1651" spans="1:1" x14ac:dyDescent="0.25">
      <c r="A1651" s="5"/>
    </row>
    <row r="1652" spans="1:1" x14ac:dyDescent="0.25">
      <c r="A1652" s="5"/>
    </row>
    <row r="1653" spans="1:1" x14ac:dyDescent="0.25">
      <c r="A1653" s="5"/>
    </row>
    <row r="1654" spans="1:1" x14ac:dyDescent="0.25">
      <c r="A1654" s="5"/>
    </row>
    <row r="1655" spans="1:1" x14ac:dyDescent="0.25">
      <c r="A1655" s="5"/>
    </row>
    <row r="1656" spans="1:1" x14ac:dyDescent="0.25">
      <c r="A1656" s="5"/>
    </row>
    <row r="1657" spans="1:1" x14ac:dyDescent="0.25">
      <c r="A1657" s="5"/>
    </row>
    <row r="1658" spans="1:1" x14ac:dyDescent="0.25">
      <c r="A1658" s="5"/>
    </row>
    <row r="1659" spans="1:1" x14ac:dyDescent="0.25">
      <c r="A1659" s="5"/>
    </row>
    <row r="1660" spans="1:1" x14ac:dyDescent="0.25">
      <c r="A1660" s="5"/>
    </row>
    <row r="1661" spans="1:1" x14ac:dyDescent="0.25">
      <c r="A1661" s="5"/>
    </row>
    <row r="1662" spans="1:1" x14ac:dyDescent="0.25">
      <c r="A1662" s="5"/>
    </row>
    <row r="1663" spans="1:1" x14ac:dyDescent="0.25">
      <c r="A1663" s="5"/>
    </row>
    <row r="1664" spans="1:1" x14ac:dyDescent="0.25">
      <c r="A1664" s="5"/>
    </row>
    <row r="1665" spans="1:1" x14ac:dyDescent="0.25">
      <c r="A1665" s="5"/>
    </row>
    <row r="1666" spans="1:1" x14ac:dyDescent="0.25">
      <c r="A1666" s="5"/>
    </row>
    <row r="1667" spans="1:1" x14ac:dyDescent="0.25">
      <c r="A1667" s="5"/>
    </row>
    <row r="1668" spans="1:1" x14ac:dyDescent="0.25">
      <c r="A1668" s="5"/>
    </row>
    <row r="1669" spans="1:1" x14ac:dyDescent="0.25">
      <c r="A1669" s="5"/>
    </row>
    <row r="1670" spans="1:1" x14ac:dyDescent="0.25">
      <c r="A1670" s="5"/>
    </row>
    <row r="1671" spans="1:1" x14ac:dyDescent="0.25">
      <c r="A1671" s="5"/>
    </row>
    <row r="1672" spans="1:1" x14ac:dyDescent="0.25">
      <c r="A1672" s="5"/>
    </row>
    <row r="1673" spans="1:1" x14ac:dyDescent="0.25">
      <c r="A1673" s="5"/>
    </row>
    <row r="1674" spans="1:1" x14ac:dyDescent="0.25">
      <c r="A1674" s="5"/>
    </row>
    <row r="1675" spans="1:1" x14ac:dyDescent="0.25">
      <c r="A1675" s="5"/>
    </row>
    <row r="1676" spans="1:1" x14ac:dyDescent="0.25">
      <c r="A1676" s="5"/>
    </row>
    <row r="1677" spans="1:1" x14ac:dyDescent="0.25">
      <c r="A1677" s="5"/>
    </row>
    <row r="1678" spans="1:1" x14ac:dyDescent="0.25">
      <c r="A1678" s="5"/>
    </row>
    <row r="1679" spans="1:1" x14ac:dyDescent="0.25">
      <c r="A1679" s="5"/>
    </row>
    <row r="1680" spans="1:1" x14ac:dyDescent="0.25">
      <c r="A1680" s="5"/>
    </row>
    <row r="1681" spans="1:1" x14ac:dyDescent="0.25">
      <c r="A1681" s="5"/>
    </row>
    <row r="1682" spans="1:1" x14ac:dyDescent="0.25">
      <c r="A1682" s="5"/>
    </row>
    <row r="1683" spans="1:1" x14ac:dyDescent="0.25">
      <c r="A1683" s="5"/>
    </row>
    <row r="1684" spans="1:1" x14ac:dyDescent="0.25">
      <c r="A1684" s="5"/>
    </row>
    <row r="1685" spans="1:1" x14ac:dyDescent="0.25">
      <c r="A1685" s="5"/>
    </row>
    <row r="1686" spans="1:1" x14ac:dyDescent="0.25">
      <c r="A1686" s="5"/>
    </row>
    <row r="1687" spans="1:1" x14ac:dyDescent="0.25">
      <c r="A1687" s="5"/>
    </row>
    <row r="1688" spans="1:1" x14ac:dyDescent="0.25">
      <c r="A1688" s="5"/>
    </row>
    <row r="1689" spans="1:1" x14ac:dyDescent="0.25">
      <c r="A1689" s="5"/>
    </row>
    <row r="1690" spans="1:1" x14ac:dyDescent="0.25">
      <c r="A1690" s="5"/>
    </row>
    <row r="1691" spans="1:1" x14ac:dyDescent="0.25">
      <c r="A1691" s="5"/>
    </row>
    <row r="1692" spans="1:1" x14ac:dyDescent="0.25">
      <c r="A1692" s="5"/>
    </row>
    <row r="1693" spans="1:1" x14ac:dyDescent="0.25">
      <c r="A1693" s="5"/>
    </row>
    <row r="1694" spans="1:1" x14ac:dyDescent="0.25">
      <c r="A1694" s="5"/>
    </row>
    <row r="1695" spans="1:1" x14ac:dyDescent="0.25">
      <c r="A1695" s="5"/>
    </row>
    <row r="1696" spans="1:1" x14ac:dyDescent="0.25">
      <c r="A1696" s="5"/>
    </row>
    <row r="1697" spans="1:1" x14ac:dyDescent="0.25">
      <c r="A1697" s="5"/>
    </row>
    <row r="1698" spans="1:1" x14ac:dyDescent="0.25">
      <c r="A1698" s="5"/>
    </row>
    <row r="1699" spans="1:1" x14ac:dyDescent="0.25">
      <c r="A1699" s="5"/>
    </row>
    <row r="1700" spans="1:1" x14ac:dyDescent="0.25">
      <c r="A1700" s="5"/>
    </row>
    <row r="1701" spans="1:1" x14ac:dyDescent="0.25">
      <c r="A1701" s="5"/>
    </row>
    <row r="1702" spans="1:1" x14ac:dyDescent="0.25">
      <c r="A1702" s="5"/>
    </row>
    <row r="1703" spans="1:1" x14ac:dyDescent="0.25">
      <c r="A1703" s="5"/>
    </row>
    <row r="1704" spans="1:1" x14ac:dyDescent="0.25">
      <c r="A1704" s="5"/>
    </row>
    <row r="1705" spans="1:1" x14ac:dyDescent="0.25">
      <c r="A1705" s="5"/>
    </row>
    <row r="1706" spans="1:1" x14ac:dyDescent="0.25">
      <c r="A1706" s="5"/>
    </row>
    <row r="1707" spans="1:1" x14ac:dyDescent="0.25">
      <c r="A1707" s="5"/>
    </row>
    <row r="1708" spans="1:1" x14ac:dyDescent="0.25">
      <c r="A1708" s="5"/>
    </row>
    <row r="1709" spans="1:1" x14ac:dyDescent="0.25">
      <c r="A1709" s="5"/>
    </row>
    <row r="1710" spans="1:1" x14ac:dyDescent="0.25">
      <c r="A1710" s="5"/>
    </row>
    <row r="1711" spans="1:1" x14ac:dyDescent="0.25">
      <c r="A1711" s="5"/>
    </row>
    <row r="1712" spans="1:1" x14ac:dyDescent="0.25">
      <c r="A1712" s="5"/>
    </row>
    <row r="1713" spans="1:1" x14ac:dyDescent="0.25">
      <c r="A1713" s="5"/>
    </row>
    <row r="1714" spans="1:1" x14ac:dyDescent="0.25">
      <c r="A1714" s="5"/>
    </row>
    <row r="1715" spans="1:1" x14ac:dyDescent="0.25">
      <c r="A1715" s="5"/>
    </row>
    <row r="1716" spans="1:1" x14ac:dyDescent="0.25">
      <c r="A1716" s="5"/>
    </row>
    <row r="1717" spans="1:1" x14ac:dyDescent="0.25">
      <c r="A1717" s="5"/>
    </row>
    <row r="1718" spans="1:1" x14ac:dyDescent="0.25">
      <c r="A1718" s="5"/>
    </row>
    <row r="1719" spans="1:1" x14ac:dyDescent="0.25">
      <c r="A1719" s="5"/>
    </row>
    <row r="1720" spans="1:1" x14ac:dyDescent="0.25">
      <c r="A1720" s="5"/>
    </row>
    <row r="1721" spans="1:1" x14ac:dyDescent="0.25">
      <c r="A1721" s="5"/>
    </row>
    <row r="1722" spans="1:1" x14ac:dyDescent="0.25">
      <c r="A1722" s="5"/>
    </row>
    <row r="1723" spans="1:1" x14ac:dyDescent="0.25">
      <c r="A1723" s="5"/>
    </row>
    <row r="1724" spans="1:1" x14ac:dyDescent="0.25">
      <c r="A1724" s="5"/>
    </row>
    <row r="1725" spans="1:1" x14ac:dyDescent="0.25">
      <c r="A1725" s="5"/>
    </row>
    <row r="1726" spans="1:1" x14ac:dyDescent="0.25">
      <c r="A1726" s="5"/>
    </row>
    <row r="1727" spans="1:1" x14ac:dyDescent="0.25">
      <c r="A1727" s="5"/>
    </row>
    <row r="1728" spans="1:1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</sheetData>
  <conditionalFormatting sqref="D1:D7 D10:D1048576 C8:D9">
    <cfRule type="cellIs" dxfId="82" priority="1" operator="lessThan">
      <formula>$A$2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4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</sheetData>
  <conditionalFormatting sqref="C136">
    <cfRule type="cellIs" dxfId="81" priority="3" operator="equal">
      <formula>$U$1</formula>
    </cfRule>
    <cfRule type="cellIs" dxfId="80" priority="4" operator="equal">
      <formula>$S$1</formula>
    </cfRule>
  </conditionalFormatting>
  <conditionalFormatting sqref="D136">
    <cfRule type="cellIs" dxfId="79" priority="1" operator="equal">
      <formula>$S$1</formula>
    </cfRule>
    <cfRule type="cellIs" dxfId="78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A936" sqref="A93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$A$586</v>
      </c>
      <c r="D111" s="1" t="str">
        <f>ADDRESS(C121-1,D121,1,1)</f>
        <v>$E$586</v>
      </c>
      <c r="E111"/>
    </row>
    <row r="112" spans="1:5" x14ac:dyDescent="0.25">
      <c r="A112" s="7">
        <v>12164.144957890772</v>
      </c>
      <c r="C112" s="1" t="str">
        <f>ADDRESS(C121,1,1,1)</f>
        <v>$A$587</v>
      </c>
      <c r="D112" s="1" t="str">
        <f>ADDRESS(C121,D121-1,1,1)</f>
        <v>$D$587</v>
      </c>
      <c r="E112"/>
    </row>
    <row r="113" spans="1:5" x14ac:dyDescent="0.25">
      <c r="A113" s="7">
        <v>11925.63231165762</v>
      </c>
      <c r="C113" s="1" t="str">
        <f>ADDRESS(C121+1,1,1,1)</f>
        <v>$A$588</v>
      </c>
      <c r="D113" s="1" t="str">
        <f>ADDRESS(C121-1,D121+1,1,1)</f>
        <v>$F$586</v>
      </c>
    </row>
    <row r="114" spans="1:5" x14ac:dyDescent="0.25">
      <c r="A114" s="7">
        <v>11691.796383978059</v>
      </c>
      <c r="C114" s="1" t="str">
        <f>ADDRESS(C121,D121,1,1)</f>
        <v>$E$587</v>
      </c>
      <c r="D114" s="1" t="str">
        <f>ADDRESS(C121+1,D121+1,1,1)</f>
        <v>$F$588</v>
      </c>
    </row>
    <row r="115" spans="1:5" x14ac:dyDescent="0.25">
      <c r="A115" s="7">
        <v>11462.545474488292</v>
      </c>
      <c r="C115" s="1" t="str">
        <f>ADDRESS(C121+1,D121,1,1)</f>
        <v>$E$588</v>
      </c>
    </row>
    <row r="116" spans="1:5" x14ac:dyDescent="0.25">
      <c r="A116" s="7">
        <v>11237.789680870874</v>
      </c>
      <c r="C116" s="1">
        <f>C117-1</f>
        <v>586</v>
      </c>
    </row>
    <row r="117" spans="1:5" x14ac:dyDescent="0.25">
      <c r="A117" s="7">
        <v>11017.440863598895</v>
      </c>
      <c r="C117" s="1">
        <f>C121</f>
        <v>587</v>
      </c>
      <c r="D117" s="1">
        <f>D121</f>
        <v>5</v>
      </c>
    </row>
    <row r="118" spans="1:5" x14ac:dyDescent="0.25">
      <c r="A118" s="7">
        <v>10801.412611371465</v>
      </c>
      <c r="C118" s="1">
        <f>C117+1</f>
        <v>588</v>
      </c>
      <c r="D118" s="1">
        <f>D117+1</f>
        <v>6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587</v>
      </c>
      <c r="D121" s="19">
        <v>5</v>
      </c>
      <c r="E121" s="19"/>
    </row>
    <row r="122" spans="1:5" x14ac:dyDescent="0.25">
      <c r="A122" s="7">
        <v>9978.8356356406348</v>
      </c>
      <c r="C122" s="1" t="str">
        <f>INDEX(1:1048576,C117,D117)</f>
        <v>X</v>
      </c>
    </row>
    <row r="123" spans="1:5" x14ac:dyDescent="0.25">
      <c r="A123" s="7">
        <v>9783.1721918045441</v>
      </c>
      <c r="C123" s="1" t="str">
        <f>"R"&amp;C121</f>
        <v>R587</v>
      </c>
      <c r="D123" s="1" t="str">
        <f>"C"&amp;D121</f>
        <v>C5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/>
      <c r="D130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X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/>
      </c>
      <c r="D136" s="1" t="str">
        <f>IF(C133=$U$1,IF(C130&gt;(C127*1.02),$U$1,IF(D130&lt;(C127*0.942322334547044),$S$1,"")),"")</f>
        <v>O</v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5" x14ac:dyDescent="0.25">
      <c r="A577" s="7">
        <v>1.2189944199947573</v>
      </c>
      <c r="B577"/>
      <c r="C577"/>
      <c r="D577"/>
      <c r="E577"/>
    </row>
    <row r="578" spans="1:5" x14ac:dyDescent="0.25">
      <c r="A578" s="7">
        <v>1.1950925686223111</v>
      </c>
      <c r="B578"/>
      <c r="C578"/>
      <c r="D578"/>
      <c r="E578"/>
    </row>
    <row r="579" spans="1:5" x14ac:dyDescent="0.25">
      <c r="A579" s="7">
        <v>1.1716593810022657</v>
      </c>
      <c r="B579"/>
      <c r="C579"/>
      <c r="D579"/>
      <c r="E579"/>
    </row>
    <row r="580" spans="1:5" x14ac:dyDescent="0.25">
      <c r="A580" s="7">
        <v>1.14868566764928</v>
      </c>
      <c r="B580"/>
      <c r="C580"/>
      <c r="D580"/>
      <c r="E580"/>
    </row>
    <row r="581" spans="1:5" x14ac:dyDescent="0.25">
      <c r="A581" s="7">
        <v>1.1261624192640001</v>
      </c>
      <c r="B581"/>
      <c r="C581"/>
      <c r="D581"/>
      <c r="E581"/>
    </row>
    <row r="582" spans="1:5" x14ac:dyDescent="0.25">
      <c r="A582" s="7">
        <v>1.1040808032</v>
      </c>
      <c r="B582"/>
      <c r="C582"/>
      <c r="D582"/>
      <c r="E582"/>
    </row>
    <row r="583" spans="1:5" x14ac:dyDescent="0.25">
      <c r="A583" s="7">
        <v>1.08243216</v>
      </c>
      <c r="B583"/>
      <c r="C583"/>
      <c r="D583"/>
      <c r="E583"/>
    </row>
    <row r="584" spans="1:5" x14ac:dyDescent="0.25">
      <c r="A584" s="7">
        <v>1.0612079999999999</v>
      </c>
      <c r="B584"/>
      <c r="C584"/>
      <c r="D584"/>
      <c r="E584"/>
    </row>
    <row r="585" spans="1:5" x14ac:dyDescent="0.25">
      <c r="A585" s="7">
        <v>1.0404</v>
      </c>
      <c r="B585"/>
      <c r="C585"/>
      <c r="D585"/>
      <c r="E585"/>
    </row>
    <row r="586" spans="1:5" x14ac:dyDescent="0.25">
      <c r="A586" s="7">
        <v>1.02</v>
      </c>
      <c r="B586"/>
      <c r="C586"/>
      <c r="D586"/>
      <c r="E586"/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77" priority="20" operator="equal">
      <formula>$U$1</formula>
    </cfRule>
    <cfRule type="cellIs" dxfId="76" priority="21" operator="equal">
      <formula>$S$1</formula>
    </cfRule>
  </conditionalFormatting>
  <conditionalFormatting sqref="D27">
    <cfRule type="cellIs" dxfId="75" priority="18" operator="equal">
      <formula>$S$1</formula>
    </cfRule>
    <cfRule type="cellIs" dxfId="74" priority="19" operator="equal">
      <formula>$U$1</formula>
    </cfRule>
  </conditionalFormatting>
  <conditionalFormatting sqref="C164">
    <cfRule type="cellIs" dxfId="73" priority="16" operator="equal">
      <formula>$U$1</formula>
    </cfRule>
    <cfRule type="cellIs" dxfId="72" priority="17" operator="equal">
      <formula>$S$1</formula>
    </cfRule>
  </conditionalFormatting>
  <conditionalFormatting sqref="D164">
    <cfRule type="cellIs" dxfId="71" priority="14" operator="equal">
      <formula>$S$1</formula>
    </cfRule>
    <cfRule type="cellIs" dxfId="70" priority="15" operator="equal">
      <formula>$U$1</formula>
    </cfRule>
  </conditionalFormatting>
  <conditionalFormatting sqref="C55">
    <cfRule type="cellIs" dxfId="69" priority="12" operator="equal">
      <formula>$U$1</formula>
    </cfRule>
    <cfRule type="cellIs" dxfId="68" priority="13" operator="equal">
      <formula>$S$1</formula>
    </cfRule>
  </conditionalFormatting>
  <conditionalFormatting sqref="D55">
    <cfRule type="cellIs" dxfId="67" priority="10" operator="equal">
      <formula>$S$1</formula>
    </cfRule>
    <cfRule type="cellIs" dxfId="66" priority="11" operator="equal">
      <formula>$U$1</formula>
    </cfRule>
  </conditionalFormatting>
  <conditionalFormatting sqref="C89">
    <cfRule type="cellIs" dxfId="65" priority="8" operator="equal">
      <formula>$U$1</formula>
    </cfRule>
    <cfRule type="cellIs" dxfId="64" priority="9" operator="equal">
      <formula>$S$1</formula>
    </cfRule>
  </conditionalFormatting>
  <conditionalFormatting sqref="D89">
    <cfRule type="cellIs" dxfId="63" priority="6" operator="equal">
      <formula>$S$1</formula>
    </cfRule>
    <cfRule type="cellIs" dxfId="62" priority="7" operator="equal">
      <formula>$U$1</formula>
    </cfRule>
  </conditionalFormatting>
  <conditionalFormatting sqref="C136">
    <cfRule type="cellIs" dxfId="61" priority="4" operator="equal">
      <formula>$U$1</formula>
    </cfRule>
    <cfRule type="cellIs" dxfId="60" priority="5" operator="equal">
      <formula>$S$1</formula>
    </cfRule>
  </conditionalFormatting>
  <conditionalFormatting sqref="D136">
    <cfRule type="cellIs" dxfId="59" priority="2" operator="equal">
      <formula>$S$1</formula>
    </cfRule>
    <cfRule type="cellIs" dxfId="58" priority="3" operator="equal">
      <formula>$U$1</formula>
    </cfRule>
  </conditionalFormatting>
  <conditionalFormatting sqref="C1">
    <cfRule type="cellIs" dxfId="57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75"/>
  <sheetViews>
    <sheetView topLeftCell="A283" zoomScale="90" zoomScaleNormal="90" workbookViewId="0">
      <pane xSplit="4" topLeftCell="E1" activePane="topRight" state="frozen"/>
      <selection activeCell="A109" sqref="A109"/>
      <selection pane="topRight" activeCell="B283" sqref="B1:G1048576"/>
    </sheetView>
  </sheetViews>
  <sheetFormatPr defaultRowHeight="15" x14ac:dyDescent="0.25"/>
  <cols>
    <col min="1" max="1" width="12.5703125" style="30" customWidth="1"/>
    <col min="2" max="5" width="10.7109375" style="1" hidden="1" customWidth="1"/>
    <col min="6" max="7" width="10.710937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1">
        <v>2632434.7683733804</v>
      </c>
    </row>
    <row r="6" spans="1:21" x14ac:dyDescent="0.25">
      <c r="A6" s="31">
        <v>2507080.7317841719</v>
      </c>
    </row>
    <row r="7" spans="1:21" x14ac:dyDescent="0.25">
      <c r="A7" s="31">
        <v>2387695.9350325447</v>
      </c>
    </row>
    <row r="8" spans="1:21" x14ac:dyDescent="0.25">
      <c r="A8" s="31">
        <v>2273996.1286024232</v>
      </c>
    </row>
    <row r="9" spans="1:21" x14ac:dyDescent="0.25">
      <c r="A9" s="31">
        <v>2165710.5986689744</v>
      </c>
    </row>
    <row r="10" spans="1:21" x14ac:dyDescent="0.25">
      <c r="A10" s="31">
        <v>2062581.5225418801</v>
      </c>
    </row>
    <row r="11" spans="1:21" x14ac:dyDescent="0.25">
      <c r="A11" s="31">
        <v>1964363.3548017906</v>
      </c>
    </row>
    <row r="12" spans="1:21" x14ac:dyDescent="0.25">
      <c r="A12" s="31">
        <v>1870822.2426683719</v>
      </c>
    </row>
    <row r="13" spans="1:21" x14ac:dyDescent="0.25">
      <c r="A13" s="31">
        <v>1781735.4692079732</v>
      </c>
    </row>
    <row r="14" spans="1:21" x14ac:dyDescent="0.25">
      <c r="A14" s="31">
        <v>1696890.9230552125</v>
      </c>
    </row>
    <row r="15" spans="1:21" x14ac:dyDescent="0.25">
      <c r="A15" s="31">
        <v>1616086.5933859167</v>
      </c>
    </row>
    <row r="16" spans="1:21" x14ac:dyDescent="0.25">
      <c r="A16" s="31">
        <v>1539130.0889389683</v>
      </c>
    </row>
    <row r="17" spans="1:7" x14ac:dyDescent="0.25">
      <c r="A17" s="31">
        <v>1465838.1799418745</v>
      </c>
    </row>
    <row r="18" spans="1:7" x14ac:dyDescent="0.25">
      <c r="A18" s="31">
        <v>1396036.3618494042</v>
      </c>
    </row>
    <row r="19" spans="1:7" x14ac:dyDescent="0.25">
      <c r="A19" s="31">
        <v>1329558.4398565753</v>
      </c>
    </row>
    <row r="20" spans="1:7" x14ac:dyDescent="0.25">
      <c r="A20" s="31">
        <v>1266246.1331967383</v>
      </c>
    </row>
    <row r="21" spans="1:7" x14ac:dyDescent="0.25">
      <c r="A21" s="31">
        <v>1205948.6982826078</v>
      </c>
      <c r="C21" s="1" t="s">
        <v>15</v>
      </c>
      <c r="G21" s="11"/>
    </row>
    <row r="22" spans="1:7" x14ac:dyDescent="0.25">
      <c r="A22" s="31">
        <v>1148522.5697929598</v>
      </c>
      <c r="C22" s="7">
        <v>0.11686133436193799</v>
      </c>
      <c r="D22"/>
    </row>
    <row r="23" spans="1:7" x14ac:dyDescent="0.25">
      <c r="A23" s="31">
        <v>1093831.0188504378</v>
      </c>
    </row>
    <row r="24" spans="1:7" x14ac:dyDescent="0.25">
      <c r="A24" s="31">
        <v>1041743.8274766075</v>
      </c>
      <c r="C24" s="1" t="s">
        <v>11</v>
      </c>
      <c r="D24" s="1" t="s">
        <v>12</v>
      </c>
    </row>
    <row r="25" spans="1:7" x14ac:dyDescent="0.25">
      <c r="A25" s="31">
        <v>992136.97854914994</v>
      </c>
      <c r="C25"/>
      <c r="D25"/>
    </row>
    <row r="26" spans="1:7" x14ac:dyDescent="0.25">
      <c r="A26" s="31">
        <v>944892.36052299989</v>
      </c>
    </row>
    <row r="27" spans="1:7" x14ac:dyDescent="0.25">
      <c r="A27" s="31">
        <v>899897.48621238081</v>
      </c>
      <c r="C27" s="1" t="s">
        <v>13</v>
      </c>
    </row>
    <row r="28" spans="1:7" x14ac:dyDescent="0.25">
      <c r="A28" s="31">
        <v>857045.22496417211</v>
      </c>
      <c r="C28" s="1">
        <f>C17</f>
        <v>0</v>
      </c>
    </row>
    <row r="29" spans="1:7" x14ac:dyDescent="0.25">
      <c r="A29" s="31">
        <v>816233.54758492578</v>
      </c>
      <c r="C29"/>
    </row>
    <row r="30" spans="1:7" x14ac:dyDescent="0.25">
      <c r="A30" s="31">
        <v>777365.28341421497</v>
      </c>
      <c r="C30" s="1" t="s">
        <v>14</v>
      </c>
    </row>
    <row r="31" spans="1:7" x14ac:dyDescent="0.25">
      <c r="A31" s="31">
        <v>740347.88896591903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1">
        <v>705093.22758658952</v>
      </c>
    </row>
    <row r="33" spans="1:5" x14ac:dyDescent="0.25">
      <c r="A33" s="31">
        <v>671517.35960627568</v>
      </c>
      <c r="E33"/>
    </row>
    <row r="34" spans="1:5" x14ac:dyDescent="0.25">
      <c r="A34" s="31">
        <v>639540.3424821673</v>
      </c>
      <c r="E34"/>
    </row>
    <row r="35" spans="1:5" x14ac:dyDescent="0.25">
      <c r="A35" s="31">
        <v>609086.04045920691</v>
      </c>
      <c r="E35"/>
    </row>
    <row r="36" spans="1:5" x14ac:dyDescent="0.25">
      <c r="A36" s="31">
        <v>580081.94329448277</v>
      </c>
      <c r="E36"/>
    </row>
    <row r="37" spans="1:5" x14ac:dyDescent="0.25">
      <c r="A37" s="31">
        <v>552458.99361379305</v>
      </c>
      <c r="E37"/>
    </row>
    <row r="38" spans="1:5" x14ac:dyDescent="0.25">
      <c r="A38" s="31">
        <v>526151.42248932668</v>
      </c>
      <c r="E38"/>
    </row>
    <row r="39" spans="1:5" x14ac:dyDescent="0.25">
      <c r="A39" s="31">
        <v>501096.59284697776</v>
      </c>
      <c r="E39"/>
    </row>
    <row r="40" spans="1:5" x14ac:dyDescent="0.25">
      <c r="A40" s="31">
        <v>477234.850330455</v>
      </c>
      <c r="E40"/>
    </row>
    <row r="41" spans="1:5" x14ac:dyDescent="0.25">
      <c r="A41" s="31">
        <v>454509.38126709999</v>
      </c>
      <c r="E41"/>
    </row>
    <row r="42" spans="1:5" x14ac:dyDescent="0.25">
      <c r="A42" s="31">
        <v>432866.07739723806</v>
      </c>
      <c r="E42"/>
    </row>
    <row r="43" spans="1:5" x14ac:dyDescent="0.25">
      <c r="A43" s="31">
        <v>412253.40704498859</v>
      </c>
      <c r="E43"/>
    </row>
    <row r="44" spans="1:5" x14ac:dyDescent="0.25">
      <c r="A44" s="31">
        <v>392622.29242379864</v>
      </c>
      <c r="E44"/>
    </row>
    <row r="45" spans="1:5" x14ac:dyDescent="0.25">
      <c r="A45" s="31">
        <v>373925.99278457015</v>
      </c>
      <c r="E45"/>
    </row>
    <row r="46" spans="1:5" x14ac:dyDescent="0.25">
      <c r="A46" s="31">
        <v>356119.99312816205</v>
      </c>
      <c r="C46" s="1" t="s">
        <v>15</v>
      </c>
      <c r="E46"/>
    </row>
    <row r="47" spans="1:5" x14ac:dyDescent="0.25">
      <c r="A47" s="31">
        <v>339161.89821729716</v>
      </c>
      <c r="C47" s="7">
        <v>0.11686133436193799</v>
      </c>
      <c r="D47"/>
      <c r="E47"/>
    </row>
    <row r="48" spans="1:5" x14ac:dyDescent="0.25">
      <c r="A48" s="31">
        <v>323011.33163552108</v>
      </c>
      <c r="E48"/>
    </row>
    <row r="49" spans="1:5" x14ac:dyDescent="0.25">
      <c r="A49" s="31">
        <v>307629.83965287718</v>
      </c>
      <c r="C49" s="1" t="s">
        <v>11</v>
      </c>
      <c r="D49" s="1" t="s">
        <v>12</v>
      </c>
      <c r="E49"/>
    </row>
    <row r="50" spans="1:5" x14ac:dyDescent="0.25">
      <c r="A50" s="31">
        <v>292980.79966940684</v>
      </c>
      <c r="C50"/>
      <c r="D50"/>
      <c r="E50"/>
    </row>
    <row r="51" spans="1:5" x14ac:dyDescent="0.25">
      <c r="A51" s="31">
        <v>279029.33301848272</v>
      </c>
      <c r="E51"/>
    </row>
    <row r="52" spans="1:5" x14ac:dyDescent="0.25">
      <c r="A52" s="31">
        <v>265742.22192236449</v>
      </c>
      <c r="C52" s="1" t="s">
        <v>13</v>
      </c>
      <c r="E52"/>
    </row>
    <row r="53" spans="1:5" x14ac:dyDescent="0.25">
      <c r="A53" s="31">
        <v>253087.83040225189</v>
      </c>
      <c r="C53" s="1">
        <f>C42</f>
        <v>0</v>
      </c>
      <c r="E53"/>
    </row>
    <row r="54" spans="1:5" x14ac:dyDescent="0.25">
      <c r="A54" s="31">
        <v>241036.02895452559</v>
      </c>
      <c r="C54"/>
      <c r="E54"/>
    </row>
    <row r="55" spans="1:5" x14ac:dyDescent="0.25">
      <c r="A55" s="31">
        <v>229558.12281383388</v>
      </c>
      <c r="C55" s="1" t="s">
        <v>14</v>
      </c>
      <c r="E55"/>
    </row>
    <row r="56" spans="1:5" x14ac:dyDescent="0.25">
      <c r="A56" s="31">
        <v>218626.78363222274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1">
        <v>208215.9844116407</v>
      </c>
      <c r="E57"/>
    </row>
    <row r="58" spans="1:5" x14ac:dyDescent="0.25">
      <c r="A58" s="31">
        <v>198300.9375348959</v>
      </c>
      <c r="E58"/>
    </row>
    <row r="59" spans="1:5" x14ac:dyDescent="0.25">
      <c r="A59" s="31">
        <v>188858.0357475199</v>
      </c>
      <c r="E59"/>
    </row>
    <row r="60" spans="1:5" x14ac:dyDescent="0.25">
      <c r="A60" s="31">
        <v>179864.79595001895</v>
      </c>
      <c r="E60"/>
    </row>
    <row r="61" spans="1:5" x14ac:dyDescent="0.25">
      <c r="A61" s="31">
        <v>171299.8056666847</v>
      </c>
      <c r="E61"/>
    </row>
    <row r="62" spans="1:5" x14ac:dyDescent="0.25">
      <c r="A62" s="31">
        <v>163142.67206350924</v>
      </c>
      <c r="E62"/>
    </row>
    <row r="63" spans="1:5" x14ac:dyDescent="0.25">
      <c r="A63" s="31">
        <v>155373.97339381831</v>
      </c>
      <c r="E63"/>
    </row>
    <row r="64" spans="1:5" x14ac:dyDescent="0.25">
      <c r="A64" s="31">
        <v>147975.21275601743</v>
      </c>
      <c r="E64"/>
    </row>
    <row r="65" spans="1:5" x14ac:dyDescent="0.25">
      <c r="A65" s="31">
        <v>140928.77405334992</v>
      </c>
      <c r="E65"/>
    </row>
    <row r="66" spans="1:5" x14ac:dyDescent="0.25">
      <c r="A66" s="31">
        <v>134217.88005080944</v>
      </c>
      <c r="E66"/>
    </row>
    <row r="67" spans="1:5" x14ac:dyDescent="0.25">
      <c r="A67" s="31">
        <v>127826.55242934231</v>
      </c>
      <c r="E67"/>
    </row>
    <row r="68" spans="1:5" x14ac:dyDescent="0.25">
      <c r="A68" s="31">
        <v>121739.57374223076</v>
      </c>
      <c r="E68"/>
    </row>
    <row r="69" spans="1:5" x14ac:dyDescent="0.25">
      <c r="A69" s="31">
        <v>115942.4511830769</v>
      </c>
      <c r="E69"/>
    </row>
    <row r="70" spans="1:5" x14ac:dyDescent="0.25">
      <c r="A70" s="31">
        <v>110421.38207912086</v>
      </c>
      <c r="E70"/>
    </row>
    <row r="71" spans="1:5" x14ac:dyDescent="0.25">
      <c r="A71" s="31">
        <v>105163.22102773415</v>
      </c>
      <c r="C71" s="1" t="s">
        <v>15</v>
      </c>
      <c r="E71"/>
    </row>
    <row r="72" spans="1:5" x14ac:dyDescent="0.25">
      <c r="A72" s="30">
        <v>100155.44859784204</v>
      </c>
      <c r="C72" s="7">
        <v>0.11686133436193799</v>
      </c>
      <c r="D72"/>
      <c r="E72"/>
    </row>
    <row r="73" spans="1:5" x14ac:dyDescent="0.25">
      <c r="A73" s="30">
        <v>95386.141521754325</v>
      </c>
      <c r="E73"/>
    </row>
    <row r="74" spans="1:5" x14ac:dyDescent="0.25">
      <c r="A74" s="30">
        <v>90843.944306432692</v>
      </c>
      <c r="C74" s="1" t="s">
        <v>11</v>
      </c>
      <c r="D74" s="1" t="s">
        <v>12</v>
      </c>
      <c r="E74"/>
    </row>
    <row r="75" spans="1:5" x14ac:dyDescent="0.25">
      <c r="A75" s="30">
        <v>86518.042196602561</v>
      </c>
      <c r="C75"/>
      <c r="D75"/>
      <c r="E75"/>
    </row>
    <row r="76" spans="1:5" x14ac:dyDescent="0.25">
      <c r="A76" s="30">
        <v>82398.135425335771</v>
      </c>
      <c r="E76"/>
    </row>
    <row r="77" spans="1:5" x14ac:dyDescent="0.25">
      <c r="A77" s="30">
        <v>78474.414690795966</v>
      </c>
      <c r="C77" s="1" t="s">
        <v>13</v>
      </c>
      <c r="E77"/>
    </row>
    <row r="78" spans="1:5" x14ac:dyDescent="0.25">
      <c r="A78" s="30">
        <v>74737.537800758058</v>
      </c>
      <c r="C78" s="1">
        <f>C67</f>
        <v>0</v>
      </c>
      <c r="E78"/>
    </row>
    <row r="79" spans="1:5" x14ac:dyDescent="0.25">
      <c r="A79" s="30">
        <v>71178.607429293392</v>
      </c>
      <c r="C79"/>
      <c r="E79"/>
    </row>
    <row r="80" spans="1:5" x14ac:dyDescent="0.25">
      <c r="A80" s="30">
        <v>67789.149932660366</v>
      </c>
      <c r="C80" s="1" t="s">
        <v>14</v>
      </c>
      <c r="E80"/>
    </row>
    <row r="81" spans="1:5" x14ac:dyDescent="0.25">
      <c r="A81" s="30">
        <v>64561.095173962254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61486.757308535474</v>
      </c>
      <c r="E82"/>
    </row>
    <row r="83" spans="1:5" x14ac:dyDescent="0.25">
      <c r="A83" s="30">
        <v>58558.816484319497</v>
      </c>
      <c r="E83"/>
    </row>
    <row r="84" spans="1:5" x14ac:dyDescent="0.25">
      <c r="A84" s="30">
        <v>55770.301413637615</v>
      </c>
      <c r="E84"/>
    </row>
    <row r="85" spans="1:5" x14ac:dyDescent="0.25">
      <c r="A85" s="30">
        <v>53114.572774892964</v>
      </c>
      <c r="E85"/>
    </row>
    <row r="86" spans="1:5" x14ac:dyDescent="0.25">
      <c r="A86" s="30">
        <v>50585.307404659965</v>
      </c>
      <c r="E86"/>
    </row>
    <row r="87" spans="1:5" x14ac:dyDescent="0.25">
      <c r="A87" s="30">
        <v>48176.483242533301</v>
      </c>
      <c r="E87"/>
    </row>
    <row r="88" spans="1:5" x14ac:dyDescent="0.25">
      <c r="A88" s="30">
        <v>45882.364992888855</v>
      </c>
      <c r="E88"/>
    </row>
    <row r="89" spans="1:5" x14ac:dyDescent="0.25">
      <c r="A89" s="30">
        <v>43697.490469417957</v>
      </c>
      <c r="E89"/>
    </row>
    <row r="90" spans="1:5" x14ac:dyDescent="0.25">
      <c r="A90" s="30">
        <v>41616.657589921859</v>
      </c>
      <c r="E90"/>
    </row>
    <row r="91" spans="1:5" x14ac:dyDescent="0.25">
      <c r="A91" s="30">
        <v>39634.911990401772</v>
      </c>
      <c r="E91"/>
    </row>
    <row r="92" spans="1:5" x14ac:dyDescent="0.25">
      <c r="A92" s="30">
        <v>37747.535228954068</v>
      </c>
      <c r="E92"/>
    </row>
    <row r="93" spans="1:5" x14ac:dyDescent="0.25">
      <c r="A93" s="30">
        <v>35950.033551384826</v>
      </c>
      <c r="E93"/>
    </row>
    <row r="94" spans="1:5" x14ac:dyDescent="0.25">
      <c r="A94" s="30">
        <v>34238.127191795073</v>
      </c>
      <c r="E94"/>
    </row>
    <row r="95" spans="1:5" x14ac:dyDescent="0.25">
      <c r="A95" s="30">
        <v>32607.740182661972</v>
      </c>
      <c r="E95"/>
    </row>
    <row r="96" spans="1:5" x14ac:dyDescent="0.25">
      <c r="A96" s="30">
        <v>31054.990650154257</v>
      </c>
      <c r="C96" s="1" t="s">
        <v>15</v>
      </c>
      <c r="E96"/>
    </row>
    <row r="97" spans="1:5" x14ac:dyDescent="0.25">
      <c r="A97" s="30">
        <v>29576.181571575482</v>
      </c>
      <c r="C97" s="7">
        <v>0.11686133436193799</v>
      </c>
      <c r="D97"/>
      <c r="E97"/>
    </row>
    <row r="98" spans="1:5" x14ac:dyDescent="0.25">
      <c r="A98" s="30">
        <v>28167.79197292903</v>
      </c>
      <c r="E98"/>
    </row>
    <row r="99" spans="1:5" x14ac:dyDescent="0.25">
      <c r="A99" s="30">
        <v>26826.468545646694</v>
      </c>
      <c r="C99" s="1" t="s">
        <v>11</v>
      </c>
      <c r="D99" s="1" t="s">
        <v>12</v>
      </c>
      <c r="E99"/>
    </row>
    <row r="100" spans="1:5" x14ac:dyDescent="0.25">
      <c r="A100" s="30">
        <v>25549.017662520659</v>
      </c>
      <c r="C100"/>
      <c r="D100"/>
      <c r="E100"/>
    </row>
    <row r="101" spans="1:5" x14ac:dyDescent="0.25">
      <c r="A101" s="30">
        <v>24332.397773829198</v>
      </c>
      <c r="E101"/>
    </row>
    <row r="102" spans="1:5" x14ac:dyDescent="0.25">
      <c r="A102" s="30">
        <v>23173.712165551617</v>
      </c>
      <c r="C102" s="1" t="s">
        <v>13</v>
      </c>
      <c r="E102"/>
    </row>
    <row r="103" spans="1:5" x14ac:dyDescent="0.25">
      <c r="A103" s="30">
        <v>22070.202062430111</v>
      </c>
      <c r="C103" s="1">
        <f>C92</f>
        <v>0</v>
      </c>
      <c r="E103"/>
    </row>
    <row r="104" spans="1:5" x14ac:dyDescent="0.25">
      <c r="A104" s="30">
        <v>21019.240059457246</v>
      </c>
      <c r="C104"/>
      <c r="E104"/>
    </row>
    <row r="105" spans="1:5" x14ac:dyDescent="0.25">
      <c r="A105" s="30">
        <v>20018.323866149756</v>
      </c>
      <c r="C105" s="1" t="s">
        <v>14</v>
      </c>
      <c r="E105"/>
    </row>
    <row r="106" spans="1:5" x14ac:dyDescent="0.25">
      <c r="A106" s="30">
        <v>19065.070348714053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18157.209855918143</v>
      </c>
      <c r="E107"/>
    </row>
    <row r="108" spans="1:5" x14ac:dyDescent="0.25">
      <c r="A108" s="30">
        <v>17292.580815160134</v>
      </c>
      <c r="E108"/>
    </row>
    <row r="109" spans="1:5" x14ac:dyDescent="0.25">
      <c r="A109" s="30">
        <v>16469.124585866793</v>
      </c>
      <c r="E109"/>
    </row>
    <row r="110" spans="1:5" x14ac:dyDescent="0.25">
      <c r="A110" s="30">
        <v>15684.880557968376</v>
      </c>
      <c r="E110"/>
    </row>
    <row r="111" spans="1:5" x14ac:dyDescent="0.25">
      <c r="A111" s="30">
        <v>14937.981483779406</v>
      </c>
      <c r="C111" s="1" t="str">
        <f>ADDRESS(C121-1,1,1,1)</f>
        <v>$A$307</v>
      </c>
      <c r="D111" s="1" t="str">
        <f>ADDRESS(C121-1,D121,1,1)</f>
        <v>$E$307</v>
      </c>
      <c r="E111"/>
    </row>
    <row r="112" spans="1:5" x14ac:dyDescent="0.25">
      <c r="A112" s="30">
        <v>14226.649032170862</v>
      </c>
      <c r="C112" s="1" t="str">
        <f>ADDRESS(C121,1,1,1)</f>
        <v>$A$308</v>
      </c>
      <c r="D112" s="1" t="str">
        <f>ADDRESS(C121,D121-1,1,1)</f>
        <v>$D$308</v>
      </c>
      <c r="E112"/>
    </row>
    <row r="113" spans="1:5" x14ac:dyDescent="0.25">
      <c r="A113" s="30">
        <v>13549.18955444844</v>
      </c>
      <c r="C113" s="1" t="str">
        <f>ADDRESS(C121+1,1,1,1)</f>
        <v>$A$309</v>
      </c>
      <c r="D113" s="1" t="str">
        <f>ADDRESS(C121-1,D121+1,1,1)</f>
        <v>$F$307</v>
      </c>
    </row>
    <row r="114" spans="1:5" x14ac:dyDescent="0.25">
      <c r="A114" s="30">
        <v>12903.990051855657</v>
      </c>
      <c r="C114" s="1" t="str">
        <f>ADDRESS(C121,D121,1,1)</f>
        <v>$E$308</v>
      </c>
      <c r="D114" s="1" t="str">
        <f>ADDRESS(C121+1,D121+1,1,1)</f>
        <v>$F$309</v>
      </c>
    </row>
    <row r="115" spans="1:5" x14ac:dyDescent="0.25">
      <c r="A115" s="30">
        <v>12289.514335100625</v>
      </c>
      <c r="C115" s="1" t="str">
        <f>ADDRESS(C121+1,D121,1,1)</f>
        <v>$E$309</v>
      </c>
    </row>
    <row r="116" spans="1:5" x14ac:dyDescent="0.25">
      <c r="A116" s="30">
        <v>11704.2993667625</v>
      </c>
      <c r="C116" s="1">
        <f>C117-1</f>
        <v>307</v>
      </c>
    </row>
    <row r="117" spans="1:5" x14ac:dyDescent="0.25">
      <c r="A117" s="30">
        <v>11146.951777869046</v>
      </c>
      <c r="C117" s="1">
        <f>C121</f>
        <v>308</v>
      </c>
      <c r="D117" s="1">
        <f>D121</f>
        <v>5</v>
      </c>
    </row>
    <row r="118" spans="1:5" x14ac:dyDescent="0.25">
      <c r="A118" s="30">
        <v>10616.144550351471</v>
      </c>
      <c r="C118" s="1">
        <f>C117+1</f>
        <v>309</v>
      </c>
      <c r="D118" s="1">
        <f>D117+1</f>
        <v>6</v>
      </c>
    </row>
    <row r="119" spans="1:5" x14ac:dyDescent="0.25">
      <c r="A119" s="30">
        <v>10110.613857477592</v>
      </c>
    </row>
    <row r="120" spans="1:5" x14ac:dyDescent="0.25">
      <c r="A120" s="30">
        <v>9629.1560547405643</v>
      </c>
      <c r="C120" s="1" t="s">
        <v>9</v>
      </c>
    </row>
    <row r="121" spans="1:5" x14ac:dyDescent="0.25">
      <c r="A121" s="30">
        <v>9170.6248140386324</v>
      </c>
      <c r="C121" s="18">
        <v>308</v>
      </c>
      <c r="D121" s="19">
        <v>5</v>
      </c>
      <c r="E121" s="19"/>
    </row>
    <row r="122" spans="1:5" x14ac:dyDescent="0.25">
      <c r="A122" s="30">
        <v>8733.9283943225073</v>
      </c>
      <c r="C122" s="1" t="str">
        <f>INDEX(1:1048576,C117,D117)</f>
        <v>X</v>
      </c>
    </row>
    <row r="123" spans="1:5" x14ac:dyDescent="0.25">
      <c r="A123" s="30">
        <v>8318.027042211912</v>
      </c>
      <c r="C123" s="1" t="str">
        <f>"R"&amp;C121</f>
        <v>R308</v>
      </c>
      <c r="D123" s="1" t="str">
        <f>"C"&amp;D121</f>
        <v>C5</v>
      </c>
    </row>
    <row r="124" spans="1:5" x14ac:dyDescent="0.25">
      <c r="A124" s="30">
        <v>7921.9305163922963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7544.6957298974248</v>
      </c>
    </row>
    <row r="126" spans="1:5" x14ac:dyDescent="0.25">
      <c r="A126" s="30">
        <v>7185.4245046642136</v>
      </c>
      <c r="C126" s="1" t="s">
        <v>10</v>
      </c>
    </row>
    <row r="127" spans="1:5" x14ac:dyDescent="0.25">
      <c r="A127" s="30">
        <v>6843.2614330135366</v>
      </c>
      <c r="C127" s="7">
        <v>1</v>
      </c>
      <c r="D127"/>
    </row>
    <row r="128" spans="1:5" x14ac:dyDescent="0.25">
      <c r="A128" s="30">
        <v>6517.3918409652724</v>
      </c>
    </row>
    <row r="129" spans="1:5" x14ac:dyDescent="0.25">
      <c r="A129" s="30">
        <v>6207.0398485383548</v>
      </c>
      <c r="C129" s="1" t="s">
        <v>11</v>
      </c>
      <c r="D129" s="1" t="s">
        <v>12</v>
      </c>
      <c r="E129"/>
    </row>
    <row r="130" spans="1:5" x14ac:dyDescent="0.25">
      <c r="A130" s="30">
        <v>5911.4665224174805</v>
      </c>
      <c r="C130"/>
      <c r="D130"/>
      <c r="E130"/>
    </row>
    <row r="131" spans="1:5" x14ac:dyDescent="0.25">
      <c r="A131" s="30">
        <v>5629.9681165880766</v>
      </c>
      <c r="E131"/>
    </row>
    <row r="132" spans="1:5" x14ac:dyDescent="0.25">
      <c r="A132" s="30">
        <v>5361.8743967505488</v>
      </c>
      <c r="C132" s="1" t="s">
        <v>13</v>
      </c>
      <c r="E132"/>
    </row>
    <row r="133" spans="1:5" x14ac:dyDescent="0.25">
      <c r="A133" s="30">
        <v>5106.5470445243318</v>
      </c>
      <c r="C133" s="1" t="str">
        <f>C122</f>
        <v>X</v>
      </c>
      <c r="E133"/>
    </row>
    <row r="134" spans="1:5" x14ac:dyDescent="0.25">
      <c r="A134" s="30">
        <v>4863.3781376422203</v>
      </c>
      <c r="C134"/>
      <c r="E134"/>
    </row>
    <row r="135" spans="1:5" x14ac:dyDescent="0.25">
      <c r="A135" s="30">
        <v>4631.7887025164</v>
      </c>
      <c r="C135" s="1" t="s">
        <v>14</v>
      </c>
      <c r="E135"/>
    </row>
    <row r="136" spans="1:5" x14ac:dyDescent="0.25">
      <c r="A136" s="30">
        <v>4411.2273357299046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4201.1688911713372</v>
      </c>
      <c r="E137"/>
    </row>
    <row r="138" spans="1:5" x14ac:dyDescent="0.25">
      <c r="A138" s="30">
        <v>4001.1132296869878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3810.5840282733216</v>
      </c>
      <c r="E139"/>
    </row>
    <row r="140" spans="1:5" x14ac:dyDescent="0.25">
      <c r="A140" s="30">
        <v>3629.1276459745918</v>
      </c>
      <c r="C140" s="1">
        <v>0</v>
      </c>
      <c r="E140"/>
    </row>
    <row r="141" spans="1:5" x14ac:dyDescent="0.25">
      <c r="A141" s="30">
        <v>3456.3120437853254</v>
      </c>
      <c r="C141" s="1">
        <v>1</v>
      </c>
      <c r="E141"/>
    </row>
    <row r="142" spans="1:5" x14ac:dyDescent="0.25">
      <c r="A142" s="30">
        <v>3291.7257559860241</v>
      </c>
      <c r="C142" s="1">
        <v>2</v>
      </c>
      <c r="E142"/>
    </row>
    <row r="143" spans="1:5" x14ac:dyDescent="0.25">
      <c r="A143" s="30">
        <v>3134.9769104628799</v>
      </c>
      <c r="C143" s="1">
        <v>3</v>
      </c>
      <c r="E143"/>
    </row>
    <row r="144" spans="1:5" x14ac:dyDescent="0.25">
      <c r="A144" s="30">
        <v>2985.6922956789331</v>
      </c>
      <c r="C144" s="1">
        <v>4</v>
      </c>
      <c r="E144"/>
    </row>
    <row r="145" spans="1:5" x14ac:dyDescent="0.25">
      <c r="A145" s="30">
        <v>2843.5164720751741</v>
      </c>
      <c r="E145"/>
    </row>
    <row r="146" spans="1:5" x14ac:dyDescent="0.25">
      <c r="A146" s="30">
        <v>2708.1109257858798</v>
      </c>
      <c r="E146"/>
    </row>
    <row r="147" spans="1:5" x14ac:dyDescent="0.25">
      <c r="A147" s="30">
        <v>2579.1532626532189</v>
      </c>
      <c r="E147"/>
    </row>
    <row r="148" spans="1:5" x14ac:dyDescent="0.25">
      <c r="A148" s="30">
        <v>2456.3364406221131</v>
      </c>
      <c r="E148"/>
    </row>
    <row r="149" spans="1:5" x14ac:dyDescent="0.25">
      <c r="A149" s="30">
        <v>2339.3680386877268</v>
      </c>
      <c r="E149"/>
    </row>
    <row r="150" spans="1:5" x14ac:dyDescent="0.25">
      <c r="A150" s="30">
        <v>2227.9695606549776</v>
      </c>
      <c r="E150"/>
    </row>
    <row r="151" spans="1:5" x14ac:dyDescent="0.25">
      <c r="A151" s="30">
        <v>2121.8757720523595</v>
      </c>
      <c r="E151"/>
    </row>
    <row r="152" spans="1:5" x14ac:dyDescent="0.25">
      <c r="A152" s="30">
        <v>2020.8340686212948</v>
      </c>
      <c r="E152"/>
    </row>
    <row r="153" spans="1:5" x14ac:dyDescent="0.25">
      <c r="A153" s="30">
        <v>1924.6038748774236</v>
      </c>
      <c r="C153" s="7"/>
      <c r="D153"/>
      <c r="E153"/>
    </row>
    <row r="154" spans="1:5" x14ac:dyDescent="0.25">
      <c r="A154" s="30">
        <v>1832.9560713118319</v>
      </c>
      <c r="E154"/>
    </row>
    <row r="155" spans="1:5" x14ac:dyDescent="0.25">
      <c r="A155" s="30">
        <v>1745.6724488684113</v>
      </c>
      <c r="E155"/>
    </row>
    <row r="156" spans="1:5" x14ac:dyDescent="0.25">
      <c r="A156" s="30">
        <v>1662.5451893984869</v>
      </c>
      <c r="C156"/>
      <c r="D156"/>
      <c r="E156"/>
    </row>
    <row r="157" spans="1:5" x14ac:dyDescent="0.25">
      <c r="A157" s="30">
        <v>1583.3763708557017</v>
      </c>
      <c r="E157"/>
    </row>
    <row r="158" spans="1:5" x14ac:dyDescent="0.25">
      <c r="A158" s="30">
        <v>1507.9774960530492</v>
      </c>
      <c r="E158"/>
    </row>
    <row r="159" spans="1:5" x14ac:dyDescent="0.25">
      <c r="A159" s="30">
        <v>1436.1690438600467</v>
      </c>
      <c r="E159"/>
    </row>
    <row r="160" spans="1:5" x14ac:dyDescent="0.25">
      <c r="A160" s="30">
        <v>1367.780041771473</v>
      </c>
      <c r="C160"/>
      <c r="E160"/>
    </row>
    <row r="161" spans="1:5" x14ac:dyDescent="0.25">
      <c r="A161" s="30">
        <v>1302.6476588299743</v>
      </c>
      <c r="E161"/>
    </row>
    <row r="162" spans="1:5" x14ac:dyDescent="0.25">
      <c r="A162" s="30">
        <v>1240.6168179333088</v>
      </c>
      <c r="E162"/>
    </row>
    <row r="163" spans="1:5" x14ac:dyDescent="0.25">
      <c r="A163" s="30">
        <v>1181.5398266031511</v>
      </c>
      <c r="E163"/>
    </row>
    <row r="164" spans="1:5" x14ac:dyDescent="0.25">
      <c r="A164" s="30">
        <v>1125.2760253363344</v>
      </c>
      <c r="E164"/>
    </row>
    <row r="165" spans="1:5" x14ac:dyDescent="0.25">
      <c r="A165" s="30">
        <v>1071.6914527012709</v>
      </c>
      <c r="E165"/>
    </row>
    <row r="166" spans="1:5" x14ac:dyDescent="0.25">
      <c r="A166" s="30">
        <v>1020.6585263821628</v>
      </c>
      <c r="E166"/>
    </row>
    <row r="167" spans="1:5" x14ac:dyDescent="0.25">
      <c r="A167" s="30">
        <v>972.05573941158355</v>
      </c>
      <c r="E167"/>
    </row>
    <row r="168" spans="1:5" x14ac:dyDescent="0.25">
      <c r="A168" s="30">
        <v>925.76737086817479</v>
      </c>
      <c r="E168"/>
    </row>
    <row r="169" spans="1:5" x14ac:dyDescent="0.25">
      <c r="A169" s="30">
        <v>881.68321035064264</v>
      </c>
      <c r="E169"/>
    </row>
    <row r="170" spans="1:5" x14ac:dyDescent="0.25">
      <c r="A170" s="30">
        <v>839.69829557204059</v>
      </c>
      <c r="E170"/>
    </row>
    <row r="171" spans="1:5" x14ac:dyDescent="0.25">
      <c r="A171" s="30">
        <v>799.71266244956246</v>
      </c>
      <c r="E171"/>
    </row>
    <row r="172" spans="1:5" x14ac:dyDescent="0.25">
      <c r="A172" s="30">
        <v>761.63110709482135</v>
      </c>
      <c r="E172"/>
    </row>
    <row r="173" spans="1:5" x14ac:dyDescent="0.25">
      <c r="A173" s="30">
        <v>725.36295913792503</v>
      </c>
      <c r="E173"/>
    </row>
    <row r="174" spans="1:5" x14ac:dyDescent="0.25">
      <c r="A174" s="30">
        <v>690.82186584564283</v>
      </c>
      <c r="E174"/>
    </row>
    <row r="175" spans="1:5" x14ac:dyDescent="0.25">
      <c r="A175" s="30">
        <v>657.92558651965976</v>
      </c>
      <c r="E175"/>
    </row>
    <row r="176" spans="1:5" x14ac:dyDescent="0.25">
      <c r="A176" s="30">
        <v>626.59579668539027</v>
      </c>
      <c r="E176"/>
    </row>
    <row r="177" spans="1:5" x14ac:dyDescent="0.25">
      <c r="A177" s="30">
        <v>596.75790160513361</v>
      </c>
      <c r="E177"/>
    </row>
    <row r="178" spans="1:5" x14ac:dyDescent="0.25">
      <c r="A178" s="30">
        <v>568.34085867155579</v>
      </c>
      <c r="C178" s="7"/>
      <c r="D178"/>
      <c r="E178"/>
    </row>
    <row r="179" spans="1:5" x14ac:dyDescent="0.25">
      <c r="A179" s="30">
        <v>541.27700825862451</v>
      </c>
      <c r="E179"/>
    </row>
    <row r="180" spans="1:5" x14ac:dyDescent="0.25">
      <c r="A180" s="30">
        <v>515.50191262726139</v>
      </c>
      <c r="E180"/>
    </row>
    <row r="181" spans="1:5" x14ac:dyDescent="0.25">
      <c r="A181" s="30">
        <v>490.95420250215363</v>
      </c>
      <c r="C181"/>
      <c r="D181"/>
      <c r="E181"/>
    </row>
    <row r="182" spans="1:5" x14ac:dyDescent="0.25">
      <c r="A182" s="30">
        <v>467.57543095443202</v>
      </c>
      <c r="E182"/>
    </row>
    <row r="183" spans="1:5" x14ac:dyDescent="0.25">
      <c r="A183" s="30">
        <v>445.30993424231622</v>
      </c>
      <c r="E183"/>
    </row>
    <row r="184" spans="1:5" x14ac:dyDescent="0.25">
      <c r="A184" s="30">
        <v>424.10469927839637</v>
      </c>
      <c r="E184"/>
    </row>
    <row r="185" spans="1:5" x14ac:dyDescent="0.25">
      <c r="A185" s="30">
        <v>403.9092374079965</v>
      </c>
      <c r="C185"/>
      <c r="E185"/>
    </row>
    <row r="186" spans="1:5" x14ac:dyDescent="0.25">
      <c r="A186" s="30">
        <v>384.6754641980919</v>
      </c>
      <c r="E186"/>
    </row>
    <row r="187" spans="1:5" x14ac:dyDescent="0.25">
      <c r="A187" s="30">
        <v>366.35758495056371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348.91198566720351</v>
      </c>
      <c r="E188"/>
    </row>
    <row r="189" spans="1:5" x14ac:dyDescent="0.25">
      <c r="A189" s="30">
        <v>332.29712920686046</v>
      </c>
      <c r="E189"/>
    </row>
    <row r="190" spans="1:5" x14ac:dyDescent="0.25">
      <c r="A190" s="30">
        <v>316.47345638748612</v>
      </c>
      <c r="E190"/>
    </row>
    <row r="191" spans="1:5" x14ac:dyDescent="0.25">
      <c r="A191" s="30">
        <v>301.40329179760585</v>
      </c>
      <c r="E191"/>
    </row>
    <row r="192" spans="1:5" x14ac:dyDescent="0.25">
      <c r="A192" s="30">
        <v>287.05075409295796</v>
      </c>
      <c r="E192"/>
    </row>
    <row r="193" spans="1:5" x14ac:dyDescent="0.25">
      <c r="A193" s="30">
        <v>273.38167056472184</v>
      </c>
      <c r="E193"/>
    </row>
    <row r="194" spans="1:5" x14ac:dyDescent="0.25">
      <c r="A194" s="30">
        <v>260.36349577592557</v>
      </c>
      <c r="E194"/>
    </row>
    <row r="195" spans="1:5" x14ac:dyDescent="0.25">
      <c r="A195" s="30">
        <v>247.96523407231004</v>
      </c>
      <c r="E195"/>
    </row>
    <row r="196" spans="1:5" x14ac:dyDescent="0.25">
      <c r="A196" s="30">
        <v>236.15736578315241</v>
      </c>
      <c r="E196"/>
    </row>
    <row r="197" spans="1:5" x14ac:dyDescent="0.25">
      <c r="A197" s="30">
        <v>224.91177693633563</v>
      </c>
      <c r="E197"/>
    </row>
    <row r="198" spans="1:5" x14ac:dyDescent="0.25">
      <c r="A198" s="30">
        <v>214.20169232031964</v>
      </c>
      <c r="E198"/>
    </row>
    <row r="199" spans="1:5" x14ac:dyDescent="0.25">
      <c r="A199" s="30">
        <v>204.00161173363773</v>
      </c>
      <c r="E199"/>
    </row>
    <row r="200" spans="1:5" x14ac:dyDescent="0.25">
      <c r="A200" s="30">
        <v>194.28724927013116</v>
      </c>
      <c r="E200"/>
    </row>
    <row r="201" spans="1:5" x14ac:dyDescent="0.25">
      <c r="A201" s="30">
        <v>185.03547549536299</v>
      </c>
      <c r="E201"/>
    </row>
    <row r="202" spans="1:5" x14ac:dyDescent="0.25">
      <c r="A202" s="30">
        <v>176.22426237653616</v>
      </c>
      <c r="E202"/>
    </row>
    <row r="203" spans="1:5" x14ac:dyDescent="0.25">
      <c r="A203" s="30">
        <v>167.83263083479633</v>
      </c>
      <c r="C203" s="7"/>
      <c r="D203"/>
      <c r="E203"/>
    </row>
    <row r="204" spans="1:5" x14ac:dyDescent="0.25">
      <c r="A204" s="30">
        <v>159.84060079504411</v>
      </c>
      <c r="E204"/>
    </row>
    <row r="205" spans="1:5" x14ac:dyDescent="0.25">
      <c r="A205" s="30">
        <v>152.22914361432771</v>
      </c>
      <c r="E205"/>
    </row>
    <row r="206" spans="1:5" x14ac:dyDescent="0.25">
      <c r="A206" s="30">
        <v>144.98013677555019</v>
      </c>
      <c r="C206"/>
      <c r="D206"/>
      <c r="E206"/>
    </row>
    <row r="207" spans="1:5" x14ac:dyDescent="0.25">
      <c r="A207" s="30">
        <v>138.07632073861922</v>
      </c>
      <c r="E207"/>
    </row>
    <row r="208" spans="1:5" x14ac:dyDescent="0.25">
      <c r="A208" s="30">
        <v>131.50125784630401</v>
      </c>
      <c r="E208"/>
    </row>
    <row r="209" spans="1:5" x14ac:dyDescent="0.25">
      <c r="A209" s="30">
        <v>125.23929318695619</v>
      </c>
      <c r="E209"/>
    </row>
    <row r="210" spans="1:5" x14ac:dyDescent="0.25">
      <c r="A210" s="30">
        <v>119.27551732091065</v>
      </c>
      <c r="C210"/>
      <c r="E210"/>
    </row>
    <row r="211" spans="1:5" x14ac:dyDescent="0.25">
      <c r="A211" s="30">
        <v>113.59573078181967</v>
      </c>
      <c r="E211"/>
    </row>
    <row r="212" spans="1:5" x14ac:dyDescent="0.25">
      <c r="A212" s="30">
        <v>108.18641026839968</v>
      </c>
      <c r="E212"/>
    </row>
    <row r="213" spans="1:5" x14ac:dyDescent="0.25">
      <c r="A213" s="30">
        <v>103.03467644609493</v>
      </c>
      <c r="E213"/>
    </row>
    <row r="214" spans="1:5" x14ac:dyDescent="0.25">
      <c r="A214" s="30">
        <v>98.128263281995174</v>
      </c>
      <c r="E214"/>
    </row>
    <row r="215" spans="1:5" x14ac:dyDescent="0.25">
      <c r="A215" s="30">
        <v>93.455488839995397</v>
      </c>
      <c r="E215"/>
    </row>
    <row r="216" spans="1:5" x14ac:dyDescent="0.25">
      <c r="A216" s="30">
        <v>89.005227466662276</v>
      </c>
      <c r="E216"/>
    </row>
    <row r="217" spans="1:5" x14ac:dyDescent="0.25">
      <c r="A217" s="30">
        <v>84.766883301583121</v>
      </c>
      <c r="E217"/>
    </row>
    <row r="218" spans="1:5" x14ac:dyDescent="0.25">
      <c r="A218" s="30">
        <v>80.730365049126775</v>
      </c>
      <c r="E218"/>
    </row>
    <row r="219" spans="1:5" x14ac:dyDescent="0.25">
      <c r="A219" s="30">
        <v>76.886061951549308</v>
      </c>
      <c r="E219"/>
    </row>
    <row r="220" spans="1:5" x14ac:dyDescent="0.25">
      <c r="A220" s="30">
        <v>73.22482090623744</v>
      </c>
      <c r="E220"/>
    </row>
    <row r="221" spans="1:5" x14ac:dyDescent="0.25">
      <c r="A221" s="30">
        <v>69.737924672607079</v>
      </c>
      <c r="E221"/>
    </row>
    <row r="222" spans="1:5" x14ac:dyDescent="0.25">
      <c r="A222" s="30">
        <v>66.417071116768639</v>
      </c>
      <c r="E222"/>
    </row>
    <row r="223" spans="1:5" x14ac:dyDescent="0.25">
      <c r="A223" s="30">
        <v>63.254353444541557</v>
      </c>
      <c r="E223"/>
    </row>
    <row r="224" spans="1:5" x14ac:dyDescent="0.25">
      <c r="A224" s="30">
        <v>60.242241375753864</v>
      </c>
      <c r="E224"/>
    </row>
    <row r="225" spans="1:5" x14ac:dyDescent="0.25">
      <c r="A225" s="30">
        <v>57.373563215003678</v>
      </c>
      <c r="E225"/>
    </row>
    <row r="226" spans="1:5" x14ac:dyDescent="0.25">
      <c r="A226" s="30">
        <v>54.641488776193974</v>
      </c>
      <c r="E226"/>
    </row>
    <row r="227" spans="1:5" x14ac:dyDescent="0.25">
      <c r="A227" s="30">
        <v>52.039513120184736</v>
      </c>
      <c r="E227"/>
    </row>
    <row r="228" spans="1:5" x14ac:dyDescent="0.25">
      <c r="A228" s="30">
        <v>49.561441066842605</v>
      </c>
      <c r="C228" s="7"/>
      <c r="D228"/>
      <c r="E228"/>
    </row>
    <row r="229" spans="1:5" x14ac:dyDescent="0.25">
      <c r="A229" s="30">
        <v>47.201372444612005</v>
      </c>
      <c r="E229"/>
    </row>
    <row r="230" spans="1:5" x14ac:dyDescent="0.25">
      <c r="A230" s="30">
        <v>44.95368804248762</v>
      </c>
      <c r="E230"/>
    </row>
    <row r="231" spans="1:5" x14ac:dyDescent="0.25">
      <c r="A231" s="30">
        <v>42.81303623094059</v>
      </c>
      <c r="C231"/>
      <c r="D231"/>
      <c r="E231"/>
    </row>
    <row r="232" spans="1:5" x14ac:dyDescent="0.25">
      <c r="A232" s="30">
        <v>40.774320219943419</v>
      </c>
      <c r="E232"/>
    </row>
    <row r="233" spans="1:5" x14ac:dyDescent="0.25">
      <c r="A233" s="30">
        <v>38.832685923755633</v>
      </c>
      <c r="E233"/>
    </row>
    <row r="234" spans="1:5" x14ac:dyDescent="0.25">
      <c r="A234" s="30">
        <v>36.983510403576794</v>
      </c>
      <c r="E234"/>
    </row>
    <row r="235" spans="1:5" x14ac:dyDescent="0.25">
      <c r="A235" s="30">
        <v>35.222390860549325</v>
      </c>
      <c r="C235"/>
      <c r="E235"/>
    </row>
    <row r="236" spans="1:5" x14ac:dyDescent="0.25">
      <c r="A236" s="30">
        <v>33.545134152904119</v>
      </c>
      <c r="E236"/>
    </row>
    <row r="237" spans="1:5" x14ac:dyDescent="0.25">
      <c r="A237" s="30">
        <v>31.947746812289637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30.426425535513939</v>
      </c>
      <c r="E238"/>
    </row>
    <row r="239" spans="1:5" x14ac:dyDescent="0.25">
      <c r="A239" s="30">
        <v>28.977548129060892</v>
      </c>
      <c r="E239"/>
    </row>
    <row r="240" spans="1:5" x14ac:dyDescent="0.25">
      <c r="A240" s="30">
        <v>27.597664884819896</v>
      </c>
      <c r="E240" s="29"/>
    </row>
    <row r="241" spans="1:5" x14ac:dyDescent="0.25">
      <c r="A241" s="30">
        <v>26.283490366495137</v>
      </c>
      <c r="B241"/>
      <c r="C241"/>
      <c r="D241"/>
      <c r="E241"/>
    </row>
    <row r="242" spans="1:5" x14ac:dyDescent="0.25">
      <c r="A242" s="30">
        <v>25.031895587138223</v>
      </c>
      <c r="B242"/>
      <c r="C242"/>
      <c r="D242"/>
      <c r="E242"/>
    </row>
    <row r="243" spans="1:5" x14ac:dyDescent="0.25">
      <c r="A243" s="30">
        <v>23.839900559179259</v>
      </c>
      <c r="B243"/>
      <c r="C243"/>
      <c r="D243"/>
      <c r="E243"/>
    </row>
    <row r="244" spans="1:5" x14ac:dyDescent="0.25">
      <c r="A244" s="30">
        <v>22.704667199218342</v>
      </c>
      <c r="B244"/>
      <c r="C244"/>
      <c r="D244"/>
      <c r="E244"/>
    </row>
    <row r="245" spans="1:5" x14ac:dyDescent="0.25">
      <c r="A245" s="30">
        <v>21.623492570684135</v>
      </c>
      <c r="B245"/>
      <c r="C245"/>
      <c r="D245"/>
      <c r="E245"/>
    </row>
    <row r="246" spans="1:5" x14ac:dyDescent="0.25">
      <c r="A246" s="30">
        <v>20.593802448270605</v>
      </c>
      <c r="B246"/>
      <c r="C246"/>
      <c r="D246"/>
      <c r="E246"/>
    </row>
    <row r="247" spans="1:5" x14ac:dyDescent="0.25">
      <c r="A247" s="30">
        <v>19.613145188829147</v>
      </c>
      <c r="B247"/>
      <c r="C247"/>
      <c r="D247"/>
      <c r="E247"/>
    </row>
    <row r="248" spans="1:5" x14ac:dyDescent="0.25">
      <c r="A248" s="30">
        <v>18.679185894122998</v>
      </c>
      <c r="B248"/>
      <c r="C248"/>
      <c r="D248"/>
      <c r="E248"/>
    </row>
    <row r="249" spans="1:5" x14ac:dyDescent="0.25">
      <c r="A249" s="30">
        <v>17.78970085154571</v>
      </c>
      <c r="B249"/>
      <c r="C249"/>
      <c r="D249"/>
      <c r="E249"/>
    </row>
    <row r="250" spans="1:5" x14ac:dyDescent="0.25">
      <c r="A250" s="30">
        <v>16.942572239567344</v>
      </c>
      <c r="B250"/>
      <c r="C250"/>
      <c r="D250"/>
      <c r="E250"/>
    </row>
    <row r="251" spans="1:5" x14ac:dyDescent="0.25">
      <c r="A251" s="30">
        <v>16.135783085302233</v>
      </c>
      <c r="B251"/>
      <c r="C251"/>
      <c r="D251"/>
      <c r="E251"/>
    </row>
    <row r="252" spans="1:5" x14ac:dyDescent="0.25">
      <c r="A252" s="30">
        <v>15.367412462192602</v>
      </c>
      <c r="B252"/>
      <c r="C252"/>
      <c r="D252"/>
      <c r="E252"/>
    </row>
    <row r="253" spans="1:5" x14ac:dyDescent="0.25">
      <c r="A253" s="30">
        <v>14.635630916373906</v>
      </c>
      <c r="B253"/>
      <c r="C253"/>
      <c r="D253"/>
      <c r="E253"/>
    </row>
    <row r="254" spans="1:5" x14ac:dyDescent="0.25">
      <c r="A254" s="30">
        <v>13.938696110832291</v>
      </c>
      <c r="B254"/>
      <c r="C254"/>
      <c r="D254"/>
      <c r="E254"/>
    </row>
    <row r="255" spans="1:5" x14ac:dyDescent="0.25">
      <c r="A255" s="30">
        <v>13.274948676983135</v>
      </c>
      <c r="E255"/>
    </row>
    <row r="256" spans="1:5" x14ac:dyDescent="0.25">
      <c r="A256" s="30">
        <v>12.64280826379346</v>
      </c>
      <c r="E256"/>
    </row>
    <row r="257" spans="1:5" x14ac:dyDescent="0.25">
      <c r="A257" s="30">
        <v>12.04076977504139</v>
      </c>
      <c r="B257"/>
      <c r="C257"/>
      <c r="D257"/>
      <c r="E257"/>
    </row>
    <row r="258" spans="1:5" x14ac:dyDescent="0.25">
      <c r="A258" s="30">
        <v>11.467399785753704</v>
      </c>
      <c r="B258"/>
      <c r="C258"/>
      <c r="D258"/>
      <c r="E258"/>
    </row>
    <row r="259" spans="1:5" x14ac:dyDescent="0.25">
      <c r="A259" s="30">
        <v>10.921333129289241</v>
      </c>
      <c r="B259"/>
      <c r="C259"/>
      <c r="D259"/>
      <c r="E259"/>
    </row>
    <row r="260" spans="1:5" x14ac:dyDescent="0.25">
      <c r="A260" s="30">
        <v>10.401269646942135</v>
      </c>
      <c r="B260"/>
      <c r="C260"/>
      <c r="D260"/>
      <c r="E260"/>
    </row>
    <row r="261" spans="1:5" x14ac:dyDescent="0.25">
      <c r="A261" s="30">
        <v>9.9059710923258422</v>
      </c>
      <c r="B261"/>
      <c r="C261"/>
      <c r="D261"/>
      <c r="E261"/>
    </row>
    <row r="262" spans="1:5" x14ac:dyDescent="0.25">
      <c r="A262" s="30">
        <v>9.4342581831674686</v>
      </c>
      <c r="B262"/>
      <c r="C262"/>
      <c r="D262"/>
      <c r="E262"/>
    </row>
    <row r="263" spans="1:5" x14ac:dyDescent="0.25">
      <c r="A263" s="30">
        <v>8.9850077934928265</v>
      </c>
      <c r="B263"/>
      <c r="C263"/>
      <c r="D263"/>
      <c r="E263"/>
    </row>
    <row r="264" spans="1:5" x14ac:dyDescent="0.25">
      <c r="A264" s="30">
        <v>8.5571502795169767</v>
      </c>
      <c r="B264"/>
      <c r="C264"/>
      <c r="D264"/>
      <c r="E264"/>
    </row>
    <row r="265" spans="1:5" x14ac:dyDescent="0.25">
      <c r="A265" s="30">
        <v>8.1496669328733109</v>
      </c>
      <c r="B265"/>
      <c r="C265"/>
      <c r="D265"/>
      <c r="E265"/>
    </row>
    <row r="266" spans="1:5" x14ac:dyDescent="0.25">
      <c r="A266" s="30">
        <v>7.7615875551174378</v>
      </c>
      <c r="B266"/>
      <c r="C266"/>
      <c r="D266"/>
      <c r="E266"/>
    </row>
    <row r="267" spans="1:5" x14ac:dyDescent="0.25">
      <c r="A267" s="30">
        <v>7.3919881477308929</v>
      </c>
      <c r="B267"/>
      <c r="C267"/>
      <c r="D267"/>
      <c r="E267"/>
    </row>
    <row r="268" spans="1:5" x14ac:dyDescent="0.25">
      <c r="A268" s="30">
        <v>7.0399887121246598</v>
      </c>
      <c r="B268"/>
      <c r="C268"/>
      <c r="D268"/>
      <c r="E268"/>
    </row>
    <row r="269" spans="1:5" x14ac:dyDescent="0.25">
      <c r="A269" s="30">
        <v>6.7047511544044376</v>
      </c>
      <c r="B269"/>
      <c r="C269"/>
      <c r="D269"/>
      <c r="E269"/>
    </row>
    <row r="270" spans="1:5" x14ac:dyDescent="0.25">
      <c r="A270" s="30">
        <v>6.3854772899089882</v>
      </c>
      <c r="B270"/>
      <c r="C270"/>
      <c r="D270"/>
      <c r="E270"/>
    </row>
    <row r="271" spans="1:5" x14ac:dyDescent="0.25">
      <c r="A271" s="30">
        <v>6.0814069427704647</v>
      </c>
      <c r="B271"/>
      <c r="C271"/>
      <c r="D271"/>
      <c r="E271"/>
    </row>
    <row r="272" spans="1:5" x14ac:dyDescent="0.25">
      <c r="A272" s="30">
        <v>5.7918161359718709</v>
      </c>
      <c r="B272"/>
      <c r="C272"/>
      <c r="D272"/>
      <c r="E272"/>
    </row>
    <row r="273" spans="1:5" x14ac:dyDescent="0.25">
      <c r="A273" s="30">
        <v>5.5160153675922574</v>
      </c>
      <c r="B273"/>
      <c r="C273"/>
      <c r="D273"/>
      <c r="E273"/>
    </row>
    <row r="274" spans="1:5" x14ac:dyDescent="0.25">
      <c r="A274" s="30">
        <v>5.2533479691354827</v>
      </c>
      <c r="B274"/>
      <c r="C274"/>
      <c r="D274"/>
      <c r="E274"/>
    </row>
    <row r="275" spans="1:5" x14ac:dyDescent="0.25">
      <c r="A275" s="30">
        <v>5.0031885420337927</v>
      </c>
      <c r="B275"/>
      <c r="C275"/>
      <c r="D275"/>
      <c r="E275"/>
    </row>
    <row r="276" spans="1:5" x14ac:dyDescent="0.25">
      <c r="A276" s="30">
        <v>4.7649414686036122</v>
      </c>
      <c r="B276"/>
      <c r="C276"/>
      <c r="D276"/>
      <c r="E276"/>
    </row>
    <row r="277" spans="1:5" x14ac:dyDescent="0.25">
      <c r="A277" s="30">
        <v>4.5380394939082018</v>
      </c>
      <c r="B277"/>
      <c r="C277"/>
      <c r="D277"/>
      <c r="E277"/>
    </row>
    <row r="278" spans="1:5" x14ac:dyDescent="0.25">
      <c r="A278" s="30">
        <v>4.3219423751506678</v>
      </c>
      <c r="B278"/>
      <c r="C278"/>
      <c r="D278"/>
      <c r="E278"/>
    </row>
    <row r="279" spans="1:5" x14ac:dyDescent="0.25">
      <c r="A279" s="30">
        <v>4.1161355953815884</v>
      </c>
      <c r="B279"/>
      <c r="C279"/>
      <c r="D279"/>
      <c r="E279"/>
    </row>
    <row r="280" spans="1:5" x14ac:dyDescent="0.25">
      <c r="A280" s="30">
        <v>3.9201291384586554</v>
      </c>
      <c r="B280"/>
      <c r="C280"/>
      <c r="D280"/>
      <c r="E280"/>
    </row>
    <row r="281" spans="1:5" x14ac:dyDescent="0.25">
      <c r="A281" s="30">
        <v>3.7334563223415764</v>
      </c>
      <c r="B281"/>
      <c r="C281"/>
      <c r="D281"/>
      <c r="E281"/>
    </row>
    <row r="282" spans="1:5" x14ac:dyDescent="0.25">
      <c r="A282" s="30">
        <v>3.5556726879443583</v>
      </c>
      <c r="B282"/>
      <c r="C282"/>
      <c r="D282"/>
      <c r="E282"/>
    </row>
    <row r="283" spans="1:5" x14ac:dyDescent="0.25">
      <c r="A283" s="30">
        <v>3.3863549408993889</v>
      </c>
      <c r="B283"/>
      <c r="C283"/>
      <c r="D283"/>
      <c r="E283"/>
    </row>
    <row r="284" spans="1:5" x14ac:dyDescent="0.25">
      <c r="A284" s="30">
        <v>3.2250999437137038</v>
      </c>
      <c r="B284"/>
      <c r="C284"/>
      <c r="D284"/>
      <c r="E284"/>
    </row>
    <row r="285" spans="1:5" x14ac:dyDescent="0.25">
      <c r="A285" s="30">
        <v>3.0715237559178128</v>
      </c>
      <c r="B285"/>
      <c r="C285"/>
      <c r="D285"/>
      <c r="E285"/>
    </row>
    <row r="286" spans="1:5" x14ac:dyDescent="0.25">
      <c r="A286" s="30">
        <v>2.9252607199217264</v>
      </c>
      <c r="B286"/>
      <c r="C286"/>
      <c r="D286"/>
      <c r="E286"/>
    </row>
    <row r="287" spans="1:5" x14ac:dyDescent="0.25">
      <c r="A287" s="30">
        <v>2.7859625904016441</v>
      </c>
      <c r="B287"/>
      <c r="C287"/>
      <c r="D287"/>
      <c r="E287"/>
    </row>
    <row r="288" spans="1:5" x14ac:dyDescent="0.25">
      <c r="A288" s="30">
        <v>2.6532977051444226</v>
      </c>
      <c r="B288"/>
      <c r="C288"/>
      <c r="D288"/>
      <c r="E288"/>
    </row>
    <row r="289" spans="1:5" x14ac:dyDescent="0.25">
      <c r="A289" s="30">
        <v>2.5269501953756404</v>
      </c>
      <c r="B289"/>
      <c r="C289"/>
      <c r="D289"/>
      <c r="E289"/>
    </row>
    <row r="290" spans="1:5" x14ac:dyDescent="0.25">
      <c r="A290" s="30">
        <v>2.4066192336910861</v>
      </c>
      <c r="B290"/>
      <c r="C290"/>
      <c r="D290"/>
      <c r="E290"/>
    </row>
    <row r="291" spans="1:5" x14ac:dyDescent="0.25">
      <c r="A291" s="30">
        <v>2.2920183178010345</v>
      </c>
      <c r="B291"/>
      <c r="C291"/>
      <c r="D291"/>
      <c r="E291"/>
    </row>
    <row r="292" spans="1:5" x14ac:dyDescent="0.25">
      <c r="A292" s="30">
        <v>2.1828745883819374</v>
      </c>
      <c r="B292"/>
      <c r="C292"/>
      <c r="D292"/>
      <c r="E292"/>
    </row>
    <row r="293" spans="1:5" x14ac:dyDescent="0.25">
      <c r="A293" s="30">
        <v>2.0789281794113688</v>
      </c>
      <c r="B293"/>
      <c r="C293"/>
      <c r="D293"/>
      <c r="E293"/>
    </row>
    <row r="294" spans="1:5" x14ac:dyDescent="0.25">
      <c r="A294" s="30">
        <v>1.9799315994393987</v>
      </c>
      <c r="B294"/>
      <c r="C294"/>
      <c r="D294"/>
      <c r="E294"/>
    </row>
    <row r="295" spans="1:5" x14ac:dyDescent="0.25">
      <c r="A295" s="30">
        <v>1.8856491423232367</v>
      </c>
      <c r="B295"/>
      <c r="C295"/>
      <c r="D295"/>
      <c r="E295"/>
    </row>
    <row r="296" spans="1:5" x14ac:dyDescent="0.25">
      <c r="A296" s="30">
        <v>1.7958563260221301</v>
      </c>
      <c r="B296"/>
      <c r="C296"/>
      <c r="D296"/>
      <c r="E296"/>
    </row>
    <row r="297" spans="1:5" x14ac:dyDescent="0.25">
      <c r="A297" s="30">
        <v>1.7103393581163142</v>
      </c>
      <c r="B297"/>
      <c r="C297"/>
      <c r="D297"/>
      <c r="E297"/>
    </row>
    <row r="298" spans="1:5" x14ac:dyDescent="0.25">
      <c r="A298" s="30">
        <v>1.628894626777442</v>
      </c>
      <c r="B298"/>
      <c r="C298"/>
      <c r="D298"/>
      <c r="E298"/>
    </row>
    <row r="299" spans="1:5" x14ac:dyDescent="0.25">
      <c r="A299" s="30">
        <v>1.5513282159785162</v>
      </c>
      <c r="B299"/>
      <c r="C299"/>
      <c r="D299"/>
      <c r="E299"/>
    </row>
    <row r="300" spans="1:5" x14ac:dyDescent="0.25">
      <c r="A300" s="30">
        <v>1.477455443789063</v>
      </c>
      <c r="B300"/>
      <c r="C300"/>
      <c r="D300"/>
      <c r="E300"/>
    </row>
    <row r="301" spans="1:5" x14ac:dyDescent="0.25">
      <c r="A301" s="30">
        <v>1.4071004226562505</v>
      </c>
      <c r="B301"/>
      <c r="C301"/>
      <c r="D301"/>
      <c r="E301"/>
    </row>
    <row r="302" spans="1:5" x14ac:dyDescent="0.25">
      <c r="A302" s="30">
        <v>1.3400956406250004</v>
      </c>
      <c r="B302"/>
      <c r="C302"/>
      <c r="D302"/>
      <c r="E302"/>
    </row>
    <row r="303" spans="1:5" x14ac:dyDescent="0.25">
      <c r="A303" s="30">
        <v>1.2762815625000004</v>
      </c>
      <c r="B303"/>
      <c r="C303"/>
      <c r="D303"/>
      <c r="E303"/>
    </row>
    <row r="304" spans="1:5" x14ac:dyDescent="0.25">
      <c r="A304" s="30">
        <v>1.2155062500000002</v>
      </c>
      <c r="B304"/>
      <c r="C304"/>
      <c r="D304"/>
      <c r="E304"/>
    </row>
    <row r="305" spans="1:5" x14ac:dyDescent="0.25">
      <c r="A305" s="30">
        <v>1.1576249999999999</v>
      </c>
      <c r="B305"/>
      <c r="C305"/>
      <c r="D305"/>
      <c r="E305"/>
    </row>
    <row r="306" spans="1:5" x14ac:dyDescent="0.25">
      <c r="A306" s="30">
        <v>1.1025</v>
      </c>
      <c r="B306"/>
      <c r="C306"/>
      <c r="D306"/>
      <c r="E306"/>
    </row>
    <row r="307" spans="1:5" x14ac:dyDescent="0.25">
      <c r="A307" s="30">
        <v>1.05</v>
      </c>
      <c r="B307"/>
      <c r="C307"/>
      <c r="D307"/>
      <c r="E307"/>
    </row>
    <row r="308" spans="1:5" x14ac:dyDescent="0.25">
      <c r="A308" s="30">
        <v>1</v>
      </c>
      <c r="B308"/>
      <c r="C308"/>
      <c r="D308"/>
      <c r="E308" t="s">
        <v>8</v>
      </c>
    </row>
    <row r="309" spans="1:5" x14ac:dyDescent="0.25">
      <c r="A309" s="30">
        <v>0.952380952380952</v>
      </c>
      <c r="B309"/>
      <c r="C309"/>
      <c r="D309"/>
      <c r="E309"/>
    </row>
    <row r="310" spans="1:5" x14ac:dyDescent="0.25">
      <c r="A310" s="30">
        <v>0.90702947845804915</v>
      </c>
      <c r="B310"/>
      <c r="C310"/>
      <c r="D310"/>
      <c r="E310"/>
    </row>
    <row r="311" spans="1:5" x14ac:dyDescent="0.25">
      <c r="A311" s="30">
        <v>0.86383759853147501</v>
      </c>
      <c r="B311"/>
      <c r="C311"/>
      <c r="D311"/>
      <c r="E311"/>
    </row>
    <row r="312" spans="1:5" x14ac:dyDescent="0.25">
      <c r="A312" s="30">
        <v>0.82270247479188063</v>
      </c>
      <c r="B312"/>
      <c r="C312"/>
      <c r="D312"/>
      <c r="E312"/>
    </row>
    <row r="313" spans="1:5" x14ac:dyDescent="0.25">
      <c r="A313" s="30">
        <v>0.78352616646845741</v>
      </c>
      <c r="B313"/>
      <c r="C313"/>
      <c r="D313"/>
      <c r="E313"/>
    </row>
    <row r="314" spans="1:5" x14ac:dyDescent="0.25">
      <c r="A314" s="30">
        <v>0.74621539663662584</v>
      </c>
      <c r="B314"/>
      <c r="C314"/>
      <c r="D314"/>
      <c r="E314"/>
    </row>
    <row r="315" spans="1:5" x14ac:dyDescent="0.25">
      <c r="A315" s="30">
        <v>0.71068133013011958</v>
      </c>
      <c r="B315"/>
      <c r="C315"/>
      <c r="D315"/>
      <c r="E315"/>
    </row>
    <row r="316" spans="1:5" x14ac:dyDescent="0.25">
      <c r="A316" s="30">
        <v>0.676839362028685</v>
      </c>
      <c r="B316"/>
      <c r="C316"/>
      <c r="D316"/>
      <c r="E316"/>
    </row>
    <row r="317" spans="1:5" x14ac:dyDescent="0.25">
      <c r="A317" s="30">
        <v>0.64460891621779492</v>
      </c>
      <c r="B317"/>
      <c r="C317"/>
      <c r="D317"/>
      <c r="E317"/>
    </row>
    <row r="318" spans="1:5" x14ac:dyDescent="0.25">
      <c r="A318" s="30">
        <v>0.61391325354075688</v>
      </c>
      <c r="B318"/>
      <c r="C318"/>
      <c r="D318"/>
      <c r="E318"/>
    </row>
    <row r="319" spans="1:5" x14ac:dyDescent="0.25">
      <c r="A319" s="30">
        <v>0.58467928908643485</v>
      </c>
      <c r="B319"/>
      <c r="C319"/>
      <c r="D319"/>
      <c r="E319"/>
    </row>
    <row r="320" spans="1:5" x14ac:dyDescent="0.25">
      <c r="A320" s="30">
        <v>0.55683741817755672</v>
      </c>
      <c r="B320"/>
      <c r="C320"/>
      <c r="D320"/>
      <c r="E320"/>
    </row>
    <row r="321" spans="1:5" x14ac:dyDescent="0.25">
      <c r="A321" s="30">
        <v>0.53032135064529184</v>
      </c>
      <c r="B321"/>
      <c r="C321"/>
      <c r="D321"/>
      <c r="E321"/>
    </row>
    <row r="322" spans="1:5" x14ac:dyDescent="0.25">
      <c r="A322" s="30">
        <v>0.50506795299551588</v>
      </c>
      <c r="B322"/>
      <c r="C322"/>
      <c r="D322"/>
      <c r="E322"/>
    </row>
    <row r="323" spans="1:5" x14ac:dyDescent="0.25">
      <c r="A323" s="30">
        <v>0.48101709809096732</v>
      </c>
      <c r="B323"/>
      <c r="C323"/>
      <c r="D323"/>
      <c r="E323"/>
    </row>
    <row r="324" spans="1:5" x14ac:dyDescent="0.25">
      <c r="A324" s="30">
        <v>0.45811152199139726</v>
      </c>
      <c r="B324"/>
      <c r="C324"/>
      <c r="D324"/>
      <c r="E324"/>
    </row>
    <row r="325" spans="1:5" x14ac:dyDescent="0.25">
      <c r="A325" s="30">
        <v>0.43629668761085438</v>
      </c>
      <c r="B325"/>
      <c r="C325"/>
      <c r="D325"/>
      <c r="E325"/>
    </row>
    <row r="326" spans="1:5" x14ac:dyDescent="0.25">
      <c r="A326" s="30">
        <v>0.41552065486748019</v>
      </c>
      <c r="B326"/>
      <c r="C326"/>
      <c r="D326"/>
      <c r="E326"/>
    </row>
    <row r="327" spans="1:5" x14ac:dyDescent="0.25">
      <c r="A327" s="30">
        <v>0.39573395701664765</v>
      </c>
      <c r="B327"/>
      <c r="C327"/>
      <c r="D327"/>
      <c r="E327"/>
    </row>
    <row r="328" spans="1:5" x14ac:dyDescent="0.25">
      <c r="A328" s="30">
        <v>0.37688948287299762</v>
      </c>
      <c r="B328"/>
      <c r="C328"/>
      <c r="D328"/>
      <c r="E328"/>
    </row>
    <row r="329" spans="1:5" x14ac:dyDescent="0.25">
      <c r="A329" s="30">
        <v>0.35894236464094997</v>
      </c>
      <c r="B329"/>
      <c r="C329"/>
      <c r="D329"/>
      <c r="E329"/>
    </row>
    <row r="330" spans="1:5" x14ac:dyDescent="0.25">
      <c r="A330" s="30">
        <v>0.34184987108661891</v>
      </c>
      <c r="B330"/>
      <c r="C330"/>
      <c r="D330"/>
      <c r="E330"/>
    </row>
    <row r="331" spans="1:5" x14ac:dyDescent="0.25">
      <c r="A331" s="30">
        <v>0.32557130579677979</v>
      </c>
      <c r="B331"/>
      <c r="C331"/>
      <c r="D331"/>
      <c r="E331"/>
    </row>
    <row r="332" spans="1:5" x14ac:dyDescent="0.25">
      <c r="A332" s="30">
        <v>0.3100679102826473</v>
      </c>
      <c r="B332"/>
      <c r="C332"/>
      <c r="D332"/>
      <c r="E332"/>
    </row>
    <row r="333" spans="1:5" x14ac:dyDescent="0.25">
      <c r="A333" s="30">
        <v>0.2953027716977592</v>
      </c>
      <c r="B333"/>
      <c r="C333"/>
      <c r="D333"/>
      <c r="E333"/>
    </row>
    <row r="334" spans="1:5" x14ac:dyDescent="0.25">
      <c r="A334" s="30">
        <v>0.28124073495024676</v>
      </c>
      <c r="B334"/>
      <c r="C334"/>
      <c r="D334"/>
      <c r="E334"/>
    </row>
    <row r="335" spans="1:5" x14ac:dyDescent="0.25">
      <c r="A335" s="30">
        <v>0.26784831900023492</v>
      </c>
      <c r="B335"/>
      <c r="C335"/>
      <c r="D335"/>
      <c r="E335"/>
    </row>
    <row r="336" spans="1:5" x14ac:dyDescent="0.25">
      <c r="A336" s="30">
        <v>0.25509363714308075</v>
      </c>
      <c r="B336"/>
      <c r="C336"/>
      <c r="D336"/>
      <c r="E336"/>
    </row>
    <row r="337" spans="1:5" x14ac:dyDescent="0.25">
      <c r="A337" s="30">
        <v>0.24294632108864825</v>
      </c>
      <c r="B337"/>
      <c r="C337"/>
      <c r="D337"/>
      <c r="E337"/>
    </row>
    <row r="338" spans="1:5" x14ac:dyDescent="0.25">
      <c r="A338" s="30">
        <v>0.23137744865585538</v>
      </c>
      <c r="B338"/>
      <c r="C338"/>
      <c r="D338"/>
      <c r="E338"/>
    </row>
    <row r="339" spans="1:5" x14ac:dyDescent="0.25">
      <c r="A339" s="30">
        <v>0.22035947491033836</v>
      </c>
      <c r="B339"/>
      <c r="C339"/>
      <c r="D339"/>
      <c r="E339"/>
    </row>
    <row r="340" spans="1:5" x14ac:dyDescent="0.25">
      <c r="A340" s="30">
        <v>0.20986616658127455</v>
      </c>
      <c r="B340"/>
      <c r="C340"/>
      <c r="D340"/>
      <c r="E340"/>
    </row>
    <row r="341" spans="1:5" x14ac:dyDescent="0.25">
      <c r="A341" s="30">
        <v>0.19987253960121379</v>
      </c>
      <c r="B341"/>
      <c r="C341"/>
      <c r="D341"/>
      <c r="E341"/>
    </row>
    <row r="342" spans="1:5" x14ac:dyDescent="0.25">
      <c r="A342" s="30">
        <v>0.19035479962020352</v>
      </c>
      <c r="B342"/>
      <c r="C342"/>
      <c r="D342"/>
      <c r="E342"/>
    </row>
    <row r="343" spans="1:5" x14ac:dyDescent="0.25">
      <c r="A343" s="30">
        <v>0.18129028535257471</v>
      </c>
      <c r="B343"/>
      <c r="C343"/>
      <c r="D343"/>
      <c r="E343"/>
    </row>
    <row r="344" spans="1:5" x14ac:dyDescent="0.25">
      <c r="A344" s="30">
        <v>0.17265741462149967</v>
      </c>
      <c r="B344"/>
      <c r="C344"/>
      <c r="D344"/>
      <c r="E344"/>
    </row>
    <row r="345" spans="1:5" x14ac:dyDescent="0.25">
      <c r="A345" s="30">
        <v>0.16443563297285677</v>
      </c>
      <c r="B345"/>
      <c r="C345"/>
      <c r="D345"/>
      <c r="E345"/>
    </row>
    <row r="346" spans="1:5" x14ac:dyDescent="0.25">
      <c r="A346" s="30">
        <v>0.15660536473605399</v>
      </c>
      <c r="B346"/>
      <c r="C346"/>
      <c r="D346"/>
      <c r="E346"/>
    </row>
    <row r="347" spans="1:5" x14ac:dyDescent="0.25">
      <c r="A347" s="30">
        <v>0.14914796641528946</v>
      </c>
      <c r="B347"/>
      <c r="C347"/>
      <c r="D347"/>
      <c r="E347"/>
    </row>
    <row r="348" spans="1:5" x14ac:dyDescent="0.25">
      <c r="A348" s="30">
        <v>0.14204568230027562</v>
      </c>
      <c r="B348"/>
      <c r="C348"/>
      <c r="D348"/>
      <c r="E348"/>
    </row>
    <row r="349" spans="1:5" x14ac:dyDescent="0.25">
      <c r="A349" s="30">
        <v>0.13528160219073862</v>
      </c>
      <c r="B349"/>
      <c r="C349"/>
      <c r="D349"/>
      <c r="E349"/>
    </row>
    <row r="350" spans="1:5" x14ac:dyDescent="0.25">
      <c r="A350" s="30">
        <v>0.12883962113403674</v>
      </c>
      <c r="B350"/>
      <c r="C350"/>
      <c r="D350"/>
      <c r="E350"/>
    </row>
    <row r="351" spans="1:5" x14ac:dyDescent="0.25">
      <c r="A351" s="30">
        <v>0.12270440108003494</v>
      </c>
      <c r="B351"/>
      <c r="C351"/>
      <c r="D351"/>
      <c r="E351"/>
    </row>
    <row r="352" spans="1:5" x14ac:dyDescent="0.25">
      <c r="A352" s="30">
        <v>0.11686133436193799</v>
      </c>
      <c r="B352"/>
      <c r="C352"/>
      <c r="D352"/>
      <c r="E352"/>
    </row>
    <row r="353" spans="1:5" x14ac:dyDescent="0.25">
      <c r="A353" s="30">
        <v>0.11129650891613138</v>
      </c>
      <c r="B353"/>
      <c r="C353"/>
      <c r="D353"/>
      <c r="E353"/>
    </row>
    <row r="354" spans="1:5" x14ac:dyDescent="0.25">
      <c r="A354" s="30">
        <v>0.10599667515822032</v>
      </c>
      <c r="B354"/>
      <c r="C354"/>
      <c r="D354"/>
      <c r="E354"/>
    </row>
    <row r="355" spans="1:5" x14ac:dyDescent="0.25">
      <c r="A355" s="30">
        <v>0.10094921443640027</v>
      </c>
      <c r="B355"/>
      <c r="C355"/>
      <c r="D355"/>
      <c r="E355"/>
    </row>
    <row r="356" spans="1:5" x14ac:dyDescent="0.25">
      <c r="A356" s="30">
        <v>9.6142108987047836E-2</v>
      </c>
      <c r="B356"/>
      <c r="C356"/>
      <c r="D356"/>
      <c r="E356"/>
    </row>
    <row r="357" spans="1:5" x14ac:dyDescent="0.25">
      <c r="A357" s="30">
        <v>9.1563913320997906E-2</v>
      </c>
      <c r="B357"/>
      <c r="C357"/>
      <c r="D357"/>
      <c r="E357"/>
    </row>
    <row r="358" spans="1:5" x14ac:dyDescent="0.25">
      <c r="A358" s="30">
        <v>8.7203726972378923E-2</v>
      </c>
      <c r="B358"/>
      <c r="C358"/>
      <c r="D358"/>
      <c r="E358"/>
    </row>
    <row r="359" spans="1:5" x14ac:dyDescent="0.25">
      <c r="A359" s="30">
        <v>8.3051168545122747E-2</v>
      </c>
      <c r="B359"/>
      <c r="C359"/>
      <c r="D359"/>
      <c r="E359"/>
    </row>
    <row r="360" spans="1:5" x14ac:dyDescent="0.25">
      <c r="A360" s="30">
        <v>7.9096350995354961E-2</v>
      </c>
      <c r="B360"/>
      <c r="C360"/>
      <c r="D360"/>
      <c r="E360"/>
    </row>
    <row r="361" spans="1:5" x14ac:dyDescent="0.25">
      <c r="A361" s="30">
        <v>7.5329858090814217E-2</v>
      </c>
      <c r="B361"/>
      <c r="C361"/>
      <c r="D361"/>
      <c r="E361"/>
    </row>
    <row r="362" spans="1:5" x14ac:dyDescent="0.25">
      <c r="A362" s="30">
        <v>7.1742721991251604E-2</v>
      </c>
      <c r="B362"/>
      <c r="C362"/>
      <c r="D362"/>
      <c r="E362"/>
    </row>
    <row r="363" spans="1:5" x14ac:dyDescent="0.25">
      <c r="A363" s="30">
        <v>6.8326401896430078E-2</v>
      </c>
      <c r="B363"/>
      <c r="C363"/>
      <c r="D363"/>
      <c r="E363"/>
    </row>
    <row r="364" spans="1:5" x14ac:dyDescent="0.25">
      <c r="A364" s="30">
        <v>6.5072763710885759E-2</v>
      </c>
      <c r="B364"/>
      <c r="C364"/>
      <c r="D364"/>
      <c r="E364"/>
    </row>
    <row r="365" spans="1:5" x14ac:dyDescent="0.25">
      <c r="A365" s="30">
        <v>6.197406067703403E-2</v>
      </c>
      <c r="B365"/>
      <c r="C365"/>
      <c r="D365"/>
      <c r="E365"/>
    </row>
    <row r="366" spans="1:5" x14ac:dyDescent="0.25">
      <c r="A366" s="30">
        <v>5.9022914930508576E-2</v>
      </c>
      <c r="B366"/>
      <c r="C366"/>
      <c r="D366"/>
      <c r="E366"/>
    </row>
    <row r="367" spans="1:5" x14ac:dyDescent="0.25">
      <c r="A367" s="30">
        <v>5.6212299933817669E-2</v>
      </c>
      <c r="B367"/>
      <c r="C367"/>
      <c r="D367"/>
      <c r="E367"/>
    </row>
    <row r="368" spans="1:5" x14ac:dyDescent="0.25">
      <c r="A368" s="30">
        <v>5.3535523746492994E-2</v>
      </c>
      <c r="B368"/>
      <c r="C368"/>
      <c r="D368"/>
      <c r="E368"/>
    </row>
    <row r="369" spans="1:5" x14ac:dyDescent="0.25">
      <c r="A369" s="30">
        <v>5.0986213091898068E-2</v>
      </c>
      <c r="B369"/>
      <c r="C369"/>
      <c r="D369"/>
      <c r="E369"/>
    </row>
    <row r="370" spans="1:5" x14ac:dyDescent="0.25">
      <c r="A370" s="30">
        <v>4.8558298182760043E-2</v>
      </c>
      <c r="B370"/>
      <c r="C370"/>
      <c r="D370"/>
      <c r="E370"/>
    </row>
    <row r="371" spans="1:5" x14ac:dyDescent="0.25">
      <c r="A371" s="30">
        <v>4.6245998269295263E-2</v>
      </c>
      <c r="B371"/>
      <c r="C371"/>
      <c r="D371"/>
      <c r="E371"/>
    </row>
    <row r="372" spans="1:5" x14ac:dyDescent="0.25">
      <c r="A372" s="30">
        <v>4.4043807875519279E-2</v>
      </c>
      <c r="B372"/>
      <c r="C372"/>
      <c r="D372"/>
      <c r="E372"/>
    </row>
    <row r="373" spans="1:5" x14ac:dyDescent="0.25">
      <c r="A373" s="30">
        <v>4.1946483690970725E-2</v>
      </c>
      <c r="B373"/>
      <c r="C373"/>
      <c r="D373"/>
      <c r="E373"/>
    </row>
    <row r="374" spans="1:5" x14ac:dyDescent="0.25">
      <c r="A374" s="30">
        <v>3.9949032086638768E-2</v>
      </c>
      <c r="B374"/>
      <c r="C374"/>
      <c r="D374"/>
      <c r="E374"/>
    </row>
    <row r="375" spans="1:5" x14ac:dyDescent="0.25">
      <c r="A375" s="30">
        <v>3.8046697225370241E-2</v>
      </c>
      <c r="B375"/>
      <c r="C375"/>
      <c r="D375"/>
      <c r="E375"/>
    </row>
    <row r="376" spans="1:5" x14ac:dyDescent="0.25">
      <c r="A376" s="30">
        <v>3.6234949738447833E-2</v>
      </c>
      <c r="B376"/>
      <c r="C376"/>
      <c r="D376"/>
      <c r="E376"/>
    </row>
    <row r="377" spans="1:5" x14ac:dyDescent="0.25">
      <c r="A377" s="30">
        <v>3.4509475941378875E-2</v>
      </c>
      <c r="B377"/>
      <c r="C377"/>
      <c r="D377"/>
      <c r="E377"/>
    </row>
    <row r="378" spans="1:5" x14ac:dyDescent="0.25">
      <c r="A378" s="30">
        <v>3.286616756321796E-2</v>
      </c>
      <c r="B378"/>
      <c r="C378"/>
      <c r="D378"/>
      <c r="E378"/>
    </row>
    <row r="379" spans="1:5" x14ac:dyDescent="0.25">
      <c r="A379" s="30">
        <v>3.1301111964969472E-2</v>
      </c>
      <c r="B379"/>
      <c r="C379"/>
      <c r="D379"/>
      <c r="E379"/>
    </row>
    <row r="380" spans="1:5" x14ac:dyDescent="0.25">
      <c r="A380" s="30">
        <v>2.9810582823780438E-2</v>
      </c>
      <c r="B380"/>
      <c r="C380"/>
      <c r="D380"/>
      <c r="E380"/>
    </row>
    <row r="381" spans="1:5" x14ac:dyDescent="0.25">
      <c r="A381" s="30">
        <v>2.8391031260743264E-2</v>
      </c>
      <c r="B381"/>
      <c r="C381"/>
      <c r="D381"/>
      <c r="E381"/>
    </row>
    <row r="382" spans="1:5" x14ac:dyDescent="0.25">
      <c r="A382" s="30">
        <v>2.7039077391184052E-2</v>
      </c>
    </row>
    <row r="383" spans="1:5" x14ac:dyDescent="0.25">
      <c r="A383" s="30">
        <v>2.5751502277318133E-2</v>
      </c>
    </row>
    <row r="384" spans="1:5" x14ac:dyDescent="0.25">
      <c r="A384" s="30">
        <v>2.4525240264112496E-2</v>
      </c>
    </row>
    <row r="385" spans="1:1" x14ac:dyDescent="0.25">
      <c r="A385" s="30">
        <v>2.3357371680107129E-2</v>
      </c>
    </row>
    <row r="386" spans="1:1" x14ac:dyDescent="0.25">
      <c r="A386" s="30">
        <v>2.2245115885816305E-2</v>
      </c>
    </row>
    <row r="387" spans="1:1" x14ac:dyDescent="0.25">
      <c r="A387" s="30">
        <v>2.1185824653158377E-2</v>
      </c>
    </row>
    <row r="388" spans="1:1" x14ac:dyDescent="0.25">
      <c r="A388" s="30">
        <v>2.0176975860150829E-2</v>
      </c>
    </row>
    <row r="389" spans="1:1" x14ac:dyDescent="0.25">
      <c r="A389" s="30">
        <v>1.9216167485857926E-2</v>
      </c>
    </row>
    <row r="390" spans="1:1" x14ac:dyDescent="0.25">
      <c r="A390" s="30">
        <v>1.8301111891293256E-2</v>
      </c>
    </row>
    <row r="391" spans="1:1" x14ac:dyDescent="0.25">
      <c r="A391" s="30">
        <v>1.7429630372660238E-2</v>
      </c>
    </row>
    <row r="392" spans="1:1" x14ac:dyDescent="0.25">
      <c r="A392" s="30">
        <v>1.6599647973962125E-2</v>
      </c>
    </row>
    <row r="393" spans="1:1" x14ac:dyDescent="0.25">
      <c r="A393" s="30">
        <v>1.580918854663059E-2</v>
      </c>
    </row>
    <row r="394" spans="1:1" x14ac:dyDescent="0.25">
      <c r="A394" s="30">
        <v>1.5056370044410079E-2</v>
      </c>
    </row>
    <row r="395" spans="1:1" x14ac:dyDescent="0.25">
      <c r="A395" s="30">
        <v>1.4339400042295308E-2</v>
      </c>
    </row>
    <row r="396" spans="1:1" x14ac:dyDescent="0.25">
      <c r="A396" s="30">
        <v>1.365657146885267E-2</v>
      </c>
    </row>
    <row r="397" spans="1:1" x14ac:dyDescent="0.25">
      <c r="A397" s="30">
        <v>1.3006258541764442E-2</v>
      </c>
    </row>
    <row r="398" spans="1:1" x14ac:dyDescent="0.25">
      <c r="A398" s="30">
        <v>1.2386912896918512E-2</v>
      </c>
    </row>
    <row r="399" spans="1:1" x14ac:dyDescent="0.25">
      <c r="A399" s="30">
        <v>1.179705990182715E-2</v>
      </c>
    </row>
    <row r="400" spans="1:1" x14ac:dyDescent="0.25">
      <c r="A400" s="30">
        <v>1.1235295144597281E-2</v>
      </c>
    </row>
    <row r="401" spans="1:1" x14ac:dyDescent="0.25">
      <c r="A401" s="30">
        <v>1.0700281090092644E-2</v>
      </c>
    </row>
    <row r="402" spans="1:1" x14ac:dyDescent="0.25">
      <c r="A402" s="30">
        <v>1.0190743895326324E-2</v>
      </c>
    </row>
    <row r="403" spans="1:1" x14ac:dyDescent="0.25">
      <c r="A403" s="30">
        <v>9.7054703765012563E-3</v>
      </c>
    </row>
    <row r="404" spans="1:1" x14ac:dyDescent="0.25">
      <c r="A404" s="30">
        <v>9.2433051204773835E-3</v>
      </c>
    </row>
    <row r="405" spans="1:1" x14ac:dyDescent="0.25">
      <c r="A405" s="30">
        <v>8.8031477337879808E-3</v>
      </c>
    </row>
    <row r="406" spans="1:1" x14ac:dyDescent="0.25">
      <c r="A406" s="30">
        <v>8.3839502226552166E-3</v>
      </c>
    </row>
    <row r="407" spans="1:1" x14ac:dyDescent="0.25">
      <c r="A407" s="30">
        <v>7.9847144977668698E-3</v>
      </c>
    </row>
    <row r="408" spans="1:1" x14ac:dyDescent="0.25">
      <c r="A408" s="30">
        <v>7.6044899978732058E-3</v>
      </c>
    </row>
    <row r="409" spans="1:1" x14ac:dyDescent="0.25">
      <c r="A409" s="30">
        <v>7.2423714265459072E-3</v>
      </c>
    </row>
    <row r="410" spans="1:1" x14ac:dyDescent="0.25">
      <c r="A410" s="30">
        <v>6.8974965967103846E-3</v>
      </c>
    </row>
    <row r="411" spans="1:1" x14ac:dyDescent="0.25">
      <c r="A411" s="30">
        <v>6.5690443778194116E-3</v>
      </c>
    </row>
    <row r="412" spans="1:1" x14ac:dyDescent="0.25">
      <c r="A412" s="30">
        <v>6.2562327407803897E-3</v>
      </c>
    </row>
    <row r="413" spans="1:1" x14ac:dyDescent="0.25">
      <c r="A413" s="30">
        <v>5.9583168959813212E-3</v>
      </c>
    </row>
    <row r="414" spans="1:1" x14ac:dyDescent="0.25">
      <c r="A414" s="30">
        <v>5.6745875199822084E-3</v>
      </c>
    </row>
    <row r="415" spans="1:1" x14ac:dyDescent="0.25">
      <c r="A415" s="30">
        <v>5.4043690666497205E-3</v>
      </c>
    </row>
    <row r="416" spans="1:1" x14ac:dyDescent="0.25">
      <c r="A416" s="30">
        <v>5.1470181587140174E-3</v>
      </c>
    </row>
    <row r="417" spans="1:1" x14ac:dyDescent="0.25">
      <c r="A417" s="30">
        <v>4.9019220559181099E-3</v>
      </c>
    </row>
    <row r="418" spans="1:1" x14ac:dyDescent="0.25">
      <c r="A418" s="30">
        <v>4.6684971961124836E-3</v>
      </c>
    </row>
    <row r="419" spans="1:1" x14ac:dyDescent="0.25">
      <c r="A419" s="30">
        <v>4.4461878058214112E-3</v>
      </c>
    </row>
    <row r="420" spans="1:1" x14ac:dyDescent="0.25">
      <c r="A420" s="30">
        <v>4.2344645769727711E-3</v>
      </c>
    </row>
    <row r="421" spans="1:1" x14ac:dyDescent="0.25">
      <c r="A421" s="30">
        <v>4.0328234066407329E-3</v>
      </c>
    </row>
    <row r="422" spans="1:1" x14ac:dyDescent="0.25">
      <c r="A422" s="30">
        <v>3.8407841968006963E-3</v>
      </c>
    </row>
    <row r="423" spans="1:1" x14ac:dyDescent="0.25">
      <c r="A423" s="30">
        <v>3.6578897112387568E-3</v>
      </c>
    </row>
    <row r="424" spans="1:1" x14ac:dyDescent="0.25">
      <c r="A424" s="30">
        <v>3.4837044868940526E-3</v>
      </c>
    </row>
    <row r="425" spans="1:1" x14ac:dyDescent="0.25">
      <c r="A425" s="30">
        <v>3.3178137970419535E-3</v>
      </c>
    </row>
    <row r="426" spans="1:1" x14ac:dyDescent="0.25">
      <c r="A426" s="30">
        <v>3.1598226638494781E-3</v>
      </c>
    </row>
    <row r="427" spans="1:1" x14ac:dyDescent="0.25">
      <c r="A427" s="30">
        <v>3.0093549179518826E-3</v>
      </c>
    </row>
    <row r="428" spans="1:1" x14ac:dyDescent="0.25">
      <c r="A428" s="30">
        <v>2.8660523028113155E-3</v>
      </c>
    </row>
    <row r="429" spans="1:1" x14ac:dyDescent="0.25">
      <c r="A429" s="30">
        <v>2.7295736217250611E-3</v>
      </c>
    </row>
    <row r="430" spans="1:1" x14ac:dyDescent="0.25">
      <c r="A430" s="30">
        <v>2.5995939254524381E-3</v>
      </c>
    </row>
    <row r="431" spans="1:1" x14ac:dyDescent="0.25">
      <c r="A431" s="30">
        <v>2.4758037385261304E-3</v>
      </c>
    </row>
    <row r="432" spans="1:1" x14ac:dyDescent="0.25">
      <c r="A432" s="30">
        <v>2.3579083224058374E-3</v>
      </c>
    </row>
    <row r="433" spans="1:1" x14ac:dyDescent="0.25">
      <c r="A433" s="30">
        <v>2.245626973719844E-3</v>
      </c>
    </row>
    <row r="434" spans="1:1" x14ac:dyDescent="0.25">
      <c r="A434" s="30">
        <v>2.1386923559236601E-3</v>
      </c>
    </row>
    <row r="435" spans="1:1" x14ac:dyDescent="0.25">
      <c r="A435" s="30">
        <v>2.0368498627844375E-3</v>
      </c>
    </row>
    <row r="436" spans="1:1" x14ac:dyDescent="0.25">
      <c r="A436" s="30">
        <v>1.9398570121756541E-3</v>
      </c>
    </row>
    <row r="437" spans="1:1" x14ac:dyDescent="0.25">
      <c r="A437" s="30">
        <v>1.8474828687387174E-3</v>
      </c>
    </row>
    <row r="438" spans="1:1" x14ac:dyDescent="0.25">
      <c r="A438" s="30">
        <v>1.759507494036873E-3</v>
      </c>
    </row>
    <row r="439" spans="1:1" x14ac:dyDescent="0.25">
      <c r="A439" s="30">
        <v>1.6757214228922594E-3</v>
      </c>
    </row>
    <row r="440" spans="1:1" x14ac:dyDescent="0.25">
      <c r="A440" s="30">
        <v>1.595925164659294E-3</v>
      </c>
    </row>
    <row r="441" spans="1:1" x14ac:dyDescent="0.25">
      <c r="A441" s="30">
        <v>1.5199287282469461E-3</v>
      </c>
    </row>
    <row r="442" spans="1:1" x14ac:dyDescent="0.25">
      <c r="A442" s="30">
        <v>1.4475511697589958E-3</v>
      </c>
    </row>
    <row r="443" spans="1:1" x14ac:dyDescent="0.25">
      <c r="A443" s="30">
        <v>1.3786201616752334E-3</v>
      </c>
    </row>
    <row r="444" spans="1:1" x14ac:dyDescent="0.25">
      <c r="A444" s="30">
        <v>1.3129715825478407E-3</v>
      </c>
    </row>
    <row r="445" spans="1:1" x14ac:dyDescent="0.25">
      <c r="A445" s="30">
        <v>1.2504491262360382E-3</v>
      </c>
    </row>
    <row r="446" spans="1:1" x14ac:dyDescent="0.25">
      <c r="A446" s="30">
        <v>1.1909039297486072E-3</v>
      </c>
    </row>
    <row r="447" spans="1:1" x14ac:dyDescent="0.25">
      <c r="A447" s="30">
        <v>1.1341942188081969E-3</v>
      </c>
    </row>
    <row r="448" spans="1:1" x14ac:dyDescent="0.25">
      <c r="A448" s="30">
        <v>1.0801849702935203E-3</v>
      </c>
    </row>
    <row r="449" spans="1:1" x14ac:dyDescent="0.25">
      <c r="A449" s="30">
        <v>1.0287475907557332E-3</v>
      </c>
    </row>
    <row r="450" spans="1:1" x14ac:dyDescent="0.25">
      <c r="A450" s="30">
        <v>9.7731021121794646E-4</v>
      </c>
    </row>
    <row r="451" spans="1:1" x14ac:dyDescent="0.25">
      <c r="A451" s="30">
        <v>9.2844470065704904E-4</v>
      </c>
    </row>
    <row r="452" spans="1:1" x14ac:dyDescent="0.25">
      <c r="A452" s="30">
        <v>8.8202246562419653E-4</v>
      </c>
    </row>
    <row r="453" spans="1:1" x14ac:dyDescent="0.25">
      <c r="A453" s="30">
        <v>8.3792134234298668E-4</v>
      </c>
    </row>
    <row r="454" spans="1:1" x14ac:dyDescent="0.25">
      <c r="A454" s="30">
        <v>7.9602527522583736E-4</v>
      </c>
    </row>
    <row r="455" spans="1:1" x14ac:dyDescent="0.25">
      <c r="A455" s="30">
        <v>7.5622401146454546E-4</v>
      </c>
    </row>
    <row r="456" spans="1:1" x14ac:dyDescent="0.25">
      <c r="A456" s="30">
        <v>7.1841281089131816E-4</v>
      </c>
    </row>
    <row r="457" spans="1:1" x14ac:dyDescent="0.25">
      <c r="A457" s="30">
        <v>6.8249217034675226E-4</v>
      </c>
    </row>
    <row r="458" spans="1:1" x14ac:dyDescent="0.25">
      <c r="A458" s="30">
        <v>6.4836756182941465E-4</v>
      </c>
    </row>
    <row r="459" spans="1:1" x14ac:dyDescent="0.25">
      <c r="A459" s="30">
        <v>6.1594918373794388E-4</v>
      </c>
    </row>
    <row r="460" spans="1:1" x14ac:dyDescent="0.25">
      <c r="A460" s="30">
        <v>5.8515172455104666E-4</v>
      </c>
    </row>
    <row r="461" spans="1:1" x14ac:dyDescent="0.25">
      <c r="A461" s="30">
        <v>5.5589413832349429E-4</v>
      </c>
    </row>
    <row r="462" spans="1:1" x14ac:dyDescent="0.25">
      <c r="A462" s="30">
        <v>5.2809943140731956E-4</v>
      </c>
    </row>
    <row r="463" spans="1:1" x14ac:dyDescent="0.25">
      <c r="A463" s="30">
        <v>5.0169445983695357E-4</v>
      </c>
    </row>
    <row r="464" spans="1:1" x14ac:dyDescent="0.25">
      <c r="A464" s="30">
        <v>4.7660973684510589E-4</v>
      </c>
    </row>
    <row r="465" spans="1:1" x14ac:dyDescent="0.25">
      <c r="A465" s="30">
        <v>4.5277925000285056E-4</v>
      </c>
    </row>
    <row r="466" spans="1:1" x14ac:dyDescent="0.25">
      <c r="A466" s="30">
        <v>4.3014028750270803E-4</v>
      </c>
    </row>
    <row r="467" spans="1:1" x14ac:dyDescent="0.25">
      <c r="A467" s="30">
        <v>4.0863327312757263E-4</v>
      </c>
    </row>
    <row r="468" spans="1:1" x14ac:dyDescent="0.25">
      <c r="A468" s="30">
        <v>3.8820160947119396E-4</v>
      </c>
    </row>
    <row r="469" spans="1:1" x14ac:dyDescent="0.25">
      <c r="A469" s="30">
        <v>3.6879152899763426E-4</v>
      </c>
    </row>
    <row r="470" spans="1:1" x14ac:dyDescent="0.25">
      <c r="A470" s="30">
        <v>3.5035195254775253E-4</v>
      </c>
    </row>
    <row r="471" spans="1:1" x14ac:dyDescent="0.25">
      <c r="A471" s="30">
        <v>3.3283435492036491E-4</v>
      </c>
    </row>
    <row r="472" spans="1:1" x14ac:dyDescent="0.25">
      <c r="A472" s="30">
        <v>3.1619263717434668E-4</v>
      </c>
    </row>
    <row r="473" spans="1:1" x14ac:dyDescent="0.25">
      <c r="A473" s="30">
        <v>3.0038300531562933E-4</v>
      </c>
    </row>
    <row r="474" spans="1:1" x14ac:dyDescent="0.25">
      <c r="A474" s="30">
        <v>2.8536385504984783E-4</v>
      </c>
    </row>
    <row r="475" spans="1:1" x14ac:dyDescent="0.25">
      <c r="A475" s="30">
        <v>2.7109566229735542E-4</v>
      </c>
    </row>
    <row r="476" spans="1:1" x14ac:dyDescent="0.25">
      <c r="A476" s="30">
        <v>2.5754087918248761E-4</v>
      </c>
    </row>
    <row r="477" spans="1:1" x14ac:dyDescent="0.25">
      <c r="A477" s="30">
        <v>2.4466383522336323E-4</v>
      </c>
    </row>
    <row r="478" spans="1:1" x14ac:dyDescent="0.25">
      <c r="A478" s="30">
        <v>2.3243064346219506E-4</v>
      </c>
    </row>
    <row r="479" spans="1:1" x14ac:dyDescent="0.25">
      <c r="A479" s="30">
        <v>2.2080911128908529E-4</v>
      </c>
    </row>
    <row r="480" spans="1:1" x14ac:dyDescent="0.25">
      <c r="A480" s="30">
        <v>2.0976865572463102E-4</v>
      </c>
    </row>
    <row r="481" spans="1:1" x14ac:dyDescent="0.25">
      <c r="A481" s="30">
        <v>1.9928022293839946E-4</v>
      </c>
    </row>
    <row r="482" spans="1:1" x14ac:dyDescent="0.25">
      <c r="A482" s="30">
        <v>1.8931621179147948E-4</v>
      </c>
    </row>
    <row r="483" spans="1:1" x14ac:dyDescent="0.25">
      <c r="A483" s="30">
        <v>1.798504012019055E-4</v>
      </c>
    </row>
    <row r="484" spans="1:1" x14ac:dyDescent="0.25">
      <c r="A484" s="30">
        <v>1.7085788114181021E-4</v>
      </c>
    </row>
    <row r="485" spans="1:1" x14ac:dyDescent="0.25">
      <c r="A485" s="30">
        <v>1.623149870847197E-4</v>
      </c>
    </row>
    <row r="486" spans="1:1" x14ac:dyDescent="0.25">
      <c r="A486" s="30">
        <v>1.541992377304837E-4</v>
      </c>
    </row>
    <row r="487" spans="1:1" x14ac:dyDescent="0.25">
      <c r="A487" s="30">
        <v>1.4648927584395952E-4</v>
      </c>
    </row>
    <row r="488" spans="1:1" x14ac:dyDescent="0.25">
      <c r="A488" s="30">
        <v>1.3916481205176153E-4</v>
      </c>
    </row>
    <row r="489" spans="1:1" x14ac:dyDescent="0.25">
      <c r="A489" s="30">
        <v>1.3220657144917344E-4</v>
      </c>
    </row>
    <row r="490" spans="1:1" x14ac:dyDescent="0.25">
      <c r="A490" s="30">
        <v>1.2559624287671476E-4</v>
      </c>
    </row>
    <row r="491" spans="1:1" x14ac:dyDescent="0.25">
      <c r="A491" s="30">
        <v>1.1931643073287902E-4</v>
      </c>
    </row>
    <row r="492" spans="1:1" x14ac:dyDescent="0.25">
      <c r="A492" s="30">
        <v>1.1335060919623506E-4</v>
      </c>
    </row>
    <row r="493" spans="1:1" x14ac:dyDescent="0.25">
      <c r="A493" s="30">
        <v>1.076830787364233E-4</v>
      </c>
    </row>
    <row r="494" spans="1:1" x14ac:dyDescent="0.25">
      <c r="A494" s="30">
        <v>1.0229892479960213E-4</v>
      </c>
    </row>
    <row r="495" spans="1:1" x14ac:dyDescent="0.25">
      <c r="A495" s="30">
        <v>9.7183978559622027E-5</v>
      </c>
    </row>
    <row r="496" spans="1:1" x14ac:dyDescent="0.25">
      <c r="A496" s="30">
        <v>9.2324779631640922E-5</v>
      </c>
    </row>
    <row r="497" spans="1:1" x14ac:dyDescent="0.25">
      <c r="A497" s="30">
        <v>8.7708540650058869E-5</v>
      </c>
    </row>
    <row r="498" spans="1:1" x14ac:dyDescent="0.25">
      <c r="A498" s="30">
        <v>8.3323113617555917E-5</v>
      </c>
    </row>
    <row r="499" spans="1:1" x14ac:dyDescent="0.25">
      <c r="A499" s="30">
        <v>7.9156957936678114E-5</v>
      </c>
    </row>
    <row r="500" spans="1:1" x14ac:dyDescent="0.25">
      <c r="A500" s="30">
        <v>7.5199110039844203E-5</v>
      </c>
    </row>
    <row r="501" spans="1:1" x14ac:dyDescent="0.25">
      <c r="A501" s="30">
        <v>7.1439154537851989E-5</v>
      </c>
    </row>
    <row r="502" spans="1:1" x14ac:dyDescent="0.25">
      <c r="A502" s="30">
        <v>6.7867196810959381E-5</v>
      </c>
    </row>
    <row r="503" spans="1:1" x14ac:dyDescent="0.25">
      <c r="A503" s="30">
        <v>6.4473836970411412E-5</v>
      </c>
    </row>
    <row r="504" spans="1:1" x14ac:dyDescent="0.25">
      <c r="A504" s="30">
        <v>6.1250145121890834E-5</v>
      </c>
    </row>
    <row r="505" spans="1:1" x14ac:dyDescent="0.25">
      <c r="A505" s="30">
        <v>5.8187637865796292E-5</v>
      </c>
    </row>
    <row r="506" spans="1:1" x14ac:dyDescent="0.25">
      <c r="A506" s="30">
        <v>5.5278255972506478E-5</v>
      </c>
    </row>
    <row r="507" spans="1:1" x14ac:dyDescent="0.25">
      <c r="A507" s="30">
        <v>5.251434317388115E-5</v>
      </c>
    </row>
    <row r="508" spans="1:1" x14ac:dyDescent="0.25">
      <c r="A508" s="30">
        <v>4.9888626015187091E-5</v>
      </c>
    </row>
    <row r="509" spans="1:1" x14ac:dyDescent="0.25">
      <c r="A509" s="30">
        <v>4.7394194714427735E-5</v>
      </c>
    </row>
    <row r="510" spans="1:1" x14ac:dyDescent="0.25">
      <c r="A510" s="30">
        <v>4.5024484978706345E-5</v>
      </c>
    </row>
    <row r="511" spans="1:1" x14ac:dyDescent="0.25">
      <c r="A511" s="30">
        <v>4.2773260729771024E-5</v>
      </c>
    </row>
    <row r="512" spans="1:1" x14ac:dyDescent="0.25">
      <c r="A512" s="30">
        <v>4.0634597693282472E-5</v>
      </c>
    </row>
    <row r="513" spans="1:1" x14ac:dyDescent="0.25">
      <c r="A513" s="30">
        <v>3.8602867808618349E-5</v>
      </c>
    </row>
    <row r="514" spans="1:1" x14ac:dyDescent="0.25">
      <c r="A514" s="30">
        <v>3.6672724418187428E-5</v>
      </c>
    </row>
    <row r="515" spans="1:1" x14ac:dyDescent="0.25">
      <c r="A515" s="30">
        <v>3.4839088197278057E-5</v>
      </c>
    </row>
    <row r="516" spans="1:1" x14ac:dyDescent="0.25">
      <c r="A516" s="30">
        <v>3.3097133787414149E-5</v>
      </c>
    </row>
    <row r="517" spans="1:1" x14ac:dyDescent="0.25">
      <c r="A517" s="30">
        <v>3.1442277098043439E-5</v>
      </c>
    </row>
    <row r="518" spans="1:1" x14ac:dyDescent="0.25">
      <c r="A518" s="30">
        <v>2.9870163243141264E-5</v>
      </c>
    </row>
    <row r="519" spans="1:1" x14ac:dyDescent="0.25">
      <c r="A519" s="30">
        <v>2.8376655080984199E-5</v>
      </c>
    </row>
    <row r="520" spans="1:1" x14ac:dyDescent="0.25">
      <c r="A520" s="30">
        <v>2.6957822326934987E-5</v>
      </c>
    </row>
    <row r="521" spans="1:1" x14ac:dyDescent="0.25">
      <c r="A521" s="30">
        <v>2.5609931210588235E-5</v>
      </c>
    </row>
    <row r="522" spans="1:1" x14ac:dyDescent="0.25">
      <c r="A522" s="30">
        <v>2.4329434650058821E-5</v>
      </c>
    </row>
    <row r="523" spans="1:1" x14ac:dyDescent="0.25">
      <c r="A523" s="30">
        <v>2.311296291755588E-5</v>
      </c>
    </row>
    <row r="524" spans="1:1" x14ac:dyDescent="0.25">
      <c r="A524" s="30">
        <v>2.1957314771678086E-5</v>
      </c>
    </row>
    <row r="525" spans="1:1" x14ac:dyDescent="0.25">
      <c r="A525" s="30">
        <v>2.085944903309418E-5</v>
      </c>
    </row>
    <row r="526" spans="1:1" x14ac:dyDescent="0.25">
      <c r="A526" s="30">
        <v>1.9816476581439472E-5</v>
      </c>
    </row>
    <row r="527" spans="1:1" x14ac:dyDescent="0.25">
      <c r="A527" s="30">
        <v>1.8825652752367499E-5</v>
      </c>
    </row>
    <row r="528" spans="1:1" x14ac:dyDescent="0.25">
      <c r="A528" s="30">
        <v>1.7884370114749124E-5</v>
      </c>
    </row>
    <row r="529" spans="1:1" x14ac:dyDescent="0.25">
      <c r="A529" s="30">
        <v>1.6990151609011666E-5</v>
      </c>
    </row>
    <row r="530" spans="1:1" x14ac:dyDescent="0.25">
      <c r="A530" s="30">
        <v>1.6140644028561083E-5</v>
      </c>
    </row>
    <row r="531" spans="1:1" x14ac:dyDescent="0.25">
      <c r="A531" s="30">
        <v>1.5333611827133028E-5</v>
      </c>
    </row>
    <row r="532" spans="1:1" x14ac:dyDescent="0.25">
      <c r="A532" s="30">
        <v>1.4566931235776375E-5</v>
      </c>
    </row>
    <row r="533" spans="1:1" x14ac:dyDescent="0.25">
      <c r="A533" s="30">
        <v>1.3838584673987556E-5</v>
      </c>
    </row>
    <row r="534" spans="1:1" x14ac:dyDescent="0.25">
      <c r="A534" s="30">
        <v>1.3146655440288178E-5</v>
      </c>
    </row>
    <row r="535" spans="1:1" x14ac:dyDescent="0.25">
      <c r="A535" s="30">
        <v>1.2489322668273768E-5</v>
      </c>
    </row>
    <row r="536" spans="1:1" x14ac:dyDescent="0.25">
      <c r="A536" s="30">
        <v>1.186485653486008E-5</v>
      </c>
    </row>
    <row r="537" spans="1:1" x14ac:dyDescent="0.25">
      <c r="A537" s="30">
        <v>1.1271613708117075E-5</v>
      </c>
    </row>
    <row r="538" spans="1:1" x14ac:dyDescent="0.25">
      <c r="A538" s="30">
        <v>1.0708033022711222E-5</v>
      </c>
    </row>
    <row r="539" spans="1:1" x14ac:dyDescent="0.25">
      <c r="A539" s="30">
        <v>1.0172631371575661E-5</v>
      </c>
    </row>
    <row r="540" spans="1:1" x14ac:dyDescent="0.25">
      <c r="A540" s="30">
        <v>9.6639998029968765E-6</v>
      </c>
    </row>
    <row r="541" spans="1:1" x14ac:dyDescent="0.25">
      <c r="A541" s="30">
        <v>9.1807998128470321E-6</v>
      </c>
    </row>
    <row r="542" spans="1:1" x14ac:dyDescent="0.25">
      <c r="A542" s="30">
        <v>8.7217598222046798E-6</v>
      </c>
    </row>
    <row r="543" spans="1:1" x14ac:dyDescent="0.25">
      <c r="A543" s="30">
        <v>8.2856718310944451E-6</v>
      </c>
    </row>
    <row r="544" spans="1:1" x14ac:dyDescent="0.25">
      <c r="A544" s="30">
        <v>7.8713882395397226E-6</v>
      </c>
    </row>
    <row r="545" spans="1:1" x14ac:dyDescent="0.25">
      <c r="A545" s="30">
        <v>7.4778188275627361E-6</v>
      </c>
    </row>
    <row r="546" spans="1:1" x14ac:dyDescent="0.25">
      <c r="A546" s="30">
        <v>7.1039278861845986E-6</v>
      </c>
    </row>
    <row r="547" spans="1:1" x14ac:dyDescent="0.25">
      <c r="A547" s="30">
        <v>6.7487314918753682E-6</v>
      </c>
    </row>
    <row r="548" spans="1:1" x14ac:dyDescent="0.25">
      <c r="A548" s="30">
        <v>6.4112949172815995E-6</v>
      </c>
    </row>
    <row r="549" spans="1:1" x14ac:dyDescent="0.25">
      <c r="A549" s="30">
        <v>6.0907301714175189E-6</v>
      </c>
    </row>
    <row r="550" spans="1:1" x14ac:dyDescent="0.25">
      <c r="A550" s="30">
        <v>5.7861936628466423E-6</v>
      </c>
    </row>
    <row r="551" spans="1:1" x14ac:dyDescent="0.25">
      <c r="A551" s="30">
        <v>5.4968839797043099E-6</v>
      </c>
    </row>
    <row r="552" spans="1:1" x14ac:dyDescent="0.25">
      <c r="A552" s="30">
        <v>5.2220397807190937E-6</v>
      </c>
    </row>
    <row r="553" spans="1:1" x14ac:dyDescent="0.25">
      <c r="A553" s="30">
        <v>4.9609377916831386E-6</v>
      </c>
    </row>
    <row r="554" spans="1:1" x14ac:dyDescent="0.25">
      <c r="A554" s="30">
        <v>4.7128909020989814E-6</v>
      </c>
    </row>
    <row r="555" spans="1:1" x14ac:dyDescent="0.25">
      <c r="A555" s="30">
        <v>4.4772463569940322E-6</v>
      </c>
    </row>
    <row r="556" spans="1:1" x14ac:dyDescent="0.25">
      <c r="A556" s="30">
        <v>4.2533840391443302E-6</v>
      </c>
    </row>
    <row r="557" spans="1:1" x14ac:dyDescent="0.25">
      <c r="A557" s="30">
        <v>4.0407148371871134E-6</v>
      </c>
    </row>
    <row r="558" spans="1:1" x14ac:dyDescent="0.25">
      <c r="A558" s="30">
        <v>3.838679095327758E-6</v>
      </c>
    </row>
    <row r="559" spans="1:1" x14ac:dyDescent="0.25">
      <c r="A559" s="30">
        <v>3.6467451405613698E-6</v>
      </c>
    </row>
    <row r="560" spans="1:1" x14ac:dyDescent="0.25">
      <c r="A560" s="30">
        <v>3.464407883533301E-6</v>
      </c>
    </row>
    <row r="561" spans="1:1" x14ac:dyDescent="0.25">
      <c r="A561" s="30">
        <v>3.2911874893566358E-6</v>
      </c>
    </row>
    <row r="562" spans="1:1" x14ac:dyDescent="0.25">
      <c r="A562" s="30">
        <v>3.1266281148888039E-6</v>
      </c>
    </row>
    <row r="563" spans="1:1" x14ac:dyDescent="0.25">
      <c r="A563" s="30">
        <v>2.9702967091443636E-6</v>
      </c>
    </row>
    <row r="564" spans="1:1" x14ac:dyDescent="0.25">
      <c r="A564" s="30">
        <v>2.8217818736871453E-6</v>
      </c>
    </row>
    <row r="565" spans="1:1" x14ac:dyDescent="0.25">
      <c r="A565" s="30">
        <v>2.6806927800027881E-6</v>
      </c>
    </row>
    <row r="566" spans="1:1" x14ac:dyDescent="0.25">
      <c r="A566" s="30">
        <v>2.5466581410026485E-6</v>
      </c>
    </row>
    <row r="567" spans="1:1" x14ac:dyDescent="0.25">
      <c r="A567" s="30">
        <v>2.4193252339525159E-6</v>
      </c>
    </row>
    <row r="568" spans="1:1" x14ac:dyDescent="0.25">
      <c r="A568" s="30">
        <v>2.2983589722548901E-6</v>
      </c>
    </row>
    <row r="569" spans="1:1" x14ac:dyDescent="0.25">
      <c r="A569" s="30">
        <v>2.1834410236421454E-6</v>
      </c>
    </row>
    <row r="570" spans="1:1" x14ac:dyDescent="0.25">
      <c r="A570" s="30">
        <v>2.0742689724600379E-6</v>
      </c>
    </row>
    <row r="571" spans="1:1" x14ac:dyDescent="0.25">
      <c r="A571" s="30">
        <v>1.9705555238370358E-6</v>
      </c>
    </row>
    <row r="572" spans="1:1" x14ac:dyDescent="0.25">
      <c r="A572" s="30">
        <v>1.8720277476451839E-6</v>
      </c>
    </row>
    <row r="573" spans="1:1" x14ac:dyDescent="0.25">
      <c r="A573" s="30">
        <v>1.7784263602629246E-6</v>
      </c>
    </row>
    <row r="574" spans="1:1" x14ac:dyDescent="0.25">
      <c r="A574" s="30">
        <v>1.6895050422497783E-6</v>
      </c>
    </row>
    <row r="575" spans="1:1" x14ac:dyDescent="0.25">
      <c r="A575" s="30">
        <v>1.6050297901372894E-6</v>
      </c>
    </row>
    <row r="576" spans="1:1" x14ac:dyDescent="0.25">
      <c r="A576" s="30">
        <v>1.5247783006304249E-6</v>
      </c>
    </row>
    <row r="577" spans="1:1" x14ac:dyDescent="0.25">
      <c r="A577" s="30">
        <v>1.4485393855989036E-6</v>
      </c>
    </row>
    <row r="578" spans="1:1" x14ac:dyDescent="0.25">
      <c r="A578" s="30">
        <v>1.3761124163189583E-6</v>
      </c>
    </row>
    <row r="579" spans="1:1" x14ac:dyDescent="0.25">
      <c r="A579" s="30">
        <v>1.3073067955030102E-6</v>
      </c>
    </row>
    <row r="580" spans="1:1" x14ac:dyDescent="0.25">
      <c r="A580" s="30">
        <v>1.2419414557278597E-6</v>
      </c>
    </row>
    <row r="581" spans="1:1" x14ac:dyDescent="0.25">
      <c r="A581" s="30">
        <v>1.1798443829414667E-6</v>
      </c>
    </row>
    <row r="582" spans="1:1" x14ac:dyDescent="0.25">
      <c r="A582" s="30">
        <v>1.1208521637943934E-6</v>
      </c>
    </row>
    <row r="583" spans="1:1" x14ac:dyDescent="0.25">
      <c r="A583" s="30">
        <v>1.0648095556046737E-6</v>
      </c>
    </row>
    <row r="584" spans="1:1" x14ac:dyDescent="0.25">
      <c r="A584" s="30">
        <v>1.01156907782444E-6</v>
      </c>
    </row>
    <row r="585" spans="1:1" x14ac:dyDescent="0.25">
      <c r="A585" s="30">
        <v>9.6099062393321788E-7</v>
      </c>
    </row>
    <row r="586" spans="1:1" x14ac:dyDescent="0.25">
      <c r="A586" s="30">
        <v>9.1294109273655694E-7</v>
      </c>
    </row>
    <row r="587" spans="1:1" x14ac:dyDescent="0.25">
      <c r="A587" s="30">
        <v>8.6729403809972904E-7</v>
      </c>
    </row>
    <row r="588" spans="1:1" x14ac:dyDescent="0.25">
      <c r="A588" s="30">
        <v>8.2392933619474258E-7</v>
      </c>
    </row>
    <row r="589" spans="1:1" x14ac:dyDescent="0.25">
      <c r="A589" s="30">
        <v>7.8273286938500543E-7</v>
      </c>
    </row>
    <row r="590" spans="1:1" x14ac:dyDescent="0.25">
      <c r="A590" s="30">
        <v>7.4359622591575509E-7</v>
      </c>
    </row>
    <row r="591" spans="1:1" x14ac:dyDescent="0.25">
      <c r="A591" s="30">
        <v>7.064164146199673E-7</v>
      </c>
    </row>
    <row r="592" spans="1:1" x14ac:dyDescent="0.25">
      <c r="A592" s="30">
        <v>6.7109559388896894E-7</v>
      </c>
    </row>
    <row r="593" spans="1:1" x14ac:dyDescent="0.25">
      <c r="A593" s="30">
        <v>6.3754081419452045E-7</v>
      </c>
    </row>
    <row r="594" spans="1:1" x14ac:dyDescent="0.25">
      <c r="A594" s="30">
        <v>6.056637734847944E-7</v>
      </c>
    </row>
    <row r="595" spans="1:1" x14ac:dyDescent="0.25">
      <c r="A595" s="30">
        <v>5.7538058481055464E-7</v>
      </c>
    </row>
    <row r="596" spans="1:1" x14ac:dyDescent="0.25">
      <c r="A596" s="30">
        <v>5.4661155557002689E-7</v>
      </c>
    </row>
    <row r="597" spans="1:1" x14ac:dyDescent="0.25">
      <c r="A597" s="30">
        <v>5.1928097779152547E-7</v>
      </c>
    </row>
    <row r="598" spans="1:1" x14ac:dyDescent="0.25">
      <c r="A598" s="30">
        <v>4.9331692890194916E-7</v>
      </c>
    </row>
    <row r="599" spans="1:1" x14ac:dyDescent="0.25">
      <c r="A599" s="30">
        <v>4.6865108245685168E-7</v>
      </c>
    </row>
    <row r="600" spans="1:1" x14ac:dyDescent="0.25">
      <c r="A600" s="30">
        <v>4.4521852833400909E-7</v>
      </c>
    </row>
    <row r="601" spans="1:1" x14ac:dyDescent="0.25">
      <c r="A601" s="30">
        <v>4.2295760191730863E-7</v>
      </c>
    </row>
    <row r="602" spans="1:1" x14ac:dyDescent="0.25">
      <c r="A602" s="30">
        <v>4.018097218214432E-7</v>
      </c>
    </row>
    <row r="603" spans="1:1" x14ac:dyDescent="0.25">
      <c r="A603" s="30">
        <v>3.8171923573037103E-7</v>
      </c>
    </row>
    <row r="604" spans="1:1" x14ac:dyDescent="0.25">
      <c r="A604" s="30">
        <v>3.6263327394385244E-7</v>
      </c>
    </row>
    <row r="605" spans="1:1" x14ac:dyDescent="0.25">
      <c r="A605" s="30">
        <v>3.4450161024665982E-7</v>
      </c>
    </row>
    <row r="606" spans="1:1" x14ac:dyDescent="0.25">
      <c r="A606" s="30">
        <v>3.2727652973432681E-7</v>
      </c>
    </row>
    <row r="607" spans="1:1" x14ac:dyDescent="0.25">
      <c r="A607" s="30">
        <v>3.1091270324761048E-7</v>
      </c>
    </row>
    <row r="608" spans="1:1" x14ac:dyDescent="0.25">
      <c r="A608" s="30">
        <v>2.9536706808522992E-7</v>
      </c>
    </row>
    <row r="609" spans="1:1" x14ac:dyDescent="0.25">
      <c r="A609" s="30">
        <v>2.8059871468096844E-7</v>
      </c>
    </row>
    <row r="610" spans="1:1" x14ac:dyDescent="0.25">
      <c r="A610" s="30">
        <v>2.6656877894691999E-7</v>
      </c>
    </row>
    <row r="611" spans="1:1" x14ac:dyDescent="0.25">
      <c r="A611" s="30">
        <v>2.5324033999957397E-7</v>
      </c>
    </row>
    <row r="612" spans="1:1" x14ac:dyDescent="0.25">
      <c r="A612" s="30">
        <v>2.4057832299959528E-7</v>
      </c>
    </row>
    <row r="613" spans="1:1" x14ac:dyDescent="0.25">
      <c r="A613" s="30">
        <v>2.2854940684961551E-7</v>
      </c>
    </row>
    <row r="614" spans="1:1" x14ac:dyDescent="0.25">
      <c r="A614" s="30">
        <v>2.1712193650713473E-7</v>
      </c>
    </row>
    <row r="615" spans="1:1" x14ac:dyDescent="0.25">
      <c r="A615" s="30">
        <v>2.0626583968177798E-7</v>
      </c>
    </row>
    <row r="616" spans="1:1" x14ac:dyDescent="0.25">
      <c r="A616" s="30">
        <v>1.9595254769768908E-7</v>
      </c>
    </row>
    <row r="617" spans="1:1" x14ac:dyDescent="0.25">
      <c r="A617" s="30">
        <v>1.8615492031280462E-7</v>
      </c>
    </row>
    <row r="618" spans="1:1" x14ac:dyDescent="0.25">
      <c r="A618" s="30">
        <v>1.7684717429716437E-7</v>
      </c>
    </row>
    <row r="619" spans="1:1" x14ac:dyDescent="0.25">
      <c r="A619" s="30">
        <v>1.6800481558230616E-7</v>
      </c>
    </row>
    <row r="620" spans="1:1" x14ac:dyDescent="0.25">
      <c r="A620" s="30">
        <v>1.5960457480319083E-7</v>
      </c>
    </row>
    <row r="621" spans="1:1" x14ac:dyDescent="0.25">
      <c r="A621" s="30">
        <v>1.5162434606303129E-7</v>
      </c>
    </row>
    <row r="622" spans="1:1" x14ac:dyDescent="0.25">
      <c r="A622" s="30">
        <v>1.4404312875987972E-7</v>
      </c>
    </row>
    <row r="623" spans="1:1" x14ac:dyDescent="0.25">
      <c r="A623" s="30">
        <v>1.3684097232188573E-7</v>
      </c>
    </row>
    <row r="624" spans="1:1" x14ac:dyDescent="0.25">
      <c r="A624" s="30">
        <v>1.2999892370579143E-7</v>
      </c>
    </row>
    <row r="625" spans="1:1" x14ac:dyDescent="0.25">
      <c r="A625" s="30">
        <v>1.2349897752050186E-7</v>
      </c>
    </row>
    <row r="626" spans="1:1" x14ac:dyDescent="0.25">
      <c r="A626" s="30">
        <v>1.1732402864447677E-7</v>
      </c>
    </row>
    <row r="627" spans="1:1" x14ac:dyDescent="0.25">
      <c r="A627" s="30">
        <v>1.1145782721225292E-7</v>
      </c>
    </row>
    <row r="628" spans="1:1" x14ac:dyDescent="0.25">
      <c r="A628" s="30">
        <v>1.0588493585164026E-7</v>
      </c>
    </row>
    <row r="629" spans="1:1" x14ac:dyDescent="0.25">
      <c r="A629" s="30">
        <v>1.0059068905905825E-7</v>
      </c>
    </row>
    <row r="630" spans="1:1" x14ac:dyDescent="0.25">
      <c r="A630" s="30">
        <v>9.5561154606105325E-8</v>
      </c>
    </row>
    <row r="631" spans="1:1" x14ac:dyDescent="0.25">
      <c r="A631" s="30">
        <v>9.0783096875800056E-8</v>
      </c>
    </row>
    <row r="632" spans="1:1" x14ac:dyDescent="0.25">
      <c r="A632" s="30">
        <v>8.6243942032010053E-8</v>
      </c>
    </row>
    <row r="633" spans="1:1" x14ac:dyDescent="0.25">
      <c r="A633" s="30">
        <v>8.1931744930409543E-8</v>
      </c>
    </row>
    <row r="634" spans="1:1" x14ac:dyDescent="0.25">
      <c r="A634" s="30">
        <v>7.7835157683889064E-8</v>
      </c>
    </row>
    <row r="635" spans="1:1" x14ac:dyDescent="0.25">
      <c r="A635" s="30">
        <v>7.3943399799694612E-8</v>
      </c>
    </row>
    <row r="636" spans="1:1" x14ac:dyDescent="0.25">
      <c r="A636" s="30">
        <v>7.0246229809709872E-8</v>
      </c>
    </row>
    <row r="637" spans="1:1" x14ac:dyDescent="0.25">
      <c r="A637" s="30">
        <v>6.6733918319224378E-8</v>
      </c>
    </row>
    <row r="638" spans="1:1" x14ac:dyDescent="0.25">
      <c r="A638" s="30">
        <v>6.3397222403263155E-8</v>
      </c>
    </row>
    <row r="639" spans="1:1" x14ac:dyDescent="0.25">
      <c r="A639" s="30">
        <v>6.0227361283099997E-8</v>
      </c>
    </row>
    <row r="640" spans="1:1" x14ac:dyDescent="0.25">
      <c r="A640" s="30">
        <v>5.7215993218944996E-8</v>
      </c>
    </row>
    <row r="641" spans="1:1" x14ac:dyDescent="0.25">
      <c r="A641" s="30">
        <v>5.4355193557997742E-8</v>
      </c>
    </row>
    <row r="642" spans="1:1" x14ac:dyDescent="0.25">
      <c r="A642" s="30">
        <v>5.1637433880097855E-8</v>
      </c>
    </row>
    <row r="643" spans="1:1" x14ac:dyDescent="0.25">
      <c r="A643" s="30">
        <v>4.9055562186092959E-8</v>
      </c>
    </row>
    <row r="644" spans="1:1" x14ac:dyDescent="0.25">
      <c r="A644" s="30">
        <v>4.6602784076788309E-8</v>
      </c>
    </row>
    <row r="645" spans="1:1" x14ac:dyDescent="0.25">
      <c r="A645" s="30">
        <v>4.4272644872948894E-8</v>
      </c>
    </row>
    <row r="646" spans="1:1" x14ac:dyDescent="0.25">
      <c r="A646" s="30">
        <v>4.2059012629301451E-8</v>
      </c>
    </row>
    <row r="647" spans="1:1" x14ac:dyDescent="0.25">
      <c r="A647" s="30">
        <v>3.9956061997836377E-8</v>
      </c>
    </row>
    <row r="648" spans="1:1" x14ac:dyDescent="0.25">
      <c r="A648" s="30">
        <v>3.7958258897944555E-8</v>
      </c>
    </row>
    <row r="649" spans="1:1" x14ac:dyDescent="0.25">
      <c r="A649" s="30">
        <v>3.6060345953047327E-8</v>
      </c>
    </row>
    <row r="650" spans="1:1" x14ac:dyDescent="0.25">
      <c r="A650" s="30">
        <v>3.4257328655394958E-8</v>
      </c>
    </row>
    <row r="651" spans="1:1" x14ac:dyDescent="0.25">
      <c r="A651" s="30">
        <v>3.2544462222625211E-8</v>
      </c>
    </row>
    <row r="652" spans="1:1" x14ac:dyDescent="0.25">
      <c r="A652" s="30">
        <v>3.0917239111493953E-8</v>
      </c>
    </row>
    <row r="653" spans="1:1" x14ac:dyDescent="0.25">
      <c r="A653" s="30">
        <v>2.9371377155919254E-8</v>
      </c>
    </row>
    <row r="654" spans="1:1" x14ac:dyDescent="0.25">
      <c r="A654" s="30">
        <v>2.7902808298123291E-8</v>
      </c>
    </row>
    <row r="655" spans="1:1" x14ac:dyDescent="0.25">
      <c r="A655" s="30">
        <v>2.6507667883217124E-8</v>
      </c>
    </row>
    <row r="656" spans="1:1" x14ac:dyDescent="0.25">
      <c r="A656" s="30">
        <v>2.5182284489056268E-8</v>
      </c>
    </row>
    <row r="657" spans="1:1" x14ac:dyDescent="0.25">
      <c r="A657" s="30">
        <v>2.3923170264603454E-8</v>
      </c>
    </row>
    <row r="658" spans="1:1" x14ac:dyDescent="0.25">
      <c r="A658" s="30">
        <v>2.2727011751373281E-8</v>
      </c>
    </row>
    <row r="659" spans="1:1" x14ac:dyDescent="0.25">
      <c r="A659" s="30">
        <v>2.1590661163804617E-8</v>
      </c>
    </row>
    <row r="660" spans="1:1" x14ac:dyDescent="0.25">
      <c r="A660" s="30">
        <v>2.0511128105614386E-8</v>
      </c>
    </row>
    <row r="661" spans="1:1" x14ac:dyDescent="0.25">
      <c r="A661" s="30">
        <v>1.9485571700333666E-8</v>
      </c>
    </row>
    <row r="662" spans="1:1" x14ac:dyDescent="0.25">
      <c r="A662" s="30">
        <v>1.8511293115316981E-8</v>
      </c>
    </row>
    <row r="663" spans="1:1" x14ac:dyDescent="0.25">
      <c r="A663" s="30">
        <v>1.758572845955113E-8</v>
      </c>
    </row>
    <row r="664" spans="1:1" x14ac:dyDescent="0.25">
      <c r="A664" s="30">
        <v>1.6706442036573572E-8</v>
      </c>
    </row>
    <row r="665" spans="1:1" x14ac:dyDescent="0.25">
      <c r="A665" s="30">
        <v>1.5871119934744892E-8</v>
      </c>
    </row>
    <row r="666" spans="1:1" x14ac:dyDescent="0.25">
      <c r="A666" s="30">
        <v>1.5077563938007645E-8</v>
      </c>
    </row>
    <row r="667" spans="1:1" x14ac:dyDescent="0.25">
      <c r="A667" s="30">
        <v>1.4323685741107262E-8</v>
      </c>
    </row>
    <row r="668" spans="1:1" x14ac:dyDescent="0.25">
      <c r="A668" s="30">
        <v>1.3607501454051899E-8</v>
      </c>
    </row>
    <row r="669" spans="1:1" x14ac:dyDescent="0.25">
      <c r="A669" s="30">
        <v>1.2927126381349303E-8</v>
      </c>
    </row>
    <row r="670" spans="1:1" x14ac:dyDescent="0.25">
      <c r="A670" s="30">
        <v>1.2280770062281838E-8</v>
      </c>
    </row>
    <row r="671" spans="1:1" x14ac:dyDescent="0.25">
      <c r="A671" s="30">
        <v>1.1666731559167746E-8</v>
      </c>
    </row>
    <row r="672" spans="1:1" x14ac:dyDescent="0.25">
      <c r="A672" s="30">
        <v>1.1083394981209357E-8</v>
      </c>
    </row>
    <row r="673" spans="1:1" x14ac:dyDescent="0.25">
      <c r="A673" s="30">
        <v>1.0529225232148889E-8</v>
      </c>
    </row>
    <row r="674" spans="1:1" x14ac:dyDescent="0.25">
      <c r="A674" s="30">
        <v>1.0002763970541444E-8</v>
      </c>
    </row>
    <row r="675" spans="1:1" x14ac:dyDescent="0.25">
      <c r="A675" s="30">
        <v>9.5026257720143712E-9</v>
      </c>
    </row>
    <row r="676" spans="1:1" x14ac:dyDescent="0.25">
      <c r="A676" s="30">
        <v>9.0274944834136515E-9</v>
      </c>
    </row>
    <row r="677" spans="1:1" x14ac:dyDescent="0.25">
      <c r="A677" s="30">
        <v>8.5761197592429686E-9</v>
      </c>
    </row>
    <row r="678" spans="1:1" x14ac:dyDescent="0.25">
      <c r="A678" s="30">
        <v>8.1473137712808194E-9</v>
      </c>
    </row>
    <row r="679" spans="1:1" x14ac:dyDescent="0.25">
      <c r="A679" s="30">
        <v>7.7399480827167776E-9</v>
      </c>
    </row>
    <row r="680" spans="1:1" x14ac:dyDescent="0.25">
      <c r="A680" s="30">
        <v>7.3529506785809386E-9</v>
      </c>
    </row>
    <row r="681" spans="1:1" x14ac:dyDescent="0.25">
      <c r="A681" s="30">
        <v>6.9853031446518911E-9</v>
      </c>
    </row>
    <row r="682" spans="1:1" x14ac:dyDescent="0.25">
      <c r="A682" s="30">
        <v>6.6360379874192963E-9</v>
      </c>
    </row>
    <row r="683" spans="1:1" x14ac:dyDescent="0.25">
      <c r="A683" s="30">
        <v>6.3042360880483309E-9</v>
      </c>
    </row>
    <row r="684" spans="1:1" x14ac:dyDescent="0.25">
      <c r="A684" s="30">
        <v>5.989024283645914E-9</v>
      </c>
    </row>
    <row r="685" spans="1:1" x14ac:dyDescent="0.25">
      <c r="A685" s="30">
        <v>5.6895730694636181E-9</v>
      </c>
    </row>
    <row r="686" spans="1:1" x14ac:dyDescent="0.25">
      <c r="A686" s="30">
        <v>5.4050944159904366E-9</v>
      </c>
    </row>
    <row r="687" spans="1:1" x14ac:dyDescent="0.25">
      <c r="A687" s="30">
        <v>5.1348396951909145E-9</v>
      </c>
    </row>
    <row r="688" spans="1:1" x14ac:dyDescent="0.25">
      <c r="A688" s="30">
        <v>4.8780977104313684E-9</v>
      </c>
    </row>
    <row r="689" spans="1:1" x14ac:dyDescent="0.25">
      <c r="A689" s="30">
        <v>4.6341928249097994E-9</v>
      </c>
    </row>
    <row r="690" spans="1:1" x14ac:dyDescent="0.25">
      <c r="A690" s="30">
        <v>4.4024831836643092E-9</v>
      </c>
    </row>
    <row r="691" spans="1:1" x14ac:dyDescent="0.25">
      <c r="A691" s="30">
        <v>4.1823590244810936E-9</v>
      </c>
    </row>
    <row r="692" spans="1:1" x14ac:dyDescent="0.25">
      <c r="A692" s="30">
        <v>3.9732410732570384E-9</v>
      </c>
    </row>
    <row r="693" spans="1:1" x14ac:dyDescent="0.25">
      <c r="A693" s="30">
        <v>3.7745790195941862E-9</v>
      </c>
    </row>
    <row r="694" spans="1:1" x14ac:dyDescent="0.25">
      <c r="A694" s="30">
        <v>3.5858500686144767E-9</v>
      </c>
    </row>
    <row r="695" spans="1:1" x14ac:dyDescent="0.25">
      <c r="A695" s="30">
        <v>3.4065575651837529E-9</v>
      </c>
    </row>
    <row r="696" spans="1:1" x14ac:dyDescent="0.25">
      <c r="A696" s="30">
        <v>3.236229686924565E-9</v>
      </c>
    </row>
    <row r="697" spans="1:1" x14ac:dyDescent="0.25">
      <c r="A697" s="30">
        <v>3.0744182025783365E-9</v>
      </c>
    </row>
    <row r="698" spans="1:1" x14ac:dyDescent="0.25">
      <c r="A698" s="30">
        <v>2.9206972924494197E-9</v>
      </c>
    </row>
    <row r="699" spans="1:1" x14ac:dyDescent="0.25">
      <c r="A699" s="30">
        <v>2.7746624278269484E-9</v>
      </c>
    </row>
    <row r="700" spans="1:1" x14ac:dyDescent="0.25">
      <c r="A700" s="30">
        <v>2.635929306435601E-9</v>
      </c>
    </row>
    <row r="701" spans="1:1" x14ac:dyDescent="0.25">
      <c r="A701" s="30">
        <v>2.504132841113821E-9</v>
      </c>
    </row>
    <row r="702" spans="1:1" x14ac:dyDescent="0.25">
      <c r="A702" s="30">
        <v>2.3789261990581298E-9</v>
      </c>
    </row>
    <row r="703" spans="1:1" x14ac:dyDescent="0.25">
      <c r="A703" s="30">
        <v>2.259979889105223E-9</v>
      </c>
    </row>
    <row r="704" spans="1:1" x14ac:dyDescent="0.25">
      <c r="A704" s="30">
        <v>2.1469808946499619E-9</v>
      </c>
    </row>
    <row r="705" spans="1:1" x14ac:dyDescent="0.25">
      <c r="A705" s="30">
        <v>2.0396318499174636E-9</v>
      </c>
    </row>
    <row r="706" spans="1:1" x14ac:dyDescent="0.25">
      <c r="A706" s="30">
        <v>1.9376502574215905E-9</v>
      </c>
    </row>
    <row r="707" spans="1:1" x14ac:dyDescent="0.25">
      <c r="A707" s="30">
        <v>1.8407677445505109E-9</v>
      </c>
    </row>
    <row r="708" spans="1:1" x14ac:dyDescent="0.25">
      <c r="A708" s="30">
        <v>1.7487293573229853E-9</v>
      </c>
    </row>
    <row r="709" spans="1:1" x14ac:dyDescent="0.25">
      <c r="A709" s="30">
        <v>1.661292889456836E-9</v>
      </c>
    </row>
    <row r="710" spans="1:1" x14ac:dyDescent="0.25">
      <c r="A710" s="30">
        <v>1.578228244983994E-9</v>
      </c>
    </row>
    <row r="711" spans="1:1" x14ac:dyDescent="0.25">
      <c r="A711" s="30">
        <v>1.4993168327347942E-9</v>
      </c>
    </row>
    <row r="712" spans="1:1" x14ac:dyDescent="0.25">
      <c r="A712" s="30">
        <v>1.4243509910980544E-9</v>
      </c>
    </row>
    <row r="713" spans="1:1" x14ac:dyDescent="0.25">
      <c r="A713" s="30">
        <v>1.3531334415431516E-9</v>
      </c>
    </row>
    <row r="714" spans="1:1" x14ac:dyDescent="0.25">
      <c r="A714" s="30">
        <v>1.285476769465994E-9</v>
      </c>
    </row>
    <row r="715" spans="1:1" x14ac:dyDescent="0.25">
      <c r="A715" s="30">
        <v>1.2212029309926942E-9</v>
      </c>
    </row>
    <row r="716" spans="1:1" x14ac:dyDescent="0.25">
      <c r="A716" s="30">
        <v>1.1601427844430595E-9</v>
      </c>
    </row>
    <row r="717" spans="1:1" x14ac:dyDescent="0.25">
      <c r="A717" s="30">
        <v>1.1021356452209065E-9</v>
      </c>
    </row>
    <row r="718" spans="1:1" x14ac:dyDescent="0.25">
      <c r="A718" s="30">
        <v>1.047028862959861E-9</v>
      </c>
    </row>
    <row r="719" spans="1:1" x14ac:dyDescent="0.25">
      <c r="A719" s="30">
        <v>9.9467741981186791E-10</v>
      </c>
    </row>
    <row r="720" spans="1:1" x14ac:dyDescent="0.25">
      <c r="A720" s="30">
        <v>9.4494354882127439E-10</v>
      </c>
    </row>
    <row r="721" spans="1:1" x14ac:dyDescent="0.25">
      <c r="A721" s="30">
        <v>8.9769637138021059E-10</v>
      </c>
    </row>
    <row r="722" spans="1:1" x14ac:dyDescent="0.25">
      <c r="A722" s="30">
        <v>8.5281155281120004E-10</v>
      </c>
    </row>
    <row r="723" spans="1:1" x14ac:dyDescent="0.25">
      <c r="A723" s="30">
        <v>8.1017097517064003E-10</v>
      </c>
    </row>
    <row r="724" spans="1:1" x14ac:dyDescent="0.25">
      <c r="A724" s="30">
        <v>7.69662426412108E-10</v>
      </c>
    </row>
    <row r="725" spans="1:1" x14ac:dyDescent="0.25">
      <c r="A725" s="30">
        <v>7.3117930509150257E-10</v>
      </c>
    </row>
    <row r="726" spans="1:1" x14ac:dyDescent="0.25">
      <c r="A726" s="30">
        <v>6.9462033983692743E-10</v>
      </c>
    </row>
    <row r="727" spans="1:1" x14ac:dyDescent="0.25">
      <c r="A727" s="30">
        <v>6.5988932284508105E-10</v>
      </c>
    </row>
    <row r="728" spans="1:1" x14ac:dyDescent="0.25">
      <c r="A728" s="30">
        <v>6.2689485670282699E-10</v>
      </c>
    </row>
    <row r="729" spans="1:1" x14ac:dyDescent="0.25">
      <c r="A729" s="30">
        <v>5.9555011386768556E-10</v>
      </c>
    </row>
    <row r="730" spans="1:1" x14ac:dyDescent="0.25">
      <c r="A730" s="30">
        <v>5.6577260817430128E-10</v>
      </c>
    </row>
    <row r="731" spans="1:1" x14ac:dyDescent="0.25">
      <c r="A731" s="30">
        <v>5.3748397776558616E-10</v>
      </c>
    </row>
    <row r="732" spans="1:1" x14ac:dyDescent="0.25">
      <c r="A732" s="30">
        <v>5.1060977887730685E-10</v>
      </c>
    </row>
    <row r="733" spans="1:1" x14ac:dyDescent="0.25">
      <c r="A733" s="30">
        <v>4.8507928993344152E-10</v>
      </c>
    </row>
    <row r="734" spans="1:1" x14ac:dyDescent="0.25">
      <c r="A734" s="30">
        <v>4.6082532543676942E-10</v>
      </c>
    </row>
    <row r="735" spans="1:1" x14ac:dyDescent="0.25">
      <c r="A735" s="30">
        <v>4.3778405916493093E-10</v>
      </c>
    </row>
    <row r="736" spans="1:1" x14ac:dyDescent="0.25">
      <c r="A736" s="30">
        <v>4.1589485620668437E-10</v>
      </c>
    </row>
    <row r="737" spans="1:1" x14ac:dyDescent="0.25">
      <c r="A737" s="30">
        <v>3.9510011339635012E-10</v>
      </c>
    </row>
    <row r="738" spans="1:1" x14ac:dyDescent="0.25">
      <c r="A738" s="30">
        <v>3.7534510772653259E-10</v>
      </c>
    </row>
    <row r="739" spans="1:1" x14ac:dyDescent="0.25">
      <c r="A739" s="30">
        <v>3.5657785234020594E-10</v>
      </c>
    </row>
    <row r="740" spans="1:1" x14ac:dyDescent="0.25">
      <c r="A740" s="30">
        <v>3.3874895972319565E-10</v>
      </c>
    </row>
    <row r="741" spans="1:1" x14ac:dyDescent="0.25">
      <c r="A741" s="30">
        <v>3.2181151173703586E-10</v>
      </c>
    </row>
    <row r="742" spans="1:1" x14ac:dyDescent="0.25">
      <c r="A742" s="30">
        <v>3.0572093615018408E-10</v>
      </c>
    </row>
    <row r="743" spans="1:1" x14ac:dyDescent="0.25">
      <c r="A743" s="30">
        <v>2.9043488934267484E-10</v>
      </c>
    </row>
    <row r="744" spans="1:1" x14ac:dyDescent="0.25">
      <c r="A744" s="30">
        <v>2.7591314487554109E-10</v>
      </c>
    </row>
    <row r="745" spans="1:1" x14ac:dyDescent="0.25">
      <c r="A745" s="30">
        <v>2.6211748763176403E-10</v>
      </c>
    </row>
    <row r="746" spans="1:1" x14ac:dyDescent="0.25">
      <c r="A746" s="30">
        <v>2.4901161325017583E-10</v>
      </c>
    </row>
    <row r="747" spans="1:1" x14ac:dyDescent="0.25">
      <c r="A747" s="30">
        <v>2.3656103258766704E-10</v>
      </c>
    </row>
    <row r="748" spans="1:1" x14ac:dyDescent="0.25">
      <c r="A748" s="30">
        <v>2.2473298095828367E-10</v>
      </c>
    </row>
    <row r="749" spans="1:1" x14ac:dyDescent="0.25">
      <c r="A749" s="30">
        <v>2.1349633191036949E-10</v>
      </c>
    </row>
    <row r="750" spans="1:1" x14ac:dyDescent="0.25">
      <c r="A750" s="30">
        <v>2.02821515314851E-10</v>
      </c>
    </row>
    <row r="751" spans="1:1" x14ac:dyDescent="0.25">
      <c r="A751" s="30">
        <v>1.9268043954910845E-10</v>
      </c>
    </row>
    <row r="752" spans="1:1" x14ac:dyDescent="0.25">
      <c r="A752" s="30">
        <v>1.8304641757165302E-10</v>
      </c>
    </row>
    <row r="753" spans="1:1" x14ac:dyDescent="0.25">
      <c r="A753" s="30">
        <v>1.7389409669307036E-10</v>
      </c>
    </row>
    <row r="754" spans="1:1" x14ac:dyDescent="0.25">
      <c r="A754" s="30">
        <v>1.6519939185841684E-10</v>
      </c>
    </row>
    <row r="755" spans="1:1" x14ac:dyDescent="0.25">
      <c r="A755" s="30">
        <v>1.5693942226549599E-10</v>
      </c>
    </row>
    <row r="756" spans="1:1" x14ac:dyDescent="0.25">
      <c r="A756" s="30">
        <v>1.4909245115222119E-10</v>
      </c>
    </row>
    <row r="757" spans="1:1" x14ac:dyDescent="0.25">
      <c r="A757" s="30">
        <v>1.4163782859461013E-10</v>
      </c>
    </row>
    <row r="758" spans="1:1" x14ac:dyDescent="0.25">
      <c r="A758" s="30">
        <v>1.3455593716487961E-10</v>
      </c>
    </row>
    <row r="759" spans="1:1" x14ac:dyDescent="0.25">
      <c r="A759" s="30">
        <v>1.2782814030663562E-10</v>
      </c>
    </row>
    <row r="760" spans="1:1" x14ac:dyDescent="0.25">
      <c r="A760" s="30">
        <v>1.2143673329130384E-10</v>
      </c>
    </row>
    <row r="761" spans="1:1" x14ac:dyDescent="0.25">
      <c r="A761" s="30">
        <v>1.1536489662673864E-10</v>
      </c>
    </row>
    <row r="762" spans="1:1" x14ac:dyDescent="0.25">
      <c r="A762" s="30">
        <v>1.095966517954017E-10</v>
      </c>
    </row>
    <row r="763" spans="1:1" x14ac:dyDescent="0.25">
      <c r="A763" s="30">
        <v>1.0411681920563161E-10</v>
      </c>
    </row>
    <row r="764" spans="1:1" x14ac:dyDescent="0.25">
      <c r="A764" s="30">
        <v>9.8910978245350022E-11</v>
      </c>
    </row>
    <row r="765" spans="1:1" x14ac:dyDescent="0.25">
      <c r="A765" s="30">
        <v>9.3965429333082514E-11</v>
      </c>
    </row>
    <row r="766" spans="1:1" x14ac:dyDescent="0.25">
      <c r="A766" s="30">
        <v>8.926715786642838E-11</v>
      </c>
    </row>
    <row r="767" spans="1:1" x14ac:dyDescent="0.25">
      <c r="A767" s="30">
        <v>8.4803799973106953E-11</v>
      </c>
    </row>
    <row r="768" spans="1:1" x14ac:dyDescent="0.25">
      <c r="A768" s="30">
        <v>8.0563609974451603E-11</v>
      </c>
    </row>
    <row r="769" spans="1:1" x14ac:dyDescent="0.25">
      <c r="A769" s="30">
        <v>7.6535429475729024E-11</v>
      </c>
    </row>
    <row r="770" spans="1:1" x14ac:dyDescent="0.25">
      <c r="A770" s="30">
        <v>7.270865800194257E-11</v>
      </c>
    </row>
    <row r="771" spans="1:1" x14ac:dyDescent="0.25">
      <c r="A771" s="30">
        <v>6.9073225101845444E-11</v>
      </c>
    </row>
    <row r="772" spans="1:1" x14ac:dyDescent="0.25">
      <c r="A772" s="30">
        <v>6.5619563846753168E-11</v>
      </c>
    </row>
    <row r="773" spans="1:1" x14ac:dyDescent="0.25">
      <c r="A773" s="30">
        <v>6.2338585654415507E-11</v>
      </c>
    </row>
    <row r="774" spans="1:1" x14ac:dyDescent="0.25">
      <c r="A774" s="30">
        <v>5.9221656371694723E-11</v>
      </c>
    </row>
    <row r="775" spans="1:1" x14ac:dyDescent="0.25">
      <c r="A775" s="30">
        <v>5.6260573553109984E-11</v>
      </c>
    </row>
    <row r="776" spans="1:1" x14ac:dyDescent="0.25">
      <c r="A776" s="30">
        <v>5.3447544875454483E-11</v>
      </c>
    </row>
    <row r="777" spans="1:1" x14ac:dyDescent="0.25">
      <c r="A777" s="30">
        <v>5.0775167631681754E-11</v>
      </c>
    </row>
    <row r="778" spans="1:1" x14ac:dyDescent="0.25">
      <c r="A778" s="30">
        <v>4.8236409250097665E-11</v>
      </c>
    </row>
    <row r="779" spans="1:1" x14ac:dyDescent="0.25">
      <c r="A779" s="30">
        <v>4.5824588787592778E-11</v>
      </c>
    </row>
    <row r="780" spans="1:1" x14ac:dyDescent="0.25">
      <c r="A780" s="30">
        <v>4.3533359348213134E-11</v>
      </c>
    </row>
    <row r="781" spans="1:1" x14ac:dyDescent="0.25">
      <c r="A781" s="30">
        <v>4.1356691380802478E-11</v>
      </c>
    </row>
    <row r="782" spans="1:1" x14ac:dyDescent="0.25">
      <c r="A782" s="30">
        <v>3.9288856811762353E-11</v>
      </c>
    </row>
    <row r="783" spans="1:1" x14ac:dyDescent="0.25">
      <c r="A783" s="30">
        <v>3.7324413971174231E-11</v>
      </c>
    </row>
    <row r="784" spans="1:1" x14ac:dyDescent="0.25">
      <c r="A784" s="30">
        <v>3.545819327261552E-11</v>
      </c>
    </row>
    <row r="785" spans="1:1" x14ac:dyDescent="0.25">
      <c r="A785" s="30">
        <v>3.3685283608984745E-11</v>
      </c>
    </row>
    <row r="786" spans="1:1" x14ac:dyDescent="0.25">
      <c r="A786" s="30">
        <v>3.2001019428535508E-11</v>
      </c>
    </row>
    <row r="787" spans="1:1" x14ac:dyDescent="0.25">
      <c r="A787" s="30">
        <v>3.0400968457108733E-11</v>
      </c>
    </row>
    <row r="788" spans="1:1" x14ac:dyDescent="0.25">
      <c r="A788" s="30">
        <v>2.8880920034253296E-11</v>
      </c>
    </row>
    <row r="789" spans="1:1" x14ac:dyDescent="0.25">
      <c r="A789" s="30">
        <v>2.7436874032540629E-11</v>
      </c>
    </row>
    <row r="790" spans="1:1" x14ac:dyDescent="0.25">
      <c r="A790" s="30">
        <v>2.6065030330913595E-11</v>
      </c>
    </row>
    <row r="791" spans="1:1" x14ac:dyDescent="0.25">
      <c r="A791" s="30">
        <v>2.4761778814367914E-11</v>
      </c>
    </row>
    <row r="792" spans="1:1" x14ac:dyDescent="0.25">
      <c r="A792" s="30">
        <v>2.3523689873649516E-11</v>
      </c>
    </row>
    <row r="793" spans="1:1" x14ac:dyDescent="0.25">
      <c r="A793" s="30">
        <v>2.234750537996704E-11</v>
      </c>
    </row>
    <row r="794" spans="1:1" x14ac:dyDescent="0.25">
      <c r="A794" s="30">
        <v>2.1230130110968688E-11</v>
      </c>
    </row>
    <row r="795" spans="1:1" x14ac:dyDescent="0.25">
      <c r="A795" s="30">
        <v>2.0168623605420253E-11</v>
      </c>
    </row>
    <row r="796" spans="1:1" x14ac:dyDescent="0.25">
      <c r="A796" s="30">
        <v>1.916019242514924E-11</v>
      </c>
    </row>
    <row r="797" spans="1:1" x14ac:dyDescent="0.25">
      <c r="A797" s="30">
        <v>1.8202182803891777E-11</v>
      </c>
    </row>
    <row r="798" spans="1:1" x14ac:dyDescent="0.25">
      <c r="A798" s="30">
        <v>1.7292073663697186E-11</v>
      </c>
    </row>
    <row r="799" spans="1:1" x14ac:dyDescent="0.25">
      <c r="A799" s="30">
        <v>1.6427469980512324E-11</v>
      </c>
    </row>
    <row r="800" spans="1:1" x14ac:dyDescent="0.25">
      <c r="A800" s="30">
        <v>1.5606096481486706E-11</v>
      </c>
    </row>
    <row r="801" spans="1:1" x14ac:dyDescent="0.25">
      <c r="A801" s="30">
        <v>1.482579165741237E-11</v>
      </c>
    </row>
    <row r="802" spans="1:1" x14ac:dyDescent="0.25">
      <c r="A802" s="30">
        <v>1.408450207454175E-11</v>
      </c>
    </row>
    <row r="803" spans="1:1" x14ac:dyDescent="0.25">
      <c r="A803" s="30">
        <v>1.3380276970814662E-11</v>
      </c>
    </row>
    <row r="804" spans="1:1" x14ac:dyDescent="0.25">
      <c r="A804" s="30">
        <v>1.2711263122273928E-11</v>
      </c>
    </row>
    <row r="805" spans="1:1" x14ac:dyDescent="0.25">
      <c r="A805" s="30">
        <v>1.2075699966160231E-11</v>
      </c>
    </row>
    <row r="806" spans="1:1" x14ac:dyDescent="0.25">
      <c r="A806" s="30">
        <v>1.1471914967852219E-11</v>
      </c>
    </row>
    <row r="807" spans="1:1" x14ac:dyDescent="0.25">
      <c r="A807" s="30">
        <v>1.0898319219459608E-11</v>
      </c>
    </row>
    <row r="808" spans="1:1" x14ac:dyDescent="0.25">
      <c r="A808" s="30">
        <v>1.0353403258486628E-11</v>
      </c>
    </row>
    <row r="809" spans="1:1" x14ac:dyDescent="0.25">
      <c r="A809" s="30">
        <v>9.8357330955622963E-12</v>
      </c>
    </row>
    <row r="810" spans="1:1" x14ac:dyDescent="0.25">
      <c r="A810" s="30">
        <v>9.3439464407841808E-12</v>
      </c>
    </row>
    <row r="811" spans="1:1" x14ac:dyDescent="0.25">
      <c r="A811" s="30">
        <v>8.8767491187449709E-12</v>
      </c>
    </row>
    <row r="812" spans="1:1" x14ac:dyDescent="0.25">
      <c r="A812" s="30">
        <v>8.4329116628077213E-12</v>
      </c>
    </row>
    <row r="813" spans="1:1" x14ac:dyDescent="0.25">
      <c r="A813" s="30">
        <v>8.0112660796673341E-12</v>
      </c>
    </row>
    <row r="814" spans="1:1" x14ac:dyDescent="0.25">
      <c r="A814" s="30">
        <v>7.6107027756839663E-12</v>
      </c>
    </row>
    <row r="815" spans="1:1" x14ac:dyDescent="0.25">
      <c r="A815" s="30">
        <v>7.2301676368997673E-12</v>
      </c>
    </row>
    <row r="816" spans="1:1" x14ac:dyDescent="0.25">
      <c r="A816" s="30">
        <v>6.8686592550547782E-12</v>
      </c>
    </row>
    <row r="817" spans="1:1" x14ac:dyDescent="0.25">
      <c r="A817" s="30">
        <v>6.5252262923020387E-12</v>
      </c>
    </row>
    <row r="818" spans="1:1" x14ac:dyDescent="0.25">
      <c r="A818" s="30">
        <v>6.1989649776869368E-12</v>
      </c>
    </row>
    <row r="819" spans="1:1" x14ac:dyDescent="0.25">
      <c r="A819" s="30">
        <v>5.8890167288025901E-12</v>
      </c>
    </row>
    <row r="820" spans="1:1" x14ac:dyDescent="0.25">
      <c r="A820" s="30">
        <v>5.5945658923624606E-12</v>
      </c>
    </row>
    <row r="821" spans="1:1" x14ac:dyDescent="0.25">
      <c r="A821" s="30">
        <v>5.3148375977443373E-12</v>
      </c>
    </row>
    <row r="822" spans="1:1" x14ac:dyDescent="0.25">
      <c r="A822" s="30">
        <v>5.0490957178571204E-12</v>
      </c>
    </row>
    <row r="823" spans="1:1" x14ac:dyDescent="0.25">
      <c r="A823" s="30">
        <v>4.796640931964264E-12</v>
      </c>
    </row>
    <row r="824" spans="1:1" x14ac:dyDescent="0.25">
      <c r="A824" s="30">
        <v>4.5568088853660509E-12</v>
      </c>
    </row>
    <row r="825" spans="1:1" x14ac:dyDescent="0.25">
      <c r="A825" s="30">
        <v>4.3289684410977484E-12</v>
      </c>
    </row>
    <row r="826" spans="1:1" x14ac:dyDescent="0.25">
      <c r="A826" s="30">
        <v>4.1125200190428609E-12</v>
      </c>
    </row>
    <row r="827" spans="1:1" x14ac:dyDescent="0.25">
      <c r="A827" s="30">
        <v>3.9068940180907175E-12</v>
      </c>
    </row>
    <row r="828" spans="1:1" x14ac:dyDescent="0.25">
      <c r="A828" s="30">
        <v>3.7115493171861816E-12</v>
      </c>
    </row>
    <row r="829" spans="1:1" x14ac:dyDescent="0.25">
      <c r="A829" s="30">
        <v>3.5259718513268725E-12</v>
      </c>
    </row>
    <row r="830" spans="1:1" x14ac:dyDescent="0.25">
      <c r="A830" s="30">
        <v>3.3496732587605286E-12</v>
      </c>
    </row>
    <row r="831" spans="1:1" x14ac:dyDescent="0.25">
      <c r="A831" s="30">
        <v>3.182189595822502E-12</v>
      </c>
    </row>
    <row r="832" spans="1:1" x14ac:dyDescent="0.25">
      <c r="A832" s="30">
        <v>3.0230801160313768E-12</v>
      </c>
    </row>
    <row r="833" spans="1:1" x14ac:dyDescent="0.25">
      <c r="A833" s="30">
        <v>2.8719261102298077E-12</v>
      </c>
    </row>
    <row r="834" spans="1:1" x14ac:dyDescent="0.25">
      <c r="A834" s="30">
        <v>2.7283298047183172E-12</v>
      </c>
    </row>
    <row r="835" spans="1:1" x14ac:dyDescent="0.25">
      <c r="A835" s="30">
        <v>2.5919133144824012E-12</v>
      </c>
    </row>
    <row r="836" spans="1:1" x14ac:dyDescent="0.25">
      <c r="A836" s="30">
        <v>2.4623176487582809E-12</v>
      </c>
    </row>
    <row r="837" spans="1:1" x14ac:dyDescent="0.25">
      <c r="A837" s="30">
        <v>2.339201766320367E-12</v>
      </c>
    </row>
    <row r="838" spans="1:1" x14ac:dyDescent="0.25">
      <c r="A838" s="30">
        <v>2.2222416780043484E-12</v>
      </c>
    </row>
    <row r="839" spans="1:1" x14ac:dyDescent="0.25">
      <c r="A839" s="30">
        <v>2.1111295941041311E-12</v>
      </c>
    </row>
    <row r="840" spans="1:1" x14ac:dyDescent="0.25">
      <c r="A840" s="30">
        <v>2.0055731143989244E-12</v>
      </c>
    </row>
    <row r="841" spans="1:1" x14ac:dyDescent="0.25">
      <c r="A841" s="30">
        <v>1.9052944586789781E-12</v>
      </c>
    </row>
    <row r="842" spans="1:1" x14ac:dyDescent="0.25">
      <c r="A842" s="30">
        <v>1.8100297357450291E-12</v>
      </c>
    </row>
    <row r="843" spans="1:1" x14ac:dyDescent="0.25">
      <c r="A843" s="30">
        <v>1.7195282489577775E-12</v>
      </c>
    </row>
    <row r="844" spans="1:1" x14ac:dyDescent="0.25">
      <c r="A844" s="30">
        <v>1.6335518365098885E-12</v>
      </c>
    </row>
    <row r="845" spans="1:1" x14ac:dyDescent="0.25">
      <c r="A845" s="30">
        <v>1.551874244684394E-12</v>
      </c>
    </row>
    <row r="846" spans="1:1" x14ac:dyDescent="0.25">
      <c r="A846" s="30">
        <v>1.4742805324501742E-12</v>
      </c>
    </row>
    <row r="847" spans="1:1" x14ac:dyDescent="0.25">
      <c r="A847" s="30">
        <v>1.4005665058276655E-12</v>
      </c>
    </row>
    <row r="848" spans="1:1" x14ac:dyDescent="0.25">
      <c r="A848" s="30">
        <v>1.3305381805362821E-12</v>
      </c>
    </row>
    <row r="849" spans="1:1" x14ac:dyDescent="0.25">
      <c r="A849" s="30">
        <v>1.264011271509468E-12</v>
      </c>
    </row>
    <row r="850" spans="1:1" x14ac:dyDescent="0.25">
      <c r="A850" s="30">
        <v>1.2008107079339945E-12</v>
      </c>
    </row>
    <row r="851" spans="1:1" x14ac:dyDescent="0.25">
      <c r="A851" s="30">
        <v>1.1407701725372948E-12</v>
      </c>
    </row>
    <row r="852" spans="1:1" x14ac:dyDescent="0.25">
      <c r="A852" s="30">
        <v>1.08373166391043E-12</v>
      </c>
    </row>
    <row r="853" spans="1:1" x14ac:dyDescent="0.25">
      <c r="A853" s="30">
        <v>1.0295450807149084E-12</v>
      </c>
    </row>
    <row r="854" spans="1:1" x14ac:dyDescent="0.25">
      <c r="A854" s="30">
        <v>9.7806782667916296E-13</v>
      </c>
    </row>
    <row r="855" spans="1:1" x14ac:dyDescent="0.25">
      <c r="A855" s="30">
        <v>9.2916443534520479E-13</v>
      </c>
    </row>
    <row r="856" spans="1:1" x14ac:dyDescent="0.25">
      <c r="A856" s="30">
        <v>8.8270621357794449E-13</v>
      </c>
    </row>
    <row r="857" spans="1:1" x14ac:dyDescent="0.25">
      <c r="A857" s="30">
        <v>8.3857090289904726E-13</v>
      </c>
    </row>
    <row r="858" spans="1:1" x14ac:dyDescent="0.25">
      <c r="A858" s="30">
        <v>7.9664235775409483E-13</v>
      </c>
    </row>
    <row r="859" spans="1:1" x14ac:dyDescent="0.25">
      <c r="A859" s="30">
        <v>7.5681023986639008E-13</v>
      </c>
    </row>
    <row r="860" spans="1:1" x14ac:dyDescent="0.25">
      <c r="A860" s="30">
        <v>7.1896972787307055E-13</v>
      </c>
    </row>
    <row r="861" spans="1:1" x14ac:dyDescent="0.25">
      <c r="A861" s="30">
        <v>6.8302124147941695E-13</v>
      </c>
    </row>
    <row r="862" spans="1:1" x14ac:dyDescent="0.25">
      <c r="A862" s="30">
        <v>6.4887017940544605E-13</v>
      </c>
    </row>
    <row r="863" spans="1:1" x14ac:dyDescent="0.25">
      <c r="A863" s="30">
        <v>6.1642667043517373E-13</v>
      </c>
    </row>
    <row r="864" spans="1:1" x14ac:dyDescent="0.25">
      <c r="A864" s="30">
        <v>5.8560533691341505E-13</v>
      </c>
    </row>
    <row r="865" spans="1:1" x14ac:dyDescent="0.25">
      <c r="A865" s="30">
        <v>5.5632507006774425E-13</v>
      </c>
    </row>
    <row r="866" spans="1:1" x14ac:dyDescent="0.25">
      <c r="A866" s="30">
        <v>5.2850881656435705E-13</v>
      </c>
    </row>
    <row r="867" spans="1:1" x14ac:dyDescent="0.25">
      <c r="A867" s="30">
        <v>5.0208337573613919E-13</v>
      </c>
    </row>
    <row r="868" spans="1:1" x14ac:dyDescent="0.25">
      <c r="A868" s="30">
        <v>4.7697920694933223E-13</v>
      </c>
    </row>
    <row r="869" spans="1:1" x14ac:dyDescent="0.25">
      <c r="A869" s="30">
        <v>4.5313024660186561E-13</v>
      </c>
    </row>
    <row r="870" spans="1:1" x14ac:dyDescent="0.25">
      <c r="A870" s="30">
        <v>4.3047373427177233E-13</v>
      </c>
    </row>
    <row r="871" spans="1:1" x14ac:dyDescent="0.25">
      <c r="A871" s="30">
        <v>4.089500475581837E-13</v>
      </c>
    </row>
    <row r="872" spans="1:1" x14ac:dyDescent="0.25">
      <c r="A872" s="30">
        <v>3.8850254518027451E-13</v>
      </c>
    </row>
    <row r="873" spans="1:1" x14ac:dyDescent="0.25">
      <c r="A873" s="30">
        <v>3.6907741792126075E-13</v>
      </c>
    </row>
    <row r="874" spans="1:1" x14ac:dyDescent="0.25">
      <c r="A874" s="30">
        <v>3.506235470251977E-13</v>
      </c>
    </row>
    <row r="875" spans="1:1" x14ac:dyDescent="0.25">
      <c r="A875" s="30">
        <v>3.3309236967393782E-13</v>
      </c>
    </row>
  </sheetData>
  <conditionalFormatting sqref="C136">
    <cfRule type="cellIs" dxfId="56" priority="35" operator="equal">
      <formula>$U$1</formula>
    </cfRule>
    <cfRule type="cellIs" dxfId="55" priority="36" operator="equal">
      <formula>$S$1</formula>
    </cfRule>
  </conditionalFormatting>
  <conditionalFormatting sqref="D136">
    <cfRule type="cellIs" dxfId="54" priority="33" operator="equal">
      <formula>$S$1</formula>
    </cfRule>
    <cfRule type="cellIs" dxfId="53" priority="34" operator="equal">
      <formula>$U$1</formula>
    </cfRule>
  </conditionalFormatting>
  <conditionalFormatting sqref="C162">
    <cfRule type="cellIs" dxfId="52" priority="31" operator="equal">
      <formula>$U$1</formula>
    </cfRule>
    <cfRule type="cellIs" dxfId="51" priority="32" operator="equal">
      <formula>$S$1</formula>
    </cfRule>
  </conditionalFormatting>
  <conditionalFormatting sqref="D162">
    <cfRule type="cellIs" dxfId="50" priority="29" operator="equal">
      <formula>$S$1</formula>
    </cfRule>
    <cfRule type="cellIs" dxfId="49" priority="30" operator="equal">
      <formula>$U$1</formula>
    </cfRule>
  </conditionalFormatting>
  <conditionalFormatting sqref="C187">
    <cfRule type="cellIs" dxfId="48" priority="27" operator="equal">
      <formula>$U$1</formula>
    </cfRule>
    <cfRule type="cellIs" dxfId="47" priority="28" operator="equal">
      <formula>$S$1</formula>
    </cfRule>
  </conditionalFormatting>
  <conditionalFormatting sqref="D187">
    <cfRule type="cellIs" dxfId="46" priority="25" operator="equal">
      <formula>$S$1</formula>
    </cfRule>
    <cfRule type="cellIs" dxfId="45" priority="26" operator="equal">
      <formula>$U$1</formula>
    </cfRule>
  </conditionalFormatting>
  <conditionalFormatting sqref="C212">
    <cfRule type="cellIs" dxfId="44" priority="23" operator="equal">
      <formula>$U$1</formula>
    </cfRule>
    <cfRule type="cellIs" dxfId="43" priority="24" operator="equal">
      <formula>$S$1</formula>
    </cfRule>
  </conditionalFormatting>
  <conditionalFormatting sqref="D212">
    <cfRule type="cellIs" dxfId="42" priority="21" operator="equal">
      <formula>$S$1</formula>
    </cfRule>
    <cfRule type="cellIs" dxfId="41" priority="22" operator="equal">
      <formula>$U$1</formula>
    </cfRule>
  </conditionalFormatting>
  <conditionalFormatting sqref="C237">
    <cfRule type="cellIs" dxfId="40" priority="19" operator="equal">
      <formula>$U$1</formula>
    </cfRule>
    <cfRule type="cellIs" dxfId="39" priority="20" operator="equal">
      <formula>$S$1</formula>
    </cfRule>
  </conditionalFormatting>
  <conditionalFormatting sqref="D237">
    <cfRule type="cellIs" dxfId="38" priority="17" operator="equal">
      <formula>$S$1</formula>
    </cfRule>
    <cfRule type="cellIs" dxfId="37" priority="18" operator="equal">
      <formula>$U$1</formula>
    </cfRule>
  </conditionalFormatting>
  <conditionalFormatting sqref="C106">
    <cfRule type="cellIs" dxfId="36" priority="15" operator="equal">
      <formula>$U$1</formula>
    </cfRule>
    <cfRule type="cellIs" dxfId="35" priority="16" operator="equal">
      <formula>$S$1</formula>
    </cfRule>
  </conditionalFormatting>
  <conditionalFormatting sqref="D106">
    <cfRule type="cellIs" dxfId="34" priority="13" operator="equal">
      <formula>$S$1</formula>
    </cfRule>
    <cfRule type="cellIs" dxfId="33" priority="14" operator="equal">
      <formula>$U$1</formula>
    </cfRule>
  </conditionalFormatting>
  <conditionalFormatting sqref="C81">
    <cfRule type="cellIs" dxfId="32" priority="11" operator="equal">
      <formula>$U$1</formula>
    </cfRule>
    <cfRule type="cellIs" dxfId="31" priority="12" operator="equal">
      <formula>$S$1</formula>
    </cfRule>
  </conditionalFormatting>
  <conditionalFormatting sqref="D81">
    <cfRule type="cellIs" dxfId="30" priority="9" operator="equal">
      <formula>$S$1</formula>
    </cfRule>
    <cfRule type="cellIs" dxfId="29" priority="10" operator="equal">
      <formula>$U$1</formula>
    </cfRule>
  </conditionalFormatting>
  <conditionalFormatting sqref="C56">
    <cfRule type="cellIs" dxfId="28" priority="7" operator="equal">
      <formula>$U$1</formula>
    </cfRule>
    <cfRule type="cellIs" dxfId="27" priority="8" operator="equal">
      <formula>$S$1</formula>
    </cfRule>
  </conditionalFormatting>
  <conditionalFormatting sqref="D56">
    <cfRule type="cellIs" dxfId="26" priority="5" operator="equal">
      <formula>$S$1</formula>
    </cfRule>
    <cfRule type="cellIs" dxfId="25" priority="6" operator="equal">
      <formula>$U$1</formula>
    </cfRule>
  </conditionalFormatting>
  <conditionalFormatting sqref="C31">
    <cfRule type="cellIs" dxfId="24" priority="3" operator="equal">
      <formula>$U$1</formula>
    </cfRule>
    <cfRule type="cellIs" dxfId="23" priority="4" operator="equal">
      <formula>$S$1</formula>
    </cfRule>
  </conditionalFormatting>
  <conditionalFormatting sqref="D31">
    <cfRule type="cellIs" dxfId="22" priority="1" operator="equal">
      <formula>$S$1</formula>
    </cfRule>
    <cfRule type="cellIs" dxfId="21" priority="2" operator="equal">
      <formula>$U$1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526"/>
  <sheetViews>
    <sheetView topLeftCell="A149" zoomScale="90" zoomScaleNormal="90" workbookViewId="0">
      <pane xSplit="4" topLeftCell="E1" activePane="topRight" state="frozen"/>
      <selection activeCell="A109" sqref="A109"/>
      <selection pane="topRight" activeCell="G149" sqref="B1:G1048576"/>
    </sheetView>
  </sheetViews>
  <sheetFormatPr defaultRowHeight="15" x14ac:dyDescent="0.25"/>
  <cols>
    <col min="1" max="1" width="11.5703125" style="30" customWidth="1"/>
    <col min="2" max="5" width="11.5703125" style="1" hidden="1" customWidth="1"/>
    <col min="6" max="7" width="11.570312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16">
        <v>2605350.751695944</v>
      </c>
    </row>
    <row r="4" spans="1:21" x14ac:dyDescent="0.25">
      <c r="A4" s="16">
        <v>2368500.6833599489</v>
      </c>
    </row>
    <row r="5" spans="1:21" x14ac:dyDescent="0.25">
      <c r="A5" s="16">
        <v>2153182.4394181352</v>
      </c>
    </row>
    <row r="6" spans="1:21" x14ac:dyDescent="0.25">
      <c r="A6" s="16">
        <v>1957438.5812892136</v>
      </c>
    </row>
    <row r="7" spans="1:21" x14ac:dyDescent="0.25">
      <c r="A7" s="16">
        <v>1779489.6193538303</v>
      </c>
    </row>
    <row r="8" spans="1:21" x14ac:dyDescent="0.25">
      <c r="A8" s="16">
        <v>1617717.8357762094</v>
      </c>
    </row>
    <row r="9" spans="1:21" x14ac:dyDescent="0.25">
      <c r="A9" s="16">
        <v>1470652.5779783721</v>
      </c>
    </row>
    <row r="10" spans="1:21" x14ac:dyDescent="0.25">
      <c r="A10" s="16">
        <v>1336956.8890712473</v>
      </c>
    </row>
    <row r="11" spans="1:21" x14ac:dyDescent="0.25">
      <c r="A11" s="16">
        <v>1215415.3537011337</v>
      </c>
    </row>
    <row r="12" spans="1:21" x14ac:dyDescent="0.25">
      <c r="A12" s="16">
        <v>1104923.0488192125</v>
      </c>
    </row>
    <row r="13" spans="1:21" x14ac:dyDescent="0.25">
      <c r="A13" s="16">
        <v>1004475.4989265567</v>
      </c>
    </row>
    <row r="14" spans="1:21" x14ac:dyDescent="0.25">
      <c r="A14" s="16">
        <v>913159.54447868781</v>
      </c>
    </row>
    <row r="15" spans="1:21" x14ac:dyDescent="0.25">
      <c r="A15" s="16">
        <v>830145.04043517064</v>
      </c>
    </row>
    <row r="16" spans="1:21" x14ac:dyDescent="0.25">
      <c r="A16" s="16">
        <v>754677.30948651873</v>
      </c>
      <c r="C16" s="1" t="s">
        <v>15</v>
      </c>
    </row>
    <row r="17" spans="1:5" x14ac:dyDescent="0.25">
      <c r="A17" s="16">
        <v>686070.28135138063</v>
      </c>
      <c r="C17" s="7">
        <v>0.11167815779424731</v>
      </c>
      <c r="D17"/>
      <c r="E17"/>
    </row>
    <row r="18" spans="1:5" x14ac:dyDescent="0.25">
      <c r="A18" s="16">
        <v>623700.25577398238</v>
      </c>
      <c r="E18"/>
    </row>
    <row r="19" spans="1:5" x14ac:dyDescent="0.25">
      <c r="A19" s="16">
        <v>567000.23252180207</v>
      </c>
      <c r="C19" s="1" t="s">
        <v>11</v>
      </c>
      <c r="D19" s="1" t="s">
        <v>12</v>
      </c>
      <c r="E19"/>
    </row>
    <row r="20" spans="1:5" x14ac:dyDescent="0.25">
      <c r="A20" s="16">
        <v>515454.75683800189</v>
      </c>
      <c r="C20"/>
      <c r="D20"/>
      <c r="E20"/>
    </row>
    <row r="21" spans="1:5" x14ac:dyDescent="0.25">
      <c r="A21" s="16">
        <v>468595.23348909261</v>
      </c>
      <c r="E21"/>
    </row>
    <row r="22" spans="1:5" x14ac:dyDescent="0.25">
      <c r="A22" s="16">
        <v>425995.66680826596</v>
      </c>
      <c r="C22" s="1" t="s">
        <v>13</v>
      </c>
      <c r="E22"/>
    </row>
    <row r="23" spans="1:5" x14ac:dyDescent="0.25">
      <c r="A23" s="16">
        <v>387268.78800751449</v>
      </c>
      <c r="C23" s="1">
        <f>C12</f>
        <v>0</v>
      </c>
      <c r="E23"/>
    </row>
    <row r="24" spans="1:5" x14ac:dyDescent="0.25">
      <c r="A24" s="16">
        <v>352062.53455228586</v>
      </c>
      <c r="C24"/>
      <c r="D24"/>
      <c r="E24"/>
    </row>
    <row r="25" spans="1:5" x14ac:dyDescent="0.25">
      <c r="A25" s="16">
        <v>320056.8495929871</v>
      </c>
      <c r="C25" s="1" t="s">
        <v>14</v>
      </c>
      <c r="E25"/>
    </row>
    <row r="26" spans="1:5" x14ac:dyDescent="0.25">
      <c r="A26" s="16">
        <v>290960.77235726098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16">
        <v>264509.79305205541</v>
      </c>
      <c r="E27"/>
    </row>
    <row r="28" spans="1:5" x14ac:dyDescent="0.25">
      <c r="A28" s="16">
        <v>240463.44822914127</v>
      </c>
      <c r="E28"/>
    </row>
    <row r="29" spans="1:5" x14ac:dyDescent="0.25">
      <c r="A29" s="16">
        <v>218603.13475376478</v>
      </c>
      <c r="E29"/>
    </row>
    <row r="30" spans="1:5" x14ac:dyDescent="0.25">
      <c r="A30" s="16">
        <v>198730.12250342252</v>
      </c>
      <c r="E30"/>
    </row>
    <row r="31" spans="1:5" x14ac:dyDescent="0.25">
      <c r="A31" s="16">
        <v>180663.74773038409</v>
      </c>
      <c r="E31"/>
    </row>
    <row r="32" spans="1:5" x14ac:dyDescent="0.25">
      <c r="A32" s="16">
        <v>164239.77066398552</v>
      </c>
      <c r="E32"/>
    </row>
    <row r="33" spans="1:5" x14ac:dyDescent="0.25">
      <c r="A33" s="16">
        <v>149308.882421805</v>
      </c>
      <c r="E33"/>
    </row>
    <row r="34" spans="1:5" x14ac:dyDescent="0.25">
      <c r="A34" s="16">
        <v>135735.34765618635</v>
      </c>
      <c r="E34"/>
    </row>
    <row r="35" spans="1:5" x14ac:dyDescent="0.25">
      <c r="A35" s="16">
        <v>123395.77059653302</v>
      </c>
      <c r="E35"/>
    </row>
    <row r="36" spans="1:5" x14ac:dyDescent="0.25">
      <c r="A36" s="16">
        <v>112177.97326957546</v>
      </c>
      <c r="E36"/>
    </row>
    <row r="37" spans="1:5" x14ac:dyDescent="0.25">
      <c r="A37" s="16">
        <v>101979.97569961405</v>
      </c>
      <c r="E37"/>
    </row>
    <row r="38" spans="1:5" x14ac:dyDescent="0.25">
      <c r="A38" s="16">
        <v>92709.06881783095</v>
      </c>
      <c r="E38"/>
    </row>
    <row r="39" spans="1:5" x14ac:dyDescent="0.25">
      <c r="A39" s="16">
        <v>84280.971652573586</v>
      </c>
      <c r="E39"/>
    </row>
    <row r="40" spans="1:5" x14ac:dyDescent="0.25">
      <c r="A40" s="30">
        <v>76619.065138703256</v>
      </c>
      <c r="E40"/>
    </row>
    <row r="41" spans="1:5" x14ac:dyDescent="0.25">
      <c r="A41" s="30">
        <v>69653.695580639323</v>
      </c>
      <c r="E41"/>
    </row>
    <row r="42" spans="1:5" x14ac:dyDescent="0.25">
      <c r="A42" s="30">
        <v>63321.541436944834</v>
      </c>
      <c r="C42" s="1" t="s">
        <v>15</v>
      </c>
      <c r="E42"/>
    </row>
    <row r="43" spans="1:5" x14ac:dyDescent="0.25">
      <c r="A43" s="30">
        <v>57565.037669949845</v>
      </c>
      <c r="C43" s="7">
        <v>0.11167815779424731</v>
      </c>
      <c r="D43"/>
      <c r="E43"/>
    </row>
    <row r="44" spans="1:5" x14ac:dyDescent="0.25">
      <c r="A44" s="30">
        <v>52331.852427227124</v>
      </c>
      <c r="E44"/>
    </row>
    <row r="45" spans="1:5" x14ac:dyDescent="0.25">
      <c r="A45" s="30">
        <v>47574.411297479201</v>
      </c>
      <c r="C45" s="1" t="s">
        <v>11</v>
      </c>
      <c r="D45" s="1" t="s">
        <v>12</v>
      </c>
      <c r="E45"/>
    </row>
    <row r="46" spans="1:5" x14ac:dyDescent="0.25">
      <c r="A46" s="30">
        <v>43249.464815890176</v>
      </c>
      <c r="C46"/>
      <c r="D46"/>
      <c r="E46"/>
    </row>
    <row r="47" spans="1:5" x14ac:dyDescent="0.25">
      <c r="A47" s="30">
        <v>39317.695287172886</v>
      </c>
      <c r="E47"/>
    </row>
    <row r="48" spans="1:5" x14ac:dyDescent="0.25">
      <c r="A48" s="30">
        <v>35743.359351975349</v>
      </c>
      <c r="C48" s="1" t="s">
        <v>13</v>
      </c>
      <c r="E48"/>
    </row>
    <row r="49" spans="1:5" x14ac:dyDescent="0.25">
      <c r="A49" s="30">
        <v>32493.963047250312</v>
      </c>
      <c r="C49" s="1">
        <f>C38</f>
        <v>0</v>
      </c>
      <c r="E49"/>
    </row>
    <row r="50" spans="1:5" x14ac:dyDescent="0.25">
      <c r="A50" s="30">
        <v>29539.966406591189</v>
      </c>
      <c r="C50"/>
      <c r="D50"/>
      <c r="E50"/>
    </row>
    <row r="51" spans="1:5" x14ac:dyDescent="0.25">
      <c r="A51" s="30">
        <v>26854.514915082898</v>
      </c>
      <c r="C51" s="1" t="s">
        <v>14</v>
      </c>
      <c r="E51"/>
    </row>
    <row r="52" spans="1:5" x14ac:dyDescent="0.25">
      <c r="A52" s="30">
        <v>24413.195377348089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22193.81397940735</v>
      </c>
      <c r="E53"/>
    </row>
    <row r="54" spans="1:5" x14ac:dyDescent="0.25">
      <c r="A54" s="30">
        <v>20176.194526733954</v>
      </c>
      <c r="E54"/>
    </row>
    <row r="55" spans="1:5" x14ac:dyDescent="0.25">
      <c r="A55" s="30">
        <v>18341.995024303593</v>
      </c>
      <c r="E55"/>
    </row>
    <row r="56" spans="1:5" x14ac:dyDescent="0.25">
      <c r="A56" s="30">
        <v>16674.540931185082</v>
      </c>
      <c r="E56"/>
    </row>
    <row r="57" spans="1:5" x14ac:dyDescent="0.25">
      <c r="A57" s="30">
        <v>15158.673573804617</v>
      </c>
      <c r="E57"/>
    </row>
    <row r="58" spans="1:5" x14ac:dyDescent="0.25">
      <c r="A58" s="30">
        <v>13780.612339822379</v>
      </c>
      <c r="E58"/>
    </row>
    <row r="59" spans="1:5" x14ac:dyDescent="0.25">
      <c r="A59" s="30">
        <v>12527.829399838525</v>
      </c>
      <c r="E59"/>
    </row>
    <row r="60" spans="1:5" x14ac:dyDescent="0.25">
      <c r="A60" s="30">
        <v>11388.935818035023</v>
      </c>
      <c r="E60"/>
    </row>
    <row r="61" spans="1:5" x14ac:dyDescent="0.25">
      <c r="A61" s="30">
        <v>10353.578016395475</v>
      </c>
      <c r="E61"/>
    </row>
    <row r="62" spans="1:5" x14ac:dyDescent="0.25">
      <c r="A62" s="30">
        <v>9412.343651268613</v>
      </c>
      <c r="E62"/>
    </row>
    <row r="63" spans="1:5" x14ac:dyDescent="0.25">
      <c r="A63" s="30">
        <v>8556.6760466078285</v>
      </c>
      <c r="E63"/>
    </row>
    <row r="64" spans="1:5" x14ac:dyDescent="0.25">
      <c r="A64" s="30">
        <v>7778.7964060071163</v>
      </c>
      <c r="E64"/>
    </row>
    <row r="65" spans="1:5" x14ac:dyDescent="0.25">
      <c r="A65" s="30">
        <v>7071.6330963701048</v>
      </c>
      <c r="E65"/>
    </row>
    <row r="66" spans="1:5" x14ac:dyDescent="0.25">
      <c r="A66" s="30">
        <v>6428.7573603364581</v>
      </c>
      <c r="E66"/>
    </row>
    <row r="67" spans="1:5" x14ac:dyDescent="0.25">
      <c r="A67" s="30">
        <v>5844.3248730331434</v>
      </c>
      <c r="C67" s="1" t="s">
        <v>15</v>
      </c>
      <c r="E67"/>
    </row>
    <row r="68" spans="1:5" x14ac:dyDescent="0.25">
      <c r="A68" s="30">
        <v>5313.0226118483115</v>
      </c>
      <c r="C68" s="7">
        <v>0.11167815779424731</v>
      </c>
      <c r="D68"/>
      <c r="E68"/>
    </row>
    <row r="69" spans="1:5" x14ac:dyDescent="0.25">
      <c r="A69" s="30">
        <v>4830.020556225737</v>
      </c>
      <c r="E69"/>
    </row>
    <row r="70" spans="1:5" x14ac:dyDescent="0.25">
      <c r="A70" s="30">
        <v>4390.927778387033</v>
      </c>
      <c r="C70" s="1" t="s">
        <v>11</v>
      </c>
      <c r="D70" s="1" t="s">
        <v>12</v>
      </c>
      <c r="E70"/>
    </row>
    <row r="71" spans="1:5" x14ac:dyDescent="0.25">
      <c r="A71" s="30">
        <v>3991.7525258063934</v>
      </c>
      <c r="C71"/>
      <c r="D71"/>
      <c r="E71"/>
    </row>
    <row r="72" spans="1:5" x14ac:dyDescent="0.25">
      <c r="A72" s="30">
        <v>3628.8659325512663</v>
      </c>
      <c r="E72"/>
    </row>
    <row r="73" spans="1:5" x14ac:dyDescent="0.25">
      <c r="A73" s="30">
        <v>3298.96902959206</v>
      </c>
      <c r="C73" s="1" t="s">
        <v>13</v>
      </c>
      <c r="E73"/>
    </row>
    <row r="74" spans="1:5" x14ac:dyDescent="0.25">
      <c r="A74" s="30">
        <v>2999.0627541745998</v>
      </c>
      <c r="C74" s="1">
        <f>C63</f>
        <v>0</v>
      </c>
      <c r="E74"/>
    </row>
    <row r="75" spans="1:5" x14ac:dyDescent="0.25">
      <c r="A75" s="30">
        <v>2726.4206856132723</v>
      </c>
      <c r="C75"/>
      <c r="D75"/>
      <c r="E75"/>
    </row>
    <row r="76" spans="1:5" x14ac:dyDescent="0.25">
      <c r="A76" s="30">
        <v>2478.564259648429</v>
      </c>
      <c r="C76" s="1" t="s">
        <v>14</v>
      </c>
      <c r="E76"/>
    </row>
    <row r="77" spans="1:5" x14ac:dyDescent="0.25">
      <c r="A77" s="30">
        <v>2253.240236044026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2048.4002145854779</v>
      </c>
      <c r="E78"/>
    </row>
    <row r="79" spans="1:5" x14ac:dyDescent="0.25">
      <c r="A79" s="30">
        <v>1862.1820132595253</v>
      </c>
      <c r="E79"/>
    </row>
    <row r="80" spans="1:5" x14ac:dyDescent="0.25">
      <c r="A80" s="30">
        <v>1692.8927393268411</v>
      </c>
      <c r="E80"/>
    </row>
    <row r="81" spans="1:5" x14ac:dyDescent="0.25">
      <c r="A81" s="30">
        <v>1538.9933993880372</v>
      </c>
      <c r="E81"/>
    </row>
    <row r="82" spans="1:5" x14ac:dyDescent="0.25">
      <c r="A82" s="30">
        <v>1399.0849085345792</v>
      </c>
      <c r="E82"/>
    </row>
    <row r="83" spans="1:5" x14ac:dyDescent="0.25">
      <c r="A83" s="30">
        <v>1271.8953713950718</v>
      </c>
      <c r="E83"/>
    </row>
    <row r="84" spans="1:5" x14ac:dyDescent="0.25">
      <c r="A84" s="30">
        <v>1156.2685194500652</v>
      </c>
      <c r="E84"/>
    </row>
    <row r="85" spans="1:5" x14ac:dyDescent="0.25">
      <c r="A85" s="30">
        <v>1051.1531995000591</v>
      </c>
      <c r="E85"/>
    </row>
    <row r="86" spans="1:5" x14ac:dyDescent="0.25">
      <c r="A86" s="30">
        <v>955.59381772732638</v>
      </c>
      <c r="E86"/>
    </row>
    <row r="87" spans="1:5" x14ac:dyDescent="0.25">
      <c r="A87" s="30">
        <v>868.72165247938756</v>
      </c>
      <c r="E87"/>
    </row>
    <row r="88" spans="1:5" x14ac:dyDescent="0.25">
      <c r="A88" s="30">
        <v>789.74695679944318</v>
      </c>
      <c r="E88"/>
    </row>
    <row r="89" spans="1:5" x14ac:dyDescent="0.25">
      <c r="A89" s="30">
        <v>717.95177890858463</v>
      </c>
      <c r="E89"/>
    </row>
    <row r="90" spans="1:5" x14ac:dyDescent="0.25">
      <c r="A90" s="30">
        <v>652.68343537144051</v>
      </c>
      <c r="E90"/>
    </row>
    <row r="91" spans="1:5" x14ac:dyDescent="0.25">
      <c r="A91" s="30">
        <v>593.34857761040041</v>
      </c>
      <c r="E91"/>
    </row>
    <row r="92" spans="1:5" x14ac:dyDescent="0.25">
      <c r="A92" s="30">
        <v>539.40779782763673</v>
      </c>
      <c r="C92" s="1" t="s">
        <v>15</v>
      </c>
      <c r="E92"/>
    </row>
    <row r="93" spans="1:5" x14ac:dyDescent="0.25">
      <c r="A93" s="30">
        <v>490.37072529785149</v>
      </c>
      <c r="C93" s="7">
        <v>0.11167815779424731</v>
      </c>
      <c r="D93"/>
      <c r="E93"/>
    </row>
    <row r="94" spans="1:5" x14ac:dyDescent="0.25">
      <c r="A94" s="30">
        <v>445.79156845259223</v>
      </c>
      <c r="E94"/>
    </row>
    <row r="95" spans="1:5" x14ac:dyDescent="0.25">
      <c r="A95" s="30">
        <v>405.26506222962928</v>
      </c>
      <c r="C95" s="1" t="s">
        <v>11</v>
      </c>
      <c r="D95" s="1" t="s">
        <v>12</v>
      </c>
      <c r="E95"/>
    </row>
    <row r="96" spans="1:5" x14ac:dyDescent="0.25">
      <c r="A96" s="30">
        <v>368.42278384511752</v>
      </c>
      <c r="C96"/>
      <c r="D96"/>
      <c r="E96"/>
    </row>
    <row r="97" spans="1:5" x14ac:dyDescent="0.25">
      <c r="A97" s="30">
        <v>334.92980349556137</v>
      </c>
      <c r="E97"/>
    </row>
    <row r="98" spans="1:5" x14ac:dyDescent="0.25">
      <c r="A98" s="30">
        <v>304.48163954141938</v>
      </c>
      <c r="C98" s="1" t="s">
        <v>13</v>
      </c>
      <c r="E98"/>
    </row>
    <row r="99" spans="1:5" x14ac:dyDescent="0.25">
      <c r="A99" s="30">
        <v>276.80149049219943</v>
      </c>
      <c r="C99" s="1">
        <f>C88</f>
        <v>0</v>
      </c>
      <c r="E99"/>
    </row>
    <row r="100" spans="1:5" x14ac:dyDescent="0.25">
      <c r="A100" s="30">
        <v>251.63771862927217</v>
      </c>
      <c r="C100"/>
      <c r="D100"/>
      <c r="E100"/>
    </row>
    <row r="101" spans="1:5" x14ac:dyDescent="0.25">
      <c r="A101" s="30">
        <v>228.76156239024741</v>
      </c>
      <c r="C101" s="1" t="s">
        <v>14</v>
      </c>
      <c r="E101"/>
    </row>
    <row r="102" spans="1:5" x14ac:dyDescent="0.25">
      <c r="A102" s="30">
        <v>207.96505671840671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189.05914247127882</v>
      </c>
      <c r="E103"/>
    </row>
    <row r="104" spans="1:5" x14ac:dyDescent="0.25">
      <c r="A104" s="30">
        <v>171.87194770116255</v>
      </c>
      <c r="E104"/>
    </row>
    <row r="105" spans="1:5" x14ac:dyDescent="0.25">
      <c r="A105" s="30">
        <v>156.24722518287504</v>
      </c>
      <c r="E105"/>
    </row>
    <row r="106" spans="1:5" x14ac:dyDescent="0.25">
      <c r="A106" s="30">
        <v>142.04293198443185</v>
      </c>
      <c r="E106"/>
    </row>
    <row r="107" spans="1:5" x14ac:dyDescent="0.25">
      <c r="A107" s="30">
        <v>129.1299381676653</v>
      </c>
      <c r="E107"/>
    </row>
    <row r="108" spans="1:5" x14ac:dyDescent="0.25">
      <c r="A108" s="30">
        <v>117.39085287969573</v>
      </c>
      <c r="E108"/>
    </row>
    <row r="109" spans="1:5" x14ac:dyDescent="0.25">
      <c r="A109" s="30">
        <v>106.71895716335975</v>
      </c>
      <c r="E109"/>
    </row>
    <row r="110" spans="1:5" x14ac:dyDescent="0.25">
      <c r="A110" s="30">
        <v>97.017233784872488</v>
      </c>
      <c r="E110"/>
    </row>
    <row r="111" spans="1:5" x14ac:dyDescent="0.25">
      <c r="A111" s="30">
        <v>88.197485258974979</v>
      </c>
      <c r="C111" s="1" t="str">
        <f>ADDRESS(C121-1,1,1,1)</f>
        <v>$A$157</v>
      </c>
      <c r="D111" s="1" t="str">
        <f>ADDRESS(C121-1,D121,1,1)</f>
        <v>$E$157</v>
      </c>
      <c r="E111"/>
    </row>
    <row r="112" spans="1:5" x14ac:dyDescent="0.25">
      <c r="A112" s="30">
        <v>80.179532053613613</v>
      </c>
      <c r="C112" s="1" t="str">
        <f>ADDRESS(C121,1,1,1)</f>
        <v>$A$158</v>
      </c>
      <c r="D112" s="1" t="str">
        <f>ADDRESS(C121,D121-1,1,1)</f>
        <v>$D$158</v>
      </c>
      <c r="E112"/>
    </row>
    <row r="113" spans="1:5" x14ac:dyDescent="0.25">
      <c r="A113" s="30">
        <v>72.890483685103277</v>
      </c>
      <c r="C113" s="1" t="str">
        <f>ADDRESS(C121+1,1,1,1)</f>
        <v>$A$159</v>
      </c>
      <c r="D113" s="1" t="str">
        <f>ADDRESS(C121-1,D121+1,1,1)</f>
        <v>$F$157</v>
      </c>
    </row>
    <row r="114" spans="1:5" x14ac:dyDescent="0.25">
      <c r="A114" s="30">
        <v>66.26407607736661</v>
      </c>
      <c r="C114" s="1" t="str">
        <f>ADDRESS(C121,D121,1,1)</f>
        <v>$E$158</v>
      </c>
      <c r="D114" s="1" t="str">
        <f>ADDRESS(C121+1,D121+1,1,1)</f>
        <v>$F$159</v>
      </c>
    </row>
    <row r="115" spans="1:5" x14ac:dyDescent="0.25">
      <c r="A115" s="30">
        <v>60.240069161242367</v>
      </c>
      <c r="C115" s="1" t="str">
        <f>ADDRESS(C121+1,D121,1,1)</f>
        <v>$E$159</v>
      </c>
    </row>
    <row r="116" spans="1:5" x14ac:dyDescent="0.25">
      <c r="A116" s="30">
        <v>54.763699237493057</v>
      </c>
      <c r="C116" s="1">
        <f>C117-1</f>
        <v>157</v>
      </c>
    </row>
    <row r="117" spans="1:5" x14ac:dyDescent="0.25">
      <c r="A117" s="30">
        <v>49.785181124993684</v>
      </c>
      <c r="C117" s="1">
        <f>C121</f>
        <v>158</v>
      </c>
      <c r="D117" s="1">
        <f>D121</f>
        <v>5</v>
      </c>
    </row>
    <row r="118" spans="1:5" x14ac:dyDescent="0.25">
      <c r="A118" s="30">
        <v>45.259255568176073</v>
      </c>
      <c r="C118" s="1">
        <f>C117+1</f>
        <v>159</v>
      </c>
      <c r="D118" s="1">
        <f>D117+1</f>
        <v>6</v>
      </c>
    </row>
    <row r="119" spans="1:5" x14ac:dyDescent="0.25">
      <c r="A119" s="30">
        <v>41.144777789250973</v>
      </c>
    </row>
    <row r="120" spans="1:5" x14ac:dyDescent="0.25">
      <c r="A120" s="30">
        <v>37.404343444773609</v>
      </c>
      <c r="C120" s="1" t="s">
        <v>9</v>
      </c>
    </row>
    <row r="121" spans="1:5" x14ac:dyDescent="0.25">
      <c r="A121" s="30">
        <v>34.003948586157826</v>
      </c>
      <c r="C121" s="18">
        <v>158</v>
      </c>
      <c r="D121" s="19">
        <v>5</v>
      </c>
      <c r="E121" s="18"/>
    </row>
    <row r="122" spans="1:5" x14ac:dyDescent="0.25">
      <c r="A122" s="30">
        <v>30.912680532870748</v>
      </c>
      <c r="C122" s="1" t="str">
        <f>INDEX(1:1048576,C117,D117)</f>
        <v>X</v>
      </c>
    </row>
    <row r="123" spans="1:5" x14ac:dyDescent="0.25">
      <c r="A123" s="30">
        <v>28.102436848064315</v>
      </c>
      <c r="C123" s="1" t="str">
        <f>"R"&amp;C121</f>
        <v>R158</v>
      </c>
      <c r="D123" s="1" t="str">
        <f>"C"&amp;D121</f>
        <v>C5</v>
      </c>
    </row>
    <row r="124" spans="1:5" x14ac:dyDescent="0.25">
      <c r="A124" s="30">
        <v>25.547669861876649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23.225154419887861</v>
      </c>
    </row>
    <row r="126" spans="1:5" x14ac:dyDescent="0.25">
      <c r="A126" s="30">
        <v>21.113776745352599</v>
      </c>
      <c r="C126" s="1" t="s">
        <v>10</v>
      </c>
    </row>
    <row r="127" spans="1:5" x14ac:dyDescent="0.25">
      <c r="A127" s="30">
        <v>19.194342495775089</v>
      </c>
      <c r="C127" s="17">
        <v>1</v>
      </c>
      <c r="D127"/>
    </row>
    <row r="128" spans="1:5" x14ac:dyDescent="0.25">
      <c r="A128" s="30">
        <v>17.449402268886445</v>
      </c>
    </row>
    <row r="129" spans="1:5" x14ac:dyDescent="0.25">
      <c r="A129" s="30">
        <v>15.863092971714948</v>
      </c>
      <c r="C129" s="1" t="s">
        <v>11</v>
      </c>
      <c r="D129" s="1" t="s">
        <v>12</v>
      </c>
      <c r="E129"/>
    </row>
    <row r="130" spans="1:5" x14ac:dyDescent="0.25">
      <c r="A130" s="30">
        <v>14.420993610649951</v>
      </c>
      <c r="C130" s="5"/>
      <c r="D130" s="5"/>
      <c r="E130"/>
    </row>
    <row r="131" spans="1:5" x14ac:dyDescent="0.25">
      <c r="A131" s="30">
        <v>13.109994191499954</v>
      </c>
      <c r="E131"/>
    </row>
    <row r="132" spans="1:5" x14ac:dyDescent="0.25">
      <c r="A132" s="30">
        <v>11.918176537727231</v>
      </c>
      <c r="C132" s="1" t="s">
        <v>13</v>
      </c>
      <c r="E132"/>
    </row>
    <row r="133" spans="1:5" x14ac:dyDescent="0.25">
      <c r="A133" s="30">
        <v>10.834705943388391</v>
      </c>
      <c r="C133" s="1" t="str">
        <f>C122</f>
        <v>X</v>
      </c>
      <c r="E133"/>
    </row>
    <row r="134" spans="1:5" x14ac:dyDescent="0.25">
      <c r="A134" s="30">
        <v>9.849732675807628</v>
      </c>
      <c r="C134"/>
      <c r="D134"/>
      <c r="E134"/>
    </row>
    <row r="135" spans="1:5" x14ac:dyDescent="0.25">
      <c r="A135" s="30">
        <v>8.9543024325523888</v>
      </c>
      <c r="C135" s="1" t="s">
        <v>14</v>
      </c>
      <c r="E135"/>
    </row>
    <row r="136" spans="1:5" x14ac:dyDescent="0.25">
      <c r="A136" s="30">
        <v>8.140274938683989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</row>
    <row r="137" spans="1:5" x14ac:dyDescent="0.25">
      <c r="A137" s="30">
        <v>7.4002499442581717</v>
      </c>
      <c r="E137"/>
    </row>
    <row r="138" spans="1:5" x14ac:dyDescent="0.25">
      <c r="A138" s="30">
        <v>6.72749994932561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6.1159090448414632</v>
      </c>
      <c r="E139"/>
    </row>
    <row r="140" spans="1:5" x14ac:dyDescent="0.25">
      <c r="A140" s="30">
        <v>5.5599173134922388</v>
      </c>
      <c r="C140" s="1">
        <v>0</v>
      </c>
      <c r="E140"/>
    </row>
    <row r="141" spans="1:5" x14ac:dyDescent="0.25">
      <c r="A141" s="30">
        <v>5.0544702849929442</v>
      </c>
      <c r="C141" s="1">
        <v>1</v>
      </c>
      <c r="E141"/>
    </row>
    <row r="142" spans="1:5" x14ac:dyDescent="0.25">
      <c r="A142" s="30">
        <v>4.594972986357222</v>
      </c>
      <c r="C142" s="1">
        <v>2</v>
      </c>
      <c r="E142"/>
    </row>
    <row r="143" spans="1:5" x14ac:dyDescent="0.25">
      <c r="A143" s="30">
        <v>4.1772481694156562</v>
      </c>
      <c r="C143" s="1">
        <v>3</v>
      </c>
      <c r="E143"/>
    </row>
    <row r="144" spans="1:5" x14ac:dyDescent="0.25">
      <c r="A144" s="30">
        <v>3.7974983358324148</v>
      </c>
      <c r="C144" s="1">
        <v>4</v>
      </c>
      <c r="E144"/>
    </row>
    <row r="145" spans="1:5" x14ac:dyDescent="0.25">
      <c r="A145" s="30">
        <v>3.4522712143931042</v>
      </c>
      <c r="B145"/>
      <c r="C145"/>
      <c r="D145"/>
      <c r="E145"/>
    </row>
    <row r="146" spans="1:5" x14ac:dyDescent="0.25">
      <c r="A146" s="30">
        <v>3.1384283767210035</v>
      </c>
      <c r="B146"/>
      <c r="C146"/>
      <c r="D146"/>
      <c r="E146"/>
    </row>
    <row r="147" spans="1:5" x14ac:dyDescent="0.25">
      <c r="A147" s="30">
        <v>2.8531167061100029</v>
      </c>
      <c r="B147"/>
      <c r="C147"/>
      <c r="D147"/>
      <c r="E147"/>
    </row>
    <row r="148" spans="1:5" x14ac:dyDescent="0.25">
      <c r="A148" s="30">
        <v>2.5937424601000023</v>
      </c>
      <c r="B148"/>
      <c r="C148"/>
      <c r="D148"/>
      <c r="E148"/>
    </row>
    <row r="149" spans="1:5" x14ac:dyDescent="0.25">
      <c r="A149" s="30">
        <v>2.3579476910000019</v>
      </c>
      <c r="B149"/>
      <c r="C149"/>
      <c r="D149"/>
      <c r="E149"/>
    </row>
    <row r="150" spans="1:5" x14ac:dyDescent="0.25">
      <c r="A150" s="30">
        <v>2.1435888100000016</v>
      </c>
      <c r="B150"/>
      <c r="C150"/>
      <c r="D150"/>
      <c r="E150"/>
    </row>
    <row r="151" spans="1:5" x14ac:dyDescent="0.25">
      <c r="A151" s="30">
        <v>1.9487171000000014</v>
      </c>
      <c r="B151"/>
      <c r="C151"/>
      <c r="D151"/>
      <c r="E151"/>
    </row>
    <row r="152" spans="1:5" x14ac:dyDescent="0.25">
      <c r="A152" s="30">
        <v>1.7715610000000011</v>
      </c>
      <c r="B152"/>
      <c r="C152"/>
      <c r="D152"/>
      <c r="E152"/>
    </row>
    <row r="153" spans="1:5" x14ac:dyDescent="0.25">
      <c r="A153" s="30">
        <v>1.6105100000000008</v>
      </c>
      <c r="B153"/>
      <c r="C153"/>
      <c r="D153"/>
      <c r="E153"/>
    </row>
    <row r="154" spans="1:5" x14ac:dyDescent="0.25">
      <c r="A154" s="30">
        <v>1.4641000000000006</v>
      </c>
      <c r="B154"/>
      <c r="C154"/>
      <c r="D154"/>
      <c r="E154"/>
    </row>
    <row r="155" spans="1:5" x14ac:dyDescent="0.25">
      <c r="A155" s="30">
        <v>1.3310000000000004</v>
      </c>
      <c r="B155"/>
      <c r="C155"/>
      <c r="D155"/>
      <c r="E155"/>
    </row>
    <row r="156" spans="1:5" x14ac:dyDescent="0.25">
      <c r="A156" s="30">
        <v>1.2100000000000002</v>
      </c>
      <c r="B156"/>
      <c r="C156"/>
      <c r="D156"/>
      <c r="E156"/>
    </row>
    <row r="157" spans="1:5" x14ac:dyDescent="0.25">
      <c r="A157" s="30">
        <v>1.1000000000000001</v>
      </c>
      <c r="B157"/>
      <c r="C157"/>
      <c r="D157"/>
      <c r="E157"/>
    </row>
    <row r="158" spans="1:5" x14ac:dyDescent="0.25">
      <c r="A158" s="30">
        <v>1</v>
      </c>
      <c r="B158"/>
      <c r="C158"/>
      <c r="D158"/>
      <c r="E158" t="s">
        <v>8</v>
      </c>
    </row>
    <row r="159" spans="1:5" x14ac:dyDescent="0.25">
      <c r="A159" s="30">
        <v>0.90909090909090895</v>
      </c>
      <c r="B159"/>
      <c r="C159"/>
      <c r="D159"/>
      <c r="E159"/>
    </row>
    <row r="160" spans="1:5" x14ac:dyDescent="0.25">
      <c r="A160" s="30">
        <v>0.82644628099173523</v>
      </c>
      <c r="B160"/>
      <c r="C160"/>
      <c r="D160"/>
      <c r="E160"/>
    </row>
    <row r="161" spans="1:5" x14ac:dyDescent="0.25">
      <c r="A161" s="30">
        <v>0.75131480090157732</v>
      </c>
      <c r="B161"/>
      <c r="C161"/>
      <c r="D161"/>
      <c r="E161"/>
    </row>
    <row r="162" spans="1:5" x14ac:dyDescent="0.25">
      <c r="A162" s="30">
        <v>0.68301345536507019</v>
      </c>
      <c r="B162"/>
      <c r="C162"/>
      <c r="D162"/>
      <c r="E162"/>
    </row>
    <row r="163" spans="1:5" x14ac:dyDescent="0.25">
      <c r="A163" s="30">
        <v>0.6209213230591546</v>
      </c>
      <c r="B163"/>
      <c r="C163"/>
      <c r="D163"/>
      <c r="E163"/>
    </row>
    <row r="164" spans="1:5" x14ac:dyDescent="0.25">
      <c r="A164" s="30">
        <v>0.56447393005377677</v>
      </c>
      <c r="B164"/>
      <c r="C164"/>
      <c r="D164"/>
      <c r="E164"/>
    </row>
    <row r="165" spans="1:5" x14ac:dyDescent="0.25">
      <c r="A165" s="30">
        <v>0.51315811823070612</v>
      </c>
      <c r="B165"/>
      <c r="C165"/>
      <c r="D165"/>
      <c r="E165"/>
    </row>
    <row r="166" spans="1:5" x14ac:dyDescent="0.25">
      <c r="A166" s="30">
        <v>0.46650738020973276</v>
      </c>
      <c r="B166"/>
      <c r="C166"/>
      <c r="D166"/>
      <c r="E166"/>
    </row>
    <row r="167" spans="1:5" x14ac:dyDescent="0.25">
      <c r="A167" s="30">
        <v>0.42409761837248428</v>
      </c>
      <c r="B167"/>
      <c r="C167"/>
      <c r="D167"/>
      <c r="E167"/>
    </row>
    <row r="168" spans="1:5" x14ac:dyDescent="0.25">
      <c r="A168" s="30">
        <v>0.38554328942953109</v>
      </c>
      <c r="B168"/>
      <c r="C168"/>
      <c r="D168"/>
      <c r="E168"/>
    </row>
    <row r="169" spans="1:5" x14ac:dyDescent="0.25">
      <c r="A169" s="30">
        <v>0.35049389948139187</v>
      </c>
      <c r="B169"/>
      <c r="C169"/>
      <c r="D169"/>
      <c r="E169"/>
    </row>
    <row r="170" spans="1:5" x14ac:dyDescent="0.25">
      <c r="A170" s="30">
        <v>0.31863081771035617</v>
      </c>
      <c r="B170"/>
      <c r="C170"/>
      <c r="D170"/>
      <c r="E170"/>
    </row>
    <row r="171" spans="1:5" x14ac:dyDescent="0.25">
      <c r="A171" s="30">
        <v>0.28966437973668741</v>
      </c>
    </row>
    <row r="172" spans="1:5" x14ac:dyDescent="0.25">
      <c r="A172" s="30">
        <v>0.2633312543060794</v>
      </c>
    </row>
    <row r="173" spans="1:5" x14ac:dyDescent="0.25">
      <c r="A173" s="30">
        <v>0.23939204936916306</v>
      </c>
    </row>
    <row r="174" spans="1:5" x14ac:dyDescent="0.25">
      <c r="A174" s="30">
        <v>0.2176291357901482</v>
      </c>
    </row>
    <row r="175" spans="1:5" x14ac:dyDescent="0.25">
      <c r="A175" s="30">
        <v>0.19784466890013469</v>
      </c>
    </row>
    <row r="176" spans="1:5" x14ac:dyDescent="0.25">
      <c r="A176" s="30">
        <v>0.17985878990921333</v>
      </c>
    </row>
    <row r="177" spans="1:1" x14ac:dyDescent="0.25">
      <c r="A177" s="30">
        <v>0.16350799082655756</v>
      </c>
    </row>
    <row r="178" spans="1:1" x14ac:dyDescent="0.25">
      <c r="A178" s="30">
        <v>0.14864362802414322</v>
      </c>
    </row>
    <row r="179" spans="1:1" x14ac:dyDescent="0.25">
      <c r="A179" s="30">
        <v>0.13513057093103928</v>
      </c>
    </row>
    <row r="180" spans="1:1" x14ac:dyDescent="0.25">
      <c r="A180" s="30">
        <v>0.12284597357367205</v>
      </c>
    </row>
    <row r="181" spans="1:1" x14ac:dyDescent="0.25">
      <c r="A181" s="30">
        <v>0.11167815779424731</v>
      </c>
    </row>
    <row r="182" spans="1:1" x14ac:dyDescent="0.25">
      <c r="A182" s="30">
        <v>0.10152559799477026</v>
      </c>
    </row>
    <row r="183" spans="1:1" x14ac:dyDescent="0.25">
      <c r="A183" s="30">
        <v>9.2295998177063854E-2</v>
      </c>
    </row>
    <row r="184" spans="1:1" x14ac:dyDescent="0.25">
      <c r="A184" s="30">
        <v>8.3905452888239848E-2</v>
      </c>
    </row>
    <row r="185" spans="1:1" x14ac:dyDescent="0.25">
      <c r="A185" s="30">
        <v>7.6277684443854396E-2</v>
      </c>
    </row>
    <row r="186" spans="1:1" x14ac:dyDescent="0.25">
      <c r="A186" s="30">
        <v>6.9343349494413078E-2</v>
      </c>
    </row>
    <row r="187" spans="1:1" x14ac:dyDescent="0.25">
      <c r="A187" s="30">
        <v>6.3039408631284613E-2</v>
      </c>
    </row>
    <row r="188" spans="1:1" x14ac:dyDescent="0.25">
      <c r="A188" s="30">
        <v>5.7308553301167818E-2</v>
      </c>
    </row>
    <row r="189" spans="1:1" x14ac:dyDescent="0.25">
      <c r="A189" s="30">
        <v>5.2098684819243464E-2</v>
      </c>
    </row>
    <row r="190" spans="1:1" x14ac:dyDescent="0.25">
      <c r="A190" s="30">
        <v>4.7362440744766775E-2</v>
      </c>
    </row>
    <row r="191" spans="1:1" x14ac:dyDescent="0.25">
      <c r="A191" s="30">
        <v>4.3056764313424332E-2</v>
      </c>
    </row>
    <row r="192" spans="1:1" x14ac:dyDescent="0.25">
      <c r="A192" s="30">
        <v>3.9142513012203929E-2</v>
      </c>
    </row>
    <row r="193" spans="1:1" x14ac:dyDescent="0.25">
      <c r="A193" s="30">
        <v>3.55841027383672E-2</v>
      </c>
    </row>
    <row r="194" spans="1:1" x14ac:dyDescent="0.25">
      <c r="A194" s="30">
        <v>3.2349184307606541E-2</v>
      </c>
    </row>
    <row r="195" spans="1:1" x14ac:dyDescent="0.25">
      <c r="A195" s="30">
        <v>2.9408349370551395E-2</v>
      </c>
    </row>
    <row r="196" spans="1:1" x14ac:dyDescent="0.25">
      <c r="A196" s="30">
        <v>2.6734863064137627E-2</v>
      </c>
    </row>
    <row r="197" spans="1:1" x14ac:dyDescent="0.25">
      <c r="A197" s="30">
        <v>2.4304420967397839E-2</v>
      </c>
    </row>
    <row r="198" spans="1:1" x14ac:dyDescent="0.25">
      <c r="A198" s="30">
        <v>2.2094928152179852E-2</v>
      </c>
    </row>
    <row r="199" spans="1:1" x14ac:dyDescent="0.25">
      <c r="A199" s="30">
        <v>2.0086298320163499E-2</v>
      </c>
    </row>
    <row r="200" spans="1:1" x14ac:dyDescent="0.25">
      <c r="A200" s="30">
        <v>1.8260271200148632E-2</v>
      </c>
    </row>
    <row r="201" spans="1:1" x14ac:dyDescent="0.25">
      <c r="A201" s="30">
        <v>1.6600246545589663E-2</v>
      </c>
    </row>
    <row r="202" spans="1:1" x14ac:dyDescent="0.25">
      <c r="A202" s="30">
        <v>1.5091133223263328E-2</v>
      </c>
    </row>
    <row r="203" spans="1:1" x14ac:dyDescent="0.25">
      <c r="A203" s="30">
        <v>1.3719212021148477E-2</v>
      </c>
    </row>
    <row r="204" spans="1:1" x14ac:dyDescent="0.25">
      <c r="A204" s="30">
        <v>1.2472010928316795E-2</v>
      </c>
    </row>
    <row r="205" spans="1:1" x14ac:dyDescent="0.25">
      <c r="A205" s="30">
        <v>1.1338191753015267E-2</v>
      </c>
    </row>
    <row r="206" spans="1:1" x14ac:dyDescent="0.25">
      <c r="A206" s="30">
        <v>1.0307447048195697E-2</v>
      </c>
    </row>
    <row r="207" spans="1:1" x14ac:dyDescent="0.25">
      <c r="A207" s="30">
        <v>9.3704064074506318E-3</v>
      </c>
    </row>
    <row r="208" spans="1:1" x14ac:dyDescent="0.25">
      <c r="A208" s="30">
        <v>8.5185512795005747E-3</v>
      </c>
    </row>
    <row r="209" spans="1:1" x14ac:dyDescent="0.25">
      <c r="A209" s="30">
        <v>7.744137526818704E-3</v>
      </c>
    </row>
    <row r="210" spans="1:1" x14ac:dyDescent="0.25">
      <c r="A210" s="30">
        <v>7.0401250243806394E-3</v>
      </c>
    </row>
    <row r="211" spans="1:1" x14ac:dyDescent="0.25">
      <c r="A211" s="30">
        <v>6.4001136585278536E-3</v>
      </c>
    </row>
    <row r="212" spans="1:1" x14ac:dyDescent="0.25">
      <c r="A212" s="30">
        <v>5.8182851441162305E-3</v>
      </c>
    </row>
    <row r="213" spans="1:1" x14ac:dyDescent="0.25">
      <c r="A213" s="30">
        <v>5.2893501310147546E-3</v>
      </c>
    </row>
    <row r="214" spans="1:1" x14ac:dyDescent="0.25">
      <c r="A214" s="30">
        <v>4.8085001191043222E-3</v>
      </c>
    </row>
    <row r="215" spans="1:1" x14ac:dyDescent="0.25">
      <c r="A215" s="30">
        <v>4.3713637446402926E-3</v>
      </c>
    </row>
    <row r="216" spans="1:1" x14ac:dyDescent="0.25">
      <c r="A216" s="30">
        <v>3.9739670405820838E-3</v>
      </c>
    </row>
    <row r="217" spans="1:1" x14ac:dyDescent="0.25">
      <c r="A217" s="30">
        <v>3.6126973096200759E-3</v>
      </c>
    </row>
    <row r="218" spans="1:1" x14ac:dyDescent="0.25">
      <c r="A218" s="30">
        <v>3.2842702814727962E-3</v>
      </c>
    </row>
    <row r="219" spans="1:1" x14ac:dyDescent="0.25">
      <c r="A219" s="30">
        <v>2.9857002558843601E-3</v>
      </c>
    </row>
    <row r="220" spans="1:1" x14ac:dyDescent="0.25">
      <c r="A220" s="30">
        <v>2.7142729598948726E-3</v>
      </c>
    </row>
    <row r="221" spans="1:1" x14ac:dyDescent="0.25">
      <c r="A221" s="30">
        <v>2.4675208726317021E-3</v>
      </c>
    </row>
    <row r="222" spans="1:1" x14ac:dyDescent="0.25">
      <c r="A222" s="30">
        <v>2.2432007933015472E-3</v>
      </c>
    </row>
    <row r="223" spans="1:1" x14ac:dyDescent="0.25">
      <c r="A223" s="30">
        <v>2.0392734484559519E-3</v>
      </c>
    </row>
    <row r="224" spans="1:1" x14ac:dyDescent="0.25">
      <c r="A224" s="30">
        <v>1.8538849531417744E-3</v>
      </c>
    </row>
    <row r="225" spans="1:1" x14ac:dyDescent="0.25">
      <c r="A225" s="30">
        <v>1.6853499574016129E-3</v>
      </c>
    </row>
    <row r="226" spans="1:1" x14ac:dyDescent="0.25">
      <c r="A226" s="30">
        <v>1.5321363249105571E-3</v>
      </c>
    </row>
    <row r="227" spans="1:1" x14ac:dyDescent="0.25">
      <c r="A227" s="30">
        <v>1.3928512044641427E-3</v>
      </c>
    </row>
    <row r="228" spans="1:1" x14ac:dyDescent="0.25">
      <c r="A228" s="30">
        <v>1.2662283676946752E-3</v>
      </c>
    </row>
    <row r="229" spans="1:1" x14ac:dyDescent="0.25">
      <c r="A229" s="30">
        <v>1.15111669790425E-3</v>
      </c>
    </row>
    <row r="230" spans="1:1" x14ac:dyDescent="0.25">
      <c r="A230" s="30">
        <v>1.0464697253675E-3</v>
      </c>
    </row>
    <row r="231" spans="1:1" x14ac:dyDescent="0.25">
      <c r="A231" s="30">
        <v>9.5133611397045449E-4</v>
      </c>
    </row>
    <row r="232" spans="1:1" x14ac:dyDescent="0.25">
      <c r="A232" s="30">
        <v>8.6485101270041313E-4</v>
      </c>
    </row>
    <row r="233" spans="1:1" x14ac:dyDescent="0.25">
      <c r="A233" s="30">
        <v>7.862281933640119E-4</v>
      </c>
    </row>
    <row r="234" spans="1:1" x14ac:dyDescent="0.25">
      <c r="A234" s="30">
        <v>7.0760537402761068E-4</v>
      </c>
    </row>
    <row r="235" spans="1:1" x14ac:dyDescent="0.25">
      <c r="A235" s="30">
        <v>6.368448366248496E-4</v>
      </c>
    </row>
    <row r="236" spans="1:1" x14ac:dyDescent="0.25">
      <c r="A236" s="30">
        <v>5.7316035296236471E-4</v>
      </c>
    </row>
    <row r="237" spans="1:1" x14ac:dyDescent="0.25">
      <c r="A237" s="30">
        <v>5.1584431766612821E-4</v>
      </c>
    </row>
    <row r="238" spans="1:1" x14ac:dyDescent="0.25">
      <c r="A238" s="30">
        <v>4.6425988589951538E-4</v>
      </c>
    </row>
    <row r="239" spans="1:1" x14ac:dyDescent="0.25">
      <c r="A239" s="30">
        <v>4.1783389730956383E-4</v>
      </c>
    </row>
    <row r="240" spans="1:1" x14ac:dyDescent="0.25">
      <c r="A240" s="30">
        <v>3.7605050757860746E-4</v>
      </c>
    </row>
    <row r="241" spans="1:1" x14ac:dyDescent="0.25">
      <c r="A241" s="30">
        <v>3.3844545682074675E-4</v>
      </c>
    </row>
    <row r="242" spans="1:1" x14ac:dyDescent="0.25">
      <c r="A242" s="30">
        <v>3.0460091113867208E-4</v>
      </c>
    </row>
    <row r="243" spans="1:1" x14ac:dyDescent="0.25">
      <c r="A243" s="30">
        <v>2.7414082002480487E-4</v>
      </c>
    </row>
    <row r="244" spans="1:1" x14ac:dyDescent="0.25">
      <c r="A244" s="30">
        <v>2.4672673802232442E-4</v>
      </c>
    </row>
    <row r="245" spans="1:1" x14ac:dyDescent="0.25">
      <c r="A245" s="30">
        <v>2.2205406422009198E-4</v>
      </c>
    </row>
    <row r="246" spans="1:1" x14ac:dyDescent="0.25">
      <c r="A246" s="30">
        <v>1.998486577980828E-4</v>
      </c>
    </row>
    <row r="247" spans="1:1" x14ac:dyDescent="0.25">
      <c r="A247" s="30">
        <v>1.7986379201827453E-4</v>
      </c>
    </row>
    <row r="248" spans="1:1" x14ac:dyDescent="0.25">
      <c r="A248" s="30">
        <v>1.6187741281644709E-4</v>
      </c>
    </row>
    <row r="249" spans="1:1" x14ac:dyDescent="0.25">
      <c r="A249" s="30">
        <v>1.4568967153480238E-4</v>
      </c>
    </row>
    <row r="250" spans="1:1" x14ac:dyDescent="0.25">
      <c r="A250" s="30">
        <v>1.3112070438132215E-4</v>
      </c>
    </row>
    <row r="251" spans="1:1" x14ac:dyDescent="0.25">
      <c r="A251" s="30">
        <v>1.1800863394318995E-4</v>
      </c>
    </row>
    <row r="252" spans="1:1" x14ac:dyDescent="0.25">
      <c r="A252" s="30">
        <v>1.0620777054887096E-4</v>
      </c>
    </row>
    <row r="253" spans="1:1" x14ac:dyDescent="0.25">
      <c r="A253" s="30">
        <v>9.5586993493983861E-5</v>
      </c>
    </row>
    <row r="254" spans="1:1" x14ac:dyDescent="0.25">
      <c r="A254" s="30">
        <v>8.6028294144585476E-5</v>
      </c>
    </row>
    <row r="255" spans="1:1" x14ac:dyDescent="0.25">
      <c r="A255" s="30">
        <v>7.7425464730126924E-5</v>
      </c>
    </row>
    <row r="256" spans="1:1" x14ac:dyDescent="0.25">
      <c r="A256" s="30">
        <v>6.9682918257114228E-5</v>
      </c>
    </row>
    <row r="257" spans="1:1" x14ac:dyDescent="0.25">
      <c r="A257" s="30">
        <v>6.2714626431402813E-5</v>
      </c>
    </row>
    <row r="258" spans="1:1" x14ac:dyDescent="0.25">
      <c r="A258" s="30">
        <v>5.6443163788262536E-5</v>
      </c>
    </row>
    <row r="259" spans="1:1" x14ac:dyDescent="0.25">
      <c r="A259" s="30">
        <v>5.0798847409436286E-5</v>
      </c>
    </row>
    <row r="260" spans="1:1" x14ac:dyDescent="0.25">
      <c r="A260" s="30">
        <v>4.5718962668492656E-5</v>
      </c>
    </row>
    <row r="261" spans="1:1" x14ac:dyDescent="0.25">
      <c r="A261" s="30">
        <v>4.1147066401643391E-5</v>
      </c>
    </row>
    <row r="262" spans="1:1" x14ac:dyDescent="0.25">
      <c r="A262" s="30">
        <v>3.7032359761479051E-5</v>
      </c>
    </row>
    <row r="263" spans="1:1" x14ac:dyDescent="0.25">
      <c r="A263" s="30">
        <v>3.3329123785331146E-5</v>
      </c>
    </row>
    <row r="264" spans="1:1" x14ac:dyDescent="0.25">
      <c r="A264" s="30">
        <v>2.9996211406798031E-5</v>
      </c>
    </row>
    <row r="265" spans="1:1" x14ac:dyDescent="0.25">
      <c r="A265" s="30">
        <v>2.6996590266118227E-5</v>
      </c>
    </row>
    <row r="266" spans="1:1" x14ac:dyDescent="0.25">
      <c r="A266" s="30">
        <v>2.4296931239506405E-5</v>
      </c>
    </row>
    <row r="267" spans="1:1" x14ac:dyDescent="0.25">
      <c r="A267" s="30">
        <v>2.1867238115555765E-5</v>
      </c>
    </row>
    <row r="268" spans="1:1" x14ac:dyDescent="0.25">
      <c r="A268" s="30">
        <v>1.968051430400019E-5</v>
      </c>
    </row>
    <row r="269" spans="1:1" x14ac:dyDescent="0.25">
      <c r="A269" s="30">
        <v>1.7712462873600173E-5</v>
      </c>
    </row>
    <row r="270" spans="1:1" x14ac:dyDescent="0.25">
      <c r="A270" s="30">
        <v>1.5941216586240156E-5</v>
      </c>
    </row>
    <row r="271" spans="1:1" x14ac:dyDescent="0.25">
      <c r="A271" s="30">
        <v>1.434709492761614E-5</v>
      </c>
    </row>
    <row r="272" spans="1:1" x14ac:dyDescent="0.25">
      <c r="A272" s="30">
        <v>1.2912385434854527E-5</v>
      </c>
    </row>
    <row r="273" spans="1:1" x14ac:dyDescent="0.25">
      <c r="A273" s="30">
        <v>1.1621146891369075E-5</v>
      </c>
    </row>
    <row r="274" spans="1:1" x14ac:dyDescent="0.25">
      <c r="A274" s="30">
        <v>1.0459032202232167E-5</v>
      </c>
    </row>
    <row r="275" spans="1:1" x14ac:dyDescent="0.25">
      <c r="A275" s="30">
        <v>9.4131289820089515E-6</v>
      </c>
    </row>
    <row r="276" spans="1:1" x14ac:dyDescent="0.25">
      <c r="A276" s="30">
        <v>8.4718160838080567E-6</v>
      </c>
    </row>
    <row r="277" spans="1:1" x14ac:dyDescent="0.25">
      <c r="A277" s="30">
        <v>7.6246344754272515E-6</v>
      </c>
    </row>
    <row r="278" spans="1:1" x14ac:dyDescent="0.25">
      <c r="A278" s="30">
        <v>6.8621710278845262E-6</v>
      </c>
    </row>
    <row r="279" spans="1:1" x14ac:dyDescent="0.25">
      <c r="A279" s="30">
        <v>6.1759539250960733E-6</v>
      </c>
    </row>
    <row r="280" spans="1:1" x14ac:dyDescent="0.25">
      <c r="A280" s="30">
        <v>5.5583585325864661E-6</v>
      </c>
    </row>
    <row r="281" spans="1:1" x14ac:dyDescent="0.25">
      <c r="A281" s="30">
        <v>5.0025226793278193E-6</v>
      </c>
    </row>
    <row r="282" spans="1:1" x14ac:dyDescent="0.25">
      <c r="A282" s="30">
        <v>4.5022704113950371E-6</v>
      </c>
    </row>
    <row r="283" spans="1:1" x14ac:dyDescent="0.25">
      <c r="A283" s="30">
        <v>4.0520433702555336E-6</v>
      </c>
    </row>
    <row r="284" spans="1:1" x14ac:dyDescent="0.25">
      <c r="A284" s="30">
        <v>3.6468390332299805E-6</v>
      </c>
    </row>
    <row r="285" spans="1:1" x14ac:dyDescent="0.25">
      <c r="A285" s="30">
        <v>3.2821551299069824E-6</v>
      </c>
    </row>
    <row r="286" spans="1:1" x14ac:dyDescent="0.25">
      <c r="A286" s="30">
        <v>2.9539396169162842E-6</v>
      </c>
    </row>
    <row r="287" spans="1:1" x14ac:dyDescent="0.25">
      <c r="A287" s="30">
        <v>2.6585456552246558E-6</v>
      </c>
    </row>
    <row r="288" spans="1:1" x14ac:dyDescent="0.25">
      <c r="A288" s="30">
        <v>2.39269108970219E-6</v>
      </c>
    </row>
    <row r="289" spans="1:1" x14ac:dyDescent="0.25">
      <c r="A289" s="30">
        <v>2.1534219807319713E-6</v>
      </c>
    </row>
    <row r="290" spans="1:1" x14ac:dyDescent="0.25">
      <c r="A290" s="30">
        <v>1.9380797826587742E-6</v>
      </c>
    </row>
    <row r="291" spans="1:1" x14ac:dyDescent="0.25">
      <c r="A291" s="30">
        <v>1.7442718043928968E-6</v>
      </c>
    </row>
    <row r="292" spans="1:1" x14ac:dyDescent="0.25">
      <c r="A292" s="30">
        <v>1.5698446239536072E-6</v>
      </c>
    </row>
    <row r="293" spans="1:1" x14ac:dyDescent="0.25">
      <c r="A293" s="30">
        <v>1.4128601615582464E-6</v>
      </c>
    </row>
    <row r="294" spans="1:1" x14ac:dyDescent="0.25">
      <c r="A294" s="30">
        <v>1.2715741454024219E-6</v>
      </c>
    </row>
    <row r="295" spans="1:1" x14ac:dyDescent="0.25">
      <c r="A295" s="30">
        <v>1.1444167308621797E-6</v>
      </c>
    </row>
    <row r="296" spans="1:1" x14ac:dyDescent="0.25">
      <c r="A296" s="30">
        <v>1.0299750577759617E-6</v>
      </c>
    </row>
    <row r="297" spans="1:1" x14ac:dyDescent="0.25">
      <c r="A297" s="30">
        <v>9.2697755199836562E-7</v>
      </c>
    </row>
    <row r="298" spans="1:1" x14ac:dyDescent="0.25">
      <c r="A298" s="30">
        <v>8.3427979679852907E-7</v>
      </c>
    </row>
    <row r="299" spans="1:1" x14ac:dyDescent="0.25">
      <c r="A299" s="30">
        <v>7.508518171186762E-7</v>
      </c>
    </row>
    <row r="300" spans="1:1" x14ac:dyDescent="0.25">
      <c r="A300" s="30">
        <v>6.7576663540680858E-7</v>
      </c>
    </row>
    <row r="301" spans="1:1" x14ac:dyDescent="0.25">
      <c r="A301" s="30">
        <v>6.0818997186612771E-7</v>
      </c>
    </row>
    <row r="302" spans="1:1" x14ac:dyDescent="0.25">
      <c r="A302" s="30">
        <v>5.4737097467951492E-7</v>
      </c>
    </row>
    <row r="303" spans="1:1" x14ac:dyDescent="0.25">
      <c r="A303" s="30">
        <v>4.9263387721156344E-7</v>
      </c>
    </row>
    <row r="304" spans="1:1" x14ac:dyDescent="0.25">
      <c r="A304" s="30">
        <v>4.4337048949040709E-7</v>
      </c>
    </row>
    <row r="305" spans="1:1" x14ac:dyDescent="0.25">
      <c r="A305" s="30">
        <v>3.9903344054136637E-7</v>
      </c>
    </row>
    <row r="306" spans="1:1" x14ac:dyDescent="0.25">
      <c r="A306" s="30">
        <v>3.5913009648722975E-7</v>
      </c>
    </row>
    <row r="307" spans="1:1" x14ac:dyDescent="0.25">
      <c r="A307" s="30">
        <v>3.2321708683850679E-7</v>
      </c>
    </row>
    <row r="308" spans="1:1" x14ac:dyDescent="0.25">
      <c r="A308" s="30">
        <v>2.908953781546561E-7</v>
      </c>
    </row>
    <row r="309" spans="1:1" x14ac:dyDescent="0.25">
      <c r="A309" s="30">
        <v>2.6180584033919052E-7</v>
      </c>
    </row>
    <row r="310" spans="1:1" x14ac:dyDescent="0.25">
      <c r="A310" s="30">
        <v>2.3562525630527146E-7</v>
      </c>
    </row>
    <row r="311" spans="1:1" x14ac:dyDescent="0.25">
      <c r="A311" s="30">
        <v>2.1206273067474431E-7</v>
      </c>
    </row>
    <row r="312" spans="1:1" x14ac:dyDescent="0.25">
      <c r="A312" s="30">
        <v>1.9085645760726988E-7</v>
      </c>
    </row>
    <row r="313" spans="1:1" x14ac:dyDescent="0.25">
      <c r="A313" s="30">
        <v>1.717708118465429E-7</v>
      </c>
    </row>
    <row r="314" spans="1:1" x14ac:dyDescent="0.25">
      <c r="A314" s="30">
        <v>1.5459373066188861E-7</v>
      </c>
    </row>
    <row r="315" spans="1:1" x14ac:dyDescent="0.25">
      <c r="A315" s="30">
        <v>1.3913435759569975E-7</v>
      </c>
    </row>
    <row r="316" spans="1:1" x14ac:dyDescent="0.25">
      <c r="A316" s="30">
        <v>1.2522092183612977E-7</v>
      </c>
    </row>
    <row r="317" spans="1:1" x14ac:dyDescent="0.25">
      <c r="A317" s="30">
        <v>1.1269882965251679E-7</v>
      </c>
    </row>
    <row r="318" spans="1:1" x14ac:dyDescent="0.25">
      <c r="A318" s="30">
        <v>1.0142894668726512E-7</v>
      </c>
    </row>
    <row r="319" spans="1:1" x14ac:dyDescent="0.25">
      <c r="A319" s="30">
        <v>9.1286052018538604E-8</v>
      </c>
    </row>
    <row r="320" spans="1:1" x14ac:dyDescent="0.25">
      <c r="A320" s="30">
        <v>8.2157446816684752E-8</v>
      </c>
    </row>
    <row r="321" spans="1:1" x14ac:dyDescent="0.25">
      <c r="A321" s="30">
        <v>7.3941702135016276E-8</v>
      </c>
    </row>
    <row r="322" spans="1:1" x14ac:dyDescent="0.25">
      <c r="A322" s="30">
        <v>6.6547531921514646E-8</v>
      </c>
    </row>
    <row r="323" spans="1:1" x14ac:dyDescent="0.25">
      <c r="A323" s="30">
        <v>5.9892778729363178E-8</v>
      </c>
    </row>
    <row r="324" spans="1:1" x14ac:dyDescent="0.25">
      <c r="A324" s="30">
        <v>5.3903500856426864E-8</v>
      </c>
    </row>
    <row r="325" spans="1:1" x14ac:dyDescent="0.25">
      <c r="A325" s="30">
        <v>4.851315077078418E-8</v>
      </c>
    </row>
    <row r="326" spans="1:1" x14ac:dyDescent="0.25">
      <c r="A326" s="30">
        <v>4.3661835693705764E-8</v>
      </c>
    </row>
    <row r="327" spans="1:1" x14ac:dyDescent="0.25">
      <c r="A327" s="30">
        <v>3.929565212433519E-8</v>
      </c>
    </row>
    <row r="328" spans="1:1" x14ac:dyDescent="0.25">
      <c r="A328" s="30">
        <v>3.536608691190167E-8</v>
      </c>
    </row>
    <row r="329" spans="1:1" x14ac:dyDescent="0.25">
      <c r="A329" s="30">
        <v>3.1829478220711501E-8</v>
      </c>
    </row>
    <row r="330" spans="1:1" x14ac:dyDescent="0.25">
      <c r="A330" s="30">
        <v>2.8646530398640351E-8</v>
      </c>
    </row>
    <row r="331" spans="1:1" x14ac:dyDescent="0.25">
      <c r="A331" s="30">
        <v>2.5781877358776315E-8</v>
      </c>
    </row>
    <row r="332" spans="1:1" x14ac:dyDescent="0.25">
      <c r="A332" s="30">
        <v>2.3203689622898683E-8</v>
      </c>
    </row>
    <row r="333" spans="1:1" x14ac:dyDescent="0.25">
      <c r="A333" s="30">
        <v>2.0883320660608816E-8</v>
      </c>
    </row>
    <row r="334" spans="1:1" x14ac:dyDescent="0.25">
      <c r="A334" s="30">
        <v>1.8794988594547934E-8</v>
      </c>
    </row>
    <row r="335" spans="1:1" x14ac:dyDescent="0.25">
      <c r="A335" s="30">
        <v>1.6915489735093139E-8</v>
      </c>
    </row>
    <row r="336" spans="1:1" x14ac:dyDescent="0.25">
      <c r="A336" s="30">
        <v>1.5223940761583825E-8</v>
      </c>
    </row>
    <row r="337" spans="1:1" x14ac:dyDescent="0.25">
      <c r="A337" s="30">
        <v>1.3701546685425444E-8</v>
      </c>
    </row>
    <row r="338" spans="1:1" x14ac:dyDescent="0.25">
      <c r="A338" s="30">
        <v>1.2331392016882899E-8</v>
      </c>
    </row>
    <row r="339" spans="1:1" x14ac:dyDescent="0.25">
      <c r="A339" s="30">
        <v>1.1098252815194609E-8</v>
      </c>
    </row>
    <row r="340" spans="1:1" x14ac:dyDescent="0.25">
      <c r="A340" s="30">
        <v>9.9884275336751485E-9</v>
      </c>
    </row>
    <row r="341" spans="1:1" x14ac:dyDescent="0.25">
      <c r="A341" s="30">
        <v>8.9895847803076335E-9</v>
      </c>
    </row>
    <row r="342" spans="1:1" x14ac:dyDescent="0.25">
      <c r="A342" s="30">
        <v>8.0906263022768703E-9</v>
      </c>
    </row>
    <row r="343" spans="1:1" x14ac:dyDescent="0.25">
      <c r="A343" s="30">
        <v>7.2815636720491835E-9</v>
      </c>
    </row>
    <row r="344" spans="1:1" x14ac:dyDescent="0.25">
      <c r="A344" s="30">
        <v>6.553407304844265E-9</v>
      </c>
    </row>
    <row r="345" spans="1:1" x14ac:dyDescent="0.25">
      <c r="A345" s="30">
        <v>5.8980665743598385E-9</v>
      </c>
    </row>
    <row r="346" spans="1:1" x14ac:dyDescent="0.25">
      <c r="A346" s="30">
        <v>5.3082599169238552E-9</v>
      </c>
    </row>
    <row r="347" spans="1:1" x14ac:dyDescent="0.25">
      <c r="A347" s="30">
        <v>4.7774339252314701E-9</v>
      </c>
    </row>
    <row r="348" spans="1:1" x14ac:dyDescent="0.25">
      <c r="A348" s="30">
        <v>4.2996905327083231E-9</v>
      </c>
    </row>
    <row r="349" spans="1:1" x14ac:dyDescent="0.25">
      <c r="A349" s="30">
        <v>3.8697214794374908E-9</v>
      </c>
    </row>
    <row r="350" spans="1:1" x14ac:dyDescent="0.25">
      <c r="A350" s="30">
        <v>3.4827493314937417E-9</v>
      </c>
    </row>
    <row r="351" spans="1:1" x14ac:dyDescent="0.25">
      <c r="A351" s="30">
        <v>3.1344743983443674E-9</v>
      </c>
    </row>
    <row r="352" spans="1:1" x14ac:dyDescent="0.25">
      <c r="A352" s="30">
        <v>2.8210269585099307E-9</v>
      </c>
    </row>
    <row r="353" spans="1:1" x14ac:dyDescent="0.25">
      <c r="A353" s="30">
        <v>2.5389242626589379E-9</v>
      </c>
    </row>
    <row r="354" spans="1:1" x14ac:dyDescent="0.25">
      <c r="A354" s="30">
        <v>2.285031836393044E-9</v>
      </c>
    </row>
    <row r="355" spans="1:1" x14ac:dyDescent="0.25">
      <c r="A355" s="30">
        <v>2.0565286527537398E-9</v>
      </c>
    </row>
    <row r="356" spans="1:1" x14ac:dyDescent="0.25">
      <c r="A356" s="30">
        <v>1.8508757874783659E-9</v>
      </c>
    </row>
    <row r="357" spans="1:1" x14ac:dyDescent="0.25">
      <c r="A357" s="30">
        <v>1.6657882087305294E-9</v>
      </c>
    </row>
    <row r="358" spans="1:1" x14ac:dyDescent="0.25">
      <c r="A358" s="30">
        <v>1.4992093878574765E-9</v>
      </c>
    </row>
    <row r="359" spans="1:1" x14ac:dyDescent="0.25">
      <c r="A359" s="30">
        <v>1.3492884490717289E-9</v>
      </c>
    </row>
    <row r="360" spans="1:1" x14ac:dyDescent="0.25">
      <c r="A360" s="30">
        <v>1.214359604164556E-9</v>
      </c>
    </row>
    <row r="361" spans="1:1" x14ac:dyDescent="0.25">
      <c r="A361" s="30">
        <v>1.0929236437481004E-9</v>
      </c>
    </row>
    <row r="362" spans="1:1" x14ac:dyDescent="0.25">
      <c r="A362" s="30">
        <v>9.8363127937329029E-10</v>
      </c>
    </row>
    <row r="363" spans="1:1" x14ac:dyDescent="0.25">
      <c r="A363" s="30">
        <v>8.8526815143596126E-10</v>
      </c>
    </row>
    <row r="364" spans="1:1" x14ac:dyDescent="0.25">
      <c r="A364" s="30">
        <v>7.967413362923651E-10</v>
      </c>
    </row>
    <row r="365" spans="1:1" x14ac:dyDescent="0.25">
      <c r="A365" s="30">
        <v>7.1706720266312858E-10</v>
      </c>
    </row>
    <row r="366" spans="1:1" x14ac:dyDescent="0.25">
      <c r="A366" s="30">
        <v>6.4536048239681569E-10</v>
      </c>
    </row>
    <row r="367" spans="1:1" x14ac:dyDescent="0.25">
      <c r="A367" s="30">
        <v>5.8082443415713415E-10</v>
      </c>
    </row>
    <row r="368" spans="1:1" x14ac:dyDescent="0.25">
      <c r="A368" s="30">
        <v>5.2274199074142077E-10</v>
      </c>
    </row>
    <row r="369" spans="1:1" x14ac:dyDescent="0.25">
      <c r="A369" s="30">
        <v>4.7046779166727869E-10</v>
      </c>
    </row>
    <row r="370" spans="1:1" x14ac:dyDescent="0.25">
      <c r="A370" s="30">
        <v>4.2342101250055083E-10</v>
      </c>
    </row>
    <row r="371" spans="1:1" x14ac:dyDescent="0.25">
      <c r="A371" s="30">
        <v>3.8107891125049577E-10</v>
      </c>
    </row>
    <row r="372" spans="1:1" x14ac:dyDescent="0.25">
      <c r="A372" s="30">
        <v>3.4297102012544618E-10</v>
      </c>
    </row>
    <row r="373" spans="1:1" x14ac:dyDescent="0.25">
      <c r="A373" s="30">
        <v>3.0867391811290155E-10</v>
      </c>
    </row>
    <row r="374" spans="1:1" x14ac:dyDescent="0.25">
      <c r="A374" s="30">
        <v>2.7780652630161142E-10</v>
      </c>
    </row>
    <row r="375" spans="1:1" x14ac:dyDescent="0.25">
      <c r="A375" s="30">
        <v>2.5002587367145027E-10</v>
      </c>
    </row>
    <row r="376" spans="1:1" x14ac:dyDescent="0.25">
      <c r="A376" s="30">
        <v>2.2502328630430526E-10</v>
      </c>
    </row>
    <row r="377" spans="1:1" x14ac:dyDescent="0.25">
      <c r="A377" s="30">
        <v>2.0252095767387472E-10</v>
      </c>
    </row>
    <row r="378" spans="1:1" x14ac:dyDescent="0.25">
      <c r="A378" s="30">
        <v>1.8226886190648727E-10</v>
      </c>
    </row>
    <row r="379" spans="1:1" x14ac:dyDescent="0.25">
      <c r="A379" s="30">
        <v>1.6404197571583855E-10</v>
      </c>
    </row>
    <row r="380" spans="1:1" x14ac:dyDescent="0.25">
      <c r="A380" s="30">
        <v>1.4763777814425471E-10</v>
      </c>
    </row>
    <row r="381" spans="1:1" x14ac:dyDescent="0.25">
      <c r="A381" s="30">
        <v>1.3287400032982923E-10</v>
      </c>
    </row>
    <row r="382" spans="1:1" x14ac:dyDescent="0.25">
      <c r="A382" s="30">
        <v>1.1958660029684632E-10</v>
      </c>
    </row>
    <row r="383" spans="1:1" x14ac:dyDescent="0.25">
      <c r="A383" s="30">
        <v>1.0762794026716169E-10</v>
      </c>
    </row>
    <row r="384" spans="1:1" x14ac:dyDescent="0.25">
      <c r="A384" s="30">
        <v>9.686514624044552E-11</v>
      </c>
    </row>
    <row r="385" spans="1:1" x14ac:dyDescent="0.25">
      <c r="A385" s="30">
        <v>8.7178631616400964E-11</v>
      </c>
    </row>
    <row r="386" spans="1:1" x14ac:dyDescent="0.25">
      <c r="A386" s="30">
        <v>7.8460768454760866E-11</v>
      </c>
    </row>
    <row r="387" spans="1:1" x14ac:dyDescent="0.25">
      <c r="A387" s="30">
        <v>7.0614691609284776E-11</v>
      </c>
    </row>
    <row r="388" spans="1:1" x14ac:dyDescent="0.25">
      <c r="A388" s="30">
        <v>6.3553222448356295E-11</v>
      </c>
    </row>
    <row r="389" spans="1:1" x14ac:dyDescent="0.25">
      <c r="A389" s="30">
        <v>5.7197900203520665E-11</v>
      </c>
    </row>
    <row r="390" spans="1:1" x14ac:dyDescent="0.25">
      <c r="A390" s="30">
        <v>5.1478110183168601E-11</v>
      </c>
    </row>
    <row r="391" spans="1:1" x14ac:dyDescent="0.25">
      <c r="A391" s="30">
        <v>4.633029916485174E-11</v>
      </c>
    </row>
    <row r="392" spans="1:1" x14ac:dyDescent="0.25">
      <c r="A392" s="30">
        <v>4.1697269248366565E-11</v>
      </c>
    </row>
    <row r="393" spans="1:1" x14ac:dyDescent="0.25">
      <c r="A393" s="30">
        <v>3.7527542323529907E-11</v>
      </c>
    </row>
    <row r="394" spans="1:1" x14ac:dyDescent="0.25">
      <c r="A394" s="30">
        <v>3.3774788091176915E-11</v>
      </c>
    </row>
    <row r="395" spans="1:1" x14ac:dyDescent="0.25">
      <c r="A395" s="30">
        <v>3.0397309282059222E-11</v>
      </c>
    </row>
    <row r="396" spans="1:1" x14ac:dyDescent="0.25">
      <c r="A396" s="30">
        <v>2.7357578353853301E-11</v>
      </c>
    </row>
    <row r="397" spans="1:1" x14ac:dyDescent="0.25">
      <c r="A397" s="30">
        <v>2.4621820518467972E-11</v>
      </c>
    </row>
    <row r="398" spans="1:1" x14ac:dyDescent="0.25">
      <c r="A398" s="30">
        <v>2.2159638466621177E-11</v>
      </c>
    </row>
    <row r="399" spans="1:1" x14ac:dyDescent="0.25">
      <c r="A399" s="30">
        <v>1.994367461995906E-11</v>
      </c>
    </row>
    <row r="400" spans="1:1" x14ac:dyDescent="0.25">
      <c r="A400" s="30">
        <v>1.7949307157963154E-11</v>
      </c>
    </row>
    <row r="401" spans="1:1" x14ac:dyDescent="0.25">
      <c r="A401" s="30">
        <v>1.615437644216684E-11</v>
      </c>
    </row>
    <row r="402" spans="1:1" x14ac:dyDescent="0.25">
      <c r="A402" s="30">
        <v>1.4538938797950156E-11</v>
      </c>
    </row>
    <row r="403" spans="1:1" x14ac:dyDescent="0.25">
      <c r="A403" s="30">
        <v>1.308504491815514E-11</v>
      </c>
    </row>
    <row r="404" spans="1:1" x14ac:dyDescent="0.25">
      <c r="A404" s="30">
        <v>1.1776540426339626E-11</v>
      </c>
    </row>
    <row r="405" spans="1:1" x14ac:dyDescent="0.25">
      <c r="A405" s="30">
        <v>1.0598886383705664E-11</v>
      </c>
    </row>
    <row r="406" spans="1:1" x14ac:dyDescent="0.25">
      <c r="A406" s="30">
        <v>9.5389977453350987E-12</v>
      </c>
    </row>
    <row r="407" spans="1:1" x14ac:dyDescent="0.25">
      <c r="A407" s="30">
        <v>8.5850979708015893E-12</v>
      </c>
    </row>
    <row r="408" spans="1:1" x14ac:dyDescent="0.25">
      <c r="A408" s="30">
        <v>7.7265881737214303E-12</v>
      </c>
    </row>
    <row r="409" spans="1:1" x14ac:dyDescent="0.25">
      <c r="A409" s="30">
        <v>6.9539293563492874E-12</v>
      </c>
    </row>
    <row r="410" spans="1:1" x14ac:dyDescent="0.25">
      <c r="A410" s="30">
        <v>6.2585364207143591E-12</v>
      </c>
    </row>
    <row r="411" spans="1:1" x14ac:dyDescent="0.25">
      <c r="A411" s="30">
        <v>5.632682778642923E-12</v>
      </c>
    </row>
    <row r="412" spans="1:1" x14ac:dyDescent="0.25">
      <c r="A412" s="30">
        <v>5.0694145007786311E-12</v>
      </c>
    </row>
    <row r="413" spans="1:1" x14ac:dyDescent="0.25">
      <c r="A413" s="30">
        <v>4.5624730507007684E-12</v>
      </c>
    </row>
    <row r="414" spans="1:1" x14ac:dyDescent="0.25">
      <c r="A414" s="30">
        <v>4.1062257456306914E-12</v>
      </c>
    </row>
    <row r="415" spans="1:1" x14ac:dyDescent="0.25">
      <c r="A415" s="30">
        <v>3.6956031710676221E-12</v>
      </c>
    </row>
    <row r="416" spans="1:1" x14ac:dyDescent="0.25">
      <c r="A416" s="30">
        <v>3.3260428539608601E-12</v>
      </c>
    </row>
    <row r="417" spans="1:1" x14ac:dyDescent="0.25">
      <c r="A417" s="30">
        <v>2.9934385685647741E-12</v>
      </c>
    </row>
    <row r="418" spans="1:1" x14ac:dyDescent="0.25">
      <c r="A418" s="30">
        <v>2.6940947117082966E-12</v>
      </c>
    </row>
    <row r="419" spans="1:1" x14ac:dyDescent="0.25">
      <c r="A419" s="30">
        <v>2.4246852405374669E-12</v>
      </c>
    </row>
    <row r="420" spans="1:1" x14ac:dyDescent="0.25">
      <c r="A420" s="30">
        <v>2.1822167164837201E-12</v>
      </c>
    </row>
    <row r="421" spans="1:1" x14ac:dyDescent="0.25">
      <c r="A421" s="30">
        <v>1.9639950448353481E-12</v>
      </c>
    </row>
    <row r="422" spans="1:1" x14ac:dyDescent="0.25">
      <c r="A422" s="30">
        <v>1.7675955403518133E-12</v>
      </c>
    </row>
    <row r="423" spans="1:1" x14ac:dyDescent="0.25">
      <c r="A423" s="30">
        <v>1.5908359863166319E-12</v>
      </c>
    </row>
    <row r="424" spans="1:1" x14ac:dyDescent="0.25">
      <c r="A424" s="30">
        <v>1.4317523876849688E-12</v>
      </c>
    </row>
    <row r="425" spans="1:1" x14ac:dyDescent="0.25">
      <c r="A425" s="30">
        <v>1.2885771489164719E-12</v>
      </c>
    </row>
    <row r="426" spans="1:1" x14ac:dyDescent="0.25">
      <c r="A426" s="30">
        <v>1.1597194340248247E-12</v>
      </c>
    </row>
    <row r="427" spans="1:1" x14ac:dyDescent="0.25">
      <c r="A427" s="30">
        <v>1.0437474906223423E-12</v>
      </c>
    </row>
    <row r="428" spans="1:1" x14ac:dyDescent="0.25">
      <c r="A428" s="30">
        <v>9.3937274156010802E-13</v>
      </c>
    </row>
    <row r="429" spans="1:1" x14ac:dyDescent="0.25">
      <c r="A429" s="30">
        <v>8.4543546740409726E-13</v>
      </c>
    </row>
    <row r="430" spans="1:1" x14ac:dyDescent="0.25">
      <c r="A430" s="30">
        <v>7.608919206636876E-13</v>
      </c>
    </row>
    <row r="431" spans="1:1" x14ac:dyDescent="0.25">
      <c r="A431" s="30">
        <v>6.8480272859731885E-13</v>
      </c>
    </row>
    <row r="432" spans="1:1" x14ac:dyDescent="0.25">
      <c r="A432" s="30">
        <v>6.16322455737587E-13</v>
      </c>
    </row>
    <row r="433" spans="1:1" x14ac:dyDescent="0.25">
      <c r="A433" s="30">
        <v>5.5469021016382834E-13</v>
      </c>
    </row>
    <row r="434" spans="1:1" x14ac:dyDescent="0.25">
      <c r="A434" s="30">
        <v>4.9922118914744555E-13</v>
      </c>
    </row>
    <row r="435" spans="1:1" x14ac:dyDescent="0.25">
      <c r="A435" s="30">
        <v>4.4929907023270098E-13</v>
      </c>
    </row>
    <row r="436" spans="1:1" x14ac:dyDescent="0.25">
      <c r="A436" s="30">
        <v>4.0436916320943091E-13</v>
      </c>
    </row>
    <row r="437" spans="1:1" x14ac:dyDescent="0.25">
      <c r="A437" s="30">
        <v>3.6393224688848781E-13</v>
      </c>
    </row>
    <row r="438" spans="1:1" x14ac:dyDescent="0.25">
      <c r="A438" s="30">
        <v>3.2753902219963903E-13</v>
      </c>
    </row>
    <row r="439" spans="1:1" x14ac:dyDescent="0.25">
      <c r="A439" s="30">
        <v>2.9478511997967513E-13</v>
      </c>
    </row>
    <row r="440" spans="1:1" x14ac:dyDescent="0.25">
      <c r="A440" s="30">
        <v>2.6530660798170763E-13</v>
      </c>
    </row>
    <row r="441" spans="1:1" x14ac:dyDescent="0.25">
      <c r="A441" s="30">
        <v>2.3877594718353686E-13</v>
      </c>
    </row>
    <row r="442" spans="1:1" x14ac:dyDescent="0.25">
      <c r="A442" s="30">
        <v>2.1489835246518316E-13</v>
      </c>
    </row>
    <row r="443" spans="1:1" x14ac:dyDescent="0.25">
      <c r="A443" s="30">
        <v>1.9340851721866486E-13</v>
      </c>
    </row>
    <row r="444" spans="1:1" x14ac:dyDescent="0.25">
      <c r="A444" s="30">
        <v>1.7406766549679839E-13</v>
      </c>
    </row>
    <row r="445" spans="1:1" x14ac:dyDescent="0.25">
      <c r="A445" s="30">
        <v>1.5666089894711856E-13</v>
      </c>
    </row>
    <row r="446" spans="1:1" x14ac:dyDescent="0.25">
      <c r="A446" s="30">
        <v>1.4099480905240672E-13</v>
      </c>
    </row>
    <row r="447" spans="1:1" x14ac:dyDescent="0.25">
      <c r="A447" s="30">
        <v>1.2689532814716606E-13</v>
      </c>
    </row>
    <row r="448" spans="1:1" x14ac:dyDescent="0.25">
      <c r="A448" s="30">
        <v>1.1420579533244944E-13</v>
      </c>
    </row>
    <row r="449" spans="1:1" x14ac:dyDescent="0.25">
      <c r="A449" s="30">
        <v>1.0278521579920451E-13</v>
      </c>
    </row>
    <row r="450" spans="1:1" x14ac:dyDescent="0.25">
      <c r="A450" s="30">
        <v>9.2506694219284062E-14</v>
      </c>
    </row>
    <row r="451" spans="1:1" x14ac:dyDescent="0.25">
      <c r="A451" s="30">
        <v>8.3256024797355662E-14</v>
      </c>
    </row>
    <row r="452" spans="1:1" x14ac:dyDescent="0.25">
      <c r="A452" s="30">
        <v>7.4930422317620103E-14</v>
      </c>
    </row>
    <row r="453" spans="1:1" x14ac:dyDescent="0.25">
      <c r="A453" s="30">
        <v>6.7437380085858099E-14</v>
      </c>
    </row>
    <row r="454" spans="1:1" x14ac:dyDescent="0.25">
      <c r="A454" s="30">
        <v>6.0693642077272288E-14</v>
      </c>
    </row>
    <row r="455" spans="1:1" x14ac:dyDescent="0.25">
      <c r="A455" s="30">
        <v>5.4624277869545061E-14</v>
      </c>
    </row>
    <row r="456" spans="1:1" x14ac:dyDescent="0.25">
      <c r="A456" s="30">
        <v>4.9161850082590553E-14</v>
      </c>
    </row>
    <row r="457" spans="1:1" x14ac:dyDescent="0.25">
      <c r="A457" s="30">
        <v>4.4245665074331497E-14</v>
      </c>
    </row>
    <row r="458" spans="1:1" x14ac:dyDescent="0.25">
      <c r="A458" s="30">
        <v>3.9821098566898348E-14</v>
      </c>
    </row>
    <row r="459" spans="1:1" x14ac:dyDescent="0.25">
      <c r="A459" s="30">
        <v>3.5838988710208514E-14</v>
      </c>
    </row>
    <row r="460" spans="1:1" x14ac:dyDescent="0.25">
      <c r="A460" s="30">
        <v>3.2255089839187663E-14</v>
      </c>
    </row>
    <row r="461" spans="1:1" x14ac:dyDescent="0.25">
      <c r="A461" s="30">
        <v>2.9029580855268898E-14</v>
      </c>
    </row>
    <row r="462" spans="1:1" x14ac:dyDescent="0.25">
      <c r="A462" s="30">
        <v>2.612662276974201E-14</v>
      </c>
    </row>
    <row r="463" spans="1:1" x14ac:dyDescent="0.25">
      <c r="A463" s="30">
        <v>2.3513960492767811E-14</v>
      </c>
    </row>
    <row r="464" spans="1:1" x14ac:dyDescent="0.25">
      <c r="A464" s="30">
        <v>2.1162564443491029E-14</v>
      </c>
    </row>
    <row r="465" spans="1:1" x14ac:dyDescent="0.25">
      <c r="A465" s="30">
        <v>1.9046307999141925E-14</v>
      </c>
    </row>
    <row r="466" spans="1:1" x14ac:dyDescent="0.25">
      <c r="A466" s="30">
        <v>1.7141677199227731E-14</v>
      </c>
    </row>
    <row r="467" spans="1:1" x14ac:dyDescent="0.25">
      <c r="A467" s="30">
        <v>1.5427509479304957E-14</v>
      </c>
    </row>
    <row r="468" spans="1:1" x14ac:dyDescent="0.25">
      <c r="A468" s="30">
        <v>1.3884758531374462E-14</v>
      </c>
    </row>
    <row r="469" spans="1:1" x14ac:dyDescent="0.25">
      <c r="A469" s="30">
        <v>1.2496282678237016E-14</v>
      </c>
    </row>
    <row r="470" spans="1:1" x14ac:dyDescent="0.25">
      <c r="A470" s="30">
        <v>1.1246654410413315E-14</v>
      </c>
    </row>
    <row r="471" spans="1:1" x14ac:dyDescent="0.25">
      <c r="A471" s="30">
        <v>1.0121988969371984E-14</v>
      </c>
    </row>
    <row r="472" spans="1:1" x14ac:dyDescent="0.25">
      <c r="A472" s="30">
        <v>9.1097900724347861E-15</v>
      </c>
    </row>
    <row r="473" spans="1:1" x14ac:dyDescent="0.25">
      <c r="A473" s="30">
        <v>8.1988110651913077E-15</v>
      </c>
    </row>
    <row r="474" spans="1:1" x14ac:dyDescent="0.25">
      <c r="A474" s="30">
        <v>7.3789299586721777E-15</v>
      </c>
    </row>
    <row r="475" spans="1:1" x14ac:dyDescent="0.25">
      <c r="A475" s="30">
        <v>6.6410369628049599E-15</v>
      </c>
    </row>
    <row r="476" spans="1:1" x14ac:dyDescent="0.25">
      <c r="A476" s="30">
        <v>5.9769332665244643E-15</v>
      </c>
    </row>
    <row r="477" spans="1:1" x14ac:dyDescent="0.25">
      <c r="A477" s="30">
        <v>5.3792399398720178E-15</v>
      </c>
    </row>
    <row r="478" spans="1:1" x14ac:dyDescent="0.25">
      <c r="A478" s="30">
        <v>4.8413159458848159E-15</v>
      </c>
    </row>
    <row r="479" spans="1:1" x14ac:dyDescent="0.25">
      <c r="A479" s="30">
        <v>4.3571843512963347E-15</v>
      </c>
    </row>
    <row r="480" spans="1:1" x14ac:dyDescent="0.25">
      <c r="A480" s="30">
        <v>3.921465916166701E-15</v>
      </c>
    </row>
    <row r="481" spans="1:1" x14ac:dyDescent="0.25">
      <c r="A481" s="30">
        <v>3.529319324550031E-15</v>
      </c>
    </row>
    <row r="482" spans="1:1" x14ac:dyDescent="0.25">
      <c r="A482" s="30">
        <v>3.176387392095028E-15</v>
      </c>
    </row>
    <row r="483" spans="1:1" x14ac:dyDescent="0.25">
      <c r="A483" s="30">
        <v>2.8587486528855254E-15</v>
      </c>
    </row>
    <row r="484" spans="1:1" x14ac:dyDescent="0.25">
      <c r="A484" s="30">
        <v>2.5728737875969727E-15</v>
      </c>
    </row>
    <row r="485" spans="1:1" x14ac:dyDescent="0.25">
      <c r="A485" s="30">
        <v>2.3155864088372755E-15</v>
      </c>
    </row>
    <row r="486" spans="1:1" x14ac:dyDescent="0.25">
      <c r="A486" s="30">
        <v>2.0840277679535482E-15</v>
      </c>
    </row>
    <row r="487" spans="1:1" x14ac:dyDescent="0.25">
      <c r="A487" s="30">
        <v>1.8756249911581935E-15</v>
      </c>
    </row>
    <row r="488" spans="1:1" x14ac:dyDescent="0.25">
      <c r="A488" s="30">
        <v>1.6880624920423743E-15</v>
      </c>
    </row>
    <row r="489" spans="1:1" x14ac:dyDescent="0.25">
      <c r="A489" s="30">
        <v>1.519256242838137E-15</v>
      </c>
    </row>
    <row r="490" spans="1:1" x14ac:dyDescent="0.25">
      <c r="A490" s="30">
        <v>1.3673306185543234E-15</v>
      </c>
    </row>
    <row r="491" spans="1:1" x14ac:dyDescent="0.25">
      <c r="A491" s="30">
        <v>1.230597556698891E-15</v>
      </c>
    </row>
    <row r="492" spans="1:1" x14ac:dyDescent="0.25">
      <c r="A492" s="30">
        <v>1.1075378010290018E-15</v>
      </c>
    </row>
    <row r="493" spans="1:1" x14ac:dyDescent="0.25">
      <c r="A493" s="30">
        <v>9.9678402092610166E-16</v>
      </c>
    </row>
    <row r="494" spans="1:1" x14ac:dyDescent="0.25">
      <c r="A494" s="30">
        <v>8.9710561883349156E-16</v>
      </c>
    </row>
    <row r="495" spans="1:1" x14ac:dyDescent="0.25">
      <c r="A495" s="30">
        <v>8.0739505695014242E-16</v>
      </c>
    </row>
    <row r="496" spans="1:1" x14ac:dyDescent="0.25">
      <c r="A496" s="30">
        <v>7.2665555125512816E-16</v>
      </c>
    </row>
    <row r="497" spans="1:1" x14ac:dyDescent="0.25">
      <c r="A497" s="30">
        <v>6.5398999612961539E-16</v>
      </c>
    </row>
    <row r="498" spans="1:1" x14ac:dyDescent="0.25">
      <c r="A498" s="30">
        <v>5.885909965166539E-16</v>
      </c>
    </row>
    <row r="499" spans="1:1" x14ac:dyDescent="0.25">
      <c r="A499" s="30">
        <v>5.2973189686498855E-16</v>
      </c>
    </row>
    <row r="500" spans="1:1" x14ac:dyDescent="0.25">
      <c r="A500" s="30">
        <v>4.767587071784897E-16</v>
      </c>
    </row>
    <row r="501" spans="1:1" x14ac:dyDescent="0.25">
      <c r="A501" s="30">
        <v>4.2908283646064075E-16</v>
      </c>
    </row>
    <row r="502" spans="1:1" x14ac:dyDescent="0.25">
      <c r="A502" s="30">
        <v>3.8617455281457667E-16</v>
      </c>
    </row>
    <row r="503" spans="1:1" x14ac:dyDescent="0.25">
      <c r="A503" s="30">
        <v>3.47557097533119E-16</v>
      </c>
    </row>
    <row r="504" spans="1:1" x14ac:dyDescent="0.25">
      <c r="A504" s="30">
        <v>3.1280138777980711E-16</v>
      </c>
    </row>
    <row r="505" spans="1:1" x14ac:dyDescent="0.25">
      <c r="A505" s="30">
        <v>2.815212490018264E-16</v>
      </c>
    </row>
    <row r="506" spans="1:1" x14ac:dyDescent="0.25">
      <c r="A506" s="30">
        <v>2.5336912410164374E-16</v>
      </c>
    </row>
    <row r="507" spans="1:1" x14ac:dyDescent="0.25">
      <c r="A507" s="30">
        <v>2.2803221169147938E-16</v>
      </c>
    </row>
    <row r="508" spans="1:1" x14ac:dyDescent="0.25">
      <c r="A508" s="30">
        <v>2.0522899052233145E-16</v>
      </c>
    </row>
    <row r="509" spans="1:1" x14ac:dyDescent="0.25">
      <c r="A509" s="30">
        <v>1.8470609147009832E-16</v>
      </c>
    </row>
    <row r="510" spans="1:1" x14ac:dyDescent="0.25">
      <c r="A510" s="30">
        <v>1.6623548232308849E-16</v>
      </c>
    </row>
    <row r="511" spans="1:1" x14ac:dyDescent="0.25">
      <c r="A511" s="30">
        <v>1.4961193409077965E-16</v>
      </c>
    </row>
    <row r="512" spans="1:1" x14ac:dyDescent="0.25">
      <c r="A512" s="30">
        <v>1.3465074068170169E-16</v>
      </c>
    </row>
    <row r="513" spans="1:1" x14ac:dyDescent="0.25">
      <c r="A513" s="30">
        <v>1.2118566661353153E-16</v>
      </c>
    </row>
    <row r="514" spans="1:1" x14ac:dyDescent="0.25">
      <c r="A514" s="30">
        <v>1.0906709995217838E-16</v>
      </c>
    </row>
    <row r="515" spans="1:1" x14ac:dyDescent="0.25">
      <c r="A515" s="30">
        <v>9.8160389956960543E-17</v>
      </c>
    </row>
    <row r="516" spans="1:1" x14ac:dyDescent="0.25">
      <c r="A516" s="30">
        <v>8.8344350961264486E-17</v>
      </c>
    </row>
    <row r="517" spans="1:1" x14ac:dyDescent="0.25">
      <c r="A517" s="30">
        <v>7.9509915865138035E-17</v>
      </c>
    </row>
    <row r="518" spans="1:1" x14ac:dyDescent="0.25">
      <c r="A518" s="30">
        <v>7.1558924278624229E-17</v>
      </c>
    </row>
    <row r="519" spans="1:1" x14ac:dyDescent="0.25">
      <c r="A519" s="30">
        <v>6.440303185076181E-17</v>
      </c>
    </row>
    <row r="520" spans="1:1" x14ac:dyDescent="0.25">
      <c r="A520" s="30">
        <v>5.7962728665685633E-17</v>
      </c>
    </row>
    <row r="521" spans="1:1" x14ac:dyDescent="0.25">
      <c r="A521" s="30">
        <v>5.2166455799117073E-17</v>
      </c>
    </row>
    <row r="522" spans="1:1" x14ac:dyDescent="0.25">
      <c r="A522" s="30">
        <v>4.6949810219205366E-17</v>
      </c>
    </row>
    <row r="523" spans="1:1" x14ac:dyDescent="0.25">
      <c r="A523" s="30">
        <v>4.2254829197284832E-17</v>
      </c>
    </row>
    <row r="524" spans="1:1" x14ac:dyDescent="0.25">
      <c r="A524" s="30">
        <v>3.8029346277556347E-17</v>
      </c>
    </row>
    <row r="525" spans="1:1" x14ac:dyDescent="0.25">
      <c r="A525" s="30">
        <v>3.4226411649800712E-17</v>
      </c>
    </row>
    <row r="526" spans="1:1" x14ac:dyDescent="0.25">
      <c r="A526" s="30">
        <v>3.0803770484820639E-17</v>
      </c>
    </row>
  </sheetData>
  <conditionalFormatting sqref="C136">
    <cfRule type="cellIs" dxfId="20" priority="19" operator="equal">
      <formula>$U$1</formula>
    </cfRule>
    <cfRule type="cellIs" dxfId="19" priority="20" operator="equal">
      <formula>$S$1</formula>
    </cfRule>
  </conditionalFormatting>
  <conditionalFormatting sqref="D136">
    <cfRule type="cellIs" dxfId="18" priority="17" operator="equal">
      <formula>$S$1</formula>
    </cfRule>
    <cfRule type="cellIs" dxfId="17" priority="18" operator="equal">
      <formula>$U$1</formula>
    </cfRule>
  </conditionalFormatting>
  <conditionalFormatting sqref="C102">
    <cfRule type="cellIs" dxfId="16" priority="15" operator="equal">
      <formula>$U$1</formula>
    </cfRule>
    <cfRule type="cellIs" dxfId="15" priority="16" operator="equal">
      <formula>$S$1</formula>
    </cfRule>
  </conditionalFormatting>
  <conditionalFormatting sqref="D102">
    <cfRule type="cellIs" dxfId="14" priority="13" operator="equal">
      <formula>$S$1</formula>
    </cfRule>
    <cfRule type="cellIs" dxfId="13" priority="14" operator="equal">
      <formula>$U$1</formula>
    </cfRule>
  </conditionalFormatting>
  <conditionalFormatting sqref="C77">
    <cfRule type="cellIs" dxfId="12" priority="11" operator="equal">
      <formula>$U$1</formula>
    </cfRule>
    <cfRule type="cellIs" dxfId="11" priority="12" operator="equal">
      <formula>$S$1</formula>
    </cfRule>
  </conditionalFormatting>
  <conditionalFormatting sqref="D77">
    <cfRule type="cellIs" dxfId="10" priority="9" operator="equal">
      <formula>$S$1</formula>
    </cfRule>
    <cfRule type="cellIs" dxfId="9" priority="10" operator="equal">
      <formula>$U$1</formula>
    </cfRule>
  </conditionalFormatting>
  <conditionalFormatting sqref="C52">
    <cfRule type="cellIs" dxfId="8" priority="7" operator="equal">
      <formula>$U$1</formula>
    </cfRule>
    <cfRule type="cellIs" dxfId="7" priority="8" operator="equal">
      <formula>$S$1</formula>
    </cfRule>
  </conditionalFormatting>
  <conditionalFormatting sqref="D52">
    <cfRule type="cellIs" dxfId="6" priority="5" operator="equal">
      <formula>$S$1</formula>
    </cfRule>
    <cfRule type="cellIs" dxfId="5" priority="6" operator="equal">
      <formula>$U$1</formula>
    </cfRule>
  </conditionalFormatting>
  <conditionalFormatting sqref="C26">
    <cfRule type="cellIs" dxfId="4" priority="3" operator="equal">
      <formula>$U$1</formula>
    </cfRule>
    <cfRule type="cellIs" dxfId="3" priority="4" operator="equal">
      <formula>$S$1</formula>
    </cfRule>
  </conditionalFormatting>
  <conditionalFormatting sqref="D26">
    <cfRule type="cellIs" dxfId="2" priority="1" operator="equal">
      <formula>$S$1</formula>
    </cfRule>
    <cfRule type="cellIs" dxfId="1" priority="2" operator="equal">
      <formula>$U$1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A2C41-9E8C-4891-921C-AF7A35AB979B}">
  <dimension ref="A1:E155"/>
  <sheetViews>
    <sheetView topLeftCell="A29" workbookViewId="0">
      <selection activeCell="D68" sqref="D1:D68"/>
    </sheetView>
  </sheetViews>
  <sheetFormatPr defaultRowHeight="15" x14ac:dyDescent="0.25"/>
  <cols>
    <col min="1" max="1" width="12.7109375" customWidth="1"/>
    <col min="4" max="4" width="12.140625" customWidth="1"/>
  </cols>
  <sheetData>
    <row r="1" spans="1:5" x14ac:dyDescent="0.25">
      <c r="A1" s="30">
        <v>76619.065138703256</v>
      </c>
      <c r="B1">
        <v>1.1000000000000001</v>
      </c>
      <c r="D1" s="30">
        <v>100155.44859784204</v>
      </c>
      <c r="E1">
        <v>1.05</v>
      </c>
    </row>
    <row r="2" spans="1:5" x14ac:dyDescent="0.25">
      <c r="A2">
        <v>2605350.751695944</v>
      </c>
      <c r="D2">
        <v>2632434.7683733804</v>
      </c>
    </row>
    <row r="3" spans="1:5" x14ac:dyDescent="0.25">
      <c r="A3">
        <v>2368500.6833599489</v>
      </c>
      <c r="D3">
        <v>2507080.7317841719</v>
      </c>
    </row>
    <row r="4" spans="1:5" x14ac:dyDescent="0.25">
      <c r="A4">
        <v>2153182.4394181352</v>
      </c>
      <c r="D4">
        <v>2387695.9350325447</v>
      </c>
    </row>
    <row r="5" spans="1:5" x14ac:dyDescent="0.25">
      <c r="A5">
        <v>1957438.5812892136</v>
      </c>
      <c r="D5">
        <v>2273996.1286024232</v>
      </c>
    </row>
    <row r="6" spans="1:5" x14ac:dyDescent="0.25">
      <c r="A6">
        <v>1779489.6193538303</v>
      </c>
      <c r="D6">
        <v>2165710.5986689744</v>
      </c>
    </row>
    <row r="7" spans="1:5" x14ac:dyDescent="0.25">
      <c r="A7">
        <v>1617717.8357762094</v>
      </c>
      <c r="D7">
        <v>2062581.5225418801</v>
      </c>
    </row>
    <row r="8" spans="1:5" x14ac:dyDescent="0.25">
      <c r="A8">
        <v>1470652.5779783721</v>
      </c>
      <c r="D8">
        <v>1964363.3548017906</v>
      </c>
    </row>
    <row r="9" spans="1:5" x14ac:dyDescent="0.25">
      <c r="A9">
        <v>1336956.8890712473</v>
      </c>
      <c r="D9">
        <v>1870822.2426683719</v>
      </c>
    </row>
    <row r="10" spans="1:5" x14ac:dyDescent="0.25">
      <c r="A10">
        <v>1215415.3537011337</v>
      </c>
      <c r="D10">
        <v>1781735.4692079732</v>
      </c>
    </row>
    <row r="11" spans="1:5" x14ac:dyDescent="0.25">
      <c r="A11">
        <v>1104923.0488192125</v>
      </c>
      <c r="D11">
        <v>1696890.9230552125</v>
      </c>
    </row>
    <row r="12" spans="1:5" x14ac:dyDescent="0.25">
      <c r="A12">
        <v>1004475.4989265567</v>
      </c>
      <c r="D12">
        <v>1616086.5933859167</v>
      </c>
    </row>
    <row r="13" spans="1:5" x14ac:dyDescent="0.25">
      <c r="A13">
        <v>913159.54447868781</v>
      </c>
      <c r="D13">
        <v>1539130.0889389683</v>
      </c>
    </row>
    <row r="14" spans="1:5" x14ac:dyDescent="0.25">
      <c r="A14">
        <v>830145.04043517064</v>
      </c>
      <c r="D14">
        <v>1465838.1799418745</v>
      </c>
    </row>
    <row r="15" spans="1:5" x14ac:dyDescent="0.25">
      <c r="A15">
        <v>754677.30948651873</v>
      </c>
      <c r="D15">
        <v>1396036.3618494042</v>
      </c>
    </row>
    <row r="16" spans="1:5" x14ac:dyDescent="0.25">
      <c r="A16">
        <v>686070.28135138063</v>
      </c>
      <c r="D16">
        <v>1329558.4398565753</v>
      </c>
    </row>
    <row r="17" spans="1:4" x14ac:dyDescent="0.25">
      <c r="A17">
        <v>623700.25577398238</v>
      </c>
      <c r="D17">
        <v>1266246.1331967383</v>
      </c>
    </row>
    <row r="18" spans="1:4" x14ac:dyDescent="0.25">
      <c r="A18">
        <v>567000.23252180207</v>
      </c>
      <c r="D18">
        <v>1205948.6982826078</v>
      </c>
    </row>
    <row r="19" spans="1:4" x14ac:dyDescent="0.25">
      <c r="A19">
        <v>515454.75683800189</v>
      </c>
      <c r="D19">
        <v>1148522.5697929598</v>
      </c>
    </row>
    <row r="20" spans="1:4" x14ac:dyDescent="0.25">
      <c r="A20">
        <v>468595.23348909261</v>
      </c>
      <c r="D20">
        <v>1093831.0188504378</v>
      </c>
    </row>
    <row r="21" spans="1:4" x14ac:dyDescent="0.25">
      <c r="A21">
        <v>425995.66680826596</v>
      </c>
      <c r="D21">
        <v>1041743.8274766075</v>
      </c>
    </row>
    <row r="22" spans="1:4" x14ac:dyDescent="0.25">
      <c r="A22">
        <v>387268.78800751449</v>
      </c>
      <c r="D22">
        <v>992136.97854914994</v>
      </c>
    </row>
    <row r="23" spans="1:4" x14ac:dyDescent="0.25">
      <c r="A23">
        <v>352062.53455228586</v>
      </c>
      <c r="D23">
        <v>944892.36052299989</v>
      </c>
    </row>
    <row r="24" spans="1:4" x14ac:dyDescent="0.25">
      <c r="A24">
        <v>320056.8495929871</v>
      </c>
      <c r="D24">
        <v>899897.48621238081</v>
      </c>
    </row>
    <row r="25" spans="1:4" x14ac:dyDescent="0.25">
      <c r="A25">
        <v>290960.77235726098</v>
      </c>
      <c r="D25">
        <v>857045.22496417211</v>
      </c>
    </row>
    <row r="26" spans="1:4" x14ac:dyDescent="0.25">
      <c r="A26">
        <v>264509.79305205541</v>
      </c>
      <c r="D26">
        <v>816233.54758492578</v>
      </c>
    </row>
    <row r="27" spans="1:4" x14ac:dyDescent="0.25">
      <c r="A27">
        <v>240463.44822914127</v>
      </c>
      <c r="D27">
        <v>777365.28341421497</v>
      </c>
    </row>
    <row r="28" spans="1:4" x14ac:dyDescent="0.25">
      <c r="A28">
        <v>218603.13475376478</v>
      </c>
      <c r="D28">
        <v>740347.88896591903</v>
      </c>
    </row>
    <row r="29" spans="1:4" x14ac:dyDescent="0.25">
      <c r="A29">
        <v>198730.12250342252</v>
      </c>
      <c r="D29">
        <v>705093.22758658952</v>
      </c>
    </row>
    <row r="30" spans="1:4" x14ac:dyDescent="0.25">
      <c r="A30">
        <v>180663.74773038409</v>
      </c>
      <c r="D30">
        <v>671517.35960627568</v>
      </c>
    </row>
    <row r="31" spans="1:4" x14ac:dyDescent="0.25">
      <c r="A31">
        <v>164239.77066398552</v>
      </c>
      <c r="D31">
        <v>639540.3424821673</v>
      </c>
    </row>
    <row r="32" spans="1:4" x14ac:dyDescent="0.25">
      <c r="A32">
        <v>149308.882421805</v>
      </c>
      <c r="D32">
        <v>609086.04045920691</v>
      </c>
    </row>
    <row r="33" spans="1:4" x14ac:dyDescent="0.25">
      <c r="A33">
        <v>135735.34765618635</v>
      </c>
      <c r="D33">
        <v>580081.94329448277</v>
      </c>
    </row>
    <row r="34" spans="1:4" x14ac:dyDescent="0.25">
      <c r="A34">
        <v>123395.77059653302</v>
      </c>
      <c r="D34">
        <v>552458.99361379305</v>
      </c>
    </row>
    <row r="35" spans="1:4" x14ac:dyDescent="0.25">
      <c r="A35">
        <v>112177.97326957546</v>
      </c>
      <c r="D35">
        <v>526151.42248932668</v>
      </c>
    </row>
    <row r="36" spans="1:4" x14ac:dyDescent="0.25">
      <c r="A36">
        <v>101979.97569961405</v>
      </c>
      <c r="D36">
        <v>501096.59284697776</v>
      </c>
    </row>
    <row r="37" spans="1:4" x14ac:dyDescent="0.25">
      <c r="A37">
        <v>92709.06881783095</v>
      </c>
      <c r="D37">
        <v>477234.850330455</v>
      </c>
    </row>
    <row r="38" spans="1:4" x14ac:dyDescent="0.25">
      <c r="A38">
        <v>84280.971652573586</v>
      </c>
      <c r="D38">
        <v>454509.38126709999</v>
      </c>
    </row>
    <row r="39" spans="1:4" x14ac:dyDescent="0.25">
      <c r="D39">
        <v>432866.07739723806</v>
      </c>
    </row>
    <row r="40" spans="1:4" x14ac:dyDescent="0.25">
      <c r="D40">
        <v>412253.40704498859</v>
      </c>
    </row>
    <row r="41" spans="1:4" x14ac:dyDescent="0.25">
      <c r="D41">
        <v>392622.29242379864</v>
      </c>
    </row>
    <row r="42" spans="1:4" x14ac:dyDescent="0.25">
      <c r="D42">
        <v>373925.99278457015</v>
      </c>
    </row>
    <row r="43" spans="1:4" x14ac:dyDescent="0.25">
      <c r="D43">
        <v>356119.99312816205</v>
      </c>
    </row>
    <row r="44" spans="1:4" x14ac:dyDescent="0.25">
      <c r="D44">
        <v>339161.89821729716</v>
      </c>
    </row>
    <row r="45" spans="1:4" x14ac:dyDescent="0.25">
      <c r="D45">
        <v>323011.33163552108</v>
      </c>
    </row>
    <row r="46" spans="1:4" x14ac:dyDescent="0.25">
      <c r="D46">
        <v>307629.83965287718</v>
      </c>
    </row>
    <row r="47" spans="1:4" x14ac:dyDescent="0.25">
      <c r="D47">
        <v>292980.79966940684</v>
      </c>
    </row>
    <row r="48" spans="1:4" x14ac:dyDescent="0.25">
      <c r="D48">
        <v>279029.33301848272</v>
      </c>
    </row>
    <row r="49" spans="4:4" x14ac:dyDescent="0.25">
      <c r="D49">
        <v>265742.22192236449</v>
      </c>
    </row>
    <row r="50" spans="4:4" x14ac:dyDescent="0.25">
      <c r="D50">
        <v>253087.83040225189</v>
      </c>
    </row>
    <row r="51" spans="4:4" x14ac:dyDescent="0.25">
      <c r="D51">
        <v>241036.02895452559</v>
      </c>
    </row>
    <row r="52" spans="4:4" x14ac:dyDescent="0.25">
      <c r="D52">
        <v>229558.12281383388</v>
      </c>
    </row>
    <row r="53" spans="4:4" x14ac:dyDescent="0.25">
      <c r="D53">
        <v>218626.78363222274</v>
      </c>
    </row>
    <row r="54" spans="4:4" x14ac:dyDescent="0.25">
      <c r="D54">
        <v>208215.9844116407</v>
      </c>
    </row>
    <row r="55" spans="4:4" x14ac:dyDescent="0.25">
      <c r="D55">
        <v>198300.9375348959</v>
      </c>
    </row>
    <row r="56" spans="4:4" x14ac:dyDescent="0.25">
      <c r="D56">
        <v>188858.0357475199</v>
      </c>
    </row>
    <row r="57" spans="4:4" x14ac:dyDescent="0.25">
      <c r="D57">
        <v>179864.79595001895</v>
      </c>
    </row>
    <row r="58" spans="4:4" x14ac:dyDescent="0.25">
      <c r="D58">
        <v>171299.8056666847</v>
      </c>
    </row>
    <row r="59" spans="4:4" x14ac:dyDescent="0.25">
      <c r="D59">
        <v>163142.67206350924</v>
      </c>
    </row>
    <row r="60" spans="4:4" x14ac:dyDescent="0.25">
      <c r="D60">
        <v>155373.97339381831</v>
      </c>
    </row>
    <row r="61" spans="4:4" x14ac:dyDescent="0.25">
      <c r="D61">
        <v>147975.21275601743</v>
      </c>
    </row>
    <row r="62" spans="4:4" x14ac:dyDescent="0.25">
      <c r="D62">
        <v>140928.77405334992</v>
      </c>
    </row>
    <row r="63" spans="4:4" x14ac:dyDescent="0.25">
      <c r="D63">
        <v>134217.88005080944</v>
      </c>
    </row>
    <row r="64" spans="4:4" x14ac:dyDescent="0.25">
      <c r="D64">
        <v>127826.55242934231</v>
      </c>
    </row>
    <row r="65" spans="4:4" x14ac:dyDescent="0.25">
      <c r="D65">
        <v>121739.57374223076</v>
      </c>
    </row>
    <row r="66" spans="4:4" x14ac:dyDescent="0.25">
      <c r="D66">
        <v>115942.4511830769</v>
      </c>
    </row>
    <row r="67" spans="4:4" x14ac:dyDescent="0.25">
      <c r="D67">
        <v>110421.38207912086</v>
      </c>
    </row>
    <row r="68" spans="4:4" x14ac:dyDescent="0.25">
      <c r="D68">
        <v>105163.22102773415</v>
      </c>
    </row>
    <row r="69" spans="4:4" x14ac:dyDescent="0.25">
      <c r="D69">
        <f t="shared" ref="D69:D130" si="0">D68*$E$1</f>
        <v>110421.38207912086</v>
      </c>
    </row>
    <row r="70" spans="4:4" x14ac:dyDescent="0.25">
      <c r="D70">
        <f t="shared" si="0"/>
        <v>115942.4511830769</v>
      </c>
    </row>
    <row r="71" spans="4:4" x14ac:dyDescent="0.25">
      <c r="D71">
        <f t="shared" si="0"/>
        <v>121739.57374223076</v>
      </c>
    </row>
    <row r="72" spans="4:4" x14ac:dyDescent="0.25">
      <c r="D72">
        <f t="shared" si="0"/>
        <v>127826.55242934231</v>
      </c>
    </row>
    <row r="73" spans="4:4" x14ac:dyDescent="0.25">
      <c r="D73">
        <f t="shared" si="0"/>
        <v>134217.88005080944</v>
      </c>
    </row>
    <row r="74" spans="4:4" x14ac:dyDescent="0.25">
      <c r="D74">
        <f t="shared" si="0"/>
        <v>140928.77405334992</v>
      </c>
    </row>
    <row r="75" spans="4:4" x14ac:dyDescent="0.25">
      <c r="D75">
        <f t="shared" si="0"/>
        <v>147975.21275601743</v>
      </c>
    </row>
    <row r="76" spans="4:4" x14ac:dyDescent="0.25">
      <c r="D76">
        <f t="shared" si="0"/>
        <v>155373.97339381831</v>
      </c>
    </row>
    <row r="77" spans="4:4" x14ac:dyDescent="0.25">
      <c r="D77">
        <f t="shared" si="0"/>
        <v>163142.67206350924</v>
      </c>
    </row>
    <row r="78" spans="4:4" x14ac:dyDescent="0.25">
      <c r="D78">
        <f t="shared" si="0"/>
        <v>171299.8056666847</v>
      </c>
    </row>
    <row r="79" spans="4:4" x14ac:dyDescent="0.25">
      <c r="D79">
        <f t="shared" si="0"/>
        <v>179864.79595001895</v>
      </c>
    </row>
    <row r="80" spans="4:4" x14ac:dyDescent="0.25">
      <c r="D80">
        <f t="shared" si="0"/>
        <v>188858.0357475199</v>
      </c>
    </row>
    <row r="81" spans="4:4" x14ac:dyDescent="0.25">
      <c r="D81">
        <f t="shared" si="0"/>
        <v>198300.9375348959</v>
      </c>
    </row>
    <row r="82" spans="4:4" x14ac:dyDescent="0.25">
      <c r="D82">
        <f t="shared" si="0"/>
        <v>208215.9844116407</v>
      </c>
    </row>
    <row r="83" spans="4:4" x14ac:dyDescent="0.25">
      <c r="D83">
        <f t="shared" si="0"/>
        <v>218626.78363222274</v>
      </c>
    </row>
    <row r="84" spans="4:4" x14ac:dyDescent="0.25">
      <c r="D84">
        <f t="shared" si="0"/>
        <v>229558.12281383388</v>
      </c>
    </row>
    <row r="85" spans="4:4" x14ac:dyDescent="0.25">
      <c r="D85">
        <f t="shared" si="0"/>
        <v>241036.02895452559</v>
      </c>
    </row>
    <row r="86" spans="4:4" x14ac:dyDescent="0.25">
      <c r="D86">
        <f t="shared" si="0"/>
        <v>253087.83040225189</v>
      </c>
    </row>
    <row r="87" spans="4:4" x14ac:dyDescent="0.25">
      <c r="D87">
        <f t="shared" si="0"/>
        <v>265742.22192236449</v>
      </c>
    </row>
    <row r="88" spans="4:4" x14ac:dyDescent="0.25">
      <c r="D88">
        <f t="shared" si="0"/>
        <v>279029.33301848272</v>
      </c>
    </row>
    <row r="89" spans="4:4" x14ac:dyDescent="0.25">
      <c r="D89">
        <f t="shared" si="0"/>
        <v>292980.79966940684</v>
      </c>
    </row>
    <row r="90" spans="4:4" x14ac:dyDescent="0.25">
      <c r="D90">
        <f t="shared" si="0"/>
        <v>307629.83965287718</v>
      </c>
    </row>
    <row r="91" spans="4:4" x14ac:dyDescent="0.25">
      <c r="D91">
        <f t="shared" si="0"/>
        <v>323011.33163552108</v>
      </c>
    </row>
    <row r="92" spans="4:4" x14ac:dyDescent="0.25">
      <c r="D92">
        <f t="shared" si="0"/>
        <v>339161.89821729716</v>
      </c>
    </row>
    <row r="93" spans="4:4" x14ac:dyDescent="0.25">
      <c r="D93">
        <f t="shared" si="0"/>
        <v>356119.99312816205</v>
      </c>
    </row>
    <row r="94" spans="4:4" x14ac:dyDescent="0.25">
      <c r="D94">
        <f t="shared" si="0"/>
        <v>373925.99278457015</v>
      </c>
    </row>
    <row r="95" spans="4:4" x14ac:dyDescent="0.25">
      <c r="D95">
        <f t="shared" si="0"/>
        <v>392622.29242379864</v>
      </c>
    </row>
    <row r="96" spans="4:4" x14ac:dyDescent="0.25">
      <c r="D96">
        <f t="shared" si="0"/>
        <v>412253.40704498859</v>
      </c>
    </row>
    <row r="97" spans="4:4" x14ac:dyDescent="0.25">
      <c r="D97">
        <f t="shared" si="0"/>
        <v>432866.07739723806</v>
      </c>
    </row>
    <row r="98" spans="4:4" x14ac:dyDescent="0.25">
      <c r="D98">
        <f t="shared" si="0"/>
        <v>454509.38126709999</v>
      </c>
    </row>
    <row r="99" spans="4:4" x14ac:dyDescent="0.25">
      <c r="D99">
        <f t="shared" si="0"/>
        <v>477234.850330455</v>
      </c>
    </row>
    <row r="100" spans="4:4" x14ac:dyDescent="0.25">
      <c r="D100">
        <f t="shared" si="0"/>
        <v>501096.59284697776</v>
      </c>
    </row>
    <row r="101" spans="4:4" x14ac:dyDescent="0.25">
      <c r="D101">
        <f t="shared" si="0"/>
        <v>526151.42248932668</v>
      </c>
    </row>
    <row r="102" spans="4:4" x14ac:dyDescent="0.25">
      <c r="D102">
        <f t="shared" si="0"/>
        <v>552458.99361379305</v>
      </c>
    </row>
    <row r="103" spans="4:4" x14ac:dyDescent="0.25">
      <c r="D103">
        <f t="shared" si="0"/>
        <v>580081.94329448277</v>
      </c>
    </row>
    <row r="104" spans="4:4" x14ac:dyDescent="0.25">
      <c r="D104">
        <f t="shared" si="0"/>
        <v>609086.04045920691</v>
      </c>
    </row>
    <row r="105" spans="4:4" x14ac:dyDescent="0.25">
      <c r="D105">
        <f t="shared" si="0"/>
        <v>639540.3424821673</v>
      </c>
    </row>
    <row r="106" spans="4:4" x14ac:dyDescent="0.25">
      <c r="D106">
        <f t="shared" si="0"/>
        <v>671517.35960627568</v>
      </c>
    </row>
    <row r="107" spans="4:4" x14ac:dyDescent="0.25">
      <c r="D107">
        <f t="shared" si="0"/>
        <v>705093.22758658952</v>
      </c>
    </row>
    <row r="108" spans="4:4" x14ac:dyDescent="0.25">
      <c r="D108">
        <f t="shared" si="0"/>
        <v>740347.88896591903</v>
      </c>
    </row>
    <row r="109" spans="4:4" x14ac:dyDescent="0.25">
      <c r="D109">
        <f t="shared" si="0"/>
        <v>777365.28341421497</v>
      </c>
    </row>
    <row r="110" spans="4:4" x14ac:dyDescent="0.25">
      <c r="D110">
        <f t="shared" si="0"/>
        <v>816233.54758492578</v>
      </c>
    </row>
    <row r="111" spans="4:4" x14ac:dyDescent="0.25">
      <c r="D111">
        <f t="shared" si="0"/>
        <v>857045.22496417211</v>
      </c>
    </row>
    <row r="112" spans="4:4" x14ac:dyDescent="0.25">
      <c r="D112">
        <f t="shared" si="0"/>
        <v>899897.48621238081</v>
      </c>
    </row>
    <row r="113" spans="4:4" x14ac:dyDescent="0.25">
      <c r="D113">
        <f t="shared" si="0"/>
        <v>944892.36052299989</v>
      </c>
    </row>
    <row r="114" spans="4:4" x14ac:dyDescent="0.25">
      <c r="D114">
        <f t="shared" si="0"/>
        <v>992136.97854914994</v>
      </c>
    </row>
    <row r="115" spans="4:4" x14ac:dyDescent="0.25">
      <c r="D115">
        <f t="shared" si="0"/>
        <v>1041743.8274766075</v>
      </c>
    </row>
    <row r="116" spans="4:4" x14ac:dyDescent="0.25">
      <c r="D116">
        <f t="shared" si="0"/>
        <v>1093831.0188504378</v>
      </c>
    </row>
    <row r="117" spans="4:4" x14ac:dyDescent="0.25">
      <c r="D117">
        <f t="shared" si="0"/>
        <v>1148522.5697929598</v>
      </c>
    </row>
    <row r="118" spans="4:4" x14ac:dyDescent="0.25">
      <c r="D118">
        <f t="shared" si="0"/>
        <v>1205948.6982826078</v>
      </c>
    </row>
    <row r="119" spans="4:4" x14ac:dyDescent="0.25">
      <c r="D119">
        <f t="shared" si="0"/>
        <v>1266246.1331967383</v>
      </c>
    </row>
    <row r="120" spans="4:4" x14ac:dyDescent="0.25">
      <c r="D120">
        <f t="shared" si="0"/>
        <v>1329558.4398565753</v>
      </c>
    </row>
    <row r="121" spans="4:4" x14ac:dyDescent="0.25">
      <c r="D121">
        <f t="shared" si="0"/>
        <v>1396036.3618494042</v>
      </c>
    </row>
    <row r="122" spans="4:4" x14ac:dyDescent="0.25">
      <c r="D122">
        <f t="shared" si="0"/>
        <v>1465838.1799418745</v>
      </c>
    </row>
    <row r="123" spans="4:4" x14ac:dyDescent="0.25">
      <c r="D123">
        <f t="shared" si="0"/>
        <v>1539130.0889389683</v>
      </c>
    </row>
    <row r="124" spans="4:4" x14ac:dyDescent="0.25">
      <c r="D124">
        <f t="shared" si="0"/>
        <v>1616086.5933859167</v>
      </c>
    </row>
    <row r="125" spans="4:4" x14ac:dyDescent="0.25">
      <c r="D125">
        <f t="shared" si="0"/>
        <v>1696890.9230552125</v>
      </c>
    </row>
    <row r="126" spans="4:4" x14ac:dyDescent="0.25">
      <c r="D126">
        <f t="shared" si="0"/>
        <v>1781735.4692079732</v>
      </c>
    </row>
    <row r="127" spans="4:4" x14ac:dyDescent="0.25">
      <c r="D127">
        <f t="shared" si="0"/>
        <v>1870822.2426683719</v>
      </c>
    </row>
    <row r="128" spans="4:4" x14ac:dyDescent="0.25">
      <c r="D128">
        <f t="shared" si="0"/>
        <v>1964363.3548017906</v>
      </c>
    </row>
    <row r="129" spans="4:4" x14ac:dyDescent="0.25">
      <c r="D129">
        <f t="shared" si="0"/>
        <v>2062581.5225418801</v>
      </c>
    </row>
    <row r="130" spans="4:4" x14ac:dyDescent="0.25">
      <c r="D130">
        <f t="shared" si="0"/>
        <v>2165710.5986689744</v>
      </c>
    </row>
    <row r="131" spans="4:4" x14ac:dyDescent="0.25">
      <c r="D131">
        <f t="shared" ref="D131:D155" si="1">D130*$E$1</f>
        <v>2273996.1286024232</v>
      </c>
    </row>
    <row r="132" spans="4:4" x14ac:dyDescent="0.25">
      <c r="D132">
        <f t="shared" si="1"/>
        <v>2387695.9350325447</v>
      </c>
    </row>
    <row r="133" spans="4:4" x14ac:dyDescent="0.25">
      <c r="D133">
        <f t="shared" si="1"/>
        <v>2507080.7317841719</v>
      </c>
    </row>
    <row r="134" spans="4:4" x14ac:dyDescent="0.25">
      <c r="D134">
        <f t="shared" si="1"/>
        <v>2632434.7683733804</v>
      </c>
    </row>
    <row r="135" spans="4:4" x14ac:dyDescent="0.25">
      <c r="D135">
        <f t="shared" si="1"/>
        <v>2764056.5067920494</v>
      </c>
    </row>
    <row r="136" spans="4:4" x14ac:dyDescent="0.25">
      <c r="D136">
        <f t="shared" si="1"/>
        <v>2902259.3321316522</v>
      </c>
    </row>
    <row r="137" spans="4:4" x14ac:dyDescent="0.25">
      <c r="D137">
        <f t="shared" si="1"/>
        <v>3047372.2987382347</v>
      </c>
    </row>
    <row r="138" spans="4:4" x14ac:dyDescent="0.25">
      <c r="D138">
        <f t="shared" si="1"/>
        <v>3199740.9136751466</v>
      </c>
    </row>
    <row r="139" spans="4:4" x14ac:dyDescent="0.25">
      <c r="D139">
        <f t="shared" si="1"/>
        <v>3359727.959358904</v>
      </c>
    </row>
    <row r="140" spans="4:4" x14ac:dyDescent="0.25">
      <c r="D140">
        <f t="shared" si="1"/>
        <v>3527714.3573268494</v>
      </c>
    </row>
    <row r="141" spans="4:4" x14ac:dyDescent="0.25">
      <c r="D141">
        <f t="shared" si="1"/>
        <v>3704100.0751931919</v>
      </c>
    </row>
    <row r="142" spans="4:4" x14ac:dyDescent="0.25">
      <c r="D142">
        <f t="shared" si="1"/>
        <v>3889305.0789528517</v>
      </c>
    </row>
    <row r="143" spans="4:4" x14ac:dyDescent="0.25">
      <c r="D143">
        <f t="shared" si="1"/>
        <v>4083770.3329004943</v>
      </c>
    </row>
    <row r="144" spans="4:4" x14ac:dyDescent="0.25">
      <c r="D144">
        <f t="shared" si="1"/>
        <v>4287958.8495455189</v>
      </c>
    </row>
    <row r="145" spans="4:4" x14ac:dyDescent="0.25">
      <c r="D145">
        <f t="shared" si="1"/>
        <v>4502356.7920227954</v>
      </c>
    </row>
    <row r="146" spans="4:4" x14ac:dyDescent="0.25">
      <c r="D146">
        <f t="shared" si="1"/>
        <v>4727474.631623935</v>
      </c>
    </row>
    <row r="147" spans="4:4" x14ac:dyDescent="0.25">
      <c r="D147">
        <f t="shared" si="1"/>
        <v>4963848.3632051321</v>
      </c>
    </row>
    <row r="148" spans="4:4" x14ac:dyDescent="0.25">
      <c r="D148">
        <f t="shared" si="1"/>
        <v>5212040.781365389</v>
      </c>
    </row>
    <row r="149" spans="4:4" x14ac:dyDescent="0.25">
      <c r="D149">
        <f t="shared" si="1"/>
        <v>5472642.8204336585</v>
      </c>
    </row>
    <row r="150" spans="4:4" x14ac:dyDescent="0.25">
      <c r="D150">
        <f t="shared" si="1"/>
        <v>5746274.9614553414</v>
      </c>
    </row>
    <row r="151" spans="4:4" x14ac:dyDescent="0.25">
      <c r="D151">
        <f t="shared" si="1"/>
        <v>6033588.7095281091</v>
      </c>
    </row>
    <row r="152" spans="4:4" x14ac:dyDescent="0.25">
      <c r="D152">
        <f t="shared" si="1"/>
        <v>6335268.1450045146</v>
      </c>
    </row>
    <row r="153" spans="4:4" x14ac:dyDescent="0.25">
      <c r="D153">
        <f t="shared" si="1"/>
        <v>6652031.5522547411</v>
      </c>
    </row>
    <row r="154" spans="4:4" x14ac:dyDescent="0.25">
      <c r="D154">
        <f t="shared" si="1"/>
        <v>6984633.1298674783</v>
      </c>
    </row>
    <row r="155" spans="4:4" x14ac:dyDescent="0.25">
      <c r="D155">
        <f t="shared" si="1"/>
        <v>7333864.7863608524</v>
      </c>
    </row>
  </sheetData>
  <sortState xmlns:xlrd2="http://schemas.microsoft.com/office/spreadsheetml/2017/richdata2" ref="D2:D68">
    <sortCondition descending="1" ref="D68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Sheet1</vt:lpstr>
      <vt:lpstr>INVEST</vt:lpstr>
      <vt:lpstr>TEMP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2021-07-24T09:23:56Z</dcterms:modified>
</cp:coreProperties>
</file>